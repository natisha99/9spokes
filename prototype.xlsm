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ienne\Downloads\"/>
    </mc:Choice>
  </mc:AlternateContent>
  <xr:revisionPtr revIDLastSave="0" documentId="13_ncr:1_{4775FDCA-3449-4144-AEB2-684E003AF6D7}" xr6:coauthVersionLast="44" xr6:coauthVersionMax="45" xr10:uidLastSave="{00000000-0000-0000-0000-000000000000}"/>
  <bookViews>
    <workbookView xWindow="28680" yWindow="-120" windowWidth="29040" windowHeight="17640" xr2:uid="{00000000-000D-0000-FFFF-FFFF00000000}"/>
  </bookViews>
  <sheets>
    <sheet name="Summary" sheetId="7" r:id="rId1"/>
    <sheet name="APItest" sheetId="9" state="hidden" r:id="rId2"/>
    <sheet name="Companies Office" sheetId="10" r:id="rId3"/>
    <sheet name="Google trends template" sheetId="11" r:id="rId4"/>
    <sheet name="Google trends" sheetId="1" r:id="rId5"/>
    <sheet name="Companies house" sheetId="5" state="hidden" r:id="rId6"/>
    <sheet name="Twitter" sheetId="4" r:id="rId7"/>
    <sheet name="google finance " sheetId="3" r:id="rId8"/>
    <sheet name="Xero (imported)" sheetId="6" r:id="rId9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0" i="7" l="1"/>
  <c r="B30" i="7"/>
  <c r="D29" i="7"/>
  <c r="B29" i="7"/>
  <c r="D28" i="7"/>
  <c r="B28" i="7"/>
  <c r="D27" i="7"/>
  <c r="B27" i="7"/>
  <c r="B26" i="7"/>
  <c r="D26" i="7"/>
  <c r="D17" i="7"/>
  <c r="D16" i="7"/>
  <c r="D18" i="7"/>
  <c r="B33" i="7"/>
  <c r="D23" i="7"/>
  <c r="D22" i="7"/>
  <c r="D21" i="7"/>
  <c r="D20" i="7"/>
  <c r="D19" i="7"/>
  <c r="D7" i="7"/>
  <c r="D8" i="7"/>
  <c r="D9" i="7"/>
  <c r="D10" i="7"/>
  <c r="D11" i="7"/>
  <c r="D12" i="7"/>
  <c r="D13" i="7"/>
  <c r="B123" i="7"/>
  <c r="B93" i="7"/>
  <c r="B63" i="7"/>
  <c r="B3" i="7"/>
  <c r="C10" i="3" l="1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9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10" i="3"/>
  <c r="B9" i="3"/>
  <c r="B13" i="5" l="1"/>
  <c r="E9" i="5" l="1"/>
</calcChain>
</file>

<file path=xl/sharedStrings.xml><?xml version="1.0" encoding="utf-8"?>
<sst xmlns="http://schemas.openxmlformats.org/spreadsheetml/2006/main" count="1063" uniqueCount="579">
  <si>
    <t>9 Spokes Summary</t>
  </si>
  <si>
    <t>Companies Office</t>
  </si>
  <si>
    <t>Internet Presence</t>
  </si>
  <si>
    <t>Google Finance</t>
  </si>
  <si>
    <t>Summary</t>
  </si>
  <si>
    <t>Company number</t>
  </si>
  <si>
    <t>NZBN</t>
  </si>
  <si>
    <t>Incorporation Date</t>
  </si>
  <si>
    <t>Quarterly financials</t>
  </si>
  <si>
    <t>Company Status</t>
  </si>
  <si>
    <t>Revenue</t>
  </si>
  <si>
    <t>5.47B</t>
  </si>
  <si>
    <t>87.44 B</t>
  </si>
  <si>
    <t>Entity type</t>
  </si>
  <si>
    <t>Net income</t>
  </si>
  <si>
    <t>586.97M</t>
  </si>
  <si>
    <t>3.27 B</t>
  </si>
  <si>
    <t>Constitution filed</t>
  </si>
  <si>
    <t>Net profit margin</t>
  </si>
  <si>
    <t>AR filing month</t>
  </si>
  <si>
    <t>Share value</t>
  </si>
  <si>
    <t>GST Number</t>
  </si>
  <si>
    <t>Website</t>
  </si>
  <si>
    <t>Phone number</t>
  </si>
  <si>
    <t>Email address</t>
  </si>
  <si>
    <t>Trading name</t>
  </si>
  <si>
    <t>9 Spokes</t>
  </si>
  <si>
    <t>Trading area</t>
  </si>
  <si>
    <t>Industry classification</t>
  </si>
  <si>
    <t>ABN</t>
  </si>
  <si>
    <t>Directors</t>
  </si>
  <si>
    <t>https://app.companiesoffice.govt.nz/companies/app/ui/pages/companies/6842293?backurl=H4sIAAAAAAAAAC3KQQrCQAyF4dvMticI4spNF4Je4DEJtmCTOMkovb1D6e79j29yvCSmaptD17FC0Opy2YyFIqGMxiV3FxLNNQcpH4rlZ%2BYF%2FIVW4TtU3pStSznQ%2Fhw%2B6DrPZz8S2ePWrPtx%2FwEsagvvdgAAAA%3D%3D</t>
  </si>
  <si>
    <t>https://app.companiesoffice.govt.nz/companies/app/ui/pages/companies/3538758</t>
  </si>
  <si>
    <t>https://trends.google.com/trends/explore?geo=US&amp;q=shwoop,9 spokes</t>
  </si>
  <si>
    <t>rates.CAD</t>
  </si>
  <si>
    <t>rates.HKD</t>
  </si>
  <si>
    <t>rates.ISK</t>
  </si>
  <si>
    <t>rates.PHP</t>
  </si>
  <si>
    <t>rates.DKK</t>
  </si>
  <si>
    <t>rates.HUF</t>
  </si>
  <si>
    <t>rates.CZK</t>
  </si>
  <si>
    <t>rates.AUD</t>
  </si>
  <si>
    <t>rates.RON</t>
  </si>
  <si>
    <t>rates.SEK</t>
  </si>
  <si>
    <t>rates.IDR</t>
  </si>
  <si>
    <t>rates.INR</t>
  </si>
  <si>
    <t>rates.BRL</t>
  </si>
  <si>
    <t>rates.RUB</t>
  </si>
  <si>
    <t>rates.HRK</t>
  </si>
  <si>
    <t>rates.JPY</t>
  </si>
  <si>
    <t>rates.THB</t>
  </si>
  <si>
    <t>rates.CHF</t>
  </si>
  <si>
    <t>rates.SGD</t>
  </si>
  <si>
    <t>rates.PLN</t>
  </si>
  <si>
    <t>rates.BGN</t>
  </si>
  <si>
    <t>rates.TRY</t>
  </si>
  <si>
    <t>rates.CNY</t>
  </si>
  <si>
    <t>rates.NOK</t>
  </si>
  <si>
    <t>rates.NZD</t>
  </si>
  <si>
    <t>rates.ZAR</t>
  </si>
  <si>
    <t>rates.USD</t>
  </si>
  <si>
    <t>rates.MXN</t>
  </si>
  <si>
    <t>rates.ILS</t>
  </si>
  <si>
    <t>rates.GBP</t>
  </si>
  <si>
    <t>rates.KRW</t>
  </si>
  <si>
    <t>rates.MYR</t>
  </si>
  <si>
    <t>base</t>
  </si>
  <si>
    <t>date</t>
  </si>
  <si>
    <t>EUR</t>
  </si>
  <si>
    <t>relinkd api</t>
  </si>
  <si>
    <t>^</t>
  </si>
  <si>
    <t>{</t>
  </si>
  <si>
    <t xml:space="preserve">    "status": "success",</t>
  </si>
  <si>
    <t xml:space="preserve">    "data": {</t>
  </si>
  <si>
    <t xml:space="preserve">        "stats": {</t>
  </si>
  <si>
    <t xml:space="preserve">            "volume": 53079842955.05171,</t>
  </si>
  <si>
    <t xml:space="preserve">            "total": 55061,</t>
  </si>
  <si>
    <t xml:space="preserve">            "limit": 50,</t>
  </si>
  <si>
    <t xml:space="preserve">            "offset": 0</t>
  </si>
  <si>
    <t xml:space="preserve">        },</t>
  </si>
  <si>
    <t xml:space="preserve">        "currencies": [</t>
  </si>
  <si>
    <t xml:space="preserve">            {</t>
  </si>
  <si>
    <t xml:space="preserve">                "id": 1509,</t>
  </si>
  <si>
    <t xml:space="preserve">                "uuid": "yhjMzLPhuIDl",</t>
  </si>
  <si>
    <t xml:space="preserve">                "type": "fiat",</t>
  </si>
  <si>
    <t xml:space="preserve">                "iconUrl": "https://cdn.coinranking.com/OjL-P17sq/usd.svg",</t>
  </si>
  <si>
    <t xml:space="preserve">                "name": "US dollar",</t>
  </si>
  <si>
    <t xml:space="preserve">                "symbol": "USD",</t>
  </si>
  <si>
    <t xml:space="preserve">                "sign": "$"</t>
  </si>
  <si>
    <t xml:space="preserve">            }</t>
  </si>
  <si>
    <t xml:space="preserve">        ],</t>
  </si>
  <si>
    <t xml:space="preserve">        "markets": [</t>
  </si>
  <si>
    <t xml:space="preserve">                "id": 27390993,</t>
  </si>
  <si>
    <t xml:space="preserve">                "rank": 1,</t>
  </si>
  <si>
    <t xml:space="preserve">                "baseSymbol": "BTC",</t>
  </si>
  <si>
    <t xml:space="preserve">                "quoteSymbol": "USDT",</t>
  </si>
  <si>
    <t xml:space="preserve">                "sourceName": "VinDAX",</t>
  </si>
  <si>
    <t xml:space="preserve">                "sourceIconUrl": "https://cdn.coinranking.com/DJFs4gAgf/vindax.svg",</t>
  </si>
  <si>
    <t xml:space="preserve">                "tickerCreatedAt": 1587601458000,</t>
  </si>
  <si>
    <t xml:space="preserve">                "tickerClose": 7104.45,</t>
  </si>
  <si>
    <t xml:space="preserve">                "tickerBaseVolume": 205464.39951,</t>
  </si>
  <si>
    <t xml:space="preserve">                "tickerQuoteVolume": 1437280306.657,</t>
  </si>
  <si>
    <t xml:space="preserve">                "marketShare": 2.699268275354571,</t>
  </si>
  <si>
    <t xml:space="preserve">                "price": 7104.701866776636,</t>
  </si>
  <si>
    <t xml:space="preserve">                "volume": 1432767361.4937391</t>
  </si>
  <si>
    <t xml:space="preserve">            },</t>
  </si>
  <si>
    <t xml:space="preserve">                "id": 27392268,</t>
  </si>
  <si>
    <t xml:space="preserve">                "rank": 2,</t>
  </si>
  <si>
    <t xml:space="preserve">                "sourceName": "Coinsbit",</t>
  </si>
  <si>
    <t xml:space="preserve">                "sourceIconUrl": "https://cdn.coinranking.com/Xx7PRnP31/coinsbit.svg",</t>
  </si>
  <si>
    <t xml:space="preserve">                "tickerCreatedAt": 1587601326000,</t>
  </si>
  <si>
    <t xml:space="preserve">                "tickerClose": 7104.07,</t>
  </si>
  <si>
    <t xml:space="preserve">                "tickerBaseVolume": 164201.61688258,</t>
  </si>
  <si>
    <t xml:space="preserve">                "tickerQuoteVolume": null,</t>
  </si>
  <si>
    <t xml:space="preserve">                "marketShare": 2.197026738544554,</t>
  </si>
  <si>
    <t xml:space="preserve">                "price": 7104.321853304887,</t>
  </si>
  <si>
    <t xml:space="preserve">                "volume": 1166178342.499944</t>
  </si>
  <si>
    <t xml:space="preserve">                "id": 27396485,</t>
  </si>
  <si>
    <t xml:space="preserve">                "rank": 3,</t>
  </si>
  <si>
    <t xml:space="preserve">                "sourceName": "BKEX",</t>
  </si>
  <si>
    <t xml:space="preserve">                "sourceIconUrl": "https://cdn.coinranking.com/uNp-AXDRf/BKEX.svg",</t>
  </si>
  <si>
    <t xml:space="preserve">                "tickerCreatedAt": 1587601493000,</t>
  </si>
  <si>
    <t xml:space="preserve">                "tickerClose": 7109.6755,</t>
  </si>
  <si>
    <t xml:space="preserve">                "tickerBaseVolume": 154167.4612,</t>
  </si>
  <si>
    <t xml:space="preserve">                "tickerQuoteVolume": 1082322041.5486,</t>
  </si>
  <si>
    <t xml:space="preserve">                "marketShare": 2.049619189208717,</t>
  </si>
  <si>
    <t xml:space="preserve">                "price": 7109.927552030927,</t>
  </si>
  <si>
    <t xml:space="preserve">                "volume": 1087934646.8085911</t>
  </si>
  <si>
    <t xml:space="preserve">                "id": 60007,</t>
  </si>
  <si>
    <t xml:space="preserve">                "rank": 4,</t>
  </si>
  <si>
    <t xml:space="preserve">                "sourceName": "HOTBIT",</t>
  </si>
  <si>
    <t xml:space="preserve">                "sourceIconUrl": "https://cdn.coinranking.com/lQYXlA0LJ/hotbit.svg",</t>
  </si>
  <si>
    <t xml:space="preserve">                "tickerCreatedAt": 1587601296000,</t>
  </si>
  <si>
    <t xml:space="preserve">                "tickerClose": 7098.79,</t>
  </si>
  <si>
    <t xml:space="preserve">                "tickerBaseVolume": 151167.984781,</t>
  </si>
  <si>
    <t xml:space="preserve">                "marketShare": 2.0226360183362333,</t>
  </si>
  <si>
    <t xml:space="preserve">                "price": 7099.041666118464,</t>
  </si>
  <si>
    <t xml:space="preserve">                "volume": 1073612022.0851835</t>
  </si>
  <si>
    <t xml:space="preserve">                "id": 234979,</t>
  </si>
  <si>
    <t xml:space="preserve">                "rank": 5,</t>
  </si>
  <si>
    <t xml:space="preserve">                "sourceName": "EXX",</t>
  </si>
  <si>
    <t xml:space="preserve">                "sourceIconUrl": "https://cdn.coinranking.com/DPEj4c9ez/exx.svg",</t>
  </si>
  <si>
    <t xml:space="preserve">                "tickerCreatedAt": 1587601319000,</t>
  </si>
  <si>
    <t xml:space="preserve">                "tickerClose": 7104.5,</t>
  </si>
  <si>
    <t xml:space="preserve">                "tickerBaseVolume": 129444.1274,</t>
  </si>
  <si>
    <t xml:space="preserve">                "marketShare": 1.7319696020334296,</t>
  </si>
  <si>
    <t xml:space="preserve">                "price": 7104.751868549235,</t>
  </si>
  <si>
    <t xml:space="preserve">                "volume": 919326744.7885785</t>
  </si>
  <si>
    <t xml:space="preserve">                "id": 232307,</t>
  </si>
  <si>
    <t xml:space="preserve">                "rank": 6,</t>
  </si>
  <si>
    <t xml:space="preserve">                "sourceName": "LBank",</t>
  </si>
  <si>
    <t xml:space="preserve">                "sourceIconUrl": "https://cdn.coinranking.com/9BtVBP7RO/lbank.svg",</t>
  </si>
  <si>
    <t xml:space="preserve">                "tickerCreatedAt": 1587601307000,</t>
  </si>
  <si>
    <t xml:space="preserve">                "tickerClose": 7102.99,</t>
  </si>
  <si>
    <t xml:space="preserve">                "tickerBaseVolume": 110007.5831,</t>
  </si>
  <si>
    <t xml:space="preserve">                "marketShare": 1.4719075615814026,</t>
  </si>
  <si>
    <t xml:space="preserve">                "price": 7103.241815016755,</t>
  </si>
  <si>
    <t xml:space="preserve">                "volume": 781286222.1309396</t>
  </si>
  <si>
    <t xml:space="preserve">                "id": 27396486,</t>
  </si>
  <si>
    <t xml:space="preserve">                "rank": 7,</t>
  </si>
  <si>
    <t xml:space="preserve">                "baseSymbol": "ETH",</t>
  </si>
  <si>
    <t xml:space="preserve">                "tickerClose": 181.82,</t>
  </si>
  <si>
    <t xml:space="preserve">                "tickerBaseVolume": 4347462.1185,</t>
  </si>
  <si>
    <t xml:space="preserve">                "tickerQuoteVolume": 774971593.6267,</t>
  </si>
  <si>
    <t xml:space="preserve">                "marketShare": 1.4605339095482626,</t>
  </si>
  <si>
    <t xml:space="preserve">                "price": 181.82644587791145,</t>
  </si>
  <si>
    <t xml:space="preserve">                "volume": 775249105.4934947</t>
  </si>
  <si>
    <t xml:space="preserve">                "id": 27386223,</t>
  </si>
  <si>
    <t xml:space="preserve">                "rank": 8,</t>
  </si>
  <si>
    <t xml:space="preserve">                "sourceName": "BitOffer",</t>
  </si>
  <si>
    <t xml:space="preserve">                "sourceIconUrl": "https://cdn.coinranking.com/M431SHDbi/bitoffer.svg",</t>
  </si>
  <si>
    <t xml:space="preserve">                "tickerCreatedAt": 1587601443000,</t>
  </si>
  <si>
    <t xml:space="preserve">                "tickerClose": 7110.16,</t>
  </si>
  <si>
    <t xml:space="preserve">                "tickerBaseVolume": 108328.436982,</t>
  </si>
  <si>
    <t xml:space="preserve">                "marketShare": 1.4494404934172238,</t>
  </si>
  <si>
    <t xml:space="preserve">                "price": 7110.4120692074075,</t>
  </si>
  <si>
    <t xml:space="preserve">                "volume": 769360737.632789</t>
  </si>
  <si>
    <t xml:space="preserve">                "id": 271182,</t>
  </si>
  <si>
    <t xml:space="preserve">                "rank": 9,</t>
  </si>
  <si>
    <t xml:space="preserve">                "sourceName": "P2PB2B",</t>
  </si>
  <si>
    <t xml:space="preserve">                "sourceIconUrl": "https://cdn.coinranking.com/oMYGUH2Ok/p2pb2b.svg",</t>
  </si>
  <si>
    <t xml:space="preserve">                "tickerCreatedAt": 1587601316000,</t>
  </si>
  <si>
    <t xml:space="preserve">                "tickerClose": 7101.99,</t>
  </si>
  <si>
    <t xml:space="preserve">                "tickerBaseVolume": 102612.154016,</t>
  </si>
  <si>
    <t xml:space="preserve">                "marketShare": 1.3729563103755333,</t>
  </si>
  <si>
    <t xml:space="preserve">                "price": 7102.241779564781,</t>
  </si>
  <si>
    <t xml:space="preserve">                "volume": 728763053.3888055</t>
  </si>
  <si>
    <t xml:space="preserve">                "id": 234708,</t>
  </si>
  <si>
    <t xml:space="preserve">                "rank": 10,</t>
  </si>
  <si>
    <t xml:space="preserve">                "quoteSymbol": "USD",</t>
  </si>
  <si>
    <t xml:space="preserve">                "tickerClose": 7088.99,</t>
  </si>
  <si>
    <t xml:space="preserve">                "tickerBaseVolume": 102386.474687,</t>
  </si>
  <si>
    <t xml:space="preserve">                "marketShare": 1.36993670844004,</t>
  </si>
  <si>
    <t xml:space="preserve">                "price": 7088.99,</t>
  </si>
  <si>
    <t xml:space="preserve">                "volume": 727160253.4235778</t>
  </si>
  <si>
    <t xml:space="preserve">                "id": 67647,</t>
  </si>
  <si>
    <t xml:space="preserve">                "rank": 11,</t>
  </si>
  <si>
    <t xml:space="preserve">                "sourceName": "Coineal",</t>
  </si>
  <si>
    <t xml:space="preserve">                "sourceIconUrl": "https://cdn.coinranking.com/YS6yzhqGd/coineal.svg",</t>
  </si>
  <si>
    <t xml:space="preserve">                "tickerCreatedAt": 1587601299000,</t>
  </si>
  <si>
    <t xml:space="preserve">                "tickerBaseVolume": 100194.89873,</t>
  </si>
  <si>
    <t xml:space="preserve">                "marketShare": 1.340613300616818,</t>
  </si>
  <si>
    <t xml:space="preserve">                "volume": 711595434.6019422</t>
  </si>
  <si>
    <t xml:space="preserve">                "id": 27386229,</t>
  </si>
  <si>
    <t xml:space="preserve">                "rank": 12,</t>
  </si>
  <si>
    <t xml:space="preserve">                "tickerClose": 181.93,</t>
  </si>
  <si>
    <t xml:space="preserve">                "tickerBaseVolume": 3338943.6398,</t>
  </si>
  <si>
    <t xml:space="preserve">                "marketShare": 1.1416904449438485,</t>
  </si>
  <si>
    <t xml:space="preserve">                "price": 181.93644977762858,</t>
  </si>
  <si>
    <t xml:space="preserve">                "volume": 606007495.2090259</t>
  </si>
  <si>
    <t xml:space="preserve">                "id": 236535,</t>
  </si>
  <si>
    <t xml:space="preserve">                "rank": 13,</t>
  </si>
  <si>
    <t xml:space="preserve">                "tickerClose": 7037.82512561,</t>
  </si>
  <si>
    <t xml:space="preserve">                "tickerBaseVolume": 79688.23333524,</t>
  </si>
  <si>
    <t xml:space="preserve">                "marketShare": 1.066232980580799,</t>
  </si>
  <si>
    <t xml:space="preserve">                "price": 7037.82512561,</t>
  </si>
  <si>
    <t xml:space="preserve">                "volume": 565954791.6272552</t>
  </si>
  <si>
    <t xml:space="preserve">                "id": 27394333,</t>
  </si>
  <si>
    <t xml:space="preserve">                "rank": 14,</t>
  </si>
  <si>
    <t xml:space="preserve">                "sourceName": "BiKi",</t>
  </si>
  <si>
    <t xml:space="preserve">                "sourceIconUrl": "https://cdn.coinranking.com/QxrKrB3zG/BiKi.svg",</t>
  </si>
  <si>
    <t xml:space="preserve">                "tickerCreatedAt": 1587601463000,</t>
  </si>
  <si>
    <t xml:space="preserve">                "tickerClose": 181.84,</t>
  </si>
  <si>
    <t xml:space="preserve">                "tickerBaseVolume": 2997250.51904677,</t>
  </si>
  <si>
    <t xml:space="preserve">                "marketShare": 1.0248061783759692,</t>
  </si>
  <si>
    <t xml:space="preserve">                "price": 181.84644658695092,</t>
  </si>
  <si>
    <t xml:space="preserve">                "volume": 543965510.0756315</t>
  </si>
  <si>
    <t xml:space="preserve">                "id": 232308,</t>
  </si>
  <si>
    <t xml:space="preserve">                "rank": 15,</t>
  </si>
  <si>
    <t xml:space="preserve">                "tickerClose": 181.6,</t>
  </si>
  <si>
    <t xml:space="preserve">                "tickerBaseVolume": 2884670.4357,</t>
  </si>
  <si>
    <t xml:space="preserve">                "marketShare": 0.9863600672960056,</t>
  </si>
  <si>
    <t xml:space="preserve">                "price": 181.60643807847717,</t>
  </si>
  <si>
    <t xml:space="preserve">                "volume": 523558374.69206214</t>
  </si>
  <si>
    <t xml:space="preserve">                "id": 47926,</t>
  </si>
  <si>
    <t xml:space="preserve">                "rank": 16,</t>
  </si>
  <si>
    <t xml:space="preserve">                "sourceName": "LATOKEN",</t>
  </si>
  <si>
    <t xml:space="preserve">                "sourceIconUrl": "https://cdn.coinranking.com/k6o_Wi3jY/latoken.svg",</t>
  </si>
  <si>
    <t xml:space="preserve">                "tickerCreatedAt": 1587601286000,</t>
  </si>
  <si>
    <t xml:space="preserve">                "tickerClose": 7110.66,</t>
  </si>
  <si>
    <t xml:space="preserve">                "tickerBaseVolume": 69317.39762458013,</t>
  </si>
  <si>
    <t xml:space="preserve">                "tickerQuoteVolume": 492892446.593197,</t>
  </si>
  <si>
    <t xml:space="preserve">                "marketShare": 0.9286197794910469,</t>
  </si>
  <si>
    <t xml:space="preserve">                "price": 7110.912086933396,</t>
  </si>
  <si>
    <t xml:space="preserve">                "volume": 492909920.6033951</t>
  </si>
  <si>
    <t xml:space="preserve">                "id": 100668,</t>
  </si>
  <si>
    <t xml:space="preserve">                "rank": 17,</t>
  </si>
  <si>
    <t xml:space="preserve">                "baseSymbol": "TUSD",</t>
  </si>
  <si>
    <t xml:space="preserve">                "sourceName": "Bit-Z",</t>
  </si>
  <si>
    <t xml:space="preserve">                "sourceIconUrl": "https://cdn.coinranking.com/0Q5yBsqRp/Bit-Z.svg",</t>
  </si>
  <si>
    <t xml:space="preserve">                "tickerClose": 0.9974,</t>
  </si>
  <si>
    <t xml:space="preserve">                "tickerBaseVolume": 488136337.22,</t>
  </si>
  <si>
    <t xml:space="preserve">                "tickerQuoteVolume": 487144394.51,</t>
  </si>
  <si>
    <t xml:space="preserve">                "marketShare": 0.9177903279648665,</t>
  </si>
  <si>
    <t xml:space="preserve">                "price": 0.9974353597988626,</t>
  </si>
  <si>
    <t xml:space="preserve">                "volume": 487161664.74040514</t>
  </si>
  <si>
    <t xml:space="preserve">                "id": 15365467,</t>
  </si>
  <si>
    <t xml:space="preserve">                "rank": 18,</t>
  </si>
  <si>
    <t xml:space="preserve">                "sourceName": "MXC",</t>
  </si>
  <si>
    <t xml:space="preserve">                "sourceIconUrl": "https://cdn.coinranking.com/5H4rM81Pj/mxc.svg",</t>
  </si>
  <si>
    <t xml:space="preserve">                "tickerCreatedAt": 1587601431000,</t>
  </si>
  <si>
    <t xml:space="preserve">                "tickerClose": 7110.88,</t>
  </si>
  <si>
    <t xml:space="preserve">                "tickerBaseVolume": 68135.934669,</t>
  </si>
  <si>
    <t xml:space="preserve">                "marketShare": 0.9116625838743432,</t>
  </si>
  <si>
    <t xml:space="preserve">                "price": 7111.132094732829,</t>
  </si>
  <si>
    <t xml:space="preserve">                "volume": 483909067.80046797</t>
  </si>
  <si>
    <t xml:space="preserve">                "id": 27394331,</t>
  </si>
  <si>
    <t xml:space="preserve">                "rank": 19,</t>
  </si>
  <si>
    <t xml:space="preserve">                "tickerClose": 7108.14,</t>
  </si>
  <si>
    <t xml:space="preserve">                "tickerBaseVolume": 68021.01691031,</t>
  </si>
  <si>
    <t xml:space="preserve">                "marketShare": 0.9103439706902919,</t>
  </si>
  <si>
    <t xml:space="preserve">                "price": 7108.391997594421,</t>
  </si>
  <si>
    <t xml:space="preserve">                "volume": 483209149.993189</t>
  </si>
  <si>
    <t xml:space="preserve">                "id": 47453,</t>
  </si>
  <si>
    <t xml:space="preserve">                "rank": 20,</t>
  </si>
  <si>
    <t xml:space="preserve">                "baseSymbol": "ETC",</t>
  </si>
  <si>
    <t xml:space="preserve">                "sourceName": "CoinBene",</t>
  </si>
  <si>
    <t xml:space="preserve">                "sourceIconUrl": "https://cdn.coinranking.com/fWL5Jugm_/coinbene.svg",</t>
  </si>
  <si>
    <t xml:space="preserve">                "tickerCreatedAt": 1587601283000,</t>
  </si>
  <si>
    <t xml:space="preserve">                "tickerClose": 5.3604,</t>
  </si>
  <si>
    <t xml:space="preserve">                "tickerBaseVolume": 83397389.68,</t>
  </si>
  <si>
    <t xml:space="preserve">                "marketShare": 0.8426255195355475,</t>
  </si>
  <si>
    <t xml:space="preserve">                "price": 5.360590036761395,</t>
  </si>
  <si>
    <t xml:space="preserve">                "volume": 447264302.4686572</t>
  </si>
  <si>
    <t xml:space="preserve">                "id": 15365489,</t>
  </si>
  <si>
    <t xml:space="preserve">                "rank": 21,</t>
  </si>
  <si>
    <t xml:space="preserve">                "tickerClose": 181.89,</t>
  </si>
  <si>
    <t xml:space="preserve">                "tickerBaseVolume": 2460343.36899,</t>
  </si>
  <si>
    <t xml:space="preserve">                "marketShare": 0.8412692212513938,</t>
  </si>
  <si>
    <t xml:space="preserve">                "price": 181.89644835954962,</t>
  </si>
  <si>
    <t xml:space="preserve">                "volume": 446544381.46942633</t>
  </si>
  <si>
    <t xml:space="preserve">                "id": 60021,</t>
  </si>
  <si>
    <t xml:space="preserve">                "rank": 22,</t>
  </si>
  <si>
    <t xml:space="preserve">                "tickerClose": 181.47,</t>
  </si>
  <si>
    <t xml:space="preserve">                "tickerBaseVolume": 2399002.13671,</t>
  </si>
  <si>
    <t xml:space="preserve">                "marketShare": 0.8202947136435469,</t>
  </si>
  <si>
    <t xml:space="preserve">                "price": 181.47643346972055,</t>
  </si>
  <si>
    <t xml:space="preserve">                "volume": 435411145.77058583</t>
  </si>
  <si>
    <t xml:space="preserve">                "id": 45499,</t>
  </si>
  <si>
    <t xml:space="preserve">                "rank": 23,</t>
  </si>
  <si>
    <t xml:space="preserve">                "sourceName": "Binance",</t>
  </si>
  <si>
    <t xml:space="preserve">                "sourceIconUrl": "https://cdn.coinranking.com/mDTK5qrmq/binance.svg",</t>
  </si>
  <si>
    <t xml:space="preserve">                "tickerCreatedAt": 1587601365000,</t>
  </si>
  <si>
    <t xml:space="preserve">                "tickerClose": 7102.87,</t>
  </si>
  <si>
    <t xml:space="preserve">                "tickerBaseVolume": 61631.568566,</t>
  </si>
  <si>
    <t xml:space="preserve">                "tickerQuoteVolume": 432564603.6398222,</t>
  </si>
  <si>
    <t xml:space="preserve">                "marketShare": 0.8149608492157971,</t>
  </si>
  <si>
    <t xml:space="preserve">                "price": 7103.121810762518,</t>
  </si>
  <si>
    <t xml:space="preserve">                "volume": 432579938.90890086</t>
  </si>
  <si>
    <t xml:space="preserve">                "id": 49057,</t>
  </si>
  <si>
    <t xml:space="preserve">                "rank": 24,</t>
  </si>
  <si>
    <t xml:space="preserve">                "sourceName": "ZB",</t>
  </si>
  <si>
    <t xml:space="preserve">                "sourceIconUrl": "https://cdn.coinranking.com/VhtrNhSv7/ZB.svg",</t>
  </si>
  <si>
    <t xml:space="preserve">                "tickerCreatedAt": 1587601288000,</t>
  </si>
  <si>
    <t xml:space="preserve">                "tickerClose": 7103.02,</t>
  </si>
  <si>
    <t xml:space="preserve">                "tickerBaseVolume": 58885.7176,</t>
  </si>
  <si>
    <t xml:space="preserve">                "marketShare": 0.7878941665848407,</t>
  </si>
  <si>
    <t xml:space="preserve">                "price": 7103.271816080313,</t>
  </si>
  <si>
    <t xml:space="preserve">                "volume": 418212986.27524686</t>
  </si>
  <si>
    <t xml:space="preserve">                "id": 27397948,</t>
  </si>
  <si>
    <t xml:space="preserve">                "rank": 25,</t>
  </si>
  <si>
    <t xml:space="preserve">                "sourceName": "Hoo.com",</t>
  </si>
  <si>
    <t xml:space="preserve">                "sourceIconUrl": "https://cdn.coinranking.com/1IajEbLut/hoo-com.svg",</t>
  </si>
  <si>
    <t xml:space="preserve">                "tickerCreatedAt": 1587601201000,</t>
  </si>
  <si>
    <t xml:space="preserve">                "tickerClose": 181.73,</t>
  </si>
  <si>
    <t xml:space="preserve">                "tickerBaseVolume": 2168995.61525999,</t>
  </si>
  <si>
    <t xml:space="preserve">                "marketShare": 0.7416482085980235,</t>
  </si>
  <si>
    <t xml:space="preserve">                "price": 181.73644268723382,</t>
  </si>
  <si>
    <t xml:space="preserve">                "volume": 393665704.4027852</t>
  </si>
  <si>
    <t xml:space="preserve">                "id": 27394846,</t>
  </si>
  <si>
    <t xml:space="preserve">                "rank": 26,</t>
  </si>
  <si>
    <t xml:space="preserve">                "sourceName": "TOKOK",</t>
  </si>
  <si>
    <t xml:space="preserve">                "sourceIconUrl": "https://cdn.coinranking.com/45ULOuMmM/TOKOK.svg",</t>
  </si>
  <si>
    <t xml:space="preserve">                "tickerCreatedAt": 1587601470000,</t>
  </si>
  <si>
    <t xml:space="preserve">                "tickerClose": 181.83,</t>
  </si>
  <si>
    <t xml:space="preserve">                "tickerBaseVolume": 2152299.70759552,</t>
  </si>
  <si>
    <t xml:space="preserve">                "marketShare": 0.7360891079579815,</t>
  </si>
  <si>
    <t xml:space="preserve">                "price": 181.8364462324312,</t>
  </si>
  <si>
    <t xml:space="preserve">                "volume": 390714942.5133377</t>
  </si>
  <si>
    <t xml:space="preserve">                "id": 100545,</t>
  </si>
  <si>
    <t xml:space="preserve">                "rank": 27,</t>
  </si>
  <si>
    <t xml:space="preserve">                "tickerClose": 7096.78,</t>
  </si>
  <si>
    <t xml:space="preserve">                "tickerBaseVolume": 55428.77,</t>
  </si>
  <si>
    <t xml:space="preserve">                "tickerQuoteVolume": 388905021.06,</t>
  </si>
  <si>
    <t xml:space="preserve">                "marketShare": 0.732705273525453,</t>
  </si>
  <si>
    <t xml:space="preserve">                "price": 7097.031594859996,</t>
  </si>
  <si>
    <t xml:space="preserve">                "volume": 388918808.5106925</t>
  </si>
  <si>
    <t xml:space="preserve">                "id": 233840,</t>
  </si>
  <si>
    <t xml:space="preserve">                "rank": 28,</t>
  </si>
  <si>
    <t xml:space="preserve">                "baseSymbol": "LTC",</t>
  </si>
  <si>
    <t xml:space="preserve">                "sourceName": "Bitforex",</t>
  </si>
  <si>
    <t xml:space="preserve">                "sourceIconUrl": "https://cdn.coinranking.com/tG3ps5jPI/bitforex.svg",</t>
  </si>
  <si>
    <t xml:space="preserve">                "tickerCreatedAt": 1587601308000,</t>
  </si>
  <si>
    <t xml:space="preserve">                "tickerClose": 41.57,</t>
  </si>
  <si>
    <t xml:space="preserve">                "tickerBaseVolume": 9308673.8754,</t>
  </si>
  <si>
    <t xml:space="preserve">                "tickerQuoteVolume": 386240594.17,</t>
  </si>
  <si>
    <t xml:space="preserve">                "marketShare": 0.7276854369908023,</t>
  </si>
  <si>
    <t xml:space="preserve">                "price": 41.5714737385589,</t>
  </si>
  <si>
    <t xml:space="preserve">                "volume": 386254287.1614997</t>
  </si>
  <si>
    <t xml:space="preserve">                "id": 27394841,</t>
  </si>
  <si>
    <t xml:space="preserve">                "rank": 29,</t>
  </si>
  <si>
    <t xml:space="preserve">                "quoteSymbol": "BTC",</t>
  </si>
  <si>
    <t xml:space="preserve">                "tickerClose": 0.025584,</t>
  </si>
  <si>
    <t xml:space="preserve">                "tickerBaseVolume": 2107171.1867296,</t>
  </si>
  <si>
    <t xml:space="preserve">                "marketShare": 0.7207575011475136,</t>
  </si>
  <si>
    <t xml:space="preserve">                "price": 181.7004441305461,</t>
  </si>
  <si>
    <t xml:space="preserve">                "volume": 382576949.6958552</t>
  </si>
  <si>
    <t xml:space="preserve">                "id": 232427,</t>
  </si>
  <si>
    <t xml:space="preserve">                "rank": 30,</t>
  </si>
  <si>
    <t xml:space="preserve">                "sourceName": "Bibox",</t>
  </si>
  <si>
    <t xml:space="preserve">                "sourceIconUrl": "https://cdn.coinranking.com/iAb5fjrVQ/bix.svg",</t>
  </si>
  <si>
    <t xml:space="preserve">                "tickerCreatedAt": 1587601304000,</t>
  </si>
  <si>
    <t xml:space="preserve">                "tickerClose": 7102.82,</t>
  </si>
  <si>
    <t xml:space="preserve">                "tickerBaseVolume": 53415,</t>
  </si>
  <si>
    <t xml:space="preserve">                "tickerQuoteVolume": 373602967.87,</t>
  </si>
  <si>
    <t xml:space="preserve">                "marketShare": 0.7038758821292689,</t>
  </si>
  <si>
    <t xml:space="preserve">                "price": 7103.071808989918,</t>
  </si>
  <si>
    <t xml:space="preserve">                "volume": 373616212.8327008</t>
  </si>
  <si>
    <t xml:space="preserve">                "id": 27394847,</t>
  </si>
  <si>
    <t xml:space="preserve">                "rank": 31,</t>
  </si>
  <si>
    <t xml:space="preserve">                "tickerClose": 7108.99,</t>
  </si>
  <si>
    <t xml:space="preserve">                "tickerBaseVolume": 51810.32884056,</t>
  </si>
  <si>
    <t xml:space="preserve">                "marketShare": 0.6932162574959618,</t>
  </si>
  <si>
    <t xml:space="preserve">                "price": 7109.242027728599,</t>
  </si>
  <si>
    <t xml:space="preserve">                "volume": 367958100.8177434</t>
  </si>
  <si>
    <t xml:space="preserve">                "id": 233797,</t>
  </si>
  <si>
    <t xml:space="preserve">                "rank": 32,</t>
  </si>
  <si>
    <t xml:space="preserve">                "tickerClose": 7102.14,</t>
  </si>
  <si>
    <t xml:space="preserve">                "tickerBaseVolume": 50426.3278,</t>
  </si>
  <si>
    <t xml:space="preserve">                "tickerQuoteVolume": 352934547.03,</t>
  </si>
  <si>
    <t xml:space="preserve">                "marketShare": 0.6649361407403939,</t>
  </si>
  <si>
    <t xml:space="preserve">                "price": 7102.391784882577,</t>
  </si>
  <si>
    <t xml:space="preserve">                "volume": 352947059.25638264</t>
  </si>
  <si>
    <t xml:space="preserve">                "id": 27395742,</t>
  </si>
  <si>
    <t xml:space="preserve">                "rank": 33,</t>
  </si>
  <si>
    <t xml:space="preserve">                "sourceName": "dcoin",</t>
  </si>
  <si>
    <t xml:space="preserve">                "sourceIconUrl": "https://cdn.coinranking.com/bqNxLB8Tx/dcoin.svg",</t>
  </si>
  <si>
    <t xml:space="preserve">                "tickerCreatedAt": 1587601480000,</t>
  </si>
  <si>
    <t xml:space="preserve">                "tickerClose": 181.8196,</t>
  </si>
  <si>
    <t xml:space="preserve">                "tickerBaseVolume": 1747026,</t>
  </si>
  <si>
    <t xml:space="preserve">                "marketShare": 0.5972177868981249,</t>
  </si>
  <si>
    <t xml:space="preserve">                "price": 181.82604586373066,</t>
  </si>
  <si>
    <t xml:space="preserve">                "volume": 317002263.38516</t>
  </si>
  <si>
    <t xml:space="preserve">                "id": 45915,</t>
  </si>
  <si>
    <t xml:space="preserve">                "rank": 34,</t>
  </si>
  <si>
    <t xml:space="preserve">                "sourceName": "OKEx",</t>
  </si>
  <si>
    <t xml:space="preserve">                "sourceIconUrl": "https://cdn.coinranking.com/tBA4j321g/Okex.svg",</t>
  </si>
  <si>
    <t xml:space="preserve">                "tickerCreatedAt": 1587601366000,</t>
  </si>
  <si>
    <t xml:space="preserve">                "tickerClose": 7104.3,</t>
  </si>
  <si>
    <t xml:space="preserve">                "tickerBaseVolume": 43284.59207706,</t>
  </si>
  <si>
    <t xml:space="preserve">                "tickerQuoteVolume": 302553747.86031264,</t>
  </si>
  <si>
    <t xml:space="preserve">                "marketShare": 0.5700176510396359,</t>
  </si>
  <si>
    <t xml:space="preserve">                "price": 7104.55186145884,</t>
  </si>
  <si>
    <t xml:space="preserve">                "volume": 302564473.98791337</t>
  </si>
  <si>
    <t xml:space="preserve">                "id": 47417,</t>
  </si>
  <si>
    <t xml:space="preserve">                "rank": 35,</t>
  </si>
  <si>
    <t xml:space="preserve">                "tickerClose": 7102.62,</t>
  </si>
  <si>
    <t xml:space="preserve">                "tickerBaseVolume": 42003.6725,</t>
  </si>
  <si>
    <t xml:space="preserve">                "marketShare": 0.5620114670707534,</t>
  </si>
  <si>
    <t xml:space="preserve">                "price": 7102.871801899524,</t>
  </si>
  <si>
    <t xml:space="preserve">                "volume": 298314804.11053807</t>
  </si>
  <si>
    <t xml:space="preserve">                "id": 267708,</t>
  </si>
  <si>
    <t xml:space="preserve">                "rank": 36,</t>
  </si>
  <si>
    <t xml:space="preserve">                "tickerClose": 181.52,</t>
  </si>
  <si>
    <t xml:space="preserve">                "tickerBaseVolume": 1642649.51582,</t>
  </si>
  <si>
    <t xml:space="preserve">                "marketShare": 0.5616738282877,</t>
  </si>
  <si>
    <t xml:space="preserve">                "price": 181.52643524231925,</t>
  </si>
  <si>
    <t xml:space="preserve">                "volume": 298135585.97473794</t>
  </si>
  <si>
    <t xml:space="preserve">                "id": 234920,</t>
  </si>
  <si>
    <t xml:space="preserve">                "rank": 37,</t>
  </si>
  <si>
    <t xml:space="preserve">                "tickerClose": 181.54,</t>
  </si>
  <si>
    <t xml:space="preserve">                "tickerBaseVolume": 1638382.34486,</t>
  </si>
  <si>
    <t xml:space="preserve">                "marketShare": 0.5602147475611186,</t>
  </si>
  <si>
    <t xml:space="preserve">                "price": 181.54000000000002,</t>
  </si>
  <si>
    <t xml:space="preserve">                "volume": 297361108.2164811</t>
  </si>
  <si>
    <t xml:space="preserve">                "id": 232428,</t>
  </si>
  <si>
    <t xml:space="preserve">                "rank": 38,</t>
  </si>
  <si>
    <t xml:space="preserve">                "tickerClose": 181.5251,</t>
  </si>
  <si>
    <t xml:space="preserve">                "tickerBaseVolume": 1673294,</t>
  </si>
  <si>
    <t xml:space="preserve">                "tickerQuoteVolume": 297122539.95,</t>
  </si>
  <si>
    <t xml:space="preserve">                "marketShare": 0.5597851406270605,</t>
  </si>
  <si>
    <t xml:space="preserve">                "price": 181.53153542312432,</t>
  </si>
  <si>
    <t xml:space="preserve">                "volume": 297133073.5305591</t>
  </si>
  <si>
    <t xml:space="preserve">                "id": 47455,</t>
  </si>
  <si>
    <t xml:space="preserve">                "rank": 39,</t>
  </si>
  <si>
    <t xml:space="preserve">                "tickerClose": 181.55,</t>
  </si>
  <si>
    <t xml:space="preserve">                "tickerBaseVolume": 1635171.139,</t>
  </si>
  <si>
    <t xml:space="preserve">                "marketShare": 0.5591167347035761,</t>
  </si>
  <si>
    <t xml:space="preserve">                "price": 181.55643630587846,</t>
  </si>
  <si>
    <t xml:space="preserve">                "volume": 296778284.7160713</t>
  </si>
  <si>
    <t xml:space="preserve">                "id": 48676,</t>
  </si>
  <si>
    <t xml:space="preserve">                "rank": 40,</t>
  </si>
  <si>
    <t xml:space="preserve">                "sourceName": "BitMart",</t>
  </si>
  <si>
    <t xml:space="preserve">                "sourceIconUrl": "https://cdn.coinranking.com/0KoAUbthl/bitmart.svg",</t>
  </si>
  <si>
    <t xml:space="preserve">                "tickerCreatedAt": 1587601287000,</t>
  </si>
  <si>
    <t xml:space="preserve">                "tickerBaseVolume": 1664078.5152,</t>
  </si>
  <si>
    <t xml:space="preserve">                "tickerQuoteVolume": 295645277.65326,</t>
  </si>
  <si>
    <t xml:space="preserve">                "marketShare": 0.5570019472595603,</t>
  </si>
  <si>
    <t xml:space="preserve">                "price": 181.54643595135875,</t>
  </si>
  <si>
    <t xml:space="preserve">                "volume": 295655758.86195457</t>
  </si>
  <si>
    <t xml:space="preserve">                "id": 48674,</t>
  </si>
  <si>
    <t xml:space="preserve">                "rank": 41,</t>
  </si>
  <si>
    <t xml:space="preserve">                "tickerClose": 7102,</t>
  </si>
  <si>
    <t xml:space="preserve">                "tickerBaseVolume": 41555.77638,</t>
  </si>
  <si>
    <t xml:space="preserve">                "tickerQuoteVolume": 291950832.30424,</t>
  </si>
  <si>
    <t xml:space="preserve">                "marketShare": 0.5500415341936644,</t>
  </si>
  <si>
    <t xml:space="preserve">                "price": 7102.251779919301,</t>
  </si>
  <si>
    <t xml:space="preserve">                "volume": 291961182.53755414</t>
  </si>
  <si>
    <t xml:space="preserve">                "id": 27386900,</t>
  </si>
  <si>
    <t xml:space="preserve">                "rank": 42,</t>
  </si>
  <si>
    <t xml:space="preserve">                "baseSymbol": "ZEC",</t>
  </si>
  <si>
    <t xml:space="preserve">                "quoteSymbol": "ETH",</t>
  </si>
  <si>
    <t xml:space="preserve">                "tickerClose": 0.24846538,</t>
  </si>
  <si>
    <t xml:space="preserve">                "tickerBaseVolume": 6449527.6285,</t>
  </si>
  <si>
    <t xml:space="preserve">                "tickerQuoteVolume": 1597596.81,</t>
  </si>
  <si>
    <t xml:space="preserve">                "marketShare": 0.5462688831007123,</t>
  </si>
  <si>
    <t xml:space="preserve">                "price": 45.09566462432948,</t>
  </si>
  <si>
    <t xml:space="preserve">                "volume": 289958665.2621731</t>
  </si>
  <si>
    <t xml:space="preserve">                "id": 15365394,</t>
  </si>
  <si>
    <t xml:space="preserve">                "rank": 43,</t>
  </si>
  <si>
    <t xml:space="preserve">                "baseSymbol": "BCH",</t>
  </si>
  <si>
    <t xml:space="preserve">                "tickerClose": 231.786,</t>
  </si>
  <si>
    <t xml:space="preserve">                "tickerBaseVolume": 1205011.37575,</t>
  </si>
  <si>
    <t xml:space="preserve">                "marketShare": 0.5255051929703698,</t>
  </si>
  <si>
    <t xml:space="preserve">                "price": 231.794217271244,</t>
  </si>
  <si>
    <t xml:space="preserve">                "volume": 278937331.1493137</t>
  </si>
  <si>
    <t xml:space="preserve">                "id": 235084,</t>
  </si>
  <si>
    <t xml:space="preserve">                "rank": 44,</t>
  </si>
  <si>
    <t xml:space="preserve">                "tickerClose": 181.63,</t>
  </si>
  <si>
    <t xml:space="preserve">                "tickerBaseVolume": 1527078.318,</t>
  </si>
  <si>
    <t xml:space="preserve">                "marketShare": 0.5221563801076783,</t>
  </si>
  <si>
    <t xml:space="preserve">                "price": 181.6364391420364,</t>
  </si>
  <si>
    <t xml:space="preserve">                "volume": 277159786.54093856</t>
  </si>
  <si>
    <t xml:space="preserve">                "id": 27392532,</t>
  </si>
  <si>
    <t xml:space="preserve">                "rank": 45,</t>
  </si>
  <si>
    <t xml:space="preserve">                "tickerClose": 231.32,</t>
  </si>
  <si>
    <t xml:space="preserve">                "tickerBaseVolume": 1191203.1376,</t>
  </si>
  <si>
    <t xml:space="preserve">                "marketShare": 0.5194834233841032,</t>
  </si>
  <si>
    <t xml:space="preserve">                "price": 231.32820075062412,</t>
  </si>
  <si>
    <t xml:space="preserve">                "volume": 275740985.3098084</t>
  </si>
  <si>
    <t xml:space="preserve">                "id": 67665,</t>
  </si>
  <si>
    <t xml:space="preserve">                "rank": 46,</t>
  </si>
  <si>
    <t xml:space="preserve">                "tickerBaseVolume": 1504223.9892,</t>
  </si>
  <si>
    <t xml:space="preserve">                "marketShare": 0.5143417621831518,</t>
  </si>
  <si>
    <t xml:space="preserve">                "volume": 273011799.6190625</t>
  </si>
  <si>
    <t xml:space="preserve">                "id": 240157,</t>
  </si>
  <si>
    <t xml:space="preserve">                "rank": 48,</t>
  </si>
  <si>
    <t xml:space="preserve">                "sourceName": "Coinegg",</t>
  </si>
  <si>
    <t xml:space="preserve">                "sourceIconUrl": "https://cdn.coinranking.com/qRnW_QF9B/coinegg.svg",</t>
  </si>
  <si>
    <t xml:space="preserve">                "tickerCreatedAt": 1587601387000,</t>
  </si>
  <si>
    <t xml:space="preserve">                "tickerClose": 0.005908,</t>
  </si>
  <si>
    <t xml:space="preserve">                "tickerBaseVolume": 6358590.225,</t>
  </si>
  <si>
    <t xml:space="preserve">                "tickerQuoteVolume": 37521.89603386,</t>
  </si>
  <si>
    <t xml:space="preserve">                "marketShare": 0.5020450494481392,</t>
  </si>
  <si>
    <t xml:space="preserve">                "price": 41.95928017211016,</t>
  </si>
  <si>
    <t xml:space="preserve">                "volume": 266484723.81068397</t>
  </si>
  <si>
    <t xml:space="preserve">                "id": 27397947,</t>
  </si>
  <si>
    <t xml:space="preserve">                "rank": 47,</t>
  </si>
  <si>
    <t xml:space="preserve">                "tickerClose": 7104.41,</t>
  </si>
  <si>
    <t xml:space="preserve">                "tickerBaseVolume": 37521.527698,</t>
  </si>
  <si>
    <t xml:space="preserve">                "marketShare": 0.5020401210939088,</t>
  </si>
  <si>
    <t xml:space="preserve">                "price": 7104.661865358557,</t>
  </si>
  <si>
    <t xml:space="preserve">                "volume": 266482107.84799823</t>
  </si>
  <si>
    <t xml:space="preserve">                "id": 100665,</t>
  </si>
  <si>
    <t xml:space="preserve">                "rank": 49,</t>
  </si>
  <si>
    <t xml:space="preserve">                "baseSymbol": "PAX",</t>
  </si>
  <si>
    <t xml:space="preserve">                "tickerClose": 0.9991,</t>
  </si>
  <si>
    <t xml:space="preserve">                "tickerBaseVolume": 265344062.95,</t>
  </si>
  <si>
    <t xml:space="preserve">                "tickerQuoteVolume": 265252107.74,</t>
  </si>
  <si>
    <t xml:space="preserve">                "marketShare": 0.499740573225603,</t>
  </si>
  <si>
    <t xml:space="preserve">                "price": 0.9991354200672135,</t>
  </si>
  <si>
    <t xml:space="preserve">                "volume": 265261511.45082524</t>
  </si>
  <si>
    <t xml:space="preserve">                "id": 100546,</t>
  </si>
  <si>
    <t xml:space="preserve">                "rank": 50,</t>
  </si>
  <si>
    <t xml:space="preserve">                "tickerClose": 181.38,</t>
  </si>
  <si>
    <t xml:space="preserve">                "tickerBaseVolume": 1471951.01,</t>
  </si>
  <si>
    <t xml:space="preserve">                "tickerQuoteVolume": 262216158.28,</t>
  </si>
  <si>
    <t xml:space="preserve">                "marketShare": 0.49402078032234914,</t>
  </si>
  <si>
    <t xml:space="preserve">                "price": 181.3864302790429,</t>
  </si>
  <si>
    <t xml:space="preserve">                "volume": 262225454.36042395</t>
  </si>
  <si>
    <t xml:space="preserve">        ]</t>
  </si>
  <si>
    <t xml:space="preserve">    }</t>
  </si>
  <si>
    <t>}</t>
  </si>
  <si>
    <t>Share holders</t>
  </si>
  <si>
    <t>Date</t>
  </si>
  <si>
    <t>Competitor</t>
  </si>
  <si>
    <t>https://towardsdatascience.com/google-trends-api-for-python-a84bc25db88f</t>
  </si>
  <si>
    <t>holder</t>
  </si>
  <si>
    <t>%</t>
  </si>
  <si>
    <t xml:space="preserve"> </t>
  </si>
  <si>
    <t>CS Third Nominees Pty Limited, HSBC Cust Nom Au Ltd</t>
  </si>
  <si>
    <t>Jamie</t>
  </si>
  <si>
    <t>HARROGATE TRUSTEE LIMITED</t>
  </si>
  <si>
    <t>Adrian</t>
  </si>
  <si>
    <t>HSBC Custody Nominees (Australia) Limited A/C 2</t>
  </si>
  <si>
    <t>Hayden</t>
  </si>
  <si>
    <t>M &amp; M NO.2 LIMITED</t>
  </si>
  <si>
    <t>Jin</t>
  </si>
  <si>
    <t>AJ TRUSTEE SERVICES LIMITED</t>
  </si>
  <si>
    <t>Siyu</t>
  </si>
  <si>
    <t>Citicorp Nominees Pty Ltd</t>
  </si>
  <si>
    <t>G &amp; S CAPITAL LIMITED</t>
  </si>
  <si>
    <t>SEKOTS GROUP LIMITED</t>
  </si>
  <si>
    <t>FRANC HOLDINGS LIMITED</t>
  </si>
  <si>
    <t>OPTIMUM HOLDINGS LIMITED</t>
  </si>
  <si>
    <t>other</t>
  </si>
  <si>
    <t>#</t>
  </si>
  <si>
    <t>9Spokes</t>
  </si>
  <si>
    <t>netflix</t>
  </si>
  <si>
    <t>amazon</t>
  </si>
  <si>
    <t>revenue</t>
  </si>
  <si>
    <t>net income</t>
  </si>
  <si>
    <t>net profit margin</t>
  </si>
  <si>
    <t>share value</t>
  </si>
  <si>
    <t>Stock values</t>
  </si>
  <si>
    <t>3 months</t>
  </si>
  <si>
    <t>Competitor 1</t>
  </si>
  <si>
    <t>Competitor 2</t>
  </si>
  <si>
    <t>https://www.google.com/search?q=netflix&amp;tbm=fin#scso=_MJ2fXpK1KvLB3LUPwuOfqAQ1:0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</si>
</sst>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/mm/yy;@"/>
    <numFmt numFmtId="166" formatCode="dd/mm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u/>
      <sz val="11"/>
      <color theme="10"/>
      <name val="Calibri"/>
      <family val="2"/>
      <scheme val="minor"/>
    </font>
    <font>
      <b/>
      <sz val="15"/>
      <color theme="3"/>
      <name val="Calibri"/>
      <scheme val="minor"/>
    </font>
    <font>
      <b/>
      <sz val="13"/>
      <color theme="3"/>
      <name val="Calibri"/>
      <scheme val="minor"/>
    </font>
    <font>
      <b/>
      <sz val="11"/>
      <color theme="3"/>
      <name val="Calibri"/>
      <scheme val="minor"/>
    </font>
    <font>
      <b/>
      <sz val="11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70AD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/>
      <top style="thin">
        <color rgb="FF000000"/>
      </top>
      <bottom/>
      <diagonal/>
    </border>
    <border>
      <left/>
      <right style="thin">
        <color theme="0"/>
      </right>
      <top/>
      <bottom style="thin">
        <color rgb="FF000000"/>
      </bottom>
      <diagonal/>
    </border>
    <border>
      <left style="thin">
        <color theme="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medium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 style="medium">
        <color theme="4" tint="0.39997558519241921"/>
      </bottom>
      <diagonal/>
    </border>
    <border>
      <left style="thin">
        <color rgb="FF000000"/>
      </left>
      <right/>
      <top style="thin">
        <color rgb="FF000000"/>
      </top>
      <bottom style="medium">
        <color theme="4" tint="0.39997558519241921"/>
      </bottom>
      <diagonal/>
    </border>
    <border>
      <left/>
      <right style="medium">
        <color rgb="FF000000"/>
      </right>
      <top/>
      <bottom style="thick">
        <color theme="4" tint="0.499984740745262"/>
      </bottom>
      <diagonal/>
    </border>
    <border>
      <left/>
      <right style="medium">
        <color rgb="FF000000"/>
      </right>
      <top/>
      <bottom style="thick">
        <color theme="4"/>
      </bottom>
      <diagonal/>
    </border>
    <border>
      <left/>
      <right/>
      <top style="medium">
        <color rgb="FF000000"/>
      </top>
      <bottom/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/>
      <right style="medium">
        <color rgb="FF000000"/>
      </right>
      <top style="thick">
        <color theme="4"/>
      </top>
      <bottom style="thick">
        <color theme="4" tint="0.499984740745262"/>
      </bottom>
      <diagonal/>
    </border>
    <border>
      <left style="medium">
        <color rgb="FF000000"/>
      </left>
      <right/>
      <top style="thick">
        <color theme="4"/>
      </top>
      <bottom style="thick">
        <color theme="4" tint="0.499984740745262"/>
      </bottom>
      <diagonal/>
    </border>
    <border>
      <left/>
      <right/>
      <top/>
      <bottom style="thin">
        <color rgb="FFFFFFFF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theme="0"/>
      </left>
      <right style="thin">
        <color rgb="FFFFFFFF"/>
      </right>
      <top/>
      <bottom/>
      <diagonal/>
    </border>
    <border>
      <left style="thin">
        <color theme="0"/>
      </left>
      <right style="thin">
        <color rgb="FFFFFFFF"/>
      </right>
      <top style="thin">
        <color theme="0"/>
      </top>
      <bottom/>
      <diagonal/>
    </border>
    <border>
      <left style="thin">
        <color theme="0"/>
      </left>
      <right style="thin">
        <color rgb="FFFFFFFF"/>
      </right>
      <top style="thin">
        <color theme="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 style="thin">
        <color theme="0"/>
      </top>
      <bottom/>
      <diagonal/>
    </border>
    <border>
      <left style="thin">
        <color rgb="FFFFFFFF"/>
      </left>
      <right style="thin">
        <color rgb="FFFFFFFF"/>
      </right>
      <top style="thin">
        <color theme="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FFFFFF"/>
      </bottom>
      <diagonal/>
    </border>
    <border>
      <left style="thin">
        <color theme="0"/>
      </left>
      <right style="thin">
        <color rgb="FF00000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/>
      <bottom/>
      <diagonal/>
    </border>
    <border>
      <left style="thin">
        <color theme="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theme="4" tint="0.39997558519241921"/>
      </top>
      <bottom/>
      <diagonal/>
    </border>
    <border>
      <left/>
      <right style="thin">
        <color rgb="FF000000"/>
      </right>
      <top style="medium">
        <color theme="4" tint="0.39997558519241921"/>
      </top>
      <bottom/>
      <diagonal/>
    </border>
    <border>
      <left style="thin">
        <color rgb="FFFFFFFF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ck">
        <color theme="4" tint="0.499984740745262"/>
      </top>
      <bottom/>
      <diagonal/>
    </border>
    <border>
      <left/>
      <right style="medium">
        <color rgb="FF000000"/>
      </right>
      <top style="thick">
        <color theme="4" tint="0.499984740745262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 style="medium">
        <color theme="4" tint="0.39997558519241921"/>
      </top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" fillId="4" borderId="0" applyNumberFormat="0" applyBorder="0" applyAlignment="0" applyProtection="0"/>
    <xf numFmtId="0" fontId="10" fillId="9" borderId="0" applyNumberFormat="0" applyBorder="0" applyAlignment="0" applyProtection="0"/>
  </cellStyleXfs>
  <cellXfs count="166">
    <xf numFmtId="0" fontId="0" fillId="0" borderId="0" xfId="0"/>
    <xf numFmtId="0" fontId="2" fillId="0" borderId="0" xfId="1"/>
    <xf numFmtId="2" fontId="0" fillId="0" borderId="0" xfId="0" applyNumberFormat="1"/>
    <xf numFmtId="0" fontId="0" fillId="0" borderId="0" xfId="0" applyAlignment="1"/>
    <xf numFmtId="0" fontId="0" fillId="0" borderId="0" xfId="0" applyFill="1"/>
    <xf numFmtId="0" fontId="1" fillId="4" borderId="0" xfId="5"/>
    <xf numFmtId="0" fontId="1" fillId="4" borderId="5" xfId="5" applyBorder="1"/>
    <xf numFmtId="0" fontId="1" fillId="4" borderId="4" xfId="5" applyBorder="1"/>
    <xf numFmtId="10" fontId="0" fillId="0" borderId="0" xfId="0" applyNumberFormat="1"/>
    <xf numFmtId="10" fontId="0" fillId="5" borderId="0" xfId="0" applyNumberFormat="1" applyFill="1"/>
    <xf numFmtId="10" fontId="0" fillId="6" borderId="0" xfId="0" applyNumberFormat="1" applyFill="1"/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165" fontId="0" fillId="0" borderId="0" xfId="0" applyNumberFormat="1"/>
    <xf numFmtId="164" fontId="0" fillId="0" borderId="0" xfId="0" applyNumberFormat="1" applyAlignment="1"/>
    <xf numFmtId="0" fontId="1" fillId="4" borderId="0" xfId="5" applyAlignment="1"/>
    <xf numFmtId="14" fontId="0" fillId="0" borderId="0" xfId="0" applyNumberFormat="1"/>
    <xf numFmtId="0" fontId="0" fillId="0" borderId="0" xfId="0" applyAlignment="1">
      <alignment horizontal="center"/>
    </xf>
    <xf numFmtId="49" fontId="0" fillId="3" borderId="15" xfId="0" applyNumberFormat="1" applyFont="1" applyFill="1" applyBorder="1" applyAlignment="1"/>
    <xf numFmtId="49" fontId="0" fillId="2" borderId="15" xfId="0" applyNumberFormat="1" applyFont="1" applyFill="1" applyBorder="1" applyAlignment="1"/>
    <xf numFmtId="49" fontId="0" fillId="3" borderId="15" xfId="0" applyNumberFormat="1" applyFont="1" applyFill="1" applyBorder="1" applyAlignment="1"/>
    <xf numFmtId="49" fontId="0" fillId="2" borderId="15" xfId="0" applyNumberFormat="1" applyFont="1" applyFill="1" applyBorder="1" applyAlignment="1"/>
    <xf numFmtId="0" fontId="0" fillId="7" borderId="0" xfId="0" applyFill="1" applyAlignment="1"/>
    <xf numFmtId="49" fontId="0" fillId="2" borderId="17" xfId="0" applyNumberFormat="1" applyFont="1" applyFill="1" applyBorder="1" applyAlignment="1"/>
    <xf numFmtId="49" fontId="0" fillId="2" borderId="38" xfId="0" applyNumberFormat="1" applyFont="1" applyFill="1" applyBorder="1" applyAlignment="1"/>
    <xf numFmtId="49" fontId="0" fillId="3" borderId="39" xfId="0" applyNumberFormat="1" applyFont="1" applyFill="1" applyBorder="1" applyAlignment="1"/>
    <xf numFmtId="49" fontId="0" fillId="2" borderId="39" xfId="0" applyNumberFormat="1" applyFont="1" applyFill="1" applyBorder="1" applyAlignment="1"/>
    <xf numFmtId="49" fontId="6" fillId="2" borderId="8" xfId="0" applyNumberFormat="1" applyFont="1" applyFill="1" applyBorder="1" applyAlignment="1">
      <alignment horizontal="right"/>
    </xf>
    <xf numFmtId="49" fontId="6" fillId="3" borderId="10" xfId="0" applyNumberFormat="1" applyFont="1" applyFill="1" applyBorder="1" applyAlignment="1">
      <alignment horizontal="right"/>
    </xf>
    <xf numFmtId="49" fontId="6" fillId="2" borderId="10" xfId="0" applyNumberFormat="1" applyFont="1" applyFill="1" applyBorder="1" applyAlignment="1">
      <alignment horizontal="right"/>
    </xf>
    <xf numFmtId="49" fontId="6" fillId="2" borderId="11" xfId="0" applyNumberFormat="1" applyFont="1" applyFill="1" applyBorder="1" applyAlignment="1">
      <alignment horizontal="right"/>
    </xf>
    <xf numFmtId="49" fontId="6" fillId="3" borderId="11" xfId="0" applyNumberFormat="1" applyFont="1" applyFill="1" applyBorder="1" applyAlignment="1">
      <alignment horizontal="right"/>
    </xf>
    <xf numFmtId="0" fontId="0" fillId="8" borderId="0" xfId="0" applyFill="1" applyAlignment="1"/>
    <xf numFmtId="49" fontId="0" fillId="2" borderId="38" xfId="0" applyNumberFormat="1" applyFont="1" applyFill="1" applyBorder="1" applyAlignment="1">
      <alignment horizontal="left"/>
    </xf>
    <xf numFmtId="49" fontId="0" fillId="3" borderId="39" xfId="0" applyNumberFormat="1" applyFont="1" applyFill="1" applyBorder="1" applyAlignment="1">
      <alignment horizontal="left"/>
    </xf>
    <xf numFmtId="49" fontId="0" fillId="2" borderId="39" xfId="0" applyNumberFormat="1" applyFont="1" applyFill="1" applyBorder="1" applyAlignment="1">
      <alignment horizontal="left"/>
    </xf>
    <xf numFmtId="0" fontId="0" fillId="3" borderId="39" xfId="0" applyFont="1" applyFill="1" applyBorder="1" applyAlignment="1">
      <alignment horizontal="left"/>
    </xf>
    <xf numFmtId="49" fontId="0" fillId="2" borderId="40" xfId="0" applyNumberFormat="1" applyFont="1" applyFill="1" applyBorder="1" applyAlignment="1">
      <alignment horizontal="left"/>
    </xf>
    <xf numFmtId="0" fontId="0" fillId="8" borderId="0" xfId="0" applyFill="1" applyAlignment="1">
      <alignment horizontal="left"/>
    </xf>
    <xf numFmtId="0" fontId="0" fillId="3" borderId="40" xfId="0" applyFont="1" applyFill="1" applyBorder="1" applyAlignment="1">
      <alignment horizontal="left"/>
    </xf>
    <xf numFmtId="10" fontId="0" fillId="2" borderId="38" xfId="0" applyNumberFormat="1" applyFont="1" applyFill="1" applyBorder="1" applyAlignment="1">
      <alignment horizontal="left"/>
    </xf>
    <xf numFmtId="10" fontId="0" fillId="3" borderId="43" xfId="0" applyNumberFormat="1" applyFont="1" applyFill="1" applyBorder="1" applyAlignment="1">
      <alignment horizontal="left"/>
    </xf>
    <xf numFmtId="10" fontId="0" fillId="2" borderId="43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49" fontId="5" fillId="0" borderId="44" xfId="4" applyNumberFormat="1" applyFill="1" applyBorder="1" applyAlignment="1">
      <alignment horizontal="center" vertical="center"/>
    </xf>
    <xf numFmtId="49" fontId="5" fillId="0" borderId="45" xfId="4" applyNumberFormat="1" applyFill="1" applyBorder="1" applyAlignment="1">
      <alignment horizontal="center" vertical="center"/>
    </xf>
    <xf numFmtId="49" fontId="5" fillId="0" borderId="46" xfId="4" applyNumberFormat="1" applyFill="1" applyBorder="1" applyAlignment="1">
      <alignment horizontal="center" vertical="center"/>
    </xf>
    <xf numFmtId="49" fontId="0" fillId="3" borderId="19" xfId="0" applyNumberFormat="1" applyFont="1" applyFill="1" applyBorder="1" applyAlignment="1"/>
    <xf numFmtId="49" fontId="0" fillId="3" borderId="40" xfId="0" applyNumberFormat="1" applyFont="1" applyFill="1" applyBorder="1" applyAlignment="1"/>
    <xf numFmtId="166" fontId="6" fillId="2" borderId="8" xfId="0" applyNumberFormat="1" applyFont="1" applyFill="1" applyBorder="1" applyAlignment="1">
      <alignment horizontal="right"/>
    </xf>
    <xf numFmtId="166" fontId="6" fillId="3" borderId="10" xfId="0" applyNumberFormat="1" applyFont="1" applyFill="1" applyBorder="1" applyAlignment="1"/>
    <xf numFmtId="166" fontId="6" fillId="2" borderId="10" xfId="0" applyNumberFormat="1" applyFont="1" applyFill="1" applyBorder="1" applyAlignment="1"/>
    <xf numFmtId="166" fontId="6" fillId="3" borderId="11" xfId="0" applyNumberFormat="1" applyFont="1" applyFill="1" applyBorder="1" applyAlignment="1"/>
    <xf numFmtId="166" fontId="0" fillId="0" borderId="0" xfId="0" applyNumberFormat="1"/>
    <xf numFmtId="0" fontId="0" fillId="2" borderId="11" xfId="0" applyFont="1" applyFill="1" applyBorder="1" applyAlignment="1">
      <alignment horizontal="center"/>
    </xf>
    <xf numFmtId="0" fontId="0" fillId="2" borderId="13" xfId="0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0" fillId="3" borderId="7" xfId="0" applyFont="1" applyFill="1" applyBorder="1" applyAlignment="1">
      <alignment horizontal="center"/>
    </xf>
    <xf numFmtId="0" fontId="5" fillId="0" borderId="22" xfId="4" applyFill="1" applyBorder="1" applyAlignment="1">
      <alignment horizontal="center"/>
    </xf>
    <xf numFmtId="0" fontId="5" fillId="0" borderId="20" xfId="4" applyFill="1" applyBorder="1" applyAlignment="1">
      <alignment horizontal="center"/>
    </xf>
    <xf numFmtId="0" fontId="5" fillId="0" borderId="21" xfId="4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49" fontId="0" fillId="3" borderId="15" xfId="0" applyNumberFormat="1" applyFont="1" applyFill="1" applyBorder="1" applyAlignment="1"/>
    <xf numFmtId="49" fontId="0" fillId="3" borderId="7" xfId="0" applyNumberFormat="1" applyFont="1" applyFill="1" applyBorder="1" applyAlignment="1"/>
    <xf numFmtId="49" fontId="0" fillId="2" borderId="19" xfId="0" applyNumberFormat="1" applyFont="1" applyFill="1" applyBorder="1" applyAlignment="1"/>
    <xf numFmtId="49" fontId="0" fillId="2" borderId="12" xfId="0" applyNumberFormat="1" applyFont="1" applyFill="1" applyBorder="1" applyAlignment="1"/>
    <xf numFmtId="49" fontId="5" fillId="0" borderId="22" xfId="4" applyNumberFormat="1" applyFill="1" applyBorder="1" applyAlignment="1">
      <alignment horizontal="center"/>
    </xf>
    <xf numFmtId="49" fontId="5" fillId="0" borderId="20" xfId="4" applyNumberFormat="1" applyFill="1" applyBorder="1" applyAlignment="1">
      <alignment horizontal="center"/>
    </xf>
    <xf numFmtId="49" fontId="5" fillId="0" borderId="21" xfId="4" applyNumberFormat="1" applyFill="1" applyBorder="1" applyAlignment="1">
      <alignment horizontal="center"/>
    </xf>
    <xf numFmtId="49" fontId="0" fillId="2" borderId="17" xfId="0" applyNumberFormat="1" applyFont="1" applyFill="1" applyBorder="1" applyAlignment="1">
      <alignment horizontal="center"/>
    </xf>
    <xf numFmtId="49" fontId="0" fillId="2" borderId="9" xfId="0" applyNumberFormat="1" applyFont="1" applyFill="1" applyBorder="1" applyAlignment="1">
      <alignment horizontal="center"/>
    </xf>
    <xf numFmtId="49" fontId="0" fillId="3" borderId="15" xfId="0" applyNumberFormat="1" applyFont="1" applyFill="1" applyBorder="1" applyAlignment="1">
      <alignment horizontal="center"/>
    </xf>
    <xf numFmtId="49" fontId="0" fillId="3" borderId="7" xfId="0" applyNumberFormat="1" applyFont="1" applyFill="1" applyBorder="1" applyAlignment="1">
      <alignment horizontal="center"/>
    </xf>
    <xf numFmtId="49" fontId="0" fillId="2" borderId="15" xfId="0" applyNumberFormat="1" applyFont="1" applyFill="1" applyBorder="1" applyAlignment="1">
      <alignment horizontal="center"/>
    </xf>
    <xf numFmtId="49" fontId="0" fillId="2" borderId="7" xfId="0" applyNumberFormat="1" applyFont="1" applyFill="1" applyBorder="1" applyAlignment="1">
      <alignment horizontal="center"/>
    </xf>
    <xf numFmtId="49" fontId="0" fillId="2" borderId="19" xfId="0" applyNumberFormat="1" applyFont="1" applyFill="1" applyBorder="1" applyAlignment="1">
      <alignment horizontal="center"/>
    </xf>
    <xf numFmtId="49" fontId="0" fillId="2" borderId="12" xfId="0" applyNumberFormat="1" applyFont="1" applyFill="1" applyBorder="1" applyAlignment="1">
      <alignment horizontal="center"/>
    </xf>
    <xf numFmtId="0" fontId="0" fillId="0" borderId="0" xfId="0" applyFill="1" applyAlignment="1"/>
    <xf numFmtId="0" fontId="4" fillId="0" borderId="26" xfId="3" applyFill="1" applyBorder="1" applyAlignment="1">
      <alignment horizontal="center"/>
    </xf>
    <xf numFmtId="0" fontId="4" fillId="0" borderId="27" xfId="3" applyFill="1" applyBorder="1" applyAlignment="1">
      <alignment horizontal="center"/>
    </xf>
    <xf numFmtId="0" fontId="4" fillId="0" borderId="28" xfId="3" applyFill="1" applyBorder="1" applyAlignment="1">
      <alignment horizontal="center"/>
    </xf>
    <xf numFmtId="49" fontId="2" fillId="2" borderId="15" xfId="1" applyNumberFormat="1" applyFill="1" applyBorder="1" applyAlignment="1"/>
    <xf numFmtId="49" fontId="2" fillId="2" borderId="7" xfId="1" applyNumberFormat="1" applyFill="1" applyBorder="1" applyAlignment="1"/>
    <xf numFmtId="49" fontId="7" fillId="2" borderId="15" xfId="1" applyNumberFormat="1" applyFont="1" applyFill="1" applyBorder="1" applyAlignment="1"/>
    <xf numFmtId="49" fontId="7" fillId="2" borderId="7" xfId="1" applyNumberFormat="1" applyFont="1" applyFill="1" applyBorder="1" applyAlignment="1"/>
    <xf numFmtId="49" fontId="0" fillId="2" borderId="15" xfId="0" applyNumberFormat="1" applyFont="1" applyFill="1" applyBorder="1" applyAlignment="1"/>
    <xf numFmtId="49" fontId="0" fillId="2" borderId="7" xfId="0" applyNumberFormat="1" applyFont="1" applyFill="1" applyBorder="1" applyAlignment="1"/>
    <xf numFmtId="0" fontId="3" fillId="0" borderId="1" xfId="2" applyFill="1" applyBorder="1" applyAlignment="1">
      <alignment horizontal="center"/>
    </xf>
    <xf numFmtId="0" fontId="3" fillId="0" borderId="24" xfId="2" applyFill="1" applyBorder="1" applyAlignment="1">
      <alignment horizontal="center"/>
    </xf>
    <xf numFmtId="0" fontId="4" fillId="0" borderId="2" xfId="3" applyFill="1" applyBorder="1" applyAlignment="1">
      <alignment horizontal="center"/>
    </xf>
    <xf numFmtId="0" fontId="4" fillId="0" borderId="23" xfId="3" applyFill="1" applyBorder="1" applyAlignment="1">
      <alignment horizontal="center"/>
    </xf>
    <xf numFmtId="0" fontId="8" fillId="8" borderId="13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2" borderId="41" xfId="0" applyFont="1" applyFill="1" applyBorder="1" applyAlignment="1">
      <alignment horizontal="center"/>
    </xf>
    <xf numFmtId="0" fontId="0" fillId="2" borderId="42" xfId="0" applyFont="1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4" borderId="4" xfId="5" applyBorder="1" applyAlignment="1"/>
    <xf numFmtId="0" fontId="1" fillId="4" borderId="22" xfId="5" applyBorder="1" applyAlignment="1">
      <alignment horizontal="center"/>
    </xf>
    <xf numFmtId="0" fontId="1" fillId="4" borderId="20" xfId="5" applyBorder="1" applyAlignment="1">
      <alignment horizontal="center"/>
    </xf>
    <xf numFmtId="0" fontId="1" fillId="4" borderId="21" xfId="5" applyBorder="1" applyAlignment="1">
      <alignment horizontal="center"/>
    </xf>
    <xf numFmtId="0" fontId="1" fillId="4" borderId="30" xfId="5" applyBorder="1" applyAlignment="1"/>
    <xf numFmtId="0" fontId="1" fillId="4" borderId="29" xfId="5" applyBorder="1" applyAlignment="1"/>
    <xf numFmtId="0" fontId="1" fillId="4" borderId="31" xfId="5" applyBorder="1" applyAlignment="1">
      <alignment horizontal="right"/>
    </xf>
    <xf numFmtId="10" fontId="1" fillId="4" borderId="29" xfId="5" applyNumberFormat="1" applyBorder="1"/>
    <xf numFmtId="0" fontId="1" fillId="4" borderId="34" xfId="5" applyBorder="1" applyAlignment="1">
      <alignment horizontal="right"/>
    </xf>
    <xf numFmtId="10" fontId="1" fillId="4" borderId="37" xfId="5" applyNumberFormat="1" applyBorder="1"/>
    <xf numFmtId="0" fontId="1" fillId="4" borderId="32" xfId="5" applyBorder="1" applyAlignment="1">
      <alignment horizontal="right"/>
    </xf>
    <xf numFmtId="0" fontId="1" fillId="4" borderId="35" xfId="5" applyBorder="1" applyAlignment="1">
      <alignment horizontal="right"/>
    </xf>
    <xf numFmtId="10" fontId="1" fillId="4" borderId="32" xfId="5" applyNumberFormat="1" applyBorder="1" applyAlignment="1">
      <alignment horizontal="right"/>
    </xf>
    <xf numFmtId="10" fontId="1" fillId="4" borderId="35" xfId="5" applyNumberFormat="1" applyBorder="1" applyAlignment="1">
      <alignment horizontal="right"/>
    </xf>
    <xf numFmtId="0" fontId="1" fillId="4" borderId="11" xfId="5" applyBorder="1" applyAlignment="1"/>
    <xf numFmtId="0" fontId="1" fillId="4" borderId="13" xfId="5" applyBorder="1" applyAlignment="1"/>
    <xf numFmtId="0" fontId="1" fillId="4" borderId="33" xfId="5" applyBorder="1" applyAlignment="1">
      <alignment horizontal="right"/>
    </xf>
    <xf numFmtId="10" fontId="1" fillId="4" borderId="13" xfId="5" applyNumberFormat="1" applyBorder="1"/>
    <xf numFmtId="0" fontId="1" fillId="4" borderId="36" xfId="5" applyBorder="1" applyAlignment="1">
      <alignment horizontal="right"/>
    </xf>
    <xf numFmtId="10" fontId="1" fillId="4" borderId="12" xfId="5" applyNumberFormat="1" applyBorder="1"/>
    <xf numFmtId="49" fontId="1" fillId="4" borderId="0" xfId="5" applyNumberFormat="1" applyAlignment="1"/>
    <xf numFmtId="0" fontId="1" fillId="4" borderId="6" xfId="5" applyBorder="1"/>
    <xf numFmtId="0" fontId="1" fillId="4" borderId="5" xfId="5" applyBorder="1" applyAlignment="1"/>
    <xf numFmtId="0" fontId="1" fillId="4" borderId="25" xfId="5" applyBorder="1"/>
    <xf numFmtId="0" fontId="1" fillId="4" borderId="25" xfId="5" applyBorder="1" applyAlignment="1"/>
    <xf numFmtId="0" fontId="1" fillId="4" borderId="0" xfId="5" applyAlignment="1"/>
    <xf numFmtId="49" fontId="6" fillId="2" borderId="8" xfId="0" applyNumberFormat="1" applyFont="1" applyFill="1" applyBorder="1" applyAlignment="1">
      <alignment horizontal="right"/>
    </xf>
    <xf numFmtId="49" fontId="6" fillId="2" borderId="16" xfId="0" applyNumberFormat="1" applyFont="1" applyFill="1" applyBorder="1" applyAlignment="1">
      <alignment horizontal="right"/>
    </xf>
    <xf numFmtId="49" fontId="6" fillId="3" borderId="10" xfId="0" applyNumberFormat="1" applyFont="1" applyFill="1" applyBorder="1" applyAlignment="1">
      <alignment horizontal="right"/>
    </xf>
    <xf numFmtId="49" fontId="6" fillId="3" borderId="14" xfId="0" applyNumberFormat="1" applyFont="1" applyFill="1" applyBorder="1" applyAlignment="1">
      <alignment horizontal="right"/>
    </xf>
    <xf numFmtId="49" fontId="6" fillId="2" borderId="10" xfId="0" applyNumberFormat="1" applyFont="1" applyFill="1" applyBorder="1" applyAlignment="1">
      <alignment horizontal="right"/>
    </xf>
    <xf numFmtId="49" fontId="6" fillId="2" borderId="14" xfId="0" applyNumberFormat="1" applyFont="1" applyFill="1" applyBorder="1" applyAlignment="1">
      <alignment horizontal="right"/>
    </xf>
    <xf numFmtId="49" fontId="6" fillId="2" borderId="11" xfId="0" applyNumberFormat="1" applyFont="1" applyFill="1" applyBorder="1" applyAlignment="1">
      <alignment horizontal="right"/>
    </xf>
    <xf numFmtId="49" fontId="6" fillId="2" borderId="18" xfId="0" applyNumberFormat="1" applyFont="1" applyFill="1" applyBorder="1" applyAlignment="1">
      <alignment horizontal="right"/>
    </xf>
    <xf numFmtId="0" fontId="6" fillId="3" borderId="10" xfId="0" applyFont="1" applyFill="1" applyBorder="1" applyAlignment="1">
      <alignment horizontal="right"/>
    </xf>
    <xf numFmtId="0" fontId="6" fillId="3" borderId="14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14" xfId="0" applyFont="1" applyFill="1" applyBorder="1" applyAlignment="1">
      <alignment horizontal="right"/>
    </xf>
    <xf numFmtId="0" fontId="6" fillId="2" borderId="11" xfId="0" applyFont="1" applyFill="1" applyBorder="1" applyAlignment="1">
      <alignment horizontal="right"/>
    </xf>
    <xf numFmtId="0" fontId="6" fillId="2" borderId="18" xfId="0" applyFont="1" applyFill="1" applyBorder="1" applyAlignment="1">
      <alignment horizontal="right"/>
    </xf>
    <xf numFmtId="0" fontId="4" fillId="0" borderId="0" xfId="3" applyFill="1" applyBorder="1" applyAlignment="1">
      <alignment horizontal="center"/>
    </xf>
    <xf numFmtId="0" fontId="4" fillId="0" borderId="4" xfId="3" applyFill="1" applyBorder="1" applyAlignment="1">
      <alignment horizontal="center"/>
    </xf>
    <xf numFmtId="0" fontId="11" fillId="0" borderId="47" xfId="3" applyFont="1" applyFill="1" applyBorder="1" applyAlignment="1">
      <alignment horizontal="center"/>
    </xf>
    <xf numFmtId="0" fontId="11" fillId="0" borderId="48" xfId="3" applyFont="1" applyFill="1" applyBorder="1" applyAlignment="1">
      <alignment horizontal="center"/>
    </xf>
    <xf numFmtId="0" fontId="11" fillId="0" borderId="0" xfId="3" applyFont="1" applyFill="1" applyBorder="1" applyAlignment="1">
      <alignment horizontal="center"/>
    </xf>
    <xf numFmtId="0" fontId="11" fillId="0" borderId="4" xfId="3" applyFont="1" applyFill="1" applyBorder="1" applyAlignment="1">
      <alignment horizontal="center"/>
    </xf>
    <xf numFmtId="0" fontId="1" fillId="4" borderId="50" xfId="5" applyBorder="1"/>
    <xf numFmtId="0" fontId="1" fillId="4" borderId="49" xfId="5" applyBorder="1"/>
    <xf numFmtId="0" fontId="11" fillId="0" borderId="52" xfId="3" applyFont="1" applyFill="1" applyBorder="1" applyAlignment="1">
      <alignment horizontal="center"/>
    </xf>
    <xf numFmtId="0" fontId="11" fillId="0" borderId="51" xfId="3" applyFont="1" applyFill="1" applyBorder="1" applyAlignment="1">
      <alignment horizontal="center"/>
    </xf>
    <xf numFmtId="0" fontId="10" fillId="9" borderId="53" xfId="6" applyBorder="1"/>
    <xf numFmtId="49" fontId="0" fillId="2" borderId="54" xfId="0" applyNumberFormat="1" applyFont="1" applyFill="1" applyBorder="1" applyAlignment="1">
      <alignment horizontal="center"/>
    </xf>
    <xf numFmtId="49" fontId="1" fillId="4" borderId="0" xfId="5" applyNumberFormat="1"/>
    <xf numFmtId="49" fontId="0" fillId="2" borderId="42" xfId="0" applyNumberFormat="1" applyFont="1" applyFill="1" applyBorder="1" applyAlignment="1">
      <alignment horizontal="center"/>
    </xf>
    <xf numFmtId="49" fontId="0" fillId="3" borderId="54" xfId="0" applyNumberFormat="1" applyFont="1" applyFill="1" applyBorder="1" applyAlignment="1"/>
    <xf numFmtId="49" fontId="0" fillId="3" borderId="42" xfId="0" applyNumberFormat="1" applyFont="1" applyFill="1" applyBorder="1" applyAlignment="1"/>
    <xf numFmtId="49" fontId="1" fillId="4" borderId="50" xfId="5" applyNumberFormat="1" applyBorder="1"/>
    <xf numFmtId="49" fontId="1" fillId="4" borderId="5" xfId="5" applyNumberFormat="1" applyBorder="1"/>
    <xf numFmtId="49" fontId="0" fillId="2" borderId="10" xfId="0" applyNumberFormat="1" applyFont="1" applyFill="1" applyBorder="1" applyAlignment="1">
      <alignment horizontal="center"/>
    </xf>
    <xf numFmtId="49" fontId="0" fillId="2" borderId="0" xfId="0" applyNumberFormat="1" applyFont="1" applyFill="1" applyBorder="1" applyAlignment="1">
      <alignment horizontal="center"/>
    </xf>
    <xf numFmtId="49" fontId="0" fillId="3" borderId="10" xfId="0" applyNumberFormat="1" applyFont="1" applyFill="1" applyBorder="1" applyAlignment="1">
      <alignment horizontal="center"/>
    </xf>
    <xf numFmtId="49" fontId="0" fillId="3" borderId="0" xfId="0" applyNumberFormat="1" applyFont="1" applyFill="1" applyBorder="1" applyAlignment="1">
      <alignment horizontal="center"/>
    </xf>
    <xf numFmtId="49" fontId="0" fillId="2" borderId="11" xfId="0" applyNumberFormat="1" applyFont="1" applyFill="1" applyBorder="1" applyAlignment="1">
      <alignment horizontal="center"/>
    </xf>
    <xf numFmtId="49" fontId="0" fillId="2" borderId="13" xfId="0" applyNumberFormat="1" applyFont="1" applyFill="1" applyBorder="1" applyAlignment="1">
      <alignment horizontal="center"/>
    </xf>
  </cellXfs>
  <cellStyles count="7">
    <cellStyle name="20% - Accent3" xfId="5" builtinId="38"/>
    <cellStyle name="Accent3" xfId="6" builtinId="37"/>
    <cellStyle name="Heading 1" xfId="2" builtinId="16"/>
    <cellStyle name="Heading 2" xfId="3" builtinId="17"/>
    <cellStyle name="Heading 3" xfId="4" builtinId="18"/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'google finance '!$B$8</c:f>
              <c:strCache>
                <c:ptCount val="1"/>
                <c:pt idx="0">
                  <c:v>Competitor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'google finance '!$A$9:$A$51</c:f>
              <c:numCache>
                <c:formatCode>d/mm/yy;@</c:formatCode>
                <c:ptCount val="43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  <c:pt idx="29">
                  <c:v>43891</c:v>
                </c:pt>
                <c:pt idx="30">
                  <c:v>43892</c:v>
                </c:pt>
                <c:pt idx="31">
                  <c:v>43893</c:v>
                </c:pt>
                <c:pt idx="32">
                  <c:v>43894</c:v>
                </c:pt>
                <c:pt idx="33">
                  <c:v>43895</c:v>
                </c:pt>
                <c:pt idx="34">
                  <c:v>43896</c:v>
                </c:pt>
                <c:pt idx="35">
                  <c:v>43897</c:v>
                </c:pt>
                <c:pt idx="36">
                  <c:v>43898</c:v>
                </c:pt>
                <c:pt idx="37">
                  <c:v>43899</c:v>
                </c:pt>
                <c:pt idx="38">
                  <c:v>43900</c:v>
                </c:pt>
                <c:pt idx="39">
                  <c:v>43901</c:v>
                </c:pt>
                <c:pt idx="40">
                  <c:v>43902</c:v>
                </c:pt>
                <c:pt idx="41">
                  <c:v>43903</c:v>
                </c:pt>
                <c:pt idx="42">
                  <c:v>43904</c:v>
                </c:pt>
              </c:numCache>
            </c:numRef>
          </c:cat>
          <c:val>
            <c:numRef>
              <c:f>'google finance '!$B$9:$B$51</c:f>
              <c:numCache>
                <c:formatCode>0.0%</c:formatCode>
                <c:ptCount val="43"/>
                <c:pt idx="0">
                  <c:v>0</c:v>
                </c:pt>
                <c:pt idx="1">
                  <c:v>-0.01</c:v>
                </c:pt>
                <c:pt idx="2">
                  <c:v>-1.4999999999999999E-2</c:v>
                </c:pt>
                <c:pt idx="3">
                  <c:v>-0.01</c:v>
                </c:pt>
                <c:pt idx="4">
                  <c:v>-0.01</c:v>
                </c:pt>
                <c:pt idx="5">
                  <c:v>-5.0000000000000001E-3</c:v>
                </c:pt>
                <c:pt idx="6">
                  <c:v>0.01</c:v>
                </c:pt>
                <c:pt idx="7">
                  <c:v>0.04</c:v>
                </c:pt>
                <c:pt idx="8">
                  <c:v>0.05</c:v>
                </c:pt>
                <c:pt idx="9">
                  <c:v>5.5E-2</c:v>
                </c:pt>
                <c:pt idx="10">
                  <c:v>0.05</c:v>
                </c:pt>
                <c:pt idx="11">
                  <c:v>4.4999999999999998E-2</c:v>
                </c:pt>
                <c:pt idx="12">
                  <c:v>4.4999999999999998E-2</c:v>
                </c:pt>
                <c:pt idx="13">
                  <c:v>0.05</c:v>
                </c:pt>
                <c:pt idx="14">
                  <c:v>0.06</c:v>
                </c:pt>
                <c:pt idx="15">
                  <c:v>0.08</c:v>
                </c:pt>
                <c:pt idx="16">
                  <c:v>0.1</c:v>
                </c:pt>
                <c:pt idx="17">
                  <c:v>0.11</c:v>
                </c:pt>
                <c:pt idx="18">
                  <c:v>0.1</c:v>
                </c:pt>
                <c:pt idx="19">
                  <c:v>0.12</c:v>
                </c:pt>
                <c:pt idx="20">
                  <c:v>0.12</c:v>
                </c:pt>
                <c:pt idx="21">
                  <c:v>0.115</c:v>
                </c:pt>
                <c:pt idx="22">
                  <c:v>0.1</c:v>
                </c:pt>
                <c:pt idx="23">
                  <c:v>0.09</c:v>
                </c:pt>
                <c:pt idx="24">
                  <c:v>7.0000000000000007E-2</c:v>
                </c:pt>
                <c:pt idx="25">
                  <c:v>0.05</c:v>
                </c:pt>
                <c:pt idx="26">
                  <c:v>0.04</c:v>
                </c:pt>
                <c:pt idx="27">
                  <c:v>3.5000000000000003E-2</c:v>
                </c:pt>
                <c:pt idx="28">
                  <c:v>0.04</c:v>
                </c:pt>
                <c:pt idx="29">
                  <c:v>7.0000000000000007E-2</c:v>
                </c:pt>
                <c:pt idx="30">
                  <c:v>0.06</c:v>
                </c:pt>
                <c:pt idx="31">
                  <c:v>7.0000000000000007E-2</c:v>
                </c:pt>
                <c:pt idx="32">
                  <c:v>0.06</c:v>
                </c:pt>
                <c:pt idx="33">
                  <c:v>0.06</c:v>
                </c:pt>
                <c:pt idx="34">
                  <c:v>0.04</c:v>
                </c:pt>
                <c:pt idx="35">
                  <c:v>0.02</c:v>
                </c:pt>
                <c:pt idx="36">
                  <c:v>-0.01</c:v>
                </c:pt>
                <c:pt idx="37">
                  <c:v>0.01</c:v>
                </c:pt>
                <c:pt idx="38">
                  <c:v>0.03</c:v>
                </c:pt>
                <c:pt idx="39">
                  <c:v>0</c:v>
                </c:pt>
                <c:pt idx="40">
                  <c:v>-0.05</c:v>
                </c:pt>
                <c:pt idx="41">
                  <c:v>-0.02</c:v>
                </c:pt>
                <c:pt idx="42">
                  <c:v>-0.1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E4-4A00-B077-0D56A555D505}"/>
            </c:ext>
          </c:extLst>
        </c:ser>
        <c:ser>
          <c:idx val="1"/>
          <c:order val="1"/>
          <c:tx>
            <c:strRef>
              <c:f>'google finance '!$C$8</c:f>
              <c:strCache>
                <c:ptCount val="1"/>
                <c:pt idx="0">
                  <c:v>Competitor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'google finance '!$A$9:$A$51</c:f>
              <c:numCache>
                <c:formatCode>d/mm/yy;@</c:formatCode>
                <c:ptCount val="43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  <c:pt idx="29">
                  <c:v>43891</c:v>
                </c:pt>
                <c:pt idx="30">
                  <c:v>43892</c:v>
                </c:pt>
                <c:pt idx="31">
                  <c:v>43893</c:v>
                </c:pt>
                <c:pt idx="32">
                  <c:v>43894</c:v>
                </c:pt>
                <c:pt idx="33">
                  <c:v>43895</c:v>
                </c:pt>
                <c:pt idx="34">
                  <c:v>43896</c:v>
                </c:pt>
                <c:pt idx="35">
                  <c:v>43897</c:v>
                </c:pt>
                <c:pt idx="36">
                  <c:v>43898</c:v>
                </c:pt>
                <c:pt idx="37">
                  <c:v>43899</c:v>
                </c:pt>
                <c:pt idx="38">
                  <c:v>43900</c:v>
                </c:pt>
                <c:pt idx="39">
                  <c:v>43901</c:v>
                </c:pt>
                <c:pt idx="40">
                  <c:v>43902</c:v>
                </c:pt>
                <c:pt idx="41">
                  <c:v>43903</c:v>
                </c:pt>
                <c:pt idx="42">
                  <c:v>43904</c:v>
                </c:pt>
              </c:numCache>
            </c:numRef>
          </c:cat>
          <c:val>
            <c:numRef>
              <c:f>'google finance '!$C$9:$C$51</c:f>
              <c:numCache>
                <c:formatCode>0.0%</c:formatCode>
                <c:ptCount val="43"/>
                <c:pt idx="0">
                  <c:v>0</c:v>
                </c:pt>
                <c:pt idx="1">
                  <c:v>-1.4999999999999999E-2</c:v>
                </c:pt>
                <c:pt idx="2">
                  <c:v>-0.02</c:v>
                </c:pt>
                <c:pt idx="3">
                  <c:v>-0.01</c:v>
                </c:pt>
                <c:pt idx="4">
                  <c:v>-5.0000000000000001E-3</c:v>
                </c:pt>
                <c:pt idx="5">
                  <c:v>0.03</c:v>
                </c:pt>
                <c:pt idx="6">
                  <c:v>0.05</c:v>
                </c:pt>
                <c:pt idx="7">
                  <c:v>0.08</c:v>
                </c:pt>
                <c:pt idx="8">
                  <c:v>0.08</c:v>
                </c:pt>
                <c:pt idx="9">
                  <c:v>0.1</c:v>
                </c:pt>
                <c:pt idx="10">
                  <c:v>9.5000000000000001E-2</c:v>
                </c:pt>
                <c:pt idx="11">
                  <c:v>0.1</c:v>
                </c:pt>
                <c:pt idx="12">
                  <c:v>0.12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0.155</c:v>
                </c:pt>
                <c:pt idx="16">
                  <c:v>0.155</c:v>
                </c:pt>
                <c:pt idx="17">
                  <c:v>0.16</c:v>
                </c:pt>
                <c:pt idx="18">
                  <c:v>0.15</c:v>
                </c:pt>
                <c:pt idx="19">
                  <c:v>0.14499999999999999</c:v>
                </c:pt>
                <c:pt idx="20">
                  <c:v>0.15</c:v>
                </c:pt>
                <c:pt idx="21">
                  <c:v>0.16500000000000001</c:v>
                </c:pt>
                <c:pt idx="22">
                  <c:v>0.16</c:v>
                </c:pt>
                <c:pt idx="23">
                  <c:v>0.15</c:v>
                </c:pt>
                <c:pt idx="24">
                  <c:v>0.14000000000000001</c:v>
                </c:pt>
                <c:pt idx="25">
                  <c:v>0.125</c:v>
                </c:pt>
                <c:pt idx="26">
                  <c:v>0.1</c:v>
                </c:pt>
                <c:pt idx="27">
                  <c:v>0.08</c:v>
                </c:pt>
                <c:pt idx="28">
                  <c:v>0.06</c:v>
                </c:pt>
                <c:pt idx="29">
                  <c:v>0.03</c:v>
                </c:pt>
                <c:pt idx="30">
                  <c:v>0.03</c:v>
                </c:pt>
                <c:pt idx="31">
                  <c:v>0</c:v>
                </c:pt>
                <c:pt idx="32">
                  <c:v>0</c:v>
                </c:pt>
                <c:pt idx="33">
                  <c:v>0.02</c:v>
                </c:pt>
                <c:pt idx="34">
                  <c:v>5.0000000000000001E-3</c:v>
                </c:pt>
                <c:pt idx="35">
                  <c:v>0.03</c:v>
                </c:pt>
                <c:pt idx="36">
                  <c:v>0.01</c:v>
                </c:pt>
                <c:pt idx="37">
                  <c:v>5.0000000000000001E-3</c:v>
                </c:pt>
                <c:pt idx="38">
                  <c:v>-0.01</c:v>
                </c:pt>
                <c:pt idx="39">
                  <c:v>-8.0000000000000002E-3</c:v>
                </c:pt>
                <c:pt idx="40">
                  <c:v>-0.05</c:v>
                </c:pt>
                <c:pt idx="41">
                  <c:v>-0.02</c:v>
                </c:pt>
                <c:pt idx="42">
                  <c:v>-0.08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E4-4A00-B077-0D56A555D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3841479"/>
        <c:axId val="803846471"/>
      </c:lineChart>
      <c:dateAx>
        <c:axId val="803841479"/>
        <c:scaling>
          <c:orientation val="minMax"/>
        </c:scaling>
        <c:delete val="0"/>
        <c:axPos val="b"/>
        <c:numFmt formatCode="d/m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846471"/>
        <c:crossesAt val="-15"/>
        <c:auto val="1"/>
        <c:lblOffset val="100"/>
        <c:baseTimeUnit val="days"/>
        <c:majorUnit val="3"/>
      </c:dateAx>
      <c:valAx>
        <c:axId val="803846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841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Twitter Hashtag Trends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Twitter!$B$1</c:f>
              <c:strCache>
                <c:ptCount val="1"/>
                <c:pt idx="0">
                  <c:v>#</c:v>
                </c:pt>
              </c:strCache>
            </c:strRef>
          </c:tx>
          <c:spPr>
            <a:ln w="28575" cap="rnd">
              <a:solidFill>
                <a:srgbClr val="8EA9DB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Twitter!$A$3:$A$27</c:f>
              <c:numCache>
                <c:formatCode>m/d/yyyy</c:formatCode>
                <c:ptCount val="25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</c:numCache>
            </c:numRef>
          </c:cat>
          <c:val>
            <c:numRef>
              <c:f>Twitter!$B$3:$B$27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9</c:v>
                </c:pt>
                <c:pt idx="6">
                  <c:v>12</c:v>
                </c:pt>
                <c:pt idx="7">
                  <c:v>21</c:v>
                </c:pt>
                <c:pt idx="8">
                  <c:v>21</c:v>
                </c:pt>
                <c:pt idx="9">
                  <c:v>26</c:v>
                </c:pt>
                <c:pt idx="10">
                  <c:v>30</c:v>
                </c:pt>
                <c:pt idx="11">
                  <c:v>37</c:v>
                </c:pt>
                <c:pt idx="12">
                  <c:v>45</c:v>
                </c:pt>
                <c:pt idx="13">
                  <c:v>60</c:v>
                </c:pt>
                <c:pt idx="14">
                  <c:v>80</c:v>
                </c:pt>
                <c:pt idx="15">
                  <c:v>100</c:v>
                </c:pt>
                <c:pt idx="16">
                  <c:v>110</c:v>
                </c:pt>
                <c:pt idx="17">
                  <c:v>115</c:v>
                </c:pt>
                <c:pt idx="18">
                  <c:v>120</c:v>
                </c:pt>
                <c:pt idx="19">
                  <c:v>127</c:v>
                </c:pt>
                <c:pt idx="20">
                  <c:v>135</c:v>
                </c:pt>
                <c:pt idx="21">
                  <c:v>145</c:v>
                </c:pt>
                <c:pt idx="22">
                  <c:v>155</c:v>
                </c:pt>
                <c:pt idx="23">
                  <c:v>170</c:v>
                </c:pt>
                <c:pt idx="2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F-4B9C-B291-EDAFFA4F21EE}"/>
            </c:ext>
          </c:extLst>
        </c:ser>
        <c:ser>
          <c:idx val="1"/>
          <c:order val="1"/>
          <c:tx>
            <c:strRef>
              <c:f>Twitter!$C$1</c:f>
              <c:strCache>
                <c:ptCount val="1"/>
              </c:strCache>
            </c:strRef>
          </c:tx>
          <c:spPr>
            <a:ln w="28575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Twitter!$A$3:$A$27</c:f>
              <c:numCache>
                <c:formatCode>m/d/yyyy</c:formatCode>
                <c:ptCount val="25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</c:numCache>
            </c:numRef>
          </c:cat>
          <c:val>
            <c:numRef>
              <c:f>Twitter!$C$3:$C$27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7</c:v>
                </c:pt>
                <c:pt idx="9">
                  <c:v>8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30</c:v>
                </c:pt>
                <c:pt idx="14">
                  <c:v>45</c:v>
                </c:pt>
                <c:pt idx="15">
                  <c:v>55</c:v>
                </c:pt>
                <c:pt idx="16">
                  <c:v>60</c:v>
                </c:pt>
                <c:pt idx="17">
                  <c:v>65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70</c:v>
                </c:pt>
                <c:pt idx="22">
                  <c:v>71</c:v>
                </c:pt>
                <c:pt idx="23">
                  <c:v>73</c:v>
                </c:pt>
                <c:pt idx="24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CF-4B9C-B291-EDAFFA4F2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06311"/>
        <c:axId val="43599655"/>
      </c:lineChart>
      <c:dateAx>
        <c:axId val="436063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9655"/>
        <c:crosses val="autoZero"/>
        <c:auto val="1"/>
        <c:lblOffset val="100"/>
        <c:baseTimeUnit val="days"/>
        <c:majorUnit val="2"/>
      </c:dateAx>
      <c:valAx>
        <c:axId val="43599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Usage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06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Google Trends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'Google trends'!$B$1</c:f>
              <c:strCache>
                <c:ptCount val="1"/>
                <c:pt idx="0">
                  <c:v>9 Spokes</c:v>
                </c:pt>
              </c:strCache>
            </c:strRef>
          </c:tx>
          <c:spPr>
            <a:ln w="28575" cap="rnd">
              <a:solidFill>
                <a:srgbClr val="8EA9DB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'Google trends'!$A$2:$A$37</c:f>
              <c:numCache>
                <c:formatCode>m/d/yyyy</c:formatCode>
                <c:ptCount val="36"/>
                <c:pt idx="0">
                  <c:v>43576</c:v>
                </c:pt>
                <c:pt idx="1">
                  <c:v>43583</c:v>
                </c:pt>
                <c:pt idx="2">
                  <c:v>43590</c:v>
                </c:pt>
                <c:pt idx="3">
                  <c:v>43597</c:v>
                </c:pt>
                <c:pt idx="4">
                  <c:v>43604</c:v>
                </c:pt>
                <c:pt idx="5">
                  <c:v>43611</c:v>
                </c:pt>
                <c:pt idx="6">
                  <c:v>43618</c:v>
                </c:pt>
                <c:pt idx="7">
                  <c:v>43625</c:v>
                </c:pt>
                <c:pt idx="8">
                  <c:v>43632</c:v>
                </c:pt>
                <c:pt idx="9">
                  <c:v>43639</c:v>
                </c:pt>
                <c:pt idx="10">
                  <c:v>43646</c:v>
                </c:pt>
                <c:pt idx="11">
                  <c:v>43653</c:v>
                </c:pt>
                <c:pt idx="12">
                  <c:v>43660</c:v>
                </c:pt>
                <c:pt idx="13">
                  <c:v>43667</c:v>
                </c:pt>
                <c:pt idx="14">
                  <c:v>43674</c:v>
                </c:pt>
                <c:pt idx="15">
                  <c:v>43681</c:v>
                </c:pt>
                <c:pt idx="16">
                  <c:v>43688</c:v>
                </c:pt>
                <c:pt idx="17">
                  <c:v>43695</c:v>
                </c:pt>
                <c:pt idx="18">
                  <c:v>43702</c:v>
                </c:pt>
                <c:pt idx="19">
                  <c:v>43709</c:v>
                </c:pt>
                <c:pt idx="20">
                  <c:v>43716</c:v>
                </c:pt>
                <c:pt idx="21">
                  <c:v>43723</c:v>
                </c:pt>
                <c:pt idx="22">
                  <c:v>43730</c:v>
                </c:pt>
                <c:pt idx="23">
                  <c:v>43737</c:v>
                </c:pt>
                <c:pt idx="24">
                  <c:v>43744</c:v>
                </c:pt>
                <c:pt idx="25">
                  <c:v>43751</c:v>
                </c:pt>
                <c:pt idx="26">
                  <c:v>43758</c:v>
                </c:pt>
                <c:pt idx="27">
                  <c:v>43765</c:v>
                </c:pt>
                <c:pt idx="28">
                  <c:v>43772</c:v>
                </c:pt>
                <c:pt idx="29">
                  <c:v>43779</c:v>
                </c:pt>
                <c:pt idx="30">
                  <c:v>43786</c:v>
                </c:pt>
                <c:pt idx="31">
                  <c:v>43793</c:v>
                </c:pt>
                <c:pt idx="32">
                  <c:v>43800</c:v>
                </c:pt>
                <c:pt idx="33">
                  <c:v>43807</c:v>
                </c:pt>
                <c:pt idx="34">
                  <c:v>43814</c:v>
                </c:pt>
                <c:pt idx="35">
                  <c:v>43821</c:v>
                </c:pt>
              </c:numCache>
            </c:numRef>
          </c:cat>
          <c:val>
            <c:numRef>
              <c:f>'Google trends'!$B$2:$B$37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49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49</c:v>
                </c:pt>
                <c:pt idx="7">
                  <c:v>0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48</c:v>
                </c:pt>
                <c:pt idx="12">
                  <c:v>0</c:v>
                </c:pt>
                <c:pt idx="13">
                  <c:v>45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80</c:v>
                </c:pt>
                <c:pt idx="19">
                  <c:v>40</c:v>
                </c:pt>
                <c:pt idx="20">
                  <c:v>41</c:v>
                </c:pt>
                <c:pt idx="21">
                  <c:v>39</c:v>
                </c:pt>
                <c:pt idx="22">
                  <c:v>76</c:v>
                </c:pt>
                <c:pt idx="23">
                  <c:v>73</c:v>
                </c:pt>
                <c:pt idx="24">
                  <c:v>0</c:v>
                </c:pt>
                <c:pt idx="25">
                  <c:v>0</c:v>
                </c:pt>
                <c:pt idx="26">
                  <c:v>40</c:v>
                </c:pt>
                <c:pt idx="27">
                  <c:v>0</c:v>
                </c:pt>
                <c:pt idx="28">
                  <c:v>40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5E-4370-8863-70239D7F738C}"/>
            </c:ext>
          </c:extLst>
        </c:ser>
        <c:ser>
          <c:idx val="1"/>
          <c:order val="1"/>
          <c:tx>
            <c:strRef>
              <c:f>'Google trends'!$C$1</c:f>
              <c:strCache>
                <c:ptCount val="1"/>
                <c:pt idx="0">
                  <c:v>Competitor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'Google trends'!$A$2:$A$37</c:f>
              <c:numCache>
                <c:formatCode>m/d/yyyy</c:formatCode>
                <c:ptCount val="36"/>
                <c:pt idx="0">
                  <c:v>43576</c:v>
                </c:pt>
                <c:pt idx="1">
                  <c:v>43583</c:v>
                </c:pt>
                <c:pt idx="2">
                  <c:v>43590</c:v>
                </c:pt>
                <c:pt idx="3">
                  <c:v>43597</c:v>
                </c:pt>
                <c:pt idx="4">
                  <c:v>43604</c:v>
                </c:pt>
                <c:pt idx="5">
                  <c:v>43611</c:v>
                </c:pt>
                <c:pt idx="6">
                  <c:v>43618</c:v>
                </c:pt>
                <c:pt idx="7">
                  <c:v>43625</c:v>
                </c:pt>
                <c:pt idx="8">
                  <c:v>43632</c:v>
                </c:pt>
                <c:pt idx="9">
                  <c:v>43639</c:v>
                </c:pt>
                <c:pt idx="10">
                  <c:v>43646</c:v>
                </c:pt>
                <c:pt idx="11">
                  <c:v>43653</c:v>
                </c:pt>
                <c:pt idx="12">
                  <c:v>43660</c:v>
                </c:pt>
                <c:pt idx="13">
                  <c:v>43667</c:v>
                </c:pt>
                <c:pt idx="14">
                  <c:v>43674</c:v>
                </c:pt>
                <c:pt idx="15">
                  <c:v>43681</c:v>
                </c:pt>
                <c:pt idx="16">
                  <c:v>43688</c:v>
                </c:pt>
                <c:pt idx="17">
                  <c:v>43695</c:v>
                </c:pt>
                <c:pt idx="18">
                  <c:v>43702</c:v>
                </c:pt>
                <c:pt idx="19">
                  <c:v>43709</c:v>
                </c:pt>
                <c:pt idx="20">
                  <c:v>43716</c:v>
                </c:pt>
                <c:pt idx="21">
                  <c:v>43723</c:v>
                </c:pt>
                <c:pt idx="22">
                  <c:v>43730</c:v>
                </c:pt>
                <c:pt idx="23">
                  <c:v>43737</c:v>
                </c:pt>
                <c:pt idx="24">
                  <c:v>43744</c:v>
                </c:pt>
                <c:pt idx="25">
                  <c:v>43751</c:v>
                </c:pt>
                <c:pt idx="26">
                  <c:v>43758</c:v>
                </c:pt>
                <c:pt idx="27">
                  <c:v>43765</c:v>
                </c:pt>
                <c:pt idx="28">
                  <c:v>43772</c:v>
                </c:pt>
                <c:pt idx="29">
                  <c:v>43779</c:v>
                </c:pt>
                <c:pt idx="30">
                  <c:v>43786</c:v>
                </c:pt>
                <c:pt idx="31">
                  <c:v>43793</c:v>
                </c:pt>
                <c:pt idx="32">
                  <c:v>43800</c:v>
                </c:pt>
                <c:pt idx="33">
                  <c:v>43807</c:v>
                </c:pt>
                <c:pt idx="34">
                  <c:v>43814</c:v>
                </c:pt>
                <c:pt idx="35">
                  <c:v>43821</c:v>
                </c:pt>
              </c:numCache>
            </c:numRef>
          </c:cat>
          <c:val>
            <c:numRef>
              <c:f>'Google trends'!$C$2:$C$37</c:f>
              <c:numCache>
                <c:formatCode>General</c:formatCode>
                <c:ptCount val="3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49</c:v>
                </c:pt>
                <c:pt idx="4">
                  <c:v>0</c:v>
                </c:pt>
                <c:pt idx="5">
                  <c:v>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30</c:v>
                </c:pt>
                <c:pt idx="17">
                  <c:v>0</c:v>
                </c:pt>
                <c:pt idx="18">
                  <c:v>0</c:v>
                </c:pt>
                <c:pt idx="19">
                  <c:v>40</c:v>
                </c:pt>
                <c:pt idx="20">
                  <c:v>0</c:v>
                </c:pt>
                <c:pt idx="21">
                  <c:v>40</c:v>
                </c:pt>
                <c:pt idx="22">
                  <c:v>0</c:v>
                </c:pt>
                <c:pt idx="23">
                  <c:v>0</c:v>
                </c:pt>
                <c:pt idx="24">
                  <c:v>40</c:v>
                </c:pt>
                <c:pt idx="25">
                  <c:v>0</c:v>
                </c:pt>
                <c:pt idx="26">
                  <c:v>40</c:v>
                </c:pt>
                <c:pt idx="27">
                  <c:v>0</c:v>
                </c:pt>
                <c:pt idx="28">
                  <c:v>0</c:v>
                </c:pt>
                <c:pt idx="29">
                  <c:v>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80</c:v>
                </c:pt>
                <c:pt idx="35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5E-4370-8863-70239D7F7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149335"/>
        <c:axId val="496154327"/>
      </c:lineChart>
      <c:dateAx>
        <c:axId val="4961493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54327"/>
        <c:crosses val="autoZero"/>
        <c:auto val="1"/>
        <c:lblOffset val="100"/>
        <c:baseTimeUnit val="days"/>
        <c:majorUnit val="1"/>
        <c:majorTimeUnit val="months"/>
        <c:minorTimeUnit val="months"/>
      </c:dateAx>
      <c:valAx>
        <c:axId val="496154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49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'Companies Office'!$B$34:$B$41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'Companies Office'!$C$34:$C$298</c:f>
              <c:numCache>
                <c:formatCode>0.00%</c:formatCode>
                <c:ptCount val="26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A-4E9C-B53C-4E90040C2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'Companies Office'!$B$34:$B$41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98-4D40-B141-EE554090735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98-4D40-B141-EE554090735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98-4D40-B141-EE554090735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C98-4D40-B141-EE554090735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C98-4D40-B141-EE554090735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C98-4D40-B141-EE554090735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C98-4D40-B141-EE554090735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C98-4D40-B141-EE554090735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C98-4D40-B141-EE554090735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C98-4D40-B141-EE554090735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98-4D40-B141-EE554090735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C98-4D40-B141-EE554090735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C98-4D40-B141-EE554090735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C98-4D40-B141-EE5540907357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C98-4D40-B141-EE5540907357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C98-4D40-B141-EE5540907357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C98-4D40-B141-EE5540907357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C98-4D40-B141-EE554090735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C98-4D40-B141-EE554090735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C98-4D40-B141-EE554090735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C98-4D40-B141-EE5540907357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C98-4D40-B141-EE5540907357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C98-4D40-B141-EE5540907357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5C98-4D40-B141-EE5540907357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5C98-4D40-B141-EE5540907357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5C98-4D40-B141-EE5540907357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5C98-4D40-B141-EE5540907357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5C98-4D40-B141-EE5540907357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5C98-4D40-B141-EE5540907357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5C98-4D40-B141-EE5540907357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5C98-4D40-B141-EE5540907357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5C98-4D40-B141-EE5540907357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5C98-4D40-B141-EE5540907357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5C98-4D40-B141-EE5540907357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5C98-4D40-B141-EE5540907357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5C98-4D40-B141-EE5540907357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5C98-4D40-B141-EE5540907357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5C98-4D40-B141-EE5540907357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5C98-4D40-B141-EE5540907357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5C98-4D40-B141-EE5540907357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5C98-4D40-B141-EE5540907357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5C98-4D40-B141-EE5540907357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5C98-4D40-B141-EE5540907357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5C98-4D40-B141-EE5540907357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5C98-4D40-B141-EE5540907357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5C98-4D40-B141-EE5540907357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5C98-4D40-B141-EE5540907357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5C98-4D40-B141-EE5540907357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5C98-4D40-B141-EE5540907357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5C98-4D40-B141-EE5540907357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5C98-4D40-B141-EE5540907357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5C98-4D40-B141-EE5540907357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5C98-4D40-B141-EE5540907357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5C98-4D40-B141-EE5540907357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5C98-4D40-B141-EE5540907357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5C98-4D40-B141-EE5540907357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5C98-4D40-B141-EE5540907357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5C98-4D40-B141-EE5540907357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5C98-4D40-B141-EE5540907357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5C98-4D40-B141-EE5540907357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5C98-4D40-B141-EE5540907357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5C98-4D40-B141-EE5540907357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5C98-4D40-B141-EE5540907357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5C98-4D40-B141-EE5540907357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5C98-4D40-B141-EE5540907357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5C98-4D40-B141-EE5540907357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5C98-4D40-B141-EE5540907357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5C98-4D40-B141-EE5540907357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5C98-4D40-B141-EE5540907357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5C98-4D40-B141-EE5540907357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5C98-4D40-B141-EE5540907357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5C98-4D40-B141-EE5540907357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5C98-4D40-B141-EE5540907357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5C98-4D40-B141-EE5540907357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5C98-4D40-B141-EE5540907357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5C98-4D40-B141-EE5540907357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5C98-4D40-B141-EE5540907357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5C98-4D40-B141-EE5540907357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5C98-4D40-B141-EE5540907357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5C98-4D40-B141-EE5540907357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5C98-4D40-B141-EE5540907357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5C98-4D40-B141-EE5540907357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5C98-4D40-B141-EE5540907357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5C98-4D40-B141-EE5540907357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5C98-4D40-B141-EE5540907357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5C98-4D40-B141-EE5540907357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5C98-4D40-B141-EE5540907357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5C98-4D40-B141-EE5540907357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5C98-4D40-B141-EE5540907357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5C98-4D40-B141-EE5540907357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5C98-4D40-B141-EE5540907357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5C98-4D40-B141-EE5540907357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5C98-4D40-B141-EE5540907357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5C98-4D40-B141-EE5540907357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5C98-4D40-B141-EE5540907357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5C98-4D40-B141-EE5540907357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5C98-4D40-B141-EE5540907357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5C98-4D40-B141-EE5540907357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5C98-4D40-B141-EE5540907357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5C98-4D40-B141-EE5540907357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5C98-4D40-B141-EE5540907357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5C98-4D40-B141-EE5540907357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5C98-4D40-B141-EE5540907357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5C98-4D40-B141-EE5540907357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5C98-4D40-B141-EE5540907357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5C98-4D40-B141-EE5540907357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5C98-4D40-B141-EE5540907357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5C98-4D40-B141-EE5540907357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5C98-4D40-B141-EE5540907357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5C98-4D40-B141-EE5540907357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5C98-4D40-B141-EE5540907357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5C98-4D40-B141-EE5540907357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5C98-4D40-B141-EE5540907357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5C98-4D40-B141-EE5540907357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5C98-4D40-B141-EE5540907357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5C98-4D40-B141-EE5540907357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5C98-4D40-B141-EE5540907357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5C98-4D40-B141-EE5540907357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5C98-4D40-B141-EE5540907357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5C98-4D40-B141-EE5540907357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5C98-4D40-B141-EE5540907357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5C98-4D40-B141-EE5540907357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5C98-4D40-B141-EE5540907357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5C98-4D40-B141-EE5540907357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5C98-4D40-B141-EE5540907357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5C98-4D40-B141-EE5540907357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5C98-4D40-B141-EE5540907357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5C98-4D40-B141-EE5540907357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5C98-4D40-B141-EE5540907357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5C98-4D40-B141-EE5540907357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5C98-4D40-B141-EE5540907357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5C98-4D40-B141-EE5540907357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5C98-4D40-B141-EE5540907357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5C98-4D40-B141-EE5540907357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5C98-4D40-B141-EE5540907357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5C98-4D40-B141-EE5540907357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5C98-4D40-B141-EE5540907357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5C98-4D40-B141-EE5540907357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5C98-4D40-B141-EE5540907357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5C98-4D40-B141-EE5540907357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5C98-4D40-B141-EE5540907357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5C98-4D40-B141-EE5540907357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5C98-4D40-B141-EE5540907357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5C98-4D40-B141-EE5540907357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5C98-4D40-B141-EE5540907357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5C98-4D40-B141-EE5540907357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5C98-4D40-B141-EE5540907357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5C98-4D40-B141-EE5540907357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5C98-4D40-B141-EE5540907357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5C98-4D40-B141-EE5540907357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5C98-4D40-B141-EE5540907357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5C98-4D40-B141-EE5540907357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5C98-4D40-B141-EE5540907357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5C98-4D40-B141-EE5540907357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5C98-4D40-B141-EE5540907357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5C98-4D40-B141-EE5540907357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5C98-4D40-B141-EE5540907357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5C98-4D40-B141-EE5540907357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5C98-4D40-B141-EE5540907357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5C98-4D40-B141-EE5540907357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5C98-4D40-B141-EE5540907357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5C98-4D40-B141-EE5540907357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5C98-4D40-B141-EE5540907357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5C98-4D40-B141-EE5540907357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5C98-4D40-B141-EE5540907357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5C98-4D40-B141-EE5540907357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5C98-4D40-B141-EE5540907357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5C98-4D40-B141-EE5540907357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5C98-4D40-B141-EE5540907357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5C98-4D40-B141-EE5540907357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5C98-4D40-B141-EE5540907357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5C98-4D40-B141-EE5540907357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5C98-4D40-B141-EE5540907357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5C98-4D40-B141-EE5540907357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5C98-4D40-B141-EE5540907357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5C98-4D40-B141-EE5540907357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5C98-4D40-B141-EE5540907357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5C98-4D40-B141-EE5540907357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5C98-4D40-B141-EE5540907357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5C98-4D40-B141-EE5540907357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5C98-4D40-B141-EE5540907357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5C98-4D40-B141-EE5540907357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5C98-4D40-B141-EE5540907357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5C98-4D40-B141-EE5540907357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5C98-4D40-B141-EE5540907357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5C98-4D40-B141-EE5540907357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5C98-4D40-B141-EE5540907357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5C98-4D40-B141-EE5540907357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5C98-4D40-B141-EE5540907357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5C98-4D40-B141-EE5540907357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5C98-4D40-B141-EE5540907357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5C98-4D40-B141-EE5540907357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5C98-4D40-B141-EE5540907357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5C98-4D40-B141-EE5540907357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5C98-4D40-B141-EE5540907357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5C98-4D40-B141-EE5540907357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5C98-4D40-B141-EE5540907357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5C98-4D40-B141-EE5540907357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5C98-4D40-B141-EE5540907357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5C98-4D40-B141-EE5540907357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5C98-4D40-B141-EE5540907357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5C98-4D40-B141-EE5540907357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5C98-4D40-B141-EE5540907357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5C98-4D40-B141-EE5540907357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5C98-4D40-B141-EE5540907357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5C98-4D40-B141-EE5540907357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5C98-4D40-B141-EE5540907357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5C98-4D40-B141-EE5540907357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5C98-4D40-B141-EE5540907357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5C98-4D40-B141-EE5540907357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5C98-4D40-B141-EE5540907357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5C98-4D40-B141-EE5540907357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5C98-4D40-B141-EE5540907357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5C98-4D40-B141-EE5540907357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5C98-4D40-B141-EE5540907357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5C98-4D40-B141-EE5540907357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5C98-4D40-B141-EE5540907357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5C98-4D40-B141-EE5540907357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5C98-4D40-B141-EE5540907357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5C98-4D40-B141-EE5540907357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5C98-4D40-B141-EE5540907357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5C98-4D40-B141-EE5540907357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5C98-4D40-B141-EE5540907357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5C98-4D40-B141-EE5540907357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5C98-4D40-B141-EE5540907357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5C98-4D40-B141-EE5540907357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5C98-4D40-B141-EE5540907357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5C98-4D40-B141-EE5540907357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5C98-4D40-B141-EE5540907357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5C98-4D40-B141-EE5540907357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5C98-4D40-B141-EE5540907357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5C98-4D40-B141-EE5540907357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5C98-4D40-B141-EE5540907357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5C98-4D40-B141-EE5540907357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5C98-4D40-B141-EE5540907357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5C98-4D40-B141-EE5540907357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5C98-4D40-B141-EE5540907357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5C98-4D40-B141-EE5540907357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5C98-4D40-B141-EE5540907357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5C98-4D40-B141-EE5540907357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5C98-4D40-B141-EE5540907357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5C98-4D40-B141-EE5540907357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5C98-4D40-B141-EE5540907357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5C98-4D40-B141-EE5540907357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5C98-4D40-B141-EE5540907357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5C98-4D40-B141-EE5540907357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5C98-4D40-B141-EE5540907357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5C98-4D40-B141-EE5540907357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5C98-4D40-B141-EE5540907357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5C98-4D40-B141-EE5540907357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5C98-4D40-B141-EE5540907357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5C98-4D40-B141-EE5540907357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5C98-4D40-B141-EE5540907357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5C98-4D40-B141-EE5540907357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5C98-4D40-B141-EE5540907357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5C98-4D40-B141-EE5540907357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5C98-4D40-B141-EE5540907357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5C98-4D40-B141-EE5540907357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5C98-4D40-B141-EE5540907357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5C98-4D40-B141-EE5540907357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5C98-4D40-B141-EE5540907357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5C98-4D40-B141-EE5540907357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5C98-4D40-B141-EE5540907357}"/>
              </c:ext>
            </c:extLst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5C98-4D40-B141-EE5540907357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5C98-4D40-B141-EE5540907357}"/>
              </c:ext>
            </c:extLst>
          </c:dPt>
          <c:val>
            <c:numRef>
              <c:f>'Companies Office'!$C$34:$C$298</c:f>
              <c:numCache>
                <c:formatCode>0.00%</c:formatCode>
                <c:ptCount val="26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12-5C98-4D40-B141-EE5540907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'Companies Office'!$B$34:$B$41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C6-4DD5-8C90-CDEBA6D1538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C6-4DD5-8C90-CDEBA6D1538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1C6-4DD5-8C90-CDEBA6D1538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1C6-4DD5-8C90-CDEBA6D1538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1C6-4DD5-8C90-CDEBA6D1538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1C6-4DD5-8C90-CDEBA6D1538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1C6-4DD5-8C90-CDEBA6D1538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1C6-4DD5-8C90-CDEBA6D1538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1C6-4DD5-8C90-CDEBA6D1538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1C6-4DD5-8C90-CDEBA6D1538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1C6-4DD5-8C90-CDEBA6D1538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1C6-4DD5-8C90-CDEBA6D1538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1C6-4DD5-8C90-CDEBA6D1538C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1C6-4DD5-8C90-CDEBA6D1538C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1C6-4DD5-8C90-CDEBA6D1538C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1C6-4DD5-8C90-CDEBA6D1538C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1C6-4DD5-8C90-CDEBA6D1538C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1C6-4DD5-8C90-CDEBA6D1538C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1C6-4DD5-8C90-CDEBA6D1538C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1C6-4DD5-8C90-CDEBA6D1538C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01C6-4DD5-8C90-CDEBA6D1538C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01C6-4DD5-8C90-CDEBA6D1538C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01C6-4DD5-8C90-CDEBA6D1538C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01C6-4DD5-8C90-CDEBA6D1538C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01C6-4DD5-8C90-CDEBA6D1538C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01C6-4DD5-8C90-CDEBA6D1538C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01C6-4DD5-8C90-CDEBA6D1538C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01C6-4DD5-8C90-CDEBA6D1538C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01C6-4DD5-8C90-CDEBA6D1538C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01C6-4DD5-8C90-CDEBA6D1538C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01C6-4DD5-8C90-CDEBA6D1538C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01C6-4DD5-8C90-CDEBA6D1538C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01C6-4DD5-8C90-CDEBA6D1538C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01C6-4DD5-8C90-CDEBA6D1538C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01C6-4DD5-8C90-CDEBA6D1538C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01C6-4DD5-8C90-CDEBA6D1538C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01C6-4DD5-8C90-CDEBA6D1538C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01C6-4DD5-8C90-CDEBA6D1538C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01C6-4DD5-8C90-CDEBA6D1538C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01C6-4DD5-8C90-CDEBA6D1538C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01C6-4DD5-8C90-CDEBA6D1538C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01C6-4DD5-8C90-CDEBA6D1538C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01C6-4DD5-8C90-CDEBA6D1538C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01C6-4DD5-8C90-CDEBA6D1538C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01C6-4DD5-8C90-CDEBA6D1538C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01C6-4DD5-8C90-CDEBA6D1538C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01C6-4DD5-8C90-CDEBA6D1538C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01C6-4DD5-8C90-CDEBA6D1538C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01C6-4DD5-8C90-CDEBA6D1538C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01C6-4DD5-8C90-CDEBA6D1538C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01C6-4DD5-8C90-CDEBA6D1538C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01C6-4DD5-8C90-CDEBA6D1538C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01C6-4DD5-8C90-CDEBA6D1538C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01C6-4DD5-8C90-CDEBA6D1538C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01C6-4DD5-8C90-CDEBA6D1538C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01C6-4DD5-8C90-CDEBA6D1538C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01C6-4DD5-8C90-CDEBA6D1538C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01C6-4DD5-8C90-CDEBA6D1538C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01C6-4DD5-8C90-CDEBA6D1538C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01C6-4DD5-8C90-CDEBA6D1538C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01C6-4DD5-8C90-CDEBA6D1538C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01C6-4DD5-8C90-CDEBA6D1538C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01C6-4DD5-8C90-CDEBA6D1538C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01C6-4DD5-8C90-CDEBA6D1538C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01C6-4DD5-8C90-CDEBA6D1538C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01C6-4DD5-8C90-CDEBA6D1538C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01C6-4DD5-8C90-CDEBA6D1538C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01C6-4DD5-8C90-CDEBA6D1538C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01C6-4DD5-8C90-CDEBA6D1538C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01C6-4DD5-8C90-CDEBA6D1538C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01C6-4DD5-8C90-CDEBA6D1538C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01C6-4DD5-8C90-CDEBA6D1538C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01C6-4DD5-8C90-CDEBA6D1538C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01C6-4DD5-8C90-CDEBA6D1538C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01C6-4DD5-8C90-CDEBA6D1538C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01C6-4DD5-8C90-CDEBA6D1538C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01C6-4DD5-8C90-CDEBA6D1538C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01C6-4DD5-8C90-CDEBA6D1538C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01C6-4DD5-8C90-CDEBA6D1538C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01C6-4DD5-8C90-CDEBA6D1538C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01C6-4DD5-8C90-CDEBA6D1538C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01C6-4DD5-8C90-CDEBA6D1538C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01C6-4DD5-8C90-CDEBA6D1538C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01C6-4DD5-8C90-CDEBA6D1538C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01C6-4DD5-8C90-CDEBA6D1538C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01C6-4DD5-8C90-CDEBA6D1538C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01C6-4DD5-8C90-CDEBA6D1538C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01C6-4DD5-8C90-CDEBA6D1538C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01C6-4DD5-8C90-CDEBA6D1538C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01C6-4DD5-8C90-CDEBA6D1538C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01C6-4DD5-8C90-CDEBA6D1538C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01C6-4DD5-8C90-CDEBA6D1538C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01C6-4DD5-8C90-CDEBA6D1538C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01C6-4DD5-8C90-CDEBA6D1538C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01C6-4DD5-8C90-CDEBA6D1538C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01C6-4DD5-8C90-CDEBA6D1538C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01C6-4DD5-8C90-CDEBA6D1538C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01C6-4DD5-8C90-CDEBA6D1538C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01C6-4DD5-8C90-CDEBA6D1538C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01C6-4DD5-8C90-CDEBA6D1538C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01C6-4DD5-8C90-CDEBA6D1538C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01C6-4DD5-8C90-CDEBA6D1538C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01C6-4DD5-8C90-CDEBA6D1538C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01C6-4DD5-8C90-CDEBA6D1538C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01C6-4DD5-8C90-CDEBA6D1538C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01C6-4DD5-8C90-CDEBA6D1538C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01C6-4DD5-8C90-CDEBA6D1538C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01C6-4DD5-8C90-CDEBA6D1538C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01C6-4DD5-8C90-CDEBA6D1538C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01C6-4DD5-8C90-CDEBA6D1538C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01C6-4DD5-8C90-CDEBA6D1538C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01C6-4DD5-8C90-CDEBA6D1538C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01C6-4DD5-8C90-CDEBA6D1538C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01C6-4DD5-8C90-CDEBA6D1538C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01C6-4DD5-8C90-CDEBA6D1538C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01C6-4DD5-8C90-CDEBA6D1538C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01C6-4DD5-8C90-CDEBA6D1538C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01C6-4DD5-8C90-CDEBA6D1538C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01C6-4DD5-8C90-CDEBA6D1538C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01C6-4DD5-8C90-CDEBA6D1538C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01C6-4DD5-8C90-CDEBA6D1538C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01C6-4DD5-8C90-CDEBA6D1538C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01C6-4DD5-8C90-CDEBA6D1538C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01C6-4DD5-8C90-CDEBA6D1538C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01C6-4DD5-8C90-CDEBA6D1538C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01C6-4DD5-8C90-CDEBA6D1538C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01C6-4DD5-8C90-CDEBA6D1538C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01C6-4DD5-8C90-CDEBA6D1538C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01C6-4DD5-8C90-CDEBA6D1538C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01C6-4DD5-8C90-CDEBA6D1538C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01C6-4DD5-8C90-CDEBA6D1538C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01C6-4DD5-8C90-CDEBA6D1538C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01C6-4DD5-8C90-CDEBA6D1538C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01C6-4DD5-8C90-CDEBA6D1538C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01C6-4DD5-8C90-CDEBA6D1538C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01C6-4DD5-8C90-CDEBA6D1538C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01C6-4DD5-8C90-CDEBA6D1538C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01C6-4DD5-8C90-CDEBA6D1538C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01C6-4DD5-8C90-CDEBA6D1538C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01C6-4DD5-8C90-CDEBA6D1538C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01C6-4DD5-8C90-CDEBA6D1538C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01C6-4DD5-8C90-CDEBA6D1538C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01C6-4DD5-8C90-CDEBA6D1538C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01C6-4DD5-8C90-CDEBA6D1538C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01C6-4DD5-8C90-CDEBA6D1538C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01C6-4DD5-8C90-CDEBA6D1538C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01C6-4DD5-8C90-CDEBA6D1538C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01C6-4DD5-8C90-CDEBA6D1538C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01C6-4DD5-8C90-CDEBA6D1538C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01C6-4DD5-8C90-CDEBA6D1538C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01C6-4DD5-8C90-CDEBA6D1538C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01C6-4DD5-8C90-CDEBA6D1538C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01C6-4DD5-8C90-CDEBA6D1538C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01C6-4DD5-8C90-CDEBA6D1538C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01C6-4DD5-8C90-CDEBA6D1538C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01C6-4DD5-8C90-CDEBA6D1538C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01C6-4DD5-8C90-CDEBA6D1538C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01C6-4DD5-8C90-CDEBA6D1538C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01C6-4DD5-8C90-CDEBA6D1538C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01C6-4DD5-8C90-CDEBA6D1538C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01C6-4DD5-8C90-CDEBA6D1538C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01C6-4DD5-8C90-CDEBA6D1538C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01C6-4DD5-8C90-CDEBA6D1538C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01C6-4DD5-8C90-CDEBA6D1538C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01C6-4DD5-8C90-CDEBA6D1538C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01C6-4DD5-8C90-CDEBA6D1538C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01C6-4DD5-8C90-CDEBA6D1538C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01C6-4DD5-8C90-CDEBA6D1538C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01C6-4DD5-8C90-CDEBA6D1538C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01C6-4DD5-8C90-CDEBA6D1538C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01C6-4DD5-8C90-CDEBA6D1538C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01C6-4DD5-8C90-CDEBA6D1538C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01C6-4DD5-8C90-CDEBA6D1538C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01C6-4DD5-8C90-CDEBA6D1538C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01C6-4DD5-8C90-CDEBA6D1538C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01C6-4DD5-8C90-CDEBA6D1538C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01C6-4DD5-8C90-CDEBA6D1538C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01C6-4DD5-8C90-CDEBA6D1538C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01C6-4DD5-8C90-CDEBA6D1538C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01C6-4DD5-8C90-CDEBA6D1538C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01C6-4DD5-8C90-CDEBA6D1538C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01C6-4DD5-8C90-CDEBA6D1538C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01C6-4DD5-8C90-CDEBA6D1538C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01C6-4DD5-8C90-CDEBA6D1538C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01C6-4DD5-8C90-CDEBA6D1538C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01C6-4DD5-8C90-CDEBA6D1538C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01C6-4DD5-8C90-CDEBA6D1538C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01C6-4DD5-8C90-CDEBA6D1538C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01C6-4DD5-8C90-CDEBA6D1538C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01C6-4DD5-8C90-CDEBA6D1538C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01C6-4DD5-8C90-CDEBA6D1538C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01C6-4DD5-8C90-CDEBA6D1538C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01C6-4DD5-8C90-CDEBA6D1538C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01C6-4DD5-8C90-CDEBA6D1538C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01C6-4DD5-8C90-CDEBA6D1538C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01C6-4DD5-8C90-CDEBA6D1538C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01C6-4DD5-8C90-CDEBA6D1538C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01C6-4DD5-8C90-CDEBA6D1538C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01C6-4DD5-8C90-CDEBA6D1538C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01C6-4DD5-8C90-CDEBA6D1538C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01C6-4DD5-8C90-CDEBA6D1538C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01C6-4DD5-8C90-CDEBA6D1538C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01C6-4DD5-8C90-CDEBA6D1538C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01C6-4DD5-8C90-CDEBA6D1538C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01C6-4DD5-8C90-CDEBA6D1538C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01C6-4DD5-8C90-CDEBA6D1538C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01C6-4DD5-8C90-CDEBA6D1538C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01C6-4DD5-8C90-CDEBA6D1538C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01C6-4DD5-8C90-CDEBA6D1538C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01C6-4DD5-8C90-CDEBA6D1538C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01C6-4DD5-8C90-CDEBA6D1538C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01C6-4DD5-8C90-CDEBA6D1538C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01C6-4DD5-8C90-CDEBA6D1538C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01C6-4DD5-8C90-CDEBA6D1538C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01C6-4DD5-8C90-CDEBA6D1538C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01C6-4DD5-8C90-CDEBA6D1538C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01C6-4DD5-8C90-CDEBA6D1538C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01C6-4DD5-8C90-CDEBA6D1538C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01C6-4DD5-8C90-CDEBA6D1538C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01C6-4DD5-8C90-CDEBA6D1538C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01C6-4DD5-8C90-CDEBA6D1538C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01C6-4DD5-8C90-CDEBA6D1538C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01C6-4DD5-8C90-CDEBA6D1538C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01C6-4DD5-8C90-CDEBA6D1538C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01C6-4DD5-8C90-CDEBA6D1538C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01C6-4DD5-8C90-CDEBA6D1538C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01C6-4DD5-8C90-CDEBA6D1538C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01C6-4DD5-8C90-CDEBA6D1538C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01C6-4DD5-8C90-CDEBA6D1538C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01C6-4DD5-8C90-CDEBA6D1538C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01C6-4DD5-8C90-CDEBA6D1538C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01C6-4DD5-8C90-CDEBA6D1538C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01C6-4DD5-8C90-CDEBA6D1538C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01C6-4DD5-8C90-CDEBA6D1538C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01C6-4DD5-8C90-CDEBA6D1538C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01C6-4DD5-8C90-CDEBA6D1538C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01C6-4DD5-8C90-CDEBA6D1538C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01C6-4DD5-8C90-CDEBA6D1538C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01C6-4DD5-8C90-CDEBA6D1538C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01C6-4DD5-8C90-CDEBA6D1538C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01C6-4DD5-8C90-CDEBA6D1538C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01C6-4DD5-8C90-CDEBA6D1538C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01C6-4DD5-8C90-CDEBA6D1538C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01C6-4DD5-8C90-CDEBA6D1538C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01C6-4DD5-8C90-CDEBA6D1538C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01C6-4DD5-8C90-CDEBA6D1538C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01C6-4DD5-8C90-CDEBA6D1538C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01C6-4DD5-8C90-CDEBA6D1538C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01C6-4DD5-8C90-CDEBA6D1538C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01C6-4DD5-8C90-CDEBA6D1538C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01C6-4DD5-8C90-CDEBA6D1538C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01C6-4DD5-8C90-CDEBA6D1538C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01C6-4DD5-8C90-CDEBA6D1538C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01C6-4DD5-8C90-CDEBA6D1538C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01C6-4DD5-8C90-CDEBA6D1538C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01C6-4DD5-8C90-CDEBA6D1538C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01C6-4DD5-8C90-CDEBA6D1538C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01C6-4DD5-8C90-CDEBA6D1538C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01C6-4DD5-8C90-CDEBA6D1538C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01C6-4DD5-8C90-CDEBA6D1538C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01C6-4DD5-8C90-CDEBA6D1538C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01C6-4DD5-8C90-CDEBA6D1538C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01C6-4DD5-8C90-CDEBA6D1538C}"/>
              </c:ext>
            </c:extLst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01C6-4DD5-8C90-CDEBA6D1538C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01C6-4DD5-8C90-CDEBA6D1538C}"/>
              </c:ext>
            </c:extLst>
          </c:dPt>
          <c:val>
            <c:numRef>
              <c:f>'Companies Office'!$C$34:$C$298</c:f>
              <c:numCache>
                <c:formatCode>0.00%</c:formatCode>
                <c:ptCount val="26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12-01C6-4DD5-8C90-CDEBA6D15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'Companies Office'!$B$34:$B$41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275-4163-94E6-AD793D49BDD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275-4163-94E6-AD793D49BDD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275-4163-94E6-AD793D49BDD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275-4163-94E6-AD793D49BDD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275-4163-94E6-AD793D49BDD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275-4163-94E6-AD793D49BDD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275-4163-94E6-AD793D49BDD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275-4163-94E6-AD793D49BDD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275-4163-94E6-AD793D49BDD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275-4163-94E6-AD793D49BDD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275-4163-94E6-AD793D49BDD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275-4163-94E6-AD793D49BDD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275-4163-94E6-AD793D49BDDC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275-4163-94E6-AD793D49BDDC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6275-4163-94E6-AD793D49BDDC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6275-4163-94E6-AD793D49BDDC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6275-4163-94E6-AD793D49BDDC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6275-4163-94E6-AD793D49BDDC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6275-4163-94E6-AD793D49BDDC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6275-4163-94E6-AD793D49BDDC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6275-4163-94E6-AD793D49BDDC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6275-4163-94E6-AD793D49BDDC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6275-4163-94E6-AD793D49BDDC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6275-4163-94E6-AD793D49BDDC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6275-4163-94E6-AD793D49BDDC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6275-4163-94E6-AD793D49BDDC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6275-4163-94E6-AD793D49BDDC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6275-4163-94E6-AD793D49BDDC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6275-4163-94E6-AD793D49BDDC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6275-4163-94E6-AD793D49BDDC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6275-4163-94E6-AD793D49BDDC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6275-4163-94E6-AD793D49BDDC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6275-4163-94E6-AD793D49BDDC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6275-4163-94E6-AD793D49BDDC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6275-4163-94E6-AD793D49BDDC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6275-4163-94E6-AD793D49BDDC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6275-4163-94E6-AD793D49BDDC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6275-4163-94E6-AD793D49BDDC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6275-4163-94E6-AD793D49BDDC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6275-4163-94E6-AD793D49BDDC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6275-4163-94E6-AD793D49BDDC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6275-4163-94E6-AD793D49BDDC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6275-4163-94E6-AD793D49BDDC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6275-4163-94E6-AD793D49BDDC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6275-4163-94E6-AD793D49BDDC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6275-4163-94E6-AD793D49BDDC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6275-4163-94E6-AD793D49BDDC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6275-4163-94E6-AD793D49BDDC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6275-4163-94E6-AD793D49BDDC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6275-4163-94E6-AD793D49BDDC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6275-4163-94E6-AD793D49BDDC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6275-4163-94E6-AD793D49BDDC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6275-4163-94E6-AD793D49BDDC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6275-4163-94E6-AD793D49BDDC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6275-4163-94E6-AD793D49BDDC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6275-4163-94E6-AD793D49BDDC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6275-4163-94E6-AD793D49BDDC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6275-4163-94E6-AD793D49BDDC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6275-4163-94E6-AD793D49BDDC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6275-4163-94E6-AD793D49BDDC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6275-4163-94E6-AD793D49BDDC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6275-4163-94E6-AD793D49BDDC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6275-4163-94E6-AD793D49BDDC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6275-4163-94E6-AD793D49BDDC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6275-4163-94E6-AD793D49BDDC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6275-4163-94E6-AD793D49BDDC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6275-4163-94E6-AD793D49BDDC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6275-4163-94E6-AD793D49BDDC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6275-4163-94E6-AD793D49BDDC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6275-4163-94E6-AD793D49BDDC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6275-4163-94E6-AD793D49BDDC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6275-4163-94E6-AD793D49BDDC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6275-4163-94E6-AD793D49BDDC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6275-4163-94E6-AD793D49BDDC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6275-4163-94E6-AD793D49BDDC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6275-4163-94E6-AD793D49BDDC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6275-4163-94E6-AD793D49BDDC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6275-4163-94E6-AD793D49BDDC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6275-4163-94E6-AD793D49BDDC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6275-4163-94E6-AD793D49BDDC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6275-4163-94E6-AD793D49BDDC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6275-4163-94E6-AD793D49BDDC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6275-4163-94E6-AD793D49BDDC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6275-4163-94E6-AD793D49BDDC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6275-4163-94E6-AD793D49BDDC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6275-4163-94E6-AD793D49BDDC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6275-4163-94E6-AD793D49BDDC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6275-4163-94E6-AD793D49BDDC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6275-4163-94E6-AD793D49BDDC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6275-4163-94E6-AD793D49BDDC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6275-4163-94E6-AD793D49BDDC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6275-4163-94E6-AD793D49BDDC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6275-4163-94E6-AD793D49BDDC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6275-4163-94E6-AD793D49BDDC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6275-4163-94E6-AD793D49BDDC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6275-4163-94E6-AD793D49BDDC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6275-4163-94E6-AD793D49BDDC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6275-4163-94E6-AD793D49BDDC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6275-4163-94E6-AD793D49BDDC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6275-4163-94E6-AD793D49BDDC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6275-4163-94E6-AD793D49BDDC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6275-4163-94E6-AD793D49BDDC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6275-4163-94E6-AD793D49BDDC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6275-4163-94E6-AD793D49BDDC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6275-4163-94E6-AD793D49BDDC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6275-4163-94E6-AD793D49BDDC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6275-4163-94E6-AD793D49BDDC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6275-4163-94E6-AD793D49BDDC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6275-4163-94E6-AD793D49BDDC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6275-4163-94E6-AD793D49BDDC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6275-4163-94E6-AD793D49BDDC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6275-4163-94E6-AD793D49BDDC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6275-4163-94E6-AD793D49BDDC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6275-4163-94E6-AD793D49BDDC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6275-4163-94E6-AD793D49BDDC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6275-4163-94E6-AD793D49BDDC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6275-4163-94E6-AD793D49BDDC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6275-4163-94E6-AD793D49BDDC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6275-4163-94E6-AD793D49BDDC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6275-4163-94E6-AD793D49BDDC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6275-4163-94E6-AD793D49BDDC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6275-4163-94E6-AD793D49BDDC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6275-4163-94E6-AD793D49BDDC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6275-4163-94E6-AD793D49BDDC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6275-4163-94E6-AD793D49BDDC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6275-4163-94E6-AD793D49BDDC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6275-4163-94E6-AD793D49BDDC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6275-4163-94E6-AD793D49BDDC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6275-4163-94E6-AD793D49BDDC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6275-4163-94E6-AD793D49BDDC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6275-4163-94E6-AD793D49BDDC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6275-4163-94E6-AD793D49BDDC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6275-4163-94E6-AD793D49BDDC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6275-4163-94E6-AD793D49BDDC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6275-4163-94E6-AD793D49BDDC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6275-4163-94E6-AD793D49BDDC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6275-4163-94E6-AD793D49BDDC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6275-4163-94E6-AD793D49BDDC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6275-4163-94E6-AD793D49BDDC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6275-4163-94E6-AD793D49BDDC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6275-4163-94E6-AD793D49BDDC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6275-4163-94E6-AD793D49BDDC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6275-4163-94E6-AD793D49BDDC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6275-4163-94E6-AD793D49BDDC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6275-4163-94E6-AD793D49BDDC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6275-4163-94E6-AD793D49BDDC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6275-4163-94E6-AD793D49BDDC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6275-4163-94E6-AD793D49BDDC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6275-4163-94E6-AD793D49BDDC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6275-4163-94E6-AD793D49BDDC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6275-4163-94E6-AD793D49BDDC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6275-4163-94E6-AD793D49BDDC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6275-4163-94E6-AD793D49BDDC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6275-4163-94E6-AD793D49BDDC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6275-4163-94E6-AD793D49BDDC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6275-4163-94E6-AD793D49BDDC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6275-4163-94E6-AD793D49BDDC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6275-4163-94E6-AD793D49BDDC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6275-4163-94E6-AD793D49BDDC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6275-4163-94E6-AD793D49BDDC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6275-4163-94E6-AD793D49BDDC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6275-4163-94E6-AD793D49BDDC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6275-4163-94E6-AD793D49BDDC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6275-4163-94E6-AD793D49BDDC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6275-4163-94E6-AD793D49BDDC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6275-4163-94E6-AD793D49BDDC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6275-4163-94E6-AD793D49BDDC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6275-4163-94E6-AD793D49BDDC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6275-4163-94E6-AD793D49BDDC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6275-4163-94E6-AD793D49BDDC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6275-4163-94E6-AD793D49BDDC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6275-4163-94E6-AD793D49BDDC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6275-4163-94E6-AD793D49BDDC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6275-4163-94E6-AD793D49BDDC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6275-4163-94E6-AD793D49BDDC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6275-4163-94E6-AD793D49BDDC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6275-4163-94E6-AD793D49BDDC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6275-4163-94E6-AD793D49BDDC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6275-4163-94E6-AD793D49BDDC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6275-4163-94E6-AD793D49BDDC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6275-4163-94E6-AD793D49BDDC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6275-4163-94E6-AD793D49BDDC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6275-4163-94E6-AD793D49BDDC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6275-4163-94E6-AD793D49BDDC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6275-4163-94E6-AD793D49BDDC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6275-4163-94E6-AD793D49BDDC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6275-4163-94E6-AD793D49BDDC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6275-4163-94E6-AD793D49BDDC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6275-4163-94E6-AD793D49BDDC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6275-4163-94E6-AD793D49BDDC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6275-4163-94E6-AD793D49BDDC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6275-4163-94E6-AD793D49BDDC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6275-4163-94E6-AD793D49BDDC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6275-4163-94E6-AD793D49BDDC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6275-4163-94E6-AD793D49BDDC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6275-4163-94E6-AD793D49BDDC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6275-4163-94E6-AD793D49BDDC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6275-4163-94E6-AD793D49BDDC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6275-4163-94E6-AD793D49BDDC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6275-4163-94E6-AD793D49BDDC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6275-4163-94E6-AD793D49BDDC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6275-4163-94E6-AD793D49BDDC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6275-4163-94E6-AD793D49BDDC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6275-4163-94E6-AD793D49BDDC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6275-4163-94E6-AD793D49BDDC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6275-4163-94E6-AD793D49BDDC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6275-4163-94E6-AD793D49BDDC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6275-4163-94E6-AD793D49BDDC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6275-4163-94E6-AD793D49BDDC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6275-4163-94E6-AD793D49BDDC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6275-4163-94E6-AD793D49BDDC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6275-4163-94E6-AD793D49BDDC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6275-4163-94E6-AD793D49BDDC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6275-4163-94E6-AD793D49BDDC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6275-4163-94E6-AD793D49BDDC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6275-4163-94E6-AD793D49BDDC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6275-4163-94E6-AD793D49BDDC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6275-4163-94E6-AD793D49BDDC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6275-4163-94E6-AD793D49BDDC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6275-4163-94E6-AD793D49BDDC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6275-4163-94E6-AD793D49BDDC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6275-4163-94E6-AD793D49BDDC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6275-4163-94E6-AD793D49BDDC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6275-4163-94E6-AD793D49BDDC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6275-4163-94E6-AD793D49BDDC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6275-4163-94E6-AD793D49BDDC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6275-4163-94E6-AD793D49BDDC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6275-4163-94E6-AD793D49BDDC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6275-4163-94E6-AD793D49BDDC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6275-4163-94E6-AD793D49BDDC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6275-4163-94E6-AD793D49BDDC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6275-4163-94E6-AD793D49BDDC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6275-4163-94E6-AD793D49BDDC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6275-4163-94E6-AD793D49BDDC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6275-4163-94E6-AD793D49BDDC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6275-4163-94E6-AD793D49BDDC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6275-4163-94E6-AD793D49BDDC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6275-4163-94E6-AD793D49BDDC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6275-4163-94E6-AD793D49BDDC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6275-4163-94E6-AD793D49BDDC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6275-4163-94E6-AD793D49BDDC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6275-4163-94E6-AD793D49BDDC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6275-4163-94E6-AD793D49BDDC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6275-4163-94E6-AD793D49BDDC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6275-4163-94E6-AD793D49BDDC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6275-4163-94E6-AD793D49BDDC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6275-4163-94E6-AD793D49BDDC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6275-4163-94E6-AD793D49BDDC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6275-4163-94E6-AD793D49BDDC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6275-4163-94E6-AD793D49BDDC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6275-4163-94E6-AD793D49BDDC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6275-4163-94E6-AD793D49BDDC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6275-4163-94E6-AD793D49BDDC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6275-4163-94E6-AD793D49BDDC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6275-4163-94E6-AD793D49BDDC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6275-4163-94E6-AD793D49BDDC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6275-4163-94E6-AD793D49BDDC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6275-4163-94E6-AD793D49BDDC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6275-4163-94E6-AD793D49BDDC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6275-4163-94E6-AD793D49BDDC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6275-4163-94E6-AD793D49BDDC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6275-4163-94E6-AD793D49BDDC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6275-4163-94E6-AD793D49BDDC}"/>
              </c:ext>
            </c:extLst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6275-4163-94E6-AD793D49BDDC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6275-4163-94E6-AD793D49BDDC}"/>
              </c:ext>
            </c:extLst>
          </c:dPt>
          <c:val>
            <c:numRef>
              <c:f>'Companies Office'!$C$34:$C$298</c:f>
              <c:numCache>
                <c:formatCode>0.00%</c:formatCode>
                <c:ptCount val="26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12-6275-4163-94E6-AD793D49B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'Companies Office'!$B$34:$B$41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126-407A-AFB3-6C993D9B38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126-407A-AFB3-6C993D9B38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126-407A-AFB3-6C993D9B38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126-407A-AFB3-6C993D9B38D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126-407A-AFB3-6C993D9B38D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126-407A-AFB3-6C993D9B38D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126-407A-AFB3-6C993D9B38D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126-407A-AFB3-6C993D9B38D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126-407A-AFB3-6C993D9B38D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126-407A-AFB3-6C993D9B38D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126-407A-AFB3-6C993D9B38D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126-407A-AFB3-6C993D9B38DD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126-407A-AFB3-6C993D9B38DD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126-407A-AFB3-6C993D9B38DD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126-407A-AFB3-6C993D9B38DD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126-407A-AFB3-6C993D9B38DD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126-407A-AFB3-6C993D9B38DD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126-407A-AFB3-6C993D9B38DD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126-407A-AFB3-6C993D9B38DD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126-407A-AFB3-6C993D9B38DD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126-407A-AFB3-6C993D9B38DD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126-407A-AFB3-6C993D9B38DD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126-407A-AFB3-6C993D9B38DD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126-407A-AFB3-6C993D9B38DD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126-407A-AFB3-6C993D9B38DD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126-407A-AFB3-6C993D9B38DD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126-407A-AFB3-6C993D9B38DD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126-407A-AFB3-6C993D9B38DD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126-407A-AFB3-6C993D9B38DD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126-407A-AFB3-6C993D9B38DD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126-407A-AFB3-6C993D9B38DD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126-407A-AFB3-6C993D9B38DD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126-407A-AFB3-6C993D9B38DD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126-407A-AFB3-6C993D9B38DD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126-407A-AFB3-6C993D9B38DD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126-407A-AFB3-6C993D9B38DD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2126-407A-AFB3-6C993D9B38DD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2126-407A-AFB3-6C993D9B38DD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2126-407A-AFB3-6C993D9B38DD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2126-407A-AFB3-6C993D9B38DD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2126-407A-AFB3-6C993D9B38DD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2126-407A-AFB3-6C993D9B38DD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2126-407A-AFB3-6C993D9B38DD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2126-407A-AFB3-6C993D9B38DD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2126-407A-AFB3-6C993D9B38DD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2126-407A-AFB3-6C993D9B38DD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2126-407A-AFB3-6C993D9B38DD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2126-407A-AFB3-6C993D9B38DD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2126-407A-AFB3-6C993D9B38DD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2126-407A-AFB3-6C993D9B38DD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2126-407A-AFB3-6C993D9B38DD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2126-407A-AFB3-6C993D9B38DD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2126-407A-AFB3-6C993D9B38DD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2126-407A-AFB3-6C993D9B38DD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2126-407A-AFB3-6C993D9B38DD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2126-407A-AFB3-6C993D9B38DD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2126-407A-AFB3-6C993D9B38DD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2126-407A-AFB3-6C993D9B38DD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2126-407A-AFB3-6C993D9B38DD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2126-407A-AFB3-6C993D9B38DD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2126-407A-AFB3-6C993D9B38DD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2126-407A-AFB3-6C993D9B38DD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2126-407A-AFB3-6C993D9B38DD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2126-407A-AFB3-6C993D9B38DD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2126-407A-AFB3-6C993D9B38DD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2126-407A-AFB3-6C993D9B38DD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2126-407A-AFB3-6C993D9B38DD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2126-407A-AFB3-6C993D9B38DD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2126-407A-AFB3-6C993D9B38DD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2126-407A-AFB3-6C993D9B38DD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2126-407A-AFB3-6C993D9B38DD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2126-407A-AFB3-6C993D9B38DD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2126-407A-AFB3-6C993D9B38DD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2126-407A-AFB3-6C993D9B38DD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2126-407A-AFB3-6C993D9B38DD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2126-407A-AFB3-6C993D9B38DD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2126-407A-AFB3-6C993D9B38DD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2126-407A-AFB3-6C993D9B38DD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2126-407A-AFB3-6C993D9B38DD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2126-407A-AFB3-6C993D9B38DD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2126-407A-AFB3-6C993D9B38DD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2126-407A-AFB3-6C993D9B38DD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2126-407A-AFB3-6C993D9B38DD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2126-407A-AFB3-6C993D9B38DD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2126-407A-AFB3-6C993D9B38DD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2126-407A-AFB3-6C993D9B38DD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2126-407A-AFB3-6C993D9B38DD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2126-407A-AFB3-6C993D9B38DD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2126-407A-AFB3-6C993D9B38DD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2126-407A-AFB3-6C993D9B38DD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2126-407A-AFB3-6C993D9B38DD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2126-407A-AFB3-6C993D9B38DD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2126-407A-AFB3-6C993D9B38DD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2126-407A-AFB3-6C993D9B38DD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2126-407A-AFB3-6C993D9B38DD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2126-407A-AFB3-6C993D9B38DD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2126-407A-AFB3-6C993D9B38DD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2126-407A-AFB3-6C993D9B38DD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2126-407A-AFB3-6C993D9B38DD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2126-407A-AFB3-6C993D9B38DD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2126-407A-AFB3-6C993D9B38DD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2126-407A-AFB3-6C993D9B38DD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2126-407A-AFB3-6C993D9B38DD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2126-407A-AFB3-6C993D9B38DD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2126-407A-AFB3-6C993D9B38DD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2126-407A-AFB3-6C993D9B38DD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2126-407A-AFB3-6C993D9B38DD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2126-407A-AFB3-6C993D9B38DD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2126-407A-AFB3-6C993D9B38DD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2126-407A-AFB3-6C993D9B38DD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2126-407A-AFB3-6C993D9B38DD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2126-407A-AFB3-6C993D9B38DD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2126-407A-AFB3-6C993D9B38DD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2126-407A-AFB3-6C993D9B38DD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2126-407A-AFB3-6C993D9B38DD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2126-407A-AFB3-6C993D9B38DD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2126-407A-AFB3-6C993D9B38DD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2126-407A-AFB3-6C993D9B38DD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2126-407A-AFB3-6C993D9B38DD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2126-407A-AFB3-6C993D9B38DD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2126-407A-AFB3-6C993D9B38DD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2126-407A-AFB3-6C993D9B38DD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2126-407A-AFB3-6C993D9B38DD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2126-407A-AFB3-6C993D9B38DD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2126-407A-AFB3-6C993D9B38DD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2126-407A-AFB3-6C993D9B38DD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2126-407A-AFB3-6C993D9B38DD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2126-407A-AFB3-6C993D9B38DD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2126-407A-AFB3-6C993D9B38DD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2126-407A-AFB3-6C993D9B38DD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2126-407A-AFB3-6C993D9B38DD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2126-407A-AFB3-6C993D9B38DD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2126-407A-AFB3-6C993D9B38DD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2126-407A-AFB3-6C993D9B38DD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2126-407A-AFB3-6C993D9B38DD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2126-407A-AFB3-6C993D9B38DD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2126-407A-AFB3-6C993D9B38DD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2126-407A-AFB3-6C993D9B38DD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2126-407A-AFB3-6C993D9B38DD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2126-407A-AFB3-6C993D9B38DD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2126-407A-AFB3-6C993D9B38DD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2126-407A-AFB3-6C993D9B38DD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2126-407A-AFB3-6C993D9B38DD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2126-407A-AFB3-6C993D9B38DD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2126-407A-AFB3-6C993D9B38DD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2126-407A-AFB3-6C993D9B38DD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2126-407A-AFB3-6C993D9B38DD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2126-407A-AFB3-6C993D9B38DD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2126-407A-AFB3-6C993D9B38DD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2126-407A-AFB3-6C993D9B38DD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2126-407A-AFB3-6C993D9B38DD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2126-407A-AFB3-6C993D9B38DD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2126-407A-AFB3-6C993D9B38DD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2126-407A-AFB3-6C993D9B38DD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2126-407A-AFB3-6C993D9B38DD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2126-407A-AFB3-6C993D9B38DD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2126-407A-AFB3-6C993D9B38DD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2126-407A-AFB3-6C993D9B38DD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2126-407A-AFB3-6C993D9B38DD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2126-407A-AFB3-6C993D9B38DD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2126-407A-AFB3-6C993D9B38DD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2126-407A-AFB3-6C993D9B38DD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2126-407A-AFB3-6C993D9B38DD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2126-407A-AFB3-6C993D9B38DD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2126-407A-AFB3-6C993D9B38DD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2126-407A-AFB3-6C993D9B38DD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2126-407A-AFB3-6C993D9B38DD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2126-407A-AFB3-6C993D9B38DD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2126-407A-AFB3-6C993D9B38DD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2126-407A-AFB3-6C993D9B38DD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2126-407A-AFB3-6C993D9B38DD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2126-407A-AFB3-6C993D9B38DD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2126-407A-AFB3-6C993D9B38DD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2126-407A-AFB3-6C993D9B38DD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2126-407A-AFB3-6C993D9B38DD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2126-407A-AFB3-6C993D9B38DD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2126-407A-AFB3-6C993D9B38DD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2126-407A-AFB3-6C993D9B38DD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2126-407A-AFB3-6C993D9B38DD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2126-407A-AFB3-6C993D9B38DD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2126-407A-AFB3-6C993D9B38DD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2126-407A-AFB3-6C993D9B38DD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2126-407A-AFB3-6C993D9B38DD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2126-407A-AFB3-6C993D9B38DD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2126-407A-AFB3-6C993D9B38DD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2126-407A-AFB3-6C993D9B38DD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2126-407A-AFB3-6C993D9B38DD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2126-407A-AFB3-6C993D9B38DD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2126-407A-AFB3-6C993D9B38DD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2126-407A-AFB3-6C993D9B38DD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2126-407A-AFB3-6C993D9B38DD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2126-407A-AFB3-6C993D9B38DD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2126-407A-AFB3-6C993D9B38DD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2126-407A-AFB3-6C993D9B38DD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2126-407A-AFB3-6C993D9B38DD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2126-407A-AFB3-6C993D9B38DD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2126-407A-AFB3-6C993D9B38DD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2126-407A-AFB3-6C993D9B38DD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2126-407A-AFB3-6C993D9B38DD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2126-407A-AFB3-6C993D9B38DD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2126-407A-AFB3-6C993D9B38DD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2126-407A-AFB3-6C993D9B38DD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2126-407A-AFB3-6C993D9B38DD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2126-407A-AFB3-6C993D9B38DD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2126-407A-AFB3-6C993D9B38DD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2126-407A-AFB3-6C993D9B38DD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2126-407A-AFB3-6C993D9B38DD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2126-407A-AFB3-6C993D9B38DD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2126-407A-AFB3-6C993D9B38DD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2126-407A-AFB3-6C993D9B38DD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2126-407A-AFB3-6C993D9B38DD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2126-407A-AFB3-6C993D9B38DD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2126-407A-AFB3-6C993D9B38DD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2126-407A-AFB3-6C993D9B38DD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2126-407A-AFB3-6C993D9B38DD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2126-407A-AFB3-6C993D9B38DD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2126-407A-AFB3-6C993D9B38DD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2126-407A-AFB3-6C993D9B38DD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2126-407A-AFB3-6C993D9B38DD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2126-407A-AFB3-6C993D9B38DD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2126-407A-AFB3-6C993D9B38DD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2126-407A-AFB3-6C993D9B38DD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2126-407A-AFB3-6C993D9B38DD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2126-407A-AFB3-6C993D9B38DD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2126-407A-AFB3-6C993D9B38DD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2126-407A-AFB3-6C993D9B38DD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2126-407A-AFB3-6C993D9B38DD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2126-407A-AFB3-6C993D9B38DD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2126-407A-AFB3-6C993D9B38DD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2126-407A-AFB3-6C993D9B38DD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2126-407A-AFB3-6C993D9B38DD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2126-407A-AFB3-6C993D9B38DD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2126-407A-AFB3-6C993D9B38DD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2126-407A-AFB3-6C993D9B38DD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2126-407A-AFB3-6C993D9B38DD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2126-407A-AFB3-6C993D9B38DD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2126-407A-AFB3-6C993D9B38DD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2126-407A-AFB3-6C993D9B38DD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2126-407A-AFB3-6C993D9B38DD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2126-407A-AFB3-6C993D9B38DD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2126-407A-AFB3-6C993D9B38DD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2126-407A-AFB3-6C993D9B38DD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2126-407A-AFB3-6C993D9B38DD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2126-407A-AFB3-6C993D9B38DD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2126-407A-AFB3-6C993D9B38DD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2126-407A-AFB3-6C993D9B38DD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2126-407A-AFB3-6C993D9B38DD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2126-407A-AFB3-6C993D9B38DD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2126-407A-AFB3-6C993D9B38DD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2126-407A-AFB3-6C993D9B38DD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2126-407A-AFB3-6C993D9B38DD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2126-407A-AFB3-6C993D9B38DD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2126-407A-AFB3-6C993D9B38DD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2126-407A-AFB3-6C993D9B38DD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2126-407A-AFB3-6C993D9B38DD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2126-407A-AFB3-6C993D9B38DD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2126-407A-AFB3-6C993D9B38DD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2126-407A-AFB3-6C993D9B38DD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2126-407A-AFB3-6C993D9B38DD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2126-407A-AFB3-6C993D9B38DD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2126-407A-AFB3-6C993D9B38DD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2126-407A-AFB3-6C993D9B38DD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2126-407A-AFB3-6C993D9B38DD}"/>
              </c:ext>
            </c:extLst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2126-407A-AFB3-6C993D9B38DD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2126-407A-AFB3-6C993D9B38DD}"/>
              </c:ext>
            </c:extLst>
          </c:dPt>
          <c:val>
            <c:numRef>
              <c:f>'Companies Office'!$C$34:$C$298</c:f>
              <c:numCache>
                <c:formatCode>0.00%</c:formatCode>
                <c:ptCount val="26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12-2126-407A-AFB3-6C993D9B3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'Google trends'!$B$1</c:f>
              <c:strCache>
                <c:ptCount val="1"/>
                <c:pt idx="0">
                  <c:v>9 Spokes</c:v>
                </c:pt>
              </c:strCache>
            </c:strRef>
          </c:tx>
          <c:spPr>
            <a:ln w="28575" cap="rnd">
              <a:solidFill>
                <a:srgbClr val="8EA9DB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'Google trends'!$B$2:$B$37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49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49</c:v>
                </c:pt>
                <c:pt idx="7">
                  <c:v>0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48</c:v>
                </c:pt>
                <c:pt idx="12">
                  <c:v>0</c:v>
                </c:pt>
                <c:pt idx="13">
                  <c:v>45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80</c:v>
                </c:pt>
                <c:pt idx="19">
                  <c:v>40</c:v>
                </c:pt>
                <c:pt idx="20">
                  <c:v>41</c:v>
                </c:pt>
                <c:pt idx="21">
                  <c:v>39</c:v>
                </c:pt>
                <c:pt idx="22">
                  <c:v>76</c:v>
                </c:pt>
                <c:pt idx="23">
                  <c:v>73</c:v>
                </c:pt>
                <c:pt idx="24">
                  <c:v>0</c:v>
                </c:pt>
                <c:pt idx="25">
                  <c:v>0</c:v>
                </c:pt>
                <c:pt idx="26">
                  <c:v>40</c:v>
                </c:pt>
                <c:pt idx="27">
                  <c:v>0</c:v>
                </c:pt>
                <c:pt idx="28">
                  <c:v>40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34-491A-8030-698EEDA2FF52}"/>
            </c:ext>
          </c:extLst>
        </c:ser>
        <c:ser>
          <c:idx val="1"/>
          <c:order val="1"/>
          <c:tx>
            <c:strRef>
              <c:f>'Google trends'!$C$1</c:f>
              <c:strCache>
                <c:ptCount val="1"/>
                <c:pt idx="0">
                  <c:v>Competitor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circle"/>
            <c:size val="2"/>
            <c:spPr>
              <a:solidFill>
                <a:srgbClr val="7030A0"/>
              </a:solidFill>
              <a:ln w="9525">
                <a:solidFill>
                  <a:srgbClr val="7030A0"/>
                </a:solidFill>
                <a:prstDash val="solid"/>
              </a:ln>
              <a:effectLst/>
            </c:spPr>
          </c:marker>
          <c:val>
            <c:numRef>
              <c:f>'Google trends'!$C$2:$C$37</c:f>
              <c:numCache>
                <c:formatCode>General</c:formatCode>
                <c:ptCount val="3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49</c:v>
                </c:pt>
                <c:pt idx="4">
                  <c:v>0</c:v>
                </c:pt>
                <c:pt idx="5">
                  <c:v>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30</c:v>
                </c:pt>
                <c:pt idx="17">
                  <c:v>0</c:v>
                </c:pt>
                <c:pt idx="18">
                  <c:v>0</c:v>
                </c:pt>
                <c:pt idx="19">
                  <c:v>40</c:v>
                </c:pt>
                <c:pt idx="20">
                  <c:v>0</c:v>
                </c:pt>
                <c:pt idx="21">
                  <c:v>40</c:v>
                </c:pt>
                <c:pt idx="22">
                  <c:v>0</c:v>
                </c:pt>
                <c:pt idx="23">
                  <c:v>0</c:v>
                </c:pt>
                <c:pt idx="24">
                  <c:v>40</c:v>
                </c:pt>
                <c:pt idx="25">
                  <c:v>0</c:v>
                </c:pt>
                <c:pt idx="26">
                  <c:v>40</c:v>
                </c:pt>
                <c:pt idx="27">
                  <c:v>0</c:v>
                </c:pt>
                <c:pt idx="28">
                  <c:v>0</c:v>
                </c:pt>
                <c:pt idx="29">
                  <c:v>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80</c:v>
                </c:pt>
                <c:pt idx="35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34-491A-8030-698EEDA2F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452536"/>
        <c:axId val="836461272"/>
      </c:lineChart>
      <c:catAx>
        <c:axId val="83645253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solidFill>
            <a:srgbClr val="FFFFFF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461272"/>
        <c:crosses val="autoZero"/>
        <c:auto val="1"/>
        <c:lblAlgn val="ctr"/>
        <c:lblOffset val="100"/>
        <c:noMultiLvlLbl val="0"/>
      </c:catAx>
      <c:valAx>
        <c:axId val="8364612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4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Google Trends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'Google trends'!$B$1</c:f>
              <c:strCache>
                <c:ptCount val="1"/>
                <c:pt idx="0">
                  <c:v>9 Spokes</c:v>
                </c:pt>
              </c:strCache>
            </c:strRef>
          </c:tx>
          <c:spPr>
            <a:ln w="28575" cap="rnd">
              <a:solidFill>
                <a:srgbClr val="8EA9DB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'Google trends'!$A$2:$A$37</c:f>
              <c:numCache>
                <c:formatCode>m/d/yyyy</c:formatCode>
                <c:ptCount val="36"/>
                <c:pt idx="0">
                  <c:v>43576</c:v>
                </c:pt>
                <c:pt idx="1">
                  <c:v>43583</c:v>
                </c:pt>
                <c:pt idx="2">
                  <c:v>43590</c:v>
                </c:pt>
                <c:pt idx="3">
                  <c:v>43597</c:v>
                </c:pt>
                <c:pt idx="4">
                  <c:v>43604</c:v>
                </c:pt>
                <c:pt idx="5">
                  <c:v>43611</c:v>
                </c:pt>
                <c:pt idx="6">
                  <c:v>43618</c:v>
                </c:pt>
                <c:pt idx="7">
                  <c:v>43625</c:v>
                </c:pt>
                <c:pt idx="8">
                  <c:v>43632</c:v>
                </c:pt>
                <c:pt idx="9">
                  <c:v>43639</c:v>
                </c:pt>
                <c:pt idx="10">
                  <c:v>43646</c:v>
                </c:pt>
                <c:pt idx="11">
                  <c:v>43653</c:v>
                </c:pt>
                <c:pt idx="12">
                  <c:v>43660</c:v>
                </c:pt>
                <c:pt idx="13">
                  <c:v>43667</c:v>
                </c:pt>
                <c:pt idx="14">
                  <c:v>43674</c:v>
                </c:pt>
                <c:pt idx="15">
                  <c:v>43681</c:v>
                </c:pt>
                <c:pt idx="16">
                  <c:v>43688</c:v>
                </c:pt>
                <c:pt idx="17">
                  <c:v>43695</c:v>
                </c:pt>
                <c:pt idx="18">
                  <c:v>43702</c:v>
                </c:pt>
                <c:pt idx="19">
                  <c:v>43709</c:v>
                </c:pt>
                <c:pt idx="20">
                  <c:v>43716</c:v>
                </c:pt>
                <c:pt idx="21">
                  <c:v>43723</c:v>
                </c:pt>
                <c:pt idx="22">
                  <c:v>43730</c:v>
                </c:pt>
                <c:pt idx="23">
                  <c:v>43737</c:v>
                </c:pt>
                <c:pt idx="24">
                  <c:v>43744</c:v>
                </c:pt>
                <c:pt idx="25">
                  <c:v>43751</c:v>
                </c:pt>
                <c:pt idx="26">
                  <c:v>43758</c:v>
                </c:pt>
                <c:pt idx="27">
                  <c:v>43765</c:v>
                </c:pt>
                <c:pt idx="28">
                  <c:v>43772</c:v>
                </c:pt>
                <c:pt idx="29">
                  <c:v>43779</c:v>
                </c:pt>
                <c:pt idx="30">
                  <c:v>43786</c:v>
                </c:pt>
                <c:pt idx="31">
                  <c:v>43793</c:v>
                </c:pt>
                <c:pt idx="32">
                  <c:v>43800</c:v>
                </c:pt>
                <c:pt idx="33">
                  <c:v>43807</c:v>
                </c:pt>
                <c:pt idx="34">
                  <c:v>43814</c:v>
                </c:pt>
                <c:pt idx="35">
                  <c:v>43821</c:v>
                </c:pt>
              </c:numCache>
            </c:numRef>
          </c:cat>
          <c:val>
            <c:numRef>
              <c:f>'Google trends'!$B$2:$B$37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49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49</c:v>
                </c:pt>
                <c:pt idx="7">
                  <c:v>0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48</c:v>
                </c:pt>
                <c:pt idx="12">
                  <c:v>0</c:v>
                </c:pt>
                <c:pt idx="13">
                  <c:v>45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80</c:v>
                </c:pt>
                <c:pt idx="19">
                  <c:v>40</c:v>
                </c:pt>
                <c:pt idx="20">
                  <c:v>41</c:v>
                </c:pt>
                <c:pt idx="21">
                  <c:v>39</c:v>
                </c:pt>
                <c:pt idx="22">
                  <c:v>76</c:v>
                </c:pt>
                <c:pt idx="23">
                  <c:v>73</c:v>
                </c:pt>
                <c:pt idx="24">
                  <c:v>0</c:v>
                </c:pt>
                <c:pt idx="25">
                  <c:v>0</c:v>
                </c:pt>
                <c:pt idx="26">
                  <c:v>40</c:v>
                </c:pt>
                <c:pt idx="27">
                  <c:v>0</c:v>
                </c:pt>
                <c:pt idx="28">
                  <c:v>40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1E-41C3-BBE2-26849B2E67AE}"/>
            </c:ext>
          </c:extLst>
        </c:ser>
        <c:ser>
          <c:idx val="1"/>
          <c:order val="1"/>
          <c:tx>
            <c:strRef>
              <c:f>'Google trends'!$C$1</c:f>
              <c:strCache>
                <c:ptCount val="1"/>
                <c:pt idx="0">
                  <c:v>Competitor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'Google trends'!$A$2:$A$37</c:f>
              <c:numCache>
                <c:formatCode>m/d/yyyy</c:formatCode>
                <c:ptCount val="36"/>
                <c:pt idx="0">
                  <c:v>43576</c:v>
                </c:pt>
                <c:pt idx="1">
                  <c:v>43583</c:v>
                </c:pt>
                <c:pt idx="2">
                  <c:v>43590</c:v>
                </c:pt>
                <c:pt idx="3">
                  <c:v>43597</c:v>
                </c:pt>
                <c:pt idx="4">
                  <c:v>43604</c:v>
                </c:pt>
                <c:pt idx="5">
                  <c:v>43611</c:v>
                </c:pt>
                <c:pt idx="6">
                  <c:v>43618</c:v>
                </c:pt>
                <c:pt idx="7">
                  <c:v>43625</c:v>
                </c:pt>
                <c:pt idx="8">
                  <c:v>43632</c:v>
                </c:pt>
                <c:pt idx="9">
                  <c:v>43639</c:v>
                </c:pt>
                <c:pt idx="10">
                  <c:v>43646</c:v>
                </c:pt>
                <c:pt idx="11">
                  <c:v>43653</c:v>
                </c:pt>
                <c:pt idx="12">
                  <c:v>43660</c:v>
                </c:pt>
                <c:pt idx="13">
                  <c:v>43667</c:v>
                </c:pt>
                <c:pt idx="14">
                  <c:v>43674</c:v>
                </c:pt>
                <c:pt idx="15">
                  <c:v>43681</c:v>
                </c:pt>
                <c:pt idx="16">
                  <c:v>43688</c:v>
                </c:pt>
                <c:pt idx="17">
                  <c:v>43695</c:v>
                </c:pt>
                <c:pt idx="18">
                  <c:v>43702</c:v>
                </c:pt>
                <c:pt idx="19">
                  <c:v>43709</c:v>
                </c:pt>
                <c:pt idx="20">
                  <c:v>43716</c:v>
                </c:pt>
                <c:pt idx="21">
                  <c:v>43723</c:v>
                </c:pt>
                <c:pt idx="22">
                  <c:v>43730</c:v>
                </c:pt>
                <c:pt idx="23">
                  <c:v>43737</c:v>
                </c:pt>
                <c:pt idx="24">
                  <c:v>43744</c:v>
                </c:pt>
                <c:pt idx="25">
                  <c:v>43751</c:v>
                </c:pt>
                <c:pt idx="26">
                  <c:v>43758</c:v>
                </c:pt>
                <c:pt idx="27">
                  <c:v>43765</c:v>
                </c:pt>
                <c:pt idx="28">
                  <c:v>43772</c:v>
                </c:pt>
                <c:pt idx="29">
                  <c:v>43779</c:v>
                </c:pt>
                <c:pt idx="30">
                  <c:v>43786</c:v>
                </c:pt>
                <c:pt idx="31">
                  <c:v>43793</c:v>
                </c:pt>
                <c:pt idx="32">
                  <c:v>43800</c:v>
                </c:pt>
                <c:pt idx="33">
                  <c:v>43807</c:v>
                </c:pt>
                <c:pt idx="34">
                  <c:v>43814</c:v>
                </c:pt>
                <c:pt idx="35">
                  <c:v>43821</c:v>
                </c:pt>
              </c:numCache>
            </c:numRef>
          </c:cat>
          <c:val>
            <c:numRef>
              <c:f>'Google trends'!$C$2:$C$37</c:f>
              <c:numCache>
                <c:formatCode>General</c:formatCode>
                <c:ptCount val="3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49</c:v>
                </c:pt>
                <c:pt idx="4">
                  <c:v>0</c:v>
                </c:pt>
                <c:pt idx="5">
                  <c:v>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30</c:v>
                </c:pt>
                <c:pt idx="17">
                  <c:v>0</c:v>
                </c:pt>
                <c:pt idx="18">
                  <c:v>0</c:v>
                </c:pt>
                <c:pt idx="19">
                  <c:v>40</c:v>
                </c:pt>
                <c:pt idx="20">
                  <c:v>0</c:v>
                </c:pt>
                <c:pt idx="21">
                  <c:v>40</c:v>
                </c:pt>
                <c:pt idx="22">
                  <c:v>0</c:v>
                </c:pt>
                <c:pt idx="23">
                  <c:v>0</c:v>
                </c:pt>
                <c:pt idx="24">
                  <c:v>40</c:v>
                </c:pt>
                <c:pt idx="25">
                  <c:v>0</c:v>
                </c:pt>
                <c:pt idx="26">
                  <c:v>40</c:v>
                </c:pt>
                <c:pt idx="27">
                  <c:v>0</c:v>
                </c:pt>
                <c:pt idx="28">
                  <c:v>0</c:v>
                </c:pt>
                <c:pt idx="29">
                  <c:v>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80</c:v>
                </c:pt>
                <c:pt idx="35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E-41C3-BBE2-26849B2E6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149335"/>
        <c:axId val="496154327"/>
      </c:lineChart>
      <c:dateAx>
        <c:axId val="4961493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54327"/>
        <c:crosses val="autoZero"/>
        <c:auto val="1"/>
        <c:lblOffset val="100"/>
        <c:baseTimeUnit val="days"/>
      </c:dateAx>
      <c:valAx>
        <c:axId val="496154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49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'Companies house'!$E$1:$E$2</c:f>
              <c:strCache>
                <c:ptCount val="2"/>
                <c:pt idx="0">
                  <c:v>Competitor</c:v>
                </c:pt>
                <c:pt idx="1">
                  <c:v>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1E-4EB5-92BB-D392E4A79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1E-4EB5-92BB-D392E4A79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1E-4EB5-92BB-D392E4A79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41E-4EB5-92BB-D392E4A7980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41E-4EB5-92BB-D392E4A79806}"/>
              </c:ext>
            </c:extLst>
          </c:dPt>
          <c:cat>
            <c:strRef>
              <c:f>'Companies house'!$D$3:$D$7</c:f>
              <c:strCache>
                <c:ptCount val="5"/>
                <c:pt idx="0">
                  <c:v>Jamie</c:v>
                </c:pt>
                <c:pt idx="1">
                  <c:v>Adrian</c:v>
                </c:pt>
                <c:pt idx="2">
                  <c:v>Hayden</c:v>
                </c:pt>
                <c:pt idx="3">
                  <c:v>Jin</c:v>
                </c:pt>
                <c:pt idx="4">
                  <c:v>Siyu</c:v>
                </c:pt>
              </c:strCache>
            </c:strRef>
          </c:cat>
          <c:val>
            <c:numRef>
              <c:f>'Companies house'!$E$3:$E$7</c:f>
              <c:numCache>
                <c:formatCode>0.00</c:formatCode>
                <c:ptCount val="5"/>
                <c:pt idx="0">
                  <c:v>36.799999999999997</c:v>
                </c:pt>
                <c:pt idx="1">
                  <c:v>30.97</c:v>
                </c:pt>
                <c:pt idx="2">
                  <c:v>20</c:v>
                </c:pt>
                <c:pt idx="3">
                  <c:v>10.23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97-4460-B4F1-9DF4CD2A3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'Companies house'!$B$1:$B$4</c:f>
              <c:strCache>
                <c:ptCount val="4"/>
                <c:pt idx="0">
                  <c:v>9 Spokes</c:v>
                </c:pt>
                <c:pt idx="1">
                  <c:v>%</c:v>
                </c:pt>
                <c:pt idx="2">
                  <c:v>8.72</c:v>
                </c:pt>
                <c:pt idx="3">
                  <c:v>5.99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09-4DE6-9C3C-D84055C47AF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09-4DE6-9C3C-D84055C47AF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09-4DE6-9C3C-D84055C47AF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09-4DE6-9C3C-D84055C47AF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209-4DE6-9C3C-D84055C47AF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209-4DE6-9C3C-D84055C47AF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209-4DE6-9C3C-D84055C47AF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209-4DE6-9C3C-D84055C47AF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209-4DE6-9C3C-D84055C47AF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209-4DE6-9C3C-D84055C47AF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209-4DE6-9C3C-D84055C47AFB}"/>
              </c:ext>
            </c:extLst>
          </c:dPt>
          <c:cat>
            <c:strRef>
              <c:f>'Companies house'!$A$3:$A$13</c:f>
              <c:strCache>
                <c:ptCount val="11"/>
                <c:pt idx="0">
                  <c:v>CS Third Nominees Pty Limited, HSBC Cust Nom Au Ltd</c:v>
                </c:pt>
                <c:pt idx="1">
                  <c:v>HARROGATE TRUSTEE LIMITED</c:v>
                </c:pt>
                <c:pt idx="2">
                  <c:v>HSBC Custody Nominees (Australia) Limited A/C 2</c:v>
                </c:pt>
                <c:pt idx="3">
                  <c:v>M &amp; M NO.2 LIMITED</c:v>
                </c:pt>
                <c:pt idx="4">
                  <c:v>AJ TRUSTEE SERVICES LIMITED</c:v>
                </c:pt>
                <c:pt idx="5">
                  <c:v>Citicorp Nominees Pty Ltd</c:v>
                </c:pt>
                <c:pt idx="6">
                  <c:v>G &amp; S CAPITAL LIMITED</c:v>
                </c:pt>
                <c:pt idx="7">
                  <c:v>SEKOTS GROUP LIMITED</c:v>
                </c:pt>
                <c:pt idx="8">
                  <c:v>FRANC HOLDINGS LIMITED</c:v>
                </c:pt>
                <c:pt idx="9">
                  <c:v>OPTIMUM HOLDINGS LIMITED</c:v>
                </c:pt>
                <c:pt idx="10">
                  <c:v>other</c:v>
                </c:pt>
              </c:strCache>
            </c:strRef>
          </c:cat>
          <c:val>
            <c:numRef>
              <c:f>'Companies house'!$B$3:$B$13</c:f>
              <c:numCache>
                <c:formatCode>General</c:formatCode>
                <c:ptCount val="11"/>
                <c:pt idx="0">
                  <c:v>8.7200000000000006</c:v>
                </c:pt>
                <c:pt idx="1">
                  <c:v>5.99</c:v>
                </c:pt>
                <c:pt idx="2">
                  <c:v>4.47</c:v>
                </c:pt>
                <c:pt idx="3">
                  <c:v>4.2300000000000004</c:v>
                </c:pt>
                <c:pt idx="4">
                  <c:v>4.22</c:v>
                </c:pt>
                <c:pt idx="5">
                  <c:v>3.71</c:v>
                </c:pt>
                <c:pt idx="6">
                  <c:v>3.09</c:v>
                </c:pt>
                <c:pt idx="7">
                  <c:v>2.63</c:v>
                </c:pt>
                <c:pt idx="8">
                  <c:v>2.52</c:v>
                </c:pt>
                <c:pt idx="9">
                  <c:v>2.39</c:v>
                </c:pt>
                <c:pt idx="10">
                  <c:v>58.029999999999994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D7-456C-9B52-A21576E60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Twitter Hashtag Trends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Twitter!$B$1</c:f>
              <c:strCache>
                <c:ptCount val="1"/>
                <c:pt idx="0">
                  <c:v>#</c:v>
                </c:pt>
              </c:strCache>
            </c:strRef>
          </c:tx>
          <c:spPr>
            <a:ln w="28575" cap="rnd">
              <a:solidFill>
                <a:srgbClr val="8EA9DB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Twitter!$A$3:$A$27</c:f>
              <c:numCache>
                <c:formatCode>m/d/yyyy</c:formatCode>
                <c:ptCount val="25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</c:numCache>
            </c:numRef>
          </c:cat>
          <c:val>
            <c:numRef>
              <c:f>Twitter!$B$3:$B$27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9</c:v>
                </c:pt>
                <c:pt idx="6">
                  <c:v>12</c:v>
                </c:pt>
                <c:pt idx="7">
                  <c:v>21</c:v>
                </c:pt>
                <c:pt idx="8">
                  <c:v>21</c:v>
                </c:pt>
                <c:pt idx="9">
                  <c:v>26</c:v>
                </c:pt>
                <c:pt idx="10">
                  <c:v>30</c:v>
                </c:pt>
                <c:pt idx="11">
                  <c:v>37</c:v>
                </c:pt>
                <c:pt idx="12">
                  <c:v>45</c:v>
                </c:pt>
                <c:pt idx="13">
                  <c:v>60</c:v>
                </c:pt>
                <c:pt idx="14">
                  <c:v>80</c:v>
                </c:pt>
                <c:pt idx="15">
                  <c:v>100</c:v>
                </c:pt>
                <c:pt idx="16">
                  <c:v>110</c:v>
                </c:pt>
                <c:pt idx="17">
                  <c:v>115</c:v>
                </c:pt>
                <c:pt idx="18">
                  <c:v>120</c:v>
                </c:pt>
                <c:pt idx="19">
                  <c:v>127</c:v>
                </c:pt>
                <c:pt idx="20">
                  <c:v>135</c:v>
                </c:pt>
                <c:pt idx="21">
                  <c:v>145</c:v>
                </c:pt>
                <c:pt idx="22">
                  <c:v>155</c:v>
                </c:pt>
                <c:pt idx="23">
                  <c:v>170</c:v>
                </c:pt>
                <c:pt idx="2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6-48B5-9060-D85A7860A469}"/>
            </c:ext>
          </c:extLst>
        </c:ser>
        <c:ser>
          <c:idx val="1"/>
          <c:order val="1"/>
          <c:tx>
            <c:strRef>
              <c:f>Twitter!$C$1</c:f>
              <c:strCache>
                <c:ptCount val="1"/>
              </c:strCache>
            </c:strRef>
          </c:tx>
          <c:spPr>
            <a:ln w="28575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Twitter!$A$3:$A$27</c:f>
              <c:numCache>
                <c:formatCode>m/d/yyyy</c:formatCode>
                <c:ptCount val="25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</c:numCache>
            </c:numRef>
          </c:cat>
          <c:val>
            <c:numRef>
              <c:f>Twitter!$C$3:$C$27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7</c:v>
                </c:pt>
                <c:pt idx="9">
                  <c:v>8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30</c:v>
                </c:pt>
                <c:pt idx="14">
                  <c:v>45</c:v>
                </c:pt>
                <c:pt idx="15">
                  <c:v>55</c:v>
                </c:pt>
                <c:pt idx="16">
                  <c:v>60</c:v>
                </c:pt>
                <c:pt idx="17">
                  <c:v>65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70</c:v>
                </c:pt>
                <c:pt idx="22">
                  <c:v>71</c:v>
                </c:pt>
                <c:pt idx="23">
                  <c:v>73</c:v>
                </c:pt>
                <c:pt idx="24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6-48B5-9060-D85A7860A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06311"/>
        <c:axId val="43599655"/>
      </c:lineChart>
      <c:dateAx>
        <c:axId val="436063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9655"/>
        <c:crosses val="autoZero"/>
        <c:auto val="1"/>
        <c:lblOffset val="100"/>
        <c:baseTimeUnit val="days"/>
        <c:majorUnit val="2"/>
        <c:majorTimeUnit val="days"/>
        <c:minorTimeUnit val="days"/>
      </c:dateAx>
      <c:valAx>
        <c:axId val="43599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Usage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06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'google finance '!$B$8</c:f>
              <c:strCache>
                <c:ptCount val="1"/>
                <c:pt idx="0">
                  <c:v>Competitor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'google finance '!$A$9:$A$51</c:f>
              <c:numCache>
                <c:formatCode>d/mm/yy;@</c:formatCode>
                <c:ptCount val="43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  <c:pt idx="29">
                  <c:v>43891</c:v>
                </c:pt>
                <c:pt idx="30">
                  <c:v>43892</c:v>
                </c:pt>
                <c:pt idx="31">
                  <c:v>43893</c:v>
                </c:pt>
                <c:pt idx="32">
                  <c:v>43894</c:v>
                </c:pt>
                <c:pt idx="33">
                  <c:v>43895</c:v>
                </c:pt>
                <c:pt idx="34">
                  <c:v>43896</c:v>
                </c:pt>
                <c:pt idx="35">
                  <c:v>43897</c:v>
                </c:pt>
                <c:pt idx="36">
                  <c:v>43898</c:v>
                </c:pt>
                <c:pt idx="37">
                  <c:v>43899</c:v>
                </c:pt>
                <c:pt idx="38">
                  <c:v>43900</c:v>
                </c:pt>
                <c:pt idx="39">
                  <c:v>43901</c:v>
                </c:pt>
                <c:pt idx="40">
                  <c:v>43902</c:v>
                </c:pt>
                <c:pt idx="41">
                  <c:v>43903</c:v>
                </c:pt>
                <c:pt idx="42">
                  <c:v>43904</c:v>
                </c:pt>
              </c:numCache>
            </c:numRef>
          </c:cat>
          <c:val>
            <c:numRef>
              <c:f>'google finance '!$B$9:$B$51</c:f>
              <c:numCache>
                <c:formatCode>0.0%</c:formatCode>
                <c:ptCount val="43"/>
                <c:pt idx="0">
                  <c:v>0</c:v>
                </c:pt>
                <c:pt idx="1">
                  <c:v>-0.01</c:v>
                </c:pt>
                <c:pt idx="2">
                  <c:v>-1.4999999999999999E-2</c:v>
                </c:pt>
                <c:pt idx="3">
                  <c:v>-0.01</c:v>
                </c:pt>
                <c:pt idx="4">
                  <c:v>-0.01</c:v>
                </c:pt>
                <c:pt idx="5">
                  <c:v>-5.0000000000000001E-3</c:v>
                </c:pt>
                <c:pt idx="6">
                  <c:v>0.01</c:v>
                </c:pt>
                <c:pt idx="7">
                  <c:v>0.04</c:v>
                </c:pt>
                <c:pt idx="8">
                  <c:v>0.05</c:v>
                </c:pt>
                <c:pt idx="9">
                  <c:v>5.5E-2</c:v>
                </c:pt>
                <c:pt idx="10">
                  <c:v>0.05</c:v>
                </c:pt>
                <c:pt idx="11">
                  <c:v>4.4999999999999998E-2</c:v>
                </c:pt>
                <c:pt idx="12">
                  <c:v>4.4999999999999998E-2</c:v>
                </c:pt>
                <c:pt idx="13">
                  <c:v>0.05</c:v>
                </c:pt>
                <c:pt idx="14">
                  <c:v>0.06</c:v>
                </c:pt>
                <c:pt idx="15">
                  <c:v>0.08</c:v>
                </c:pt>
                <c:pt idx="16">
                  <c:v>0.1</c:v>
                </c:pt>
                <c:pt idx="17">
                  <c:v>0.11</c:v>
                </c:pt>
                <c:pt idx="18">
                  <c:v>0.1</c:v>
                </c:pt>
                <c:pt idx="19">
                  <c:v>0.12</c:v>
                </c:pt>
                <c:pt idx="20">
                  <c:v>0.12</c:v>
                </c:pt>
                <c:pt idx="21">
                  <c:v>0.115</c:v>
                </c:pt>
                <c:pt idx="22">
                  <c:v>0.1</c:v>
                </c:pt>
                <c:pt idx="23">
                  <c:v>0.09</c:v>
                </c:pt>
                <c:pt idx="24">
                  <c:v>7.0000000000000007E-2</c:v>
                </c:pt>
                <c:pt idx="25">
                  <c:v>0.05</c:v>
                </c:pt>
                <c:pt idx="26">
                  <c:v>0.04</c:v>
                </c:pt>
                <c:pt idx="27">
                  <c:v>3.5000000000000003E-2</c:v>
                </c:pt>
                <c:pt idx="28">
                  <c:v>0.04</c:v>
                </c:pt>
                <c:pt idx="29">
                  <c:v>7.0000000000000007E-2</c:v>
                </c:pt>
                <c:pt idx="30">
                  <c:v>0.06</c:v>
                </c:pt>
                <c:pt idx="31">
                  <c:v>7.0000000000000007E-2</c:v>
                </c:pt>
                <c:pt idx="32">
                  <c:v>0.06</c:v>
                </c:pt>
                <c:pt idx="33">
                  <c:v>0.06</c:v>
                </c:pt>
                <c:pt idx="34">
                  <c:v>0.04</c:v>
                </c:pt>
                <c:pt idx="35">
                  <c:v>0.02</c:v>
                </c:pt>
                <c:pt idx="36">
                  <c:v>-0.01</c:v>
                </c:pt>
                <c:pt idx="37">
                  <c:v>0.01</c:v>
                </c:pt>
                <c:pt idx="38">
                  <c:v>0.03</c:v>
                </c:pt>
                <c:pt idx="39">
                  <c:v>0</c:v>
                </c:pt>
                <c:pt idx="40">
                  <c:v>-0.05</c:v>
                </c:pt>
                <c:pt idx="41">
                  <c:v>-0.02</c:v>
                </c:pt>
                <c:pt idx="42">
                  <c:v>-0.1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B0-43D2-BB0D-5E41F195C4C5}"/>
            </c:ext>
          </c:extLst>
        </c:ser>
        <c:ser>
          <c:idx val="1"/>
          <c:order val="1"/>
          <c:tx>
            <c:strRef>
              <c:f>'google finance '!$C$8</c:f>
              <c:strCache>
                <c:ptCount val="1"/>
                <c:pt idx="0">
                  <c:v>Competitor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'google finance '!$A$9:$A$51</c:f>
              <c:numCache>
                <c:formatCode>d/mm/yy;@</c:formatCode>
                <c:ptCount val="43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  <c:pt idx="29">
                  <c:v>43891</c:v>
                </c:pt>
                <c:pt idx="30">
                  <c:v>43892</c:v>
                </c:pt>
                <c:pt idx="31">
                  <c:v>43893</c:v>
                </c:pt>
                <c:pt idx="32">
                  <c:v>43894</c:v>
                </c:pt>
                <c:pt idx="33">
                  <c:v>43895</c:v>
                </c:pt>
                <c:pt idx="34">
                  <c:v>43896</c:v>
                </c:pt>
                <c:pt idx="35">
                  <c:v>43897</c:v>
                </c:pt>
                <c:pt idx="36">
                  <c:v>43898</c:v>
                </c:pt>
                <c:pt idx="37">
                  <c:v>43899</c:v>
                </c:pt>
                <c:pt idx="38">
                  <c:v>43900</c:v>
                </c:pt>
                <c:pt idx="39">
                  <c:v>43901</c:v>
                </c:pt>
                <c:pt idx="40">
                  <c:v>43902</c:v>
                </c:pt>
                <c:pt idx="41">
                  <c:v>43903</c:v>
                </c:pt>
                <c:pt idx="42">
                  <c:v>43904</c:v>
                </c:pt>
              </c:numCache>
            </c:numRef>
          </c:cat>
          <c:val>
            <c:numRef>
              <c:f>'google finance '!$C$9:$C$51</c:f>
              <c:numCache>
                <c:formatCode>0.0%</c:formatCode>
                <c:ptCount val="43"/>
                <c:pt idx="0">
                  <c:v>0</c:v>
                </c:pt>
                <c:pt idx="1">
                  <c:v>-1.4999999999999999E-2</c:v>
                </c:pt>
                <c:pt idx="2">
                  <c:v>-0.02</c:v>
                </c:pt>
                <c:pt idx="3">
                  <c:v>-0.01</c:v>
                </c:pt>
                <c:pt idx="4">
                  <c:v>-5.0000000000000001E-3</c:v>
                </c:pt>
                <c:pt idx="5">
                  <c:v>0.03</c:v>
                </c:pt>
                <c:pt idx="6">
                  <c:v>0.05</c:v>
                </c:pt>
                <c:pt idx="7">
                  <c:v>0.08</c:v>
                </c:pt>
                <c:pt idx="8">
                  <c:v>0.08</c:v>
                </c:pt>
                <c:pt idx="9">
                  <c:v>0.1</c:v>
                </c:pt>
                <c:pt idx="10">
                  <c:v>9.5000000000000001E-2</c:v>
                </c:pt>
                <c:pt idx="11">
                  <c:v>0.1</c:v>
                </c:pt>
                <c:pt idx="12">
                  <c:v>0.12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0.155</c:v>
                </c:pt>
                <c:pt idx="16">
                  <c:v>0.155</c:v>
                </c:pt>
                <c:pt idx="17">
                  <c:v>0.16</c:v>
                </c:pt>
                <c:pt idx="18">
                  <c:v>0.15</c:v>
                </c:pt>
                <c:pt idx="19">
                  <c:v>0.14499999999999999</c:v>
                </c:pt>
                <c:pt idx="20">
                  <c:v>0.15</c:v>
                </c:pt>
                <c:pt idx="21">
                  <c:v>0.16500000000000001</c:v>
                </c:pt>
                <c:pt idx="22">
                  <c:v>0.16</c:v>
                </c:pt>
                <c:pt idx="23">
                  <c:v>0.15</c:v>
                </c:pt>
                <c:pt idx="24">
                  <c:v>0.14000000000000001</c:v>
                </c:pt>
                <c:pt idx="25">
                  <c:v>0.125</c:v>
                </c:pt>
                <c:pt idx="26">
                  <c:v>0.1</c:v>
                </c:pt>
                <c:pt idx="27">
                  <c:v>0.08</c:v>
                </c:pt>
                <c:pt idx="28">
                  <c:v>0.06</c:v>
                </c:pt>
                <c:pt idx="29">
                  <c:v>0.03</c:v>
                </c:pt>
                <c:pt idx="30">
                  <c:v>0.03</c:v>
                </c:pt>
                <c:pt idx="31">
                  <c:v>0</c:v>
                </c:pt>
                <c:pt idx="32">
                  <c:v>0</c:v>
                </c:pt>
                <c:pt idx="33">
                  <c:v>0.02</c:v>
                </c:pt>
                <c:pt idx="34">
                  <c:v>5.0000000000000001E-3</c:v>
                </c:pt>
                <c:pt idx="35">
                  <c:v>0.03</c:v>
                </c:pt>
                <c:pt idx="36">
                  <c:v>0.01</c:v>
                </c:pt>
                <c:pt idx="37">
                  <c:v>5.0000000000000001E-3</c:v>
                </c:pt>
                <c:pt idx="38">
                  <c:v>-0.01</c:v>
                </c:pt>
                <c:pt idx="39">
                  <c:v>-8.0000000000000002E-3</c:v>
                </c:pt>
                <c:pt idx="40">
                  <c:v>-0.05</c:v>
                </c:pt>
                <c:pt idx="41">
                  <c:v>-0.02</c:v>
                </c:pt>
                <c:pt idx="42">
                  <c:v>-0.08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B0-43D2-BB0D-5E41F195C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3841479"/>
        <c:axId val="803846471"/>
      </c:lineChart>
      <c:dateAx>
        <c:axId val="803841479"/>
        <c:scaling>
          <c:orientation val="minMax"/>
        </c:scaling>
        <c:delete val="0"/>
        <c:axPos val="b"/>
        <c:numFmt formatCode="d/m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846471"/>
        <c:crossesAt val="-15"/>
        <c:auto val="1"/>
        <c:lblOffset val="100"/>
        <c:baseTimeUnit val="days"/>
      </c:dateAx>
      <c:valAx>
        <c:axId val="803846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841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17</xdr:row>
      <xdr:rowOff>180975</xdr:rowOff>
    </xdr:from>
    <xdr:to>
      <xdr:col>30</xdr:col>
      <xdr:colOff>590550</xdr:colOff>
      <xdr:row>31</xdr:row>
      <xdr:rowOff>171450</xdr:rowOff>
    </xdr:to>
    <xdr:graphicFrame macro="">
      <xdr:nvGraphicFramePr>
        <xdr:cNvPr id="18" name="Chart 3">
          <a:extLst>
            <a:ext uri="{FF2B5EF4-FFF2-40B4-BE49-F238E27FC236}">
              <a16:creationId xmlns:a16="http://schemas.microsoft.com/office/drawing/2014/main" id="{A0FC1F26-1F48-4C38-8D2C-4385E4A3E120}"/>
            </a:ext>
            <a:ext uri="{147F2762-F138-4A5C-976F-8EAC2B608ADB}">
              <a16:predDERef xmlns:a16="http://schemas.microsoft.com/office/drawing/2014/main" pred="{4E2A3E61-F5F0-4181-A4FF-5EDD71298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20</xdr:col>
      <xdr:colOff>590550</xdr:colOff>
      <xdr:row>31</xdr:row>
      <xdr:rowOff>171450</xdr:rowOff>
    </xdr:to>
    <xdr:graphicFrame macro="">
      <xdr:nvGraphicFramePr>
        <xdr:cNvPr id="37" name="Chart 1">
          <a:extLst>
            <a:ext uri="{FF2B5EF4-FFF2-40B4-BE49-F238E27FC236}">
              <a16:creationId xmlns:a16="http://schemas.microsoft.com/office/drawing/2014/main" id="{E026BC90-7D65-49B5-BC6C-1AB233385A5C}"/>
            </a:ext>
            <a:ext uri="{147F2762-F138-4A5C-976F-8EAC2B608ADB}">
              <a16:predDERef xmlns:a16="http://schemas.microsoft.com/office/drawing/2014/main" pred="{A0FC1F26-1F48-4C38-8D2C-4385E4A3E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4</xdr:row>
      <xdr:rowOff>9525</xdr:rowOff>
    </xdr:from>
    <xdr:to>
      <xdr:col>20</xdr:col>
      <xdr:colOff>590550</xdr:colOff>
      <xdr:row>18</xdr:row>
      <xdr:rowOff>9525</xdr:rowOff>
    </xdr:to>
    <xdr:graphicFrame macro="">
      <xdr:nvGraphicFramePr>
        <xdr:cNvPr id="36" name="Chart 3">
          <a:extLst>
            <a:ext uri="{FF2B5EF4-FFF2-40B4-BE49-F238E27FC236}">
              <a16:creationId xmlns:a16="http://schemas.microsoft.com/office/drawing/2014/main" id="{3130EF06-E6D8-48CA-9215-B19A08AF98E9}"/>
            </a:ext>
            <a:ext uri="{147F2762-F138-4A5C-976F-8EAC2B608ADB}">
              <a16:predDERef xmlns:a16="http://schemas.microsoft.com/office/drawing/2014/main" pred="{E026BC90-7D65-49B5-BC6C-1AB233385A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15875</xdr:colOff>
      <xdr:row>4</xdr:row>
      <xdr:rowOff>20636</xdr:rowOff>
    </xdr:from>
    <xdr:to>
      <xdr:col>10</xdr:col>
      <xdr:colOff>609600</xdr:colOff>
      <xdr:row>31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9EEE16-49B2-447C-ABF4-DB4C753E4A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15875</xdr:colOff>
      <xdr:row>34</xdr:row>
      <xdr:rowOff>20636</xdr:rowOff>
    </xdr:from>
    <xdr:to>
      <xdr:col>10</xdr:col>
      <xdr:colOff>609600</xdr:colOff>
      <xdr:row>61</xdr:row>
      <xdr:rowOff>146049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B147550-131A-4EF4-902E-F1ED32E73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15875</xdr:colOff>
      <xdr:row>64</xdr:row>
      <xdr:rowOff>20636</xdr:rowOff>
    </xdr:from>
    <xdr:to>
      <xdr:col>10</xdr:col>
      <xdr:colOff>609600</xdr:colOff>
      <xdr:row>91</xdr:row>
      <xdr:rowOff>146049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285A0ECC-EB46-4EF9-BA97-084FDD4FB4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15875</xdr:colOff>
      <xdr:row>94</xdr:row>
      <xdr:rowOff>20636</xdr:rowOff>
    </xdr:from>
    <xdr:to>
      <xdr:col>10</xdr:col>
      <xdr:colOff>609600</xdr:colOff>
      <xdr:row>121</xdr:row>
      <xdr:rowOff>146049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E1D12013-88B5-42CE-87CD-F04CF4A42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15875</xdr:colOff>
      <xdr:row>124</xdr:row>
      <xdr:rowOff>20636</xdr:rowOff>
    </xdr:from>
    <xdr:to>
      <xdr:col>10</xdr:col>
      <xdr:colOff>609600</xdr:colOff>
      <xdr:row>151</xdr:row>
      <xdr:rowOff>146049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333A6E3E-0F61-4FBC-9F4D-9C5225E82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28574</xdr:rowOff>
        </xdr:from>
        <xdr:to>
          <xdr:col>10</xdr:col>
          <xdr:colOff>619125</xdr:colOff>
          <xdr:row>1</xdr:row>
          <xdr:rowOff>209549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A224745-75A7-4716-80F6-3ACADD6E12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114300</xdr:colOff>
      <xdr:row>3</xdr:row>
      <xdr:rowOff>38100</xdr:rowOff>
    </xdr:from>
    <xdr:to>
      <xdr:col>14</xdr:col>
      <xdr:colOff>390525</xdr:colOff>
      <xdr:row>34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A30152-6630-4926-ACC4-5B3785A18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09600"/>
          <a:ext cx="3552825" cy="6038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22</xdr:col>
      <xdr:colOff>371475</xdr:colOff>
      <xdr:row>18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78C109-3695-4158-9290-F478D8E39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8575" y="57150"/>
          <a:ext cx="10058400" cy="3419475"/>
        </a:xfrm>
        <a:prstGeom prst="rect">
          <a:avLst/>
        </a:prstGeom>
      </xdr:spPr>
    </xdr:pic>
    <xdr:clientData/>
  </xdr:twoCellAnchor>
  <xdr:twoCellAnchor>
    <xdr:from>
      <xdr:col>5</xdr:col>
      <xdr:colOff>590550</xdr:colOff>
      <xdr:row>20</xdr:row>
      <xdr:rowOff>180975</xdr:rowOff>
    </xdr:from>
    <xdr:to>
      <xdr:col>22</xdr:col>
      <xdr:colOff>390525</xdr:colOff>
      <xdr:row>40</xdr:row>
      <xdr:rowOff>66675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93B18ED-07F0-4064-AA6C-6440FA84A6B4}"/>
            </a:ext>
            <a:ext uri="{147F2762-F138-4A5C-976F-8EAC2B608ADB}">
              <a16:predDERef xmlns:a16="http://schemas.microsoft.com/office/drawing/2014/main" pred="{0A78C109-3695-4158-9290-F478D8E39F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590550</xdr:colOff>
      <xdr:row>20</xdr:row>
      <xdr:rowOff>180975</xdr:rowOff>
    </xdr:from>
    <xdr:to>
      <xdr:col>22</xdr:col>
      <xdr:colOff>390525</xdr:colOff>
      <xdr:row>40</xdr:row>
      <xdr:rowOff>76200</xdr:rowOff>
    </xdr:to>
    <xdr:graphicFrame macro="">
      <xdr:nvGraphicFramePr>
        <xdr:cNvPr id="11" name="Chart 3">
          <a:extLst>
            <a:ext uri="{FF2B5EF4-FFF2-40B4-BE49-F238E27FC236}">
              <a16:creationId xmlns:a16="http://schemas.microsoft.com/office/drawing/2014/main" id="{BA9E1154-A2FA-44CD-B119-3CB32E2D84CA}"/>
            </a:ext>
            <a:ext uri="{147F2762-F138-4A5C-976F-8EAC2B608ADB}">
              <a16:predDERef xmlns:a16="http://schemas.microsoft.com/office/drawing/2014/main" pred="{093B18ED-07F0-4064-AA6C-6440FA84A6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133350</xdr:rowOff>
    </xdr:from>
    <xdr:to>
      <xdr:col>19</xdr:col>
      <xdr:colOff>400050</xdr:colOff>
      <xdr:row>15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672CD6-A495-4DDB-8BA0-3B6188565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190500</xdr:colOff>
      <xdr:row>15</xdr:row>
      <xdr:rowOff>9525</xdr:rowOff>
    </xdr:from>
    <xdr:to>
      <xdr:col>19</xdr:col>
      <xdr:colOff>400050</xdr:colOff>
      <xdr:row>38</xdr:row>
      <xdr:rowOff>133350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D01A8564-A3FC-44DF-A06C-820EC6C60F11}"/>
            </a:ext>
            <a:ext uri="{147F2762-F138-4A5C-976F-8EAC2B608ADB}">
              <a16:predDERef xmlns:a16="http://schemas.microsoft.com/office/drawing/2014/main" pred="{A8672CD6-A495-4DDB-8BA0-3B6188565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371475</xdr:colOff>
      <xdr:row>7</xdr:row>
      <xdr:rowOff>114300</xdr:rowOff>
    </xdr:from>
    <xdr:to>
      <xdr:col>20</xdr:col>
      <xdr:colOff>0</xdr:colOff>
      <xdr:row>22</xdr:row>
      <xdr:rowOff>0</xdr:rowOff>
    </xdr:to>
    <xdr:graphicFrame macro="">
      <xdr:nvGraphicFramePr>
        <xdr:cNvPr id="32" name="Chart 1">
          <a:extLst>
            <a:ext uri="{FF2B5EF4-FFF2-40B4-BE49-F238E27FC236}">
              <a16:creationId xmlns:a16="http://schemas.microsoft.com/office/drawing/2014/main" id="{BD077DA8-CF23-4965-8F25-9F342E2D7A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561975</xdr:colOff>
      <xdr:row>3</xdr:row>
      <xdr:rowOff>180975</xdr:rowOff>
    </xdr:from>
    <xdr:to>
      <xdr:col>28</xdr:col>
      <xdr:colOff>466725</xdr:colOff>
      <xdr:row>45</xdr:row>
      <xdr:rowOff>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4FBE0DCE-52BA-49EC-A0AB-3AECE30D8B4F}"/>
            </a:ext>
            <a:ext uri="{147F2762-F138-4A5C-976F-8EAC2B608ADB}">
              <a16:predDERef xmlns:a16="http://schemas.microsoft.com/office/drawing/2014/main" pred="{5F62650F-4086-4F41-8E0F-A45C345886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25250" y="752475"/>
          <a:ext cx="6610350" cy="78200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47</xdr:row>
      <xdr:rowOff>0</xdr:rowOff>
    </xdr:from>
    <xdr:to>
      <xdr:col>25</xdr:col>
      <xdr:colOff>295275</xdr:colOff>
      <xdr:row>95</xdr:row>
      <xdr:rowOff>171450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BB03F5DC-0536-4A5C-B55C-503A1A95B53B}"/>
            </a:ext>
            <a:ext uri="{147F2762-F138-4A5C-976F-8EAC2B608ADB}">
              <a16:predDERef xmlns:a16="http://schemas.microsoft.com/office/drawing/2014/main" pred="{4FBE0DCE-52BA-49EC-A0AB-3AECE30D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10775" y="8763000"/>
          <a:ext cx="6391275" cy="93154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8</xdr:row>
      <xdr:rowOff>161925</xdr:rowOff>
    </xdr:from>
    <xdr:to>
      <xdr:col>14</xdr:col>
      <xdr:colOff>304800</xdr:colOff>
      <xdr:row>23</xdr:row>
      <xdr:rowOff>47625</xdr:rowOff>
    </xdr:to>
    <xdr:graphicFrame macro="">
      <xdr:nvGraphicFramePr>
        <xdr:cNvPr id="41" name="Chart 3">
          <a:extLst>
            <a:ext uri="{FF2B5EF4-FFF2-40B4-BE49-F238E27FC236}">
              <a16:creationId xmlns:a16="http://schemas.microsoft.com/office/drawing/2014/main" id="{7DD13DAF-F69F-4EFD-92EC-A74D671B14CD}"/>
            </a:ext>
            <a:ext uri="{147F2762-F138-4A5C-976F-8EAC2B608ADB}">
              <a16:predDERef xmlns:a16="http://schemas.microsoft.com/office/drawing/2014/main" pred="{BB03F5DC-0536-4A5C-B55C-503A1A95B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EEB21F-4243-43C2-A0CA-8B8EE0245440}" name="SimpleAPISheet1" displayName="SimpleAPISheet1" ref="A1:AH2" totalsRowShown="0">
  <autoFilter ref="A1:AH2" xr:uid="{30347808-3A25-411F-AF63-B53CA50E626B}"/>
  <tableColumns count="34">
    <tableColumn id="1" xr3:uid="{4389C63B-4654-45CF-860A-F7A223ECFC43}" name="rates.CAD"/>
    <tableColumn id="2" xr3:uid="{8F9F7E30-FC37-4477-9F1A-A371E4EB3F20}" name="rates.HKD"/>
    <tableColumn id="3" xr3:uid="{7B59E7C4-7336-48D3-BCCA-593B725D4551}" name="rates.ISK"/>
    <tableColumn id="4" xr3:uid="{10B12EBF-643E-4871-8813-00865C52CA60}" name="rates.PHP"/>
    <tableColumn id="5" xr3:uid="{8BC14C97-CCE5-4B9F-A68C-91128AAB9178}" name="rates.DKK"/>
    <tableColumn id="6" xr3:uid="{DC67D22F-A520-44D1-A561-6B7B96C6E2D4}" name="rates.HUF"/>
    <tableColumn id="7" xr3:uid="{8FA4B38D-4C37-4E3B-B532-BC84F542B4E0}" name="rates.CZK"/>
    <tableColumn id="8" xr3:uid="{99C33D9C-E8E1-4173-BCF7-C2BEF76C5BA7}" name="rates.AUD"/>
    <tableColumn id="9" xr3:uid="{E49DCF62-0659-4CBC-965F-63A0AC7C5CD0}" name="rates.RON"/>
    <tableColumn id="10" xr3:uid="{30CA7561-FC12-404D-9D1F-296E258C72F8}" name="rates.SEK"/>
    <tableColumn id="11" xr3:uid="{456BC880-F77D-42B1-9553-62460E4BBE09}" name="rates.IDR"/>
    <tableColumn id="12" xr3:uid="{EFB77325-C827-42EB-A4D0-A06290D92C94}" name="rates.INR"/>
    <tableColumn id="13" xr3:uid="{2155DA1E-6BD4-4CD1-8CD9-4D1B842D55A4}" name="rates.BRL"/>
    <tableColumn id="14" xr3:uid="{F3A242E9-3F44-4D1E-8FDD-E5DC96232020}" name="rates.RUB"/>
    <tableColumn id="15" xr3:uid="{9D622215-52B3-47E7-AA76-D16EFF70F55C}" name="rates.HRK"/>
    <tableColumn id="16" xr3:uid="{1D0568F8-326A-4F4F-9B42-A8D5337B3F43}" name="rates.JPY"/>
    <tableColumn id="17" xr3:uid="{6CD3A71F-CBE2-477C-83D2-1042E4F024EB}" name="rates.THB"/>
    <tableColumn id="18" xr3:uid="{36AAC55F-9603-4331-86E7-6D590F25EB1F}" name="rates.CHF"/>
    <tableColumn id="19" xr3:uid="{BFBA2B62-3466-401A-83FA-C097FAA9ED10}" name="rates.SGD"/>
    <tableColumn id="20" xr3:uid="{30483C7F-07BF-43C0-9CCB-85BA7561B41C}" name="rates.PLN"/>
    <tableColumn id="21" xr3:uid="{1FFCDDA6-D933-4228-B59D-1E0FE23CA556}" name="rates.BGN"/>
    <tableColumn id="22" xr3:uid="{2FD2233B-D1C4-4ED6-BE42-B0F57B226FD6}" name="rates.TRY"/>
    <tableColumn id="23" xr3:uid="{5A157EE1-A819-45FF-95CB-3C5DB149598C}" name="rates.CNY"/>
    <tableColumn id="24" xr3:uid="{E1145C68-A886-4B4B-A0B1-6397F750868F}" name="rates.NOK"/>
    <tableColumn id="25" xr3:uid="{021EFD2A-84BE-4999-B055-2BFF135F0245}" name="rates.NZD"/>
    <tableColumn id="26" xr3:uid="{AD4F1D56-02E1-4EB7-8F80-2C432A9889D3}" name="rates.ZAR"/>
    <tableColumn id="27" xr3:uid="{48ED5DDF-E230-452A-BFFB-A0CEEB3A8F9B}" name="rates.USD"/>
    <tableColumn id="28" xr3:uid="{60123101-DCA0-4214-97B0-F64FACB3254F}" name="rates.MXN"/>
    <tableColumn id="29" xr3:uid="{59E1FCEB-D6FD-4DFF-8195-DFC179F56FF7}" name="rates.ILS"/>
    <tableColumn id="30" xr3:uid="{86C0338F-D46B-4FEF-BE0B-D8427B3009A0}" name="rates.GBP"/>
    <tableColumn id="31" xr3:uid="{532D16A7-2954-4839-BBAE-32A39A74CAA3}" name="rates.KRW"/>
    <tableColumn id="32" xr3:uid="{86399979-7FFC-4DCF-9D14-6EB4157A0403}" name="rates.MYR"/>
    <tableColumn id="33" xr3:uid="{FD7A517B-7D51-456D-AEAE-B2FF82F94247}" name="base"/>
    <tableColumn id="34" xr3:uid="{4105A334-CB6A-4E69-8149-5EAD8EC50DC1}" name="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trends.google.com/trends/explore?geo=US&amp;q=shwoop,9%20spokes" TargetMode="External"/><Relationship Id="rId1" Type="http://schemas.openxmlformats.org/officeDocument/2006/relationships/hyperlink" Target="https://towardsdatascience.com/google-trends-api-for-python-a84bc25db88f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app.companiesoffice.govt.nz/companies/app/ui/pages/companies/3538758" TargetMode="External"/><Relationship Id="rId1" Type="http://schemas.openxmlformats.org/officeDocument/2006/relationships/hyperlink" Target="https://app.companiesoffice.govt.nz/companies/app/ui/pages/companies/6842293?backurl=H4sIAAAAAAAAAC3KQQrCQAyF4dvMticI4spNF4Je4DEJtmCTOMkovb1D6e79j29yvCSmaptD17FC0Opy2YyFIqGMxiV3FxLNNQcpH4rlZ%2BYF%2FIVW4TtU3pStSznQ%2Fhw%2B6DrPZz8S2ePWrPtx%2FwEsagvvdgAAAA%3D%3D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www.google.com/search?q=netflix&amp;tbm=f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40B6C-BB06-4B24-9A97-EEE21E5036B8}">
  <sheetPr codeName="Sheet1"/>
  <dimension ref="A1:AJ152"/>
  <sheetViews>
    <sheetView tabSelected="1" workbookViewId="0">
      <selection activeCell="N35" sqref="N35"/>
    </sheetView>
  </sheetViews>
  <sheetFormatPr defaultRowHeight="14.5" x14ac:dyDescent="0.35"/>
  <cols>
    <col min="1" max="1" width="1.7265625" style="152" customWidth="1"/>
    <col min="2" max="2" width="9.1796875" style="5" customWidth="1"/>
    <col min="3" max="3" width="10.7265625" style="5" customWidth="1"/>
    <col min="4" max="5" width="9.1796875" style="154" customWidth="1"/>
    <col min="6" max="8" width="9.1796875" style="5" customWidth="1"/>
    <col min="9" max="9" width="8.7265625" style="5"/>
    <col min="10" max="12" width="9.1796875" style="5" customWidth="1"/>
    <col min="13" max="13" width="8.7265625" style="5"/>
    <col min="14" max="17" width="9.1796875" style="5" customWidth="1"/>
    <col min="18" max="28" width="8.7265625" style="5"/>
    <col min="29" max="29" width="9.1796875" style="5"/>
    <col min="30" max="16384" width="8.7265625" style="5"/>
  </cols>
  <sheetData>
    <row r="1" spans="1:36" customFormat="1" ht="20" thickBot="1" x14ac:dyDescent="0.5">
      <c r="A1" s="152"/>
      <c r="B1" s="91" t="s">
        <v>0</v>
      </c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2"/>
    </row>
    <row r="2" spans="1:36" customFormat="1" ht="18" thickTop="1" thickBot="1" x14ac:dyDescent="0.45">
      <c r="A2" s="152"/>
      <c r="B2" s="82" t="s">
        <v>1</v>
      </c>
      <c r="C2" s="82"/>
      <c r="D2" s="82"/>
      <c r="E2" s="82"/>
      <c r="F2" s="82"/>
      <c r="G2" s="82"/>
      <c r="H2" s="82"/>
      <c r="I2" s="82"/>
      <c r="J2" s="82"/>
      <c r="K2" s="83"/>
      <c r="L2" s="84" t="s">
        <v>2</v>
      </c>
      <c r="M2" s="82"/>
      <c r="N2" s="82"/>
      <c r="O2" s="82"/>
      <c r="P2" s="82"/>
      <c r="Q2" s="82"/>
      <c r="R2" s="82"/>
      <c r="S2" s="82"/>
      <c r="T2" s="82"/>
      <c r="U2" s="83"/>
      <c r="V2" s="93" t="s">
        <v>3</v>
      </c>
      <c r="W2" s="93"/>
      <c r="X2" s="93"/>
      <c r="Y2" s="93"/>
      <c r="Z2" s="93"/>
      <c r="AA2" s="93"/>
      <c r="AB2" s="93"/>
      <c r="AC2" s="93"/>
      <c r="AD2" s="93"/>
      <c r="AE2" s="94"/>
    </row>
    <row r="3" spans="1:36" customFormat="1" ht="17.5" thickTop="1" x14ac:dyDescent="0.4">
      <c r="A3" s="152"/>
      <c r="B3" s="144">
        <f>'Companies Office'!B1</f>
        <v>1</v>
      </c>
      <c r="C3" s="144"/>
      <c r="D3" s="144"/>
      <c r="E3" s="144"/>
      <c r="F3" s="144"/>
      <c r="G3" s="144"/>
      <c r="H3" s="144"/>
      <c r="I3" s="144"/>
      <c r="J3" s="144"/>
      <c r="K3" s="145"/>
      <c r="L3" s="142"/>
      <c r="M3" s="142"/>
      <c r="N3" s="142"/>
      <c r="O3" s="142"/>
      <c r="P3" s="142"/>
      <c r="Q3" s="142"/>
      <c r="R3" s="142"/>
      <c r="S3" s="142"/>
      <c r="T3" s="142"/>
      <c r="U3" s="143"/>
      <c r="V3" s="142"/>
      <c r="W3" s="142"/>
      <c r="X3" s="142"/>
      <c r="Y3" s="142"/>
      <c r="Z3" s="142"/>
      <c r="AA3" s="142"/>
      <c r="AB3" s="142"/>
      <c r="AC3" s="142"/>
      <c r="AD3" s="142"/>
      <c r="AE3" s="143"/>
    </row>
    <row r="4" spans="1:36" customFormat="1" ht="17" x14ac:dyDescent="0.4">
      <c r="A4" s="152"/>
      <c r="B4" s="146"/>
      <c r="C4" s="146"/>
      <c r="D4" s="146"/>
      <c r="E4" s="146"/>
      <c r="F4" s="146"/>
      <c r="G4" s="146"/>
      <c r="H4" s="146"/>
      <c r="I4" s="146"/>
      <c r="J4" s="146"/>
      <c r="K4" s="147"/>
      <c r="L4" s="142"/>
      <c r="M4" s="142"/>
      <c r="N4" s="142"/>
      <c r="O4" s="142"/>
      <c r="P4" s="142"/>
      <c r="Q4" s="142"/>
      <c r="R4" s="142"/>
      <c r="S4" s="142"/>
      <c r="T4" s="142"/>
      <c r="U4" s="143"/>
      <c r="V4" s="142"/>
      <c r="W4" s="142"/>
      <c r="X4" s="142"/>
      <c r="Y4" s="142"/>
      <c r="Z4" s="142"/>
      <c r="AA4" s="142"/>
      <c r="AB4" s="142"/>
      <c r="AC4" s="142"/>
      <c r="AD4" s="142"/>
      <c r="AE4" s="143"/>
    </row>
    <row r="5" spans="1:36" x14ac:dyDescent="0.35">
      <c r="K5" s="7"/>
      <c r="P5" s="15"/>
      <c r="Q5" s="15"/>
      <c r="R5" s="15"/>
      <c r="S5" s="15"/>
      <c r="T5" s="15"/>
      <c r="U5" s="102"/>
      <c r="AA5" s="15"/>
      <c r="AB5" s="15"/>
      <c r="AE5" s="7"/>
    </row>
    <row r="6" spans="1:36" ht="15" thickBot="1" x14ac:dyDescent="0.4">
      <c r="B6" s="70" t="s">
        <v>4</v>
      </c>
      <c r="C6" s="71"/>
      <c r="D6" s="71"/>
      <c r="E6" s="72"/>
      <c r="K6" s="7"/>
      <c r="P6" s="15"/>
      <c r="Q6" s="15"/>
      <c r="R6" s="15"/>
      <c r="S6" s="15"/>
      <c r="T6" s="15"/>
      <c r="U6" s="102"/>
      <c r="AB6" s="15"/>
      <c r="AE6" s="7"/>
    </row>
    <row r="7" spans="1:36" x14ac:dyDescent="0.35">
      <c r="B7" s="128" t="s">
        <v>5</v>
      </c>
      <c r="C7" s="129"/>
      <c r="D7" s="153">
        <f>'Companies Office'!C3</f>
        <v>0</v>
      </c>
      <c r="E7" s="155"/>
      <c r="K7" s="7"/>
      <c r="P7" s="15"/>
      <c r="Q7" s="15"/>
      <c r="R7" s="15"/>
      <c r="S7" s="15"/>
      <c r="T7" s="15"/>
      <c r="U7" s="102"/>
      <c r="AB7" s="15"/>
      <c r="AE7" s="7"/>
    </row>
    <row r="8" spans="1:36" x14ac:dyDescent="0.35">
      <c r="B8" s="130" t="s">
        <v>6</v>
      </c>
      <c r="C8" s="131"/>
      <c r="D8" s="75">
        <f>'Companies Office'!C4</f>
        <v>0</v>
      </c>
      <c r="E8" s="76"/>
      <c r="K8" s="7"/>
      <c r="P8" s="15"/>
      <c r="Q8" s="15"/>
      <c r="R8" s="15"/>
      <c r="S8" s="15"/>
      <c r="T8" s="15"/>
      <c r="U8" s="102"/>
      <c r="AB8" s="15"/>
      <c r="AE8" s="7"/>
    </row>
    <row r="9" spans="1:36" ht="15" thickBot="1" x14ac:dyDescent="0.4">
      <c r="B9" s="132" t="s">
        <v>7</v>
      </c>
      <c r="C9" s="133"/>
      <c r="D9" s="77">
        <f>'Companies Office'!C5</f>
        <v>0</v>
      </c>
      <c r="E9" s="78"/>
      <c r="K9" s="7"/>
      <c r="P9" s="15"/>
      <c r="Q9" s="15"/>
      <c r="R9" s="15"/>
      <c r="S9" s="15"/>
      <c r="T9" s="15"/>
      <c r="U9" s="102"/>
      <c r="X9" s="103" t="s">
        <v>8</v>
      </c>
      <c r="Y9" s="104"/>
      <c r="Z9" s="104"/>
      <c r="AA9" s="104"/>
      <c r="AB9" s="104"/>
      <c r="AC9" s="105"/>
      <c r="AE9" s="7"/>
    </row>
    <row r="10" spans="1:36" x14ac:dyDescent="0.35">
      <c r="B10" s="130" t="s">
        <v>9</v>
      </c>
      <c r="C10" s="131"/>
      <c r="D10" s="75">
        <f>'Companies Office'!C6</f>
        <v>0</v>
      </c>
      <c r="E10" s="76"/>
      <c r="K10" s="7"/>
      <c r="S10" s="15"/>
      <c r="T10" s="15"/>
      <c r="U10" s="102"/>
      <c r="X10" s="106" t="s">
        <v>10</v>
      </c>
      <c r="Y10" s="107"/>
      <c r="Z10" s="108" t="s">
        <v>11</v>
      </c>
      <c r="AA10" s="109">
        <v>0.30590000000000001</v>
      </c>
      <c r="AB10" s="110" t="s">
        <v>12</v>
      </c>
      <c r="AC10" s="111">
        <v>0.20799999999999999</v>
      </c>
      <c r="AE10" s="7"/>
    </row>
    <row r="11" spans="1:36" x14ac:dyDescent="0.35">
      <c r="B11" s="132" t="s">
        <v>13</v>
      </c>
      <c r="C11" s="133"/>
      <c r="D11" s="77">
        <f>'Companies Office'!C7</f>
        <v>0</v>
      </c>
      <c r="E11" s="78"/>
      <c r="K11" s="7"/>
      <c r="S11" s="15"/>
      <c r="T11" s="15"/>
      <c r="U11" s="102"/>
      <c r="V11" s="15"/>
      <c r="W11" s="15"/>
      <c r="X11" s="106" t="s">
        <v>14</v>
      </c>
      <c r="Y11" s="107"/>
      <c r="Z11" s="112" t="s">
        <v>15</v>
      </c>
      <c r="AA11" s="109">
        <v>0.33825</v>
      </c>
      <c r="AB11" s="113" t="s">
        <v>16</v>
      </c>
      <c r="AC11" s="111">
        <v>7.9600000000000004E-2</v>
      </c>
      <c r="AE11" s="7"/>
    </row>
    <row r="12" spans="1:36" x14ac:dyDescent="0.35">
      <c r="B12" s="130" t="s">
        <v>17</v>
      </c>
      <c r="C12" s="131"/>
      <c r="D12" s="75">
        <f>'Companies Office'!C8</f>
        <v>0</v>
      </c>
      <c r="E12" s="76"/>
      <c r="K12" s="7"/>
      <c r="T12" s="15"/>
      <c r="U12" s="102"/>
      <c r="V12" s="15"/>
      <c r="W12" s="15"/>
      <c r="X12" s="106" t="s">
        <v>18</v>
      </c>
      <c r="Y12" s="107"/>
      <c r="Z12" s="114">
        <v>0.1047</v>
      </c>
      <c r="AA12" s="109">
        <v>0.23562</v>
      </c>
      <c r="AB12" s="115">
        <v>3.7400000000000003E-2</v>
      </c>
      <c r="AC12" s="111">
        <v>0.1053</v>
      </c>
      <c r="AE12" s="7"/>
    </row>
    <row r="13" spans="1:36" x14ac:dyDescent="0.35">
      <c r="B13" s="134" t="s">
        <v>19</v>
      </c>
      <c r="C13" s="135"/>
      <c r="D13" s="79">
        <f>'Companies Office'!C9</f>
        <v>0</v>
      </c>
      <c r="E13" s="80"/>
      <c r="K13" s="7"/>
      <c r="T13" s="15"/>
      <c r="U13" s="102"/>
      <c r="V13" s="15"/>
      <c r="W13" s="15"/>
      <c r="X13" s="116" t="s">
        <v>20</v>
      </c>
      <c r="Y13" s="117"/>
      <c r="Z13" s="118">
        <v>437.49</v>
      </c>
      <c r="AA13" s="119">
        <v>0.25140000000000001</v>
      </c>
      <c r="AB13" s="120">
        <v>2393.61</v>
      </c>
      <c r="AC13" s="121">
        <v>0.27010000000000001</v>
      </c>
      <c r="AE13" s="7"/>
    </row>
    <row r="14" spans="1:36" x14ac:dyDescent="0.35">
      <c r="K14" s="7"/>
      <c r="T14" s="15"/>
      <c r="U14" s="102"/>
      <c r="V14" s="15"/>
      <c r="W14" s="15"/>
      <c r="AE14" s="7"/>
      <c r="AG14" s="122"/>
      <c r="AH14" s="122"/>
      <c r="AI14" s="15"/>
      <c r="AJ14" s="15"/>
    </row>
    <row r="15" spans="1:36" ht="15" thickBot="1" x14ac:dyDescent="0.4">
      <c r="B15" s="60" t="s">
        <v>6</v>
      </c>
      <c r="C15" s="61"/>
      <c r="D15" s="61"/>
      <c r="E15" s="62"/>
      <c r="K15" s="7"/>
      <c r="T15" s="15"/>
      <c r="U15" s="102"/>
      <c r="AE15" s="7"/>
      <c r="AG15" s="122"/>
      <c r="AH15" s="122"/>
      <c r="AI15" s="122"/>
      <c r="AJ15" s="122"/>
    </row>
    <row r="16" spans="1:36" x14ac:dyDescent="0.35">
      <c r="B16" s="136" t="s">
        <v>21</v>
      </c>
      <c r="C16" s="137"/>
      <c r="D16" s="156">
        <f>'Companies Office'!C12</f>
        <v>0</v>
      </c>
      <c r="E16" s="157"/>
      <c r="K16" s="7"/>
      <c r="T16" s="15"/>
      <c r="U16" s="102"/>
      <c r="AE16" s="7"/>
      <c r="AG16" s="122"/>
      <c r="AH16" s="122"/>
      <c r="AI16" s="122"/>
      <c r="AJ16" s="122"/>
    </row>
    <row r="17" spans="2:36" x14ac:dyDescent="0.35">
      <c r="B17" s="138" t="s">
        <v>22</v>
      </c>
      <c r="C17" s="139"/>
      <c r="D17" s="89">
        <f>'Companies Office'!C13</f>
        <v>0</v>
      </c>
      <c r="E17" s="90"/>
      <c r="K17" s="7"/>
      <c r="T17" s="15"/>
      <c r="U17" s="102"/>
      <c r="AE17" s="7"/>
      <c r="AG17" s="122"/>
      <c r="AH17" s="122"/>
      <c r="AI17" s="122"/>
      <c r="AJ17" s="122"/>
    </row>
    <row r="18" spans="2:36" x14ac:dyDescent="0.35">
      <c r="B18" s="136" t="s">
        <v>23</v>
      </c>
      <c r="C18" s="137"/>
      <c r="D18" s="66">
        <f>'Companies Office'!C14</f>
        <v>0</v>
      </c>
      <c r="E18" s="67"/>
      <c r="K18" s="7"/>
      <c r="T18" s="15"/>
      <c r="U18" s="102"/>
      <c r="AE18" s="7"/>
      <c r="AG18" s="122"/>
      <c r="AH18" s="122"/>
      <c r="AI18" s="122"/>
      <c r="AJ18" s="122"/>
    </row>
    <row r="19" spans="2:36" x14ac:dyDescent="0.35">
      <c r="B19" s="138" t="s">
        <v>24</v>
      </c>
      <c r="C19" s="139"/>
      <c r="D19" s="89">
        <f>'Companies Office'!C15</f>
        <v>0</v>
      </c>
      <c r="E19" s="90"/>
      <c r="K19" s="7"/>
      <c r="T19" s="15"/>
      <c r="U19" s="102"/>
      <c r="AE19" s="7"/>
      <c r="AG19" s="122"/>
      <c r="AH19" s="122"/>
      <c r="AI19" s="122"/>
      <c r="AJ19" s="122"/>
    </row>
    <row r="20" spans="2:36" x14ac:dyDescent="0.35">
      <c r="B20" s="136" t="s">
        <v>25</v>
      </c>
      <c r="C20" s="137"/>
      <c r="D20" s="66">
        <f>'Companies Office'!C16</f>
        <v>0</v>
      </c>
      <c r="E20" s="67"/>
      <c r="K20" s="7"/>
      <c r="S20" s="15"/>
      <c r="T20" s="15"/>
      <c r="U20" s="102"/>
      <c r="AE20" s="7"/>
      <c r="AG20" s="122"/>
      <c r="AH20" s="122"/>
      <c r="AI20" s="15"/>
      <c r="AJ20" s="15"/>
    </row>
    <row r="21" spans="2:36" x14ac:dyDescent="0.35">
      <c r="B21" s="138" t="s">
        <v>27</v>
      </c>
      <c r="C21" s="139"/>
      <c r="D21" s="89">
        <f>'Companies Office'!C17</f>
        <v>0</v>
      </c>
      <c r="E21" s="90"/>
      <c r="K21" s="7"/>
      <c r="S21" s="15"/>
      <c r="T21" s="15"/>
      <c r="U21" s="102"/>
      <c r="AE21" s="7"/>
      <c r="AG21" s="122"/>
      <c r="AH21" s="122"/>
      <c r="AI21" s="122"/>
      <c r="AJ21" s="122"/>
    </row>
    <row r="22" spans="2:36" x14ac:dyDescent="0.35">
      <c r="B22" s="136" t="s">
        <v>28</v>
      </c>
      <c r="C22" s="137"/>
      <c r="D22" s="66">
        <f>'Companies Office'!C18</f>
        <v>0</v>
      </c>
      <c r="E22" s="67"/>
      <c r="K22" s="7"/>
      <c r="S22" s="15"/>
      <c r="T22" s="15"/>
      <c r="U22" s="102"/>
      <c r="AE22" s="7"/>
    </row>
    <row r="23" spans="2:36" x14ac:dyDescent="0.35">
      <c r="B23" s="140" t="s">
        <v>29</v>
      </c>
      <c r="C23" s="141"/>
      <c r="D23" s="68">
        <f>'Companies Office'!C19</f>
        <v>0</v>
      </c>
      <c r="E23" s="69"/>
      <c r="K23" s="7"/>
      <c r="S23" s="15"/>
      <c r="T23" s="15"/>
      <c r="U23" s="102"/>
      <c r="AE23" s="7"/>
    </row>
    <row r="24" spans="2:36" x14ac:dyDescent="0.35">
      <c r="K24" s="7"/>
      <c r="S24" s="15"/>
      <c r="T24" s="15"/>
      <c r="U24" s="102"/>
      <c r="AE24" s="7"/>
    </row>
    <row r="25" spans="2:36" ht="15" thickBot="1" x14ac:dyDescent="0.4">
      <c r="B25" s="60" t="s">
        <v>30</v>
      </c>
      <c r="C25" s="61"/>
      <c r="D25" s="61"/>
      <c r="E25" s="62"/>
      <c r="K25" s="7"/>
      <c r="P25" s="15"/>
      <c r="Q25" s="15"/>
      <c r="R25" s="15"/>
      <c r="S25" s="15"/>
      <c r="T25" s="15"/>
      <c r="U25" s="102"/>
      <c r="AE25" s="7"/>
    </row>
    <row r="26" spans="2:36" x14ac:dyDescent="0.35">
      <c r="B26" s="160">
        <f>'Companies Office'!B22</f>
        <v>0</v>
      </c>
      <c r="C26" s="161"/>
      <c r="D26" s="161">
        <f>'Companies Office'!C22</f>
        <v>0</v>
      </c>
      <c r="E26" s="78"/>
      <c r="K26" s="7"/>
      <c r="P26" s="15"/>
      <c r="Q26" s="15"/>
      <c r="R26" s="15"/>
      <c r="S26" s="15"/>
      <c r="T26" s="15"/>
      <c r="U26" s="102"/>
      <c r="V26" s="15"/>
      <c r="W26" s="15"/>
      <c r="X26" s="15"/>
      <c r="Y26" s="15"/>
      <c r="Z26" s="15"/>
      <c r="AA26" s="15"/>
      <c r="AB26" s="15"/>
      <c r="AE26" s="7"/>
    </row>
    <row r="27" spans="2:36" x14ac:dyDescent="0.35">
      <c r="B27" s="162">
        <f>'Companies Office'!B23</f>
        <v>0</v>
      </c>
      <c r="C27" s="163"/>
      <c r="D27" s="163">
        <f>'Companies Office'!C23</f>
        <v>0</v>
      </c>
      <c r="E27" s="76"/>
      <c r="K27" s="7"/>
      <c r="P27" s="15"/>
      <c r="Q27" s="15"/>
      <c r="R27" s="15"/>
      <c r="S27" s="15"/>
      <c r="T27" s="15"/>
      <c r="U27" s="102"/>
      <c r="V27" s="15"/>
      <c r="W27" s="15"/>
      <c r="X27" s="15"/>
      <c r="Y27" s="15"/>
      <c r="Z27" s="15"/>
      <c r="AA27" s="15"/>
      <c r="AB27" s="15"/>
      <c r="AE27" s="7"/>
    </row>
    <row r="28" spans="2:36" x14ac:dyDescent="0.35">
      <c r="B28" s="160">
        <f>'Companies Office'!B24</f>
        <v>0</v>
      </c>
      <c r="C28" s="161"/>
      <c r="D28" s="161">
        <f>'Companies Office'!C24</f>
        <v>0</v>
      </c>
      <c r="E28" s="78"/>
      <c r="K28" s="7"/>
      <c r="P28" s="15"/>
      <c r="Q28" s="15"/>
      <c r="R28" s="15"/>
      <c r="S28" s="15"/>
      <c r="T28" s="15"/>
      <c r="U28" s="102"/>
      <c r="V28" s="15"/>
      <c r="W28" s="15"/>
      <c r="X28" s="15"/>
      <c r="Y28" s="15"/>
      <c r="Z28" s="15"/>
      <c r="AA28" s="15"/>
      <c r="AB28" s="15"/>
      <c r="AE28" s="7"/>
    </row>
    <row r="29" spans="2:36" x14ac:dyDescent="0.35">
      <c r="B29" s="162">
        <f>'Companies Office'!B25</f>
        <v>0</v>
      </c>
      <c r="C29" s="163"/>
      <c r="D29" s="163">
        <f>'Companies Office'!C25</f>
        <v>0</v>
      </c>
      <c r="E29" s="76"/>
      <c r="K29" s="7"/>
      <c r="P29" s="15"/>
      <c r="Q29" s="15"/>
      <c r="R29" s="15"/>
      <c r="S29" s="15"/>
      <c r="T29" s="15"/>
      <c r="U29" s="102"/>
      <c r="V29" s="15"/>
      <c r="W29" s="15"/>
      <c r="X29" s="15"/>
      <c r="Y29" s="15"/>
      <c r="Z29" s="15"/>
      <c r="AA29" s="15"/>
      <c r="AB29" s="15"/>
      <c r="AE29" s="7"/>
    </row>
    <row r="30" spans="2:36" x14ac:dyDescent="0.35">
      <c r="B30" s="164">
        <f>'Companies Office'!B26</f>
        <v>0</v>
      </c>
      <c r="C30" s="165"/>
      <c r="D30" s="165">
        <f>'Companies Office'!C26</f>
        <v>0</v>
      </c>
      <c r="E30" s="80"/>
      <c r="K30" s="7"/>
      <c r="P30" s="15"/>
      <c r="Q30" s="15"/>
      <c r="R30" s="15"/>
      <c r="S30" s="15"/>
      <c r="T30" s="15"/>
      <c r="U30" s="102"/>
      <c r="V30" s="15"/>
      <c r="W30" s="15"/>
      <c r="X30" s="15"/>
      <c r="Y30" s="15"/>
      <c r="Z30" s="15"/>
      <c r="AA30" s="15"/>
      <c r="AB30" s="15"/>
      <c r="AE30" s="7"/>
    </row>
    <row r="31" spans="2:36" x14ac:dyDescent="0.35">
      <c r="K31" s="7"/>
      <c r="P31" s="15"/>
      <c r="Q31" s="15"/>
      <c r="R31" s="15"/>
      <c r="S31" s="15"/>
      <c r="T31" s="15"/>
      <c r="U31" s="102"/>
      <c r="W31" s="15"/>
      <c r="X31" s="15"/>
      <c r="Y31" s="15"/>
      <c r="Z31" s="15"/>
      <c r="AA31" s="15"/>
      <c r="AB31" s="15"/>
      <c r="AE31" s="7"/>
    </row>
    <row r="32" spans="2:36" ht="15" thickBot="1" x14ac:dyDescent="0.4">
      <c r="B32" s="148"/>
      <c r="C32" s="148"/>
      <c r="D32" s="158"/>
      <c r="E32" s="158"/>
      <c r="F32" s="148"/>
      <c r="G32" s="148"/>
      <c r="H32" s="148"/>
      <c r="I32" s="148"/>
      <c r="J32" s="148"/>
      <c r="K32" s="149"/>
      <c r="L32" s="6"/>
      <c r="M32" s="6"/>
      <c r="N32" s="6"/>
      <c r="P32" s="124"/>
      <c r="Q32" s="124"/>
      <c r="R32" s="124"/>
      <c r="S32" s="124"/>
      <c r="T32" s="124"/>
      <c r="U32" s="102"/>
      <c r="V32" s="124"/>
      <c r="W32" s="124"/>
      <c r="X32" s="124"/>
      <c r="Y32" s="124"/>
      <c r="Z32" s="124"/>
      <c r="AA32" s="124"/>
      <c r="AB32" s="124"/>
      <c r="AC32" s="6"/>
      <c r="AD32" s="6"/>
      <c r="AE32" s="123"/>
    </row>
    <row r="33" spans="2:28" ht="15" customHeight="1" x14ac:dyDescent="0.35">
      <c r="B33" s="150">
        <f>'Companies Office'!E1</f>
        <v>2</v>
      </c>
      <c r="C33" s="150"/>
      <c r="D33" s="150"/>
      <c r="E33" s="150"/>
      <c r="F33" s="150"/>
      <c r="G33" s="150"/>
      <c r="H33" s="150"/>
      <c r="I33" s="150"/>
      <c r="J33" s="150"/>
      <c r="K33" s="151"/>
      <c r="O33" s="125"/>
      <c r="P33" s="15"/>
      <c r="Q33" s="15"/>
      <c r="R33" s="15"/>
      <c r="S33" s="15"/>
      <c r="T33" s="15"/>
      <c r="U33" s="126"/>
      <c r="W33" s="15"/>
      <c r="X33" s="15"/>
      <c r="Y33" s="15"/>
      <c r="Z33" s="15"/>
      <c r="AA33" s="15"/>
      <c r="AB33" s="15"/>
    </row>
    <row r="34" spans="2:28" ht="14.5" customHeight="1" x14ac:dyDescent="0.35">
      <c r="B34" s="146"/>
      <c r="C34" s="146"/>
      <c r="D34" s="146"/>
      <c r="E34" s="146"/>
      <c r="F34" s="146"/>
      <c r="G34" s="146"/>
      <c r="H34" s="146"/>
      <c r="I34" s="146"/>
      <c r="J34" s="146"/>
      <c r="K34" s="147"/>
      <c r="L34" s="15"/>
      <c r="M34" s="15"/>
      <c r="N34" s="15"/>
      <c r="V34" s="15"/>
      <c r="W34" s="15"/>
      <c r="X34" s="15"/>
      <c r="Y34" s="15"/>
      <c r="Z34" s="15"/>
      <c r="AA34" s="15"/>
      <c r="AB34" s="15"/>
    </row>
    <row r="35" spans="2:28" x14ac:dyDescent="0.35">
      <c r="K35" s="7"/>
      <c r="L35" s="15"/>
      <c r="M35" s="15"/>
      <c r="N35" s="15"/>
      <c r="V35" s="15"/>
      <c r="W35" s="15"/>
      <c r="X35" s="15"/>
      <c r="Y35" s="15"/>
      <c r="Z35" s="15"/>
      <c r="AA35" s="15"/>
      <c r="AB35" s="15"/>
    </row>
    <row r="36" spans="2:28" ht="15" thickBot="1" x14ac:dyDescent="0.4">
      <c r="B36" s="70" t="s">
        <v>4</v>
      </c>
      <c r="C36" s="71"/>
      <c r="D36" s="71"/>
      <c r="E36" s="72"/>
      <c r="K36" s="7"/>
      <c r="V36" s="15"/>
      <c r="W36" s="15"/>
      <c r="X36" s="15"/>
      <c r="Y36" s="15"/>
      <c r="Z36" s="15"/>
      <c r="AA36" s="15"/>
      <c r="AB36" s="15"/>
    </row>
    <row r="37" spans="2:28" x14ac:dyDescent="0.35">
      <c r="B37" s="128" t="s">
        <v>5</v>
      </c>
      <c r="C37" s="129"/>
      <c r="D37" s="73"/>
      <c r="E37" s="74"/>
      <c r="K37" s="7"/>
      <c r="V37" s="15"/>
      <c r="W37" s="15"/>
      <c r="X37" s="15"/>
      <c r="Y37" s="15"/>
      <c r="Z37" s="15"/>
      <c r="AA37" s="15"/>
      <c r="AB37" s="15"/>
    </row>
    <row r="38" spans="2:28" x14ac:dyDescent="0.35">
      <c r="B38" s="130" t="s">
        <v>6</v>
      </c>
      <c r="C38" s="131"/>
      <c r="D38" s="75"/>
      <c r="E38" s="76"/>
      <c r="K38" s="7"/>
      <c r="V38" s="15"/>
      <c r="W38" s="15"/>
      <c r="X38" s="15"/>
      <c r="Y38" s="15"/>
      <c r="Z38" s="15"/>
      <c r="AA38" s="15"/>
      <c r="AB38" s="15"/>
    </row>
    <row r="39" spans="2:28" x14ac:dyDescent="0.35">
      <c r="B39" s="132" t="s">
        <v>7</v>
      </c>
      <c r="C39" s="133"/>
      <c r="D39" s="77"/>
      <c r="E39" s="78"/>
      <c r="K39" s="7"/>
      <c r="S39" s="15"/>
      <c r="T39" s="15"/>
    </row>
    <row r="40" spans="2:28" x14ac:dyDescent="0.35">
      <c r="B40" s="130" t="s">
        <v>9</v>
      </c>
      <c r="C40" s="131"/>
      <c r="D40" s="75"/>
      <c r="E40" s="76"/>
      <c r="K40" s="7"/>
      <c r="L40" s="15"/>
      <c r="M40" s="15"/>
      <c r="N40" s="15"/>
      <c r="O40" s="15"/>
      <c r="AA40" s="15"/>
      <c r="AB40" s="15"/>
    </row>
    <row r="41" spans="2:28" x14ac:dyDescent="0.35">
      <c r="B41" s="132" t="s">
        <v>13</v>
      </c>
      <c r="C41" s="133"/>
      <c r="D41" s="77"/>
      <c r="E41" s="78"/>
      <c r="K41" s="7"/>
      <c r="S41" s="15"/>
      <c r="T41" s="15"/>
      <c r="U41" s="15"/>
      <c r="V41" s="15"/>
      <c r="W41" s="15"/>
      <c r="X41" s="15"/>
      <c r="Y41" s="15"/>
      <c r="Z41" s="15"/>
      <c r="AA41" s="15"/>
      <c r="AB41" s="15"/>
    </row>
    <row r="42" spans="2:28" x14ac:dyDescent="0.35">
      <c r="B42" s="130" t="s">
        <v>17</v>
      </c>
      <c r="C42" s="131"/>
      <c r="D42" s="75"/>
      <c r="E42" s="76"/>
      <c r="K42" s="7"/>
      <c r="S42" s="15"/>
      <c r="T42" s="15"/>
      <c r="U42" s="15"/>
      <c r="V42" s="15"/>
      <c r="W42" s="15"/>
      <c r="X42" s="15"/>
      <c r="Y42" s="15"/>
      <c r="Z42" s="15"/>
      <c r="AA42" s="15"/>
      <c r="AB42" s="15"/>
    </row>
    <row r="43" spans="2:28" x14ac:dyDescent="0.35">
      <c r="B43" s="134" t="s">
        <v>19</v>
      </c>
      <c r="C43" s="135"/>
      <c r="D43" s="79"/>
      <c r="E43" s="80"/>
      <c r="K43" s="7"/>
      <c r="S43" s="15"/>
      <c r="T43" s="15"/>
      <c r="U43" s="15"/>
      <c r="V43" s="15"/>
      <c r="W43" s="15"/>
      <c r="X43" s="15"/>
      <c r="Y43" s="15"/>
      <c r="Z43" s="15"/>
      <c r="AA43" s="15"/>
      <c r="AB43" s="15"/>
    </row>
    <row r="44" spans="2:28" x14ac:dyDescent="0.35">
      <c r="K44" s="7"/>
      <c r="S44" s="15"/>
      <c r="T44" s="15"/>
      <c r="U44" s="15"/>
      <c r="V44" s="15"/>
      <c r="W44" s="15"/>
      <c r="X44" s="15"/>
      <c r="Y44" s="15"/>
      <c r="Z44" s="15"/>
      <c r="AA44" s="15"/>
      <c r="AB44" s="15"/>
    </row>
    <row r="45" spans="2:28" ht="15" thickBot="1" x14ac:dyDescent="0.4">
      <c r="B45" s="60" t="s">
        <v>6</v>
      </c>
      <c r="C45" s="61"/>
      <c r="D45" s="61"/>
      <c r="E45" s="62"/>
      <c r="K45" s="7"/>
      <c r="M45" s="127"/>
      <c r="N45" s="127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</row>
    <row r="46" spans="2:28" x14ac:dyDescent="0.35">
      <c r="B46" s="136" t="s">
        <v>21</v>
      </c>
      <c r="C46" s="137"/>
      <c r="D46" s="66"/>
      <c r="E46" s="67"/>
      <c r="K46" s="7"/>
      <c r="U46" s="15"/>
      <c r="V46" s="15"/>
      <c r="W46" s="15"/>
      <c r="X46" s="15"/>
      <c r="Y46" s="15"/>
      <c r="Z46" s="15"/>
      <c r="AA46" s="15"/>
      <c r="AB46" s="15"/>
    </row>
    <row r="47" spans="2:28" x14ac:dyDescent="0.35">
      <c r="B47" s="138" t="s">
        <v>22</v>
      </c>
      <c r="C47" s="139"/>
      <c r="D47" s="85"/>
      <c r="E47" s="86"/>
      <c r="K47" s="7"/>
      <c r="U47" s="15"/>
      <c r="V47" s="15"/>
      <c r="W47" s="15"/>
      <c r="X47" s="15"/>
      <c r="Y47" s="15"/>
      <c r="Z47" s="15"/>
      <c r="AA47" s="15"/>
      <c r="AB47" s="15"/>
    </row>
    <row r="48" spans="2:28" x14ac:dyDescent="0.35">
      <c r="B48" s="136" t="s">
        <v>23</v>
      </c>
      <c r="C48" s="137"/>
      <c r="D48" s="66"/>
      <c r="E48" s="67"/>
      <c r="K48" s="7"/>
      <c r="U48" s="15"/>
      <c r="V48" s="15"/>
      <c r="W48" s="15"/>
      <c r="X48" s="15"/>
      <c r="Y48" s="15"/>
      <c r="Z48" s="15"/>
      <c r="AA48" s="15"/>
      <c r="AB48" s="15"/>
    </row>
    <row r="49" spans="2:28" x14ac:dyDescent="0.35">
      <c r="B49" s="138" t="s">
        <v>24</v>
      </c>
      <c r="C49" s="139"/>
      <c r="D49" s="87"/>
      <c r="E49" s="88"/>
      <c r="K49" s="7"/>
      <c r="U49" s="15"/>
      <c r="V49" s="15"/>
      <c r="W49" s="15"/>
      <c r="X49" s="15"/>
      <c r="Y49" s="15"/>
      <c r="Z49" s="15"/>
      <c r="AA49" s="15"/>
      <c r="AB49" s="15"/>
    </row>
    <row r="50" spans="2:28" x14ac:dyDescent="0.35">
      <c r="B50" s="136" t="s">
        <v>25</v>
      </c>
      <c r="C50" s="137"/>
      <c r="D50" s="66"/>
      <c r="E50" s="67"/>
      <c r="K50" s="7"/>
      <c r="L50" s="15"/>
      <c r="M50" s="15"/>
      <c r="N50" s="15"/>
      <c r="U50" s="15"/>
      <c r="V50" s="15"/>
      <c r="W50" s="15"/>
      <c r="X50" s="15"/>
      <c r="Y50" s="15"/>
      <c r="Z50" s="15"/>
      <c r="AA50" s="15"/>
      <c r="AB50" s="15"/>
    </row>
    <row r="51" spans="2:28" x14ac:dyDescent="0.35">
      <c r="B51" s="138" t="s">
        <v>27</v>
      </c>
      <c r="C51" s="139"/>
      <c r="D51" s="89"/>
      <c r="E51" s="90"/>
      <c r="K51" s="7"/>
      <c r="L51" s="15"/>
      <c r="M51" s="15"/>
      <c r="N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</row>
    <row r="52" spans="2:28" x14ac:dyDescent="0.35">
      <c r="B52" s="136" t="s">
        <v>28</v>
      </c>
      <c r="C52" s="137"/>
      <c r="D52" s="66"/>
      <c r="E52" s="67"/>
      <c r="K52" s="7"/>
      <c r="L52" s="15"/>
      <c r="M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</row>
    <row r="53" spans="2:28" x14ac:dyDescent="0.35">
      <c r="B53" s="140" t="s">
        <v>29</v>
      </c>
      <c r="C53" s="141"/>
      <c r="D53" s="68"/>
      <c r="E53" s="69"/>
      <c r="K53" s="7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</row>
    <row r="54" spans="2:28" x14ac:dyDescent="0.35">
      <c r="K54" s="7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</row>
    <row r="55" spans="2:28" ht="15" thickBot="1" x14ac:dyDescent="0.4">
      <c r="B55" s="60" t="s">
        <v>30</v>
      </c>
      <c r="C55" s="61"/>
      <c r="D55" s="61"/>
      <c r="E55" s="62"/>
      <c r="K55" s="7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</row>
    <row r="56" spans="2:28" x14ac:dyDescent="0.35">
      <c r="B56" s="63"/>
      <c r="C56" s="64"/>
      <c r="D56" s="64"/>
      <c r="E56" s="65"/>
      <c r="K56" s="7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</row>
    <row r="57" spans="2:28" x14ac:dyDescent="0.35">
      <c r="B57" s="57"/>
      <c r="C57" s="58"/>
      <c r="D57" s="58"/>
      <c r="E57" s="59"/>
      <c r="K57" s="7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</row>
    <row r="58" spans="2:28" x14ac:dyDescent="0.35">
      <c r="B58" s="63"/>
      <c r="C58" s="64"/>
      <c r="D58" s="64"/>
      <c r="E58" s="65"/>
      <c r="K58" s="7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</row>
    <row r="59" spans="2:28" x14ac:dyDescent="0.35">
      <c r="B59" s="57"/>
      <c r="C59" s="58"/>
      <c r="D59" s="58"/>
      <c r="E59" s="59"/>
      <c r="K59" s="7"/>
      <c r="L59" s="15"/>
      <c r="M59" s="15"/>
      <c r="N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</row>
    <row r="60" spans="2:28" x14ac:dyDescent="0.35">
      <c r="B60" s="54"/>
      <c r="C60" s="55"/>
      <c r="D60" s="55"/>
      <c r="E60" s="56"/>
      <c r="K60" s="7"/>
      <c r="N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</row>
    <row r="61" spans="2:28" x14ac:dyDescent="0.35">
      <c r="K61" s="7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</row>
    <row r="62" spans="2:28" ht="15" thickBot="1" x14ac:dyDescent="0.4">
      <c r="B62" s="6"/>
      <c r="C62" s="6"/>
      <c r="D62" s="159"/>
      <c r="E62" s="159"/>
      <c r="F62" s="6"/>
      <c r="G62" s="6"/>
      <c r="H62" s="6"/>
      <c r="I62" s="6"/>
      <c r="J62" s="6"/>
      <c r="K62" s="123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2:28" x14ac:dyDescent="0.35">
      <c r="B63" s="150">
        <f>'Companies Office'!H1</f>
        <v>3</v>
      </c>
      <c r="C63" s="150"/>
      <c r="D63" s="150"/>
      <c r="E63" s="150"/>
      <c r="F63" s="150"/>
      <c r="G63" s="150"/>
      <c r="H63" s="150"/>
      <c r="I63" s="150"/>
      <c r="J63" s="150"/>
      <c r="K63" s="151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</row>
    <row r="64" spans="2:28" x14ac:dyDescent="0.35">
      <c r="B64" s="146"/>
      <c r="C64" s="146"/>
      <c r="D64" s="146"/>
      <c r="E64" s="146"/>
      <c r="F64" s="146"/>
      <c r="G64" s="146"/>
      <c r="H64" s="146"/>
      <c r="I64" s="146"/>
      <c r="J64" s="146"/>
      <c r="K64" s="147"/>
      <c r="M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</row>
    <row r="65" spans="2:28" x14ac:dyDescent="0.35">
      <c r="K65" s="7"/>
      <c r="M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</row>
    <row r="66" spans="2:28" ht="15" thickBot="1" x14ac:dyDescent="0.4">
      <c r="B66" s="70" t="s">
        <v>4</v>
      </c>
      <c r="C66" s="71"/>
      <c r="D66" s="71"/>
      <c r="E66" s="72"/>
      <c r="K66" s="7"/>
      <c r="L66" s="15"/>
      <c r="M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</row>
    <row r="67" spans="2:28" x14ac:dyDescent="0.35">
      <c r="B67" s="128" t="s">
        <v>5</v>
      </c>
      <c r="C67" s="129"/>
      <c r="D67" s="73"/>
      <c r="E67" s="74"/>
      <c r="K67" s="7"/>
      <c r="L67" s="15"/>
      <c r="M67" s="15"/>
      <c r="N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</row>
    <row r="68" spans="2:28" x14ac:dyDescent="0.35">
      <c r="B68" s="130" t="s">
        <v>6</v>
      </c>
      <c r="C68" s="131"/>
      <c r="D68" s="75"/>
      <c r="E68" s="76"/>
      <c r="K68" s="7"/>
      <c r="L68" s="15"/>
      <c r="M68" s="15"/>
      <c r="N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</row>
    <row r="69" spans="2:28" x14ac:dyDescent="0.35">
      <c r="B69" s="132" t="s">
        <v>7</v>
      </c>
      <c r="C69" s="133"/>
      <c r="D69" s="77"/>
      <c r="E69" s="78"/>
      <c r="K69" s="7"/>
    </row>
    <row r="70" spans="2:28" x14ac:dyDescent="0.35">
      <c r="B70" s="130" t="s">
        <v>9</v>
      </c>
      <c r="C70" s="131"/>
      <c r="D70" s="75"/>
      <c r="E70" s="76"/>
      <c r="K70" s="7"/>
    </row>
    <row r="71" spans="2:28" x14ac:dyDescent="0.35">
      <c r="B71" s="132" t="s">
        <v>13</v>
      </c>
      <c r="C71" s="133"/>
      <c r="D71" s="77"/>
      <c r="E71" s="78"/>
      <c r="K71" s="7"/>
    </row>
    <row r="72" spans="2:28" x14ac:dyDescent="0.35">
      <c r="B72" s="130" t="s">
        <v>17</v>
      </c>
      <c r="C72" s="131"/>
      <c r="D72" s="75"/>
      <c r="E72" s="76"/>
      <c r="K72" s="7"/>
    </row>
    <row r="73" spans="2:28" x14ac:dyDescent="0.35">
      <c r="B73" s="134" t="s">
        <v>19</v>
      </c>
      <c r="C73" s="135"/>
      <c r="D73" s="79"/>
      <c r="E73" s="80"/>
      <c r="K73" s="7"/>
    </row>
    <row r="74" spans="2:28" x14ac:dyDescent="0.35">
      <c r="K74" s="7"/>
    </row>
    <row r="75" spans="2:28" ht="15" thickBot="1" x14ac:dyDescent="0.4">
      <c r="B75" s="60" t="s">
        <v>6</v>
      </c>
      <c r="C75" s="61"/>
      <c r="D75" s="61"/>
      <c r="E75" s="62"/>
      <c r="K75" s="7"/>
    </row>
    <row r="76" spans="2:28" x14ac:dyDescent="0.35">
      <c r="B76" s="136" t="s">
        <v>21</v>
      </c>
      <c r="C76" s="137"/>
      <c r="D76" s="66"/>
      <c r="E76" s="67"/>
      <c r="K76" s="7"/>
    </row>
    <row r="77" spans="2:28" x14ac:dyDescent="0.35">
      <c r="B77" s="138" t="s">
        <v>22</v>
      </c>
      <c r="C77" s="139"/>
      <c r="D77" s="85"/>
      <c r="E77" s="86"/>
      <c r="K77" s="7"/>
    </row>
    <row r="78" spans="2:28" x14ac:dyDescent="0.35">
      <c r="B78" s="136" t="s">
        <v>23</v>
      </c>
      <c r="C78" s="137"/>
      <c r="D78" s="66"/>
      <c r="E78" s="67"/>
      <c r="K78" s="7"/>
    </row>
    <row r="79" spans="2:28" x14ac:dyDescent="0.35">
      <c r="B79" s="138" t="s">
        <v>24</v>
      </c>
      <c r="C79" s="139"/>
      <c r="D79" s="87"/>
      <c r="E79" s="88"/>
      <c r="K79" s="7"/>
    </row>
    <row r="80" spans="2:28" x14ac:dyDescent="0.35">
      <c r="B80" s="136" t="s">
        <v>25</v>
      </c>
      <c r="C80" s="137"/>
      <c r="D80" s="66"/>
      <c r="E80" s="67"/>
      <c r="K80" s="7"/>
    </row>
    <row r="81" spans="2:11" x14ac:dyDescent="0.35">
      <c r="B81" s="138" t="s">
        <v>27</v>
      </c>
      <c r="C81" s="139"/>
      <c r="D81" s="89"/>
      <c r="E81" s="90"/>
      <c r="K81" s="7"/>
    </row>
    <row r="82" spans="2:11" x14ac:dyDescent="0.35">
      <c r="B82" s="136" t="s">
        <v>28</v>
      </c>
      <c r="C82" s="137"/>
      <c r="D82" s="66"/>
      <c r="E82" s="67"/>
      <c r="K82" s="7"/>
    </row>
    <row r="83" spans="2:11" x14ac:dyDescent="0.35">
      <c r="B83" s="140" t="s">
        <v>29</v>
      </c>
      <c r="C83" s="141"/>
      <c r="D83" s="68"/>
      <c r="E83" s="69"/>
      <c r="K83" s="7"/>
    </row>
    <row r="84" spans="2:11" x14ac:dyDescent="0.35">
      <c r="K84" s="7"/>
    </row>
    <row r="85" spans="2:11" ht="15" thickBot="1" x14ac:dyDescent="0.4">
      <c r="B85" s="60" t="s">
        <v>30</v>
      </c>
      <c r="C85" s="61"/>
      <c r="D85" s="61"/>
      <c r="E85" s="62"/>
      <c r="K85" s="7"/>
    </row>
    <row r="86" spans="2:11" x14ac:dyDescent="0.35">
      <c r="B86" s="63"/>
      <c r="C86" s="64"/>
      <c r="D86" s="64"/>
      <c r="E86" s="65"/>
      <c r="K86" s="7"/>
    </row>
    <row r="87" spans="2:11" x14ac:dyDescent="0.35">
      <c r="B87" s="57"/>
      <c r="C87" s="58"/>
      <c r="D87" s="58"/>
      <c r="E87" s="59"/>
      <c r="K87" s="7"/>
    </row>
    <row r="88" spans="2:11" x14ac:dyDescent="0.35">
      <c r="B88" s="63"/>
      <c r="C88" s="64"/>
      <c r="D88" s="64"/>
      <c r="E88" s="65"/>
      <c r="K88" s="7"/>
    </row>
    <row r="89" spans="2:11" x14ac:dyDescent="0.35">
      <c r="B89" s="57"/>
      <c r="C89" s="58"/>
      <c r="D89" s="58"/>
      <c r="E89" s="59"/>
      <c r="K89" s="7"/>
    </row>
    <row r="90" spans="2:11" x14ac:dyDescent="0.35">
      <c r="B90" s="54"/>
      <c r="C90" s="55"/>
      <c r="D90" s="55"/>
      <c r="E90" s="56"/>
      <c r="K90" s="7"/>
    </row>
    <row r="91" spans="2:11" x14ac:dyDescent="0.35">
      <c r="K91" s="7"/>
    </row>
    <row r="92" spans="2:11" ht="15" thickBot="1" x14ac:dyDescent="0.4">
      <c r="B92" s="6"/>
      <c r="C92" s="6"/>
      <c r="D92" s="159"/>
      <c r="E92" s="159"/>
      <c r="F92" s="6"/>
      <c r="G92" s="6"/>
      <c r="H92" s="6"/>
      <c r="I92" s="6"/>
      <c r="J92" s="6"/>
      <c r="K92" s="123"/>
    </row>
    <row r="93" spans="2:11" x14ac:dyDescent="0.35">
      <c r="B93" s="150">
        <f>'Companies Office'!K1</f>
        <v>4</v>
      </c>
      <c r="C93" s="150"/>
      <c r="D93" s="150"/>
      <c r="E93" s="150"/>
      <c r="F93" s="150"/>
      <c r="G93" s="150"/>
      <c r="H93" s="150"/>
      <c r="I93" s="150"/>
      <c r="J93" s="150"/>
      <c r="K93" s="151"/>
    </row>
    <row r="94" spans="2:11" x14ac:dyDescent="0.35">
      <c r="B94" s="146"/>
      <c r="C94" s="146"/>
      <c r="D94" s="146"/>
      <c r="E94" s="146"/>
      <c r="F94" s="146"/>
      <c r="G94" s="146"/>
      <c r="H94" s="146"/>
      <c r="I94" s="146"/>
      <c r="J94" s="146"/>
      <c r="K94" s="147"/>
    </row>
    <row r="95" spans="2:11" x14ac:dyDescent="0.35">
      <c r="K95" s="7"/>
    </row>
    <row r="96" spans="2:11" ht="15" thickBot="1" x14ac:dyDescent="0.4">
      <c r="B96" s="70" t="s">
        <v>4</v>
      </c>
      <c r="C96" s="71"/>
      <c r="D96" s="71"/>
      <c r="E96" s="72"/>
      <c r="K96" s="7"/>
    </row>
    <row r="97" spans="2:11" x14ac:dyDescent="0.35">
      <c r="B97" s="128" t="s">
        <v>5</v>
      </c>
      <c r="C97" s="129"/>
      <c r="D97" s="73"/>
      <c r="E97" s="74"/>
      <c r="K97" s="7"/>
    </row>
    <row r="98" spans="2:11" x14ac:dyDescent="0.35">
      <c r="B98" s="130" t="s">
        <v>6</v>
      </c>
      <c r="C98" s="131"/>
      <c r="D98" s="75"/>
      <c r="E98" s="76"/>
      <c r="K98" s="7"/>
    </row>
    <row r="99" spans="2:11" x14ac:dyDescent="0.35">
      <c r="B99" s="132" t="s">
        <v>7</v>
      </c>
      <c r="C99" s="133"/>
      <c r="D99" s="77"/>
      <c r="E99" s="78"/>
      <c r="K99" s="7"/>
    </row>
    <row r="100" spans="2:11" x14ac:dyDescent="0.35">
      <c r="B100" s="130" t="s">
        <v>9</v>
      </c>
      <c r="C100" s="131"/>
      <c r="D100" s="75"/>
      <c r="E100" s="76"/>
      <c r="K100" s="7"/>
    </row>
    <row r="101" spans="2:11" x14ac:dyDescent="0.35">
      <c r="B101" s="132" t="s">
        <v>13</v>
      </c>
      <c r="C101" s="133"/>
      <c r="D101" s="77"/>
      <c r="E101" s="78"/>
      <c r="K101" s="7"/>
    </row>
    <row r="102" spans="2:11" x14ac:dyDescent="0.35">
      <c r="B102" s="130" t="s">
        <v>17</v>
      </c>
      <c r="C102" s="131"/>
      <c r="D102" s="75"/>
      <c r="E102" s="76"/>
      <c r="K102" s="7"/>
    </row>
    <row r="103" spans="2:11" x14ac:dyDescent="0.35">
      <c r="B103" s="134" t="s">
        <v>19</v>
      </c>
      <c r="C103" s="135"/>
      <c r="D103" s="79"/>
      <c r="E103" s="80"/>
      <c r="K103" s="7"/>
    </row>
    <row r="104" spans="2:11" x14ac:dyDescent="0.35">
      <c r="K104" s="7"/>
    </row>
    <row r="105" spans="2:11" ht="15" thickBot="1" x14ac:dyDescent="0.4">
      <c r="B105" s="60" t="s">
        <v>6</v>
      </c>
      <c r="C105" s="61"/>
      <c r="D105" s="61"/>
      <c r="E105" s="62"/>
      <c r="K105" s="7"/>
    </row>
    <row r="106" spans="2:11" x14ac:dyDescent="0.35">
      <c r="B106" s="136" t="s">
        <v>21</v>
      </c>
      <c r="C106" s="137"/>
      <c r="D106" s="66"/>
      <c r="E106" s="67"/>
      <c r="K106" s="7"/>
    </row>
    <row r="107" spans="2:11" x14ac:dyDescent="0.35">
      <c r="B107" s="138" t="s">
        <v>22</v>
      </c>
      <c r="C107" s="139"/>
      <c r="D107" s="85"/>
      <c r="E107" s="86"/>
      <c r="K107" s="7"/>
    </row>
    <row r="108" spans="2:11" x14ac:dyDescent="0.35">
      <c r="B108" s="136" t="s">
        <v>23</v>
      </c>
      <c r="C108" s="137"/>
      <c r="D108" s="66"/>
      <c r="E108" s="67"/>
      <c r="K108" s="7"/>
    </row>
    <row r="109" spans="2:11" x14ac:dyDescent="0.35">
      <c r="B109" s="138" t="s">
        <v>24</v>
      </c>
      <c r="C109" s="139"/>
      <c r="D109" s="87"/>
      <c r="E109" s="88"/>
      <c r="K109" s="7"/>
    </row>
    <row r="110" spans="2:11" x14ac:dyDescent="0.35">
      <c r="B110" s="136" t="s">
        <v>25</v>
      </c>
      <c r="C110" s="137"/>
      <c r="D110" s="66"/>
      <c r="E110" s="67"/>
      <c r="K110" s="7"/>
    </row>
    <row r="111" spans="2:11" x14ac:dyDescent="0.35">
      <c r="B111" s="138" t="s">
        <v>27</v>
      </c>
      <c r="C111" s="139"/>
      <c r="D111" s="89"/>
      <c r="E111" s="90"/>
      <c r="K111" s="7"/>
    </row>
    <row r="112" spans="2:11" x14ac:dyDescent="0.35">
      <c r="B112" s="136" t="s">
        <v>28</v>
      </c>
      <c r="C112" s="137"/>
      <c r="D112" s="66"/>
      <c r="E112" s="67"/>
      <c r="K112" s="7"/>
    </row>
    <row r="113" spans="2:11" x14ac:dyDescent="0.35">
      <c r="B113" s="140" t="s">
        <v>29</v>
      </c>
      <c r="C113" s="141"/>
      <c r="D113" s="68"/>
      <c r="E113" s="69"/>
      <c r="K113" s="7"/>
    </row>
    <row r="114" spans="2:11" x14ac:dyDescent="0.35">
      <c r="K114" s="7"/>
    </row>
    <row r="115" spans="2:11" ht="15" thickBot="1" x14ac:dyDescent="0.4">
      <c r="B115" s="60" t="s">
        <v>30</v>
      </c>
      <c r="C115" s="61"/>
      <c r="D115" s="61"/>
      <c r="E115" s="62"/>
      <c r="K115" s="7"/>
    </row>
    <row r="116" spans="2:11" x14ac:dyDescent="0.35">
      <c r="B116" s="63"/>
      <c r="C116" s="64"/>
      <c r="D116" s="64"/>
      <c r="E116" s="65"/>
      <c r="K116" s="7"/>
    </row>
    <row r="117" spans="2:11" x14ac:dyDescent="0.35">
      <c r="B117" s="57"/>
      <c r="C117" s="58"/>
      <c r="D117" s="58"/>
      <c r="E117" s="59"/>
      <c r="K117" s="7"/>
    </row>
    <row r="118" spans="2:11" x14ac:dyDescent="0.35">
      <c r="B118" s="63"/>
      <c r="C118" s="64"/>
      <c r="D118" s="64"/>
      <c r="E118" s="65"/>
      <c r="K118" s="7"/>
    </row>
    <row r="119" spans="2:11" x14ac:dyDescent="0.35">
      <c r="B119" s="57"/>
      <c r="C119" s="58"/>
      <c r="D119" s="58"/>
      <c r="E119" s="59"/>
      <c r="K119" s="7"/>
    </row>
    <row r="120" spans="2:11" x14ac:dyDescent="0.35">
      <c r="B120" s="54"/>
      <c r="C120" s="55"/>
      <c r="D120" s="55"/>
      <c r="E120" s="56"/>
      <c r="K120" s="7"/>
    </row>
    <row r="121" spans="2:11" x14ac:dyDescent="0.35">
      <c r="K121" s="7"/>
    </row>
    <row r="122" spans="2:11" ht="15" thickBot="1" x14ac:dyDescent="0.4">
      <c r="B122" s="6"/>
      <c r="C122" s="6"/>
      <c r="D122" s="159"/>
      <c r="E122" s="159"/>
      <c r="F122" s="6"/>
      <c r="G122" s="6"/>
      <c r="H122" s="6"/>
      <c r="I122" s="6"/>
      <c r="J122" s="6"/>
      <c r="K122" s="123"/>
    </row>
    <row r="123" spans="2:11" x14ac:dyDescent="0.35">
      <c r="B123" s="150">
        <f>'Companies Office'!N1</f>
        <v>5</v>
      </c>
      <c r="C123" s="150"/>
      <c r="D123" s="150"/>
      <c r="E123" s="150"/>
      <c r="F123" s="150"/>
      <c r="G123" s="150"/>
      <c r="H123" s="150"/>
      <c r="I123" s="150"/>
      <c r="J123" s="150"/>
      <c r="K123" s="151"/>
    </row>
    <row r="124" spans="2:11" x14ac:dyDescent="0.35">
      <c r="B124" s="146"/>
      <c r="C124" s="146"/>
      <c r="D124" s="146"/>
      <c r="E124" s="146"/>
      <c r="F124" s="146"/>
      <c r="G124" s="146"/>
      <c r="H124" s="146"/>
      <c r="I124" s="146"/>
      <c r="J124" s="146"/>
      <c r="K124" s="147"/>
    </row>
    <row r="125" spans="2:11" x14ac:dyDescent="0.35">
      <c r="K125" s="7"/>
    </row>
    <row r="126" spans="2:11" ht="15" thickBot="1" x14ac:dyDescent="0.4">
      <c r="B126" s="70" t="s">
        <v>4</v>
      </c>
      <c r="C126" s="71"/>
      <c r="D126" s="71"/>
      <c r="E126" s="72"/>
      <c r="K126" s="7"/>
    </row>
    <row r="127" spans="2:11" x14ac:dyDescent="0.35">
      <c r="B127" s="128" t="s">
        <v>5</v>
      </c>
      <c r="C127" s="129"/>
      <c r="D127" s="73"/>
      <c r="E127" s="74"/>
      <c r="K127" s="7"/>
    </row>
    <row r="128" spans="2:11" x14ac:dyDescent="0.35">
      <c r="B128" s="130" t="s">
        <v>6</v>
      </c>
      <c r="C128" s="131"/>
      <c r="D128" s="75"/>
      <c r="E128" s="76"/>
      <c r="K128" s="7"/>
    </row>
    <row r="129" spans="2:11" x14ac:dyDescent="0.35">
      <c r="B129" s="132" t="s">
        <v>7</v>
      </c>
      <c r="C129" s="133"/>
      <c r="D129" s="77"/>
      <c r="E129" s="78"/>
      <c r="K129" s="7"/>
    </row>
    <row r="130" spans="2:11" x14ac:dyDescent="0.35">
      <c r="B130" s="130" t="s">
        <v>9</v>
      </c>
      <c r="C130" s="131"/>
      <c r="D130" s="75"/>
      <c r="E130" s="76"/>
      <c r="K130" s="7"/>
    </row>
    <row r="131" spans="2:11" x14ac:dyDescent="0.35">
      <c r="B131" s="132" t="s">
        <v>13</v>
      </c>
      <c r="C131" s="133"/>
      <c r="D131" s="77"/>
      <c r="E131" s="78"/>
      <c r="K131" s="7"/>
    </row>
    <row r="132" spans="2:11" x14ac:dyDescent="0.35">
      <c r="B132" s="130" t="s">
        <v>17</v>
      </c>
      <c r="C132" s="131"/>
      <c r="D132" s="75"/>
      <c r="E132" s="76"/>
      <c r="K132" s="7"/>
    </row>
    <row r="133" spans="2:11" x14ac:dyDescent="0.35">
      <c r="B133" s="134" t="s">
        <v>19</v>
      </c>
      <c r="C133" s="135"/>
      <c r="D133" s="79"/>
      <c r="E133" s="80"/>
      <c r="K133" s="7"/>
    </row>
    <row r="134" spans="2:11" x14ac:dyDescent="0.35">
      <c r="K134" s="7"/>
    </row>
    <row r="135" spans="2:11" ht="15" thickBot="1" x14ac:dyDescent="0.4">
      <c r="B135" s="60" t="s">
        <v>6</v>
      </c>
      <c r="C135" s="61"/>
      <c r="D135" s="61"/>
      <c r="E135" s="62"/>
      <c r="K135" s="7"/>
    </row>
    <row r="136" spans="2:11" x14ac:dyDescent="0.35">
      <c r="B136" s="136" t="s">
        <v>21</v>
      </c>
      <c r="C136" s="137"/>
      <c r="D136" s="66"/>
      <c r="E136" s="67"/>
      <c r="K136" s="7"/>
    </row>
    <row r="137" spans="2:11" x14ac:dyDescent="0.35">
      <c r="B137" s="138" t="s">
        <v>22</v>
      </c>
      <c r="C137" s="139"/>
      <c r="D137" s="85"/>
      <c r="E137" s="86"/>
      <c r="K137" s="7"/>
    </row>
    <row r="138" spans="2:11" x14ac:dyDescent="0.35">
      <c r="B138" s="136" t="s">
        <v>23</v>
      </c>
      <c r="C138" s="137"/>
      <c r="D138" s="66"/>
      <c r="E138" s="67"/>
      <c r="K138" s="7"/>
    </row>
    <row r="139" spans="2:11" x14ac:dyDescent="0.35">
      <c r="B139" s="138" t="s">
        <v>24</v>
      </c>
      <c r="C139" s="139"/>
      <c r="D139" s="87"/>
      <c r="E139" s="88"/>
      <c r="K139" s="7"/>
    </row>
    <row r="140" spans="2:11" x14ac:dyDescent="0.35">
      <c r="B140" s="136" t="s">
        <v>25</v>
      </c>
      <c r="C140" s="137"/>
      <c r="D140" s="66"/>
      <c r="E140" s="67"/>
      <c r="K140" s="7"/>
    </row>
    <row r="141" spans="2:11" x14ac:dyDescent="0.35">
      <c r="B141" s="138" t="s">
        <v>27</v>
      </c>
      <c r="C141" s="139"/>
      <c r="D141" s="89"/>
      <c r="E141" s="90"/>
      <c r="K141" s="7"/>
    </row>
    <row r="142" spans="2:11" x14ac:dyDescent="0.35">
      <c r="B142" s="136" t="s">
        <v>28</v>
      </c>
      <c r="C142" s="137"/>
      <c r="D142" s="66"/>
      <c r="E142" s="67"/>
      <c r="K142" s="7"/>
    </row>
    <row r="143" spans="2:11" x14ac:dyDescent="0.35">
      <c r="B143" s="140" t="s">
        <v>29</v>
      </c>
      <c r="C143" s="141"/>
      <c r="D143" s="68"/>
      <c r="E143" s="69"/>
      <c r="K143" s="7"/>
    </row>
    <row r="144" spans="2:11" x14ac:dyDescent="0.35">
      <c r="K144" s="7"/>
    </row>
    <row r="145" spans="2:11" ht="15" thickBot="1" x14ac:dyDescent="0.4">
      <c r="B145" s="60" t="s">
        <v>30</v>
      </c>
      <c r="C145" s="61"/>
      <c r="D145" s="61"/>
      <c r="E145" s="62"/>
      <c r="K145" s="7"/>
    </row>
    <row r="146" spans="2:11" x14ac:dyDescent="0.35">
      <c r="B146" s="63"/>
      <c r="C146" s="64"/>
      <c r="D146" s="64"/>
      <c r="E146" s="65"/>
      <c r="K146" s="7"/>
    </row>
    <row r="147" spans="2:11" x14ac:dyDescent="0.35">
      <c r="B147" s="57"/>
      <c r="C147" s="58"/>
      <c r="D147" s="58"/>
      <c r="E147" s="59"/>
      <c r="K147" s="7"/>
    </row>
    <row r="148" spans="2:11" x14ac:dyDescent="0.35">
      <c r="B148" s="63"/>
      <c r="C148" s="64"/>
      <c r="D148" s="64"/>
      <c r="E148" s="65"/>
      <c r="K148" s="7"/>
    </row>
    <row r="149" spans="2:11" x14ac:dyDescent="0.35">
      <c r="B149" s="57"/>
      <c r="C149" s="58"/>
      <c r="D149" s="58"/>
      <c r="E149" s="59"/>
      <c r="K149" s="7"/>
    </row>
    <row r="150" spans="2:11" x14ac:dyDescent="0.35">
      <c r="B150" s="54"/>
      <c r="C150" s="55"/>
      <c r="D150" s="55"/>
      <c r="E150" s="56"/>
      <c r="K150" s="7"/>
    </row>
    <row r="151" spans="2:11" x14ac:dyDescent="0.35">
      <c r="K151" s="7"/>
    </row>
    <row r="152" spans="2:11" ht="15" thickBot="1" x14ac:dyDescent="0.4">
      <c r="B152" s="6"/>
      <c r="C152" s="6"/>
      <c r="D152" s="159"/>
      <c r="E152" s="159"/>
      <c r="F152" s="6"/>
      <c r="G152" s="6"/>
      <c r="H152" s="6"/>
      <c r="I152" s="6"/>
      <c r="J152" s="6"/>
      <c r="K152" s="123"/>
    </row>
  </sheetData>
  <mergeCells count="206">
    <mergeCell ref="B150:E150"/>
    <mergeCell ref="B145:E145"/>
    <mergeCell ref="B146:E146"/>
    <mergeCell ref="B147:E147"/>
    <mergeCell ref="B148:E148"/>
    <mergeCell ref="B149:E149"/>
    <mergeCell ref="B141:C141"/>
    <mergeCell ref="D141:E141"/>
    <mergeCell ref="B142:C142"/>
    <mergeCell ref="D142:E142"/>
    <mergeCell ref="B143:C143"/>
    <mergeCell ref="D143:E143"/>
    <mergeCell ref="B138:C138"/>
    <mergeCell ref="D138:E138"/>
    <mergeCell ref="B139:C139"/>
    <mergeCell ref="D139:E139"/>
    <mergeCell ref="B140:C140"/>
    <mergeCell ref="D140:E140"/>
    <mergeCell ref="B135:E135"/>
    <mergeCell ref="B136:C136"/>
    <mergeCell ref="D136:E136"/>
    <mergeCell ref="B137:C137"/>
    <mergeCell ref="D137:E137"/>
    <mergeCell ref="B131:C131"/>
    <mergeCell ref="D131:E131"/>
    <mergeCell ref="B132:C132"/>
    <mergeCell ref="D132:E132"/>
    <mergeCell ref="B133:C133"/>
    <mergeCell ref="D133:E133"/>
    <mergeCell ref="B128:C128"/>
    <mergeCell ref="D128:E128"/>
    <mergeCell ref="B129:C129"/>
    <mergeCell ref="D129:E129"/>
    <mergeCell ref="B130:C130"/>
    <mergeCell ref="D130:E130"/>
    <mergeCell ref="B120:E120"/>
    <mergeCell ref="B123:K124"/>
    <mergeCell ref="B126:E126"/>
    <mergeCell ref="B127:C127"/>
    <mergeCell ref="D127:E127"/>
    <mergeCell ref="B115:E115"/>
    <mergeCell ref="B116:E116"/>
    <mergeCell ref="B117:E117"/>
    <mergeCell ref="B118:E118"/>
    <mergeCell ref="B119:E119"/>
    <mergeCell ref="B87:E87"/>
    <mergeCell ref="B88:E88"/>
    <mergeCell ref="B89:E89"/>
    <mergeCell ref="B93:K94"/>
    <mergeCell ref="B96:E96"/>
    <mergeCell ref="B59:E59"/>
    <mergeCell ref="B60:E60"/>
    <mergeCell ref="B63:K64"/>
    <mergeCell ref="B66:E66"/>
    <mergeCell ref="B70:C70"/>
    <mergeCell ref="D70:E70"/>
    <mergeCell ref="B110:C110"/>
    <mergeCell ref="D110:E110"/>
    <mergeCell ref="B111:C111"/>
    <mergeCell ref="D111:E111"/>
    <mergeCell ref="B112:C112"/>
    <mergeCell ref="D112:E112"/>
    <mergeCell ref="B113:C113"/>
    <mergeCell ref="D113:E113"/>
    <mergeCell ref="B106:C106"/>
    <mergeCell ref="D106:E106"/>
    <mergeCell ref="B107:C107"/>
    <mergeCell ref="D107:E107"/>
    <mergeCell ref="B108:C108"/>
    <mergeCell ref="D108:E108"/>
    <mergeCell ref="B109:C109"/>
    <mergeCell ref="D109:E109"/>
    <mergeCell ref="B103:C103"/>
    <mergeCell ref="D103:E103"/>
    <mergeCell ref="B105:E105"/>
    <mergeCell ref="B100:C100"/>
    <mergeCell ref="D100:E100"/>
    <mergeCell ref="B101:C101"/>
    <mergeCell ref="D101:E101"/>
    <mergeCell ref="B102:C102"/>
    <mergeCell ref="D102:E102"/>
    <mergeCell ref="B97:C97"/>
    <mergeCell ref="D97:E97"/>
    <mergeCell ref="B98:C98"/>
    <mergeCell ref="D98:E98"/>
    <mergeCell ref="B99:C99"/>
    <mergeCell ref="D99:E99"/>
    <mergeCell ref="B90:E90"/>
    <mergeCell ref="B85:E85"/>
    <mergeCell ref="B86:E86"/>
    <mergeCell ref="B82:C82"/>
    <mergeCell ref="D82:E82"/>
    <mergeCell ref="B83:C83"/>
    <mergeCell ref="D83:E83"/>
    <mergeCell ref="B78:C78"/>
    <mergeCell ref="D78:E78"/>
    <mergeCell ref="B79:C79"/>
    <mergeCell ref="D79:E79"/>
    <mergeCell ref="B80:C80"/>
    <mergeCell ref="D80:E80"/>
    <mergeCell ref="B81:C81"/>
    <mergeCell ref="D81:E81"/>
    <mergeCell ref="B76:C76"/>
    <mergeCell ref="D76:E76"/>
    <mergeCell ref="B77:C77"/>
    <mergeCell ref="D77:E77"/>
    <mergeCell ref="B75:E75"/>
    <mergeCell ref="B72:C72"/>
    <mergeCell ref="D72:E72"/>
    <mergeCell ref="B73:C73"/>
    <mergeCell ref="D73:E73"/>
    <mergeCell ref="B68:C68"/>
    <mergeCell ref="D68:E68"/>
    <mergeCell ref="B69:C69"/>
    <mergeCell ref="D69:E69"/>
    <mergeCell ref="B71:C71"/>
    <mergeCell ref="D71:E71"/>
    <mergeCell ref="B67:C67"/>
    <mergeCell ref="D67:E67"/>
    <mergeCell ref="B55:E55"/>
    <mergeCell ref="B56:E56"/>
    <mergeCell ref="B57:E57"/>
    <mergeCell ref="B58:E58"/>
    <mergeCell ref="B50:C50"/>
    <mergeCell ref="D50:E50"/>
    <mergeCell ref="B51:C51"/>
    <mergeCell ref="D51:E51"/>
    <mergeCell ref="B52:C52"/>
    <mergeCell ref="D52:E52"/>
    <mergeCell ref="B53:C53"/>
    <mergeCell ref="D53:E53"/>
    <mergeCell ref="B47:C47"/>
    <mergeCell ref="D47:E47"/>
    <mergeCell ref="B48:C48"/>
    <mergeCell ref="D48:E48"/>
    <mergeCell ref="B49:C49"/>
    <mergeCell ref="D49:E49"/>
    <mergeCell ref="B46:C46"/>
    <mergeCell ref="D46:E46"/>
    <mergeCell ref="B45:E45"/>
    <mergeCell ref="B40:C40"/>
    <mergeCell ref="D40:E40"/>
    <mergeCell ref="B41:C41"/>
    <mergeCell ref="D41:E41"/>
    <mergeCell ref="B42:C42"/>
    <mergeCell ref="D42:E42"/>
    <mergeCell ref="B43:C43"/>
    <mergeCell ref="D43:E43"/>
    <mergeCell ref="B37:C37"/>
    <mergeCell ref="D37:E37"/>
    <mergeCell ref="B38:C38"/>
    <mergeCell ref="D38:E38"/>
    <mergeCell ref="B39:C39"/>
    <mergeCell ref="D39:E39"/>
    <mergeCell ref="B33:K34"/>
    <mergeCell ref="B36:E36"/>
    <mergeCell ref="X12:Y12"/>
    <mergeCell ref="X13:Y13"/>
    <mergeCell ref="X10:Y10"/>
    <mergeCell ref="X9:AC9"/>
    <mergeCell ref="B1:AE1"/>
    <mergeCell ref="V2:AE2"/>
    <mergeCell ref="X11:Y11"/>
    <mergeCell ref="B10:C10"/>
    <mergeCell ref="B7:C7"/>
    <mergeCell ref="B8:C8"/>
    <mergeCell ref="B3:K4"/>
    <mergeCell ref="J2:K2"/>
    <mergeCell ref="B2:I2"/>
    <mergeCell ref="M45:N45"/>
    <mergeCell ref="B16:C16"/>
    <mergeCell ref="D16:E16"/>
    <mergeCell ref="B15:E15"/>
    <mergeCell ref="L2:U2"/>
    <mergeCell ref="B17:C17"/>
    <mergeCell ref="B18:C18"/>
    <mergeCell ref="B19:C19"/>
    <mergeCell ref="B20:C20"/>
    <mergeCell ref="D17:E17"/>
    <mergeCell ref="D18:E18"/>
    <mergeCell ref="D19:E19"/>
    <mergeCell ref="B22:C22"/>
    <mergeCell ref="B23:C23"/>
    <mergeCell ref="D21:E21"/>
    <mergeCell ref="D22:E22"/>
    <mergeCell ref="D23:E23"/>
    <mergeCell ref="B6:E6"/>
    <mergeCell ref="B11:C11"/>
    <mergeCell ref="B12:C12"/>
    <mergeCell ref="D20:E20"/>
    <mergeCell ref="B21:C21"/>
    <mergeCell ref="B13:C13"/>
    <mergeCell ref="D7:E7"/>
    <mergeCell ref="D8:E8"/>
    <mergeCell ref="D9:E9"/>
    <mergeCell ref="D10:E10"/>
    <mergeCell ref="D11:E11"/>
    <mergeCell ref="D12:E12"/>
    <mergeCell ref="D13:E13"/>
    <mergeCell ref="B9:C9"/>
    <mergeCell ref="B30:E30"/>
    <mergeCell ref="B29:E29"/>
    <mergeCell ref="B25:E25"/>
    <mergeCell ref="B28:E28"/>
    <mergeCell ref="B27:E27"/>
    <mergeCell ref="B26:E26"/>
  </mergeCells>
  <phoneticPr fontId="9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19050</xdr:colOff>
                    <xdr:row>1</xdr:row>
                    <xdr:rowOff>25400</xdr:rowOff>
                  </from>
                  <to>
                    <xdr:col>10</xdr:col>
                    <xdr:colOff>622300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687F1-45DB-43F2-BF28-EBE66A00F89D}">
  <sheetPr codeName="Sheet2"/>
  <dimension ref="A1:AH782"/>
  <sheetViews>
    <sheetView workbookViewId="0">
      <selection activeCell="J11" sqref="J11"/>
    </sheetView>
  </sheetViews>
  <sheetFormatPr defaultRowHeight="14.5" x14ac:dyDescent="0.35"/>
  <cols>
    <col min="1" max="5" width="11.26953125" bestFit="1" customWidth="1"/>
    <col min="6" max="6" width="12.1796875" bestFit="1" customWidth="1"/>
    <col min="7" max="9" width="11.26953125" bestFit="1" customWidth="1"/>
    <col min="10" max="34" width="12.26953125" bestFit="1" customWidth="1"/>
  </cols>
  <sheetData>
    <row r="1" spans="1:34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  <c r="T1" t="s">
        <v>53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</row>
    <row r="2" spans="1:34" x14ac:dyDescent="0.35">
      <c r="A2">
        <v>1.5375000000000001</v>
      </c>
      <c r="B2">
        <v>8.4220000000000006</v>
      </c>
      <c r="C2">
        <v>158.6</v>
      </c>
      <c r="D2">
        <v>55.095999999999997</v>
      </c>
      <c r="E2">
        <v>7.4588999999999999</v>
      </c>
      <c r="F2">
        <v>355.11</v>
      </c>
      <c r="G2">
        <v>27.533999999999999</v>
      </c>
      <c r="H2">
        <v>1.7199</v>
      </c>
      <c r="I2">
        <v>4.8391000000000002</v>
      </c>
      <c r="J2">
        <v>10.942299999999999</v>
      </c>
      <c r="K2">
        <v>16935.13</v>
      </c>
      <c r="L2">
        <v>83.168499999999995</v>
      </c>
      <c r="M2">
        <v>5.7866</v>
      </c>
      <c r="N2">
        <v>83.196100000000001</v>
      </c>
      <c r="O2">
        <v>7.57</v>
      </c>
      <c r="P2">
        <v>117.01</v>
      </c>
      <c r="Q2">
        <v>35.176000000000002</v>
      </c>
      <c r="R2">
        <v>1.0523</v>
      </c>
      <c r="S2">
        <v>1.5508</v>
      </c>
      <c r="T2">
        <v>4.5349000000000004</v>
      </c>
      <c r="U2">
        <v>1.9558</v>
      </c>
      <c r="V2">
        <v>7.6007999999999996</v>
      </c>
      <c r="W2">
        <v>7.6963999999999997</v>
      </c>
      <c r="X2">
        <v>11.6775</v>
      </c>
      <c r="Y2">
        <v>1.82</v>
      </c>
      <c r="Z2">
        <v>20.441299999999998</v>
      </c>
      <c r="AA2">
        <v>1.0867</v>
      </c>
      <c r="AB2">
        <v>26.389500000000002</v>
      </c>
      <c r="AC2">
        <v>3.85</v>
      </c>
      <c r="AD2">
        <v>0.87919999999999998</v>
      </c>
      <c r="AE2">
        <v>1339.66</v>
      </c>
      <c r="AF2">
        <v>4.7436999999999996</v>
      </c>
      <c r="AG2" t="s">
        <v>68</v>
      </c>
      <c r="AH2" s="16">
        <v>43943</v>
      </c>
    </row>
    <row r="7" spans="1:34" x14ac:dyDescent="0.35">
      <c r="C7" t="s">
        <v>69</v>
      </c>
      <c r="D7" t="s">
        <v>70</v>
      </c>
    </row>
    <row r="9" spans="1:34" x14ac:dyDescent="0.35">
      <c r="A9" t="s">
        <v>71</v>
      </c>
    </row>
    <row r="10" spans="1:34" x14ac:dyDescent="0.35">
      <c r="A10" t="s">
        <v>72</v>
      </c>
    </row>
    <row r="11" spans="1:34" x14ac:dyDescent="0.35">
      <c r="A11" t="s">
        <v>73</v>
      </c>
    </row>
    <row r="12" spans="1:34" x14ac:dyDescent="0.35">
      <c r="A12" t="s">
        <v>74</v>
      </c>
    </row>
    <row r="13" spans="1:34" x14ac:dyDescent="0.35">
      <c r="A13" t="s">
        <v>75</v>
      </c>
    </row>
    <row r="14" spans="1:34" x14ac:dyDescent="0.35">
      <c r="A14" t="s">
        <v>76</v>
      </c>
    </row>
    <row r="15" spans="1:34" x14ac:dyDescent="0.35">
      <c r="A15" t="s">
        <v>77</v>
      </c>
    </row>
    <row r="16" spans="1:34" x14ac:dyDescent="0.35">
      <c r="A16" t="s">
        <v>78</v>
      </c>
    </row>
    <row r="17" spans="1:1" x14ac:dyDescent="0.35">
      <c r="A17" t="s">
        <v>79</v>
      </c>
    </row>
    <row r="18" spans="1:1" x14ac:dyDescent="0.35">
      <c r="A18" t="s">
        <v>80</v>
      </c>
    </row>
    <row r="19" spans="1:1" x14ac:dyDescent="0.35">
      <c r="A19" t="s">
        <v>81</v>
      </c>
    </row>
    <row r="20" spans="1:1" x14ac:dyDescent="0.35">
      <c r="A20" t="s">
        <v>82</v>
      </c>
    </row>
    <row r="21" spans="1:1" x14ac:dyDescent="0.35">
      <c r="A21" t="s">
        <v>83</v>
      </c>
    </row>
    <row r="22" spans="1:1" x14ac:dyDescent="0.35">
      <c r="A22" t="s">
        <v>84</v>
      </c>
    </row>
    <row r="23" spans="1:1" x14ac:dyDescent="0.35">
      <c r="A23" t="s">
        <v>85</v>
      </c>
    </row>
    <row r="24" spans="1:1" x14ac:dyDescent="0.35">
      <c r="A24" t="s">
        <v>86</v>
      </c>
    </row>
    <row r="25" spans="1:1" x14ac:dyDescent="0.35">
      <c r="A25" t="s">
        <v>87</v>
      </c>
    </row>
    <row r="26" spans="1:1" x14ac:dyDescent="0.35">
      <c r="A26" t="s">
        <v>88</v>
      </c>
    </row>
    <row r="27" spans="1:1" x14ac:dyDescent="0.35">
      <c r="A27" t="s">
        <v>89</v>
      </c>
    </row>
    <row r="28" spans="1:1" x14ac:dyDescent="0.35">
      <c r="A28" t="s">
        <v>90</v>
      </c>
    </row>
    <row r="29" spans="1:1" x14ac:dyDescent="0.35">
      <c r="A29" t="s">
        <v>91</v>
      </c>
    </row>
    <row r="30" spans="1:1" x14ac:dyDescent="0.35">
      <c r="A30" t="s">
        <v>81</v>
      </c>
    </row>
    <row r="31" spans="1:1" x14ac:dyDescent="0.35">
      <c r="A31" t="s">
        <v>92</v>
      </c>
    </row>
    <row r="32" spans="1:1" x14ac:dyDescent="0.35">
      <c r="A32" t="s">
        <v>93</v>
      </c>
    </row>
    <row r="33" spans="1:1" x14ac:dyDescent="0.35">
      <c r="A33" t="s">
        <v>94</v>
      </c>
    </row>
    <row r="34" spans="1:1" x14ac:dyDescent="0.35">
      <c r="A34" t="s">
        <v>95</v>
      </c>
    </row>
    <row r="35" spans="1:1" x14ac:dyDescent="0.35">
      <c r="A35" t="s">
        <v>96</v>
      </c>
    </row>
    <row r="36" spans="1:1" x14ac:dyDescent="0.35">
      <c r="A36" t="s">
        <v>97</v>
      </c>
    </row>
    <row r="37" spans="1:1" x14ac:dyDescent="0.35">
      <c r="A37" t="s">
        <v>98</v>
      </c>
    </row>
    <row r="38" spans="1:1" x14ac:dyDescent="0.35">
      <c r="A38" t="s">
        <v>99</v>
      </c>
    </row>
    <row r="39" spans="1:1" x14ac:dyDescent="0.35">
      <c r="A39" t="s">
        <v>100</v>
      </c>
    </row>
    <row r="40" spans="1:1" x14ac:dyDescent="0.35">
      <c r="A40" t="s">
        <v>101</v>
      </c>
    </row>
    <row r="41" spans="1:1" x14ac:dyDescent="0.35">
      <c r="A41" t="s">
        <v>102</v>
      </c>
    </row>
    <row r="42" spans="1:1" x14ac:dyDescent="0.35">
      <c r="A42" t="s">
        <v>103</v>
      </c>
    </row>
    <row r="43" spans="1:1" x14ac:dyDescent="0.35">
      <c r="A43" t="s">
        <v>104</v>
      </c>
    </row>
    <row r="44" spans="1:1" x14ac:dyDescent="0.35">
      <c r="A44" t="s">
        <v>105</v>
      </c>
    </row>
    <row r="45" spans="1:1" x14ac:dyDescent="0.35">
      <c r="A45" t="s">
        <v>81</v>
      </c>
    </row>
    <row r="46" spans="1:1" x14ac:dyDescent="0.35">
      <c r="A46" t="s">
        <v>106</v>
      </c>
    </row>
    <row r="47" spans="1:1" x14ac:dyDescent="0.35">
      <c r="A47" t="s">
        <v>107</v>
      </c>
    </row>
    <row r="48" spans="1:1" x14ac:dyDescent="0.35">
      <c r="A48" t="s">
        <v>94</v>
      </c>
    </row>
    <row r="49" spans="1:1" x14ac:dyDescent="0.35">
      <c r="A49" t="s">
        <v>95</v>
      </c>
    </row>
    <row r="50" spans="1:1" x14ac:dyDescent="0.35">
      <c r="A50" t="s">
        <v>108</v>
      </c>
    </row>
    <row r="51" spans="1:1" x14ac:dyDescent="0.35">
      <c r="A51" t="s">
        <v>109</v>
      </c>
    </row>
    <row r="52" spans="1:1" x14ac:dyDescent="0.35">
      <c r="A52" t="s">
        <v>110</v>
      </c>
    </row>
    <row r="53" spans="1:1" x14ac:dyDescent="0.35">
      <c r="A53" t="s">
        <v>111</v>
      </c>
    </row>
    <row r="54" spans="1:1" x14ac:dyDescent="0.35">
      <c r="A54" t="s">
        <v>112</v>
      </c>
    </row>
    <row r="55" spans="1:1" x14ac:dyDescent="0.35">
      <c r="A55" t="s">
        <v>113</v>
      </c>
    </row>
    <row r="56" spans="1:1" x14ac:dyDescent="0.35">
      <c r="A56" t="s">
        <v>114</v>
      </c>
    </row>
    <row r="57" spans="1:1" x14ac:dyDescent="0.35">
      <c r="A57" t="s">
        <v>115</v>
      </c>
    </row>
    <row r="58" spans="1:1" x14ac:dyDescent="0.35">
      <c r="A58" t="s">
        <v>116</v>
      </c>
    </row>
    <row r="59" spans="1:1" x14ac:dyDescent="0.35">
      <c r="A59" t="s">
        <v>105</v>
      </c>
    </row>
    <row r="60" spans="1:1" x14ac:dyDescent="0.35">
      <c r="A60" t="s">
        <v>81</v>
      </c>
    </row>
    <row r="61" spans="1:1" x14ac:dyDescent="0.35">
      <c r="A61" t="s">
        <v>117</v>
      </c>
    </row>
    <row r="62" spans="1:1" x14ac:dyDescent="0.35">
      <c r="A62" t="s">
        <v>118</v>
      </c>
    </row>
    <row r="63" spans="1:1" x14ac:dyDescent="0.35">
      <c r="A63" t="s">
        <v>94</v>
      </c>
    </row>
    <row r="64" spans="1:1" x14ac:dyDescent="0.35">
      <c r="A64" t="s">
        <v>95</v>
      </c>
    </row>
    <row r="65" spans="1:1" x14ac:dyDescent="0.35">
      <c r="A65" t="s">
        <v>119</v>
      </c>
    </row>
    <row r="66" spans="1:1" x14ac:dyDescent="0.35">
      <c r="A66" t="s">
        <v>120</v>
      </c>
    </row>
    <row r="67" spans="1:1" x14ac:dyDescent="0.35">
      <c r="A67" t="s">
        <v>121</v>
      </c>
    </row>
    <row r="68" spans="1:1" x14ac:dyDescent="0.35">
      <c r="A68" t="s">
        <v>122</v>
      </c>
    </row>
    <row r="69" spans="1:1" x14ac:dyDescent="0.35">
      <c r="A69" t="s">
        <v>123</v>
      </c>
    </row>
    <row r="70" spans="1:1" x14ac:dyDescent="0.35">
      <c r="A70" t="s">
        <v>124</v>
      </c>
    </row>
    <row r="71" spans="1:1" x14ac:dyDescent="0.35">
      <c r="A71" t="s">
        <v>125</v>
      </c>
    </row>
    <row r="72" spans="1:1" x14ac:dyDescent="0.35">
      <c r="A72" t="s">
        <v>126</v>
      </c>
    </row>
    <row r="73" spans="1:1" x14ac:dyDescent="0.35">
      <c r="A73" t="s">
        <v>127</v>
      </c>
    </row>
    <row r="74" spans="1:1" x14ac:dyDescent="0.35">
      <c r="A74" t="s">
        <v>105</v>
      </c>
    </row>
    <row r="75" spans="1:1" x14ac:dyDescent="0.35">
      <c r="A75" t="s">
        <v>81</v>
      </c>
    </row>
    <row r="76" spans="1:1" x14ac:dyDescent="0.35">
      <c r="A76" t="s">
        <v>128</v>
      </c>
    </row>
    <row r="77" spans="1:1" x14ac:dyDescent="0.35">
      <c r="A77" t="s">
        <v>129</v>
      </c>
    </row>
    <row r="78" spans="1:1" x14ac:dyDescent="0.35">
      <c r="A78" t="s">
        <v>94</v>
      </c>
    </row>
    <row r="79" spans="1:1" x14ac:dyDescent="0.35">
      <c r="A79" t="s">
        <v>95</v>
      </c>
    </row>
    <row r="80" spans="1:1" x14ac:dyDescent="0.35">
      <c r="A80" t="s">
        <v>130</v>
      </c>
    </row>
    <row r="81" spans="1:1" x14ac:dyDescent="0.35">
      <c r="A81" t="s">
        <v>131</v>
      </c>
    </row>
    <row r="82" spans="1:1" x14ac:dyDescent="0.35">
      <c r="A82" t="s">
        <v>132</v>
      </c>
    </row>
    <row r="83" spans="1:1" x14ac:dyDescent="0.35">
      <c r="A83" t="s">
        <v>133</v>
      </c>
    </row>
    <row r="84" spans="1:1" x14ac:dyDescent="0.35">
      <c r="A84" t="s">
        <v>134</v>
      </c>
    </row>
    <row r="85" spans="1:1" x14ac:dyDescent="0.35">
      <c r="A85" t="s">
        <v>113</v>
      </c>
    </row>
    <row r="86" spans="1:1" x14ac:dyDescent="0.35">
      <c r="A86" t="s">
        <v>135</v>
      </c>
    </row>
    <row r="87" spans="1:1" x14ac:dyDescent="0.35">
      <c r="A87" t="s">
        <v>136</v>
      </c>
    </row>
    <row r="88" spans="1:1" x14ac:dyDescent="0.35">
      <c r="A88" t="s">
        <v>137</v>
      </c>
    </row>
    <row r="89" spans="1:1" x14ac:dyDescent="0.35">
      <c r="A89" t="s">
        <v>105</v>
      </c>
    </row>
    <row r="90" spans="1:1" x14ac:dyDescent="0.35">
      <c r="A90" t="s">
        <v>81</v>
      </c>
    </row>
    <row r="91" spans="1:1" x14ac:dyDescent="0.35">
      <c r="A91" t="s">
        <v>138</v>
      </c>
    </row>
    <row r="92" spans="1:1" x14ac:dyDescent="0.35">
      <c r="A92" t="s">
        <v>139</v>
      </c>
    </row>
    <row r="93" spans="1:1" x14ac:dyDescent="0.35">
      <c r="A93" t="s">
        <v>94</v>
      </c>
    </row>
    <row r="94" spans="1:1" x14ac:dyDescent="0.35">
      <c r="A94" t="s">
        <v>95</v>
      </c>
    </row>
    <row r="95" spans="1:1" x14ac:dyDescent="0.35">
      <c r="A95" t="s">
        <v>140</v>
      </c>
    </row>
    <row r="96" spans="1:1" x14ac:dyDescent="0.35">
      <c r="A96" t="s">
        <v>141</v>
      </c>
    </row>
    <row r="97" spans="1:1" x14ac:dyDescent="0.35">
      <c r="A97" t="s">
        <v>142</v>
      </c>
    </row>
    <row r="98" spans="1:1" x14ac:dyDescent="0.35">
      <c r="A98" t="s">
        <v>143</v>
      </c>
    </row>
    <row r="99" spans="1:1" x14ac:dyDescent="0.35">
      <c r="A99" t="s">
        <v>144</v>
      </c>
    </row>
    <row r="100" spans="1:1" x14ac:dyDescent="0.35">
      <c r="A100" t="s">
        <v>113</v>
      </c>
    </row>
    <row r="101" spans="1:1" x14ac:dyDescent="0.35">
      <c r="A101" t="s">
        <v>145</v>
      </c>
    </row>
    <row r="102" spans="1:1" x14ac:dyDescent="0.35">
      <c r="A102" t="s">
        <v>146</v>
      </c>
    </row>
    <row r="103" spans="1:1" x14ac:dyDescent="0.35">
      <c r="A103" t="s">
        <v>147</v>
      </c>
    </row>
    <row r="104" spans="1:1" x14ac:dyDescent="0.35">
      <c r="A104" t="s">
        <v>105</v>
      </c>
    </row>
    <row r="105" spans="1:1" x14ac:dyDescent="0.35">
      <c r="A105" t="s">
        <v>81</v>
      </c>
    </row>
    <row r="106" spans="1:1" x14ac:dyDescent="0.35">
      <c r="A106" t="s">
        <v>148</v>
      </c>
    </row>
    <row r="107" spans="1:1" x14ac:dyDescent="0.35">
      <c r="A107" t="s">
        <v>149</v>
      </c>
    </row>
    <row r="108" spans="1:1" x14ac:dyDescent="0.35">
      <c r="A108" t="s">
        <v>94</v>
      </c>
    </row>
    <row r="109" spans="1:1" x14ac:dyDescent="0.35">
      <c r="A109" t="s">
        <v>95</v>
      </c>
    </row>
    <row r="110" spans="1:1" x14ac:dyDescent="0.35">
      <c r="A110" t="s">
        <v>150</v>
      </c>
    </row>
    <row r="111" spans="1:1" x14ac:dyDescent="0.35">
      <c r="A111" t="s">
        <v>151</v>
      </c>
    </row>
    <row r="112" spans="1:1" x14ac:dyDescent="0.35">
      <c r="A112" t="s">
        <v>152</v>
      </c>
    </row>
    <row r="113" spans="1:1" x14ac:dyDescent="0.35">
      <c r="A113" t="s">
        <v>153</v>
      </c>
    </row>
    <row r="114" spans="1:1" x14ac:dyDescent="0.35">
      <c r="A114" t="s">
        <v>154</v>
      </c>
    </row>
    <row r="115" spans="1:1" x14ac:dyDescent="0.35">
      <c r="A115" t="s">
        <v>113</v>
      </c>
    </row>
    <row r="116" spans="1:1" x14ac:dyDescent="0.35">
      <c r="A116" t="s">
        <v>155</v>
      </c>
    </row>
    <row r="117" spans="1:1" x14ac:dyDescent="0.35">
      <c r="A117" t="s">
        <v>156</v>
      </c>
    </row>
    <row r="118" spans="1:1" x14ac:dyDescent="0.35">
      <c r="A118" t="s">
        <v>157</v>
      </c>
    </row>
    <row r="119" spans="1:1" x14ac:dyDescent="0.35">
      <c r="A119" t="s">
        <v>105</v>
      </c>
    </row>
    <row r="120" spans="1:1" x14ac:dyDescent="0.35">
      <c r="A120" t="s">
        <v>81</v>
      </c>
    </row>
    <row r="121" spans="1:1" x14ac:dyDescent="0.35">
      <c r="A121" t="s">
        <v>158</v>
      </c>
    </row>
    <row r="122" spans="1:1" x14ac:dyDescent="0.35">
      <c r="A122" t="s">
        <v>159</v>
      </c>
    </row>
    <row r="123" spans="1:1" x14ac:dyDescent="0.35">
      <c r="A123" t="s">
        <v>160</v>
      </c>
    </row>
    <row r="124" spans="1:1" x14ac:dyDescent="0.35">
      <c r="A124" t="s">
        <v>95</v>
      </c>
    </row>
    <row r="125" spans="1:1" x14ac:dyDescent="0.35">
      <c r="A125" t="s">
        <v>119</v>
      </c>
    </row>
    <row r="126" spans="1:1" x14ac:dyDescent="0.35">
      <c r="A126" t="s">
        <v>120</v>
      </c>
    </row>
    <row r="127" spans="1:1" x14ac:dyDescent="0.35">
      <c r="A127" t="s">
        <v>121</v>
      </c>
    </row>
    <row r="128" spans="1:1" x14ac:dyDescent="0.35">
      <c r="A128" t="s">
        <v>161</v>
      </c>
    </row>
    <row r="129" spans="1:1" x14ac:dyDescent="0.35">
      <c r="A129" t="s">
        <v>162</v>
      </c>
    </row>
    <row r="130" spans="1:1" x14ac:dyDescent="0.35">
      <c r="A130" t="s">
        <v>163</v>
      </c>
    </row>
    <row r="131" spans="1:1" x14ac:dyDescent="0.35">
      <c r="A131" t="s">
        <v>164</v>
      </c>
    </row>
    <row r="132" spans="1:1" x14ac:dyDescent="0.35">
      <c r="A132" t="s">
        <v>165</v>
      </c>
    </row>
    <row r="133" spans="1:1" x14ac:dyDescent="0.35">
      <c r="A133" t="s">
        <v>166</v>
      </c>
    </row>
    <row r="134" spans="1:1" x14ac:dyDescent="0.35">
      <c r="A134" t="s">
        <v>105</v>
      </c>
    </row>
    <row r="135" spans="1:1" x14ac:dyDescent="0.35">
      <c r="A135" t="s">
        <v>81</v>
      </c>
    </row>
    <row r="136" spans="1:1" x14ac:dyDescent="0.35">
      <c r="A136" t="s">
        <v>167</v>
      </c>
    </row>
    <row r="137" spans="1:1" x14ac:dyDescent="0.35">
      <c r="A137" t="s">
        <v>168</v>
      </c>
    </row>
    <row r="138" spans="1:1" x14ac:dyDescent="0.35">
      <c r="A138" t="s">
        <v>94</v>
      </c>
    </row>
    <row r="139" spans="1:1" x14ac:dyDescent="0.35">
      <c r="A139" t="s">
        <v>95</v>
      </c>
    </row>
    <row r="140" spans="1:1" x14ac:dyDescent="0.35">
      <c r="A140" t="s">
        <v>169</v>
      </c>
    </row>
    <row r="141" spans="1:1" x14ac:dyDescent="0.35">
      <c r="A141" t="s">
        <v>170</v>
      </c>
    </row>
    <row r="142" spans="1:1" x14ac:dyDescent="0.35">
      <c r="A142" t="s">
        <v>171</v>
      </c>
    </row>
    <row r="143" spans="1:1" x14ac:dyDescent="0.35">
      <c r="A143" t="s">
        <v>172</v>
      </c>
    </row>
    <row r="144" spans="1:1" x14ac:dyDescent="0.35">
      <c r="A144" t="s">
        <v>173</v>
      </c>
    </row>
    <row r="145" spans="1:1" x14ac:dyDescent="0.35">
      <c r="A145" t="s">
        <v>113</v>
      </c>
    </row>
    <row r="146" spans="1:1" x14ac:dyDescent="0.35">
      <c r="A146" t="s">
        <v>174</v>
      </c>
    </row>
    <row r="147" spans="1:1" x14ac:dyDescent="0.35">
      <c r="A147" t="s">
        <v>175</v>
      </c>
    </row>
    <row r="148" spans="1:1" x14ac:dyDescent="0.35">
      <c r="A148" t="s">
        <v>176</v>
      </c>
    </row>
    <row r="149" spans="1:1" x14ac:dyDescent="0.35">
      <c r="A149" t="s">
        <v>105</v>
      </c>
    </row>
    <row r="150" spans="1:1" x14ac:dyDescent="0.35">
      <c r="A150" t="s">
        <v>81</v>
      </c>
    </row>
    <row r="151" spans="1:1" x14ac:dyDescent="0.35">
      <c r="A151" t="s">
        <v>177</v>
      </c>
    </row>
    <row r="152" spans="1:1" x14ac:dyDescent="0.35">
      <c r="A152" t="s">
        <v>178</v>
      </c>
    </row>
    <row r="153" spans="1:1" x14ac:dyDescent="0.35">
      <c r="A153" t="s">
        <v>94</v>
      </c>
    </row>
    <row r="154" spans="1:1" x14ac:dyDescent="0.35">
      <c r="A154" t="s">
        <v>95</v>
      </c>
    </row>
    <row r="155" spans="1:1" x14ac:dyDescent="0.35">
      <c r="A155" t="s">
        <v>179</v>
      </c>
    </row>
    <row r="156" spans="1:1" x14ac:dyDescent="0.35">
      <c r="A156" t="s">
        <v>180</v>
      </c>
    </row>
    <row r="157" spans="1:1" x14ac:dyDescent="0.35">
      <c r="A157" t="s">
        <v>181</v>
      </c>
    </row>
    <row r="158" spans="1:1" x14ac:dyDescent="0.35">
      <c r="A158" t="s">
        <v>182</v>
      </c>
    </row>
    <row r="159" spans="1:1" x14ac:dyDescent="0.35">
      <c r="A159" t="s">
        <v>183</v>
      </c>
    </row>
    <row r="160" spans="1:1" x14ac:dyDescent="0.35">
      <c r="A160" t="s">
        <v>113</v>
      </c>
    </row>
    <row r="161" spans="1:1" x14ac:dyDescent="0.35">
      <c r="A161" t="s">
        <v>184</v>
      </c>
    </row>
    <row r="162" spans="1:1" x14ac:dyDescent="0.35">
      <c r="A162" t="s">
        <v>185</v>
      </c>
    </row>
    <row r="163" spans="1:1" x14ac:dyDescent="0.35">
      <c r="A163" t="s">
        <v>186</v>
      </c>
    </row>
    <row r="164" spans="1:1" x14ac:dyDescent="0.35">
      <c r="A164" t="s">
        <v>105</v>
      </c>
    </row>
    <row r="165" spans="1:1" x14ac:dyDescent="0.35">
      <c r="A165" t="s">
        <v>81</v>
      </c>
    </row>
    <row r="166" spans="1:1" x14ac:dyDescent="0.35">
      <c r="A166" t="s">
        <v>187</v>
      </c>
    </row>
    <row r="167" spans="1:1" x14ac:dyDescent="0.35">
      <c r="A167" t="s">
        <v>188</v>
      </c>
    </row>
    <row r="168" spans="1:1" x14ac:dyDescent="0.35">
      <c r="A168" t="s">
        <v>94</v>
      </c>
    </row>
    <row r="169" spans="1:1" x14ac:dyDescent="0.35">
      <c r="A169" t="s">
        <v>189</v>
      </c>
    </row>
    <row r="170" spans="1:1" x14ac:dyDescent="0.35">
      <c r="A170" t="s">
        <v>179</v>
      </c>
    </row>
    <row r="171" spans="1:1" x14ac:dyDescent="0.35">
      <c r="A171" t="s">
        <v>180</v>
      </c>
    </row>
    <row r="172" spans="1:1" x14ac:dyDescent="0.35">
      <c r="A172" t="s">
        <v>181</v>
      </c>
    </row>
    <row r="173" spans="1:1" x14ac:dyDescent="0.35">
      <c r="A173" t="s">
        <v>190</v>
      </c>
    </row>
    <row r="174" spans="1:1" x14ac:dyDescent="0.35">
      <c r="A174" t="s">
        <v>191</v>
      </c>
    </row>
    <row r="175" spans="1:1" x14ac:dyDescent="0.35">
      <c r="A175" t="s">
        <v>113</v>
      </c>
    </row>
    <row r="176" spans="1:1" x14ac:dyDescent="0.35">
      <c r="A176" t="s">
        <v>192</v>
      </c>
    </row>
    <row r="177" spans="1:1" x14ac:dyDescent="0.35">
      <c r="A177" t="s">
        <v>193</v>
      </c>
    </row>
    <row r="178" spans="1:1" x14ac:dyDescent="0.35">
      <c r="A178" t="s">
        <v>194</v>
      </c>
    </row>
    <row r="179" spans="1:1" x14ac:dyDescent="0.35">
      <c r="A179" t="s">
        <v>105</v>
      </c>
    </row>
    <row r="180" spans="1:1" x14ac:dyDescent="0.35">
      <c r="A180" t="s">
        <v>81</v>
      </c>
    </row>
    <row r="181" spans="1:1" x14ac:dyDescent="0.35">
      <c r="A181" t="s">
        <v>195</v>
      </c>
    </row>
    <row r="182" spans="1:1" x14ac:dyDescent="0.35">
      <c r="A182" t="s">
        <v>196</v>
      </c>
    </row>
    <row r="183" spans="1:1" x14ac:dyDescent="0.35">
      <c r="A183" t="s">
        <v>94</v>
      </c>
    </row>
    <row r="184" spans="1:1" x14ac:dyDescent="0.35">
      <c r="A184" t="s">
        <v>95</v>
      </c>
    </row>
    <row r="185" spans="1:1" x14ac:dyDescent="0.35">
      <c r="A185" t="s">
        <v>197</v>
      </c>
    </row>
    <row r="186" spans="1:1" x14ac:dyDescent="0.35">
      <c r="A186" t="s">
        <v>198</v>
      </c>
    </row>
    <row r="187" spans="1:1" x14ac:dyDescent="0.35">
      <c r="A187" t="s">
        <v>199</v>
      </c>
    </row>
    <row r="188" spans="1:1" x14ac:dyDescent="0.35">
      <c r="A188" t="s">
        <v>182</v>
      </c>
    </row>
    <row r="189" spans="1:1" x14ac:dyDescent="0.35">
      <c r="A189" t="s">
        <v>200</v>
      </c>
    </row>
    <row r="190" spans="1:1" x14ac:dyDescent="0.35">
      <c r="A190" t="s">
        <v>113</v>
      </c>
    </row>
    <row r="191" spans="1:1" x14ac:dyDescent="0.35">
      <c r="A191" t="s">
        <v>201</v>
      </c>
    </row>
    <row r="192" spans="1:1" x14ac:dyDescent="0.35">
      <c r="A192" t="s">
        <v>185</v>
      </c>
    </row>
    <row r="193" spans="1:1" x14ac:dyDescent="0.35">
      <c r="A193" t="s">
        <v>202</v>
      </c>
    </row>
    <row r="194" spans="1:1" x14ac:dyDescent="0.35">
      <c r="A194" t="s">
        <v>105</v>
      </c>
    </row>
    <row r="195" spans="1:1" x14ac:dyDescent="0.35">
      <c r="A195" t="s">
        <v>81</v>
      </c>
    </row>
    <row r="196" spans="1:1" x14ac:dyDescent="0.35">
      <c r="A196" t="s">
        <v>203</v>
      </c>
    </row>
    <row r="197" spans="1:1" x14ac:dyDescent="0.35">
      <c r="A197" t="s">
        <v>204</v>
      </c>
    </row>
    <row r="198" spans="1:1" x14ac:dyDescent="0.35">
      <c r="A198" t="s">
        <v>160</v>
      </c>
    </row>
    <row r="199" spans="1:1" x14ac:dyDescent="0.35">
      <c r="A199" t="s">
        <v>95</v>
      </c>
    </row>
    <row r="200" spans="1:1" x14ac:dyDescent="0.35">
      <c r="A200" t="s">
        <v>169</v>
      </c>
    </row>
    <row r="201" spans="1:1" x14ac:dyDescent="0.35">
      <c r="A201" t="s">
        <v>170</v>
      </c>
    </row>
    <row r="202" spans="1:1" x14ac:dyDescent="0.35">
      <c r="A202" t="s">
        <v>171</v>
      </c>
    </row>
    <row r="203" spans="1:1" x14ac:dyDescent="0.35">
      <c r="A203" t="s">
        <v>205</v>
      </c>
    </row>
    <row r="204" spans="1:1" x14ac:dyDescent="0.35">
      <c r="A204" t="s">
        <v>206</v>
      </c>
    </row>
    <row r="205" spans="1:1" x14ac:dyDescent="0.35">
      <c r="A205" t="s">
        <v>113</v>
      </c>
    </row>
    <row r="206" spans="1:1" x14ac:dyDescent="0.35">
      <c r="A206" t="s">
        <v>207</v>
      </c>
    </row>
    <row r="207" spans="1:1" x14ac:dyDescent="0.35">
      <c r="A207" t="s">
        <v>208</v>
      </c>
    </row>
    <row r="208" spans="1:1" x14ac:dyDescent="0.35">
      <c r="A208" t="s">
        <v>209</v>
      </c>
    </row>
    <row r="209" spans="1:1" x14ac:dyDescent="0.35">
      <c r="A209" t="s">
        <v>105</v>
      </c>
    </row>
    <row r="210" spans="1:1" x14ac:dyDescent="0.35">
      <c r="A210" t="s">
        <v>81</v>
      </c>
    </row>
    <row r="211" spans="1:1" x14ac:dyDescent="0.35">
      <c r="A211" t="s">
        <v>210</v>
      </c>
    </row>
    <row r="212" spans="1:1" x14ac:dyDescent="0.35">
      <c r="A212" t="s">
        <v>211</v>
      </c>
    </row>
    <row r="213" spans="1:1" x14ac:dyDescent="0.35">
      <c r="A213" t="s">
        <v>94</v>
      </c>
    </row>
    <row r="214" spans="1:1" x14ac:dyDescent="0.35">
      <c r="A214" t="s">
        <v>189</v>
      </c>
    </row>
    <row r="215" spans="1:1" x14ac:dyDescent="0.35">
      <c r="A215" t="s">
        <v>108</v>
      </c>
    </row>
    <row r="216" spans="1:1" x14ac:dyDescent="0.35">
      <c r="A216" t="s">
        <v>109</v>
      </c>
    </row>
    <row r="217" spans="1:1" x14ac:dyDescent="0.35">
      <c r="A217" t="s">
        <v>110</v>
      </c>
    </row>
    <row r="218" spans="1:1" x14ac:dyDescent="0.35">
      <c r="A218" t="s">
        <v>212</v>
      </c>
    </row>
    <row r="219" spans="1:1" x14ac:dyDescent="0.35">
      <c r="A219" t="s">
        <v>213</v>
      </c>
    </row>
    <row r="220" spans="1:1" x14ac:dyDescent="0.35">
      <c r="A220" t="s">
        <v>113</v>
      </c>
    </row>
    <row r="221" spans="1:1" x14ac:dyDescent="0.35">
      <c r="A221" t="s">
        <v>214</v>
      </c>
    </row>
    <row r="222" spans="1:1" x14ac:dyDescent="0.35">
      <c r="A222" t="s">
        <v>215</v>
      </c>
    </row>
    <row r="223" spans="1:1" x14ac:dyDescent="0.35">
      <c r="A223" t="s">
        <v>216</v>
      </c>
    </row>
    <row r="224" spans="1:1" x14ac:dyDescent="0.35">
      <c r="A224" t="s">
        <v>105</v>
      </c>
    </row>
    <row r="225" spans="1:1" x14ac:dyDescent="0.35">
      <c r="A225" t="s">
        <v>81</v>
      </c>
    </row>
    <row r="226" spans="1:1" x14ac:dyDescent="0.35">
      <c r="A226" t="s">
        <v>217</v>
      </c>
    </row>
    <row r="227" spans="1:1" x14ac:dyDescent="0.35">
      <c r="A227" t="s">
        <v>218</v>
      </c>
    </row>
    <row r="228" spans="1:1" x14ac:dyDescent="0.35">
      <c r="A228" t="s">
        <v>160</v>
      </c>
    </row>
    <row r="229" spans="1:1" x14ac:dyDescent="0.35">
      <c r="A229" t="s">
        <v>95</v>
      </c>
    </row>
    <row r="230" spans="1:1" x14ac:dyDescent="0.35">
      <c r="A230" t="s">
        <v>219</v>
      </c>
    </row>
    <row r="231" spans="1:1" x14ac:dyDescent="0.35">
      <c r="A231" t="s">
        <v>220</v>
      </c>
    </row>
    <row r="232" spans="1:1" x14ac:dyDescent="0.35">
      <c r="A232" t="s">
        <v>221</v>
      </c>
    </row>
    <row r="233" spans="1:1" x14ac:dyDescent="0.35">
      <c r="A233" t="s">
        <v>222</v>
      </c>
    </row>
    <row r="234" spans="1:1" x14ac:dyDescent="0.35">
      <c r="A234" t="s">
        <v>223</v>
      </c>
    </row>
    <row r="235" spans="1:1" x14ac:dyDescent="0.35">
      <c r="A235" t="s">
        <v>113</v>
      </c>
    </row>
    <row r="236" spans="1:1" x14ac:dyDescent="0.35">
      <c r="A236" t="s">
        <v>224</v>
      </c>
    </row>
    <row r="237" spans="1:1" x14ac:dyDescent="0.35">
      <c r="A237" t="s">
        <v>225</v>
      </c>
    </row>
    <row r="238" spans="1:1" x14ac:dyDescent="0.35">
      <c r="A238" t="s">
        <v>226</v>
      </c>
    </row>
    <row r="239" spans="1:1" x14ac:dyDescent="0.35">
      <c r="A239" t="s">
        <v>105</v>
      </c>
    </row>
    <row r="240" spans="1:1" x14ac:dyDescent="0.35">
      <c r="A240" t="s">
        <v>81</v>
      </c>
    </row>
    <row r="241" spans="1:1" x14ac:dyDescent="0.35">
      <c r="A241" t="s">
        <v>227</v>
      </c>
    </row>
    <row r="242" spans="1:1" x14ac:dyDescent="0.35">
      <c r="A242" t="s">
        <v>228</v>
      </c>
    </row>
    <row r="243" spans="1:1" x14ac:dyDescent="0.35">
      <c r="A243" t="s">
        <v>160</v>
      </c>
    </row>
    <row r="244" spans="1:1" x14ac:dyDescent="0.35">
      <c r="A244" t="s">
        <v>95</v>
      </c>
    </row>
    <row r="245" spans="1:1" x14ac:dyDescent="0.35">
      <c r="A245" t="s">
        <v>150</v>
      </c>
    </row>
    <row r="246" spans="1:1" x14ac:dyDescent="0.35">
      <c r="A246" t="s">
        <v>151</v>
      </c>
    </row>
    <row r="247" spans="1:1" x14ac:dyDescent="0.35">
      <c r="A247" t="s">
        <v>152</v>
      </c>
    </row>
    <row r="248" spans="1:1" x14ac:dyDescent="0.35">
      <c r="A248" t="s">
        <v>229</v>
      </c>
    </row>
    <row r="249" spans="1:1" x14ac:dyDescent="0.35">
      <c r="A249" t="s">
        <v>230</v>
      </c>
    </row>
    <row r="250" spans="1:1" x14ac:dyDescent="0.35">
      <c r="A250" t="s">
        <v>113</v>
      </c>
    </row>
    <row r="251" spans="1:1" x14ac:dyDescent="0.35">
      <c r="A251" t="s">
        <v>231</v>
      </c>
    </row>
    <row r="252" spans="1:1" x14ac:dyDescent="0.35">
      <c r="A252" t="s">
        <v>232</v>
      </c>
    </row>
    <row r="253" spans="1:1" x14ac:dyDescent="0.35">
      <c r="A253" t="s">
        <v>233</v>
      </c>
    </row>
    <row r="254" spans="1:1" x14ac:dyDescent="0.35">
      <c r="A254" t="s">
        <v>105</v>
      </c>
    </row>
    <row r="255" spans="1:1" x14ac:dyDescent="0.35">
      <c r="A255" t="s">
        <v>81</v>
      </c>
    </row>
    <row r="256" spans="1:1" x14ac:dyDescent="0.35">
      <c r="A256" t="s">
        <v>234</v>
      </c>
    </row>
    <row r="257" spans="1:1" x14ac:dyDescent="0.35">
      <c r="A257" t="s">
        <v>235</v>
      </c>
    </row>
    <row r="258" spans="1:1" x14ac:dyDescent="0.35">
      <c r="A258" t="s">
        <v>94</v>
      </c>
    </row>
    <row r="259" spans="1:1" x14ac:dyDescent="0.35">
      <c r="A259" t="s">
        <v>95</v>
      </c>
    </row>
    <row r="260" spans="1:1" x14ac:dyDescent="0.35">
      <c r="A260" t="s">
        <v>236</v>
      </c>
    </row>
    <row r="261" spans="1:1" x14ac:dyDescent="0.35">
      <c r="A261" t="s">
        <v>237</v>
      </c>
    </row>
    <row r="262" spans="1:1" x14ac:dyDescent="0.35">
      <c r="A262" t="s">
        <v>238</v>
      </c>
    </row>
    <row r="263" spans="1:1" x14ac:dyDescent="0.35">
      <c r="A263" t="s">
        <v>239</v>
      </c>
    </row>
    <row r="264" spans="1:1" x14ac:dyDescent="0.35">
      <c r="A264" t="s">
        <v>240</v>
      </c>
    </row>
    <row r="265" spans="1:1" x14ac:dyDescent="0.35">
      <c r="A265" t="s">
        <v>241</v>
      </c>
    </row>
    <row r="266" spans="1:1" x14ac:dyDescent="0.35">
      <c r="A266" t="s">
        <v>242</v>
      </c>
    </row>
    <row r="267" spans="1:1" x14ac:dyDescent="0.35">
      <c r="A267" t="s">
        <v>243</v>
      </c>
    </row>
    <row r="268" spans="1:1" x14ac:dyDescent="0.35">
      <c r="A268" t="s">
        <v>244</v>
      </c>
    </row>
    <row r="269" spans="1:1" x14ac:dyDescent="0.35">
      <c r="A269" t="s">
        <v>105</v>
      </c>
    </row>
    <row r="270" spans="1:1" x14ac:dyDescent="0.35">
      <c r="A270" t="s">
        <v>81</v>
      </c>
    </row>
    <row r="271" spans="1:1" x14ac:dyDescent="0.35">
      <c r="A271" t="s">
        <v>245</v>
      </c>
    </row>
    <row r="272" spans="1:1" x14ac:dyDescent="0.35">
      <c r="A272" t="s">
        <v>246</v>
      </c>
    </row>
    <row r="273" spans="1:1" x14ac:dyDescent="0.35">
      <c r="A273" t="s">
        <v>247</v>
      </c>
    </row>
    <row r="274" spans="1:1" x14ac:dyDescent="0.35">
      <c r="A274" t="s">
        <v>95</v>
      </c>
    </row>
    <row r="275" spans="1:1" x14ac:dyDescent="0.35">
      <c r="A275" t="s">
        <v>248</v>
      </c>
    </row>
    <row r="276" spans="1:1" x14ac:dyDescent="0.35">
      <c r="A276" t="s">
        <v>249</v>
      </c>
    </row>
    <row r="277" spans="1:1" x14ac:dyDescent="0.35">
      <c r="A277" t="s">
        <v>199</v>
      </c>
    </row>
    <row r="278" spans="1:1" x14ac:dyDescent="0.35">
      <c r="A278" t="s">
        <v>250</v>
      </c>
    </row>
    <row r="279" spans="1:1" x14ac:dyDescent="0.35">
      <c r="A279" t="s">
        <v>251</v>
      </c>
    </row>
    <row r="280" spans="1:1" x14ac:dyDescent="0.35">
      <c r="A280" t="s">
        <v>252</v>
      </c>
    </row>
    <row r="281" spans="1:1" x14ac:dyDescent="0.35">
      <c r="A281" t="s">
        <v>253</v>
      </c>
    </row>
    <row r="282" spans="1:1" x14ac:dyDescent="0.35">
      <c r="A282" t="s">
        <v>254</v>
      </c>
    </row>
    <row r="283" spans="1:1" x14ac:dyDescent="0.35">
      <c r="A283" t="s">
        <v>255</v>
      </c>
    </row>
    <row r="284" spans="1:1" x14ac:dyDescent="0.35">
      <c r="A284" t="s">
        <v>105</v>
      </c>
    </row>
    <row r="285" spans="1:1" x14ac:dyDescent="0.35">
      <c r="A285" t="s">
        <v>81</v>
      </c>
    </row>
    <row r="286" spans="1:1" x14ac:dyDescent="0.35">
      <c r="A286" t="s">
        <v>256</v>
      </c>
    </row>
    <row r="287" spans="1:1" x14ac:dyDescent="0.35">
      <c r="A287" t="s">
        <v>257</v>
      </c>
    </row>
    <row r="288" spans="1:1" x14ac:dyDescent="0.35">
      <c r="A288" t="s">
        <v>94</v>
      </c>
    </row>
    <row r="289" spans="1:1" x14ac:dyDescent="0.35">
      <c r="A289" t="s">
        <v>95</v>
      </c>
    </row>
    <row r="290" spans="1:1" x14ac:dyDescent="0.35">
      <c r="A290" t="s">
        <v>258</v>
      </c>
    </row>
    <row r="291" spans="1:1" x14ac:dyDescent="0.35">
      <c r="A291" t="s">
        <v>259</v>
      </c>
    </row>
    <row r="292" spans="1:1" x14ac:dyDescent="0.35">
      <c r="A292" t="s">
        <v>260</v>
      </c>
    </row>
    <row r="293" spans="1:1" x14ac:dyDescent="0.35">
      <c r="A293" t="s">
        <v>261</v>
      </c>
    </row>
    <row r="294" spans="1:1" x14ac:dyDescent="0.35">
      <c r="A294" t="s">
        <v>262</v>
      </c>
    </row>
    <row r="295" spans="1:1" x14ac:dyDescent="0.35">
      <c r="A295" t="s">
        <v>113</v>
      </c>
    </row>
    <row r="296" spans="1:1" x14ac:dyDescent="0.35">
      <c r="A296" t="s">
        <v>263</v>
      </c>
    </row>
    <row r="297" spans="1:1" x14ac:dyDescent="0.35">
      <c r="A297" t="s">
        <v>264</v>
      </c>
    </row>
    <row r="298" spans="1:1" x14ac:dyDescent="0.35">
      <c r="A298" t="s">
        <v>265</v>
      </c>
    </row>
    <row r="299" spans="1:1" x14ac:dyDescent="0.35">
      <c r="A299" t="s">
        <v>105</v>
      </c>
    </row>
    <row r="300" spans="1:1" x14ac:dyDescent="0.35">
      <c r="A300" t="s">
        <v>81</v>
      </c>
    </row>
    <row r="301" spans="1:1" x14ac:dyDescent="0.35">
      <c r="A301" t="s">
        <v>266</v>
      </c>
    </row>
    <row r="302" spans="1:1" x14ac:dyDescent="0.35">
      <c r="A302" t="s">
        <v>267</v>
      </c>
    </row>
    <row r="303" spans="1:1" x14ac:dyDescent="0.35">
      <c r="A303" t="s">
        <v>94</v>
      </c>
    </row>
    <row r="304" spans="1:1" x14ac:dyDescent="0.35">
      <c r="A304" t="s">
        <v>95</v>
      </c>
    </row>
    <row r="305" spans="1:1" x14ac:dyDescent="0.35">
      <c r="A305" t="s">
        <v>219</v>
      </c>
    </row>
    <row r="306" spans="1:1" x14ac:dyDescent="0.35">
      <c r="A306" t="s">
        <v>220</v>
      </c>
    </row>
    <row r="307" spans="1:1" x14ac:dyDescent="0.35">
      <c r="A307" t="s">
        <v>221</v>
      </c>
    </row>
    <row r="308" spans="1:1" x14ac:dyDescent="0.35">
      <c r="A308" t="s">
        <v>268</v>
      </c>
    </row>
    <row r="309" spans="1:1" x14ac:dyDescent="0.35">
      <c r="A309" t="s">
        <v>269</v>
      </c>
    </row>
    <row r="310" spans="1:1" x14ac:dyDescent="0.35">
      <c r="A310" t="s">
        <v>113</v>
      </c>
    </row>
    <row r="311" spans="1:1" x14ac:dyDescent="0.35">
      <c r="A311" t="s">
        <v>270</v>
      </c>
    </row>
    <row r="312" spans="1:1" x14ac:dyDescent="0.35">
      <c r="A312" t="s">
        <v>271</v>
      </c>
    </row>
    <row r="313" spans="1:1" x14ac:dyDescent="0.35">
      <c r="A313" t="s">
        <v>272</v>
      </c>
    </row>
    <row r="314" spans="1:1" x14ac:dyDescent="0.35">
      <c r="A314" t="s">
        <v>105</v>
      </c>
    </row>
    <row r="315" spans="1:1" x14ac:dyDescent="0.35">
      <c r="A315" t="s">
        <v>81</v>
      </c>
    </row>
    <row r="316" spans="1:1" x14ac:dyDescent="0.35">
      <c r="A316" t="s">
        <v>273</v>
      </c>
    </row>
    <row r="317" spans="1:1" x14ac:dyDescent="0.35">
      <c r="A317" t="s">
        <v>274</v>
      </c>
    </row>
    <row r="318" spans="1:1" x14ac:dyDescent="0.35">
      <c r="A318" t="s">
        <v>275</v>
      </c>
    </row>
    <row r="319" spans="1:1" x14ac:dyDescent="0.35">
      <c r="A319" t="s">
        <v>95</v>
      </c>
    </row>
    <row r="320" spans="1:1" x14ac:dyDescent="0.35">
      <c r="A320" t="s">
        <v>276</v>
      </c>
    </row>
    <row r="321" spans="1:1" x14ac:dyDescent="0.35">
      <c r="A321" t="s">
        <v>277</v>
      </c>
    </row>
    <row r="322" spans="1:1" x14ac:dyDescent="0.35">
      <c r="A322" t="s">
        <v>278</v>
      </c>
    </row>
    <row r="323" spans="1:1" x14ac:dyDescent="0.35">
      <c r="A323" t="s">
        <v>279</v>
      </c>
    </row>
    <row r="324" spans="1:1" x14ac:dyDescent="0.35">
      <c r="A324" t="s">
        <v>280</v>
      </c>
    </row>
    <row r="325" spans="1:1" x14ac:dyDescent="0.35">
      <c r="A325" t="s">
        <v>113</v>
      </c>
    </row>
    <row r="326" spans="1:1" x14ac:dyDescent="0.35">
      <c r="A326" t="s">
        <v>281</v>
      </c>
    </row>
    <row r="327" spans="1:1" x14ac:dyDescent="0.35">
      <c r="A327" t="s">
        <v>282</v>
      </c>
    </row>
    <row r="328" spans="1:1" x14ac:dyDescent="0.35">
      <c r="A328" t="s">
        <v>283</v>
      </c>
    </row>
    <row r="329" spans="1:1" x14ac:dyDescent="0.35">
      <c r="A329" t="s">
        <v>105</v>
      </c>
    </row>
    <row r="330" spans="1:1" x14ac:dyDescent="0.35">
      <c r="A330" t="s">
        <v>81</v>
      </c>
    </row>
    <row r="331" spans="1:1" x14ac:dyDescent="0.35">
      <c r="A331" t="s">
        <v>284</v>
      </c>
    </row>
    <row r="332" spans="1:1" x14ac:dyDescent="0.35">
      <c r="A332" t="s">
        <v>285</v>
      </c>
    </row>
    <row r="333" spans="1:1" x14ac:dyDescent="0.35">
      <c r="A333" t="s">
        <v>160</v>
      </c>
    </row>
    <row r="334" spans="1:1" x14ac:dyDescent="0.35">
      <c r="A334" t="s">
        <v>95</v>
      </c>
    </row>
    <row r="335" spans="1:1" x14ac:dyDescent="0.35">
      <c r="A335" t="s">
        <v>258</v>
      </c>
    </row>
    <row r="336" spans="1:1" x14ac:dyDescent="0.35">
      <c r="A336" t="s">
        <v>259</v>
      </c>
    </row>
    <row r="337" spans="1:1" x14ac:dyDescent="0.35">
      <c r="A337" t="s">
        <v>260</v>
      </c>
    </row>
    <row r="338" spans="1:1" x14ac:dyDescent="0.35">
      <c r="A338" t="s">
        <v>286</v>
      </c>
    </row>
    <row r="339" spans="1:1" x14ac:dyDescent="0.35">
      <c r="A339" t="s">
        <v>287</v>
      </c>
    </row>
    <row r="340" spans="1:1" x14ac:dyDescent="0.35">
      <c r="A340" t="s">
        <v>113</v>
      </c>
    </row>
    <row r="341" spans="1:1" x14ac:dyDescent="0.35">
      <c r="A341" t="s">
        <v>288</v>
      </c>
    </row>
    <row r="342" spans="1:1" x14ac:dyDescent="0.35">
      <c r="A342" t="s">
        <v>289</v>
      </c>
    </row>
    <row r="343" spans="1:1" x14ac:dyDescent="0.35">
      <c r="A343" t="s">
        <v>290</v>
      </c>
    </row>
    <row r="344" spans="1:1" x14ac:dyDescent="0.35">
      <c r="A344" t="s">
        <v>105</v>
      </c>
    </row>
    <row r="345" spans="1:1" x14ac:dyDescent="0.35">
      <c r="A345" t="s">
        <v>81</v>
      </c>
    </row>
    <row r="346" spans="1:1" x14ac:dyDescent="0.35">
      <c r="A346" t="s">
        <v>291</v>
      </c>
    </row>
    <row r="347" spans="1:1" x14ac:dyDescent="0.35">
      <c r="A347" t="s">
        <v>292</v>
      </c>
    </row>
    <row r="348" spans="1:1" x14ac:dyDescent="0.35">
      <c r="A348" t="s">
        <v>160</v>
      </c>
    </row>
    <row r="349" spans="1:1" x14ac:dyDescent="0.35">
      <c r="A349" t="s">
        <v>95</v>
      </c>
    </row>
    <row r="350" spans="1:1" x14ac:dyDescent="0.35">
      <c r="A350" t="s">
        <v>130</v>
      </c>
    </row>
    <row r="351" spans="1:1" x14ac:dyDescent="0.35">
      <c r="A351" t="s">
        <v>131</v>
      </c>
    </row>
    <row r="352" spans="1:1" x14ac:dyDescent="0.35">
      <c r="A352" t="s">
        <v>132</v>
      </c>
    </row>
    <row r="353" spans="1:1" x14ac:dyDescent="0.35">
      <c r="A353" t="s">
        <v>293</v>
      </c>
    </row>
    <row r="354" spans="1:1" x14ac:dyDescent="0.35">
      <c r="A354" t="s">
        <v>294</v>
      </c>
    </row>
    <row r="355" spans="1:1" x14ac:dyDescent="0.35">
      <c r="A355" t="s">
        <v>113</v>
      </c>
    </row>
    <row r="356" spans="1:1" x14ac:dyDescent="0.35">
      <c r="A356" t="s">
        <v>295</v>
      </c>
    </row>
    <row r="357" spans="1:1" x14ac:dyDescent="0.35">
      <c r="A357" t="s">
        <v>296</v>
      </c>
    </row>
    <row r="358" spans="1:1" x14ac:dyDescent="0.35">
      <c r="A358" t="s">
        <v>297</v>
      </c>
    </row>
    <row r="359" spans="1:1" x14ac:dyDescent="0.35">
      <c r="A359" t="s">
        <v>105</v>
      </c>
    </row>
    <row r="360" spans="1:1" x14ac:dyDescent="0.35">
      <c r="A360" t="s">
        <v>81</v>
      </c>
    </row>
    <row r="361" spans="1:1" x14ac:dyDescent="0.35">
      <c r="A361" t="s">
        <v>298</v>
      </c>
    </row>
    <row r="362" spans="1:1" x14ac:dyDescent="0.35">
      <c r="A362" t="s">
        <v>299</v>
      </c>
    </row>
    <row r="363" spans="1:1" x14ac:dyDescent="0.35">
      <c r="A363" t="s">
        <v>94</v>
      </c>
    </row>
    <row r="364" spans="1:1" x14ac:dyDescent="0.35">
      <c r="A364" t="s">
        <v>95</v>
      </c>
    </row>
    <row r="365" spans="1:1" x14ac:dyDescent="0.35">
      <c r="A365" t="s">
        <v>300</v>
      </c>
    </row>
    <row r="366" spans="1:1" x14ac:dyDescent="0.35">
      <c r="A366" t="s">
        <v>301</v>
      </c>
    </row>
    <row r="367" spans="1:1" x14ac:dyDescent="0.35">
      <c r="A367" t="s">
        <v>302</v>
      </c>
    </row>
    <row r="368" spans="1:1" x14ac:dyDescent="0.35">
      <c r="A368" t="s">
        <v>303</v>
      </c>
    </row>
    <row r="369" spans="1:1" x14ac:dyDescent="0.35">
      <c r="A369" t="s">
        <v>304</v>
      </c>
    </row>
    <row r="370" spans="1:1" x14ac:dyDescent="0.35">
      <c r="A370" t="s">
        <v>305</v>
      </c>
    </row>
    <row r="371" spans="1:1" x14ac:dyDescent="0.35">
      <c r="A371" t="s">
        <v>306</v>
      </c>
    </row>
    <row r="372" spans="1:1" x14ac:dyDescent="0.35">
      <c r="A372" t="s">
        <v>307</v>
      </c>
    </row>
    <row r="373" spans="1:1" x14ac:dyDescent="0.35">
      <c r="A373" t="s">
        <v>308</v>
      </c>
    </row>
    <row r="374" spans="1:1" x14ac:dyDescent="0.35">
      <c r="A374" t="s">
        <v>105</v>
      </c>
    </row>
    <row r="375" spans="1:1" x14ac:dyDescent="0.35">
      <c r="A375" t="s">
        <v>81</v>
      </c>
    </row>
    <row r="376" spans="1:1" x14ac:dyDescent="0.35">
      <c r="A376" t="s">
        <v>309</v>
      </c>
    </row>
    <row r="377" spans="1:1" x14ac:dyDescent="0.35">
      <c r="A377" t="s">
        <v>310</v>
      </c>
    </row>
    <row r="378" spans="1:1" x14ac:dyDescent="0.35">
      <c r="A378" t="s">
        <v>94</v>
      </c>
    </row>
    <row r="379" spans="1:1" x14ac:dyDescent="0.35">
      <c r="A379" t="s">
        <v>95</v>
      </c>
    </row>
    <row r="380" spans="1:1" x14ac:dyDescent="0.35">
      <c r="A380" t="s">
        <v>311</v>
      </c>
    </row>
    <row r="381" spans="1:1" x14ac:dyDescent="0.35">
      <c r="A381" t="s">
        <v>312</v>
      </c>
    </row>
    <row r="382" spans="1:1" x14ac:dyDescent="0.35">
      <c r="A382" t="s">
        <v>313</v>
      </c>
    </row>
    <row r="383" spans="1:1" x14ac:dyDescent="0.35">
      <c r="A383" t="s">
        <v>314</v>
      </c>
    </row>
    <row r="384" spans="1:1" x14ac:dyDescent="0.35">
      <c r="A384" t="s">
        <v>315</v>
      </c>
    </row>
    <row r="385" spans="1:1" x14ac:dyDescent="0.35">
      <c r="A385" t="s">
        <v>113</v>
      </c>
    </row>
    <row r="386" spans="1:1" x14ac:dyDescent="0.35">
      <c r="A386" t="s">
        <v>316</v>
      </c>
    </row>
    <row r="387" spans="1:1" x14ac:dyDescent="0.35">
      <c r="A387" t="s">
        <v>317</v>
      </c>
    </row>
    <row r="388" spans="1:1" x14ac:dyDescent="0.35">
      <c r="A388" t="s">
        <v>318</v>
      </c>
    </row>
    <row r="389" spans="1:1" x14ac:dyDescent="0.35">
      <c r="A389" t="s">
        <v>105</v>
      </c>
    </row>
    <row r="390" spans="1:1" x14ac:dyDescent="0.35">
      <c r="A390" t="s">
        <v>81</v>
      </c>
    </row>
    <row r="391" spans="1:1" x14ac:dyDescent="0.35">
      <c r="A391" t="s">
        <v>319</v>
      </c>
    </row>
    <row r="392" spans="1:1" x14ac:dyDescent="0.35">
      <c r="A392" t="s">
        <v>320</v>
      </c>
    </row>
    <row r="393" spans="1:1" x14ac:dyDescent="0.35">
      <c r="A393" t="s">
        <v>160</v>
      </c>
    </row>
    <row r="394" spans="1:1" x14ac:dyDescent="0.35">
      <c r="A394" t="s">
        <v>95</v>
      </c>
    </row>
    <row r="395" spans="1:1" x14ac:dyDescent="0.35">
      <c r="A395" t="s">
        <v>321</v>
      </c>
    </row>
    <row r="396" spans="1:1" x14ac:dyDescent="0.35">
      <c r="A396" t="s">
        <v>322</v>
      </c>
    </row>
    <row r="397" spans="1:1" x14ac:dyDescent="0.35">
      <c r="A397" t="s">
        <v>323</v>
      </c>
    </row>
    <row r="398" spans="1:1" x14ac:dyDescent="0.35">
      <c r="A398" t="s">
        <v>324</v>
      </c>
    </row>
    <row r="399" spans="1:1" x14ac:dyDescent="0.35">
      <c r="A399" t="s">
        <v>325</v>
      </c>
    </row>
    <row r="400" spans="1:1" x14ac:dyDescent="0.35">
      <c r="A400" t="s">
        <v>113</v>
      </c>
    </row>
    <row r="401" spans="1:1" x14ac:dyDescent="0.35">
      <c r="A401" t="s">
        <v>326</v>
      </c>
    </row>
    <row r="402" spans="1:1" x14ac:dyDescent="0.35">
      <c r="A402" t="s">
        <v>327</v>
      </c>
    </row>
    <row r="403" spans="1:1" x14ac:dyDescent="0.35">
      <c r="A403" t="s">
        <v>328</v>
      </c>
    </row>
    <row r="404" spans="1:1" x14ac:dyDescent="0.35">
      <c r="A404" t="s">
        <v>105</v>
      </c>
    </row>
    <row r="405" spans="1:1" x14ac:dyDescent="0.35">
      <c r="A405" t="s">
        <v>81</v>
      </c>
    </row>
    <row r="406" spans="1:1" x14ac:dyDescent="0.35">
      <c r="A406" t="s">
        <v>329</v>
      </c>
    </row>
    <row r="407" spans="1:1" x14ac:dyDescent="0.35">
      <c r="A407" t="s">
        <v>330</v>
      </c>
    </row>
    <row r="408" spans="1:1" x14ac:dyDescent="0.35">
      <c r="A408" t="s">
        <v>160</v>
      </c>
    </row>
    <row r="409" spans="1:1" x14ac:dyDescent="0.35">
      <c r="A409" t="s">
        <v>95</v>
      </c>
    </row>
    <row r="410" spans="1:1" x14ac:dyDescent="0.35">
      <c r="A410" t="s">
        <v>331</v>
      </c>
    </row>
    <row r="411" spans="1:1" x14ac:dyDescent="0.35">
      <c r="A411" t="s">
        <v>332</v>
      </c>
    </row>
    <row r="412" spans="1:1" x14ac:dyDescent="0.35">
      <c r="A412" t="s">
        <v>333</v>
      </c>
    </row>
    <row r="413" spans="1:1" x14ac:dyDescent="0.35">
      <c r="A413" t="s">
        <v>334</v>
      </c>
    </row>
    <row r="414" spans="1:1" x14ac:dyDescent="0.35">
      <c r="A414" t="s">
        <v>335</v>
      </c>
    </row>
    <row r="415" spans="1:1" x14ac:dyDescent="0.35">
      <c r="A415" t="s">
        <v>113</v>
      </c>
    </row>
    <row r="416" spans="1:1" x14ac:dyDescent="0.35">
      <c r="A416" t="s">
        <v>336</v>
      </c>
    </row>
    <row r="417" spans="1:1" x14ac:dyDescent="0.35">
      <c r="A417" t="s">
        <v>337</v>
      </c>
    </row>
    <row r="418" spans="1:1" x14ac:dyDescent="0.35">
      <c r="A418" t="s">
        <v>338</v>
      </c>
    </row>
    <row r="419" spans="1:1" x14ac:dyDescent="0.35">
      <c r="A419" t="s">
        <v>105</v>
      </c>
    </row>
    <row r="420" spans="1:1" x14ac:dyDescent="0.35">
      <c r="A420" t="s">
        <v>81</v>
      </c>
    </row>
    <row r="421" spans="1:1" x14ac:dyDescent="0.35">
      <c r="A421" t="s">
        <v>339</v>
      </c>
    </row>
    <row r="422" spans="1:1" x14ac:dyDescent="0.35">
      <c r="A422" t="s">
        <v>340</v>
      </c>
    </row>
    <row r="423" spans="1:1" x14ac:dyDescent="0.35">
      <c r="A423" t="s">
        <v>94</v>
      </c>
    </row>
    <row r="424" spans="1:1" x14ac:dyDescent="0.35">
      <c r="A424" t="s">
        <v>95</v>
      </c>
    </row>
    <row r="425" spans="1:1" x14ac:dyDescent="0.35">
      <c r="A425" t="s">
        <v>248</v>
      </c>
    </row>
    <row r="426" spans="1:1" x14ac:dyDescent="0.35">
      <c r="A426" t="s">
        <v>249</v>
      </c>
    </row>
    <row r="427" spans="1:1" x14ac:dyDescent="0.35">
      <c r="A427" t="s">
        <v>199</v>
      </c>
    </row>
    <row r="428" spans="1:1" x14ac:dyDescent="0.35">
      <c r="A428" t="s">
        <v>341</v>
      </c>
    </row>
    <row r="429" spans="1:1" x14ac:dyDescent="0.35">
      <c r="A429" t="s">
        <v>342</v>
      </c>
    </row>
    <row r="430" spans="1:1" x14ac:dyDescent="0.35">
      <c r="A430" t="s">
        <v>343</v>
      </c>
    </row>
    <row r="431" spans="1:1" x14ac:dyDescent="0.35">
      <c r="A431" t="s">
        <v>344</v>
      </c>
    </row>
    <row r="432" spans="1:1" x14ac:dyDescent="0.35">
      <c r="A432" t="s">
        <v>345</v>
      </c>
    </row>
    <row r="433" spans="1:1" x14ac:dyDescent="0.35">
      <c r="A433" t="s">
        <v>346</v>
      </c>
    </row>
    <row r="434" spans="1:1" x14ac:dyDescent="0.35">
      <c r="A434" t="s">
        <v>105</v>
      </c>
    </row>
    <row r="435" spans="1:1" x14ac:dyDescent="0.35">
      <c r="A435" t="s">
        <v>81</v>
      </c>
    </row>
    <row r="436" spans="1:1" x14ac:dyDescent="0.35">
      <c r="A436" t="s">
        <v>347</v>
      </c>
    </row>
    <row r="437" spans="1:1" x14ac:dyDescent="0.35">
      <c r="A437" t="s">
        <v>348</v>
      </c>
    </row>
    <row r="438" spans="1:1" x14ac:dyDescent="0.35">
      <c r="A438" t="s">
        <v>349</v>
      </c>
    </row>
    <row r="439" spans="1:1" x14ac:dyDescent="0.35">
      <c r="A439" t="s">
        <v>95</v>
      </c>
    </row>
    <row r="440" spans="1:1" x14ac:dyDescent="0.35">
      <c r="A440" t="s">
        <v>350</v>
      </c>
    </row>
    <row r="441" spans="1:1" x14ac:dyDescent="0.35">
      <c r="A441" t="s">
        <v>351</v>
      </c>
    </row>
    <row r="442" spans="1:1" x14ac:dyDescent="0.35">
      <c r="A442" t="s">
        <v>352</v>
      </c>
    </row>
    <row r="443" spans="1:1" x14ac:dyDescent="0.35">
      <c r="A443" t="s">
        <v>353</v>
      </c>
    </row>
    <row r="444" spans="1:1" x14ac:dyDescent="0.35">
      <c r="A444" t="s">
        <v>354</v>
      </c>
    </row>
    <row r="445" spans="1:1" x14ac:dyDescent="0.35">
      <c r="A445" t="s">
        <v>355</v>
      </c>
    </row>
    <row r="446" spans="1:1" x14ac:dyDescent="0.35">
      <c r="A446" t="s">
        <v>356</v>
      </c>
    </row>
    <row r="447" spans="1:1" x14ac:dyDescent="0.35">
      <c r="A447" t="s">
        <v>357</v>
      </c>
    </row>
    <row r="448" spans="1:1" x14ac:dyDescent="0.35">
      <c r="A448" t="s">
        <v>358</v>
      </c>
    </row>
    <row r="449" spans="1:1" x14ac:dyDescent="0.35">
      <c r="A449" t="s">
        <v>105</v>
      </c>
    </row>
    <row r="450" spans="1:1" x14ac:dyDescent="0.35">
      <c r="A450" t="s">
        <v>81</v>
      </c>
    </row>
    <row r="451" spans="1:1" x14ac:dyDescent="0.35">
      <c r="A451" t="s">
        <v>359</v>
      </c>
    </row>
    <row r="452" spans="1:1" x14ac:dyDescent="0.35">
      <c r="A452" t="s">
        <v>360</v>
      </c>
    </row>
    <row r="453" spans="1:1" x14ac:dyDescent="0.35">
      <c r="A453" t="s">
        <v>160</v>
      </c>
    </row>
    <row r="454" spans="1:1" x14ac:dyDescent="0.35">
      <c r="A454" t="s">
        <v>361</v>
      </c>
    </row>
    <row r="455" spans="1:1" x14ac:dyDescent="0.35">
      <c r="A455" t="s">
        <v>331</v>
      </c>
    </row>
    <row r="456" spans="1:1" x14ac:dyDescent="0.35">
      <c r="A456" t="s">
        <v>332</v>
      </c>
    </row>
    <row r="457" spans="1:1" x14ac:dyDescent="0.35">
      <c r="A457" t="s">
        <v>333</v>
      </c>
    </row>
    <row r="458" spans="1:1" x14ac:dyDescent="0.35">
      <c r="A458" t="s">
        <v>362</v>
      </c>
    </row>
    <row r="459" spans="1:1" x14ac:dyDescent="0.35">
      <c r="A459" t="s">
        <v>363</v>
      </c>
    </row>
    <row r="460" spans="1:1" x14ac:dyDescent="0.35">
      <c r="A460" t="s">
        <v>113</v>
      </c>
    </row>
    <row r="461" spans="1:1" x14ac:dyDescent="0.35">
      <c r="A461" t="s">
        <v>364</v>
      </c>
    </row>
    <row r="462" spans="1:1" x14ac:dyDescent="0.35">
      <c r="A462" t="s">
        <v>365</v>
      </c>
    </row>
    <row r="463" spans="1:1" x14ac:dyDescent="0.35">
      <c r="A463" t="s">
        <v>366</v>
      </c>
    </row>
    <row r="464" spans="1:1" x14ac:dyDescent="0.35">
      <c r="A464" t="s">
        <v>105</v>
      </c>
    </row>
    <row r="465" spans="1:1" x14ac:dyDescent="0.35">
      <c r="A465" t="s">
        <v>81</v>
      </c>
    </row>
    <row r="466" spans="1:1" x14ac:dyDescent="0.35">
      <c r="A466" t="s">
        <v>367</v>
      </c>
    </row>
    <row r="467" spans="1:1" x14ac:dyDescent="0.35">
      <c r="A467" t="s">
        <v>368</v>
      </c>
    </row>
    <row r="468" spans="1:1" x14ac:dyDescent="0.35">
      <c r="A468" t="s">
        <v>94</v>
      </c>
    </row>
    <row r="469" spans="1:1" x14ac:dyDescent="0.35">
      <c r="A469" t="s">
        <v>95</v>
      </c>
    </row>
    <row r="470" spans="1:1" x14ac:dyDescent="0.35">
      <c r="A470" t="s">
        <v>369</v>
      </c>
    </row>
    <row r="471" spans="1:1" x14ac:dyDescent="0.35">
      <c r="A471" t="s">
        <v>370</v>
      </c>
    </row>
    <row r="472" spans="1:1" x14ac:dyDescent="0.35">
      <c r="A472" t="s">
        <v>371</v>
      </c>
    </row>
    <row r="473" spans="1:1" x14ac:dyDescent="0.35">
      <c r="A473" t="s">
        <v>372</v>
      </c>
    </row>
    <row r="474" spans="1:1" x14ac:dyDescent="0.35">
      <c r="A474" t="s">
        <v>373</v>
      </c>
    </row>
    <row r="475" spans="1:1" x14ac:dyDescent="0.35">
      <c r="A475" t="s">
        <v>374</v>
      </c>
    </row>
    <row r="476" spans="1:1" x14ac:dyDescent="0.35">
      <c r="A476" t="s">
        <v>375</v>
      </c>
    </row>
    <row r="477" spans="1:1" x14ac:dyDescent="0.35">
      <c r="A477" t="s">
        <v>376</v>
      </c>
    </row>
    <row r="478" spans="1:1" x14ac:dyDescent="0.35">
      <c r="A478" t="s">
        <v>377</v>
      </c>
    </row>
    <row r="479" spans="1:1" x14ac:dyDescent="0.35">
      <c r="A479" t="s">
        <v>105</v>
      </c>
    </row>
    <row r="480" spans="1:1" x14ac:dyDescent="0.35">
      <c r="A480" t="s">
        <v>81</v>
      </c>
    </row>
    <row r="481" spans="1:1" x14ac:dyDescent="0.35">
      <c r="A481" t="s">
        <v>378</v>
      </c>
    </row>
    <row r="482" spans="1:1" x14ac:dyDescent="0.35">
      <c r="A482" t="s">
        <v>379</v>
      </c>
    </row>
    <row r="483" spans="1:1" x14ac:dyDescent="0.35">
      <c r="A483" t="s">
        <v>94</v>
      </c>
    </row>
    <row r="484" spans="1:1" x14ac:dyDescent="0.35">
      <c r="A484" t="s">
        <v>95</v>
      </c>
    </row>
    <row r="485" spans="1:1" x14ac:dyDescent="0.35">
      <c r="A485" t="s">
        <v>331</v>
      </c>
    </row>
    <row r="486" spans="1:1" x14ac:dyDescent="0.35">
      <c r="A486" t="s">
        <v>332</v>
      </c>
    </row>
    <row r="487" spans="1:1" x14ac:dyDescent="0.35">
      <c r="A487" t="s">
        <v>333</v>
      </c>
    </row>
    <row r="488" spans="1:1" x14ac:dyDescent="0.35">
      <c r="A488" t="s">
        <v>380</v>
      </c>
    </row>
    <row r="489" spans="1:1" x14ac:dyDescent="0.35">
      <c r="A489" t="s">
        <v>381</v>
      </c>
    </row>
    <row r="490" spans="1:1" x14ac:dyDescent="0.35">
      <c r="A490" t="s">
        <v>113</v>
      </c>
    </row>
    <row r="491" spans="1:1" x14ac:dyDescent="0.35">
      <c r="A491" t="s">
        <v>382</v>
      </c>
    </row>
    <row r="492" spans="1:1" x14ac:dyDescent="0.35">
      <c r="A492" t="s">
        <v>383</v>
      </c>
    </row>
    <row r="493" spans="1:1" x14ac:dyDescent="0.35">
      <c r="A493" t="s">
        <v>384</v>
      </c>
    </row>
    <row r="494" spans="1:1" x14ac:dyDescent="0.35">
      <c r="A494" t="s">
        <v>105</v>
      </c>
    </row>
    <row r="495" spans="1:1" x14ac:dyDescent="0.35">
      <c r="A495" t="s">
        <v>81</v>
      </c>
    </row>
    <row r="496" spans="1:1" x14ac:dyDescent="0.35">
      <c r="A496" t="s">
        <v>385</v>
      </c>
    </row>
    <row r="497" spans="1:1" x14ac:dyDescent="0.35">
      <c r="A497" t="s">
        <v>386</v>
      </c>
    </row>
    <row r="498" spans="1:1" x14ac:dyDescent="0.35">
      <c r="A498" t="s">
        <v>94</v>
      </c>
    </row>
    <row r="499" spans="1:1" x14ac:dyDescent="0.35">
      <c r="A499" t="s">
        <v>95</v>
      </c>
    </row>
    <row r="500" spans="1:1" x14ac:dyDescent="0.35">
      <c r="A500" t="s">
        <v>350</v>
      </c>
    </row>
    <row r="501" spans="1:1" x14ac:dyDescent="0.35">
      <c r="A501" t="s">
        <v>351</v>
      </c>
    </row>
    <row r="502" spans="1:1" x14ac:dyDescent="0.35">
      <c r="A502" t="s">
        <v>352</v>
      </c>
    </row>
    <row r="503" spans="1:1" x14ac:dyDescent="0.35">
      <c r="A503" t="s">
        <v>387</v>
      </c>
    </row>
    <row r="504" spans="1:1" x14ac:dyDescent="0.35">
      <c r="A504" t="s">
        <v>388</v>
      </c>
    </row>
    <row r="505" spans="1:1" x14ac:dyDescent="0.35">
      <c r="A505" t="s">
        <v>389</v>
      </c>
    </row>
    <row r="506" spans="1:1" x14ac:dyDescent="0.35">
      <c r="A506" t="s">
        <v>390</v>
      </c>
    </row>
    <row r="507" spans="1:1" x14ac:dyDescent="0.35">
      <c r="A507" t="s">
        <v>391</v>
      </c>
    </row>
    <row r="508" spans="1:1" x14ac:dyDescent="0.35">
      <c r="A508" t="s">
        <v>392</v>
      </c>
    </row>
    <row r="509" spans="1:1" x14ac:dyDescent="0.35">
      <c r="A509" t="s">
        <v>105</v>
      </c>
    </row>
    <row r="510" spans="1:1" x14ac:dyDescent="0.35">
      <c r="A510" t="s">
        <v>81</v>
      </c>
    </row>
    <row r="511" spans="1:1" x14ac:dyDescent="0.35">
      <c r="A511" t="s">
        <v>393</v>
      </c>
    </row>
    <row r="512" spans="1:1" x14ac:dyDescent="0.35">
      <c r="A512" t="s">
        <v>394</v>
      </c>
    </row>
    <row r="513" spans="1:1" x14ac:dyDescent="0.35">
      <c r="A513" t="s">
        <v>160</v>
      </c>
    </row>
    <row r="514" spans="1:1" x14ac:dyDescent="0.35">
      <c r="A514" t="s">
        <v>95</v>
      </c>
    </row>
    <row r="515" spans="1:1" x14ac:dyDescent="0.35">
      <c r="A515" t="s">
        <v>395</v>
      </c>
    </row>
    <row r="516" spans="1:1" x14ac:dyDescent="0.35">
      <c r="A516" t="s">
        <v>396</v>
      </c>
    </row>
    <row r="517" spans="1:1" x14ac:dyDescent="0.35">
      <c r="A517" t="s">
        <v>397</v>
      </c>
    </row>
    <row r="518" spans="1:1" x14ac:dyDescent="0.35">
      <c r="A518" t="s">
        <v>398</v>
      </c>
    </row>
    <row r="519" spans="1:1" x14ac:dyDescent="0.35">
      <c r="A519" t="s">
        <v>399</v>
      </c>
    </row>
    <row r="520" spans="1:1" x14ac:dyDescent="0.35">
      <c r="A520" t="s">
        <v>113</v>
      </c>
    </row>
    <row r="521" spans="1:1" x14ac:dyDescent="0.35">
      <c r="A521" t="s">
        <v>400</v>
      </c>
    </row>
    <row r="522" spans="1:1" x14ac:dyDescent="0.35">
      <c r="A522" t="s">
        <v>401</v>
      </c>
    </row>
    <row r="523" spans="1:1" x14ac:dyDescent="0.35">
      <c r="A523" t="s">
        <v>402</v>
      </c>
    </row>
    <row r="524" spans="1:1" x14ac:dyDescent="0.35">
      <c r="A524" t="s">
        <v>105</v>
      </c>
    </row>
    <row r="525" spans="1:1" x14ac:dyDescent="0.35">
      <c r="A525" t="s">
        <v>81</v>
      </c>
    </row>
    <row r="526" spans="1:1" x14ac:dyDescent="0.35">
      <c r="A526" t="s">
        <v>403</v>
      </c>
    </row>
    <row r="527" spans="1:1" x14ac:dyDescent="0.35">
      <c r="A527" t="s">
        <v>404</v>
      </c>
    </row>
    <row r="528" spans="1:1" x14ac:dyDescent="0.35">
      <c r="A528" t="s">
        <v>94</v>
      </c>
    </row>
    <row r="529" spans="1:1" x14ac:dyDescent="0.35">
      <c r="A529" t="s">
        <v>95</v>
      </c>
    </row>
    <row r="530" spans="1:1" x14ac:dyDescent="0.35">
      <c r="A530" t="s">
        <v>405</v>
      </c>
    </row>
    <row r="531" spans="1:1" x14ac:dyDescent="0.35">
      <c r="A531" t="s">
        <v>406</v>
      </c>
    </row>
    <row r="532" spans="1:1" x14ac:dyDescent="0.35">
      <c r="A532" t="s">
        <v>407</v>
      </c>
    </row>
    <row r="533" spans="1:1" x14ac:dyDescent="0.35">
      <c r="A533" t="s">
        <v>408</v>
      </c>
    </row>
    <row r="534" spans="1:1" x14ac:dyDescent="0.35">
      <c r="A534" t="s">
        <v>409</v>
      </c>
    </row>
    <row r="535" spans="1:1" x14ac:dyDescent="0.35">
      <c r="A535" t="s">
        <v>410</v>
      </c>
    </row>
    <row r="536" spans="1:1" x14ac:dyDescent="0.35">
      <c r="A536" t="s">
        <v>411</v>
      </c>
    </row>
    <row r="537" spans="1:1" x14ac:dyDescent="0.35">
      <c r="A537" t="s">
        <v>412</v>
      </c>
    </row>
    <row r="538" spans="1:1" x14ac:dyDescent="0.35">
      <c r="A538" t="s">
        <v>413</v>
      </c>
    </row>
    <row r="539" spans="1:1" x14ac:dyDescent="0.35">
      <c r="A539" t="s">
        <v>105</v>
      </c>
    </row>
    <row r="540" spans="1:1" x14ac:dyDescent="0.35">
      <c r="A540" t="s">
        <v>81</v>
      </c>
    </row>
    <row r="541" spans="1:1" x14ac:dyDescent="0.35">
      <c r="A541" t="s">
        <v>414</v>
      </c>
    </row>
    <row r="542" spans="1:1" x14ac:dyDescent="0.35">
      <c r="A542" t="s">
        <v>415</v>
      </c>
    </row>
    <row r="543" spans="1:1" x14ac:dyDescent="0.35">
      <c r="A543" t="s">
        <v>94</v>
      </c>
    </row>
    <row r="544" spans="1:1" x14ac:dyDescent="0.35">
      <c r="A544" t="s">
        <v>95</v>
      </c>
    </row>
    <row r="545" spans="1:1" x14ac:dyDescent="0.35">
      <c r="A545" t="s">
        <v>276</v>
      </c>
    </row>
    <row r="546" spans="1:1" x14ac:dyDescent="0.35">
      <c r="A546" t="s">
        <v>277</v>
      </c>
    </row>
    <row r="547" spans="1:1" x14ac:dyDescent="0.35">
      <c r="A547" t="s">
        <v>278</v>
      </c>
    </row>
    <row r="548" spans="1:1" x14ac:dyDescent="0.35">
      <c r="A548" t="s">
        <v>416</v>
      </c>
    </row>
    <row r="549" spans="1:1" x14ac:dyDescent="0.35">
      <c r="A549" t="s">
        <v>417</v>
      </c>
    </row>
    <row r="550" spans="1:1" x14ac:dyDescent="0.35">
      <c r="A550" t="s">
        <v>113</v>
      </c>
    </row>
    <row r="551" spans="1:1" x14ac:dyDescent="0.35">
      <c r="A551" t="s">
        <v>418</v>
      </c>
    </row>
    <row r="552" spans="1:1" x14ac:dyDescent="0.35">
      <c r="A552" t="s">
        <v>419</v>
      </c>
    </row>
    <row r="553" spans="1:1" x14ac:dyDescent="0.35">
      <c r="A553" t="s">
        <v>420</v>
      </c>
    </row>
    <row r="554" spans="1:1" x14ac:dyDescent="0.35">
      <c r="A554" t="s">
        <v>105</v>
      </c>
    </row>
    <row r="555" spans="1:1" x14ac:dyDescent="0.35">
      <c r="A555" t="s">
        <v>81</v>
      </c>
    </row>
    <row r="556" spans="1:1" x14ac:dyDescent="0.35">
      <c r="A556" t="s">
        <v>421</v>
      </c>
    </row>
    <row r="557" spans="1:1" x14ac:dyDescent="0.35">
      <c r="A557" t="s">
        <v>422</v>
      </c>
    </row>
    <row r="558" spans="1:1" x14ac:dyDescent="0.35">
      <c r="A558" t="s">
        <v>160</v>
      </c>
    </row>
    <row r="559" spans="1:1" x14ac:dyDescent="0.35">
      <c r="A559" t="s">
        <v>95</v>
      </c>
    </row>
    <row r="560" spans="1:1" x14ac:dyDescent="0.35">
      <c r="A560" t="s">
        <v>179</v>
      </c>
    </row>
    <row r="561" spans="1:1" x14ac:dyDescent="0.35">
      <c r="A561" t="s">
        <v>180</v>
      </c>
    </row>
    <row r="562" spans="1:1" x14ac:dyDescent="0.35">
      <c r="A562" t="s">
        <v>181</v>
      </c>
    </row>
    <row r="563" spans="1:1" x14ac:dyDescent="0.35">
      <c r="A563" t="s">
        <v>423</v>
      </c>
    </row>
    <row r="564" spans="1:1" x14ac:dyDescent="0.35">
      <c r="A564" t="s">
        <v>424</v>
      </c>
    </row>
    <row r="565" spans="1:1" x14ac:dyDescent="0.35">
      <c r="A565" t="s">
        <v>113</v>
      </c>
    </row>
    <row r="566" spans="1:1" x14ac:dyDescent="0.35">
      <c r="A566" t="s">
        <v>425</v>
      </c>
    </row>
    <row r="567" spans="1:1" x14ac:dyDescent="0.35">
      <c r="A567" t="s">
        <v>426</v>
      </c>
    </row>
    <row r="568" spans="1:1" x14ac:dyDescent="0.35">
      <c r="A568" t="s">
        <v>427</v>
      </c>
    </row>
    <row r="569" spans="1:1" x14ac:dyDescent="0.35">
      <c r="A569" t="s">
        <v>105</v>
      </c>
    </row>
    <row r="570" spans="1:1" x14ac:dyDescent="0.35">
      <c r="A570" t="s">
        <v>81</v>
      </c>
    </row>
    <row r="571" spans="1:1" x14ac:dyDescent="0.35">
      <c r="A571" t="s">
        <v>428</v>
      </c>
    </row>
    <row r="572" spans="1:1" x14ac:dyDescent="0.35">
      <c r="A572" t="s">
        <v>429</v>
      </c>
    </row>
    <row r="573" spans="1:1" x14ac:dyDescent="0.35">
      <c r="A573" t="s">
        <v>160</v>
      </c>
    </row>
    <row r="574" spans="1:1" x14ac:dyDescent="0.35">
      <c r="A574" t="s">
        <v>189</v>
      </c>
    </row>
    <row r="575" spans="1:1" x14ac:dyDescent="0.35">
      <c r="A575" t="s">
        <v>179</v>
      </c>
    </row>
    <row r="576" spans="1:1" x14ac:dyDescent="0.35">
      <c r="A576" t="s">
        <v>180</v>
      </c>
    </row>
    <row r="577" spans="1:1" x14ac:dyDescent="0.35">
      <c r="A577" t="s">
        <v>181</v>
      </c>
    </row>
    <row r="578" spans="1:1" x14ac:dyDescent="0.35">
      <c r="A578" t="s">
        <v>430</v>
      </c>
    </row>
    <row r="579" spans="1:1" x14ac:dyDescent="0.35">
      <c r="A579" t="s">
        <v>431</v>
      </c>
    </row>
    <row r="580" spans="1:1" x14ac:dyDescent="0.35">
      <c r="A580" t="s">
        <v>113</v>
      </c>
    </row>
    <row r="581" spans="1:1" x14ac:dyDescent="0.35">
      <c r="A581" t="s">
        <v>432</v>
      </c>
    </row>
    <row r="582" spans="1:1" x14ac:dyDescent="0.35">
      <c r="A582" t="s">
        <v>433</v>
      </c>
    </row>
    <row r="583" spans="1:1" x14ac:dyDescent="0.35">
      <c r="A583" t="s">
        <v>434</v>
      </c>
    </row>
    <row r="584" spans="1:1" x14ac:dyDescent="0.35">
      <c r="A584" t="s">
        <v>105</v>
      </c>
    </row>
    <row r="585" spans="1:1" x14ac:dyDescent="0.35">
      <c r="A585" t="s">
        <v>81</v>
      </c>
    </row>
    <row r="586" spans="1:1" x14ac:dyDescent="0.35">
      <c r="A586" t="s">
        <v>435</v>
      </c>
    </row>
    <row r="587" spans="1:1" x14ac:dyDescent="0.35">
      <c r="A587" t="s">
        <v>436</v>
      </c>
    </row>
    <row r="588" spans="1:1" x14ac:dyDescent="0.35">
      <c r="A588" t="s">
        <v>160</v>
      </c>
    </row>
    <row r="589" spans="1:1" x14ac:dyDescent="0.35">
      <c r="A589" t="s">
        <v>95</v>
      </c>
    </row>
    <row r="590" spans="1:1" x14ac:dyDescent="0.35">
      <c r="A590" t="s">
        <v>369</v>
      </c>
    </row>
    <row r="591" spans="1:1" x14ac:dyDescent="0.35">
      <c r="A591" t="s">
        <v>370</v>
      </c>
    </row>
    <row r="592" spans="1:1" x14ac:dyDescent="0.35">
      <c r="A592" t="s">
        <v>371</v>
      </c>
    </row>
    <row r="593" spans="1:1" x14ac:dyDescent="0.35">
      <c r="A593" t="s">
        <v>437</v>
      </c>
    </row>
    <row r="594" spans="1:1" x14ac:dyDescent="0.35">
      <c r="A594" t="s">
        <v>438</v>
      </c>
    </row>
    <row r="595" spans="1:1" x14ac:dyDescent="0.35">
      <c r="A595" t="s">
        <v>439</v>
      </c>
    </row>
    <row r="596" spans="1:1" x14ac:dyDescent="0.35">
      <c r="A596" t="s">
        <v>440</v>
      </c>
    </row>
    <row r="597" spans="1:1" x14ac:dyDescent="0.35">
      <c r="A597" t="s">
        <v>441</v>
      </c>
    </row>
    <row r="598" spans="1:1" x14ac:dyDescent="0.35">
      <c r="A598" t="s">
        <v>442</v>
      </c>
    </row>
    <row r="599" spans="1:1" x14ac:dyDescent="0.35">
      <c r="A599" t="s">
        <v>105</v>
      </c>
    </row>
    <row r="600" spans="1:1" x14ac:dyDescent="0.35">
      <c r="A600" t="s">
        <v>81</v>
      </c>
    </row>
    <row r="601" spans="1:1" x14ac:dyDescent="0.35">
      <c r="A601" t="s">
        <v>443</v>
      </c>
    </row>
    <row r="602" spans="1:1" x14ac:dyDescent="0.35">
      <c r="A602" t="s">
        <v>444</v>
      </c>
    </row>
    <row r="603" spans="1:1" x14ac:dyDescent="0.35">
      <c r="A603" t="s">
        <v>160</v>
      </c>
    </row>
    <row r="604" spans="1:1" x14ac:dyDescent="0.35">
      <c r="A604" t="s">
        <v>95</v>
      </c>
    </row>
    <row r="605" spans="1:1" x14ac:dyDescent="0.35">
      <c r="A605" t="s">
        <v>276</v>
      </c>
    </row>
    <row r="606" spans="1:1" x14ac:dyDescent="0.35">
      <c r="A606" t="s">
        <v>277</v>
      </c>
    </row>
    <row r="607" spans="1:1" x14ac:dyDescent="0.35">
      <c r="A607" t="s">
        <v>278</v>
      </c>
    </row>
    <row r="608" spans="1:1" x14ac:dyDescent="0.35">
      <c r="A608" t="s">
        <v>445</v>
      </c>
    </row>
    <row r="609" spans="1:1" x14ac:dyDescent="0.35">
      <c r="A609" t="s">
        <v>446</v>
      </c>
    </row>
    <row r="610" spans="1:1" x14ac:dyDescent="0.35">
      <c r="A610" t="s">
        <v>113</v>
      </c>
    </row>
    <row r="611" spans="1:1" x14ac:dyDescent="0.35">
      <c r="A611" t="s">
        <v>447</v>
      </c>
    </row>
    <row r="612" spans="1:1" x14ac:dyDescent="0.35">
      <c r="A612" t="s">
        <v>448</v>
      </c>
    </row>
    <row r="613" spans="1:1" x14ac:dyDescent="0.35">
      <c r="A613" t="s">
        <v>449</v>
      </c>
    </row>
    <row r="614" spans="1:1" x14ac:dyDescent="0.35">
      <c r="A614" t="s">
        <v>105</v>
      </c>
    </row>
    <row r="615" spans="1:1" x14ac:dyDescent="0.35">
      <c r="A615" t="s">
        <v>81</v>
      </c>
    </row>
    <row r="616" spans="1:1" x14ac:dyDescent="0.35">
      <c r="A616" t="s">
        <v>450</v>
      </c>
    </row>
    <row r="617" spans="1:1" x14ac:dyDescent="0.35">
      <c r="A617" t="s">
        <v>451</v>
      </c>
    </row>
    <row r="618" spans="1:1" x14ac:dyDescent="0.35">
      <c r="A618" t="s">
        <v>160</v>
      </c>
    </row>
    <row r="619" spans="1:1" x14ac:dyDescent="0.35">
      <c r="A619" t="s">
        <v>95</v>
      </c>
    </row>
    <row r="620" spans="1:1" x14ac:dyDescent="0.35">
      <c r="A620" t="s">
        <v>452</v>
      </c>
    </row>
    <row r="621" spans="1:1" x14ac:dyDescent="0.35">
      <c r="A621" t="s">
        <v>453</v>
      </c>
    </row>
    <row r="622" spans="1:1" x14ac:dyDescent="0.35">
      <c r="A622" t="s">
        <v>454</v>
      </c>
    </row>
    <row r="623" spans="1:1" x14ac:dyDescent="0.35">
      <c r="A623" t="s">
        <v>430</v>
      </c>
    </row>
    <row r="624" spans="1:1" x14ac:dyDescent="0.35">
      <c r="A624" t="s">
        <v>455</v>
      </c>
    </row>
    <row r="625" spans="1:1" x14ac:dyDescent="0.35">
      <c r="A625" t="s">
        <v>456</v>
      </c>
    </row>
    <row r="626" spans="1:1" x14ac:dyDescent="0.35">
      <c r="A626" t="s">
        <v>457</v>
      </c>
    </row>
    <row r="627" spans="1:1" x14ac:dyDescent="0.35">
      <c r="A627" t="s">
        <v>458</v>
      </c>
    </row>
    <row r="628" spans="1:1" x14ac:dyDescent="0.35">
      <c r="A628" t="s">
        <v>459</v>
      </c>
    </row>
    <row r="629" spans="1:1" x14ac:dyDescent="0.35">
      <c r="A629" t="s">
        <v>105</v>
      </c>
    </row>
    <row r="630" spans="1:1" x14ac:dyDescent="0.35">
      <c r="A630" t="s">
        <v>81</v>
      </c>
    </row>
    <row r="631" spans="1:1" x14ac:dyDescent="0.35">
      <c r="A631" t="s">
        <v>460</v>
      </c>
    </row>
    <row r="632" spans="1:1" x14ac:dyDescent="0.35">
      <c r="A632" t="s">
        <v>461</v>
      </c>
    </row>
    <row r="633" spans="1:1" x14ac:dyDescent="0.35">
      <c r="A633" t="s">
        <v>94</v>
      </c>
    </row>
    <row r="634" spans="1:1" x14ac:dyDescent="0.35">
      <c r="A634" t="s">
        <v>95</v>
      </c>
    </row>
    <row r="635" spans="1:1" x14ac:dyDescent="0.35">
      <c r="A635" t="s">
        <v>452</v>
      </c>
    </row>
    <row r="636" spans="1:1" x14ac:dyDescent="0.35">
      <c r="A636" t="s">
        <v>453</v>
      </c>
    </row>
    <row r="637" spans="1:1" x14ac:dyDescent="0.35">
      <c r="A637" t="s">
        <v>454</v>
      </c>
    </row>
    <row r="638" spans="1:1" x14ac:dyDescent="0.35">
      <c r="A638" t="s">
        <v>462</v>
      </c>
    </row>
    <row r="639" spans="1:1" x14ac:dyDescent="0.35">
      <c r="A639" t="s">
        <v>463</v>
      </c>
    </row>
    <row r="640" spans="1:1" x14ac:dyDescent="0.35">
      <c r="A640" t="s">
        <v>464</v>
      </c>
    </row>
    <row r="641" spans="1:1" x14ac:dyDescent="0.35">
      <c r="A641" t="s">
        <v>465</v>
      </c>
    </row>
    <row r="642" spans="1:1" x14ac:dyDescent="0.35">
      <c r="A642" t="s">
        <v>466</v>
      </c>
    </row>
    <row r="643" spans="1:1" x14ac:dyDescent="0.35">
      <c r="A643" t="s">
        <v>467</v>
      </c>
    </row>
    <row r="644" spans="1:1" x14ac:dyDescent="0.35">
      <c r="A644" t="s">
        <v>105</v>
      </c>
    </row>
    <row r="645" spans="1:1" x14ac:dyDescent="0.35">
      <c r="A645" t="s">
        <v>81</v>
      </c>
    </row>
    <row r="646" spans="1:1" x14ac:dyDescent="0.35">
      <c r="A646" t="s">
        <v>468</v>
      </c>
    </row>
    <row r="647" spans="1:1" x14ac:dyDescent="0.35">
      <c r="A647" t="s">
        <v>469</v>
      </c>
    </row>
    <row r="648" spans="1:1" x14ac:dyDescent="0.35">
      <c r="A648" t="s">
        <v>470</v>
      </c>
    </row>
    <row r="649" spans="1:1" x14ac:dyDescent="0.35">
      <c r="A649" t="s">
        <v>471</v>
      </c>
    </row>
    <row r="650" spans="1:1" x14ac:dyDescent="0.35">
      <c r="A650" t="s">
        <v>350</v>
      </c>
    </row>
    <row r="651" spans="1:1" x14ac:dyDescent="0.35">
      <c r="A651" t="s">
        <v>351</v>
      </c>
    </row>
    <row r="652" spans="1:1" x14ac:dyDescent="0.35">
      <c r="A652" t="s">
        <v>352</v>
      </c>
    </row>
    <row r="653" spans="1:1" x14ac:dyDescent="0.35">
      <c r="A653" t="s">
        <v>472</v>
      </c>
    </row>
    <row r="654" spans="1:1" x14ac:dyDescent="0.35">
      <c r="A654" t="s">
        <v>473</v>
      </c>
    </row>
    <row r="655" spans="1:1" x14ac:dyDescent="0.35">
      <c r="A655" t="s">
        <v>474</v>
      </c>
    </row>
    <row r="656" spans="1:1" x14ac:dyDescent="0.35">
      <c r="A656" t="s">
        <v>475</v>
      </c>
    </row>
    <row r="657" spans="1:1" x14ac:dyDescent="0.35">
      <c r="A657" t="s">
        <v>476</v>
      </c>
    </row>
    <row r="658" spans="1:1" x14ac:dyDescent="0.35">
      <c r="A658" t="s">
        <v>477</v>
      </c>
    </row>
    <row r="659" spans="1:1" x14ac:dyDescent="0.35">
      <c r="A659" t="s">
        <v>105</v>
      </c>
    </row>
    <row r="660" spans="1:1" x14ac:dyDescent="0.35">
      <c r="A660" t="s">
        <v>81</v>
      </c>
    </row>
    <row r="661" spans="1:1" x14ac:dyDescent="0.35">
      <c r="A661" t="s">
        <v>478</v>
      </c>
    </row>
    <row r="662" spans="1:1" x14ac:dyDescent="0.35">
      <c r="A662" t="s">
        <v>479</v>
      </c>
    </row>
    <row r="663" spans="1:1" x14ac:dyDescent="0.35">
      <c r="A663" t="s">
        <v>480</v>
      </c>
    </row>
    <row r="664" spans="1:1" x14ac:dyDescent="0.35">
      <c r="A664" t="s">
        <v>95</v>
      </c>
    </row>
    <row r="665" spans="1:1" x14ac:dyDescent="0.35">
      <c r="A665" t="s">
        <v>258</v>
      </c>
    </row>
    <row r="666" spans="1:1" x14ac:dyDescent="0.35">
      <c r="A666" t="s">
        <v>259</v>
      </c>
    </row>
    <row r="667" spans="1:1" x14ac:dyDescent="0.35">
      <c r="A667" t="s">
        <v>260</v>
      </c>
    </row>
    <row r="668" spans="1:1" x14ac:dyDescent="0.35">
      <c r="A668" t="s">
        <v>481</v>
      </c>
    </row>
    <row r="669" spans="1:1" x14ac:dyDescent="0.35">
      <c r="A669" t="s">
        <v>482</v>
      </c>
    </row>
    <row r="670" spans="1:1" x14ac:dyDescent="0.35">
      <c r="A670" t="s">
        <v>113</v>
      </c>
    </row>
    <row r="671" spans="1:1" x14ac:dyDescent="0.35">
      <c r="A671" t="s">
        <v>483</v>
      </c>
    </row>
    <row r="672" spans="1:1" x14ac:dyDescent="0.35">
      <c r="A672" t="s">
        <v>484</v>
      </c>
    </row>
    <row r="673" spans="1:1" x14ac:dyDescent="0.35">
      <c r="A673" t="s">
        <v>485</v>
      </c>
    </row>
    <row r="674" spans="1:1" x14ac:dyDescent="0.35">
      <c r="A674" t="s">
        <v>105</v>
      </c>
    </row>
    <row r="675" spans="1:1" x14ac:dyDescent="0.35">
      <c r="A675" t="s">
        <v>81</v>
      </c>
    </row>
    <row r="676" spans="1:1" x14ac:dyDescent="0.35">
      <c r="A676" t="s">
        <v>486</v>
      </c>
    </row>
    <row r="677" spans="1:1" x14ac:dyDescent="0.35">
      <c r="A677" t="s">
        <v>487</v>
      </c>
    </row>
    <row r="678" spans="1:1" x14ac:dyDescent="0.35">
      <c r="A678" t="s">
        <v>160</v>
      </c>
    </row>
    <row r="679" spans="1:1" x14ac:dyDescent="0.35">
      <c r="A679" t="s">
        <v>95</v>
      </c>
    </row>
    <row r="680" spans="1:1" x14ac:dyDescent="0.35">
      <c r="A680" t="s">
        <v>140</v>
      </c>
    </row>
    <row r="681" spans="1:1" x14ac:dyDescent="0.35">
      <c r="A681" t="s">
        <v>141</v>
      </c>
    </row>
    <row r="682" spans="1:1" x14ac:dyDescent="0.35">
      <c r="A682" t="s">
        <v>142</v>
      </c>
    </row>
    <row r="683" spans="1:1" x14ac:dyDescent="0.35">
      <c r="A683" t="s">
        <v>488</v>
      </c>
    </row>
    <row r="684" spans="1:1" x14ac:dyDescent="0.35">
      <c r="A684" t="s">
        <v>489</v>
      </c>
    </row>
    <row r="685" spans="1:1" x14ac:dyDescent="0.35">
      <c r="A685" t="s">
        <v>113</v>
      </c>
    </row>
    <row r="686" spans="1:1" x14ac:dyDescent="0.35">
      <c r="A686" t="s">
        <v>490</v>
      </c>
    </row>
    <row r="687" spans="1:1" x14ac:dyDescent="0.35">
      <c r="A687" t="s">
        <v>491</v>
      </c>
    </row>
    <row r="688" spans="1:1" x14ac:dyDescent="0.35">
      <c r="A688" t="s">
        <v>492</v>
      </c>
    </row>
    <row r="689" spans="1:1" x14ac:dyDescent="0.35">
      <c r="A689" t="s">
        <v>105</v>
      </c>
    </row>
    <row r="690" spans="1:1" x14ac:dyDescent="0.35">
      <c r="A690" t="s">
        <v>81</v>
      </c>
    </row>
    <row r="691" spans="1:1" x14ac:dyDescent="0.35">
      <c r="A691" t="s">
        <v>493</v>
      </c>
    </row>
    <row r="692" spans="1:1" x14ac:dyDescent="0.35">
      <c r="A692" t="s">
        <v>494</v>
      </c>
    </row>
    <row r="693" spans="1:1" x14ac:dyDescent="0.35">
      <c r="A693" t="s">
        <v>480</v>
      </c>
    </row>
    <row r="694" spans="1:1" x14ac:dyDescent="0.35">
      <c r="A694" t="s">
        <v>95</v>
      </c>
    </row>
    <row r="695" spans="1:1" x14ac:dyDescent="0.35">
      <c r="A695" t="s">
        <v>276</v>
      </c>
    </row>
    <row r="696" spans="1:1" x14ac:dyDescent="0.35">
      <c r="A696" t="s">
        <v>277</v>
      </c>
    </row>
    <row r="697" spans="1:1" x14ac:dyDescent="0.35">
      <c r="A697" t="s">
        <v>278</v>
      </c>
    </row>
    <row r="698" spans="1:1" x14ac:dyDescent="0.35">
      <c r="A698" t="s">
        <v>495</v>
      </c>
    </row>
    <row r="699" spans="1:1" x14ac:dyDescent="0.35">
      <c r="A699" t="s">
        <v>496</v>
      </c>
    </row>
    <row r="700" spans="1:1" x14ac:dyDescent="0.35">
      <c r="A700" t="s">
        <v>113</v>
      </c>
    </row>
    <row r="701" spans="1:1" x14ac:dyDescent="0.35">
      <c r="A701" t="s">
        <v>497</v>
      </c>
    </row>
    <row r="702" spans="1:1" x14ac:dyDescent="0.35">
      <c r="A702" t="s">
        <v>498</v>
      </c>
    </row>
    <row r="703" spans="1:1" x14ac:dyDescent="0.35">
      <c r="A703" t="s">
        <v>499</v>
      </c>
    </row>
    <row r="704" spans="1:1" x14ac:dyDescent="0.35">
      <c r="A704" t="s">
        <v>105</v>
      </c>
    </row>
    <row r="705" spans="1:1" x14ac:dyDescent="0.35">
      <c r="A705" t="s">
        <v>81</v>
      </c>
    </row>
    <row r="706" spans="1:1" x14ac:dyDescent="0.35">
      <c r="A706" t="s">
        <v>500</v>
      </c>
    </row>
    <row r="707" spans="1:1" x14ac:dyDescent="0.35">
      <c r="A707" t="s">
        <v>501</v>
      </c>
    </row>
    <row r="708" spans="1:1" x14ac:dyDescent="0.35">
      <c r="A708" t="s">
        <v>160</v>
      </c>
    </row>
    <row r="709" spans="1:1" x14ac:dyDescent="0.35">
      <c r="A709" t="s">
        <v>95</v>
      </c>
    </row>
    <row r="710" spans="1:1" x14ac:dyDescent="0.35">
      <c r="A710" t="s">
        <v>197</v>
      </c>
    </row>
    <row r="711" spans="1:1" x14ac:dyDescent="0.35">
      <c r="A711" t="s">
        <v>198</v>
      </c>
    </row>
    <row r="712" spans="1:1" x14ac:dyDescent="0.35">
      <c r="A712" t="s">
        <v>199</v>
      </c>
    </row>
    <row r="713" spans="1:1" x14ac:dyDescent="0.35">
      <c r="A713" t="s">
        <v>423</v>
      </c>
    </row>
    <row r="714" spans="1:1" x14ac:dyDescent="0.35">
      <c r="A714" t="s">
        <v>502</v>
      </c>
    </row>
    <row r="715" spans="1:1" x14ac:dyDescent="0.35">
      <c r="A715" t="s">
        <v>113</v>
      </c>
    </row>
    <row r="716" spans="1:1" x14ac:dyDescent="0.35">
      <c r="A716" t="s">
        <v>503</v>
      </c>
    </row>
    <row r="717" spans="1:1" x14ac:dyDescent="0.35">
      <c r="A717" t="s">
        <v>426</v>
      </c>
    </row>
    <row r="718" spans="1:1" x14ac:dyDescent="0.35">
      <c r="A718" t="s">
        <v>504</v>
      </c>
    </row>
    <row r="719" spans="1:1" x14ac:dyDescent="0.35">
      <c r="A719" t="s">
        <v>105</v>
      </c>
    </row>
    <row r="720" spans="1:1" x14ac:dyDescent="0.35">
      <c r="A720" t="s">
        <v>81</v>
      </c>
    </row>
    <row r="721" spans="1:1" x14ac:dyDescent="0.35">
      <c r="A721" t="s">
        <v>505</v>
      </c>
    </row>
    <row r="722" spans="1:1" x14ac:dyDescent="0.35">
      <c r="A722" t="s">
        <v>506</v>
      </c>
    </row>
    <row r="723" spans="1:1" x14ac:dyDescent="0.35">
      <c r="A723" t="s">
        <v>349</v>
      </c>
    </row>
    <row r="724" spans="1:1" x14ac:dyDescent="0.35">
      <c r="A724" t="s">
        <v>361</v>
      </c>
    </row>
    <row r="725" spans="1:1" x14ac:dyDescent="0.35">
      <c r="A725" t="s">
        <v>507</v>
      </c>
    </row>
    <row r="726" spans="1:1" x14ac:dyDescent="0.35">
      <c r="A726" t="s">
        <v>508</v>
      </c>
    </row>
    <row r="727" spans="1:1" x14ac:dyDescent="0.35">
      <c r="A727" t="s">
        <v>509</v>
      </c>
    </row>
    <row r="728" spans="1:1" x14ac:dyDescent="0.35">
      <c r="A728" t="s">
        <v>510</v>
      </c>
    </row>
    <row r="729" spans="1:1" x14ac:dyDescent="0.35">
      <c r="A729" t="s">
        <v>511</v>
      </c>
    </row>
    <row r="730" spans="1:1" x14ac:dyDescent="0.35">
      <c r="A730" t="s">
        <v>512</v>
      </c>
    </row>
    <row r="731" spans="1:1" x14ac:dyDescent="0.35">
      <c r="A731" t="s">
        <v>513</v>
      </c>
    </row>
    <row r="732" spans="1:1" x14ac:dyDescent="0.35">
      <c r="A732" t="s">
        <v>514</v>
      </c>
    </row>
    <row r="733" spans="1:1" x14ac:dyDescent="0.35">
      <c r="A733" t="s">
        <v>515</v>
      </c>
    </row>
    <row r="734" spans="1:1" x14ac:dyDescent="0.35">
      <c r="A734" t="s">
        <v>105</v>
      </c>
    </row>
    <row r="735" spans="1:1" x14ac:dyDescent="0.35">
      <c r="A735" t="s">
        <v>81</v>
      </c>
    </row>
    <row r="736" spans="1:1" x14ac:dyDescent="0.35">
      <c r="A736" t="s">
        <v>516</v>
      </c>
    </row>
    <row r="737" spans="1:1" x14ac:dyDescent="0.35">
      <c r="A737" t="s">
        <v>517</v>
      </c>
    </row>
    <row r="738" spans="1:1" x14ac:dyDescent="0.35">
      <c r="A738" t="s">
        <v>94</v>
      </c>
    </row>
    <row r="739" spans="1:1" x14ac:dyDescent="0.35">
      <c r="A739" t="s">
        <v>95</v>
      </c>
    </row>
    <row r="740" spans="1:1" x14ac:dyDescent="0.35">
      <c r="A740" t="s">
        <v>321</v>
      </c>
    </row>
    <row r="741" spans="1:1" x14ac:dyDescent="0.35">
      <c r="A741" t="s">
        <v>322</v>
      </c>
    </row>
    <row r="742" spans="1:1" x14ac:dyDescent="0.35">
      <c r="A742" t="s">
        <v>323</v>
      </c>
    </row>
    <row r="743" spans="1:1" x14ac:dyDescent="0.35">
      <c r="A743" t="s">
        <v>518</v>
      </c>
    </row>
    <row r="744" spans="1:1" x14ac:dyDescent="0.35">
      <c r="A744" t="s">
        <v>519</v>
      </c>
    </row>
    <row r="745" spans="1:1" x14ac:dyDescent="0.35">
      <c r="A745" t="s">
        <v>113</v>
      </c>
    </row>
    <row r="746" spans="1:1" x14ac:dyDescent="0.35">
      <c r="A746" t="s">
        <v>520</v>
      </c>
    </row>
    <row r="747" spans="1:1" x14ac:dyDescent="0.35">
      <c r="A747" t="s">
        <v>521</v>
      </c>
    </row>
    <row r="748" spans="1:1" x14ac:dyDescent="0.35">
      <c r="A748" t="s">
        <v>522</v>
      </c>
    </row>
    <row r="749" spans="1:1" x14ac:dyDescent="0.35">
      <c r="A749" t="s">
        <v>105</v>
      </c>
    </row>
    <row r="750" spans="1:1" x14ac:dyDescent="0.35">
      <c r="A750" t="s">
        <v>81</v>
      </c>
    </row>
    <row r="751" spans="1:1" x14ac:dyDescent="0.35">
      <c r="A751" t="s">
        <v>523</v>
      </c>
    </row>
    <row r="752" spans="1:1" x14ac:dyDescent="0.35">
      <c r="A752" t="s">
        <v>524</v>
      </c>
    </row>
    <row r="753" spans="1:1" x14ac:dyDescent="0.35">
      <c r="A753" t="s">
        <v>525</v>
      </c>
    </row>
    <row r="754" spans="1:1" x14ac:dyDescent="0.35">
      <c r="A754" t="s">
        <v>95</v>
      </c>
    </row>
    <row r="755" spans="1:1" x14ac:dyDescent="0.35">
      <c r="A755" t="s">
        <v>248</v>
      </c>
    </row>
    <row r="756" spans="1:1" x14ac:dyDescent="0.35">
      <c r="A756" t="s">
        <v>249</v>
      </c>
    </row>
    <row r="757" spans="1:1" x14ac:dyDescent="0.35">
      <c r="A757" t="s">
        <v>199</v>
      </c>
    </row>
    <row r="758" spans="1:1" x14ac:dyDescent="0.35">
      <c r="A758" t="s">
        <v>526</v>
      </c>
    </row>
    <row r="759" spans="1:1" x14ac:dyDescent="0.35">
      <c r="A759" t="s">
        <v>527</v>
      </c>
    </row>
    <row r="760" spans="1:1" x14ac:dyDescent="0.35">
      <c r="A760" t="s">
        <v>528</v>
      </c>
    </row>
    <row r="761" spans="1:1" x14ac:dyDescent="0.35">
      <c r="A761" t="s">
        <v>529</v>
      </c>
    </row>
    <row r="762" spans="1:1" x14ac:dyDescent="0.35">
      <c r="A762" t="s">
        <v>530</v>
      </c>
    </row>
    <row r="763" spans="1:1" x14ac:dyDescent="0.35">
      <c r="A763" t="s">
        <v>531</v>
      </c>
    </row>
    <row r="764" spans="1:1" x14ac:dyDescent="0.35">
      <c r="A764" t="s">
        <v>105</v>
      </c>
    </row>
    <row r="765" spans="1:1" x14ac:dyDescent="0.35">
      <c r="A765" t="s">
        <v>81</v>
      </c>
    </row>
    <row r="766" spans="1:1" x14ac:dyDescent="0.35">
      <c r="A766" t="s">
        <v>532</v>
      </c>
    </row>
    <row r="767" spans="1:1" x14ac:dyDescent="0.35">
      <c r="A767" t="s">
        <v>533</v>
      </c>
    </row>
    <row r="768" spans="1:1" x14ac:dyDescent="0.35">
      <c r="A768" t="s">
        <v>160</v>
      </c>
    </row>
    <row r="769" spans="1:1" x14ac:dyDescent="0.35">
      <c r="A769" t="s">
        <v>95</v>
      </c>
    </row>
    <row r="770" spans="1:1" x14ac:dyDescent="0.35">
      <c r="A770" t="s">
        <v>248</v>
      </c>
    </row>
    <row r="771" spans="1:1" x14ac:dyDescent="0.35">
      <c r="A771" t="s">
        <v>249</v>
      </c>
    </row>
    <row r="772" spans="1:1" x14ac:dyDescent="0.35">
      <c r="A772" t="s">
        <v>199</v>
      </c>
    </row>
    <row r="773" spans="1:1" x14ac:dyDescent="0.35">
      <c r="A773" t="s">
        <v>534</v>
      </c>
    </row>
    <row r="774" spans="1:1" x14ac:dyDescent="0.35">
      <c r="A774" t="s">
        <v>535</v>
      </c>
    </row>
    <row r="775" spans="1:1" x14ac:dyDescent="0.35">
      <c r="A775" t="s">
        <v>536</v>
      </c>
    </row>
    <row r="776" spans="1:1" x14ac:dyDescent="0.35">
      <c r="A776" t="s">
        <v>537</v>
      </c>
    </row>
    <row r="777" spans="1:1" x14ac:dyDescent="0.35">
      <c r="A777" t="s">
        <v>538</v>
      </c>
    </row>
    <row r="778" spans="1:1" x14ac:dyDescent="0.35">
      <c r="A778" t="s">
        <v>539</v>
      </c>
    </row>
    <row r="779" spans="1:1" x14ac:dyDescent="0.35">
      <c r="A779" t="s">
        <v>89</v>
      </c>
    </row>
    <row r="780" spans="1:1" x14ac:dyDescent="0.35">
      <c r="A780" t="s">
        <v>540</v>
      </c>
    </row>
    <row r="781" spans="1:1" x14ac:dyDescent="0.35">
      <c r="A781" t="s">
        <v>541</v>
      </c>
    </row>
    <row r="782" spans="1:1" x14ac:dyDescent="0.35">
      <c r="A782" t="s">
        <v>542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A2793-8644-4093-A138-D997E5D309C7}">
  <sheetPr codeName="Sheet3"/>
  <dimension ref="A1:P298"/>
  <sheetViews>
    <sheetView workbookViewId="0">
      <selection activeCell="C51" sqref="C51"/>
    </sheetView>
  </sheetViews>
  <sheetFormatPr defaultColWidth="0" defaultRowHeight="14.5" x14ac:dyDescent="0.35"/>
  <cols>
    <col min="1" max="1" width="2.81640625" style="22" customWidth="1"/>
    <col min="2" max="2" width="20" style="3" customWidth="1"/>
    <col min="3" max="3" width="21.453125" style="43" customWidth="1"/>
    <col min="4" max="4" width="2.81640625" style="22" customWidth="1"/>
    <col min="5" max="5" width="20" style="3" customWidth="1"/>
    <col min="6" max="6" width="21.453125" style="43" customWidth="1"/>
    <col min="7" max="7" width="2.81640625" style="22" customWidth="1"/>
    <col min="8" max="8" width="20" style="3" customWidth="1"/>
    <col min="9" max="9" width="21.453125" style="43" customWidth="1"/>
    <col min="10" max="10" width="2.81640625" style="22" customWidth="1"/>
    <col min="11" max="11" width="20" style="3" customWidth="1"/>
    <col min="12" max="12" width="21.453125" style="43" customWidth="1"/>
    <col min="13" max="13" width="2.81640625" style="22" customWidth="1"/>
    <col min="14" max="14" width="20" style="3" customWidth="1"/>
    <col min="15" max="15" width="21.453125" style="43" customWidth="1"/>
    <col min="16" max="16" width="2.81640625" style="22" customWidth="1"/>
    <col min="17" max="17" width="0" style="3" hidden="1" customWidth="1"/>
    <col min="18" max="16384" width="0" style="3" hidden="1"/>
  </cols>
  <sheetData>
    <row r="1" spans="2:15" ht="30.75" customHeight="1" x14ac:dyDescent="0.35">
      <c r="B1" s="95">
        <v>1</v>
      </c>
      <c r="C1" s="95"/>
      <c r="E1" s="95">
        <v>2</v>
      </c>
      <c r="F1" s="95"/>
      <c r="H1" s="95">
        <v>3</v>
      </c>
      <c r="I1" s="95"/>
      <c r="K1" s="95">
        <v>4</v>
      </c>
      <c r="L1" s="95"/>
      <c r="N1" s="95">
        <v>5</v>
      </c>
      <c r="O1" s="95"/>
    </row>
    <row r="2" spans="2:15" x14ac:dyDescent="0.35">
      <c r="B2" s="70" t="s">
        <v>4</v>
      </c>
      <c r="C2" s="72"/>
      <c r="E2" s="70" t="s">
        <v>4</v>
      </c>
      <c r="F2" s="72"/>
      <c r="H2" s="70" t="s">
        <v>4</v>
      </c>
      <c r="I2" s="72"/>
      <c r="K2" s="70" t="s">
        <v>4</v>
      </c>
      <c r="L2" s="72"/>
      <c r="N2" s="70" t="s">
        <v>4</v>
      </c>
      <c r="O2" s="72"/>
    </row>
    <row r="3" spans="2:15" x14ac:dyDescent="0.35">
      <c r="B3" s="27" t="s">
        <v>5</v>
      </c>
      <c r="C3" s="33"/>
      <c r="E3" s="27" t="s">
        <v>5</v>
      </c>
      <c r="F3" s="33"/>
      <c r="H3" s="27" t="s">
        <v>5</v>
      </c>
      <c r="I3" s="33"/>
      <c r="K3" s="27" t="s">
        <v>5</v>
      </c>
      <c r="L3" s="33"/>
      <c r="N3" s="27" t="s">
        <v>5</v>
      </c>
      <c r="O3" s="33"/>
    </row>
    <row r="4" spans="2:15" x14ac:dyDescent="0.35">
      <c r="B4" s="28" t="s">
        <v>6</v>
      </c>
      <c r="C4" s="34"/>
      <c r="E4" s="28" t="s">
        <v>6</v>
      </c>
      <c r="F4" s="34"/>
      <c r="H4" s="28" t="s">
        <v>6</v>
      </c>
      <c r="I4" s="34"/>
      <c r="K4" s="28" t="s">
        <v>6</v>
      </c>
      <c r="L4" s="34"/>
      <c r="N4" s="28" t="s">
        <v>6</v>
      </c>
      <c r="O4" s="34"/>
    </row>
    <row r="5" spans="2:15" x14ac:dyDescent="0.35">
      <c r="B5" s="29" t="s">
        <v>7</v>
      </c>
      <c r="C5" s="35"/>
      <c r="E5" s="29" t="s">
        <v>7</v>
      </c>
      <c r="F5" s="35"/>
      <c r="H5" s="29" t="s">
        <v>7</v>
      </c>
      <c r="I5" s="35"/>
      <c r="K5" s="29" t="s">
        <v>7</v>
      </c>
      <c r="L5" s="35"/>
      <c r="N5" s="29" t="s">
        <v>7</v>
      </c>
      <c r="O5" s="35"/>
    </row>
    <row r="6" spans="2:15" x14ac:dyDescent="0.35">
      <c r="B6" s="28" t="s">
        <v>9</v>
      </c>
      <c r="C6" s="34"/>
      <c r="E6" s="28" t="s">
        <v>9</v>
      </c>
      <c r="F6" s="34"/>
      <c r="H6" s="28" t="s">
        <v>9</v>
      </c>
      <c r="I6" s="34"/>
      <c r="K6" s="28" t="s">
        <v>9</v>
      </c>
      <c r="L6" s="34"/>
      <c r="N6" s="28" t="s">
        <v>9</v>
      </c>
      <c r="O6" s="34"/>
    </row>
    <row r="7" spans="2:15" x14ac:dyDescent="0.35">
      <c r="B7" s="29" t="s">
        <v>13</v>
      </c>
      <c r="C7" s="35"/>
      <c r="E7" s="29" t="s">
        <v>13</v>
      </c>
      <c r="F7" s="35"/>
      <c r="H7" s="29" t="s">
        <v>13</v>
      </c>
      <c r="I7" s="35"/>
      <c r="K7" s="29" t="s">
        <v>13</v>
      </c>
      <c r="L7" s="35"/>
      <c r="N7" s="29" t="s">
        <v>13</v>
      </c>
      <c r="O7" s="35"/>
    </row>
    <row r="8" spans="2:15" x14ac:dyDescent="0.35">
      <c r="B8" s="28" t="s">
        <v>17</v>
      </c>
      <c r="C8" s="36"/>
      <c r="E8" s="28" t="s">
        <v>17</v>
      </c>
      <c r="F8" s="36"/>
      <c r="H8" s="28" t="s">
        <v>17</v>
      </c>
      <c r="I8" s="36"/>
      <c r="K8" s="28" t="s">
        <v>17</v>
      </c>
      <c r="L8" s="36"/>
      <c r="N8" s="28" t="s">
        <v>17</v>
      </c>
      <c r="O8" s="36"/>
    </row>
    <row r="9" spans="2:15" x14ac:dyDescent="0.35">
      <c r="B9" s="30" t="s">
        <v>19</v>
      </c>
      <c r="C9" s="37"/>
      <c r="E9" s="30" t="s">
        <v>19</v>
      </c>
      <c r="F9" s="37"/>
      <c r="H9" s="30" t="s">
        <v>19</v>
      </c>
      <c r="I9" s="37"/>
      <c r="K9" s="30" t="s">
        <v>19</v>
      </c>
      <c r="L9" s="37"/>
      <c r="N9" s="30" t="s">
        <v>19</v>
      </c>
      <c r="O9" s="37"/>
    </row>
    <row r="10" spans="2:15" x14ac:dyDescent="0.35">
      <c r="B10" s="32"/>
      <c r="C10" s="38"/>
      <c r="E10" s="32"/>
      <c r="F10" s="38"/>
      <c r="H10" s="32"/>
      <c r="I10" s="38"/>
      <c r="K10" s="32"/>
      <c r="L10" s="38"/>
      <c r="N10" s="32"/>
      <c r="O10" s="38"/>
    </row>
    <row r="11" spans="2:15" x14ac:dyDescent="0.35">
      <c r="B11" s="60" t="s">
        <v>6</v>
      </c>
      <c r="C11" s="62"/>
      <c r="E11" s="60" t="s">
        <v>6</v>
      </c>
      <c r="F11" s="62"/>
      <c r="H11" s="60" t="s">
        <v>6</v>
      </c>
      <c r="I11" s="62"/>
      <c r="K11" s="60" t="s">
        <v>6</v>
      </c>
      <c r="L11" s="62"/>
      <c r="N11" s="60" t="s">
        <v>6</v>
      </c>
      <c r="O11" s="62"/>
    </row>
    <row r="12" spans="2:15" x14ac:dyDescent="0.35">
      <c r="B12" s="27" t="s">
        <v>21</v>
      </c>
      <c r="C12" s="33"/>
      <c r="E12" s="27" t="s">
        <v>21</v>
      </c>
      <c r="F12" s="33"/>
      <c r="H12" s="27" t="s">
        <v>21</v>
      </c>
      <c r="I12" s="33"/>
      <c r="K12" s="27" t="s">
        <v>21</v>
      </c>
      <c r="L12" s="33"/>
      <c r="N12" s="27" t="s">
        <v>21</v>
      </c>
      <c r="O12" s="33"/>
    </row>
    <row r="13" spans="2:15" x14ac:dyDescent="0.35">
      <c r="B13" s="28" t="s">
        <v>22</v>
      </c>
      <c r="C13" s="34"/>
      <c r="E13" s="28" t="s">
        <v>22</v>
      </c>
      <c r="F13" s="34"/>
      <c r="H13" s="28" t="s">
        <v>22</v>
      </c>
      <c r="I13" s="34"/>
      <c r="K13" s="28" t="s">
        <v>22</v>
      </c>
      <c r="L13" s="34"/>
      <c r="N13" s="28" t="s">
        <v>22</v>
      </c>
      <c r="O13" s="34"/>
    </row>
    <row r="14" spans="2:15" x14ac:dyDescent="0.35">
      <c r="B14" s="29" t="s">
        <v>23</v>
      </c>
      <c r="C14" s="35"/>
      <c r="E14" s="29" t="s">
        <v>23</v>
      </c>
      <c r="F14" s="35"/>
      <c r="H14" s="29" t="s">
        <v>23</v>
      </c>
      <c r="I14" s="35"/>
      <c r="K14" s="29" t="s">
        <v>23</v>
      </c>
      <c r="L14" s="35"/>
      <c r="N14" s="29" t="s">
        <v>23</v>
      </c>
      <c r="O14" s="35"/>
    </row>
    <row r="15" spans="2:15" x14ac:dyDescent="0.35">
      <c r="B15" s="28" t="s">
        <v>24</v>
      </c>
      <c r="C15" s="34"/>
      <c r="E15" s="28" t="s">
        <v>24</v>
      </c>
      <c r="F15" s="34"/>
      <c r="H15" s="28" t="s">
        <v>24</v>
      </c>
      <c r="I15" s="34"/>
      <c r="K15" s="28" t="s">
        <v>24</v>
      </c>
      <c r="L15" s="34"/>
      <c r="N15" s="28" t="s">
        <v>24</v>
      </c>
      <c r="O15" s="34"/>
    </row>
    <row r="16" spans="2:15" x14ac:dyDescent="0.35">
      <c r="B16" s="29" t="s">
        <v>25</v>
      </c>
      <c r="C16" s="35"/>
      <c r="E16" s="29" t="s">
        <v>25</v>
      </c>
      <c r="F16" s="35"/>
      <c r="H16" s="29" t="s">
        <v>25</v>
      </c>
      <c r="I16" s="35"/>
      <c r="K16" s="29" t="s">
        <v>25</v>
      </c>
      <c r="L16" s="35"/>
      <c r="N16" s="29" t="s">
        <v>25</v>
      </c>
      <c r="O16" s="35"/>
    </row>
    <row r="17" spans="2:15" x14ac:dyDescent="0.35">
      <c r="B17" s="28" t="s">
        <v>27</v>
      </c>
      <c r="C17" s="36"/>
      <c r="E17" s="28" t="s">
        <v>27</v>
      </c>
      <c r="F17" s="36"/>
      <c r="H17" s="28" t="s">
        <v>27</v>
      </c>
      <c r="I17" s="36"/>
      <c r="K17" s="28" t="s">
        <v>27</v>
      </c>
      <c r="L17" s="36"/>
      <c r="N17" s="28" t="s">
        <v>27</v>
      </c>
      <c r="O17" s="36"/>
    </row>
    <row r="18" spans="2:15" x14ac:dyDescent="0.35">
      <c r="B18" s="29" t="s">
        <v>28</v>
      </c>
      <c r="C18" s="35"/>
      <c r="E18" s="29" t="s">
        <v>28</v>
      </c>
      <c r="F18" s="35"/>
      <c r="H18" s="29" t="s">
        <v>28</v>
      </c>
      <c r="I18" s="35"/>
      <c r="K18" s="29" t="s">
        <v>28</v>
      </c>
      <c r="L18" s="35"/>
      <c r="N18" s="29" t="s">
        <v>28</v>
      </c>
      <c r="O18" s="35"/>
    </row>
    <row r="19" spans="2:15" x14ac:dyDescent="0.35">
      <c r="B19" s="31" t="s">
        <v>29</v>
      </c>
      <c r="C19" s="39"/>
      <c r="E19" s="31" t="s">
        <v>29</v>
      </c>
      <c r="F19" s="39"/>
      <c r="H19" s="31" t="s">
        <v>29</v>
      </c>
      <c r="I19" s="39"/>
      <c r="K19" s="31" t="s">
        <v>29</v>
      </c>
      <c r="L19" s="39"/>
      <c r="N19" s="31" t="s">
        <v>29</v>
      </c>
      <c r="O19" s="39"/>
    </row>
    <row r="20" spans="2:15" x14ac:dyDescent="0.35">
      <c r="B20" s="32"/>
      <c r="C20" s="38"/>
      <c r="E20" s="32"/>
      <c r="F20" s="38"/>
      <c r="H20" s="32"/>
      <c r="I20" s="38"/>
      <c r="K20" s="32"/>
      <c r="L20" s="38"/>
      <c r="N20" s="32"/>
      <c r="O20" s="38"/>
    </row>
    <row r="21" spans="2:15" x14ac:dyDescent="0.35">
      <c r="B21" s="60" t="s">
        <v>30</v>
      </c>
      <c r="C21" s="62"/>
      <c r="E21" s="60" t="s">
        <v>30</v>
      </c>
      <c r="F21" s="62"/>
      <c r="H21" s="60" t="s">
        <v>30</v>
      </c>
      <c r="I21" s="62"/>
      <c r="K21" s="60" t="s">
        <v>30</v>
      </c>
      <c r="L21" s="62"/>
      <c r="N21" s="60" t="s">
        <v>30</v>
      </c>
      <c r="O21" s="62"/>
    </row>
    <row r="22" spans="2:15" x14ac:dyDescent="0.35">
      <c r="B22" s="98"/>
      <c r="C22" s="99"/>
      <c r="E22" s="98"/>
      <c r="F22" s="99"/>
      <c r="H22" s="98"/>
      <c r="I22" s="99"/>
      <c r="K22" s="98"/>
      <c r="L22" s="99"/>
      <c r="N22" s="98"/>
      <c r="O22" s="99"/>
    </row>
    <row r="23" spans="2:15" x14ac:dyDescent="0.35">
      <c r="B23" s="57"/>
      <c r="C23" s="59"/>
      <c r="E23" s="57"/>
      <c r="F23" s="59"/>
      <c r="H23" s="57"/>
      <c r="I23" s="59"/>
      <c r="K23" s="57"/>
      <c r="L23" s="59"/>
      <c r="N23" s="57"/>
      <c r="O23" s="59"/>
    </row>
    <row r="24" spans="2:15" x14ac:dyDescent="0.35">
      <c r="B24" s="63"/>
      <c r="C24" s="65"/>
      <c r="E24" s="63"/>
      <c r="F24" s="65"/>
      <c r="H24" s="63"/>
      <c r="I24" s="65"/>
      <c r="K24" s="63"/>
      <c r="L24" s="65"/>
      <c r="N24" s="63"/>
      <c r="O24" s="65"/>
    </row>
    <row r="25" spans="2:15" x14ac:dyDescent="0.35">
      <c r="B25" s="57"/>
      <c r="C25" s="59"/>
      <c r="E25" s="57"/>
      <c r="F25" s="59"/>
      <c r="H25" s="57"/>
      <c r="I25" s="59"/>
      <c r="K25" s="57"/>
      <c r="L25" s="59"/>
      <c r="N25" s="57"/>
      <c r="O25" s="59"/>
    </row>
    <row r="26" spans="2:15" x14ac:dyDescent="0.35">
      <c r="B26" s="63"/>
      <c r="C26" s="65"/>
      <c r="E26" s="63"/>
      <c r="F26" s="65"/>
      <c r="H26" s="63"/>
      <c r="I26" s="65"/>
      <c r="K26" s="63"/>
      <c r="L26" s="65"/>
      <c r="N26" s="63"/>
      <c r="O26" s="65"/>
    </row>
    <row r="27" spans="2:15" x14ac:dyDescent="0.35">
      <c r="B27" s="57"/>
      <c r="C27" s="59"/>
      <c r="E27" s="57"/>
      <c r="F27" s="59"/>
      <c r="H27" s="57"/>
      <c r="I27" s="59"/>
      <c r="K27" s="57"/>
      <c r="L27" s="59"/>
      <c r="N27" s="57"/>
      <c r="O27" s="59"/>
    </row>
    <row r="28" spans="2:15" x14ac:dyDescent="0.35">
      <c r="B28" s="63"/>
      <c r="C28" s="65"/>
      <c r="E28" s="63"/>
      <c r="F28" s="65"/>
      <c r="H28" s="63"/>
      <c r="I28" s="65"/>
      <c r="K28" s="63"/>
      <c r="L28" s="65"/>
      <c r="N28" s="63"/>
      <c r="O28" s="65"/>
    </row>
    <row r="29" spans="2:15" x14ac:dyDescent="0.35">
      <c r="B29" s="57"/>
      <c r="C29" s="59"/>
      <c r="E29" s="57"/>
      <c r="F29" s="59"/>
      <c r="H29" s="57"/>
      <c r="I29" s="59"/>
      <c r="K29" s="57"/>
      <c r="L29" s="59"/>
      <c r="N29" s="57"/>
      <c r="O29" s="59"/>
    </row>
    <row r="30" spans="2:15" x14ac:dyDescent="0.35">
      <c r="B30" s="63"/>
      <c r="C30" s="65"/>
      <c r="E30" s="63"/>
      <c r="F30" s="65"/>
      <c r="H30" s="63"/>
      <c r="I30" s="65"/>
      <c r="K30" s="63"/>
      <c r="L30" s="65"/>
      <c r="N30" s="63"/>
      <c r="O30" s="65"/>
    </row>
    <row r="31" spans="2:15" x14ac:dyDescent="0.35">
      <c r="B31" s="96"/>
      <c r="C31" s="97"/>
      <c r="E31" s="96"/>
      <c r="F31" s="97"/>
      <c r="H31" s="96"/>
      <c r="I31" s="97"/>
      <c r="K31" s="96"/>
      <c r="L31" s="97"/>
      <c r="N31" s="96"/>
      <c r="O31" s="97"/>
    </row>
    <row r="32" spans="2:15" x14ac:dyDescent="0.35">
      <c r="B32" s="32"/>
      <c r="C32" s="38"/>
      <c r="E32" s="32"/>
      <c r="F32" s="38"/>
      <c r="H32" s="32"/>
      <c r="I32" s="38"/>
      <c r="K32" s="32"/>
      <c r="L32" s="38"/>
      <c r="N32" s="32"/>
      <c r="O32" s="38"/>
    </row>
    <row r="33" spans="2:15" x14ac:dyDescent="0.35">
      <c r="B33" s="70" t="s">
        <v>543</v>
      </c>
      <c r="C33" s="72"/>
      <c r="E33" s="70" t="s">
        <v>543</v>
      </c>
      <c r="F33" s="72"/>
      <c r="H33" s="70" t="s">
        <v>543</v>
      </c>
      <c r="I33" s="72"/>
      <c r="K33" s="70" t="s">
        <v>543</v>
      </c>
      <c r="L33" s="72"/>
      <c r="N33" s="70" t="s">
        <v>543</v>
      </c>
      <c r="O33" s="72"/>
    </row>
    <row r="34" spans="2:15" x14ac:dyDescent="0.35">
      <c r="B34" s="27"/>
      <c r="C34" s="40">
        <v>0.01</v>
      </c>
      <c r="E34" s="27"/>
      <c r="F34" s="40"/>
      <c r="H34" s="27"/>
      <c r="I34" s="40"/>
      <c r="K34" s="27"/>
      <c r="L34" s="40"/>
      <c r="N34" s="27"/>
      <c r="O34" s="40"/>
    </row>
    <row r="35" spans="2:15" x14ac:dyDescent="0.35">
      <c r="B35" s="28"/>
      <c r="C35" s="41">
        <v>0.02</v>
      </c>
      <c r="E35" s="28"/>
      <c r="F35" s="41"/>
      <c r="H35" s="28"/>
      <c r="I35" s="41"/>
      <c r="K35" s="28"/>
      <c r="L35" s="41"/>
      <c r="N35" s="28"/>
      <c r="O35" s="41"/>
    </row>
    <row r="36" spans="2:15" x14ac:dyDescent="0.35">
      <c r="B36" s="29"/>
      <c r="C36" s="42">
        <v>0.03</v>
      </c>
      <c r="E36" s="29"/>
      <c r="F36" s="42"/>
      <c r="H36" s="29"/>
      <c r="I36" s="42"/>
      <c r="K36" s="29"/>
      <c r="L36" s="42"/>
      <c r="N36" s="29"/>
      <c r="O36" s="42"/>
    </row>
    <row r="37" spans="2:15" x14ac:dyDescent="0.35">
      <c r="B37" s="28"/>
      <c r="C37" s="41">
        <v>0.04</v>
      </c>
      <c r="E37" s="28"/>
      <c r="F37" s="41"/>
      <c r="H37" s="28"/>
      <c r="I37" s="41"/>
      <c r="K37" s="28"/>
      <c r="L37" s="41"/>
      <c r="N37" s="28"/>
      <c r="O37" s="41"/>
    </row>
    <row r="38" spans="2:15" x14ac:dyDescent="0.35">
      <c r="B38" s="29"/>
      <c r="C38" s="42">
        <v>0.05</v>
      </c>
      <c r="E38" s="29"/>
      <c r="F38" s="42"/>
      <c r="H38" s="29"/>
      <c r="I38" s="42"/>
      <c r="K38" s="29"/>
      <c r="L38" s="42"/>
      <c r="N38" s="29"/>
      <c r="O38" s="42"/>
    </row>
    <row r="39" spans="2:15" x14ac:dyDescent="0.35">
      <c r="B39" s="28"/>
      <c r="C39" s="41">
        <v>0.06</v>
      </c>
      <c r="E39" s="28"/>
      <c r="F39" s="41"/>
      <c r="H39" s="28"/>
      <c r="I39" s="41"/>
      <c r="K39" s="28"/>
      <c r="L39" s="41"/>
      <c r="N39" s="28"/>
      <c r="O39" s="41"/>
    </row>
    <row r="40" spans="2:15" x14ac:dyDescent="0.35">
      <c r="B40" s="29"/>
      <c r="C40" s="42">
        <v>7.0000000000000007E-2</v>
      </c>
      <c r="E40" s="29"/>
      <c r="F40" s="42"/>
      <c r="H40" s="29"/>
      <c r="I40" s="42"/>
      <c r="K40" s="29"/>
      <c r="L40" s="42"/>
      <c r="N40" s="29"/>
      <c r="O40" s="42"/>
    </row>
    <row r="41" spans="2:15" x14ac:dyDescent="0.35">
      <c r="B41" s="28"/>
      <c r="C41" s="41">
        <v>0.08</v>
      </c>
      <c r="E41" s="28"/>
      <c r="F41" s="41"/>
      <c r="H41" s="28"/>
      <c r="I41" s="41"/>
      <c r="K41" s="28"/>
      <c r="L41" s="41"/>
      <c r="N41" s="28"/>
      <c r="O41" s="41"/>
    </row>
    <row r="42" spans="2:15" x14ac:dyDescent="0.35">
      <c r="B42" s="29"/>
      <c r="C42" s="42">
        <v>0.09</v>
      </c>
      <c r="E42" s="29"/>
      <c r="F42" s="42"/>
      <c r="H42" s="29"/>
      <c r="I42" s="42"/>
      <c r="K42" s="29"/>
      <c r="L42" s="42"/>
      <c r="N42" s="29"/>
      <c r="O42" s="42"/>
    </row>
    <row r="43" spans="2:15" x14ac:dyDescent="0.35">
      <c r="B43" s="28"/>
      <c r="C43" s="41">
        <v>0.1</v>
      </c>
      <c r="E43" s="28"/>
      <c r="F43" s="41"/>
      <c r="H43" s="28"/>
      <c r="I43" s="41"/>
      <c r="K43" s="28"/>
      <c r="L43" s="41"/>
      <c r="N43" s="28"/>
      <c r="O43" s="41"/>
    </row>
    <row r="44" spans="2:15" x14ac:dyDescent="0.35">
      <c r="B44" s="29"/>
      <c r="C44" s="42">
        <v>0.11</v>
      </c>
      <c r="E44" s="29"/>
      <c r="F44" s="42"/>
      <c r="H44" s="29"/>
      <c r="I44" s="42"/>
      <c r="K44" s="29"/>
      <c r="L44" s="42"/>
      <c r="N44" s="29"/>
      <c r="O44" s="42"/>
    </row>
    <row r="45" spans="2:15" x14ac:dyDescent="0.35">
      <c r="B45" s="28"/>
      <c r="C45" s="41">
        <v>0.12</v>
      </c>
      <c r="E45" s="28"/>
      <c r="F45" s="41"/>
      <c r="H45" s="28"/>
      <c r="I45" s="41"/>
      <c r="K45" s="28"/>
      <c r="L45" s="41"/>
      <c r="N45" s="28"/>
      <c r="O45" s="41"/>
    </row>
    <row r="46" spans="2:15" x14ac:dyDescent="0.35">
      <c r="B46" s="29"/>
      <c r="C46" s="42">
        <v>0.13</v>
      </c>
      <c r="E46" s="29"/>
      <c r="F46" s="42"/>
      <c r="H46" s="29"/>
      <c r="I46" s="42"/>
      <c r="K46" s="29"/>
      <c r="L46" s="42"/>
      <c r="N46" s="29"/>
      <c r="O46" s="42"/>
    </row>
    <row r="47" spans="2:15" x14ac:dyDescent="0.35">
      <c r="B47" s="28"/>
      <c r="C47" s="41">
        <v>0.14000000000000001</v>
      </c>
      <c r="E47" s="28"/>
      <c r="F47" s="41"/>
      <c r="H47" s="28"/>
      <c r="I47" s="41"/>
      <c r="K47" s="28"/>
      <c r="L47" s="41"/>
      <c r="N47" s="28"/>
      <c r="O47" s="41"/>
    </row>
    <row r="48" spans="2:15" x14ac:dyDescent="0.35">
      <c r="B48" s="29"/>
      <c r="C48" s="42">
        <v>0.15</v>
      </c>
      <c r="E48" s="29"/>
      <c r="F48" s="42"/>
      <c r="H48" s="29"/>
      <c r="I48" s="42"/>
      <c r="K48" s="29"/>
      <c r="L48" s="42"/>
      <c r="N48" s="29"/>
      <c r="O48" s="42"/>
    </row>
    <row r="49" spans="2:15" x14ac:dyDescent="0.35">
      <c r="B49" s="28"/>
      <c r="C49" s="41"/>
      <c r="E49" s="28"/>
      <c r="F49" s="41"/>
      <c r="H49" s="28"/>
      <c r="I49" s="41"/>
      <c r="K49" s="28"/>
      <c r="L49" s="41"/>
      <c r="N49" s="28"/>
      <c r="O49" s="41"/>
    </row>
    <row r="50" spans="2:15" x14ac:dyDescent="0.35">
      <c r="B50" s="29"/>
      <c r="C50" s="42"/>
      <c r="E50" s="29"/>
      <c r="F50" s="42"/>
      <c r="H50" s="29"/>
      <c r="I50" s="42"/>
      <c r="K50" s="29"/>
      <c r="L50" s="42"/>
      <c r="N50" s="29"/>
      <c r="O50" s="42"/>
    </row>
    <row r="51" spans="2:15" x14ac:dyDescent="0.35">
      <c r="B51" s="28"/>
      <c r="C51" s="41"/>
      <c r="E51" s="28"/>
      <c r="F51" s="41"/>
      <c r="H51" s="28"/>
      <c r="I51" s="41"/>
      <c r="K51" s="28"/>
      <c r="L51" s="41"/>
      <c r="N51" s="28"/>
      <c r="O51" s="41"/>
    </row>
    <row r="52" spans="2:15" x14ac:dyDescent="0.35">
      <c r="B52" s="29"/>
      <c r="C52" s="42"/>
      <c r="E52" s="29"/>
      <c r="F52" s="42"/>
      <c r="H52" s="29"/>
      <c r="I52" s="42"/>
      <c r="K52" s="29"/>
      <c r="L52" s="42"/>
      <c r="N52" s="29"/>
      <c r="O52" s="42"/>
    </row>
    <row r="53" spans="2:15" x14ac:dyDescent="0.35">
      <c r="B53" s="28"/>
      <c r="C53" s="41"/>
      <c r="E53" s="28"/>
      <c r="F53" s="41"/>
      <c r="H53" s="28"/>
      <c r="I53" s="41"/>
      <c r="K53" s="28"/>
      <c r="L53" s="41"/>
      <c r="N53" s="28"/>
      <c r="O53" s="41"/>
    </row>
    <row r="54" spans="2:15" x14ac:dyDescent="0.35">
      <c r="B54" s="29"/>
      <c r="C54" s="42"/>
      <c r="E54" s="29"/>
      <c r="F54" s="42"/>
      <c r="H54" s="29"/>
      <c r="I54" s="42"/>
      <c r="K54" s="29"/>
      <c r="L54" s="42"/>
      <c r="N54" s="29"/>
      <c r="O54" s="42"/>
    </row>
    <row r="55" spans="2:15" x14ac:dyDescent="0.35">
      <c r="B55" s="28"/>
      <c r="C55" s="41"/>
      <c r="E55" s="28"/>
      <c r="F55" s="41"/>
      <c r="H55" s="28"/>
      <c r="I55" s="41"/>
      <c r="K55" s="28"/>
      <c r="L55" s="41"/>
      <c r="N55" s="28"/>
      <c r="O55" s="41"/>
    </row>
    <row r="56" spans="2:15" x14ac:dyDescent="0.35">
      <c r="B56" s="29"/>
      <c r="C56" s="42"/>
      <c r="E56" s="29"/>
      <c r="F56" s="42"/>
      <c r="H56" s="29"/>
      <c r="I56" s="42"/>
      <c r="K56" s="29"/>
      <c r="L56" s="42"/>
      <c r="N56" s="29"/>
      <c r="O56" s="42"/>
    </row>
    <row r="57" spans="2:15" x14ac:dyDescent="0.35">
      <c r="B57" s="28"/>
      <c r="C57" s="41"/>
      <c r="E57" s="28"/>
      <c r="F57" s="41"/>
      <c r="H57" s="28"/>
      <c r="I57" s="41"/>
      <c r="K57" s="28"/>
      <c r="L57" s="41"/>
      <c r="N57" s="28"/>
      <c r="O57" s="41"/>
    </row>
    <row r="58" spans="2:15" x14ac:dyDescent="0.35">
      <c r="B58" s="29"/>
      <c r="C58" s="42"/>
      <c r="E58" s="29"/>
      <c r="F58" s="42"/>
      <c r="H58" s="29"/>
      <c r="I58" s="42"/>
      <c r="K58" s="29"/>
      <c r="L58" s="42"/>
      <c r="N58" s="29"/>
      <c r="O58" s="42"/>
    </row>
    <row r="59" spans="2:15" x14ac:dyDescent="0.35">
      <c r="B59" s="28"/>
      <c r="C59" s="41"/>
      <c r="E59" s="28"/>
      <c r="F59" s="41"/>
      <c r="H59" s="28"/>
      <c r="I59" s="41"/>
      <c r="K59" s="28"/>
      <c r="L59" s="41"/>
      <c r="N59" s="28"/>
      <c r="O59" s="41"/>
    </row>
    <row r="60" spans="2:15" x14ac:dyDescent="0.35">
      <c r="B60" s="29"/>
      <c r="C60" s="42"/>
      <c r="E60" s="29"/>
      <c r="F60" s="42"/>
      <c r="H60" s="29"/>
      <c r="I60" s="42"/>
      <c r="K60" s="29"/>
      <c r="L60" s="42"/>
      <c r="N60" s="29"/>
      <c r="O60" s="42"/>
    </row>
    <row r="61" spans="2:15" x14ac:dyDescent="0.35">
      <c r="B61" s="28"/>
      <c r="C61" s="41"/>
      <c r="E61" s="28"/>
      <c r="F61" s="41"/>
      <c r="H61" s="28"/>
      <c r="I61" s="41"/>
      <c r="K61" s="28"/>
      <c r="L61" s="41"/>
      <c r="N61" s="28"/>
      <c r="O61" s="41"/>
    </row>
    <row r="62" spans="2:15" x14ac:dyDescent="0.35">
      <c r="B62" s="29"/>
      <c r="C62" s="42"/>
      <c r="E62" s="29"/>
      <c r="F62" s="42"/>
      <c r="H62" s="29"/>
      <c r="I62" s="42"/>
      <c r="K62" s="29"/>
      <c r="L62" s="42"/>
      <c r="N62" s="29"/>
      <c r="O62" s="42"/>
    </row>
    <row r="63" spans="2:15" x14ac:dyDescent="0.35">
      <c r="B63" s="28"/>
      <c r="C63" s="41"/>
      <c r="E63" s="28"/>
      <c r="F63" s="41"/>
      <c r="H63" s="28"/>
      <c r="I63" s="41"/>
      <c r="K63" s="28"/>
      <c r="L63" s="41"/>
      <c r="N63" s="28"/>
      <c r="O63" s="41"/>
    </row>
    <row r="64" spans="2:15" x14ac:dyDescent="0.35">
      <c r="B64" s="29"/>
      <c r="C64" s="42"/>
      <c r="E64" s="29"/>
      <c r="F64" s="42"/>
      <c r="H64" s="29"/>
      <c r="I64" s="42"/>
      <c r="K64" s="29"/>
      <c r="L64" s="42"/>
      <c r="N64" s="29"/>
      <c r="O64" s="42"/>
    </row>
    <row r="65" spans="2:15" x14ac:dyDescent="0.35">
      <c r="B65" s="28"/>
      <c r="C65" s="41"/>
      <c r="E65" s="28"/>
      <c r="F65" s="41"/>
      <c r="H65" s="28"/>
      <c r="I65" s="41"/>
      <c r="K65" s="28"/>
      <c r="L65" s="41"/>
      <c r="N65" s="28"/>
      <c r="O65" s="41"/>
    </row>
    <row r="66" spans="2:15" x14ac:dyDescent="0.35">
      <c r="B66" s="29"/>
      <c r="C66" s="42"/>
      <c r="E66" s="29"/>
      <c r="F66" s="42"/>
      <c r="H66" s="29"/>
      <c r="I66" s="42"/>
      <c r="K66" s="29"/>
      <c r="L66" s="42"/>
      <c r="N66" s="29"/>
      <c r="O66" s="42"/>
    </row>
    <row r="67" spans="2:15" x14ac:dyDescent="0.35">
      <c r="B67" s="28"/>
      <c r="C67" s="41"/>
      <c r="E67" s="28"/>
      <c r="F67" s="41"/>
      <c r="H67" s="28"/>
      <c r="I67" s="41"/>
      <c r="K67" s="28"/>
      <c r="L67" s="41"/>
      <c r="N67" s="28"/>
      <c r="O67" s="41"/>
    </row>
    <row r="68" spans="2:15" x14ac:dyDescent="0.35">
      <c r="B68" s="29"/>
      <c r="C68" s="42"/>
      <c r="E68" s="29"/>
      <c r="F68" s="42"/>
      <c r="H68" s="29"/>
      <c r="I68" s="42"/>
      <c r="K68" s="29"/>
      <c r="L68" s="42"/>
      <c r="N68" s="29"/>
      <c r="O68" s="42"/>
    </row>
    <row r="69" spans="2:15" x14ac:dyDescent="0.35">
      <c r="B69" s="28"/>
      <c r="C69" s="41"/>
      <c r="E69" s="28"/>
      <c r="F69" s="41"/>
      <c r="H69" s="28"/>
      <c r="I69" s="41"/>
      <c r="K69" s="28"/>
      <c r="L69" s="41"/>
      <c r="N69" s="28"/>
      <c r="O69" s="41"/>
    </row>
    <row r="70" spans="2:15" x14ac:dyDescent="0.35">
      <c r="B70" s="29"/>
      <c r="C70" s="42"/>
      <c r="E70" s="29"/>
      <c r="F70" s="42"/>
      <c r="H70" s="29"/>
      <c r="I70" s="42"/>
      <c r="K70" s="29"/>
      <c r="L70" s="42"/>
      <c r="N70" s="29"/>
      <c r="O70" s="42"/>
    </row>
    <row r="71" spans="2:15" x14ac:dyDescent="0.35">
      <c r="B71" s="28"/>
      <c r="C71" s="41"/>
      <c r="E71" s="28"/>
      <c r="F71" s="41"/>
      <c r="H71" s="28"/>
      <c r="I71" s="41"/>
      <c r="K71" s="28"/>
      <c r="L71" s="41"/>
      <c r="N71" s="28"/>
      <c r="O71" s="41"/>
    </row>
    <row r="72" spans="2:15" x14ac:dyDescent="0.35">
      <c r="B72" s="29"/>
      <c r="C72" s="42"/>
      <c r="E72" s="29"/>
      <c r="F72" s="42"/>
      <c r="H72" s="29"/>
      <c r="I72" s="42"/>
      <c r="K72" s="29"/>
      <c r="L72" s="42"/>
      <c r="N72" s="29"/>
      <c r="O72" s="42"/>
    </row>
    <row r="73" spans="2:15" x14ac:dyDescent="0.35">
      <c r="B73" s="28"/>
      <c r="C73" s="41"/>
      <c r="E73" s="28"/>
      <c r="F73" s="41"/>
      <c r="H73" s="28"/>
      <c r="I73" s="41"/>
      <c r="K73" s="28"/>
      <c r="L73" s="41"/>
      <c r="N73" s="28"/>
      <c r="O73" s="41"/>
    </row>
    <row r="74" spans="2:15" x14ac:dyDescent="0.35">
      <c r="B74" s="29"/>
      <c r="C74" s="42"/>
      <c r="E74" s="29"/>
      <c r="F74" s="42"/>
      <c r="H74" s="29"/>
      <c r="I74" s="42"/>
      <c r="K74" s="29"/>
      <c r="L74" s="42"/>
      <c r="N74" s="29"/>
      <c r="O74" s="42"/>
    </row>
    <row r="75" spans="2:15" x14ac:dyDescent="0.35">
      <c r="B75" s="28"/>
      <c r="C75" s="41"/>
      <c r="E75" s="28"/>
      <c r="F75" s="41"/>
      <c r="H75" s="28"/>
      <c r="I75" s="41"/>
      <c r="K75" s="28"/>
      <c r="L75" s="41"/>
      <c r="N75" s="28"/>
      <c r="O75" s="41"/>
    </row>
    <row r="76" spans="2:15" x14ac:dyDescent="0.35">
      <c r="B76" s="29"/>
      <c r="C76" s="42"/>
      <c r="E76" s="29"/>
      <c r="F76" s="42"/>
      <c r="H76" s="29"/>
      <c r="I76" s="42"/>
      <c r="K76" s="29"/>
      <c r="L76" s="42"/>
      <c r="N76" s="29"/>
      <c r="O76" s="42"/>
    </row>
    <row r="77" spans="2:15" x14ac:dyDescent="0.35">
      <c r="B77" s="28"/>
      <c r="C77" s="41"/>
      <c r="E77" s="28"/>
      <c r="F77" s="41"/>
      <c r="H77" s="28"/>
      <c r="I77" s="41"/>
      <c r="K77" s="28"/>
      <c r="L77" s="41"/>
      <c r="N77" s="28"/>
      <c r="O77" s="41"/>
    </row>
    <row r="78" spans="2:15" x14ac:dyDescent="0.35">
      <c r="B78" s="29"/>
      <c r="C78" s="42"/>
      <c r="E78" s="29"/>
      <c r="F78" s="42"/>
      <c r="H78" s="29"/>
      <c r="I78" s="42"/>
      <c r="K78" s="29"/>
      <c r="L78" s="42"/>
      <c r="N78" s="29"/>
      <c r="O78" s="42"/>
    </row>
    <row r="79" spans="2:15" x14ac:dyDescent="0.35">
      <c r="B79" s="28"/>
      <c r="C79" s="41"/>
      <c r="E79" s="28"/>
      <c r="F79" s="41"/>
      <c r="H79" s="28"/>
      <c r="I79" s="41"/>
      <c r="K79" s="28"/>
      <c r="L79" s="41"/>
      <c r="N79" s="28"/>
      <c r="O79" s="41"/>
    </row>
    <row r="80" spans="2:15" x14ac:dyDescent="0.35">
      <c r="B80" s="29"/>
      <c r="C80" s="42"/>
      <c r="E80" s="29"/>
      <c r="F80" s="42"/>
      <c r="H80" s="29"/>
      <c r="I80" s="42"/>
      <c r="K80" s="29"/>
      <c r="L80" s="42"/>
      <c r="N80" s="29"/>
      <c r="O80" s="42"/>
    </row>
    <row r="81" spans="2:15" x14ac:dyDescent="0.35">
      <c r="B81" s="28"/>
      <c r="C81" s="41"/>
      <c r="E81" s="28"/>
      <c r="F81" s="41"/>
      <c r="H81" s="28"/>
      <c r="I81" s="41"/>
      <c r="K81" s="28"/>
      <c r="L81" s="41"/>
      <c r="N81" s="28"/>
      <c r="O81" s="41"/>
    </row>
    <row r="82" spans="2:15" x14ac:dyDescent="0.35">
      <c r="B82" s="29"/>
      <c r="C82" s="42"/>
      <c r="E82" s="29"/>
      <c r="F82" s="42"/>
      <c r="H82" s="29"/>
      <c r="I82" s="42"/>
      <c r="K82" s="29"/>
      <c r="L82" s="42"/>
      <c r="N82" s="29"/>
      <c r="O82" s="42"/>
    </row>
    <row r="83" spans="2:15" x14ac:dyDescent="0.35">
      <c r="B83" s="28"/>
      <c r="C83" s="41"/>
      <c r="E83" s="28"/>
      <c r="F83" s="41"/>
      <c r="H83" s="28"/>
      <c r="I83" s="41"/>
      <c r="K83" s="28"/>
      <c r="L83" s="41"/>
      <c r="N83" s="28"/>
      <c r="O83" s="41"/>
    </row>
    <row r="84" spans="2:15" x14ac:dyDescent="0.35">
      <c r="B84" s="29"/>
      <c r="C84" s="42"/>
      <c r="E84" s="29"/>
      <c r="F84" s="42"/>
      <c r="H84" s="29"/>
      <c r="I84" s="42"/>
      <c r="K84" s="29"/>
      <c r="L84" s="42"/>
      <c r="N84" s="29"/>
      <c r="O84" s="42"/>
    </row>
    <row r="85" spans="2:15" x14ac:dyDescent="0.35">
      <c r="B85" s="28"/>
      <c r="C85" s="41"/>
      <c r="E85" s="28"/>
      <c r="F85" s="41"/>
      <c r="H85" s="28"/>
      <c r="I85" s="41"/>
      <c r="K85" s="28"/>
      <c r="L85" s="41"/>
      <c r="N85" s="28"/>
      <c r="O85" s="41"/>
    </row>
    <row r="86" spans="2:15" x14ac:dyDescent="0.35">
      <c r="B86" s="29"/>
      <c r="C86" s="42"/>
      <c r="E86" s="29"/>
      <c r="F86" s="42"/>
      <c r="H86" s="29"/>
      <c r="I86" s="42"/>
      <c r="K86" s="29"/>
      <c r="L86" s="42"/>
      <c r="N86" s="29"/>
      <c r="O86" s="42"/>
    </row>
    <row r="87" spans="2:15" x14ac:dyDescent="0.35">
      <c r="B87" s="28"/>
      <c r="C87" s="41"/>
      <c r="E87" s="28"/>
      <c r="F87" s="41"/>
      <c r="H87" s="28"/>
      <c r="I87" s="41"/>
      <c r="K87" s="28"/>
      <c r="L87" s="41"/>
      <c r="N87" s="28"/>
      <c r="O87" s="41"/>
    </row>
    <row r="88" spans="2:15" x14ac:dyDescent="0.35">
      <c r="B88" s="29"/>
      <c r="C88" s="42"/>
      <c r="E88" s="29"/>
      <c r="F88" s="42"/>
      <c r="H88" s="29"/>
      <c r="I88" s="42"/>
      <c r="K88" s="29"/>
      <c r="L88" s="42"/>
      <c r="N88" s="29"/>
      <c r="O88" s="42"/>
    </row>
    <row r="89" spans="2:15" x14ac:dyDescent="0.35">
      <c r="B89" s="28"/>
      <c r="C89" s="41"/>
      <c r="E89" s="28"/>
      <c r="F89" s="41"/>
      <c r="H89" s="28"/>
      <c r="I89" s="41"/>
      <c r="K89" s="28"/>
      <c r="L89" s="41"/>
      <c r="N89" s="28"/>
      <c r="O89" s="41"/>
    </row>
    <row r="90" spans="2:15" x14ac:dyDescent="0.35">
      <c r="B90" s="29"/>
      <c r="C90" s="42"/>
      <c r="E90" s="29"/>
      <c r="F90" s="42"/>
      <c r="H90" s="29"/>
      <c r="I90" s="42"/>
      <c r="K90" s="29"/>
      <c r="L90" s="42"/>
      <c r="N90" s="29"/>
      <c r="O90" s="42"/>
    </row>
    <row r="91" spans="2:15" x14ac:dyDescent="0.35">
      <c r="B91" s="28"/>
      <c r="C91" s="41"/>
      <c r="E91" s="28"/>
      <c r="F91" s="41"/>
      <c r="H91" s="28"/>
      <c r="I91" s="41"/>
      <c r="K91" s="28"/>
      <c r="L91" s="41"/>
      <c r="N91" s="28"/>
      <c r="O91" s="41"/>
    </row>
    <row r="92" spans="2:15" x14ac:dyDescent="0.35">
      <c r="B92" s="29"/>
      <c r="C92" s="42"/>
      <c r="E92" s="29"/>
      <c r="F92" s="42"/>
      <c r="H92" s="29"/>
      <c r="I92" s="42"/>
      <c r="K92" s="29"/>
      <c r="L92" s="42"/>
      <c r="N92" s="29"/>
      <c r="O92" s="42"/>
    </row>
    <row r="93" spans="2:15" x14ac:dyDescent="0.35">
      <c r="B93" s="28"/>
      <c r="C93" s="41"/>
      <c r="E93" s="28"/>
      <c r="F93" s="41"/>
      <c r="H93" s="28"/>
      <c r="I93" s="41"/>
      <c r="K93" s="28"/>
      <c r="L93" s="41"/>
      <c r="N93" s="28"/>
      <c r="O93" s="41"/>
    </row>
    <row r="94" spans="2:15" x14ac:dyDescent="0.35">
      <c r="B94" s="29"/>
      <c r="C94" s="42"/>
      <c r="E94" s="29"/>
      <c r="F94" s="42"/>
      <c r="H94" s="29"/>
      <c r="I94" s="42"/>
      <c r="K94" s="29"/>
      <c r="L94" s="42"/>
      <c r="N94" s="29"/>
      <c r="O94" s="42"/>
    </row>
    <row r="95" spans="2:15" x14ac:dyDescent="0.35">
      <c r="B95" s="28"/>
      <c r="C95" s="41"/>
      <c r="E95" s="28"/>
      <c r="F95" s="41"/>
      <c r="H95" s="28"/>
      <c r="I95" s="41"/>
      <c r="K95" s="28"/>
      <c r="L95" s="41"/>
      <c r="N95" s="28"/>
      <c r="O95" s="41"/>
    </row>
    <row r="96" spans="2:15" x14ac:dyDescent="0.35">
      <c r="B96" s="29"/>
      <c r="C96" s="42"/>
      <c r="E96" s="29"/>
      <c r="F96" s="42"/>
      <c r="H96" s="29"/>
      <c r="I96" s="42"/>
      <c r="K96" s="29"/>
      <c r="L96" s="42"/>
      <c r="N96" s="29"/>
      <c r="O96" s="42"/>
    </row>
    <row r="97" spans="2:15" x14ac:dyDescent="0.35">
      <c r="B97" s="28"/>
      <c r="C97" s="41"/>
      <c r="E97" s="28"/>
      <c r="F97" s="41"/>
      <c r="H97" s="28"/>
      <c r="I97" s="41"/>
      <c r="K97" s="28"/>
      <c r="L97" s="41"/>
      <c r="N97" s="28"/>
      <c r="O97" s="41"/>
    </row>
    <row r="98" spans="2:15" x14ac:dyDescent="0.35">
      <c r="B98" s="29"/>
      <c r="C98" s="42"/>
      <c r="E98" s="29"/>
      <c r="F98" s="42"/>
      <c r="H98" s="29"/>
      <c r="I98" s="42"/>
      <c r="K98" s="29"/>
      <c r="L98" s="42"/>
      <c r="N98" s="29"/>
      <c r="O98" s="42"/>
    </row>
    <row r="99" spans="2:15" x14ac:dyDescent="0.35">
      <c r="B99" s="28"/>
      <c r="C99" s="41"/>
      <c r="E99" s="28"/>
      <c r="F99" s="41"/>
      <c r="H99" s="28"/>
      <c r="I99" s="41"/>
      <c r="K99" s="28"/>
      <c r="L99" s="41"/>
      <c r="N99" s="28"/>
      <c r="O99" s="41"/>
    </row>
    <row r="100" spans="2:15" x14ac:dyDescent="0.35">
      <c r="B100" s="29"/>
      <c r="C100" s="42"/>
      <c r="E100" s="29"/>
      <c r="F100" s="42"/>
      <c r="H100" s="29"/>
      <c r="I100" s="42"/>
      <c r="K100" s="29"/>
      <c r="L100" s="42"/>
      <c r="N100" s="29"/>
      <c r="O100" s="42"/>
    </row>
    <row r="101" spans="2:15" x14ac:dyDescent="0.35">
      <c r="B101" s="28"/>
      <c r="C101" s="41"/>
      <c r="E101" s="28"/>
      <c r="F101" s="41"/>
      <c r="H101" s="28"/>
      <c r="I101" s="41"/>
      <c r="K101" s="28"/>
      <c r="L101" s="41"/>
      <c r="N101" s="28"/>
      <c r="O101" s="41"/>
    </row>
    <row r="102" spans="2:15" x14ac:dyDescent="0.35">
      <c r="B102" s="29"/>
      <c r="C102" s="42"/>
      <c r="E102" s="29"/>
      <c r="F102" s="42"/>
      <c r="H102" s="29"/>
      <c r="I102" s="42"/>
      <c r="K102" s="29"/>
      <c r="L102" s="42"/>
      <c r="N102" s="29"/>
      <c r="O102" s="42"/>
    </row>
    <row r="103" spans="2:15" x14ac:dyDescent="0.35">
      <c r="B103" s="28"/>
      <c r="C103" s="41"/>
      <c r="E103" s="28"/>
      <c r="F103" s="41"/>
      <c r="H103" s="28"/>
      <c r="I103" s="41"/>
      <c r="K103" s="28"/>
      <c r="L103" s="41"/>
      <c r="N103" s="28"/>
      <c r="O103" s="41"/>
    </row>
    <row r="104" spans="2:15" x14ac:dyDescent="0.35">
      <c r="B104" s="29"/>
      <c r="C104" s="42"/>
      <c r="E104" s="29"/>
      <c r="F104" s="42"/>
      <c r="H104" s="29"/>
      <c r="I104" s="42"/>
      <c r="K104" s="29"/>
      <c r="L104" s="42"/>
      <c r="N104" s="29"/>
      <c r="O104" s="42"/>
    </row>
    <row r="105" spans="2:15" x14ac:dyDescent="0.35">
      <c r="B105" s="28"/>
      <c r="C105" s="41"/>
      <c r="E105" s="28"/>
      <c r="F105" s="41"/>
      <c r="H105" s="28"/>
      <c r="I105" s="41"/>
      <c r="K105" s="28"/>
      <c r="L105" s="41"/>
      <c r="N105" s="28"/>
      <c r="O105" s="41"/>
    </row>
    <row r="106" spans="2:15" x14ac:dyDescent="0.35">
      <c r="B106" s="29"/>
      <c r="C106" s="42"/>
      <c r="E106" s="29"/>
      <c r="F106" s="42"/>
      <c r="H106" s="29"/>
      <c r="I106" s="42"/>
      <c r="K106" s="29"/>
      <c r="L106" s="42"/>
      <c r="N106" s="29"/>
      <c r="O106" s="42"/>
    </row>
    <row r="107" spans="2:15" x14ac:dyDescent="0.35">
      <c r="B107" s="28"/>
      <c r="C107" s="41"/>
      <c r="E107" s="28"/>
      <c r="F107" s="41"/>
      <c r="H107" s="28"/>
      <c r="I107" s="41"/>
      <c r="K107" s="28"/>
      <c r="L107" s="41"/>
      <c r="N107" s="28"/>
      <c r="O107" s="41"/>
    </row>
    <row r="108" spans="2:15" x14ac:dyDescent="0.35">
      <c r="B108" s="29"/>
      <c r="C108" s="42"/>
      <c r="E108" s="29"/>
      <c r="F108" s="42"/>
      <c r="H108" s="29"/>
      <c r="I108" s="42"/>
      <c r="K108" s="29"/>
      <c r="L108" s="42"/>
      <c r="N108" s="29"/>
      <c r="O108" s="42"/>
    </row>
    <row r="109" spans="2:15" x14ac:dyDescent="0.35">
      <c r="B109" s="28"/>
      <c r="C109" s="41"/>
      <c r="E109" s="28"/>
      <c r="F109" s="41"/>
      <c r="H109" s="28"/>
      <c r="I109" s="41"/>
      <c r="K109" s="28"/>
      <c r="L109" s="41"/>
      <c r="N109" s="28"/>
      <c r="O109" s="41"/>
    </row>
    <row r="110" spans="2:15" x14ac:dyDescent="0.35">
      <c r="B110" s="29"/>
      <c r="C110" s="42"/>
      <c r="E110" s="29"/>
      <c r="F110" s="42"/>
      <c r="H110" s="29"/>
      <c r="I110" s="42"/>
      <c r="K110" s="29"/>
      <c r="L110" s="42"/>
      <c r="N110" s="29"/>
      <c r="O110" s="42"/>
    </row>
    <row r="111" spans="2:15" x14ac:dyDescent="0.35">
      <c r="B111" s="28"/>
      <c r="C111" s="41"/>
      <c r="E111" s="28"/>
      <c r="F111" s="41"/>
      <c r="H111" s="28"/>
      <c r="I111" s="41"/>
      <c r="K111" s="28"/>
      <c r="L111" s="41"/>
      <c r="N111" s="28"/>
      <c r="O111" s="41"/>
    </row>
    <row r="112" spans="2:15" x14ac:dyDescent="0.35">
      <c r="B112" s="29"/>
      <c r="C112" s="42"/>
      <c r="E112" s="29"/>
      <c r="F112" s="42"/>
      <c r="H112" s="29"/>
      <c r="I112" s="42"/>
      <c r="K112" s="29"/>
      <c r="L112" s="42"/>
      <c r="N112" s="29"/>
      <c r="O112" s="42"/>
    </row>
    <row r="113" spans="2:15" x14ac:dyDescent="0.35">
      <c r="B113" s="28"/>
      <c r="C113" s="41"/>
      <c r="E113" s="28"/>
      <c r="F113" s="41"/>
      <c r="H113" s="28"/>
      <c r="I113" s="41"/>
      <c r="K113" s="28"/>
      <c r="L113" s="41"/>
      <c r="N113" s="28"/>
      <c r="O113" s="41"/>
    </row>
    <row r="114" spans="2:15" x14ac:dyDescent="0.35">
      <c r="B114" s="29"/>
      <c r="C114" s="42"/>
      <c r="E114" s="29"/>
      <c r="F114" s="42"/>
      <c r="H114" s="29"/>
      <c r="I114" s="42"/>
      <c r="K114" s="29"/>
      <c r="L114" s="42"/>
      <c r="N114" s="29"/>
      <c r="O114" s="42"/>
    </row>
    <row r="115" spans="2:15" x14ac:dyDescent="0.35">
      <c r="B115" s="28"/>
      <c r="C115" s="41"/>
      <c r="E115" s="28"/>
      <c r="F115" s="41"/>
      <c r="H115" s="28"/>
      <c r="I115" s="41"/>
      <c r="K115" s="28"/>
      <c r="L115" s="41"/>
      <c r="N115" s="28"/>
      <c r="O115" s="41"/>
    </row>
    <row r="116" spans="2:15" x14ac:dyDescent="0.35">
      <c r="B116" s="29"/>
      <c r="C116" s="42"/>
      <c r="E116" s="29"/>
      <c r="F116" s="42"/>
      <c r="H116" s="29"/>
      <c r="I116" s="42"/>
      <c r="K116" s="29"/>
      <c r="L116" s="42"/>
      <c r="N116" s="29"/>
      <c r="O116" s="42"/>
    </row>
    <row r="117" spans="2:15" x14ac:dyDescent="0.35">
      <c r="B117" s="28"/>
      <c r="C117" s="41"/>
      <c r="E117" s="28"/>
      <c r="F117" s="41"/>
      <c r="H117" s="28"/>
      <c r="I117" s="41"/>
      <c r="K117" s="28"/>
      <c r="L117" s="41"/>
      <c r="N117" s="28"/>
      <c r="O117" s="41"/>
    </row>
    <row r="118" spans="2:15" x14ac:dyDescent="0.35">
      <c r="B118" s="29"/>
      <c r="C118" s="42"/>
      <c r="E118" s="29"/>
      <c r="F118" s="42"/>
      <c r="H118" s="29"/>
      <c r="I118" s="42"/>
      <c r="K118" s="29"/>
      <c r="L118" s="42"/>
      <c r="N118" s="29"/>
      <c r="O118" s="42"/>
    </row>
    <row r="119" spans="2:15" x14ac:dyDescent="0.35">
      <c r="B119" s="28"/>
      <c r="C119" s="41"/>
      <c r="E119" s="28"/>
      <c r="F119" s="41"/>
      <c r="H119" s="28"/>
      <c r="I119" s="41"/>
      <c r="K119" s="28"/>
      <c r="L119" s="41"/>
      <c r="N119" s="28"/>
      <c r="O119" s="41"/>
    </row>
    <row r="120" spans="2:15" x14ac:dyDescent="0.35">
      <c r="B120" s="29"/>
      <c r="C120" s="42"/>
      <c r="E120" s="29"/>
      <c r="F120" s="42"/>
      <c r="H120" s="29"/>
      <c r="I120" s="42"/>
      <c r="K120" s="29"/>
      <c r="L120" s="42"/>
      <c r="N120" s="29"/>
      <c r="O120" s="42"/>
    </row>
    <row r="121" spans="2:15" x14ac:dyDescent="0.35">
      <c r="B121" s="28"/>
      <c r="C121" s="41"/>
      <c r="E121" s="28"/>
      <c r="F121" s="41"/>
      <c r="H121" s="28"/>
      <c r="I121" s="41"/>
      <c r="K121" s="28"/>
      <c r="L121" s="41"/>
      <c r="N121" s="28"/>
      <c r="O121" s="41"/>
    </row>
    <row r="122" spans="2:15" x14ac:dyDescent="0.35">
      <c r="B122" s="29"/>
      <c r="C122" s="42"/>
      <c r="E122" s="29"/>
      <c r="F122" s="42"/>
      <c r="H122" s="29"/>
      <c r="I122" s="42"/>
      <c r="K122" s="29"/>
      <c r="L122" s="42"/>
      <c r="N122" s="29"/>
      <c r="O122" s="42"/>
    </row>
    <row r="123" spans="2:15" x14ac:dyDescent="0.35">
      <c r="B123" s="28"/>
      <c r="C123" s="41"/>
      <c r="E123" s="28"/>
      <c r="F123" s="41"/>
      <c r="H123" s="28"/>
      <c r="I123" s="41"/>
      <c r="K123" s="28"/>
      <c r="L123" s="41"/>
      <c r="N123" s="28"/>
      <c r="O123" s="41"/>
    </row>
    <row r="124" spans="2:15" x14ac:dyDescent="0.35">
      <c r="B124" s="29"/>
      <c r="C124" s="42"/>
      <c r="E124" s="29"/>
      <c r="F124" s="42"/>
      <c r="H124" s="29"/>
      <c r="I124" s="42"/>
      <c r="K124" s="29"/>
      <c r="L124" s="42"/>
      <c r="N124" s="29"/>
      <c r="O124" s="42"/>
    </row>
    <row r="125" spans="2:15" x14ac:dyDescent="0.35">
      <c r="B125" s="28"/>
      <c r="C125" s="41"/>
      <c r="E125" s="28"/>
      <c r="F125" s="41"/>
      <c r="H125" s="28"/>
      <c r="I125" s="41"/>
      <c r="K125" s="28"/>
      <c r="L125" s="41"/>
      <c r="N125" s="28"/>
      <c r="O125" s="41"/>
    </row>
    <row r="126" spans="2:15" x14ac:dyDescent="0.35">
      <c r="B126" s="29"/>
      <c r="C126" s="42"/>
      <c r="E126" s="29"/>
      <c r="F126" s="42"/>
      <c r="H126" s="29"/>
      <c r="I126" s="42"/>
      <c r="K126" s="29"/>
      <c r="L126" s="42"/>
      <c r="N126" s="29"/>
      <c r="O126" s="42"/>
    </row>
    <row r="127" spans="2:15" x14ac:dyDescent="0.35">
      <c r="B127" s="28"/>
      <c r="C127" s="41"/>
      <c r="E127" s="28"/>
      <c r="F127" s="41"/>
      <c r="H127" s="28"/>
      <c r="I127" s="41"/>
      <c r="K127" s="28"/>
      <c r="L127" s="41"/>
      <c r="N127" s="28"/>
      <c r="O127" s="41"/>
    </row>
    <row r="128" spans="2:15" x14ac:dyDescent="0.35">
      <c r="B128" s="29"/>
      <c r="C128" s="42"/>
      <c r="E128" s="29"/>
      <c r="F128" s="42"/>
      <c r="H128" s="29"/>
      <c r="I128" s="42"/>
      <c r="K128" s="29"/>
      <c r="L128" s="42"/>
      <c r="N128" s="29"/>
      <c r="O128" s="42"/>
    </row>
    <row r="129" spans="2:15" x14ac:dyDescent="0.35">
      <c r="B129" s="28"/>
      <c r="C129" s="41"/>
      <c r="E129" s="28"/>
      <c r="F129" s="41"/>
      <c r="H129" s="28"/>
      <c r="I129" s="41"/>
      <c r="K129" s="28"/>
      <c r="L129" s="41"/>
      <c r="N129" s="28"/>
      <c r="O129" s="41"/>
    </row>
    <row r="130" spans="2:15" x14ac:dyDescent="0.35">
      <c r="B130" s="29"/>
      <c r="C130" s="42"/>
      <c r="E130" s="29"/>
      <c r="F130" s="42"/>
      <c r="H130" s="29"/>
      <c r="I130" s="42"/>
      <c r="K130" s="29"/>
      <c r="L130" s="42"/>
      <c r="N130" s="29"/>
      <c r="O130" s="42"/>
    </row>
    <row r="131" spans="2:15" x14ac:dyDescent="0.35">
      <c r="B131" s="28"/>
      <c r="C131" s="41"/>
      <c r="E131" s="28"/>
      <c r="F131" s="41"/>
      <c r="H131" s="28"/>
      <c r="I131" s="41"/>
      <c r="K131" s="28"/>
      <c r="L131" s="41"/>
      <c r="N131" s="28"/>
      <c r="O131" s="41"/>
    </row>
    <row r="132" spans="2:15" x14ac:dyDescent="0.35">
      <c r="B132" s="29"/>
      <c r="C132" s="42"/>
      <c r="E132" s="29"/>
      <c r="F132" s="42"/>
      <c r="H132" s="29"/>
      <c r="I132" s="42"/>
      <c r="K132" s="29"/>
      <c r="L132" s="42"/>
      <c r="N132" s="29"/>
      <c r="O132" s="42"/>
    </row>
    <row r="133" spans="2:15" x14ac:dyDescent="0.35">
      <c r="B133" s="28"/>
      <c r="C133" s="41"/>
      <c r="E133" s="28"/>
      <c r="F133" s="41"/>
      <c r="H133" s="28"/>
      <c r="I133" s="41"/>
      <c r="K133" s="28"/>
      <c r="L133" s="41"/>
      <c r="N133" s="28"/>
      <c r="O133" s="41"/>
    </row>
    <row r="134" spans="2:15" x14ac:dyDescent="0.35">
      <c r="B134" s="29"/>
      <c r="C134" s="42"/>
      <c r="E134" s="29"/>
      <c r="F134" s="42"/>
      <c r="H134" s="29"/>
      <c r="I134" s="42"/>
      <c r="K134" s="29"/>
      <c r="L134" s="42"/>
      <c r="N134" s="29"/>
      <c r="O134" s="42"/>
    </row>
    <row r="135" spans="2:15" x14ac:dyDescent="0.35">
      <c r="B135" s="28"/>
      <c r="C135" s="41"/>
      <c r="E135" s="28"/>
      <c r="F135" s="41"/>
      <c r="H135" s="28"/>
      <c r="I135" s="41"/>
      <c r="K135" s="28"/>
      <c r="L135" s="41"/>
      <c r="N135" s="28"/>
      <c r="O135" s="41"/>
    </row>
    <row r="136" spans="2:15" x14ac:dyDescent="0.35">
      <c r="B136" s="29"/>
      <c r="C136" s="42"/>
      <c r="E136" s="29"/>
      <c r="F136" s="42"/>
      <c r="H136" s="29"/>
      <c r="I136" s="42"/>
      <c r="K136" s="29"/>
      <c r="L136" s="42"/>
      <c r="N136" s="29"/>
      <c r="O136" s="42"/>
    </row>
    <row r="137" spans="2:15" x14ac:dyDescent="0.35">
      <c r="B137" s="28"/>
      <c r="C137" s="41"/>
      <c r="E137" s="28"/>
      <c r="F137" s="41"/>
      <c r="H137" s="28"/>
      <c r="I137" s="41"/>
      <c r="K137" s="28"/>
      <c r="L137" s="41"/>
      <c r="N137" s="28"/>
      <c r="O137" s="41"/>
    </row>
    <row r="138" spans="2:15" x14ac:dyDescent="0.35">
      <c r="B138" s="29"/>
      <c r="C138" s="42"/>
      <c r="E138" s="29"/>
      <c r="F138" s="42"/>
      <c r="H138" s="29"/>
      <c r="I138" s="42"/>
      <c r="K138" s="29"/>
      <c r="L138" s="42"/>
      <c r="N138" s="29"/>
      <c r="O138" s="42"/>
    </row>
    <row r="139" spans="2:15" x14ac:dyDescent="0.35">
      <c r="B139" s="28"/>
      <c r="C139" s="41"/>
      <c r="E139" s="28"/>
      <c r="F139" s="41"/>
      <c r="H139" s="28"/>
      <c r="I139" s="41"/>
      <c r="K139" s="28"/>
      <c r="L139" s="41"/>
      <c r="N139" s="28"/>
      <c r="O139" s="41"/>
    </row>
    <row r="140" spans="2:15" x14ac:dyDescent="0.35">
      <c r="B140" s="29"/>
      <c r="C140" s="42"/>
      <c r="E140" s="29"/>
      <c r="F140" s="42"/>
      <c r="H140" s="29"/>
      <c r="I140" s="42"/>
      <c r="K140" s="29"/>
      <c r="L140" s="42"/>
      <c r="N140" s="29"/>
      <c r="O140" s="42"/>
    </row>
    <row r="141" spans="2:15" x14ac:dyDescent="0.35">
      <c r="B141" s="28"/>
      <c r="C141" s="41"/>
      <c r="E141" s="28"/>
      <c r="F141" s="41"/>
      <c r="H141" s="28"/>
      <c r="I141" s="41"/>
      <c r="K141" s="28"/>
      <c r="L141" s="41"/>
      <c r="N141" s="28"/>
      <c r="O141" s="41"/>
    </row>
    <row r="142" spans="2:15" x14ac:dyDescent="0.35">
      <c r="B142" s="29"/>
      <c r="C142" s="42"/>
      <c r="E142" s="29"/>
      <c r="F142" s="42"/>
      <c r="H142" s="29"/>
      <c r="I142" s="42"/>
      <c r="K142" s="29"/>
      <c r="L142" s="42"/>
      <c r="N142" s="29"/>
      <c r="O142" s="42"/>
    </row>
    <row r="143" spans="2:15" x14ac:dyDescent="0.35">
      <c r="B143" s="28"/>
      <c r="C143" s="41"/>
      <c r="E143" s="28"/>
      <c r="F143" s="41"/>
      <c r="H143" s="28"/>
      <c r="I143" s="41"/>
      <c r="K143" s="28"/>
      <c r="L143" s="41"/>
      <c r="N143" s="28"/>
      <c r="O143" s="41"/>
    </row>
    <row r="144" spans="2:15" x14ac:dyDescent="0.35">
      <c r="B144" s="29"/>
      <c r="C144" s="42"/>
      <c r="E144" s="29"/>
      <c r="F144" s="42"/>
      <c r="H144" s="29"/>
      <c r="I144" s="42"/>
      <c r="K144" s="29"/>
      <c r="L144" s="42"/>
      <c r="N144" s="29"/>
      <c r="O144" s="42"/>
    </row>
    <row r="145" spans="2:15" x14ac:dyDescent="0.35">
      <c r="B145" s="28"/>
      <c r="C145" s="41"/>
      <c r="E145" s="28"/>
      <c r="F145" s="41"/>
      <c r="H145" s="28"/>
      <c r="I145" s="41"/>
      <c r="K145" s="28"/>
      <c r="L145" s="41"/>
      <c r="N145" s="28"/>
      <c r="O145" s="41"/>
    </row>
    <row r="146" spans="2:15" x14ac:dyDescent="0.35">
      <c r="B146" s="29"/>
      <c r="C146" s="42"/>
      <c r="E146" s="29"/>
      <c r="F146" s="42"/>
      <c r="H146" s="29"/>
      <c r="I146" s="42"/>
      <c r="K146" s="29"/>
      <c r="L146" s="42"/>
      <c r="N146" s="29"/>
      <c r="O146" s="42"/>
    </row>
    <row r="147" spans="2:15" x14ac:dyDescent="0.35">
      <c r="B147" s="28"/>
      <c r="C147" s="41"/>
      <c r="E147" s="28"/>
      <c r="F147" s="41"/>
      <c r="H147" s="28"/>
      <c r="I147" s="41"/>
      <c r="K147" s="28"/>
      <c r="L147" s="41"/>
      <c r="N147" s="28"/>
      <c r="O147" s="41"/>
    </row>
    <row r="148" spans="2:15" x14ac:dyDescent="0.35">
      <c r="B148" s="29"/>
      <c r="C148" s="42"/>
      <c r="E148" s="29"/>
      <c r="F148" s="42"/>
      <c r="H148" s="29"/>
      <c r="I148" s="42"/>
      <c r="K148" s="29"/>
      <c r="L148" s="42"/>
      <c r="N148" s="29"/>
      <c r="O148" s="42"/>
    </row>
    <row r="149" spans="2:15" x14ac:dyDescent="0.35">
      <c r="B149" s="28"/>
      <c r="C149" s="41"/>
      <c r="E149" s="28"/>
      <c r="F149" s="41"/>
      <c r="H149" s="28"/>
      <c r="I149" s="41"/>
      <c r="K149" s="28"/>
      <c r="L149" s="41"/>
      <c r="N149" s="28"/>
      <c r="O149" s="41"/>
    </row>
    <row r="150" spans="2:15" x14ac:dyDescent="0.35">
      <c r="B150" s="29"/>
      <c r="C150" s="42"/>
      <c r="E150" s="29"/>
      <c r="F150" s="42"/>
      <c r="H150" s="29"/>
      <c r="I150" s="42"/>
      <c r="K150" s="29"/>
      <c r="L150" s="42"/>
      <c r="N150" s="29"/>
      <c r="O150" s="42"/>
    </row>
    <row r="151" spans="2:15" x14ac:dyDescent="0.35">
      <c r="B151" s="28"/>
      <c r="C151" s="41"/>
      <c r="E151" s="28"/>
      <c r="F151" s="41"/>
      <c r="H151" s="28"/>
      <c r="I151" s="41"/>
      <c r="K151" s="28"/>
      <c r="L151" s="41"/>
      <c r="N151" s="28"/>
      <c r="O151" s="41"/>
    </row>
    <row r="152" spans="2:15" x14ac:dyDescent="0.35">
      <c r="B152" s="29"/>
      <c r="C152" s="42"/>
      <c r="E152" s="29"/>
      <c r="F152" s="42"/>
      <c r="H152" s="29"/>
      <c r="I152" s="42"/>
      <c r="K152" s="29"/>
      <c r="L152" s="42"/>
      <c r="N152" s="29"/>
      <c r="O152" s="42"/>
    </row>
    <row r="153" spans="2:15" x14ac:dyDescent="0.35">
      <c r="B153" s="28"/>
      <c r="C153" s="41"/>
      <c r="E153" s="28"/>
      <c r="F153" s="41"/>
      <c r="H153" s="28"/>
      <c r="I153" s="41"/>
      <c r="K153" s="28"/>
      <c r="L153" s="41"/>
      <c r="N153" s="28"/>
      <c r="O153" s="41"/>
    </row>
    <row r="154" spans="2:15" x14ac:dyDescent="0.35">
      <c r="B154" s="29"/>
      <c r="C154" s="42"/>
      <c r="E154" s="29"/>
      <c r="F154" s="42"/>
      <c r="H154" s="29"/>
      <c r="I154" s="42"/>
      <c r="K154" s="29"/>
      <c r="L154" s="42"/>
      <c r="N154" s="29"/>
      <c r="O154" s="42"/>
    </row>
    <row r="155" spans="2:15" x14ac:dyDescent="0.35">
      <c r="B155" s="28"/>
      <c r="C155" s="41"/>
      <c r="E155" s="28"/>
      <c r="F155" s="41"/>
      <c r="H155" s="28"/>
      <c r="I155" s="41"/>
      <c r="K155" s="28"/>
      <c r="L155" s="41"/>
      <c r="N155" s="28"/>
      <c r="O155" s="41"/>
    </row>
    <row r="156" spans="2:15" x14ac:dyDescent="0.35">
      <c r="B156" s="29"/>
      <c r="C156" s="42"/>
      <c r="E156" s="29"/>
      <c r="F156" s="42"/>
      <c r="H156" s="29"/>
      <c r="I156" s="42"/>
      <c r="K156" s="29"/>
      <c r="L156" s="42"/>
      <c r="N156" s="29"/>
      <c r="O156" s="42"/>
    </row>
    <row r="157" spans="2:15" x14ac:dyDescent="0.35">
      <c r="B157" s="28"/>
      <c r="C157" s="41"/>
      <c r="E157" s="28"/>
      <c r="F157" s="41"/>
      <c r="H157" s="28"/>
      <c r="I157" s="41"/>
      <c r="K157" s="28"/>
      <c r="L157" s="41"/>
      <c r="N157" s="28"/>
      <c r="O157" s="41"/>
    </row>
    <row r="158" spans="2:15" x14ac:dyDescent="0.35">
      <c r="B158" s="29"/>
      <c r="C158" s="42"/>
      <c r="E158" s="29"/>
      <c r="F158" s="42"/>
      <c r="H158" s="29"/>
      <c r="I158" s="42"/>
      <c r="K158" s="29"/>
      <c r="L158" s="42"/>
      <c r="N158" s="29"/>
      <c r="O158" s="42"/>
    </row>
    <row r="159" spans="2:15" x14ac:dyDescent="0.35">
      <c r="B159" s="28"/>
      <c r="C159" s="41"/>
      <c r="E159" s="28"/>
      <c r="F159" s="41"/>
      <c r="H159" s="28"/>
      <c r="I159" s="41"/>
      <c r="K159" s="28"/>
      <c r="L159" s="41"/>
      <c r="N159" s="28"/>
      <c r="O159" s="41"/>
    </row>
    <row r="160" spans="2:15" x14ac:dyDescent="0.35">
      <c r="B160" s="29"/>
      <c r="C160" s="42"/>
      <c r="E160" s="29"/>
      <c r="F160" s="42"/>
      <c r="H160" s="29"/>
      <c r="I160" s="42"/>
      <c r="K160" s="29"/>
      <c r="L160" s="42"/>
      <c r="N160" s="29"/>
      <c r="O160" s="42"/>
    </row>
    <row r="161" spans="2:15" x14ac:dyDescent="0.35">
      <c r="B161" s="28"/>
      <c r="C161" s="41"/>
      <c r="E161" s="28"/>
      <c r="F161" s="41"/>
      <c r="H161" s="28"/>
      <c r="I161" s="41"/>
      <c r="K161" s="28"/>
      <c r="L161" s="41"/>
      <c r="N161" s="28"/>
      <c r="O161" s="41"/>
    </row>
    <row r="162" spans="2:15" x14ac:dyDescent="0.35">
      <c r="B162" s="29"/>
      <c r="C162" s="42"/>
      <c r="E162" s="29"/>
      <c r="F162" s="42"/>
      <c r="H162" s="29"/>
      <c r="I162" s="42"/>
      <c r="K162" s="29"/>
      <c r="L162" s="42"/>
      <c r="N162" s="29"/>
      <c r="O162" s="42"/>
    </row>
    <row r="163" spans="2:15" x14ac:dyDescent="0.35">
      <c r="B163" s="28"/>
      <c r="C163" s="41"/>
      <c r="E163" s="28"/>
      <c r="F163" s="41"/>
      <c r="H163" s="28"/>
      <c r="I163" s="41"/>
      <c r="K163" s="28"/>
      <c r="L163" s="41"/>
      <c r="N163" s="28"/>
      <c r="O163" s="41"/>
    </row>
    <row r="164" spans="2:15" x14ac:dyDescent="0.35">
      <c r="B164" s="29"/>
      <c r="C164" s="42"/>
      <c r="E164" s="29"/>
      <c r="F164" s="42"/>
      <c r="H164" s="29"/>
      <c r="I164" s="42"/>
      <c r="K164" s="29"/>
      <c r="L164" s="42"/>
      <c r="N164" s="29"/>
      <c r="O164" s="42"/>
    </row>
    <row r="165" spans="2:15" x14ac:dyDescent="0.35">
      <c r="B165" s="28"/>
      <c r="C165" s="41"/>
      <c r="E165" s="28"/>
      <c r="F165" s="41"/>
      <c r="H165" s="28"/>
      <c r="I165" s="41"/>
      <c r="K165" s="28"/>
      <c r="L165" s="41"/>
      <c r="N165" s="28"/>
      <c r="O165" s="41"/>
    </row>
    <row r="166" spans="2:15" x14ac:dyDescent="0.35">
      <c r="B166" s="29"/>
      <c r="C166" s="42"/>
      <c r="E166" s="29"/>
      <c r="F166" s="42"/>
      <c r="H166" s="29"/>
      <c r="I166" s="42"/>
      <c r="K166" s="29"/>
      <c r="L166" s="42"/>
      <c r="N166" s="29"/>
      <c r="O166" s="42"/>
    </row>
    <row r="167" spans="2:15" x14ac:dyDescent="0.35">
      <c r="B167" s="28"/>
      <c r="C167" s="41"/>
      <c r="E167" s="28"/>
      <c r="F167" s="41"/>
      <c r="H167" s="28"/>
      <c r="I167" s="41"/>
      <c r="K167" s="28"/>
      <c r="L167" s="41"/>
      <c r="N167" s="28"/>
      <c r="O167" s="41"/>
    </row>
    <row r="168" spans="2:15" x14ac:dyDescent="0.35">
      <c r="B168" s="29"/>
      <c r="C168" s="42"/>
      <c r="E168" s="29"/>
      <c r="F168" s="42"/>
      <c r="H168" s="29"/>
      <c r="I168" s="42"/>
      <c r="K168" s="29"/>
      <c r="L168" s="42"/>
      <c r="N168" s="29"/>
      <c r="O168" s="42"/>
    </row>
    <row r="169" spans="2:15" x14ac:dyDescent="0.35">
      <c r="B169" s="28"/>
      <c r="C169" s="41"/>
      <c r="E169" s="28"/>
      <c r="F169" s="41"/>
      <c r="H169" s="28"/>
      <c r="I169" s="41"/>
      <c r="K169" s="28"/>
      <c r="L169" s="41"/>
      <c r="N169" s="28"/>
      <c r="O169" s="41"/>
    </row>
    <row r="170" spans="2:15" x14ac:dyDescent="0.35">
      <c r="B170" s="29"/>
      <c r="C170" s="42"/>
      <c r="E170" s="29"/>
      <c r="F170" s="42"/>
      <c r="H170" s="29"/>
      <c r="I170" s="42"/>
      <c r="K170" s="29"/>
      <c r="L170" s="42"/>
      <c r="N170" s="29"/>
      <c r="O170" s="42"/>
    </row>
    <row r="171" spans="2:15" x14ac:dyDescent="0.35">
      <c r="B171" s="28"/>
      <c r="C171" s="41"/>
      <c r="E171" s="28"/>
      <c r="F171" s="41"/>
      <c r="H171" s="28"/>
      <c r="I171" s="41"/>
      <c r="K171" s="28"/>
      <c r="L171" s="41"/>
      <c r="N171" s="28"/>
      <c r="O171" s="41"/>
    </row>
    <row r="172" spans="2:15" x14ac:dyDescent="0.35">
      <c r="B172" s="29"/>
      <c r="C172" s="42"/>
      <c r="E172" s="29"/>
      <c r="F172" s="42"/>
      <c r="H172" s="29"/>
      <c r="I172" s="42"/>
      <c r="K172" s="29"/>
      <c r="L172" s="42"/>
      <c r="N172" s="29"/>
      <c r="O172" s="42"/>
    </row>
    <row r="173" spans="2:15" x14ac:dyDescent="0.35">
      <c r="B173" s="28"/>
      <c r="C173" s="41"/>
      <c r="E173" s="28"/>
      <c r="F173" s="41"/>
      <c r="H173" s="28"/>
      <c r="I173" s="41"/>
      <c r="K173" s="28"/>
      <c r="L173" s="41"/>
      <c r="N173" s="28"/>
      <c r="O173" s="41"/>
    </row>
    <row r="174" spans="2:15" x14ac:dyDescent="0.35">
      <c r="B174" s="29"/>
      <c r="C174" s="42"/>
      <c r="E174" s="29"/>
      <c r="F174" s="42"/>
      <c r="H174" s="29"/>
      <c r="I174" s="42"/>
      <c r="K174" s="29"/>
      <c r="L174" s="42"/>
      <c r="N174" s="29"/>
      <c r="O174" s="42"/>
    </row>
    <row r="175" spans="2:15" x14ac:dyDescent="0.35">
      <c r="B175" s="28"/>
      <c r="C175" s="41"/>
      <c r="E175" s="28"/>
      <c r="F175" s="41"/>
      <c r="H175" s="28"/>
      <c r="I175" s="41"/>
      <c r="K175" s="28"/>
      <c r="L175" s="41"/>
      <c r="N175" s="28"/>
      <c r="O175" s="41"/>
    </row>
    <row r="176" spans="2:15" x14ac:dyDescent="0.35">
      <c r="B176" s="29"/>
      <c r="C176" s="42"/>
      <c r="E176" s="29"/>
      <c r="F176" s="42"/>
      <c r="H176" s="29"/>
      <c r="I176" s="42"/>
      <c r="K176" s="29"/>
      <c r="L176" s="42"/>
      <c r="N176" s="29"/>
      <c r="O176" s="42"/>
    </row>
    <row r="177" spans="2:15" x14ac:dyDescent="0.35">
      <c r="B177" s="28"/>
      <c r="C177" s="41"/>
      <c r="E177" s="28"/>
      <c r="F177" s="41"/>
      <c r="H177" s="28"/>
      <c r="I177" s="41"/>
      <c r="K177" s="28"/>
      <c r="L177" s="41"/>
      <c r="N177" s="28"/>
      <c r="O177" s="41"/>
    </row>
    <row r="178" spans="2:15" x14ac:dyDescent="0.35">
      <c r="B178" s="29"/>
      <c r="C178" s="42"/>
      <c r="E178" s="29"/>
      <c r="F178" s="42"/>
      <c r="H178" s="29"/>
      <c r="I178" s="42"/>
      <c r="K178" s="29"/>
      <c r="L178" s="42"/>
      <c r="N178" s="29"/>
      <c r="O178" s="42"/>
    </row>
    <row r="179" spans="2:15" x14ac:dyDescent="0.35">
      <c r="B179" s="28"/>
      <c r="C179" s="41"/>
      <c r="E179" s="28"/>
      <c r="F179" s="41"/>
      <c r="H179" s="28"/>
      <c r="I179" s="41"/>
      <c r="K179" s="28"/>
      <c r="L179" s="41"/>
      <c r="N179" s="28"/>
      <c r="O179" s="41"/>
    </row>
    <row r="180" spans="2:15" x14ac:dyDescent="0.35">
      <c r="B180" s="29"/>
      <c r="C180" s="42"/>
      <c r="E180" s="29"/>
      <c r="F180" s="42"/>
      <c r="H180" s="29"/>
      <c r="I180" s="42"/>
      <c r="K180" s="29"/>
      <c r="L180" s="42"/>
      <c r="N180" s="29"/>
      <c r="O180" s="42"/>
    </row>
    <row r="181" spans="2:15" x14ac:dyDescent="0.35">
      <c r="B181" s="28"/>
      <c r="C181" s="41"/>
      <c r="E181" s="28"/>
      <c r="F181" s="41"/>
      <c r="H181" s="28"/>
      <c r="I181" s="41"/>
      <c r="K181" s="28"/>
      <c r="L181" s="41"/>
      <c r="N181" s="28"/>
      <c r="O181" s="41"/>
    </row>
    <row r="182" spans="2:15" x14ac:dyDescent="0.35">
      <c r="B182" s="29"/>
      <c r="C182" s="42"/>
      <c r="E182" s="29"/>
      <c r="F182" s="42"/>
      <c r="H182" s="29"/>
      <c r="I182" s="42"/>
      <c r="K182" s="29"/>
      <c r="L182" s="42"/>
      <c r="N182" s="29"/>
      <c r="O182" s="42"/>
    </row>
    <row r="183" spans="2:15" x14ac:dyDescent="0.35">
      <c r="B183" s="28"/>
      <c r="C183" s="41"/>
      <c r="E183" s="28"/>
      <c r="F183" s="41"/>
      <c r="H183" s="28"/>
      <c r="I183" s="41"/>
      <c r="K183" s="28"/>
      <c r="L183" s="41"/>
      <c r="N183" s="28"/>
      <c r="O183" s="41"/>
    </row>
    <row r="184" spans="2:15" x14ac:dyDescent="0.35">
      <c r="B184" s="29"/>
      <c r="C184" s="42"/>
      <c r="E184" s="29"/>
      <c r="F184" s="42"/>
      <c r="H184" s="29"/>
      <c r="I184" s="42"/>
      <c r="K184" s="29"/>
      <c r="L184" s="42"/>
      <c r="N184" s="29"/>
      <c r="O184" s="42"/>
    </row>
    <row r="185" spans="2:15" x14ac:dyDescent="0.35">
      <c r="B185" s="28"/>
      <c r="C185" s="41"/>
      <c r="E185" s="28"/>
      <c r="F185" s="41"/>
      <c r="H185" s="28"/>
      <c r="I185" s="41"/>
      <c r="K185" s="28"/>
      <c r="L185" s="41"/>
      <c r="N185" s="28"/>
      <c r="O185" s="41"/>
    </row>
    <row r="186" spans="2:15" x14ac:dyDescent="0.35">
      <c r="B186" s="29"/>
      <c r="C186" s="42"/>
      <c r="E186" s="29"/>
      <c r="F186" s="42"/>
      <c r="H186" s="29"/>
      <c r="I186" s="42"/>
      <c r="K186" s="29"/>
      <c r="L186" s="42"/>
      <c r="N186" s="29"/>
      <c r="O186" s="42"/>
    </row>
    <row r="187" spans="2:15" x14ac:dyDescent="0.35">
      <c r="B187" s="28"/>
      <c r="C187" s="41"/>
      <c r="E187" s="28"/>
      <c r="F187" s="41"/>
      <c r="H187" s="28"/>
      <c r="I187" s="41"/>
      <c r="K187" s="28"/>
      <c r="L187" s="41"/>
      <c r="N187" s="28"/>
      <c r="O187" s="41"/>
    </row>
    <row r="188" spans="2:15" x14ac:dyDescent="0.35">
      <c r="B188" s="29"/>
      <c r="C188" s="42"/>
      <c r="E188" s="29"/>
      <c r="F188" s="42"/>
      <c r="H188" s="29"/>
      <c r="I188" s="42"/>
      <c r="K188" s="29"/>
      <c r="L188" s="42"/>
      <c r="N188" s="29"/>
      <c r="O188" s="42"/>
    </row>
    <row r="189" spans="2:15" x14ac:dyDescent="0.35">
      <c r="B189" s="28"/>
      <c r="C189" s="41"/>
      <c r="E189" s="28"/>
      <c r="F189" s="41"/>
      <c r="H189" s="28"/>
      <c r="I189" s="41"/>
      <c r="K189" s="28"/>
      <c r="L189" s="41"/>
      <c r="N189" s="28"/>
      <c r="O189" s="41"/>
    </row>
    <row r="190" spans="2:15" x14ac:dyDescent="0.35">
      <c r="B190" s="29"/>
      <c r="C190" s="42"/>
      <c r="E190" s="29"/>
      <c r="F190" s="42"/>
      <c r="H190" s="29"/>
      <c r="I190" s="42"/>
      <c r="K190" s="29"/>
      <c r="L190" s="42"/>
      <c r="N190" s="29"/>
      <c r="O190" s="42"/>
    </row>
    <row r="191" spans="2:15" x14ac:dyDescent="0.35">
      <c r="B191" s="28"/>
      <c r="C191" s="41"/>
      <c r="E191" s="28"/>
      <c r="F191" s="41"/>
      <c r="H191" s="28"/>
      <c r="I191" s="41"/>
      <c r="K191" s="28"/>
      <c r="L191" s="41"/>
      <c r="N191" s="28"/>
      <c r="O191" s="41"/>
    </row>
    <row r="192" spans="2:15" x14ac:dyDescent="0.35">
      <c r="B192" s="29"/>
      <c r="C192" s="42"/>
      <c r="E192" s="29"/>
      <c r="F192" s="42"/>
      <c r="H192" s="29"/>
      <c r="I192" s="42"/>
      <c r="K192" s="29"/>
      <c r="L192" s="42"/>
      <c r="N192" s="29"/>
      <c r="O192" s="42"/>
    </row>
    <row r="193" spans="2:15" x14ac:dyDescent="0.35">
      <c r="B193" s="28"/>
      <c r="C193" s="41"/>
      <c r="E193" s="28"/>
      <c r="F193" s="41"/>
      <c r="H193" s="28"/>
      <c r="I193" s="41"/>
      <c r="K193" s="28"/>
      <c r="L193" s="41"/>
      <c r="N193" s="28"/>
      <c r="O193" s="41"/>
    </row>
    <row r="194" spans="2:15" x14ac:dyDescent="0.35">
      <c r="B194" s="29"/>
      <c r="C194" s="42"/>
      <c r="E194" s="29"/>
      <c r="F194" s="42"/>
      <c r="H194" s="29"/>
      <c r="I194" s="42"/>
      <c r="K194" s="29"/>
      <c r="L194" s="42"/>
      <c r="N194" s="29"/>
      <c r="O194" s="42"/>
    </row>
    <row r="195" spans="2:15" x14ac:dyDescent="0.35">
      <c r="B195" s="28"/>
      <c r="C195" s="41"/>
      <c r="E195" s="28"/>
      <c r="F195" s="41"/>
      <c r="H195" s="28"/>
      <c r="I195" s="41"/>
      <c r="K195" s="28"/>
      <c r="L195" s="41"/>
      <c r="N195" s="28"/>
      <c r="O195" s="41"/>
    </row>
    <row r="196" spans="2:15" x14ac:dyDescent="0.35">
      <c r="B196" s="29"/>
      <c r="C196" s="42"/>
      <c r="E196" s="29"/>
      <c r="F196" s="42"/>
      <c r="H196" s="29"/>
      <c r="I196" s="42"/>
      <c r="K196" s="29"/>
      <c r="L196" s="42"/>
      <c r="N196" s="29"/>
      <c r="O196" s="42"/>
    </row>
    <row r="197" spans="2:15" x14ac:dyDescent="0.35">
      <c r="B197" s="28"/>
      <c r="C197" s="41"/>
      <c r="E197" s="28"/>
      <c r="F197" s="41"/>
      <c r="H197" s="28"/>
      <c r="I197" s="41"/>
      <c r="K197" s="28"/>
      <c r="L197" s="41"/>
      <c r="N197" s="28"/>
      <c r="O197" s="41"/>
    </row>
    <row r="198" spans="2:15" x14ac:dyDescent="0.35">
      <c r="B198" s="29"/>
      <c r="C198" s="42"/>
      <c r="E198" s="29"/>
      <c r="F198" s="42"/>
      <c r="H198" s="29"/>
      <c r="I198" s="42"/>
      <c r="K198" s="29"/>
      <c r="L198" s="42"/>
      <c r="N198" s="29"/>
      <c r="O198" s="42"/>
    </row>
    <row r="199" spans="2:15" x14ac:dyDescent="0.35">
      <c r="B199" s="28"/>
      <c r="C199" s="41"/>
      <c r="E199" s="28"/>
      <c r="F199" s="41"/>
      <c r="H199" s="28"/>
      <c r="I199" s="41"/>
      <c r="K199" s="28"/>
      <c r="L199" s="41"/>
      <c r="N199" s="28"/>
      <c r="O199" s="41"/>
    </row>
    <row r="200" spans="2:15" x14ac:dyDescent="0.35">
      <c r="B200" s="29"/>
      <c r="C200" s="42"/>
      <c r="E200" s="29"/>
      <c r="F200" s="42"/>
      <c r="H200" s="29"/>
      <c r="I200" s="42"/>
      <c r="K200" s="29"/>
      <c r="L200" s="42"/>
      <c r="N200" s="29"/>
      <c r="O200" s="42"/>
    </row>
    <row r="201" spans="2:15" x14ac:dyDescent="0.35">
      <c r="B201" s="28"/>
      <c r="C201" s="41"/>
      <c r="E201" s="28"/>
      <c r="F201" s="41"/>
      <c r="H201" s="28"/>
      <c r="I201" s="41"/>
      <c r="K201" s="28"/>
      <c r="L201" s="41"/>
      <c r="N201" s="28"/>
      <c r="O201" s="41"/>
    </row>
    <row r="202" spans="2:15" x14ac:dyDescent="0.35">
      <c r="B202" s="29"/>
      <c r="C202" s="42"/>
      <c r="E202" s="29"/>
      <c r="F202" s="42"/>
      <c r="H202" s="29"/>
      <c r="I202" s="42"/>
      <c r="K202" s="29"/>
      <c r="L202" s="42"/>
      <c r="N202" s="29"/>
      <c r="O202" s="42"/>
    </row>
    <row r="203" spans="2:15" x14ac:dyDescent="0.35">
      <c r="B203" s="28"/>
      <c r="C203" s="41"/>
      <c r="E203" s="28"/>
      <c r="F203" s="41"/>
      <c r="H203" s="28"/>
      <c r="I203" s="41"/>
      <c r="K203" s="28"/>
      <c r="L203" s="41"/>
      <c r="N203" s="28"/>
      <c r="O203" s="41"/>
    </row>
    <row r="204" spans="2:15" x14ac:dyDescent="0.35">
      <c r="B204" s="29"/>
      <c r="C204" s="42"/>
      <c r="E204" s="29"/>
      <c r="F204" s="42"/>
      <c r="H204" s="29"/>
      <c r="I204" s="42"/>
      <c r="K204" s="29"/>
      <c r="L204" s="42"/>
      <c r="N204" s="29"/>
      <c r="O204" s="42"/>
    </row>
    <row r="205" spans="2:15" x14ac:dyDescent="0.35">
      <c r="B205" s="28"/>
      <c r="C205" s="41"/>
      <c r="E205" s="28"/>
      <c r="F205" s="41"/>
      <c r="H205" s="28"/>
      <c r="I205" s="41"/>
      <c r="K205" s="28"/>
      <c r="L205" s="41"/>
      <c r="N205" s="28"/>
      <c r="O205" s="41"/>
    </row>
    <row r="206" spans="2:15" x14ac:dyDescent="0.35">
      <c r="B206" s="29"/>
      <c r="C206" s="42"/>
      <c r="E206" s="29"/>
      <c r="F206" s="42"/>
      <c r="H206" s="29"/>
      <c r="I206" s="42"/>
      <c r="K206" s="29"/>
      <c r="L206" s="42"/>
      <c r="N206" s="29"/>
      <c r="O206" s="42"/>
    </row>
    <row r="207" spans="2:15" x14ac:dyDescent="0.35">
      <c r="B207" s="28"/>
      <c r="C207" s="41"/>
      <c r="E207" s="28"/>
      <c r="F207" s="41"/>
      <c r="H207" s="28"/>
      <c r="I207" s="41"/>
      <c r="K207" s="28"/>
      <c r="L207" s="41"/>
      <c r="N207" s="28"/>
      <c r="O207" s="41"/>
    </row>
    <row r="208" spans="2:15" x14ac:dyDescent="0.35">
      <c r="B208" s="29"/>
      <c r="C208" s="42"/>
      <c r="E208" s="29"/>
      <c r="F208" s="42"/>
      <c r="H208" s="29"/>
      <c r="I208" s="42"/>
      <c r="K208" s="29"/>
      <c r="L208" s="42"/>
      <c r="N208" s="29"/>
      <c r="O208" s="42"/>
    </row>
    <row r="209" spans="2:15" x14ac:dyDescent="0.35">
      <c r="B209" s="28"/>
      <c r="C209" s="41"/>
      <c r="E209" s="28"/>
      <c r="F209" s="41"/>
      <c r="H209" s="28"/>
      <c r="I209" s="41"/>
      <c r="K209" s="28"/>
      <c r="L209" s="41"/>
      <c r="N209" s="28"/>
      <c r="O209" s="41"/>
    </row>
    <row r="210" spans="2:15" x14ac:dyDescent="0.35">
      <c r="B210" s="29"/>
      <c r="C210" s="42"/>
      <c r="E210" s="29"/>
      <c r="F210" s="42"/>
      <c r="H210" s="29"/>
      <c r="I210" s="42"/>
      <c r="K210" s="29"/>
      <c r="L210" s="42"/>
      <c r="N210" s="29"/>
      <c r="O210" s="42"/>
    </row>
    <row r="211" spans="2:15" x14ac:dyDescent="0.35">
      <c r="B211" s="28"/>
      <c r="C211" s="41"/>
      <c r="E211" s="28"/>
      <c r="F211" s="41"/>
      <c r="H211" s="28"/>
      <c r="I211" s="41"/>
      <c r="K211" s="28"/>
      <c r="L211" s="41"/>
      <c r="N211" s="28"/>
      <c r="O211" s="41"/>
    </row>
    <row r="212" spans="2:15" x14ac:dyDescent="0.35">
      <c r="B212" s="29"/>
      <c r="C212" s="42"/>
      <c r="E212" s="29"/>
      <c r="F212" s="42"/>
      <c r="H212" s="29"/>
      <c r="I212" s="42"/>
      <c r="K212" s="29"/>
      <c r="L212" s="42"/>
      <c r="N212" s="29"/>
      <c r="O212" s="42"/>
    </row>
    <row r="213" spans="2:15" x14ac:dyDescent="0.35">
      <c r="B213" s="28"/>
      <c r="C213" s="41"/>
      <c r="E213" s="28"/>
      <c r="F213" s="41"/>
      <c r="H213" s="28"/>
      <c r="I213" s="41"/>
      <c r="K213" s="28"/>
      <c r="L213" s="41"/>
      <c r="N213" s="28"/>
      <c r="O213" s="41"/>
    </row>
    <row r="214" spans="2:15" x14ac:dyDescent="0.35">
      <c r="B214" s="29"/>
      <c r="C214" s="42"/>
      <c r="E214" s="29"/>
      <c r="F214" s="42"/>
      <c r="H214" s="29"/>
      <c r="I214" s="42"/>
      <c r="K214" s="29"/>
      <c r="L214" s="42"/>
      <c r="N214" s="29"/>
      <c r="O214" s="42"/>
    </row>
    <row r="215" spans="2:15" x14ac:dyDescent="0.35">
      <c r="B215" s="28"/>
      <c r="C215" s="41"/>
      <c r="E215" s="28"/>
      <c r="F215" s="41"/>
      <c r="H215" s="28"/>
      <c r="I215" s="41"/>
      <c r="K215" s="28"/>
      <c r="L215" s="41"/>
      <c r="N215" s="28"/>
      <c r="O215" s="41"/>
    </row>
    <row r="216" spans="2:15" x14ac:dyDescent="0.35">
      <c r="B216" s="29"/>
      <c r="C216" s="42"/>
      <c r="E216" s="29"/>
      <c r="F216" s="42"/>
      <c r="H216" s="29"/>
      <c r="I216" s="42"/>
      <c r="K216" s="29"/>
      <c r="L216" s="42"/>
      <c r="N216" s="29"/>
      <c r="O216" s="42"/>
    </row>
    <row r="217" spans="2:15" x14ac:dyDescent="0.35">
      <c r="B217" s="28"/>
      <c r="C217" s="41"/>
      <c r="E217" s="28"/>
      <c r="F217" s="41"/>
      <c r="H217" s="28"/>
      <c r="I217" s="41"/>
      <c r="K217" s="28"/>
      <c r="L217" s="41"/>
      <c r="N217" s="28"/>
      <c r="O217" s="41"/>
    </row>
    <row r="218" spans="2:15" x14ac:dyDescent="0.35">
      <c r="B218" s="29"/>
      <c r="C218" s="42"/>
      <c r="E218" s="29"/>
      <c r="F218" s="42"/>
      <c r="H218" s="29"/>
      <c r="I218" s="42"/>
      <c r="K218" s="29"/>
      <c r="L218" s="42"/>
      <c r="N218" s="29"/>
      <c r="O218" s="42"/>
    </row>
    <row r="219" spans="2:15" x14ac:dyDescent="0.35">
      <c r="B219" s="28"/>
      <c r="C219" s="41"/>
      <c r="E219" s="28"/>
      <c r="F219" s="41"/>
      <c r="H219" s="28"/>
      <c r="I219" s="41"/>
      <c r="K219" s="28"/>
      <c r="L219" s="41"/>
      <c r="N219" s="28"/>
      <c r="O219" s="41"/>
    </row>
    <row r="220" spans="2:15" x14ac:dyDescent="0.35">
      <c r="B220" s="29"/>
      <c r="C220" s="42"/>
      <c r="E220" s="29"/>
      <c r="F220" s="42"/>
      <c r="H220" s="29"/>
      <c r="I220" s="42"/>
      <c r="K220" s="29"/>
      <c r="L220" s="42"/>
      <c r="N220" s="29"/>
      <c r="O220" s="42"/>
    </row>
    <row r="221" spans="2:15" x14ac:dyDescent="0.35">
      <c r="B221" s="28"/>
      <c r="C221" s="41"/>
      <c r="E221" s="28"/>
      <c r="F221" s="41"/>
      <c r="H221" s="28"/>
      <c r="I221" s="41"/>
      <c r="K221" s="28"/>
      <c r="L221" s="41"/>
      <c r="N221" s="28"/>
      <c r="O221" s="41"/>
    </row>
    <row r="222" spans="2:15" x14ac:dyDescent="0.35">
      <c r="B222" s="29"/>
      <c r="C222" s="42"/>
      <c r="E222" s="29"/>
      <c r="F222" s="42"/>
      <c r="H222" s="29"/>
      <c r="I222" s="42"/>
      <c r="K222" s="29"/>
      <c r="L222" s="42"/>
      <c r="N222" s="29"/>
      <c r="O222" s="42"/>
    </row>
    <row r="223" spans="2:15" x14ac:dyDescent="0.35">
      <c r="B223" s="28"/>
      <c r="C223" s="41"/>
      <c r="E223" s="28"/>
      <c r="F223" s="41"/>
      <c r="H223" s="28"/>
      <c r="I223" s="41"/>
      <c r="K223" s="28"/>
      <c r="L223" s="41"/>
      <c r="N223" s="28"/>
      <c r="O223" s="41"/>
    </row>
    <row r="224" spans="2:15" x14ac:dyDescent="0.35">
      <c r="B224" s="29"/>
      <c r="C224" s="42"/>
      <c r="E224" s="29"/>
      <c r="F224" s="42"/>
      <c r="H224" s="29"/>
      <c r="I224" s="42"/>
      <c r="K224" s="29"/>
      <c r="L224" s="42"/>
      <c r="N224" s="29"/>
      <c r="O224" s="42"/>
    </row>
    <row r="225" spans="2:15" x14ac:dyDescent="0.35">
      <c r="B225" s="28"/>
      <c r="C225" s="41"/>
      <c r="E225" s="28"/>
      <c r="F225" s="41"/>
      <c r="H225" s="28"/>
      <c r="I225" s="41"/>
      <c r="K225" s="28"/>
      <c r="L225" s="41"/>
      <c r="N225" s="28"/>
      <c r="O225" s="41"/>
    </row>
    <row r="226" spans="2:15" x14ac:dyDescent="0.35">
      <c r="B226" s="29"/>
      <c r="C226" s="42"/>
      <c r="E226" s="29"/>
      <c r="F226" s="42"/>
      <c r="H226" s="29"/>
      <c r="I226" s="42"/>
      <c r="K226" s="29"/>
      <c r="L226" s="42"/>
      <c r="N226" s="29"/>
      <c r="O226" s="42"/>
    </row>
    <row r="227" spans="2:15" x14ac:dyDescent="0.35">
      <c r="B227" s="28"/>
      <c r="C227" s="41"/>
      <c r="E227" s="28"/>
      <c r="F227" s="41"/>
      <c r="H227" s="28"/>
      <c r="I227" s="41"/>
      <c r="K227" s="28"/>
      <c r="L227" s="41"/>
      <c r="N227" s="28"/>
      <c r="O227" s="41"/>
    </row>
    <row r="228" spans="2:15" x14ac:dyDescent="0.35">
      <c r="B228" s="29"/>
      <c r="C228" s="42"/>
      <c r="E228" s="29"/>
      <c r="F228" s="42"/>
      <c r="H228" s="29"/>
      <c r="I228" s="42"/>
      <c r="K228" s="29"/>
      <c r="L228" s="42"/>
      <c r="N228" s="29"/>
      <c r="O228" s="42"/>
    </row>
    <row r="229" spans="2:15" x14ac:dyDescent="0.35">
      <c r="B229" s="28"/>
      <c r="C229" s="41"/>
      <c r="E229" s="28"/>
      <c r="F229" s="41"/>
      <c r="H229" s="28"/>
      <c r="I229" s="41"/>
      <c r="K229" s="28"/>
      <c r="L229" s="41"/>
      <c r="N229" s="28"/>
      <c r="O229" s="41"/>
    </row>
    <row r="230" spans="2:15" x14ac:dyDescent="0.35">
      <c r="B230" s="29"/>
      <c r="C230" s="42"/>
      <c r="E230" s="29"/>
      <c r="F230" s="42"/>
      <c r="H230" s="29"/>
      <c r="I230" s="42"/>
      <c r="K230" s="29"/>
      <c r="L230" s="42"/>
      <c r="N230" s="29"/>
      <c r="O230" s="42"/>
    </row>
    <row r="231" spans="2:15" x14ac:dyDescent="0.35">
      <c r="B231" s="28"/>
      <c r="C231" s="41"/>
      <c r="E231" s="28"/>
      <c r="F231" s="41"/>
      <c r="H231" s="28"/>
      <c r="I231" s="41"/>
      <c r="K231" s="28"/>
      <c r="L231" s="41"/>
      <c r="N231" s="28"/>
      <c r="O231" s="41"/>
    </row>
    <row r="232" spans="2:15" x14ac:dyDescent="0.35">
      <c r="B232" s="29"/>
      <c r="C232" s="42"/>
      <c r="E232" s="29"/>
      <c r="F232" s="42"/>
      <c r="H232" s="29"/>
      <c r="I232" s="42"/>
      <c r="K232" s="29"/>
      <c r="L232" s="42"/>
      <c r="N232" s="29"/>
      <c r="O232" s="42"/>
    </row>
    <row r="233" spans="2:15" x14ac:dyDescent="0.35">
      <c r="B233" s="28"/>
      <c r="C233" s="41"/>
      <c r="E233" s="28"/>
      <c r="F233" s="41"/>
      <c r="H233" s="28"/>
      <c r="I233" s="41"/>
      <c r="K233" s="28"/>
      <c r="L233" s="41"/>
      <c r="N233" s="28"/>
      <c r="O233" s="41"/>
    </row>
    <row r="234" spans="2:15" x14ac:dyDescent="0.35">
      <c r="B234" s="29"/>
      <c r="C234" s="42"/>
      <c r="E234" s="29"/>
      <c r="F234" s="42"/>
      <c r="H234" s="29"/>
      <c r="I234" s="42"/>
      <c r="K234" s="29"/>
      <c r="L234" s="42"/>
      <c r="N234" s="29"/>
      <c r="O234" s="42"/>
    </row>
    <row r="235" spans="2:15" x14ac:dyDescent="0.35">
      <c r="B235" s="28"/>
      <c r="C235" s="41"/>
      <c r="E235" s="28"/>
      <c r="F235" s="41"/>
      <c r="H235" s="28"/>
      <c r="I235" s="41"/>
      <c r="K235" s="28"/>
      <c r="L235" s="41"/>
      <c r="N235" s="28"/>
      <c r="O235" s="41"/>
    </row>
    <row r="236" spans="2:15" x14ac:dyDescent="0.35">
      <c r="B236" s="29"/>
      <c r="C236" s="42"/>
      <c r="E236" s="29"/>
      <c r="F236" s="42"/>
      <c r="H236" s="29"/>
      <c r="I236" s="42"/>
      <c r="K236" s="29"/>
      <c r="L236" s="42"/>
      <c r="N236" s="29"/>
      <c r="O236" s="42"/>
    </row>
    <row r="237" spans="2:15" x14ac:dyDescent="0.35">
      <c r="B237" s="28"/>
      <c r="C237" s="41"/>
      <c r="E237" s="28"/>
      <c r="F237" s="41"/>
      <c r="H237" s="28"/>
      <c r="I237" s="41"/>
      <c r="K237" s="28"/>
      <c r="L237" s="41"/>
      <c r="N237" s="28"/>
      <c r="O237" s="41"/>
    </row>
    <row r="238" spans="2:15" x14ac:dyDescent="0.35">
      <c r="B238" s="29"/>
      <c r="C238" s="42"/>
      <c r="E238" s="29"/>
      <c r="F238" s="42"/>
      <c r="H238" s="29"/>
      <c r="I238" s="42"/>
      <c r="K238" s="29"/>
      <c r="L238" s="42"/>
      <c r="N238" s="29"/>
      <c r="O238" s="42"/>
    </row>
    <row r="239" spans="2:15" x14ac:dyDescent="0.35">
      <c r="B239" s="28"/>
      <c r="C239" s="41"/>
      <c r="E239" s="28"/>
      <c r="F239" s="41"/>
      <c r="H239" s="28"/>
      <c r="I239" s="41"/>
      <c r="K239" s="28"/>
      <c r="L239" s="41"/>
      <c r="N239" s="28"/>
      <c r="O239" s="41"/>
    </row>
    <row r="240" spans="2:15" x14ac:dyDescent="0.35">
      <c r="B240" s="29"/>
      <c r="C240" s="42"/>
      <c r="E240" s="29"/>
      <c r="F240" s="42"/>
      <c r="H240" s="29"/>
      <c r="I240" s="42"/>
      <c r="K240" s="29"/>
      <c r="L240" s="42"/>
      <c r="N240" s="29"/>
      <c r="O240" s="42"/>
    </row>
    <row r="241" spans="2:15" x14ac:dyDescent="0.35">
      <c r="B241" s="28"/>
      <c r="C241" s="41"/>
      <c r="E241" s="28"/>
      <c r="F241" s="41"/>
      <c r="H241" s="28"/>
      <c r="I241" s="41"/>
      <c r="K241" s="28"/>
      <c r="L241" s="41"/>
      <c r="N241" s="28"/>
      <c r="O241" s="41"/>
    </row>
    <row r="242" spans="2:15" x14ac:dyDescent="0.35">
      <c r="B242" s="29"/>
      <c r="C242" s="42"/>
      <c r="E242" s="29"/>
      <c r="F242" s="42"/>
      <c r="H242" s="29"/>
      <c r="I242" s="42"/>
      <c r="K242" s="29"/>
      <c r="L242" s="42"/>
      <c r="N242" s="29"/>
      <c r="O242" s="42"/>
    </row>
    <row r="243" spans="2:15" x14ac:dyDescent="0.35">
      <c r="B243" s="28"/>
      <c r="C243" s="41"/>
      <c r="E243" s="28"/>
      <c r="F243" s="41"/>
      <c r="H243" s="28"/>
      <c r="I243" s="41"/>
      <c r="K243" s="28"/>
      <c r="L243" s="41"/>
      <c r="N243" s="28"/>
      <c r="O243" s="41"/>
    </row>
    <row r="244" spans="2:15" x14ac:dyDescent="0.35">
      <c r="B244" s="29"/>
      <c r="C244" s="42"/>
      <c r="E244" s="29"/>
      <c r="F244" s="42"/>
      <c r="H244" s="29"/>
      <c r="I244" s="42"/>
      <c r="K244" s="29"/>
      <c r="L244" s="42"/>
      <c r="N244" s="29"/>
      <c r="O244" s="42"/>
    </row>
    <row r="245" spans="2:15" x14ac:dyDescent="0.35">
      <c r="B245" s="28"/>
      <c r="C245" s="41"/>
      <c r="E245" s="28"/>
      <c r="F245" s="41"/>
      <c r="H245" s="28"/>
      <c r="I245" s="41"/>
      <c r="K245" s="28"/>
      <c r="L245" s="41"/>
      <c r="N245" s="28"/>
      <c r="O245" s="41"/>
    </row>
    <row r="246" spans="2:15" x14ac:dyDescent="0.35">
      <c r="B246" s="29"/>
      <c r="C246" s="42"/>
      <c r="E246" s="29"/>
      <c r="F246" s="42"/>
      <c r="H246" s="29"/>
      <c r="I246" s="42"/>
      <c r="K246" s="29"/>
      <c r="L246" s="42"/>
      <c r="N246" s="29"/>
      <c r="O246" s="42"/>
    </row>
    <row r="247" spans="2:15" x14ac:dyDescent="0.35">
      <c r="B247" s="28"/>
      <c r="C247" s="41"/>
      <c r="E247" s="28"/>
      <c r="F247" s="41"/>
      <c r="H247" s="28"/>
      <c r="I247" s="41"/>
      <c r="K247" s="28"/>
      <c r="L247" s="41"/>
      <c r="N247" s="28"/>
      <c r="O247" s="41"/>
    </row>
    <row r="248" spans="2:15" x14ac:dyDescent="0.35">
      <c r="B248" s="29"/>
      <c r="C248" s="42"/>
      <c r="E248" s="29"/>
      <c r="F248" s="42"/>
      <c r="H248" s="29"/>
      <c r="I248" s="42"/>
      <c r="K248" s="29"/>
      <c r="L248" s="42"/>
      <c r="N248" s="29"/>
      <c r="O248" s="42"/>
    </row>
    <row r="249" spans="2:15" x14ac:dyDescent="0.35">
      <c r="B249" s="28"/>
      <c r="C249" s="41"/>
      <c r="E249" s="28"/>
      <c r="F249" s="41"/>
      <c r="H249" s="28"/>
      <c r="I249" s="41"/>
      <c r="K249" s="28"/>
      <c r="L249" s="41"/>
      <c r="N249" s="28"/>
      <c r="O249" s="41"/>
    </row>
    <row r="250" spans="2:15" x14ac:dyDescent="0.35">
      <c r="B250" s="29"/>
      <c r="C250" s="42"/>
      <c r="E250" s="29"/>
      <c r="F250" s="42"/>
      <c r="H250" s="29"/>
      <c r="I250" s="42"/>
      <c r="K250" s="29"/>
      <c r="L250" s="42"/>
      <c r="N250" s="29"/>
      <c r="O250" s="42"/>
    </row>
    <row r="251" spans="2:15" x14ac:dyDescent="0.35">
      <c r="B251" s="28"/>
      <c r="C251" s="41"/>
      <c r="E251" s="28"/>
      <c r="F251" s="41"/>
      <c r="H251" s="28"/>
      <c r="I251" s="41"/>
      <c r="K251" s="28"/>
      <c r="L251" s="41"/>
      <c r="N251" s="28"/>
      <c r="O251" s="41"/>
    </row>
    <row r="252" spans="2:15" x14ac:dyDescent="0.35">
      <c r="B252" s="29"/>
      <c r="C252" s="42"/>
      <c r="E252" s="29"/>
      <c r="F252" s="42"/>
      <c r="H252" s="29"/>
      <c r="I252" s="42"/>
      <c r="K252" s="29"/>
      <c r="L252" s="42"/>
      <c r="N252" s="29"/>
      <c r="O252" s="42"/>
    </row>
    <row r="253" spans="2:15" x14ac:dyDescent="0.35">
      <c r="B253" s="28"/>
      <c r="C253" s="41"/>
      <c r="E253" s="28"/>
      <c r="F253" s="41"/>
      <c r="H253" s="28"/>
      <c r="I253" s="41"/>
      <c r="K253" s="28"/>
      <c r="L253" s="41"/>
      <c r="N253" s="28"/>
      <c r="O253" s="41"/>
    </row>
    <row r="254" spans="2:15" x14ac:dyDescent="0.35">
      <c r="B254" s="29"/>
      <c r="C254" s="42"/>
      <c r="E254" s="29"/>
      <c r="F254" s="42"/>
      <c r="H254" s="29"/>
      <c r="I254" s="42"/>
      <c r="K254" s="29"/>
      <c r="L254" s="42"/>
      <c r="N254" s="29"/>
      <c r="O254" s="42"/>
    </row>
    <row r="255" spans="2:15" x14ac:dyDescent="0.35">
      <c r="B255" s="28"/>
      <c r="C255" s="41"/>
      <c r="E255" s="28"/>
      <c r="F255" s="41"/>
      <c r="H255" s="28"/>
      <c r="I255" s="41"/>
      <c r="K255" s="28"/>
      <c r="L255" s="41"/>
      <c r="N255" s="28"/>
      <c r="O255" s="41"/>
    </row>
    <row r="256" spans="2:15" x14ac:dyDescent="0.35">
      <c r="B256" s="29"/>
      <c r="C256" s="42"/>
      <c r="E256" s="29"/>
      <c r="F256" s="42"/>
      <c r="H256" s="29"/>
      <c r="I256" s="42"/>
      <c r="K256" s="29"/>
      <c r="L256" s="42"/>
      <c r="N256" s="29"/>
      <c r="O256" s="42"/>
    </row>
    <row r="257" spans="2:15" x14ac:dyDescent="0.35">
      <c r="B257" s="28"/>
      <c r="C257" s="41"/>
      <c r="E257" s="28"/>
      <c r="F257" s="41"/>
      <c r="H257" s="28"/>
      <c r="I257" s="41"/>
      <c r="K257" s="28"/>
      <c r="L257" s="41"/>
      <c r="N257" s="28"/>
      <c r="O257" s="41"/>
    </row>
    <row r="258" spans="2:15" x14ac:dyDescent="0.35">
      <c r="B258" s="29"/>
      <c r="C258" s="42"/>
      <c r="E258" s="29"/>
      <c r="F258" s="42"/>
      <c r="H258" s="29"/>
      <c r="I258" s="42"/>
      <c r="K258" s="29"/>
      <c r="L258" s="42"/>
      <c r="N258" s="29"/>
      <c r="O258" s="42"/>
    </row>
    <row r="259" spans="2:15" x14ac:dyDescent="0.35">
      <c r="B259" s="28"/>
      <c r="C259" s="41"/>
      <c r="E259" s="28"/>
      <c r="F259" s="41"/>
      <c r="H259" s="28"/>
      <c r="I259" s="41"/>
      <c r="K259" s="28"/>
      <c r="L259" s="41"/>
      <c r="N259" s="28"/>
      <c r="O259" s="41"/>
    </row>
    <row r="260" spans="2:15" x14ac:dyDescent="0.35">
      <c r="B260" s="29"/>
      <c r="C260" s="42"/>
      <c r="E260" s="29"/>
      <c r="F260" s="42"/>
      <c r="H260" s="29"/>
      <c r="I260" s="42"/>
      <c r="K260" s="29"/>
      <c r="L260" s="42"/>
      <c r="N260" s="29"/>
      <c r="O260" s="42"/>
    </row>
    <row r="261" spans="2:15" x14ac:dyDescent="0.35">
      <c r="B261" s="28"/>
      <c r="C261" s="41"/>
      <c r="E261" s="28"/>
      <c r="F261" s="41"/>
      <c r="H261" s="28"/>
      <c r="I261" s="41"/>
      <c r="K261" s="28"/>
      <c r="L261" s="41"/>
      <c r="N261" s="28"/>
      <c r="O261" s="41"/>
    </row>
    <row r="262" spans="2:15" x14ac:dyDescent="0.35">
      <c r="B262" s="29"/>
      <c r="C262" s="42"/>
      <c r="E262" s="29"/>
      <c r="F262" s="42"/>
      <c r="H262" s="29"/>
      <c r="I262" s="42"/>
      <c r="K262" s="29"/>
      <c r="L262" s="42"/>
      <c r="N262" s="29"/>
      <c r="O262" s="42"/>
    </row>
    <row r="263" spans="2:15" x14ac:dyDescent="0.35">
      <c r="B263" s="28"/>
      <c r="C263" s="41"/>
      <c r="E263" s="28"/>
      <c r="F263" s="41"/>
      <c r="H263" s="28"/>
      <c r="I263" s="41"/>
      <c r="K263" s="28"/>
      <c r="L263" s="41"/>
      <c r="N263" s="28"/>
      <c r="O263" s="41"/>
    </row>
    <row r="264" spans="2:15" x14ac:dyDescent="0.35">
      <c r="B264" s="29"/>
      <c r="C264" s="42"/>
      <c r="E264" s="29"/>
      <c r="F264" s="42"/>
      <c r="H264" s="29"/>
      <c r="I264" s="42"/>
      <c r="K264" s="29"/>
      <c r="L264" s="42"/>
      <c r="N264" s="29"/>
      <c r="O264" s="42"/>
    </row>
    <row r="265" spans="2:15" x14ac:dyDescent="0.35">
      <c r="B265" s="28"/>
      <c r="C265" s="41"/>
      <c r="E265" s="28"/>
      <c r="F265" s="41"/>
      <c r="H265" s="28"/>
      <c r="I265" s="41"/>
      <c r="K265" s="28"/>
      <c r="L265" s="41"/>
      <c r="N265" s="28"/>
      <c r="O265" s="41"/>
    </row>
    <row r="266" spans="2:15" x14ac:dyDescent="0.35">
      <c r="B266" s="29"/>
      <c r="C266" s="42"/>
      <c r="E266" s="29"/>
      <c r="F266" s="42"/>
      <c r="H266" s="29"/>
      <c r="I266" s="42"/>
      <c r="K266" s="29"/>
      <c r="L266" s="42"/>
      <c r="N266" s="29"/>
      <c r="O266" s="42"/>
    </row>
    <row r="267" spans="2:15" x14ac:dyDescent="0.35">
      <c r="B267" s="28"/>
      <c r="C267" s="41"/>
      <c r="E267" s="28"/>
      <c r="F267" s="41"/>
      <c r="H267" s="28"/>
      <c r="I267" s="41"/>
      <c r="K267" s="28"/>
      <c r="L267" s="41"/>
      <c r="N267" s="28"/>
      <c r="O267" s="41"/>
    </row>
    <row r="268" spans="2:15" x14ac:dyDescent="0.35">
      <c r="B268" s="29"/>
      <c r="C268" s="42"/>
      <c r="E268" s="29"/>
      <c r="F268" s="42"/>
      <c r="H268" s="29"/>
      <c r="I268" s="42"/>
      <c r="K268" s="29"/>
      <c r="L268" s="42"/>
      <c r="N268" s="29"/>
      <c r="O268" s="42"/>
    </row>
    <row r="269" spans="2:15" x14ac:dyDescent="0.35">
      <c r="B269" s="28"/>
      <c r="C269" s="41"/>
      <c r="E269" s="28"/>
      <c r="F269" s="41"/>
      <c r="H269" s="28"/>
      <c r="I269" s="41"/>
      <c r="K269" s="28"/>
      <c r="L269" s="41"/>
      <c r="N269" s="28"/>
      <c r="O269" s="41"/>
    </row>
    <row r="270" spans="2:15" x14ac:dyDescent="0.35">
      <c r="B270" s="29"/>
      <c r="C270" s="42"/>
      <c r="E270" s="29"/>
      <c r="F270" s="42"/>
      <c r="H270" s="29"/>
      <c r="I270" s="42"/>
      <c r="K270" s="29"/>
      <c r="L270" s="42"/>
      <c r="N270" s="29"/>
      <c r="O270" s="42"/>
    </row>
    <row r="271" spans="2:15" x14ac:dyDescent="0.35">
      <c r="B271" s="28"/>
      <c r="C271" s="41"/>
      <c r="E271" s="28"/>
      <c r="F271" s="41"/>
      <c r="H271" s="28"/>
      <c r="I271" s="41"/>
      <c r="K271" s="28"/>
      <c r="L271" s="41"/>
      <c r="N271" s="28"/>
      <c r="O271" s="41"/>
    </row>
    <row r="272" spans="2:15" x14ac:dyDescent="0.35">
      <c r="B272" s="29"/>
      <c r="C272" s="42"/>
      <c r="E272" s="29"/>
      <c r="F272" s="42"/>
      <c r="H272" s="29"/>
      <c r="I272" s="42"/>
      <c r="K272" s="29"/>
      <c r="L272" s="42"/>
      <c r="N272" s="29"/>
      <c r="O272" s="42"/>
    </row>
    <row r="273" spans="2:15" x14ac:dyDescent="0.35">
      <c r="B273" s="28"/>
      <c r="C273" s="41"/>
      <c r="E273" s="28"/>
      <c r="F273" s="41"/>
      <c r="H273" s="28"/>
      <c r="I273" s="41"/>
      <c r="K273" s="28"/>
      <c r="L273" s="41"/>
      <c r="N273" s="28"/>
      <c r="O273" s="41"/>
    </row>
    <row r="274" spans="2:15" x14ac:dyDescent="0.35">
      <c r="B274" s="29"/>
      <c r="C274" s="42"/>
      <c r="E274" s="29"/>
      <c r="F274" s="42"/>
      <c r="H274" s="29"/>
      <c r="I274" s="42"/>
      <c r="K274" s="29"/>
      <c r="L274" s="42"/>
      <c r="N274" s="29"/>
      <c r="O274" s="42"/>
    </row>
    <row r="275" spans="2:15" x14ac:dyDescent="0.35">
      <c r="B275" s="28"/>
      <c r="C275" s="41"/>
      <c r="E275" s="28"/>
      <c r="F275" s="41"/>
      <c r="H275" s="28"/>
      <c r="I275" s="41"/>
      <c r="K275" s="28"/>
      <c r="L275" s="41"/>
      <c r="N275" s="28"/>
      <c r="O275" s="41"/>
    </row>
    <row r="276" spans="2:15" x14ac:dyDescent="0.35">
      <c r="B276" s="29"/>
      <c r="C276" s="42"/>
      <c r="E276" s="29"/>
      <c r="F276" s="42"/>
      <c r="H276" s="29"/>
      <c r="I276" s="42"/>
      <c r="K276" s="29"/>
      <c r="L276" s="42"/>
      <c r="N276" s="29"/>
      <c r="O276" s="42"/>
    </row>
    <row r="277" spans="2:15" x14ac:dyDescent="0.35">
      <c r="B277" s="28"/>
      <c r="C277" s="41"/>
      <c r="E277" s="28"/>
      <c r="F277" s="41"/>
      <c r="H277" s="28"/>
      <c r="I277" s="41"/>
      <c r="K277" s="28"/>
      <c r="L277" s="41"/>
      <c r="N277" s="28"/>
      <c r="O277" s="41"/>
    </row>
    <row r="278" spans="2:15" x14ac:dyDescent="0.35">
      <c r="B278" s="29"/>
      <c r="C278" s="42"/>
      <c r="E278" s="29"/>
      <c r="F278" s="42"/>
      <c r="H278" s="29"/>
      <c r="I278" s="42"/>
      <c r="K278" s="29"/>
      <c r="L278" s="42"/>
      <c r="N278" s="29"/>
      <c r="O278" s="42"/>
    </row>
    <row r="279" spans="2:15" x14ac:dyDescent="0.35">
      <c r="B279" s="28"/>
      <c r="C279" s="41"/>
      <c r="E279" s="28"/>
      <c r="F279" s="41"/>
      <c r="H279" s="28"/>
      <c r="I279" s="41"/>
      <c r="K279" s="28"/>
      <c r="L279" s="41"/>
      <c r="N279" s="28"/>
      <c r="O279" s="41"/>
    </row>
    <row r="280" spans="2:15" x14ac:dyDescent="0.35">
      <c r="B280" s="29"/>
      <c r="C280" s="42"/>
      <c r="E280" s="29"/>
      <c r="F280" s="42"/>
      <c r="H280" s="29"/>
      <c r="I280" s="42"/>
      <c r="K280" s="29"/>
      <c r="L280" s="42"/>
      <c r="N280" s="29"/>
      <c r="O280" s="42"/>
    </row>
    <row r="281" spans="2:15" x14ac:dyDescent="0.35">
      <c r="B281" s="28"/>
      <c r="C281" s="41"/>
      <c r="E281" s="28"/>
      <c r="F281" s="41"/>
      <c r="H281" s="28"/>
      <c r="I281" s="41"/>
      <c r="K281" s="28"/>
      <c r="L281" s="41"/>
      <c r="N281" s="28"/>
      <c r="O281" s="41"/>
    </row>
    <row r="282" spans="2:15" x14ac:dyDescent="0.35">
      <c r="B282" s="29"/>
      <c r="C282" s="42"/>
      <c r="E282" s="29"/>
      <c r="F282" s="42"/>
      <c r="H282" s="29"/>
      <c r="I282" s="42"/>
      <c r="K282" s="29"/>
      <c r="L282" s="42"/>
      <c r="N282" s="29"/>
      <c r="O282" s="42"/>
    </row>
    <row r="283" spans="2:15" x14ac:dyDescent="0.35">
      <c r="B283" s="28"/>
      <c r="C283" s="41"/>
      <c r="E283" s="28"/>
      <c r="F283" s="41"/>
      <c r="H283" s="28"/>
      <c r="I283" s="41"/>
      <c r="K283" s="28"/>
      <c r="L283" s="41"/>
      <c r="N283" s="28"/>
      <c r="O283" s="41"/>
    </row>
    <row r="284" spans="2:15" x14ac:dyDescent="0.35">
      <c r="B284" s="29"/>
      <c r="C284" s="42"/>
      <c r="E284" s="29"/>
      <c r="F284" s="42"/>
      <c r="H284" s="29"/>
      <c r="I284" s="42"/>
      <c r="K284" s="29"/>
      <c r="L284" s="42"/>
      <c r="N284" s="29"/>
      <c r="O284" s="42"/>
    </row>
    <row r="285" spans="2:15" x14ac:dyDescent="0.35">
      <c r="B285" s="28"/>
      <c r="C285" s="41"/>
      <c r="E285" s="28"/>
      <c r="F285" s="41"/>
      <c r="H285" s="28"/>
      <c r="I285" s="41"/>
      <c r="K285" s="28"/>
      <c r="L285" s="41"/>
      <c r="N285" s="28"/>
      <c r="O285" s="41"/>
    </row>
    <row r="286" spans="2:15" x14ac:dyDescent="0.35">
      <c r="B286" s="29"/>
      <c r="C286" s="42"/>
      <c r="E286" s="29"/>
      <c r="F286" s="42"/>
      <c r="H286" s="29"/>
      <c r="I286" s="42"/>
      <c r="K286" s="29"/>
      <c r="L286" s="42"/>
      <c r="N286" s="29"/>
      <c r="O286" s="42"/>
    </row>
    <row r="287" spans="2:15" x14ac:dyDescent="0.35">
      <c r="B287" s="28"/>
      <c r="C287" s="41"/>
      <c r="E287" s="28"/>
      <c r="F287" s="41"/>
      <c r="H287" s="28"/>
      <c r="I287" s="41"/>
      <c r="K287" s="28"/>
      <c r="L287" s="41"/>
      <c r="N287" s="28"/>
      <c r="O287" s="41"/>
    </row>
    <row r="288" spans="2:15" x14ac:dyDescent="0.35">
      <c r="B288" s="29"/>
      <c r="C288" s="42"/>
      <c r="E288" s="29"/>
      <c r="F288" s="42"/>
      <c r="H288" s="29"/>
      <c r="I288" s="42"/>
      <c r="K288" s="29"/>
      <c r="L288" s="42"/>
      <c r="N288" s="29"/>
      <c r="O288" s="42"/>
    </row>
    <row r="289" spans="2:15" x14ac:dyDescent="0.35">
      <c r="B289" s="28"/>
      <c r="C289" s="41"/>
      <c r="E289" s="28"/>
      <c r="F289" s="41"/>
      <c r="H289" s="28"/>
      <c r="I289" s="41"/>
      <c r="K289" s="28"/>
      <c r="L289" s="41"/>
      <c r="N289" s="28"/>
      <c r="O289" s="41"/>
    </row>
    <row r="290" spans="2:15" x14ac:dyDescent="0.35">
      <c r="B290" s="29"/>
      <c r="C290" s="42"/>
      <c r="E290" s="29"/>
      <c r="F290" s="42"/>
      <c r="H290" s="29"/>
      <c r="I290" s="42"/>
      <c r="K290" s="29"/>
      <c r="L290" s="42"/>
      <c r="N290" s="29"/>
      <c r="O290" s="42"/>
    </row>
    <row r="291" spans="2:15" x14ac:dyDescent="0.35">
      <c r="B291" s="28"/>
      <c r="C291" s="41"/>
      <c r="E291" s="28"/>
      <c r="F291" s="41"/>
      <c r="H291" s="28"/>
      <c r="I291" s="41"/>
      <c r="K291" s="28"/>
      <c r="L291" s="41"/>
      <c r="N291" s="28"/>
      <c r="O291" s="41"/>
    </row>
    <row r="292" spans="2:15" x14ac:dyDescent="0.35">
      <c r="B292" s="29"/>
      <c r="C292" s="42"/>
      <c r="E292" s="29"/>
      <c r="F292" s="42"/>
      <c r="H292" s="29"/>
      <c r="I292" s="42"/>
      <c r="K292" s="29"/>
      <c r="L292" s="42"/>
      <c r="N292" s="29"/>
      <c r="O292" s="42"/>
    </row>
    <row r="293" spans="2:15" x14ac:dyDescent="0.35">
      <c r="B293" s="28"/>
      <c r="C293" s="41"/>
      <c r="E293" s="28"/>
      <c r="F293" s="41"/>
      <c r="H293" s="28"/>
      <c r="I293" s="41"/>
      <c r="K293" s="28"/>
      <c r="L293" s="41"/>
      <c r="N293" s="28"/>
      <c r="O293" s="41"/>
    </row>
    <row r="294" spans="2:15" x14ac:dyDescent="0.35">
      <c r="B294" s="29"/>
      <c r="C294" s="42"/>
      <c r="E294" s="29"/>
      <c r="F294" s="42"/>
      <c r="H294" s="29"/>
      <c r="I294" s="42"/>
      <c r="K294" s="29"/>
      <c r="L294" s="42"/>
      <c r="N294" s="29"/>
      <c r="O294" s="42"/>
    </row>
    <row r="295" spans="2:15" x14ac:dyDescent="0.35">
      <c r="B295" s="28"/>
      <c r="C295" s="41"/>
      <c r="E295" s="28"/>
      <c r="F295" s="41"/>
      <c r="H295" s="28"/>
      <c r="I295" s="41"/>
      <c r="K295" s="28"/>
      <c r="L295" s="41"/>
      <c r="N295" s="28"/>
      <c r="O295" s="41"/>
    </row>
    <row r="296" spans="2:15" x14ac:dyDescent="0.35">
      <c r="B296" s="29"/>
      <c r="C296" s="42"/>
      <c r="E296" s="29"/>
      <c r="F296" s="42"/>
      <c r="H296" s="29"/>
      <c r="I296" s="42"/>
      <c r="K296" s="29"/>
      <c r="L296" s="42"/>
      <c r="N296" s="29"/>
      <c r="O296" s="42"/>
    </row>
    <row r="297" spans="2:15" x14ac:dyDescent="0.35">
      <c r="B297" s="28"/>
      <c r="C297" s="41"/>
      <c r="E297" s="28"/>
      <c r="F297" s="41"/>
      <c r="H297" s="28"/>
      <c r="I297" s="41"/>
      <c r="K297" s="28"/>
      <c r="L297" s="41"/>
      <c r="N297" s="28"/>
      <c r="O297" s="41"/>
    </row>
    <row r="298" spans="2:15" x14ac:dyDescent="0.35">
      <c r="B298" s="29"/>
      <c r="C298" s="42"/>
      <c r="E298" s="29"/>
      <c r="F298" s="42"/>
      <c r="H298" s="29"/>
      <c r="I298" s="42"/>
      <c r="K298" s="29"/>
      <c r="L298" s="42"/>
      <c r="N298" s="29"/>
      <c r="O298" s="42"/>
    </row>
  </sheetData>
  <mergeCells count="75">
    <mergeCell ref="N27:O27"/>
    <mergeCell ref="N28:O28"/>
    <mergeCell ref="N29:O29"/>
    <mergeCell ref="N30:O30"/>
    <mergeCell ref="N31:O31"/>
    <mergeCell ref="N33:O33"/>
    <mergeCell ref="K31:L31"/>
    <mergeCell ref="K33:L33"/>
    <mergeCell ref="N2:O2"/>
    <mergeCell ref="N11:O11"/>
    <mergeCell ref="N21:O21"/>
    <mergeCell ref="N22:O22"/>
    <mergeCell ref="N23:O23"/>
    <mergeCell ref="N24:O24"/>
    <mergeCell ref="N25:O25"/>
    <mergeCell ref="N26:O26"/>
    <mergeCell ref="K25:L25"/>
    <mergeCell ref="K26:L26"/>
    <mergeCell ref="K27:L27"/>
    <mergeCell ref="K28:L28"/>
    <mergeCell ref="K29:L29"/>
    <mergeCell ref="K30:L30"/>
    <mergeCell ref="K2:L2"/>
    <mergeCell ref="K11:L11"/>
    <mergeCell ref="K21:L21"/>
    <mergeCell ref="K22:L22"/>
    <mergeCell ref="K23:L23"/>
    <mergeCell ref="K24:L24"/>
    <mergeCell ref="H27:I27"/>
    <mergeCell ref="H28:I28"/>
    <mergeCell ref="H29:I29"/>
    <mergeCell ref="H30:I30"/>
    <mergeCell ref="H31:I31"/>
    <mergeCell ref="H33:I33"/>
    <mergeCell ref="E31:F31"/>
    <mergeCell ref="E33:F33"/>
    <mergeCell ref="H2:I2"/>
    <mergeCell ref="H11:I11"/>
    <mergeCell ref="H21:I21"/>
    <mergeCell ref="H22:I22"/>
    <mergeCell ref="H23:I23"/>
    <mergeCell ref="H24:I24"/>
    <mergeCell ref="H25:I25"/>
    <mergeCell ref="H26:I26"/>
    <mergeCell ref="E25:F25"/>
    <mergeCell ref="E26:F26"/>
    <mergeCell ref="E27:F27"/>
    <mergeCell ref="E28:F28"/>
    <mergeCell ref="E29:F29"/>
    <mergeCell ref="E30:F30"/>
    <mergeCell ref="E2:F2"/>
    <mergeCell ref="E11:F11"/>
    <mergeCell ref="E21:F21"/>
    <mergeCell ref="E22:F22"/>
    <mergeCell ref="E23:F23"/>
    <mergeCell ref="E24:F24"/>
    <mergeCell ref="B29:C29"/>
    <mergeCell ref="B30:C30"/>
    <mergeCell ref="B31:C31"/>
    <mergeCell ref="B33:C33"/>
    <mergeCell ref="B22:C22"/>
    <mergeCell ref="B23:C23"/>
    <mergeCell ref="B24:C24"/>
    <mergeCell ref="B25:C25"/>
    <mergeCell ref="B26:C26"/>
    <mergeCell ref="B2:C2"/>
    <mergeCell ref="B11:C11"/>
    <mergeCell ref="B21:C21"/>
    <mergeCell ref="B28:C28"/>
    <mergeCell ref="B27:C27"/>
    <mergeCell ref="K1:L1"/>
    <mergeCell ref="N1:O1"/>
    <mergeCell ref="B1:C1"/>
    <mergeCell ref="E1:F1"/>
    <mergeCell ref="H1:I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B7D5-BC33-4792-B003-DEE2F6BE0065}">
  <sheetPr codeName="Sheet4"/>
  <dimension ref="A1:Z1048576"/>
  <sheetViews>
    <sheetView workbookViewId="0">
      <selection activeCell="M13" sqref="M13"/>
    </sheetView>
  </sheetViews>
  <sheetFormatPr defaultColWidth="0" defaultRowHeight="14.5" x14ac:dyDescent="0.35"/>
  <cols>
    <col min="1" max="1" width="2.81640625" style="22" customWidth="1"/>
    <col min="2" max="2" width="8.7265625" style="53" customWidth="1"/>
    <col min="3" max="5" width="5.36328125" customWidth="1"/>
    <col min="6" max="6" width="2.81640625" style="22" customWidth="1"/>
    <col min="7" max="7" width="8.7265625" style="53" customWidth="1"/>
    <col min="8" max="10" width="5.36328125" customWidth="1"/>
    <col min="11" max="11" width="2.81640625" style="22" customWidth="1"/>
    <col min="12" max="12" width="8.7265625" style="53" customWidth="1"/>
    <col min="13" max="15" width="5.36328125" customWidth="1"/>
    <col min="16" max="16" width="2.81640625" style="22" customWidth="1"/>
    <col min="17" max="17" width="8.7265625" style="53" customWidth="1"/>
    <col min="18" max="20" width="5.36328125" customWidth="1"/>
    <col min="21" max="21" width="2.81640625" style="22" customWidth="1"/>
    <col min="22" max="22" width="8.7265625" style="53" customWidth="1"/>
    <col min="23" max="25" width="5.36328125" customWidth="1"/>
    <col min="26" max="26" width="2.81640625" style="22" customWidth="1"/>
    <col min="27" max="16384" width="8.7265625" hidden="1"/>
  </cols>
  <sheetData>
    <row r="1" spans="2:25" ht="25" customHeight="1" x14ac:dyDescent="0.35">
      <c r="B1" s="100"/>
      <c r="C1" s="100"/>
      <c r="D1" s="100"/>
      <c r="E1" s="100"/>
      <c r="G1" s="100"/>
      <c r="H1" s="100"/>
      <c r="I1" s="100"/>
      <c r="J1" s="100"/>
      <c r="L1" s="100"/>
      <c r="M1" s="100"/>
      <c r="N1" s="100"/>
      <c r="O1" s="100"/>
      <c r="Q1" s="100"/>
      <c r="R1" s="100"/>
      <c r="S1" s="100"/>
      <c r="T1" s="100"/>
      <c r="V1" s="100"/>
      <c r="W1" s="100"/>
      <c r="X1" s="100"/>
      <c r="Y1" s="100"/>
    </row>
    <row r="2" spans="2:25" x14ac:dyDescent="0.35">
      <c r="B2" s="44" t="s">
        <v>544</v>
      </c>
      <c r="C2" s="45">
        <v>1</v>
      </c>
      <c r="D2" s="45">
        <v>2</v>
      </c>
      <c r="E2" s="46">
        <v>3</v>
      </c>
      <c r="G2" s="44" t="s">
        <v>544</v>
      </c>
      <c r="H2" s="45">
        <v>1</v>
      </c>
      <c r="I2" s="45">
        <v>2</v>
      </c>
      <c r="J2" s="46">
        <v>3</v>
      </c>
      <c r="L2" s="44" t="s">
        <v>544</v>
      </c>
      <c r="M2" s="45">
        <v>1</v>
      </c>
      <c r="N2" s="45">
        <v>2</v>
      </c>
      <c r="O2" s="46">
        <v>3</v>
      </c>
      <c r="Q2" s="44" t="s">
        <v>544</v>
      </c>
      <c r="R2" s="45">
        <v>1</v>
      </c>
      <c r="S2" s="45">
        <v>2</v>
      </c>
      <c r="T2" s="46">
        <v>3</v>
      </c>
      <c r="V2" s="44" t="s">
        <v>544</v>
      </c>
      <c r="W2" s="45">
        <v>1</v>
      </c>
      <c r="X2" s="45">
        <v>2</v>
      </c>
      <c r="Y2" s="46">
        <v>3</v>
      </c>
    </row>
    <row r="3" spans="2:25" x14ac:dyDescent="0.35">
      <c r="B3" s="49"/>
      <c r="C3" s="23"/>
      <c r="D3" s="23"/>
      <c r="E3" s="24"/>
      <c r="G3" s="49"/>
      <c r="H3" s="23"/>
      <c r="I3" s="23"/>
      <c r="J3" s="24"/>
      <c r="L3" s="49"/>
      <c r="M3" s="23"/>
      <c r="N3" s="23"/>
      <c r="O3" s="24"/>
      <c r="Q3" s="49"/>
      <c r="R3" s="23"/>
      <c r="S3" s="23"/>
      <c r="T3" s="24"/>
      <c r="V3" s="49"/>
      <c r="W3" s="23"/>
      <c r="X3" s="23"/>
      <c r="Y3" s="24"/>
    </row>
    <row r="4" spans="2:25" x14ac:dyDescent="0.35">
      <c r="B4" s="50"/>
      <c r="C4" s="18"/>
      <c r="D4" s="20"/>
      <c r="E4" s="25"/>
      <c r="G4" s="50"/>
      <c r="H4" s="20"/>
      <c r="I4" s="20"/>
      <c r="J4" s="25"/>
      <c r="L4" s="50"/>
      <c r="M4" s="20"/>
      <c r="N4" s="20"/>
      <c r="O4" s="25"/>
      <c r="Q4" s="50"/>
      <c r="R4" s="20"/>
      <c r="S4" s="20"/>
      <c r="T4" s="25"/>
      <c r="V4" s="50"/>
      <c r="W4" s="20"/>
      <c r="X4" s="20"/>
      <c r="Y4" s="25"/>
    </row>
    <row r="5" spans="2:25" x14ac:dyDescent="0.35">
      <c r="B5" s="51"/>
      <c r="C5" s="19"/>
      <c r="D5" s="21"/>
      <c r="E5" s="26"/>
      <c r="G5" s="51"/>
      <c r="H5" s="21"/>
      <c r="I5" s="21"/>
      <c r="J5" s="26"/>
      <c r="L5" s="51"/>
      <c r="M5" s="21"/>
      <c r="N5" s="21"/>
      <c r="O5" s="26"/>
      <c r="Q5" s="51"/>
      <c r="R5" s="21"/>
      <c r="S5" s="21"/>
      <c r="T5" s="26"/>
      <c r="V5" s="51"/>
      <c r="W5" s="21"/>
      <c r="X5" s="21"/>
      <c r="Y5" s="26"/>
    </row>
    <row r="6" spans="2:25" x14ac:dyDescent="0.35">
      <c r="B6" s="50"/>
      <c r="C6" s="18"/>
      <c r="D6" s="20"/>
      <c r="E6" s="25"/>
      <c r="G6" s="50"/>
      <c r="H6" s="20"/>
      <c r="I6" s="20"/>
      <c r="J6" s="25"/>
      <c r="L6" s="50"/>
      <c r="M6" s="20"/>
      <c r="N6" s="20"/>
      <c r="O6" s="25"/>
      <c r="Q6" s="50"/>
      <c r="R6" s="20"/>
      <c r="S6" s="20"/>
      <c r="T6" s="25"/>
      <c r="V6" s="50"/>
      <c r="W6" s="20"/>
      <c r="X6" s="20"/>
      <c r="Y6" s="25"/>
    </row>
    <row r="7" spans="2:25" x14ac:dyDescent="0.35">
      <c r="B7" s="51"/>
      <c r="C7" s="19"/>
      <c r="D7" s="21"/>
      <c r="E7" s="26"/>
      <c r="G7" s="51"/>
      <c r="H7" s="21"/>
      <c r="I7" s="21"/>
      <c r="J7" s="26"/>
      <c r="L7" s="51"/>
      <c r="M7" s="21"/>
      <c r="N7" s="21"/>
      <c r="O7" s="26"/>
      <c r="Q7" s="51"/>
      <c r="R7" s="21"/>
      <c r="S7" s="21"/>
      <c r="T7" s="26"/>
      <c r="V7" s="51"/>
      <c r="W7" s="21"/>
      <c r="X7" s="21"/>
      <c r="Y7" s="26"/>
    </row>
    <row r="8" spans="2:25" x14ac:dyDescent="0.35">
      <c r="B8" s="50"/>
      <c r="C8" s="18"/>
      <c r="D8" s="20"/>
      <c r="E8" s="25"/>
      <c r="G8" s="50"/>
      <c r="H8" s="20"/>
      <c r="I8" s="20"/>
      <c r="J8" s="25"/>
      <c r="L8" s="50"/>
      <c r="M8" s="20"/>
      <c r="N8" s="20"/>
      <c r="O8" s="25"/>
      <c r="Q8" s="50"/>
      <c r="R8" s="20"/>
      <c r="S8" s="20"/>
      <c r="T8" s="25"/>
      <c r="V8" s="50"/>
      <c r="W8" s="20"/>
      <c r="X8" s="20"/>
      <c r="Y8" s="25"/>
    </row>
    <row r="9" spans="2:25" x14ac:dyDescent="0.35">
      <c r="B9" s="51"/>
      <c r="C9" s="19"/>
      <c r="D9" s="21"/>
      <c r="E9" s="26"/>
      <c r="G9" s="51"/>
      <c r="H9" s="21"/>
      <c r="I9" s="21"/>
      <c r="J9" s="26"/>
      <c r="L9" s="51"/>
      <c r="M9" s="21"/>
      <c r="N9" s="21"/>
      <c r="O9" s="26"/>
      <c r="Q9" s="51"/>
      <c r="R9" s="21"/>
      <c r="S9" s="21"/>
      <c r="T9" s="26"/>
      <c r="V9" s="51"/>
      <c r="W9" s="21"/>
      <c r="X9" s="21"/>
      <c r="Y9" s="26"/>
    </row>
    <row r="10" spans="2:25" x14ac:dyDescent="0.35">
      <c r="B10" s="50"/>
      <c r="C10" s="18"/>
      <c r="D10" s="20"/>
      <c r="E10" s="25"/>
      <c r="G10" s="50"/>
      <c r="H10" s="20"/>
      <c r="I10" s="20"/>
      <c r="J10" s="25"/>
      <c r="L10" s="50"/>
      <c r="M10" s="20"/>
      <c r="N10" s="20"/>
      <c r="O10" s="25"/>
      <c r="Q10" s="50"/>
      <c r="R10" s="20"/>
      <c r="S10" s="20"/>
      <c r="T10" s="25"/>
      <c r="V10" s="50"/>
      <c r="W10" s="20"/>
      <c r="X10" s="20"/>
      <c r="Y10" s="25"/>
    </row>
    <row r="11" spans="2:25" x14ac:dyDescent="0.35">
      <c r="B11" s="51"/>
      <c r="C11" s="19"/>
      <c r="D11" s="21"/>
      <c r="E11" s="26"/>
      <c r="G11" s="51"/>
      <c r="H11" s="21"/>
      <c r="I11" s="21"/>
      <c r="J11" s="26"/>
      <c r="L11" s="51"/>
      <c r="M11" s="21"/>
      <c r="N11" s="21"/>
      <c r="O11" s="26"/>
      <c r="Q11" s="51"/>
      <c r="R11" s="21"/>
      <c r="S11" s="21"/>
      <c r="T11" s="26"/>
      <c r="V11" s="51"/>
      <c r="W11" s="21"/>
      <c r="X11" s="21"/>
      <c r="Y11" s="26"/>
    </row>
    <row r="12" spans="2:25" x14ac:dyDescent="0.35">
      <c r="B12" s="50"/>
      <c r="C12" s="18"/>
      <c r="D12" s="20"/>
      <c r="E12" s="25"/>
      <c r="G12" s="50"/>
      <c r="H12" s="20"/>
      <c r="I12" s="20"/>
      <c r="J12" s="25"/>
      <c r="L12" s="50"/>
      <c r="M12" s="20"/>
      <c r="N12" s="20"/>
      <c r="O12" s="25"/>
      <c r="Q12" s="50"/>
      <c r="R12" s="20"/>
      <c r="S12" s="20"/>
      <c r="T12" s="25"/>
      <c r="V12" s="50"/>
      <c r="W12" s="20"/>
      <c r="X12" s="20"/>
      <c r="Y12" s="25"/>
    </row>
    <row r="13" spans="2:25" x14ac:dyDescent="0.35">
      <c r="B13" s="51"/>
      <c r="C13" s="19"/>
      <c r="D13" s="21"/>
      <c r="E13" s="26"/>
      <c r="G13" s="51"/>
      <c r="H13" s="21"/>
      <c r="I13" s="21"/>
      <c r="J13" s="26"/>
      <c r="L13" s="51"/>
      <c r="M13" s="21"/>
      <c r="N13" s="21"/>
      <c r="O13" s="26"/>
      <c r="Q13" s="51"/>
      <c r="R13" s="21"/>
      <c r="S13" s="21"/>
      <c r="T13" s="26"/>
      <c r="V13" s="51"/>
      <c r="W13" s="21"/>
      <c r="X13" s="21"/>
      <c r="Y13" s="26"/>
    </row>
    <row r="14" spans="2:25" x14ac:dyDescent="0.35">
      <c r="B14" s="50"/>
      <c r="C14" s="18"/>
      <c r="D14" s="20"/>
      <c r="E14" s="25"/>
      <c r="G14" s="50"/>
      <c r="H14" s="20"/>
      <c r="I14" s="20"/>
      <c r="J14" s="25"/>
      <c r="L14" s="50"/>
      <c r="M14" s="20"/>
      <c r="N14" s="20"/>
      <c r="O14" s="25"/>
      <c r="Q14" s="50"/>
      <c r="R14" s="20"/>
      <c r="S14" s="20"/>
      <c r="T14" s="25"/>
      <c r="V14" s="50"/>
      <c r="W14" s="20"/>
      <c r="X14" s="20"/>
      <c r="Y14" s="25"/>
    </row>
    <row r="15" spans="2:25" x14ac:dyDescent="0.35">
      <c r="B15" s="51"/>
      <c r="C15" s="19"/>
      <c r="D15" s="21"/>
      <c r="E15" s="26"/>
      <c r="G15" s="51"/>
      <c r="H15" s="21"/>
      <c r="I15" s="21"/>
      <c r="J15" s="26"/>
      <c r="L15" s="51"/>
      <c r="M15" s="21"/>
      <c r="N15" s="21"/>
      <c r="O15" s="26"/>
      <c r="Q15" s="51"/>
      <c r="R15" s="21"/>
      <c r="S15" s="21"/>
      <c r="T15" s="26"/>
      <c r="V15" s="51"/>
      <c r="W15" s="21"/>
      <c r="X15" s="21"/>
      <c r="Y15" s="26"/>
    </row>
    <row r="16" spans="2:25" x14ac:dyDescent="0.35">
      <c r="B16" s="50"/>
      <c r="C16" s="18"/>
      <c r="D16" s="20"/>
      <c r="E16" s="25"/>
      <c r="G16" s="50"/>
      <c r="H16" s="20"/>
      <c r="I16" s="20"/>
      <c r="J16" s="25"/>
      <c r="L16" s="50"/>
      <c r="M16" s="20"/>
      <c r="N16" s="20"/>
      <c r="O16" s="25"/>
      <c r="Q16" s="50"/>
      <c r="R16" s="20"/>
      <c r="S16" s="20"/>
      <c r="T16" s="25"/>
      <c r="V16" s="50"/>
      <c r="W16" s="20"/>
      <c r="X16" s="20"/>
      <c r="Y16" s="25"/>
    </row>
    <row r="17" spans="2:25" x14ac:dyDescent="0.35">
      <c r="B17" s="51"/>
      <c r="C17" s="19"/>
      <c r="D17" s="21"/>
      <c r="E17" s="26"/>
      <c r="G17" s="51"/>
      <c r="H17" s="21"/>
      <c r="I17" s="21"/>
      <c r="J17" s="26"/>
      <c r="L17" s="51"/>
      <c r="M17" s="21"/>
      <c r="N17" s="21"/>
      <c r="O17" s="26"/>
      <c r="Q17" s="51"/>
      <c r="R17" s="21"/>
      <c r="S17" s="21"/>
      <c r="T17" s="26"/>
      <c r="V17" s="51"/>
      <c r="W17" s="21"/>
      <c r="X17" s="21"/>
      <c r="Y17" s="26"/>
    </row>
    <row r="18" spans="2:25" x14ac:dyDescent="0.35">
      <c r="B18" s="50"/>
      <c r="C18" s="18"/>
      <c r="D18" s="20"/>
      <c r="E18" s="25"/>
      <c r="G18" s="50"/>
      <c r="H18" s="20"/>
      <c r="I18" s="20"/>
      <c r="J18" s="25"/>
      <c r="L18" s="50"/>
      <c r="M18" s="20"/>
      <c r="N18" s="20"/>
      <c r="O18" s="25"/>
      <c r="Q18" s="50"/>
      <c r="R18" s="20"/>
      <c r="S18" s="20"/>
      <c r="T18" s="25"/>
      <c r="V18" s="50"/>
      <c r="W18" s="20"/>
      <c r="X18" s="20"/>
      <c r="Y18" s="25"/>
    </row>
    <row r="19" spans="2:25" x14ac:dyDescent="0.35">
      <c r="B19" s="51"/>
      <c r="C19" s="19"/>
      <c r="D19" s="21"/>
      <c r="E19" s="26"/>
      <c r="G19" s="51"/>
      <c r="H19" s="21"/>
      <c r="I19" s="21"/>
      <c r="J19" s="26"/>
      <c r="L19" s="51"/>
      <c r="M19" s="21"/>
      <c r="N19" s="21"/>
      <c r="O19" s="26"/>
      <c r="Q19" s="51"/>
      <c r="R19" s="21"/>
      <c r="S19" s="21"/>
      <c r="T19" s="26"/>
      <c r="V19" s="51"/>
      <c r="W19" s="21"/>
      <c r="X19" s="21"/>
      <c r="Y19" s="26"/>
    </row>
    <row r="20" spans="2:25" x14ac:dyDescent="0.35">
      <c r="B20" s="50"/>
      <c r="C20" s="18"/>
      <c r="D20" s="20"/>
      <c r="E20" s="25"/>
      <c r="G20" s="50"/>
      <c r="H20" s="20"/>
      <c r="I20" s="20"/>
      <c r="J20" s="25"/>
      <c r="L20" s="50"/>
      <c r="M20" s="20"/>
      <c r="N20" s="20"/>
      <c r="O20" s="25"/>
      <c r="Q20" s="50"/>
      <c r="R20" s="20"/>
      <c r="S20" s="20"/>
      <c r="T20" s="25"/>
      <c r="V20" s="50"/>
      <c r="W20" s="20"/>
      <c r="X20" s="20"/>
      <c r="Y20" s="25"/>
    </row>
    <row r="21" spans="2:25" x14ac:dyDescent="0.35">
      <c r="B21" s="51"/>
      <c r="C21" s="19"/>
      <c r="D21" s="21"/>
      <c r="E21" s="26"/>
      <c r="G21" s="51"/>
      <c r="H21" s="21"/>
      <c r="I21" s="21"/>
      <c r="J21" s="26"/>
      <c r="L21" s="51"/>
      <c r="M21" s="21"/>
      <c r="N21" s="21"/>
      <c r="O21" s="26"/>
      <c r="Q21" s="51"/>
      <c r="R21" s="21"/>
      <c r="S21" s="21"/>
      <c r="T21" s="26"/>
      <c r="V21" s="51"/>
      <c r="W21" s="21"/>
      <c r="X21" s="21"/>
      <c r="Y21" s="26"/>
    </row>
    <row r="22" spans="2:25" x14ac:dyDescent="0.35">
      <c r="B22" s="50"/>
      <c r="C22" s="18"/>
      <c r="D22" s="20"/>
      <c r="E22" s="25"/>
      <c r="G22" s="50"/>
      <c r="H22" s="20"/>
      <c r="I22" s="20"/>
      <c r="J22" s="25"/>
      <c r="L22" s="50"/>
      <c r="M22" s="20"/>
      <c r="N22" s="20"/>
      <c r="O22" s="25"/>
      <c r="Q22" s="50"/>
      <c r="R22" s="20"/>
      <c r="S22" s="20"/>
      <c r="T22" s="25"/>
      <c r="V22" s="50"/>
      <c r="W22" s="20"/>
      <c r="X22" s="20"/>
      <c r="Y22" s="25"/>
    </row>
    <row r="23" spans="2:25" x14ac:dyDescent="0.35">
      <c r="B23" s="51"/>
      <c r="C23" s="19"/>
      <c r="D23" s="21"/>
      <c r="E23" s="26"/>
      <c r="G23" s="51"/>
      <c r="H23" s="21"/>
      <c r="I23" s="21"/>
      <c r="J23" s="26"/>
      <c r="L23" s="51"/>
      <c r="M23" s="21"/>
      <c r="N23" s="21"/>
      <c r="O23" s="26"/>
      <c r="Q23" s="51"/>
      <c r="R23" s="21"/>
      <c r="S23" s="21"/>
      <c r="T23" s="26"/>
      <c r="V23" s="51"/>
      <c r="W23" s="21"/>
      <c r="X23" s="21"/>
      <c r="Y23" s="26"/>
    </row>
    <row r="24" spans="2:25" x14ac:dyDescent="0.35">
      <c r="B24" s="50"/>
      <c r="C24" s="18"/>
      <c r="D24" s="20"/>
      <c r="E24" s="25"/>
      <c r="G24" s="50"/>
      <c r="H24" s="20"/>
      <c r="I24" s="20"/>
      <c r="J24" s="25"/>
      <c r="L24" s="50"/>
      <c r="M24" s="20"/>
      <c r="N24" s="20"/>
      <c r="O24" s="25"/>
      <c r="Q24" s="50"/>
      <c r="R24" s="20"/>
      <c r="S24" s="20"/>
      <c r="T24" s="25"/>
      <c r="V24" s="50"/>
      <c r="W24" s="20"/>
      <c r="X24" s="20"/>
      <c r="Y24" s="25"/>
    </row>
    <row r="25" spans="2:25" x14ac:dyDescent="0.35">
      <c r="B25" s="51"/>
      <c r="C25" s="19"/>
      <c r="D25" s="21"/>
      <c r="E25" s="26"/>
      <c r="G25" s="51"/>
      <c r="H25" s="21"/>
      <c r="I25" s="21"/>
      <c r="J25" s="26"/>
      <c r="L25" s="51"/>
      <c r="M25" s="21"/>
      <c r="N25" s="21"/>
      <c r="O25" s="26"/>
      <c r="Q25" s="51"/>
      <c r="R25" s="21"/>
      <c r="S25" s="21"/>
      <c r="T25" s="26"/>
      <c r="V25" s="51"/>
      <c r="W25" s="21"/>
      <c r="X25" s="21"/>
      <c r="Y25" s="26"/>
    </row>
    <row r="26" spans="2:25" x14ac:dyDescent="0.35">
      <c r="B26" s="50"/>
      <c r="C26" s="18"/>
      <c r="D26" s="20"/>
      <c r="E26" s="25"/>
      <c r="G26" s="50"/>
      <c r="H26" s="20"/>
      <c r="I26" s="20"/>
      <c r="J26" s="25"/>
      <c r="L26" s="50"/>
      <c r="M26" s="20"/>
      <c r="N26" s="20"/>
      <c r="O26" s="25"/>
      <c r="Q26" s="50"/>
      <c r="R26" s="20"/>
      <c r="S26" s="20"/>
      <c r="T26" s="25"/>
      <c r="V26" s="50"/>
      <c r="W26" s="20"/>
      <c r="X26" s="20"/>
      <c r="Y26" s="25"/>
    </row>
    <row r="27" spans="2:25" x14ac:dyDescent="0.35">
      <c r="B27" s="51"/>
      <c r="C27" s="19"/>
      <c r="D27" s="21"/>
      <c r="E27" s="26"/>
      <c r="G27" s="51"/>
      <c r="H27" s="21"/>
      <c r="I27" s="21"/>
      <c r="J27" s="26"/>
      <c r="L27" s="51"/>
      <c r="M27" s="21"/>
      <c r="N27" s="21"/>
      <c r="O27" s="26"/>
      <c r="Q27" s="51"/>
      <c r="R27" s="21"/>
      <c r="S27" s="21"/>
      <c r="T27" s="26"/>
      <c r="V27" s="51"/>
      <c r="W27" s="21"/>
      <c r="X27" s="21"/>
      <c r="Y27" s="26"/>
    </row>
    <row r="28" spans="2:25" x14ac:dyDescent="0.35">
      <c r="B28" s="50"/>
      <c r="C28" s="18"/>
      <c r="D28" s="20"/>
      <c r="E28" s="25"/>
      <c r="G28" s="50"/>
      <c r="H28" s="20"/>
      <c r="I28" s="20"/>
      <c r="J28" s="25"/>
      <c r="L28" s="50"/>
      <c r="M28" s="20"/>
      <c r="N28" s="20"/>
      <c r="O28" s="25"/>
      <c r="Q28" s="50"/>
      <c r="R28" s="20"/>
      <c r="S28" s="20"/>
      <c r="T28" s="25"/>
      <c r="V28" s="50"/>
      <c r="W28" s="20"/>
      <c r="X28" s="20"/>
      <c r="Y28" s="25"/>
    </row>
    <row r="29" spans="2:25" x14ac:dyDescent="0.35">
      <c r="B29" s="51"/>
      <c r="C29" s="19"/>
      <c r="D29" s="21"/>
      <c r="E29" s="26"/>
      <c r="G29" s="51"/>
      <c r="H29" s="21"/>
      <c r="I29" s="21"/>
      <c r="J29" s="26"/>
      <c r="L29" s="51"/>
      <c r="M29" s="21"/>
      <c r="N29" s="21"/>
      <c r="O29" s="26"/>
      <c r="Q29" s="51"/>
      <c r="R29" s="21"/>
      <c r="S29" s="21"/>
      <c r="T29" s="26"/>
      <c r="V29" s="51"/>
      <c r="W29" s="21"/>
      <c r="X29" s="21"/>
      <c r="Y29" s="26"/>
    </row>
    <row r="30" spans="2:25" x14ac:dyDescent="0.35">
      <c r="B30" s="50"/>
      <c r="C30" s="18"/>
      <c r="D30" s="20"/>
      <c r="E30" s="25"/>
      <c r="G30" s="50"/>
      <c r="H30" s="20"/>
      <c r="I30" s="20"/>
      <c r="J30" s="25"/>
      <c r="L30" s="50"/>
      <c r="M30" s="20"/>
      <c r="N30" s="20"/>
      <c r="O30" s="25"/>
      <c r="Q30" s="50"/>
      <c r="R30" s="20"/>
      <c r="S30" s="20"/>
      <c r="T30" s="25"/>
      <c r="V30" s="50"/>
      <c r="W30" s="20"/>
      <c r="X30" s="20"/>
      <c r="Y30" s="25"/>
    </row>
    <row r="31" spans="2:25" x14ac:dyDescent="0.35">
      <c r="B31" s="51"/>
      <c r="C31" s="19"/>
      <c r="D31" s="21"/>
      <c r="E31" s="26"/>
      <c r="G31" s="51"/>
      <c r="H31" s="21"/>
      <c r="I31" s="21"/>
      <c r="J31" s="26"/>
      <c r="L31" s="51"/>
      <c r="M31" s="21"/>
      <c r="N31" s="21"/>
      <c r="O31" s="26"/>
      <c r="Q31" s="51"/>
      <c r="R31" s="21"/>
      <c r="S31" s="21"/>
      <c r="T31" s="26"/>
      <c r="V31" s="51"/>
      <c r="W31" s="21"/>
      <c r="X31" s="21"/>
      <c r="Y31" s="26"/>
    </row>
    <row r="32" spans="2:25" x14ac:dyDescent="0.35">
      <c r="B32" s="50"/>
      <c r="C32" s="18"/>
      <c r="D32" s="20"/>
      <c r="E32" s="25"/>
      <c r="G32" s="50"/>
      <c r="H32" s="20"/>
      <c r="I32" s="20"/>
      <c r="J32" s="25"/>
      <c r="L32" s="50"/>
      <c r="M32" s="20"/>
      <c r="N32" s="20"/>
      <c r="O32" s="25"/>
      <c r="Q32" s="50"/>
      <c r="R32" s="20"/>
      <c r="S32" s="20"/>
      <c r="T32" s="25"/>
      <c r="V32" s="50"/>
      <c r="W32" s="20"/>
      <c r="X32" s="20"/>
      <c r="Y32" s="25"/>
    </row>
    <row r="33" spans="2:25" x14ac:dyDescent="0.35">
      <c r="B33" s="51"/>
      <c r="C33" s="19"/>
      <c r="D33" s="21"/>
      <c r="E33" s="26"/>
      <c r="G33" s="51"/>
      <c r="H33" s="21"/>
      <c r="I33" s="21"/>
      <c r="J33" s="26"/>
      <c r="L33" s="51"/>
      <c r="M33" s="21"/>
      <c r="N33" s="21"/>
      <c r="O33" s="26"/>
      <c r="Q33" s="51"/>
      <c r="R33" s="21"/>
      <c r="S33" s="21"/>
      <c r="T33" s="26"/>
      <c r="V33" s="51"/>
      <c r="W33" s="21"/>
      <c r="X33" s="21"/>
      <c r="Y33" s="26"/>
    </row>
    <row r="34" spans="2:25" x14ac:dyDescent="0.35">
      <c r="B34" s="50"/>
      <c r="C34" s="18"/>
      <c r="D34" s="20"/>
      <c r="E34" s="25"/>
      <c r="G34" s="50"/>
      <c r="H34" s="20"/>
      <c r="I34" s="20"/>
      <c r="J34" s="25"/>
      <c r="L34" s="50"/>
      <c r="M34" s="20"/>
      <c r="N34" s="20"/>
      <c r="O34" s="25"/>
      <c r="Q34" s="50"/>
      <c r="R34" s="20"/>
      <c r="S34" s="20"/>
      <c r="T34" s="25"/>
      <c r="V34" s="50"/>
      <c r="W34" s="20"/>
      <c r="X34" s="20"/>
      <c r="Y34" s="25"/>
    </row>
    <row r="35" spans="2:25" x14ac:dyDescent="0.35">
      <c r="B35" s="51"/>
      <c r="C35" s="19"/>
      <c r="D35" s="21"/>
      <c r="E35" s="26"/>
      <c r="G35" s="51"/>
      <c r="H35" s="21"/>
      <c r="I35" s="21"/>
      <c r="J35" s="26"/>
      <c r="L35" s="51"/>
      <c r="M35" s="21"/>
      <c r="N35" s="21"/>
      <c r="O35" s="26"/>
      <c r="Q35" s="51"/>
      <c r="R35" s="21"/>
      <c r="S35" s="21"/>
      <c r="T35" s="26"/>
      <c r="V35" s="51"/>
      <c r="W35" s="21"/>
      <c r="X35" s="21"/>
      <c r="Y35" s="26"/>
    </row>
    <row r="36" spans="2:25" x14ac:dyDescent="0.35">
      <c r="B36" s="50"/>
      <c r="C36" s="18"/>
      <c r="D36" s="20"/>
      <c r="E36" s="25"/>
      <c r="G36" s="50"/>
      <c r="H36" s="20"/>
      <c r="I36" s="20"/>
      <c r="J36" s="25"/>
      <c r="L36" s="50"/>
      <c r="M36" s="20"/>
      <c r="N36" s="20"/>
      <c r="O36" s="25"/>
      <c r="Q36" s="50"/>
      <c r="R36" s="20"/>
      <c r="S36" s="20"/>
      <c r="T36" s="25"/>
      <c r="V36" s="50"/>
      <c r="W36" s="20"/>
      <c r="X36" s="20"/>
      <c r="Y36" s="25"/>
    </row>
    <row r="37" spans="2:25" x14ac:dyDescent="0.35">
      <c r="B37" s="51"/>
      <c r="C37" s="19"/>
      <c r="D37" s="21"/>
      <c r="E37" s="26"/>
      <c r="G37" s="51"/>
      <c r="H37" s="21"/>
      <c r="I37" s="21"/>
      <c r="J37" s="26"/>
      <c r="L37" s="51"/>
      <c r="M37" s="21"/>
      <c r="N37" s="21"/>
      <c r="O37" s="26"/>
      <c r="Q37" s="51"/>
      <c r="R37" s="21"/>
      <c r="S37" s="21"/>
      <c r="T37" s="26"/>
      <c r="V37" s="51"/>
      <c r="W37" s="21"/>
      <c r="X37" s="21"/>
      <c r="Y37" s="26"/>
    </row>
    <row r="38" spans="2:25" x14ac:dyDescent="0.35">
      <c r="B38" s="50"/>
      <c r="C38" s="18"/>
      <c r="D38" s="20"/>
      <c r="E38" s="25"/>
      <c r="G38" s="50"/>
      <c r="H38" s="20"/>
      <c r="I38" s="20"/>
      <c r="J38" s="25"/>
      <c r="L38" s="50"/>
      <c r="M38" s="20"/>
      <c r="N38" s="20"/>
      <c r="O38" s="25"/>
      <c r="Q38" s="50"/>
      <c r="R38" s="20"/>
      <c r="S38" s="20"/>
      <c r="T38" s="25"/>
      <c r="V38" s="50"/>
      <c r="W38" s="20"/>
      <c r="X38" s="20"/>
      <c r="Y38" s="25"/>
    </row>
    <row r="39" spans="2:25" x14ac:dyDescent="0.35">
      <c r="B39" s="51"/>
      <c r="C39" s="19"/>
      <c r="D39" s="21"/>
      <c r="E39" s="26"/>
      <c r="G39" s="51"/>
      <c r="H39" s="21"/>
      <c r="I39" s="21"/>
      <c r="J39" s="26"/>
      <c r="L39" s="51"/>
      <c r="M39" s="21"/>
      <c r="N39" s="21"/>
      <c r="O39" s="26"/>
      <c r="Q39" s="51"/>
      <c r="R39" s="21"/>
      <c r="S39" s="21"/>
      <c r="T39" s="26"/>
      <c r="V39" s="51"/>
      <c r="W39" s="21"/>
      <c r="X39" s="21"/>
      <c r="Y39" s="26"/>
    </row>
    <row r="40" spans="2:25" x14ac:dyDescent="0.35">
      <c r="B40" s="50"/>
      <c r="C40" s="18"/>
      <c r="D40" s="20"/>
      <c r="E40" s="25"/>
      <c r="G40" s="50"/>
      <c r="H40" s="20"/>
      <c r="I40" s="20"/>
      <c r="J40" s="25"/>
      <c r="L40" s="50"/>
      <c r="M40" s="20"/>
      <c r="N40" s="20"/>
      <c r="O40" s="25"/>
      <c r="Q40" s="50"/>
      <c r="R40" s="20"/>
      <c r="S40" s="20"/>
      <c r="T40" s="25"/>
      <c r="V40" s="50"/>
      <c r="W40" s="20"/>
      <c r="X40" s="20"/>
      <c r="Y40" s="25"/>
    </row>
    <row r="41" spans="2:25" x14ac:dyDescent="0.35">
      <c r="B41" s="51"/>
      <c r="C41" s="19"/>
      <c r="D41" s="21"/>
      <c r="E41" s="26"/>
      <c r="G41" s="51"/>
      <c r="H41" s="21"/>
      <c r="I41" s="21"/>
      <c r="J41" s="26"/>
      <c r="L41" s="51"/>
      <c r="M41" s="21"/>
      <c r="N41" s="21"/>
      <c r="O41" s="26"/>
      <c r="Q41" s="51"/>
      <c r="R41" s="21"/>
      <c r="S41" s="21"/>
      <c r="T41" s="26"/>
      <c r="V41" s="51"/>
      <c r="W41" s="21"/>
      <c r="X41" s="21"/>
      <c r="Y41" s="26"/>
    </row>
    <row r="42" spans="2:25" x14ac:dyDescent="0.35">
      <c r="B42" s="50"/>
      <c r="C42" s="18"/>
      <c r="D42" s="20"/>
      <c r="E42" s="25"/>
      <c r="G42" s="50"/>
      <c r="H42" s="20"/>
      <c r="I42" s="20"/>
      <c r="J42" s="25"/>
      <c r="L42" s="50"/>
      <c r="M42" s="20"/>
      <c r="N42" s="20"/>
      <c r="O42" s="25"/>
      <c r="Q42" s="50"/>
      <c r="R42" s="20"/>
      <c r="S42" s="20"/>
      <c r="T42" s="25"/>
      <c r="V42" s="50"/>
      <c r="W42" s="20"/>
      <c r="X42" s="20"/>
      <c r="Y42" s="25"/>
    </row>
    <row r="43" spans="2:25" x14ac:dyDescent="0.35">
      <c r="B43" s="51"/>
      <c r="C43" s="19"/>
      <c r="D43" s="21"/>
      <c r="E43" s="26"/>
      <c r="G43" s="51"/>
      <c r="H43" s="21"/>
      <c r="I43" s="21"/>
      <c r="J43" s="26"/>
      <c r="L43" s="51"/>
      <c r="M43" s="21"/>
      <c r="N43" s="21"/>
      <c r="O43" s="26"/>
      <c r="Q43" s="51"/>
      <c r="R43" s="21"/>
      <c r="S43" s="21"/>
      <c r="T43" s="26"/>
      <c r="V43" s="51"/>
      <c r="W43" s="21"/>
      <c r="X43" s="21"/>
      <c r="Y43" s="26"/>
    </row>
    <row r="44" spans="2:25" x14ac:dyDescent="0.35">
      <c r="B44" s="50"/>
      <c r="C44" s="18"/>
      <c r="D44" s="20"/>
      <c r="E44" s="25"/>
      <c r="G44" s="50"/>
      <c r="H44" s="20"/>
      <c r="I44" s="20"/>
      <c r="J44" s="25"/>
      <c r="L44" s="50"/>
      <c r="M44" s="20"/>
      <c r="N44" s="20"/>
      <c r="O44" s="25"/>
      <c r="Q44" s="50"/>
      <c r="R44" s="20"/>
      <c r="S44" s="20"/>
      <c r="T44" s="25"/>
      <c r="V44" s="50"/>
      <c r="W44" s="20"/>
      <c r="X44" s="20"/>
      <c r="Y44" s="25"/>
    </row>
    <row r="45" spans="2:25" x14ac:dyDescent="0.35">
      <c r="B45" s="51"/>
      <c r="C45" s="19"/>
      <c r="D45" s="21"/>
      <c r="E45" s="26"/>
      <c r="G45" s="51"/>
      <c r="H45" s="21"/>
      <c r="I45" s="21"/>
      <c r="J45" s="26"/>
      <c r="L45" s="51"/>
      <c r="M45" s="21"/>
      <c r="N45" s="21"/>
      <c r="O45" s="26"/>
      <c r="Q45" s="51"/>
      <c r="R45" s="21"/>
      <c r="S45" s="21"/>
      <c r="T45" s="26"/>
      <c r="V45" s="51"/>
      <c r="W45" s="21"/>
      <c r="X45" s="21"/>
      <c r="Y45" s="26"/>
    </row>
    <row r="46" spans="2:25" x14ac:dyDescent="0.35">
      <c r="B46" s="50"/>
      <c r="C46" s="18"/>
      <c r="D46" s="20"/>
      <c r="E46" s="25"/>
      <c r="G46" s="50"/>
      <c r="H46" s="20"/>
      <c r="I46" s="20"/>
      <c r="J46" s="25"/>
      <c r="L46" s="50"/>
      <c r="M46" s="20"/>
      <c r="N46" s="20"/>
      <c r="O46" s="25"/>
      <c r="Q46" s="50"/>
      <c r="R46" s="20"/>
      <c r="S46" s="20"/>
      <c r="T46" s="25"/>
      <c r="V46" s="50"/>
      <c r="W46" s="20"/>
      <c r="X46" s="20"/>
      <c r="Y46" s="25"/>
    </row>
    <row r="47" spans="2:25" x14ac:dyDescent="0.35">
      <c r="B47" s="51"/>
      <c r="C47" s="19"/>
      <c r="D47" s="21"/>
      <c r="E47" s="26"/>
      <c r="G47" s="51"/>
      <c r="H47" s="21"/>
      <c r="I47" s="21"/>
      <c r="J47" s="26"/>
      <c r="L47" s="51"/>
      <c r="M47" s="21"/>
      <c r="N47" s="21"/>
      <c r="O47" s="26"/>
      <c r="Q47" s="51"/>
      <c r="R47" s="21"/>
      <c r="S47" s="21"/>
      <c r="T47" s="26"/>
      <c r="V47" s="51"/>
      <c r="W47" s="21"/>
      <c r="X47" s="21"/>
      <c r="Y47" s="26"/>
    </row>
    <row r="48" spans="2:25" x14ac:dyDescent="0.35">
      <c r="B48" s="50"/>
      <c r="C48" s="18"/>
      <c r="D48" s="20"/>
      <c r="E48" s="25"/>
      <c r="G48" s="50"/>
      <c r="H48" s="20"/>
      <c r="I48" s="20"/>
      <c r="J48" s="25"/>
      <c r="L48" s="50"/>
      <c r="M48" s="20"/>
      <c r="N48" s="20"/>
      <c r="O48" s="25"/>
      <c r="Q48" s="50"/>
      <c r="R48" s="20"/>
      <c r="S48" s="20"/>
      <c r="T48" s="25"/>
      <c r="V48" s="50"/>
      <c r="W48" s="20"/>
      <c r="X48" s="20"/>
      <c r="Y48" s="25"/>
    </row>
    <row r="49" spans="2:25" x14ac:dyDescent="0.35">
      <c r="B49" s="51"/>
      <c r="C49" s="19"/>
      <c r="D49" s="21"/>
      <c r="E49" s="26"/>
      <c r="G49" s="51"/>
      <c r="H49" s="21"/>
      <c r="I49" s="21"/>
      <c r="J49" s="26"/>
      <c r="L49" s="51"/>
      <c r="M49" s="21"/>
      <c r="N49" s="21"/>
      <c r="O49" s="26"/>
      <c r="Q49" s="51"/>
      <c r="R49" s="21"/>
      <c r="S49" s="21"/>
      <c r="T49" s="26"/>
      <c r="V49" s="51"/>
      <c r="W49" s="21"/>
      <c r="X49" s="21"/>
      <c r="Y49" s="26"/>
    </row>
    <row r="50" spans="2:25" x14ac:dyDescent="0.35">
      <c r="B50" s="50"/>
      <c r="C50" s="18"/>
      <c r="D50" s="20"/>
      <c r="E50" s="25"/>
      <c r="G50" s="50"/>
      <c r="H50" s="20"/>
      <c r="I50" s="20"/>
      <c r="J50" s="25"/>
      <c r="L50" s="50"/>
      <c r="M50" s="20"/>
      <c r="N50" s="20"/>
      <c r="O50" s="25"/>
      <c r="Q50" s="50"/>
      <c r="R50" s="20"/>
      <c r="S50" s="20"/>
      <c r="T50" s="25"/>
      <c r="V50" s="50"/>
      <c r="W50" s="20"/>
      <c r="X50" s="20"/>
      <c r="Y50" s="25"/>
    </row>
    <row r="51" spans="2:25" x14ac:dyDescent="0.35">
      <c r="B51" s="51"/>
      <c r="C51" s="19"/>
      <c r="D51" s="21"/>
      <c r="E51" s="26"/>
      <c r="G51" s="51"/>
      <c r="H51" s="21"/>
      <c r="I51" s="21"/>
      <c r="J51" s="26"/>
      <c r="L51" s="51"/>
      <c r="M51" s="21"/>
      <c r="N51" s="21"/>
      <c r="O51" s="26"/>
      <c r="Q51" s="51"/>
      <c r="R51" s="21"/>
      <c r="S51" s="21"/>
      <c r="T51" s="26"/>
      <c r="V51" s="51"/>
      <c r="W51" s="21"/>
      <c r="X51" s="21"/>
      <c r="Y51" s="26"/>
    </row>
    <row r="52" spans="2:25" x14ac:dyDescent="0.35">
      <c r="B52" s="50"/>
      <c r="C52" s="18"/>
      <c r="D52" s="20"/>
      <c r="E52" s="25"/>
      <c r="G52" s="50"/>
      <c r="H52" s="20"/>
      <c r="I52" s="20"/>
      <c r="J52" s="25"/>
      <c r="L52" s="50"/>
      <c r="M52" s="20"/>
      <c r="N52" s="20"/>
      <c r="O52" s="25"/>
      <c r="Q52" s="50"/>
      <c r="R52" s="20"/>
      <c r="S52" s="20"/>
      <c r="T52" s="25"/>
      <c r="V52" s="50"/>
      <c r="W52" s="20"/>
      <c r="X52" s="20"/>
      <c r="Y52" s="25"/>
    </row>
    <row r="53" spans="2:25" x14ac:dyDescent="0.35">
      <c r="B53" s="51"/>
      <c r="C53" s="19"/>
      <c r="D53" s="21"/>
      <c r="E53" s="26"/>
      <c r="G53" s="51"/>
      <c r="H53" s="21"/>
      <c r="I53" s="21"/>
      <c r="J53" s="26"/>
      <c r="L53" s="51"/>
      <c r="M53" s="21"/>
      <c r="N53" s="21"/>
      <c r="O53" s="26"/>
      <c r="Q53" s="51"/>
      <c r="R53" s="21"/>
      <c r="S53" s="21"/>
      <c r="T53" s="26"/>
      <c r="V53" s="51"/>
      <c r="W53" s="21"/>
      <c r="X53" s="21"/>
      <c r="Y53" s="26"/>
    </row>
    <row r="54" spans="2:25" x14ac:dyDescent="0.35">
      <c r="B54" s="50"/>
      <c r="C54" s="18"/>
      <c r="D54" s="20"/>
      <c r="E54" s="25"/>
      <c r="G54" s="50"/>
      <c r="H54" s="20"/>
      <c r="I54" s="20"/>
      <c r="J54" s="25"/>
      <c r="L54" s="50"/>
      <c r="M54" s="20"/>
      <c r="N54" s="20"/>
      <c r="O54" s="25"/>
      <c r="Q54" s="50"/>
      <c r="R54" s="20"/>
      <c r="S54" s="20"/>
      <c r="T54" s="25"/>
      <c r="V54" s="50"/>
      <c r="W54" s="20"/>
      <c r="X54" s="20"/>
      <c r="Y54" s="25"/>
    </row>
    <row r="55" spans="2:25" x14ac:dyDescent="0.35">
      <c r="B55" s="51"/>
      <c r="C55" s="19"/>
      <c r="D55" s="21"/>
      <c r="E55" s="26"/>
      <c r="G55" s="51"/>
      <c r="H55" s="21"/>
      <c r="I55" s="21"/>
      <c r="J55" s="26"/>
      <c r="L55" s="51"/>
      <c r="M55" s="21"/>
      <c r="N55" s="21"/>
      <c r="O55" s="26"/>
      <c r="Q55" s="51"/>
      <c r="R55" s="21"/>
      <c r="S55" s="21"/>
      <c r="T55" s="26"/>
      <c r="V55" s="51"/>
      <c r="W55" s="21"/>
      <c r="X55" s="21"/>
      <c r="Y55" s="26"/>
    </row>
    <row r="56" spans="2:25" x14ac:dyDescent="0.35">
      <c r="B56" s="50"/>
      <c r="C56" s="18"/>
      <c r="D56" s="20"/>
      <c r="E56" s="25"/>
      <c r="G56" s="50"/>
      <c r="H56" s="20"/>
      <c r="I56" s="20"/>
      <c r="J56" s="25"/>
      <c r="L56" s="50"/>
      <c r="M56" s="20"/>
      <c r="N56" s="20"/>
      <c r="O56" s="25"/>
      <c r="Q56" s="50"/>
      <c r="R56" s="20"/>
      <c r="S56" s="20"/>
      <c r="T56" s="25"/>
      <c r="V56" s="50"/>
      <c r="W56" s="20"/>
      <c r="X56" s="20"/>
      <c r="Y56" s="25"/>
    </row>
    <row r="57" spans="2:25" x14ac:dyDescent="0.35">
      <c r="B57" s="51"/>
      <c r="C57" s="19"/>
      <c r="D57" s="21"/>
      <c r="E57" s="26"/>
      <c r="G57" s="51"/>
      <c r="H57" s="21"/>
      <c r="I57" s="21"/>
      <c r="J57" s="26"/>
      <c r="L57" s="51"/>
      <c r="M57" s="21"/>
      <c r="N57" s="21"/>
      <c r="O57" s="26"/>
      <c r="Q57" s="51"/>
      <c r="R57" s="21"/>
      <c r="S57" s="21"/>
      <c r="T57" s="26"/>
      <c r="V57" s="51"/>
      <c r="W57" s="21"/>
      <c r="X57" s="21"/>
      <c r="Y57" s="26"/>
    </row>
    <row r="58" spans="2:25" x14ac:dyDescent="0.35">
      <c r="B58" s="50"/>
      <c r="C58" s="18"/>
      <c r="D58" s="20"/>
      <c r="E58" s="25"/>
      <c r="G58" s="50"/>
      <c r="H58" s="20"/>
      <c r="I58" s="20"/>
      <c r="J58" s="25"/>
      <c r="L58" s="50"/>
      <c r="M58" s="20"/>
      <c r="N58" s="20"/>
      <c r="O58" s="25"/>
      <c r="Q58" s="50"/>
      <c r="R58" s="20"/>
      <c r="S58" s="20"/>
      <c r="T58" s="25"/>
      <c r="V58" s="50"/>
      <c r="W58" s="20"/>
      <c r="X58" s="20"/>
      <c r="Y58" s="25"/>
    </row>
    <row r="59" spans="2:25" x14ac:dyDescent="0.35">
      <c r="B59" s="51"/>
      <c r="C59" s="19"/>
      <c r="D59" s="21"/>
      <c r="E59" s="26"/>
      <c r="G59" s="51"/>
      <c r="H59" s="21"/>
      <c r="I59" s="21"/>
      <c r="J59" s="26"/>
      <c r="L59" s="51"/>
      <c r="M59" s="21"/>
      <c r="N59" s="21"/>
      <c r="O59" s="26"/>
      <c r="Q59" s="51"/>
      <c r="R59" s="21"/>
      <c r="S59" s="21"/>
      <c r="T59" s="26"/>
      <c r="V59" s="51"/>
      <c r="W59" s="21"/>
      <c r="X59" s="21"/>
      <c r="Y59" s="26"/>
    </row>
    <row r="60" spans="2:25" x14ac:dyDescent="0.35">
      <c r="B60" s="50"/>
      <c r="C60" s="18"/>
      <c r="D60" s="20"/>
      <c r="E60" s="25"/>
      <c r="G60" s="50"/>
      <c r="H60" s="20"/>
      <c r="I60" s="20"/>
      <c r="J60" s="25"/>
      <c r="L60" s="50"/>
      <c r="M60" s="20"/>
      <c r="N60" s="20"/>
      <c r="O60" s="25"/>
      <c r="Q60" s="50"/>
      <c r="R60" s="20"/>
      <c r="S60" s="20"/>
      <c r="T60" s="25"/>
      <c r="V60" s="50"/>
      <c r="W60" s="20"/>
      <c r="X60" s="20"/>
      <c r="Y60" s="25"/>
    </row>
    <row r="61" spans="2:25" x14ac:dyDescent="0.35">
      <c r="B61" s="51"/>
      <c r="C61" s="19"/>
      <c r="D61" s="21"/>
      <c r="E61" s="26"/>
      <c r="G61" s="51"/>
      <c r="H61" s="21"/>
      <c r="I61" s="21"/>
      <c r="J61" s="26"/>
      <c r="L61" s="51"/>
      <c r="M61" s="21"/>
      <c r="N61" s="21"/>
      <c r="O61" s="26"/>
      <c r="Q61" s="51"/>
      <c r="R61" s="21"/>
      <c r="S61" s="21"/>
      <c r="T61" s="26"/>
      <c r="V61" s="51"/>
      <c r="W61" s="21"/>
      <c r="X61" s="21"/>
      <c r="Y61" s="26"/>
    </row>
    <row r="62" spans="2:25" x14ac:dyDescent="0.35">
      <c r="B62" s="50"/>
      <c r="C62" s="18"/>
      <c r="D62" s="20"/>
      <c r="E62" s="25"/>
      <c r="G62" s="50"/>
      <c r="H62" s="20"/>
      <c r="I62" s="20"/>
      <c r="J62" s="25"/>
      <c r="L62" s="50"/>
      <c r="M62" s="20"/>
      <c r="N62" s="20"/>
      <c r="O62" s="25"/>
      <c r="Q62" s="50"/>
      <c r="R62" s="20"/>
      <c r="S62" s="20"/>
      <c r="T62" s="25"/>
      <c r="V62" s="50"/>
      <c r="W62" s="20"/>
      <c r="X62" s="20"/>
      <c r="Y62" s="25"/>
    </row>
    <row r="63" spans="2:25" x14ac:dyDescent="0.35">
      <c r="B63" s="51"/>
      <c r="C63" s="19"/>
      <c r="D63" s="21"/>
      <c r="E63" s="26"/>
      <c r="G63" s="51"/>
      <c r="H63" s="21"/>
      <c r="I63" s="21"/>
      <c r="J63" s="26"/>
      <c r="L63" s="51"/>
      <c r="M63" s="21"/>
      <c r="N63" s="21"/>
      <c r="O63" s="26"/>
      <c r="Q63" s="51"/>
      <c r="R63" s="21"/>
      <c r="S63" s="21"/>
      <c r="T63" s="26"/>
      <c r="V63" s="51"/>
      <c r="W63" s="21"/>
      <c r="X63" s="21"/>
      <c r="Y63" s="26"/>
    </row>
    <row r="64" spans="2:25" x14ac:dyDescent="0.35">
      <c r="B64" s="50"/>
      <c r="C64" s="18"/>
      <c r="D64" s="20"/>
      <c r="E64" s="25"/>
      <c r="G64" s="50"/>
      <c r="H64" s="20"/>
      <c r="I64" s="20"/>
      <c r="J64" s="25"/>
      <c r="L64" s="50"/>
      <c r="M64" s="20"/>
      <c r="N64" s="20"/>
      <c r="O64" s="25"/>
      <c r="Q64" s="50"/>
      <c r="R64" s="20"/>
      <c r="S64" s="20"/>
      <c r="T64" s="25"/>
      <c r="V64" s="50"/>
      <c r="W64" s="20"/>
      <c r="X64" s="20"/>
      <c r="Y64" s="25"/>
    </row>
    <row r="65" spans="2:25" x14ac:dyDescent="0.35">
      <c r="B65" s="51"/>
      <c r="C65" s="19"/>
      <c r="D65" s="21"/>
      <c r="E65" s="26"/>
      <c r="G65" s="51"/>
      <c r="H65" s="21"/>
      <c r="I65" s="21"/>
      <c r="J65" s="26"/>
      <c r="L65" s="51"/>
      <c r="M65" s="21"/>
      <c r="N65" s="21"/>
      <c r="O65" s="26"/>
      <c r="Q65" s="51"/>
      <c r="R65" s="21"/>
      <c r="S65" s="21"/>
      <c r="T65" s="26"/>
      <c r="V65" s="51"/>
      <c r="W65" s="21"/>
      <c r="X65" s="21"/>
      <c r="Y65" s="26"/>
    </row>
    <row r="66" spans="2:25" x14ac:dyDescent="0.35">
      <c r="B66" s="50"/>
      <c r="C66" s="18"/>
      <c r="D66" s="20"/>
      <c r="E66" s="25"/>
      <c r="G66" s="50"/>
      <c r="H66" s="20"/>
      <c r="I66" s="20"/>
      <c r="J66" s="25"/>
      <c r="L66" s="50"/>
      <c r="M66" s="20"/>
      <c r="N66" s="20"/>
      <c r="O66" s="25"/>
      <c r="Q66" s="50"/>
      <c r="R66" s="20"/>
      <c r="S66" s="20"/>
      <c r="T66" s="25"/>
      <c r="V66" s="50"/>
      <c r="W66" s="20"/>
      <c r="X66" s="20"/>
      <c r="Y66" s="25"/>
    </row>
    <row r="67" spans="2:25" x14ac:dyDescent="0.35">
      <c r="B67" s="51"/>
      <c r="C67" s="19"/>
      <c r="D67" s="21"/>
      <c r="E67" s="26"/>
      <c r="G67" s="51"/>
      <c r="H67" s="21"/>
      <c r="I67" s="21"/>
      <c r="J67" s="26"/>
      <c r="L67" s="51"/>
      <c r="M67" s="21"/>
      <c r="N67" s="21"/>
      <c r="O67" s="26"/>
      <c r="Q67" s="51"/>
      <c r="R67" s="21"/>
      <c r="S67" s="21"/>
      <c r="T67" s="26"/>
      <c r="V67" s="51"/>
      <c r="W67" s="21"/>
      <c r="X67" s="21"/>
      <c r="Y67" s="26"/>
    </row>
    <row r="68" spans="2:25" x14ac:dyDescent="0.35">
      <c r="B68" s="50"/>
      <c r="C68" s="18"/>
      <c r="D68" s="20"/>
      <c r="E68" s="25"/>
      <c r="G68" s="50"/>
      <c r="H68" s="20"/>
      <c r="I68" s="20"/>
      <c r="J68" s="25"/>
      <c r="L68" s="50"/>
      <c r="M68" s="20"/>
      <c r="N68" s="20"/>
      <c r="O68" s="25"/>
      <c r="Q68" s="50"/>
      <c r="R68" s="20"/>
      <c r="S68" s="20"/>
      <c r="T68" s="25"/>
      <c r="V68" s="50"/>
      <c r="W68" s="20"/>
      <c r="X68" s="20"/>
      <c r="Y68" s="25"/>
    </row>
    <row r="69" spans="2:25" x14ac:dyDescent="0.35">
      <c r="B69" s="51"/>
      <c r="C69" s="19"/>
      <c r="D69" s="21"/>
      <c r="E69" s="26"/>
      <c r="G69" s="51"/>
      <c r="H69" s="21"/>
      <c r="I69" s="21"/>
      <c r="J69" s="26"/>
      <c r="L69" s="51"/>
      <c r="M69" s="21"/>
      <c r="N69" s="21"/>
      <c r="O69" s="26"/>
      <c r="Q69" s="51"/>
      <c r="R69" s="21"/>
      <c r="S69" s="21"/>
      <c r="T69" s="26"/>
      <c r="V69" s="51"/>
      <c r="W69" s="21"/>
      <c r="X69" s="21"/>
      <c r="Y69" s="26"/>
    </row>
    <row r="70" spans="2:25" x14ac:dyDescent="0.35">
      <c r="B70" s="50"/>
      <c r="C70" s="18"/>
      <c r="D70" s="20"/>
      <c r="E70" s="25"/>
      <c r="G70" s="50"/>
      <c r="H70" s="20"/>
      <c r="I70" s="20"/>
      <c r="J70" s="25"/>
      <c r="L70" s="50"/>
      <c r="M70" s="20"/>
      <c r="N70" s="20"/>
      <c r="O70" s="25"/>
      <c r="Q70" s="50"/>
      <c r="R70" s="20"/>
      <c r="S70" s="20"/>
      <c r="T70" s="25"/>
      <c r="V70" s="50"/>
      <c r="W70" s="20"/>
      <c r="X70" s="20"/>
      <c r="Y70" s="25"/>
    </row>
    <row r="71" spans="2:25" x14ac:dyDescent="0.35">
      <c r="B71" s="51"/>
      <c r="C71" s="19"/>
      <c r="D71" s="21"/>
      <c r="E71" s="26"/>
      <c r="G71" s="51"/>
      <c r="H71" s="21"/>
      <c r="I71" s="21"/>
      <c r="J71" s="26"/>
      <c r="L71" s="51"/>
      <c r="M71" s="21"/>
      <c r="N71" s="21"/>
      <c r="O71" s="26"/>
      <c r="Q71" s="51"/>
      <c r="R71" s="21"/>
      <c r="S71" s="21"/>
      <c r="T71" s="26"/>
      <c r="V71" s="51"/>
      <c r="W71" s="21"/>
      <c r="X71" s="21"/>
      <c r="Y71" s="26"/>
    </row>
    <row r="72" spans="2:25" x14ac:dyDescent="0.35">
      <c r="B72" s="50"/>
      <c r="C72" s="18"/>
      <c r="D72" s="20"/>
      <c r="E72" s="25"/>
      <c r="G72" s="50"/>
      <c r="H72" s="20"/>
      <c r="I72" s="20"/>
      <c r="J72" s="25"/>
      <c r="L72" s="50"/>
      <c r="M72" s="20"/>
      <c r="N72" s="20"/>
      <c r="O72" s="25"/>
      <c r="Q72" s="50"/>
      <c r="R72" s="20"/>
      <c r="S72" s="20"/>
      <c r="T72" s="25"/>
      <c r="V72" s="50"/>
      <c r="W72" s="20"/>
      <c r="X72" s="20"/>
      <c r="Y72" s="25"/>
    </row>
    <row r="73" spans="2:25" x14ac:dyDescent="0.35">
      <c r="B73" s="51"/>
      <c r="C73" s="19"/>
      <c r="D73" s="21"/>
      <c r="E73" s="26"/>
      <c r="G73" s="51"/>
      <c r="H73" s="21"/>
      <c r="I73" s="21"/>
      <c r="J73" s="26"/>
      <c r="L73" s="51"/>
      <c r="M73" s="21"/>
      <c r="N73" s="21"/>
      <c r="O73" s="26"/>
      <c r="Q73" s="51"/>
      <c r="R73" s="21"/>
      <c r="S73" s="21"/>
      <c r="T73" s="26"/>
      <c r="V73" s="51"/>
      <c r="W73" s="21"/>
      <c r="X73" s="21"/>
      <c r="Y73" s="26"/>
    </row>
    <row r="74" spans="2:25" x14ac:dyDescent="0.35">
      <c r="B74" s="50"/>
      <c r="C74" s="18"/>
      <c r="D74" s="20"/>
      <c r="E74" s="25"/>
      <c r="G74" s="50"/>
      <c r="H74" s="20"/>
      <c r="I74" s="20"/>
      <c r="J74" s="25"/>
      <c r="L74" s="50"/>
      <c r="M74" s="20"/>
      <c r="N74" s="20"/>
      <c r="O74" s="25"/>
      <c r="Q74" s="50"/>
      <c r="R74" s="20"/>
      <c r="S74" s="20"/>
      <c r="T74" s="25"/>
      <c r="V74" s="50"/>
      <c r="W74" s="20"/>
      <c r="X74" s="20"/>
      <c r="Y74" s="25"/>
    </row>
    <row r="75" spans="2:25" x14ac:dyDescent="0.35">
      <c r="B75" s="51"/>
      <c r="C75" s="19"/>
      <c r="D75" s="21"/>
      <c r="E75" s="26"/>
      <c r="G75" s="51"/>
      <c r="H75" s="21"/>
      <c r="I75" s="21"/>
      <c r="J75" s="26"/>
      <c r="L75" s="51"/>
      <c r="M75" s="21"/>
      <c r="N75" s="21"/>
      <c r="O75" s="26"/>
      <c r="Q75" s="51"/>
      <c r="R75" s="21"/>
      <c r="S75" s="21"/>
      <c r="T75" s="26"/>
      <c r="V75" s="51"/>
      <c r="W75" s="21"/>
      <c r="X75" s="21"/>
      <c r="Y75" s="26"/>
    </row>
    <row r="76" spans="2:25" x14ac:dyDescent="0.35">
      <c r="B76" s="50"/>
      <c r="C76" s="18"/>
      <c r="D76" s="20"/>
      <c r="E76" s="25"/>
      <c r="G76" s="50"/>
      <c r="H76" s="20"/>
      <c r="I76" s="20"/>
      <c r="J76" s="25"/>
      <c r="L76" s="50"/>
      <c r="M76" s="20"/>
      <c r="N76" s="20"/>
      <c r="O76" s="25"/>
      <c r="Q76" s="50"/>
      <c r="R76" s="20"/>
      <c r="S76" s="20"/>
      <c r="T76" s="25"/>
      <c r="V76" s="50"/>
      <c r="W76" s="20"/>
      <c r="X76" s="20"/>
      <c r="Y76" s="25"/>
    </row>
    <row r="77" spans="2:25" x14ac:dyDescent="0.35">
      <c r="B77" s="51"/>
      <c r="C77" s="19"/>
      <c r="D77" s="21"/>
      <c r="E77" s="26"/>
      <c r="G77" s="51"/>
      <c r="H77" s="21"/>
      <c r="I77" s="21"/>
      <c r="J77" s="26"/>
      <c r="L77" s="51"/>
      <c r="M77" s="21"/>
      <c r="N77" s="21"/>
      <c r="O77" s="26"/>
      <c r="Q77" s="51"/>
      <c r="R77" s="21"/>
      <c r="S77" s="21"/>
      <c r="T77" s="26"/>
      <c r="V77" s="51"/>
      <c r="W77" s="21"/>
      <c r="X77" s="21"/>
      <c r="Y77" s="26"/>
    </row>
    <row r="78" spans="2:25" x14ac:dyDescent="0.35">
      <c r="B78" s="50"/>
      <c r="C78" s="18"/>
      <c r="D78" s="20"/>
      <c r="E78" s="25"/>
      <c r="G78" s="50"/>
      <c r="H78" s="20"/>
      <c r="I78" s="20"/>
      <c r="J78" s="25"/>
      <c r="L78" s="50"/>
      <c r="M78" s="20"/>
      <c r="N78" s="20"/>
      <c r="O78" s="25"/>
      <c r="Q78" s="50"/>
      <c r="R78" s="20"/>
      <c r="S78" s="20"/>
      <c r="T78" s="25"/>
      <c r="V78" s="50"/>
      <c r="W78" s="20"/>
      <c r="X78" s="20"/>
      <c r="Y78" s="25"/>
    </row>
    <row r="79" spans="2:25" x14ac:dyDescent="0.35">
      <c r="B79" s="51"/>
      <c r="C79" s="19"/>
      <c r="D79" s="21"/>
      <c r="E79" s="26"/>
      <c r="G79" s="51"/>
      <c r="H79" s="21"/>
      <c r="I79" s="21"/>
      <c r="J79" s="26"/>
      <c r="L79" s="51"/>
      <c r="M79" s="21"/>
      <c r="N79" s="21"/>
      <c r="O79" s="26"/>
      <c r="Q79" s="51"/>
      <c r="R79" s="21"/>
      <c r="S79" s="21"/>
      <c r="T79" s="26"/>
      <c r="V79" s="51"/>
      <c r="W79" s="21"/>
      <c r="X79" s="21"/>
      <c r="Y79" s="26"/>
    </row>
    <row r="80" spans="2:25" x14ac:dyDescent="0.35">
      <c r="B80" s="50"/>
      <c r="C80" s="18"/>
      <c r="D80" s="20"/>
      <c r="E80" s="25"/>
      <c r="G80" s="50"/>
      <c r="H80" s="20"/>
      <c r="I80" s="20"/>
      <c r="J80" s="25"/>
      <c r="L80" s="50"/>
      <c r="M80" s="20"/>
      <c r="N80" s="20"/>
      <c r="O80" s="25"/>
      <c r="Q80" s="50"/>
      <c r="R80" s="20"/>
      <c r="S80" s="20"/>
      <c r="T80" s="25"/>
      <c r="V80" s="50"/>
      <c r="W80" s="20"/>
      <c r="X80" s="20"/>
      <c r="Y80" s="25"/>
    </row>
    <row r="81" spans="2:25" x14ac:dyDescent="0.35">
      <c r="B81" s="51"/>
      <c r="C81" s="19"/>
      <c r="D81" s="21"/>
      <c r="E81" s="26"/>
      <c r="G81" s="51"/>
      <c r="H81" s="21"/>
      <c r="I81" s="21"/>
      <c r="J81" s="26"/>
      <c r="L81" s="51"/>
      <c r="M81" s="21"/>
      <c r="N81" s="21"/>
      <c r="O81" s="26"/>
      <c r="Q81" s="51"/>
      <c r="R81" s="21"/>
      <c r="S81" s="21"/>
      <c r="T81" s="26"/>
      <c r="V81" s="51"/>
      <c r="W81" s="21"/>
      <c r="X81" s="21"/>
      <c r="Y81" s="26"/>
    </row>
    <row r="82" spans="2:25" x14ac:dyDescent="0.35">
      <c r="B82" s="50"/>
      <c r="C82" s="18"/>
      <c r="D82" s="20"/>
      <c r="E82" s="25"/>
      <c r="G82" s="50"/>
      <c r="H82" s="20"/>
      <c r="I82" s="20"/>
      <c r="J82" s="25"/>
      <c r="L82" s="50"/>
      <c r="M82" s="20"/>
      <c r="N82" s="20"/>
      <c r="O82" s="25"/>
      <c r="Q82" s="50"/>
      <c r="R82" s="20"/>
      <c r="S82" s="20"/>
      <c r="T82" s="25"/>
      <c r="V82" s="50"/>
      <c r="W82" s="20"/>
      <c r="X82" s="20"/>
      <c r="Y82" s="25"/>
    </row>
    <row r="83" spans="2:25" x14ac:dyDescent="0.35">
      <c r="B83" s="51"/>
      <c r="C83" s="19"/>
      <c r="D83" s="21"/>
      <c r="E83" s="26"/>
      <c r="G83" s="51"/>
      <c r="H83" s="21"/>
      <c r="I83" s="21"/>
      <c r="J83" s="26"/>
      <c r="L83" s="51"/>
      <c r="M83" s="21"/>
      <c r="N83" s="21"/>
      <c r="O83" s="26"/>
      <c r="Q83" s="51"/>
      <c r="R83" s="21"/>
      <c r="S83" s="21"/>
      <c r="T83" s="26"/>
      <c r="V83" s="51"/>
      <c r="W83" s="21"/>
      <c r="X83" s="21"/>
      <c r="Y83" s="26"/>
    </row>
    <row r="84" spans="2:25" x14ac:dyDescent="0.35">
      <c r="B84" s="50"/>
      <c r="C84" s="18"/>
      <c r="D84" s="20"/>
      <c r="E84" s="25"/>
      <c r="G84" s="50"/>
      <c r="H84" s="20"/>
      <c r="I84" s="20"/>
      <c r="J84" s="25"/>
      <c r="L84" s="50"/>
      <c r="M84" s="20"/>
      <c r="N84" s="20"/>
      <c r="O84" s="25"/>
      <c r="Q84" s="50"/>
      <c r="R84" s="20"/>
      <c r="S84" s="20"/>
      <c r="T84" s="25"/>
      <c r="V84" s="50"/>
      <c r="W84" s="20"/>
      <c r="X84" s="20"/>
      <c r="Y84" s="25"/>
    </row>
    <row r="85" spans="2:25" x14ac:dyDescent="0.35">
      <c r="B85" s="51"/>
      <c r="C85" s="19"/>
      <c r="D85" s="21"/>
      <c r="E85" s="26"/>
      <c r="G85" s="51"/>
      <c r="H85" s="21"/>
      <c r="I85" s="21"/>
      <c r="J85" s="26"/>
      <c r="L85" s="51"/>
      <c r="M85" s="21"/>
      <c r="N85" s="21"/>
      <c r="O85" s="26"/>
      <c r="Q85" s="51"/>
      <c r="R85" s="21"/>
      <c r="S85" s="21"/>
      <c r="T85" s="26"/>
      <c r="V85" s="51"/>
      <c r="W85" s="21"/>
      <c r="X85" s="21"/>
      <c r="Y85" s="26"/>
    </row>
    <row r="86" spans="2:25" x14ac:dyDescent="0.35">
      <c r="B86" s="50"/>
      <c r="C86" s="18"/>
      <c r="D86" s="20"/>
      <c r="E86" s="25"/>
      <c r="G86" s="50"/>
      <c r="H86" s="20"/>
      <c r="I86" s="20"/>
      <c r="J86" s="25"/>
      <c r="L86" s="50"/>
      <c r="M86" s="20"/>
      <c r="N86" s="20"/>
      <c r="O86" s="25"/>
      <c r="Q86" s="50"/>
      <c r="R86" s="20"/>
      <c r="S86" s="20"/>
      <c r="T86" s="25"/>
      <c r="V86" s="50"/>
      <c r="W86" s="20"/>
      <c r="X86" s="20"/>
      <c r="Y86" s="25"/>
    </row>
    <row r="87" spans="2:25" x14ac:dyDescent="0.35">
      <c r="B87" s="51"/>
      <c r="C87" s="19"/>
      <c r="D87" s="21"/>
      <c r="E87" s="26"/>
      <c r="G87" s="51"/>
      <c r="H87" s="21"/>
      <c r="I87" s="21"/>
      <c r="J87" s="26"/>
      <c r="L87" s="51"/>
      <c r="M87" s="21"/>
      <c r="N87" s="21"/>
      <c r="O87" s="26"/>
      <c r="Q87" s="51"/>
      <c r="R87" s="21"/>
      <c r="S87" s="21"/>
      <c r="T87" s="26"/>
      <c r="V87" s="51"/>
      <c r="W87" s="21"/>
      <c r="X87" s="21"/>
      <c r="Y87" s="26"/>
    </row>
    <row r="88" spans="2:25" x14ac:dyDescent="0.35">
      <c r="B88" s="50"/>
      <c r="C88" s="18"/>
      <c r="D88" s="20"/>
      <c r="E88" s="25"/>
      <c r="G88" s="50"/>
      <c r="H88" s="20"/>
      <c r="I88" s="20"/>
      <c r="J88" s="25"/>
      <c r="L88" s="50"/>
      <c r="M88" s="20"/>
      <c r="N88" s="20"/>
      <c r="O88" s="25"/>
      <c r="Q88" s="50"/>
      <c r="R88" s="20"/>
      <c r="S88" s="20"/>
      <c r="T88" s="25"/>
      <c r="V88" s="50"/>
      <c r="W88" s="20"/>
      <c r="X88" s="20"/>
      <c r="Y88" s="25"/>
    </row>
    <row r="89" spans="2:25" x14ac:dyDescent="0.35">
      <c r="B89" s="51"/>
      <c r="C89" s="19"/>
      <c r="D89" s="21"/>
      <c r="E89" s="26"/>
      <c r="G89" s="51"/>
      <c r="H89" s="21"/>
      <c r="I89" s="21"/>
      <c r="J89" s="26"/>
      <c r="L89" s="51"/>
      <c r="M89" s="21"/>
      <c r="N89" s="21"/>
      <c r="O89" s="26"/>
      <c r="Q89" s="51"/>
      <c r="R89" s="21"/>
      <c r="S89" s="21"/>
      <c r="T89" s="26"/>
      <c r="V89" s="51"/>
      <c r="W89" s="21"/>
      <c r="X89" s="21"/>
      <c r="Y89" s="26"/>
    </row>
    <row r="90" spans="2:25" x14ac:dyDescent="0.35">
      <c r="B90" s="50"/>
      <c r="C90" s="18"/>
      <c r="D90" s="20"/>
      <c r="E90" s="25"/>
      <c r="G90" s="50"/>
      <c r="H90" s="20"/>
      <c r="I90" s="20"/>
      <c r="J90" s="25"/>
      <c r="L90" s="50"/>
      <c r="M90" s="20"/>
      <c r="N90" s="20"/>
      <c r="O90" s="25"/>
      <c r="Q90" s="50"/>
      <c r="R90" s="20"/>
      <c r="S90" s="20"/>
      <c r="T90" s="25"/>
      <c r="V90" s="50"/>
      <c r="W90" s="20"/>
      <c r="X90" s="20"/>
      <c r="Y90" s="25"/>
    </row>
    <row r="91" spans="2:25" x14ac:dyDescent="0.35">
      <c r="B91" s="51"/>
      <c r="C91" s="19"/>
      <c r="D91" s="21"/>
      <c r="E91" s="26"/>
      <c r="G91" s="51"/>
      <c r="H91" s="21"/>
      <c r="I91" s="21"/>
      <c r="J91" s="26"/>
      <c r="L91" s="51"/>
      <c r="M91" s="21"/>
      <c r="N91" s="21"/>
      <c r="O91" s="26"/>
      <c r="Q91" s="51"/>
      <c r="R91" s="21"/>
      <c r="S91" s="21"/>
      <c r="T91" s="26"/>
      <c r="V91" s="51"/>
      <c r="W91" s="21"/>
      <c r="X91" s="21"/>
      <c r="Y91" s="26"/>
    </row>
    <row r="92" spans="2:25" x14ac:dyDescent="0.35">
      <c r="B92" s="50"/>
      <c r="C92" s="18"/>
      <c r="D92" s="20"/>
      <c r="E92" s="25"/>
      <c r="G92" s="50"/>
      <c r="H92" s="20"/>
      <c r="I92" s="20"/>
      <c r="J92" s="25"/>
      <c r="L92" s="50"/>
      <c r="M92" s="20"/>
      <c r="N92" s="20"/>
      <c r="O92" s="25"/>
      <c r="Q92" s="50"/>
      <c r="R92" s="20"/>
      <c r="S92" s="20"/>
      <c r="T92" s="25"/>
      <c r="V92" s="50"/>
      <c r="W92" s="20"/>
      <c r="X92" s="20"/>
      <c r="Y92" s="25"/>
    </row>
    <row r="93" spans="2:25" x14ac:dyDescent="0.35">
      <c r="B93" s="51"/>
      <c r="C93" s="19"/>
      <c r="D93" s="21"/>
      <c r="E93" s="26"/>
      <c r="G93" s="51"/>
      <c r="H93" s="21"/>
      <c r="I93" s="21"/>
      <c r="J93" s="26"/>
      <c r="L93" s="51"/>
      <c r="M93" s="21"/>
      <c r="N93" s="21"/>
      <c r="O93" s="26"/>
      <c r="Q93" s="51"/>
      <c r="R93" s="21"/>
      <c r="S93" s="21"/>
      <c r="T93" s="26"/>
      <c r="V93" s="51"/>
      <c r="W93" s="21"/>
      <c r="X93" s="21"/>
      <c r="Y93" s="26"/>
    </row>
    <row r="94" spans="2:25" x14ac:dyDescent="0.35">
      <c r="B94" s="50"/>
      <c r="C94" s="18"/>
      <c r="D94" s="20"/>
      <c r="E94" s="25"/>
      <c r="G94" s="50"/>
      <c r="H94" s="20"/>
      <c r="I94" s="20"/>
      <c r="J94" s="25"/>
      <c r="L94" s="50"/>
      <c r="M94" s="20"/>
      <c r="N94" s="20"/>
      <c r="O94" s="25"/>
      <c r="Q94" s="50"/>
      <c r="R94" s="20"/>
      <c r="S94" s="20"/>
      <c r="T94" s="25"/>
      <c r="V94" s="50"/>
      <c r="W94" s="20"/>
      <c r="X94" s="20"/>
      <c r="Y94" s="25"/>
    </row>
    <row r="95" spans="2:25" x14ac:dyDescent="0.35">
      <c r="B95" s="51"/>
      <c r="C95" s="19"/>
      <c r="D95" s="21"/>
      <c r="E95" s="26"/>
      <c r="G95" s="51"/>
      <c r="H95" s="21"/>
      <c r="I95" s="21"/>
      <c r="J95" s="26"/>
      <c r="L95" s="51"/>
      <c r="M95" s="21"/>
      <c r="N95" s="21"/>
      <c r="O95" s="26"/>
      <c r="Q95" s="51"/>
      <c r="R95" s="21"/>
      <c r="S95" s="21"/>
      <c r="T95" s="26"/>
      <c r="V95" s="51"/>
      <c r="W95" s="21"/>
      <c r="X95" s="21"/>
      <c r="Y95" s="26"/>
    </row>
    <row r="96" spans="2:25" x14ac:dyDescent="0.35">
      <c r="B96" s="50"/>
      <c r="C96" s="18"/>
      <c r="D96" s="20"/>
      <c r="E96" s="25"/>
      <c r="G96" s="50"/>
      <c r="H96" s="20"/>
      <c r="I96" s="20"/>
      <c r="J96" s="25"/>
      <c r="L96" s="50"/>
      <c r="M96" s="20"/>
      <c r="N96" s="20"/>
      <c r="O96" s="25"/>
      <c r="Q96" s="50"/>
      <c r="R96" s="20"/>
      <c r="S96" s="20"/>
      <c r="T96" s="25"/>
      <c r="V96" s="50"/>
      <c r="W96" s="20"/>
      <c r="X96" s="20"/>
      <c r="Y96" s="25"/>
    </row>
    <row r="97" spans="2:25" x14ac:dyDescent="0.35">
      <c r="B97" s="51"/>
      <c r="C97" s="19"/>
      <c r="D97" s="21"/>
      <c r="E97" s="26"/>
      <c r="G97" s="51"/>
      <c r="H97" s="21"/>
      <c r="I97" s="21"/>
      <c r="J97" s="26"/>
      <c r="L97" s="51"/>
      <c r="M97" s="21"/>
      <c r="N97" s="21"/>
      <c r="O97" s="26"/>
      <c r="Q97" s="51"/>
      <c r="R97" s="21"/>
      <c r="S97" s="21"/>
      <c r="T97" s="26"/>
      <c r="V97" s="51"/>
      <c r="W97" s="21"/>
      <c r="X97" s="21"/>
      <c r="Y97" s="26"/>
    </row>
    <row r="98" spans="2:25" x14ac:dyDescent="0.35">
      <c r="B98" s="50"/>
      <c r="C98" s="18"/>
      <c r="D98" s="20"/>
      <c r="E98" s="25"/>
      <c r="G98" s="50"/>
      <c r="H98" s="20"/>
      <c r="I98" s="20"/>
      <c r="J98" s="25"/>
      <c r="L98" s="50"/>
      <c r="M98" s="20"/>
      <c r="N98" s="20"/>
      <c r="O98" s="25"/>
      <c r="Q98" s="50"/>
      <c r="R98" s="20"/>
      <c r="S98" s="20"/>
      <c r="T98" s="25"/>
      <c r="V98" s="50"/>
      <c r="W98" s="20"/>
      <c r="X98" s="20"/>
      <c r="Y98" s="25"/>
    </row>
    <row r="99" spans="2:25" x14ac:dyDescent="0.35">
      <c r="B99" s="51"/>
      <c r="C99" s="19"/>
      <c r="D99" s="21"/>
      <c r="E99" s="26"/>
      <c r="G99" s="51"/>
      <c r="H99" s="21"/>
      <c r="I99" s="21"/>
      <c r="J99" s="26"/>
      <c r="L99" s="51"/>
      <c r="M99" s="21"/>
      <c r="N99" s="21"/>
      <c r="O99" s="26"/>
      <c r="Q99" s="51"/>
      <c r="R99" s="21"/>
      <c r="S99" s="21"/>
      <c r="T99" s="26"/>
      <c r="V99" s="51"/>
      <c r="W99" s="21"/>
      <c r="X99" s="21"/>
      <c r="Y99" s="26"/>
    </row>
    <row r="100" spans="2:25" x14ac:dyDescent="0.35">
      <c r="B100" s="50"/>
      <c r="C100" s="18"/>
      <c r="D100" s="20"/>
      <c r="E100" s="25"/>
      <c r="G100" s="50"/>
      <c r="H100" s="20"/>
      <c r="I100" s="20"/>
      <c r="J100" s="25"/>
      <c r="L100" s="50"/>
      <c r="M100" s="20"/>
      <c r="N100" s="20"/>
      <c r="O100" s="25"/>
      <c r="Q100" s="50"/>
      <c r="R100" s="20"/>
      <c r="S100" s="20"/>
      <c r="T100" s="25"/>
      <c r="V100" s="50"/>
      <c r="W100" s="20"/>
      <c r="X100" s="20"/>
      <c r="Y100" s="25"/>
    </row>
    <row r="101" spans="2:25" x14ac:dyDescent="0.35">
      <c r="B101" s="51"/>
      <c r="C101" s="19"/>
      <c r="D101" s="21"/>
      <c r="E101" s="26"/>
      <c r="G101" s="51"/>
      <c r="H101" s="21"/>
      <c r="I101" s="21"/>
      <c r="J101" s="26"/>
      <c r="L101" s="51"/>
      <c r="M101" s="21"/>
      <c r="N101" s="21"/>
      <c r="O101" s="26"/>
      <c r="Q101" s="51"/>
      <c r="R101" s="21"/>
      <c r="S101" s="21"/>
      <c r="T101" s="26"/>
      <c r="V101" s="51"/>
      <c r="W101" s="21"/>
      <c r="X101" s="21"/>
      <c r="Y101" s="26"/>
    </row>
    <row r="102" spans="2:25" x14ac:dyDescent="0.35">
      <c r="B102" s="50"/>
      <c r="C102" s="18"/>
      <c r="D102" s="20"/>
      <c r="E102" s="25"/>
      <c r="G102" s="50"/>
      <c r="H102" s="20"/>
      <c r="I102" s="20"/>
      <c r="J102" s="25"/>
      <c r="L102" s="50"/>
      <c r="M102" s="20"/>
      <c r="N102" s="20"/>
      <c r="O102" s="25"/>
      <c r="Q102" s="50"/>
      <c r="R102" s="20"/>
      <c r="S102" s="20"/>
      <c r="T102" s="25"/>
      <c r="V102" s="50"/>
      <c r="W102" s="20"/>
      <c r="X102" s="20"/>
      <c r="Y102" s="25"/>
    </row>
    <row r="103" spans="2:25" x14ac:dyDescent="0.35">
      <c r="B103" s="51"/>
      <c r="C103" s="19"/>
      <c r="D103" s="21"/>
      <c r="E103" s="26"/>
      <c r="G103" s="51"/>
      <c r="H103" s="21"/>
      <c r="I103" s="21"/>
      <c r="J103" s="26"/>
      <c r="L103" s="51"/>
      <c r="M103" s="21"/>
      <c r="N103" s="21"/>
      <c r="O103" s="26"/>
      <c r="Q103" s="51"/>
      <c r="R103" s="21"/>
      <c r="S103" s="21"/>
      <c r="T103" s="26"/>
      <c r="V103" s="51"/>
      <c r="W103" s="21"/>
      <c r="X103" s="21"/>
      <c r="Y103" s="26"/>
    </row>
    <row r="104" spans="2:25" x14ac:dyDescent="0.35">
      <c r="B104" s="50"/>
      <c r="C104" s="18"/>
      <c r="D104" s="20"/>
      <c r="E104" s="25"/>
      <c r="G104" s="50"/>
      <c r="H104" s="20"/>
      <c r="I104" s="20"/>
      <c r="J104" s="25"/>
      <c r="L104" s="50"/>
      <c r="M104" s="20"/>
      <c r="N104" s="20"/>
      <c r="O104" s="25"/>
      <c r="Q104" s="50"/>
      <c r="R104" s="20"/>
      <c r="S104" s="20"/>
      <c r="T104" s="25"/>
      <c r="V104" s="50"/>
      <c r="W104" s="20"/>
      <c r="X104" s="20"/>
      <c r="Y104" s="25"/>
    </row>
    <row r="105" spans="2:25" x14ac:dyDescent="0.35">
      <c r="B105" s="51"/>
      <c r="C105" s="19"/>
      <c r="D105" s="21"/>
      <c r="E105" s="26"/>
      <c r="G105" s="51"/>
      <c r="H105" s="21"/>
      <c r="I105" s="21"/>
      <c r="J105" s="26"/>
      <c r="L105" s="51"/>
      <c r="M105" s="21"/>
      <c r="N105" s="21"/>
      <c r="O105" s="26"/>
      <c r="Q105" s="51"/>
      <c r="R105" s="21"/>
      <c r="S105" s="21"/>
      <c r="T105" s="26"/>
      <c r="V105" s="51"/>
      <c r="W105" s="21"/>
      <c r="X105" s="21"/>
      <c r="Y105" s="26"/>
    </row>
    <row r="106" spans="2:25" x14ac:dyDescent="0.35">
      <c r="B106" s="50"/>
      <c r="C106" s="18"/>
      <c r="D106" s="20"/>
      <c r="E106" s="25"/>
      <c r="G106" s="50"/>
      <c r="H106" s="20"/>
      <c r="I106" s="20"/>
      <c r="J106" s="25"/>
      <c r="L106" s="50"/>
      <c r="M106" s="20"/>
      <c r="N106" s="20"/>
      <c r="O106" s="25"/>
      <c r="Q106" s="50"/>
      <c r="R106" s="20"/>
      <c r="S106" s="20"/>
      <c r="T106" s="25"/>
      <c r="V106" s="50"/>
      <c r="W106" s="20"/>
      <c r="X106" s="20"/>
      <c r="Y106" s="25"/>
    </row>
    <row r="107" spans="2:25" x14ac:dyDescent="0.35">
      <c r="B107" s="51"/>
      <c r="C107" s="19"/>
      <c r="D107" s="21"/>
      <c r="E107" s="26"/>
      <c r="G107" s="51"/>
      <c r="H107" s="21"/>
      <c r="I107" s="21"/>
      <c r="J107" s="26"/>
      <c r="L107" s="51"/>
      <c r="M107" s="21"/>
      <c r="N107" s="21"/>
      <c r="O107" s="26"/>
      <c r="Q107" s="51"/>
      <c r="R107" s="21"/>
      <c r="S107" s="21"/>
      <c r="T107" s="26"/>
      <c r="V107" s="51"/>
      <c r="W107" s="21"/>
      <c r="X107" s="21"/>
      <c r="Y107" s="26"/>
    </row>
    <row r="108" spans="2:25" x14ac:dyDescent="0.35">
      <c r="B108" s="50"/>
      <c r="C108" s="18"/>
      <c r="D108" s="20"/>
      <c r="E108" s="25"/>
      <c r="G108" s="50"/>
      <c r="H108" s="20"/>
      <c r="I108" s="20"/>
      <c r="J108" s="25"/>
      <c r="L108" s="50"/>
      <c r="M108" s="20"/>
      <c r="N108" s="20"/>
      <c r="O108" s="25"/>
      <c r="Q108" s="50"/>
      <c r="R108" s="20"/>
      <c r="S108" s="20"/>
      <c r="T108" s="25"/>
      <c r="V108" s="50"/>
      <c r="W108" s="20"/>
      <c r="X108" s="20"/>
      <c r="Y108" s="25"/>
    </row>
    <row r="109" spans="2:25" x14ac:dyDescent="0.35">
      <c r="B109" s="51"/>
      <c r="C109" s="19"/>
      <c r="D109" s="21"/>
      <c r="E109" s="26"/>
      <c r="G109" s="51"/>
      <c r="H109" s="21"/>
      <c r="I109" s="21"/>
      <c r="J109" s="26"/>
      <c r="L109" s="51"/>
      <c r="M109" s="21"/>
      <c r="N109" s="21"/>
      <c r="O109" s="26"/>
      <c r="Q109" s="51"/>
      <c r="R109" s="21"/>
      <c r="S109" s="21"/>
      <c r="T109" s="26"/>
      <c r="V109" s="51"/>
      <c r="W109" s="21"/>
      <c r="X109" s="21"/>
      <c r="Y109" s="26"/>
    </row>
    <row r="110" spans="2:25" x14ac:dyDescent="0.35">
      <c r="B110" s="50"/>
      <c r="C110" s="18"/>
      <c r="D110" s="20"/>
      <c r="E110" s="25"/>
      <c r="G110" s="50"/>
      <c r="H110" s="20"/>
      <c r="I110" s="20"/>
      <c r="J110" s="25"/>
      <c r="L110" s="50"/>
      <c r="M110" s="20"/>
      <c r="N110" s="20"/>
      <c r="O110" s="25"/>
      <c r="Q110" s="50"/>
      <c r="R110" s="20"/>
      <c r="S110" s="20"/>
      <c r="T110" s="25"/>
      <c r="V110" s="50"/>
      <c r="W110" s="20"/>
      <c r="X110" s="20"/>
      <c r="Y110" s="25"/>
    </row>
    <row r="111" spans="2:25" x14ac:dyDescent="0.35">
      <c r="B111" s="51"/>
      <c r="C111" s="19"/>
      <c r="D111" s="21"/>
      <c r="E111" s="26"/>
      <c r="G111" s="51"/>
      <c r="H111" s="21"/>
      <c r="I111" s="21"/>
      <c r="J111" s="26"/>
      <c r="L111" s="51"/>
      <c r="M111" s="21"/>
      <c r="N111" s="21"/>
      <c r="O111" s="26"/>
      <c r="Q111" s="51"/>
      <c r="R111" s="21"/>
      <c r="S111" s="21"/>
      <c r="T111" s="26"/>
      <c r="V111" s="51"/>
      <c r="W111" s="21"/>
      <c r="X111" s="21"/>
      <c r="Y111" s="26"/>
    </row>
    <row r="112" spans="2:25" x14ac:dyDescent="0.35">
      <c r="B112" s="50"/>
      <c r="C112" s="18"/>
      <c r="D112" s="20"/>
      <c r="E112" s="25"/>
      <c r="G112" s="50"/>
      <c r="H112" s="20"/>
      <c r="I112" s="20"/>
      <c r="J112" s="25"/>
      <c r="L112" s="50"/>
      <c r="M112" s="20"/>
      <c r="N112" s="20"/>
      <c r="O112" s="25"/>
      <c r="Q112" s="50"/>
      <c r="R112" s="20"/>
      <c r="S112" s="20"/>
      <c r="T112" s="25"/>
      <c r="V112" s="50"/>
      <c r="W112" s="20"/>
      <c r="X112" s="20"/>
      <c r="Y112" s="25"/>
    </row>
    <row r="113" spans="2:25" x14ac:dyDescent="0.35">
      <c r="B113" s="51"/>
      <c r="C113" s="19"/>
      <c r="D113" s="21"/>
      <c r="E113" s="26"/>
      <c r="G113" s="51"/>
      <c r="H113" s="21"/>
      <c r="I113" s="21"/>
      <c r="J113" s="26"/>
      <c r="L113" s="51"/>
      <c r="M113" s="21"/>
      <c r="N113" s="21"/>
      <c r="O113" s="26"/>
      <c r="Q113" s="51"/>
      <c r="R113" s="21"/>
      <c r="S113" s="21"/>
      <c r="T113" s="26"/>
      <c r="V113" s="51"/>
      <c r="W113" s="21"/>
      <c r="X113" s="21"/>
      <c r="Y113" s="26"/>
    </row>
    <row r="114" spans="2:25" x14ac:dyDescent="0.35">
      <c r="B114" s="50"/>
      <c r="C114" s="18"/>
      <c r="D114" s="20"/>
      <c r="E114" s="25"/>
      <c r="G114" s="50"/>
      <c r="H114" s="20"/>
      <c r="I114" s="20"/>
      <c r="J114" s="25"/>
      <c r="L114" s="50"/>
      <c r="M114" s="20"/>
      <c r="N114" s="20"/>
      <c r="O114" s="25"/>
      <c r="Q114" s="50"/>
      <c r="R114" s="20"/>
      <c r="S114" s="20"/>
      <c r="T114" s="25"/>
      <c r="V114" s="50"/>
      <c r="W114" s="20"/>
      <c r="X114" s="20"/>
      <c r="Y114" s="25"/>
    </row>
    <row r="115" spans="2:25" x14ac:dyDescent="0.35">
      <c r="B115" s="51"/>
      <c r="C115" s="19"/>
      <c r="D115" s="21"/>
      <c r="E115" s="26"/>
      <c r="G115" s="51"/>
      <c r="H115" s="21"/>
      <c r="I115" s="21"/>
      <c r="J115" s="26"/>
      <c r="L115" s="51"/>
      <c r="M115" s="21"/>
      <c r="N115" s="21"/>
      <c r="O115" s="26"/>
      <c r="Q115" s="51"/>
      <c r="R115" s="21"/>
      <c r="S115" s="21"/>
      <c r="T115" s="26"/>
      <c r="V115" s="51"/>
      <c r="W115" s="21"/>
      <c r="X115" s="21"/>
      <c r="Y115" s="26"/>
    </row>
    <row r="116" spans="2:25" x14ac:dyDescent="0.35">
      <c r="B116" s="50"/>
      <c r="C116" s="18"/>
      <c r="D116" s="20"/>
      <c r="E116" s="25"/>
      <c r="G116" s="50"/>
      <c r="H116" s="20"/>
      <c r="I116" s="20"/>
      <c r="J116" s="25"/>
      <c r="L116" s="50"/>
      <c r="M116" s="20"/>
      <c r="N116" s="20"/>
      <c r="O116" s="25"/>
      <c r="Q116" s="50"/>
      <c r="R116" s="20"/>
      <c r="S116" s="20"/>
      <c r="T116" s="25"/>
      <c r="V116" s="50"/>
      <c r="W116" s="20"/>
      <c r="X116" s="20"/>
      <c r="Y116" s="25"/>
    </row>
    <row r="117" spans="2:25" x14ac:dyDescent="0.35">
      <c r="B117" s="51"/>
      <c r="C117" s="19"/>
      <c r="D117" s="21"/>
      <c r="E117" s="26"/>
      <c r="G117" s="51"/>
      <c r="H117" s="21"/>
      <c r="I117" s="21"/>
      <c r="J117" s="26"/>
      <c r="L117" s="51"/>
      <c r="M117" s="21"/>
      <c r="N117" s="21"/>
      <c r="O117" s="26"/>
      <c r="Q117" s="51"/>
      <c r="R117" s="21"/>
      <c r="S117" s="21"/>
      <c r="T117" s="26"/>
      <c r="V117" s="51"/>
      <c r="W117" s="21"/>
      <c r="X117" s="21"/>
      <c r="Y117" s="26"/>
    </row>
    <row r="118" spans="2:25" x14ac:dyDescent="0.35">
      <c r="B118" s="50"/>
      <c r="C118" s="18"/>
      <c r="D118" s="20"/>
      <c r="E118" s="25"/>
      <c r="G118" s="50"/>
      <c r="H118" s="20"/>
      <c r="I118" s="20"/>
      <c r="J118" s="25"/>
      <c r="L118" s="50"/>
      <c r="M118" s="20"/>
      <c r="N118" s="20"/>
      <c r="O118" s="25"/>
      <c r="Q118" s="50"/>
      <c r="R118" s="20"/>
      <c r="S118" s="20"/>
      <c r="T118" s="25"/>
      <c r="V118" s="50"/>
      <c r="W118" s="20"/>
      <c r="X118" s="20"/>
      <c r="Y118" s="25"/>
    </row>
    <row r="119" spans="2:25" x14ac:dyDescent="0.35">
      <c r="B119" s="51"/>
      <c r="C119" s="19"/>
      <c r="D119" s="21"/>
      <c r="E119" s="26"/>
      <c r="G119" s="51"/>
      <c r="H119" s="21"/>
      <c r="I119" s="21"/>
      <c r="J119" s="26"/>
      <c r="L119" s="51"/>
      <c r="M119" s="21"/>
      <c r="N119" s="21"/>
      <c r="O119" s="26"/>
      <c r="Q119" s="51"/>
      <c r="R119" s="21"/>
      <c r="S119" s="21"/>
      <c r="T119" s="26"/>
      <c r="V119" s="51"/>
      <c r="W119" s="21"/>
      <c r="X119" s="21"/>
      <c r="Y119" s="26"/>
    </row>
    <row r="120" spans="2:25" x14ac:dyDescent="0.35">
      <c r="B120" s="50"/>
      <c r="C120" s="18"/>
      <c r="D120" s="20"/>
      <c r="E120" s="25"/>
      <c r="G120" s="50"/>
      <c r="H120" s="20"/>
      <c r="I120" s="20"/>
      <c r="J120" s="25"/>
      <c r="L120" s="50"/>
      <c r="M120" s="20"/>
      <c r="N120" s="20"/>
      <c r="O120" s="25"/>
      <c r="Q120" s="50"/>
      <c r="R120" s="20"/>
      <c r="S120" s="20"/>
      <c r="T120" s="25"/>
      <c r="V120" s="50"/>
      <c r="W120" s="20"/>
      <c r="X120" s="20"/>
      <c r="Y120" s="25"/>
    </row>
    <row r="121" spans="2:25" x14ac:dyDescent="0.35">
      <c r="B121" s="51"/>
      <c r="C121" s="19"/>
      <c r="D121" s="21"/>
      <c r="E121" s="26"/>
      <c r="G121" s="51"/>
      <c r="H121" s="21"/>
      <c r="I121" s="21"/>
      <c r="J121" s="26"/>
      <c r="L121" s="51"/>
      <c r="M121" s="21"/>
      <c r="N121" s="21"/>
      <c r="O121" s="26"/>
      <c r="Q121" s="51"/>
      <c r="R121" s="21"/>
      <c r="S121" s="21"/>
      <c r="T121" s="26"/>
      <c r="V121" s="51"/>
      <c r="W121" s="21"/>
      <c r="X121" s="21"/>
      <c r="Y121" s="26"/>
    </row>
    <row r="122" spans="2:25" x14ac:dyDescent="0.35">
      <c r="B122" s="50"/>
      <c r="C122" s="18"/>
      <c r="D122" s="20"/>
      <c r="E122" s="25"/>
      <c r="G122" s="50"/>
      <c r="H122" s="20"/>
      <c r="I122" s="20"/>
      <c r="J122" s="25"/>
      <c r="L122" s="50"/>
      <c r="M122" s="20"/>
      <c r="N122" s="20"/>
      <c r="O122" s="25"/>
      <c r="Q122" s="50"/>
      <c r="R122" s="20"/>
      <c r="S122" s="20"/>
      <c r="T122" s="25"/>
      <c r="V122" s="50"/>
      <c r="W122" s="20"/>
      <c r="X122" s="20"/>
      <c r="Y122" s="25"/>
    </row>
    <row r="123" spans="2:25" x14ac:dyDescent="0.35">
      <c r="B123" s="51"/>
      <c r="C123" s="19"/>
      <c r="D123" s="21"/>
      <c r="E123" s="26"/>
      <c r="G123" s="51"/>
      <c r="H123" s="21"/>
      <c r="I123" s="21"/>
      <c r="J123" s="26"/>
      <c r="L123" s="51"/>
      <c r="M123" s="21"/>
      <c r="N123" s="21"/>
      <c r="O123" s="26"/>
      <c r="Q123" s="51"/>
      <c r="R123" s="21"/>
      <c r="S123" s="21"/>
      <c r="T123" s="26"/>
      <c r="V123" s="51"/>
      <c r="W123" s="21"/>
      <c r="X123" s="21"/>
      <c r="Y123" s="26"/>
    </row>
    <row r="124" spans="2:25" x14ac:dyDescent="0.35">
      <c r="B124" s="50"/>
      <c r="C124" s="18"/>
      <c r="D124" s="20"/>
      <c r="E124" s="25"/>
      <c r="G124" s="50"/>
      <c r="H124" s="20"/>
      <c r="I124" s="20"/>
      <c r="J124" s="25"/>
      <c r="L124" s="50"/>
      <c r="M124" s="20"/>
      <c r="N124" s="20"/>
      <c r="O124" s="25"/>
      <c r="Q124" s="50"/>
      <c r="R124" s="20"/>
      <c r="S124" s="20"/>
      <c r="T124" s="25"/>
      <c r="V124" s="50"/>
      <c r="W124" s="20"/>
      <c r="X124" s="20"/>
      <c r="Y124" s="25"/>
    </row>
    <row r="125" spans="2:25" x14ac:dyDescent="0.35">
      <c r="B125" s="51"/>
      <c r="C125" s="19"/>
      <c r="D125" s="21"/>
      <c r="E125" s="26"/>
      <c r="G125" s="51"/>
      <c r="H125" s="21"/>
      <c r="I125" s="21"/>
      <c r="J125" s="26"/>
      <c r="L125" s="51"/>
      <c r="M125" s="21"/>
      <c r="N125" s="21"/>
      <c r="O125" s="26"/>
      <c r="Q125" s="51"/>
      <c r="R125" s="21"/>
      <c r="S125" s="21"/>
      <c r="T125" s="26"/>
      <c r="V125" s="51"/>
      <c r="W125" s="21"/>
      <c r="X125" s="21"/>
      <c r="Y125" s="26"/>
    </row>
    <row r="126" spans="2:25" x14ac:dyDescent="0.35">
      <c r="B126" s="50"/>
      <c r="C126" s="18"/>
      <c r="D126" s="20"/>
      <c r="E126" s="25"/>
      <c r="G126" s="50"/>
      <c r="H126" s="20"/>
      <c r="I126" s="20"/>
      <c r="J126" s="25"/>
      <c r="L126" s="50"/>
      <c r="M126" s="20"/>
      <c r="N126" s="20"/>
      <c r="O126" s="25"/>
      <c r="Q126" s="50"/>
      <c r="R126" s="20"/>
      <c r="S126" s="20"/>
      <c r="T126" s="25"/>
      <c r="V126" s="50"/>
      <c r="W126" s="20"/>
      <c r="X126" s="20"/>
      <c r="Y126" s="25"/>
    </row>
    <row r="127" spans="2:25" x14ac:dyDescent="0.35">
      <c r="B127" s="51"/>
      <c r="C127" s="19"/>
      <c r="D127" s="21"/>
      <c r="E127" s="26"/>
      <c r="G127" s="51"/>
      <c r="H127" s="21"/>
      <c r="I127" s="21"/>
      <c r="J127" s="26"/>
      <c r="L127" s="51"/>
      <c r="M127" s="21"/>
      <c r="N127" s="21"/>
      <c r="O127" s="26"/>
      <c r="Q127" s="51"/>
      <c r="R127" s="21"/>
      <c r="S127" s="21"/>
      <c r="T127" s="26"/>
      <c r="V127" s="51"/>
      <c r="W127" s="21"/>
      <c r="X127" s="21"/>
      <c r="Y127" s="26"/>
    </row>
    <row r="128" spans="2:25" x14ac:dyDescent="0.35">
      <c r="B128" s="50"/>
      <c r="C128" s="18"/>
      <c r="D128" s="20"/>
      <c r="E128" s="25"/>
      <c r="G128" s="50"/>
      <c r="H128" s="20"/>
      <c r="I128" s="20"/>
      <c r="J128" s="25"/>
      <c r="L128" s="50"/>
      <c r="M128" s="20"/>
      <c r="N128" s="20"/>
      <c r="O128" s="25"/>
      <c r="Q128" s="50"/>
      <c r="R128" s="20"/>
      <c r="S128" s="20"/>
      <c r="T128" s="25"/>
      <c r="V128" s="50"/>
      <c r="W128" s="20"/>
      <c r="X128" s="20"/>
      <c r="Y128" s="25"/>
    </row>
    <row r="129" spans="2:25" x14ac:dyDescent="0.35">
      <c r="B129" s="51"/>
      <c r="C129" s="19"/>
      <c r="D129" s="21"/>
      <c r="E129" s="26"/>
      <c r="G129" s="51"/>
      <c r="H129" s="21"/>
      <c r="I129" s="21"/>
      <c r="J129" s="26"/>
      <c r="L129" s="51"/>
      <c r="M129" s="21"/>
      <c r="N129" s="21"/>
      <c r="O129" s="26"/>
      <c r="Q129" s="51"/>
      <c r="R129" s="21"/>
      <c r="S129" s="21"/>
      <c r="T129" s="26"/>
      <c r="V129" s="51"/>
      <c r="W129" s="21"/>
      <c r="X129" s="21"/>
      <c r="Y129" s="26"/>
    </row>
    <row r="130" spans="2:25" x14ac:dyDescent="0.35">
      <c r="B130" s="50"/>
      <c r="C130" s="18"/>
      <c r="D130" s="20"/>
      <c r="E130" s="25"/>
      <c r="G130" s="50"/>
      <c r="H130" s="20"/>
      <c r="I130" s="20"/>
      <c r="J130" s="25"/>
      <c r="L130" s="50"/>
      <c r="M130" s="20"/>
      <c r="N130" s="20"/>
      <c r="O130" s="25"/>
      <c r="Q130" s="50"/>
      <c r="R130" s="20"/>
      <c r="S130" s="20"/>
      <c r="T130" s="25"/>
      <c r="V130" s="50"/>
      <c r="W130" s="20"/>
      <c r="X130" s="20"/>
      <c r="Y130" s="25"/>
    </row>
    <row r="131" spans="2:25" x14ac:dyDescent="0.35">
      <c r="B131" s="51"/>
      <c r="C131" s="19"/>
      <c r="D131" s="21"/>
      <c r="E131" s="26"/>
      <c r="G131" s="51"/>
      <c r="H131" s="21"/>
      <c r="I131" s="21"/>
      <c r="J131" s="26"/>
      <c r="L131" s="51"/>
      <c r="M131" s="21"/>
      <c r="N131" s="21"/>
      <c r="O131" s="26"/>
      <c r="Q131" s="51"/>
      <c r="R131" s="21"/>
      <c r="S131" s="21"/>
      <c r="T131" s="26"/>
      <c r="V131" s="51"/>
      <c r="W131" s="21"/>
      <c r="X131" s="21"/>
      <c r="Y131" s="26"/>
    </row>
    <row r="132" spans="2:25" x14ac:dyDescent="0.35">
      <c r="B132" s="50"/>
      <c r="C132" s="18"/>
      <c r="D132" s="20"/>
      <c r="E132" s="25"/>
      <c r="G132" s="50"/>
      <c r="H132" s="20"/>
      <c r="I132" s="20"/>
      <c r="J132" s="25"/>
      <c r="L132" s="50"/>
      <c r="M132" s="20"/>
      <c r="N132" s="20"/>
      <c r="O132" s="25"/>
      <c r="Q132" s="50"/>
      <c r="R132" s="20"/>
      <c r="S132" s="20"/>
      <c r="T132" s="25"/>
      <c r="V132" s="50"/>
      <c r="W132" s="20"/>
      <c r="X132" s="20"/>
      <c r="Y132" s="25"/>
    </row>
    <row r="133" spans="2:25" x14ac:dyDescent="0.35">
      <c r="B133" s="51"/>
      <c r="C133" s="19"/>
      <c r="D133" s="21"/>
      <c r="E133" s="26"/>
      <c r="G133" s="51"/>
      <c r="H133" s="21"/>
      <c r="I133" s="21"/>
      <c r="J133" s="26"/>
      <c r="L133" s="51"/>
      <c r="M133" s="21"/>
      <c r="N133" s="21"/>
      <c r="O133" s="26"/>
      <c r="Q133" s="51"/>
      <c r="R133" s="21"/>
      <c r="S133" s="21"/>
      <c r="T133" s="26"/>
      <c r="V133" s="51"/>
      <c r="W133" s="21"/>
      <c r="X133" s="21"/>
      <c r="Y133" s="26"/>
    </row>
    <row r="134" spans="2:25" x14ac:dyDescent="0.35">
      <c r="B134" s="50"/>
      <c r="C134" s="18"/>
      <c r="D134" s="20"/>
      <c r="E134" s="25"/>
      <c r="G134" s="50"/>
      <c r="H134" s="20"/>
      <c r="I134" s="20"/>
      <c r="J134" s="25"/>
      <c r="L134" s="50"/>
      <c r="M134" s="20"/>
      <c r="N134" s="20"/>
      <c r="O134" s="25"/>
      <c r="Q134" s="50"/>
      <c r="R134" s="20"/>
      <c r="S134" s="20"/>
      <c r="T134" s="25"/>
      <c r="V134" s="50"/>
      <c r="W134" s="20"/>
      <c r="X134" s="20"/>
      <c r="Y134" s="25"/>
    </row>
    <row r="135" spans="2:25" x14ac:dyDescent="0.35">
      <c r="B135" s="51"/>
      <c r="C135" s="19"/>
      <c r="D135" s="21"/>
      <c r="E135" s="26"/>
      <c r="G135" s="51"/>
      <c r="H135" s="21"/>
      <c r="I135" s="21"/>
      <c r="J135" s="26"/>
      <c r="L135" s="51"/>
      <c r="M135" s="21"/>
      <c r="N135" s="21"/>
      <c r="O135" s="26"/>
      <c r="Q135" s="51"/>
      <c r="R135" s="21"/>
      <c r="S135" s="21"/>
      <c r="T135" s="26"/>
      <c r="V135" s="51"/>
      <c r="W135" s="21"/>
      <c r="X135" s="21"/>
      <c r="Y135" s="26"/>
    </row>
    <row r="136" spans="2:25" x14ac:dyDescent="0.35">
      <c r="B136" s="50"/>
      <c r="C136" s="18"/>
      <c r="D136" s="20"/>
      <c r="E136" s="25"/>
      <c r="G136" s="50"/>
      <c r="H136" s="20"/>
      <c r="I136" s="20"/>
      <c r="J136" s="25"/>
      <c r="L136" s="50"/>
      <c r="M136" s="20"/>
      <c r="N136" s="20"/>
      <c r="O136" s="25"/>
      <c r="Q136" s="50"/>
      <c r="R136" s="20"/>
      <c r="S136" s="20"/>
      <c r="T136" s="25"/>
      <c r="V136" s="50"/>
      <c r="W136" s="20"/>
      <c r="X136" s="20"/>
      <c r="Y136" s="25"/>
    </row>
    <row r="137" spans="2:25" x14ac:dyDescent="0.35">
      <c r="B137" s="51"/>
      <c r="C137" s="19"/>
      <c r="D137" s="21"/>
      <c r="E137" s="26"/>
      <c r="G137" s="51"/>
      <c r="H137" s="21"/>
      <c r="I137" s="21"/>
      <c r="J137" s="26"/>
      <c r="L137" s="51"/>
      <c r="M137" s="21"/>
      <c r="N137" s="21"/>
      <c r="O137" s="26"/>
      <c r="Q137" s="51"/>
      <c r="R137" s="21"/>
      <c r="S137" s="21"/>
      <c r="T137" s="26"/>
      <c r="V137" s="51"/>
      <c r="W137" s="21"/>
      <c r="X137" s="21"/>
      <c r="Y137" s="26"/>
    </row>
    <row r="138" spans="2:25" x14ac:dyDescent="0.35">
      <c r="B138" s="50"/>
      <c r="C138" s="18"/>
      <c r="D138" s="20"/>
      <c r="E138" s="25"/>
      <c r="G138" s="50"/>
      <c r="H138" s="20"/>
      <c r="I138" s="20"/>
      <c r="J138" s="25"/>
      <c r="L138" s="50"/>
      <c r="M138" s="20"/>
      <c r="N138" s="20"/>
      <c r="O138" s="25"/>
      <c r="Q138" s="50"/>
      <c r="R138" s="20"/>
      <c r="S138" s="20"/>
      <c r="T138" s="25"/>
      <c r="V138" s="50"/>
      <c r="W138" s="20"/>
      <c r="X138" s="20"/>
      <c r="Y138" s="25"/>
    </row>
    <row r="139" spans="2:25" x14ac:dyDescent="0.35">
      <c r="B139" s="51"/>
      <c r="C139" s="19"/>
      <c r="D139" s="21"/>
      <c r="E139" s="26"/>
      <c r="G139" s="51"/>
      <c r="H139" s="21"/>
      <c r="I139" s="21"/>
      <c r="J139" s="26"/>
      <c r="L139" s="51"/>
      <c r="M139" s="21"/>
      <c r="N139" s="21"/>
      <c r="O139" s="26"/>
      <c r="Q139" s="51"/>
      <c r="R139" s="21"/>
      <c r="S139" s="21"/>
      <c r="T139" s="26"/>
      <c r="V139" s="51"/>
      <c r="W139" s="21"/>
      <c r="X139" s="21"/>
      <c r="Y139" s="26"/>
    </row>
    <row r="140" spans="2:25" x14ac:dyDescent="0.35">
      <c r="B140" s="50"/>
      <c r="C140" s="18"/>
      <c r="D140" s="20"/>
      <c r="E140" s="25"/>
      <c r="G140" s="50"/>
      <c r="H140" s="20"/>
      <c r="I140" s="20"/>
      <c r="J140" s="25"/>
      <c r="L140" s="50"/>
      <c r="M140" s="20"/>
      <c r="N140" s="20"/>
      <c r="O140" s="25"/>
      <c r="Q140" s="50"/>
      <c r="R140" s="20"/>
      <c r="S140" s="20"/>
      <c r="T140" s="25"/>
      <c r="V140" s="50"/>
      <c r="W140" s="20"/>
      <c r="X140" s="20"/>
      <c r="Y140" s="25"/>
    </row>
    <row r="141" spans="2:25" x14ac:dyDescent="0.35">
      <c r="B141" s="51"/>
      <c r="C141" s="19"/>
      <c r="D141" s="21"/>
      <c r="E141" s="26"/>
      <c r="G141" s="51"/>
      <c r="H141" s="21"/>
      <c r="I141" s="21"/>
      <c r="J141" s="26"/>
      <c r="L141" s="51"/>
      <c r="M141" s="21"/>
      <c r="N141" s="21"/>
      <c r="O141" s="26"/>
      <c r="Q141" s="51"/>
      <c r="R141" s="21"/>
      <c r="S141" s="21"/>
      <c r="T141" s="26"/>
      <c r="V141" s="51"/>
      <c r="W141" s="21"/>
      <c r="X141" s="21"/>
      <c r="Y141" s="26"/>
    </row>
    <row r="142" spans="2:25" x14ac:dyDescent="0.35">
      <c r="B142" s="50"/>
      <c r="C142" s="18"/>
      <c r="D142" s="20"/>
      <c r="E142" s="25"/>
      <c r="G142" s="50"/>
      <c r="H142" s="20"/>
      <c r="I142" s="20"/>
      <c r="J142" s="25"/>
      <c r="L142" s="50"/>
      <c r="M142" s="20"/>
      <c r="N142" s="20"/>
      <c r="O142" s="25"/>
      <c r="Q142" s="50"/>
      <c r="R142" s="20"/>
      <c r="S142" s="20"/>
      <c r="T142" s="25"/>
      <c r="V142" s="50"/>
      <c r="W142" s="20"/>
      <c r="X142" s="20"/>
      <c r="Y142" s="25"/>
    </row>
    <row r="143" spans="2:25" x14ac:dyDescent="0.35">
      <c r="B143" s="51"/>
      <c r="C143" s="19"/>
      <c r="D143" s="21"/>
      <c r="E143" s="26"/>
      <c r="G143" s="51"/>
      <c r="H143" s="21"/>
      <c r="I143" s="21"/>
      <c r="J143" s="26"/>
      <c r="L143" s="51"/>
      <c r="M143" s="21"/>
      <c r="N143" s="21"/>
      <c r="O143" s="26"/>
      <c r="Q143" s="51"/>
      <c r="R143" s="21"/>
      <c r="S143" s="21"/>
      <c r="T143" s="26"/>
      <c r="V143" s="51"/>
      <c r="W143" s="21"/>
      <c r="X143" s="21"/>
      <c r="Y143" s="26"/>
    </row>
    <row r="144" spans="2:25" x14ac:dyDescent="0.35">
      <c r="B144" s="50"/>
      <c r="C144" s="18"/>
      <c r="D144" s="20"/>
      <c r="E144" s="25"/>
      <c r="G144" s="50"/>
      <c r="H144" s="20"/>
      <c r="I144" s="20"/>
      <c r="J144" s="25"/>
      <c r="L144" s="50"/>
      <c r="M144" s="20"/>
      <c r="N144" s="20"/>
      <c r="O144" s="25"/>
      <c r="Q144" s="50"/>
      <c r="R144" s="20"/>
      <c r="S144" s="20"/>
      <c r="T144" s="25"/>
      <c r="V144" s="50"/>
      <c r="W144" s="20"/>
      <c r="X144" s="20"/>
      <c r="Y144" s="25"/>
    </row>
    <row r="145" spans="2:25" x14ac:dyDescent="0.35">
      <c r="B145" s="51"/>
      <c r="C145" s="19"/>
      <c r="D145" s="21"/>
      <c r="E145" s="26"/>
      <c r="G145" s="51"/>
      <c r="H145" s="21"/>
      <c r="I145" s="21"/>
      <c r="J145" s="26"/>
      <c r="L145" s="51"/>
      <c r="M145" s="21"/>
      <c r="N145" s="21"/>
      <c r="O145" s="26"/>
      <c r="Q145" s="51"/>
      <c r="R145" s="21"/>
      <c r="S145" s="21"/>
      <c r="T145" s="26"/>
      <c r="V145" s="51"/>
      <c r="W145" s="21"/>
      <c r="X145" s="21"/>
      <c r="Y145" s="26"/>
    </row>
    <row r="146" spans="2:25" x14ac:dyDescent="0.35">
      <c r="B146" s="50"/>
      <c r="C146" s="18"/>
      <c r="D146" s="20"/>
      <c r="E146" s="25"/>
      <c r="G146" s="50"/>
      <c r="H146" s="20"/>
      <c r="I146" s="20"/>
      <c r="J146" s="25"/>
      <c r="L146" s="50"/>
      <c r="M146" s="20"/>
      <c r="N146" s="20"/>
      <c r="O146" s="25"/>
      <c r="Q146" s="50"/>
      <c r="R146" s="20"/>
      <c r="S146" s="20"/>
      <c r="T146" s="25"/>
      <c r="V146" s="50"/>
      <c r="W146" s="20"/>
      <c r="X146" s="20"/>
      <c r="Y146" s="25"/>
    </row>
    <row r="147" spans="2:25" x14ac:dyDescent="0.35">
      <c r="B147" s="51"/>
      <c r="C147" s="19"/>
      <c r="D147" s="21"/>
      <c r="E147" s="26"/>
      <c r="G147" s="51"/>
      <c r="H147" s="21"/>
      <c r="I147" s="21"/>
      <c r="J147" s="26"/>
      <c r="L147" s="51"/>
      <c r="M147" s="21"/>
      <c r="N147" s="21"/>
      <c r="O147" s="26"/>
      <c r="Q147" s="51"/>
      <c r="R147" s="21"/>
      <c r="S147" s="21"/>
      <c r="T147" s="26"/>
      <c r="V147" s="51"/>
      <c r="W147" s="21"/>
      <c r="X147" s="21"/>
      <c r="Y147" s="26"/>
    </row>
    <row r="148" spans="2:25" x14ac:dyDescent="0.35">
      <c r="B148" s="50"/>
      <c r="C148" s="18"/>
      <c r="D148" s="20"/>
      <c r="E148" s="25"/>
      <c r="G148" s="50"/>
      <c r="H148" s="20"/>
      <c r="I148" s="20"/>
      <c r="J148" s="25"/>
      <c r="L148" s="50"/>
      <c r="M148" s="20"/>
      <c r="N148" s="20"/>
      <c r="O148" s="25"/>
      <c r="Q148" s="50"/>
      <c r="R148" s="20"/>
      <c r="S148" s="20"/>
      <c r="T148" s="25"/>
      <c r="V148" s="50"/>
      <c r="W148" s="20"/>
      <c r="X148" s="20"/>
      <c r="Y148" s="25"/>
    </row>
    <row r="149" spans="2:25" x14ac:dyDescent="0.35">
      <c r="B149" s="51"/>
      <c r="C149" s="19"/>
      <c r="D149" s="21"/>
      <c r="E149" s="26"/>
      <c r="G149" s="51"/>
      <c r="H149" s="21"/>
      <c r="I149" s="21"/>
      <c r="J149" s="26"/>
      <c r="L149" s="51"/>
      <c r="M149" s="21"/>
      <c r="N149" s="21"/>
      <c r="O149" s="26"/>
      <c r="Q149" s="51"/>
      <c r="R149" s="21"/>
      <c r="S149" s="21"/>
      <c r="T149" s="26"/>
      <c r="V149" s="51"/>
      <c r="W149" s="21"/>
      <c r="X149" s="21"/>
      <c r="Y149" s="26"/>
    </row>
    <row r="150" spans="2:25" x14ac:dyDescent="0.35">
      <c r="B150" s="50"/>
      <c r="C150" s="18"/>
      <c r="D150" s="20"/>
      <c r="E150" s="25"/>
      <c r="G150" s="50"/>
      <c r="H150" s="20"/>
      <c r="I150" s="20"/>
      <c r="J150" s="25"/>
      <c r="L150" s="50"/>
      <c r="M150" s="20"/>
      <c r="N150" s="20"/>
      <c r="O150" s="25"/>
      <c r="Q150" s="50"/>
      <c r="R150" s="20"/>
      <c r="S150" s="20"/>
      <c r="T150" s="25"/>
      <c r="V150" s="50"/>
      <c r="W150" s="20"/>
      <c r="X150" s="20"/>
      <c r="Y150" s="25"/>
    </row>
    <row r="151" spans="2:25" x14ac:dyDescent="0.35">
      <c r="B151" s="51"/>
      <c r="C151" s="19"/>
      <c r="D151" s="21"/>
      <c r="E151" s="26"/>
      <c r="G151" s="51"/>
      <c r="H151" s="21"/>
      <c r="I151" s="21"/>
      <c r="J151" s="26"/>
      <c r="L151" s="51"/>
      <c r="M151" s="21"/>
      <c r="N151" s="21"/>
      <c r="O151" s="26"/>
      <c r="Q151" s="51"/>
      <c r="R151" s="21"/>
      <c r="S151" s="21"/>
      <c r="T151" s="26"/>
      <c r="V151" s="51"/>
      <c r="W151" s="21"/>
      <c r="X151" s="21"/>
      <c r="Y151" s="26"/>
    </row>
    <row r="152" spans="2:25" x14ac:dyDescent="0.35">
      <c r="B152" s="50"/>
      <c r="C152" s="18"/>
      <c r="D152" s="20"/>
      <c r="E152" s="25"/>
      <c r="G152" s="50"/>
      <c r="H152" s="20"/>
      <c r="I152" s="20"/>
      <c r="J152" s="25"/>
      <c r="L152" s="50"/>
      <c r="M152" s="20"/>
      <c r="N152" s="20"/>
      <c r="O152" s="25"/>
      <c r="Q152" s="50"/>
      <c r="R152" s="20"/>
      <c r="S152" s="20"/>
      <c r="T152" s="25"/>
      <c r="V152" s="50"/>
      <c r="W152" s="20"/>
      <c r="X152" s="20"/>
      <c r="Y152" s="25"/>
    </row>
    <row r="153" spans="2:25" x14ac:dyDescent="0.35">
      <c r="B153" s="51"/>
      <c r="C153" s="19"/>
      <c r="D153" s="21"/>
      <c r="E153" s="26"/>
      <c r="G153" s="51"/>
      <c r="H153" s="21"/>
      <c r="I153" s="21"/>
      <c r="J153" s="26"/>
      <c r="L153" s="51"/>
      <c r="M153" s="21"/>
      <c r="N153" s="21"/>
      <c r="O153" s="26"/>
      <c r="Q153" s="51"/>
      <c r="R153" s="21"/>
      <c r="S153" s="21"/>
      <c r="T153" s="26"/>
      <c r="V153" s="51"/>
      <c r="W153" s="21"/>
      <c r="X153" s="21"/>
      <c r="Y153" s="26"/>
    </row>
    <row r="154" spans="2:25" x14ac:dyDescent="0.35">
      <c r="B154" s="50"/>
      <c r="C154" s="18"/>
      <c r="D154" s="20"/>
      <c r="E154" s="25"/>
      <c r="G154" s="50"/>
      <c r="H154" s="20"/>
      <c r="I154" s="20"/>
      <c r="J154" s="25"/>
      <c r="L154" s="50"/>
      <c r="M154" s="20"/>
      <c r="N154" s="20"/>
      <c r="O154" s="25"/>
      <c r="Q154" s="50"/>
      <c r="R154" s="20"/>
      <c r="S154" s="20"/>
      <c r="T154" s="25"/>
      <c r="V154" s="50"/>
      <c r="W154" s="20"/>
      <c r="X154" s="20"/>
      <c r="Y154" s="25"/>
    </row>
    <row r="155" spans="2:25" x14ac:dyDescent="0.35">
      <c r="B155" s="51"/>
      <c r="C155" s="19"/>
      <c r="D155" s="21"/>
      <c r="E155" s="26"/>
      <c r="G155" s="51"/>
      <c r="H155" s="21"/>
      <c r="I155" s="21"/>
      <c r="J155" s="26"/>
      <c r="L155" s="51"/>
      <c r="M155" s="21"/>
      <c r="N155" s="21"/>
      <c r="O155" s="26"/>
      <c r="Q155" s="51"/>
      <c r="R155" s="21"/>
      <c r="S155" s="21"/>
      <c r="T155" s="26"/>
      <c r="V155" s="51"/>
      <c r="W155" s="21"/>
      <c r="X155" s="21"/>
      <c r="Y155" s="26"/>
    </row>
    <row r="156" spans="2:25" x14ac:dyDescent="0.35">
      <c r="B156" s="50"/>
      <c r="C156" s="18"/>
      <c r="D156" s="20"/>
      <c r="E156" s="25"/>
      <c r="G156" s="50"/>
      <c r="H156" s="20"/>
      <c r="I156" s="20"/>
      <c r="J156" s="25"/>
      <c r="L156" s="50"/>
      <c r="M156" s="20"/>
      <c r="N156" s="20"/>
      <c r="O156" s="25"/>
      <c r="Q156" s="50"/>
      <c r="R156" s="20"/>
      <c r="S156" s="20"/>
      <c r="T156" s="25"/>
      <c r="V156" s="50"/>
      <c r="W156" s="20"/>
      <c r="X156" s="20"/>
      <c r="Y156" s="25"/>
    </row>
    <row r="157" spans="2:25" x14ac:dyDescent="0.35">
      <c r="B157" s="51"/>
      <c r="C157" s="19"/>
      <c r="D157" s="21"/>
      <c r="E157" s="26"/>
      <c r="G157" s="51"/>
      <c r="H157" s="21"/>
      <c r="I157" s="21"/>
      <c r="J157" s="26"/>
      <c r="L157" s="51"/>
      <c r="M157" s="21"/>
      <c r="N157" s="21"/>
      <c r="O157" s="26"/>
      <c r="Q157" s="51"/>
      <c r="R157" s="21"/>
      <c r="S157" s="21"/>
      <c r="T157" s="26"/>
      <c r="V157" s="51"/>
      <c r="W157" s="21"/>
      <c r="X157" s="21"/>
      <c r="Y157" s="26"/>
    </row>
    <row r="158" spans="2:25" x14ac:dyDescent="0.35">
      <c r="B158" s="50"/>
      <c r="C158" s="18"/>
      <c r="D158" s="20"/>
      <c r="E158" s="25"/>
      <c r="G158" s="50"/>
      <c r="H158" s="20"/>
      <c r="I158" s="20"/>
      <c r="J158" s="25"/>
      <c r="L158" s="50"/>
      <c r="M158" s="20"/>
      <c r="N158" s="20"/>
      <c r="O158" s="25"/>
      <c r="Q158" s="50"/>
      <c r="R158" s="20"/>
      <c r="S158" s="20"/>
      <c r="T158" s="25"/>
      <c r="V158" s="50"/>
      <c r="W158" s="20"/>
      <c r="X158" s="20"/>
      <c r="Y158" s="25"/>
    </row>
    <row r="159" spans="2:25" x14ac:dyDescent="0.35">
      <c r="B159" s="51"/>
      <c r="C159" s="19"/>
      <c r="D159" s="21"/>
      <c r="E159" s="26"/>
      <c r="G159" s="51"/>
      <c r="H159" s="21"/>
      <c r="I159" s="21"/>
      <c r="J159" s="26"/>
      <c r="L159" s="51"/>
      <c r="M159" s="21"/>
      <c r="N159" s="21"/>
      <c r="O159" s="26"/>
      <c r="Q159" s="51"/>
      <c r="R159" s="21"/>
      <c r="S159" s="21"/>
      <c r="T159" s="26"/>
      <c r="V159" s="51"/>
      <c r="W159" s="21"/>
      <c r="X159" s="21"/>
      <c r="Y159" s="26"/>
    </row>
    <row r="160" spans="2:25" x14ac:dyDescent="0.35">
      <c r="B160" s="50"/>
      <c r="C160" s="18"/>
      <c r="D160" s="20"/>
      <c r="E160" s="25"/>
      <c r="G160" s="50"/>
      <c r="H160" s="20"/>
      <c r="I160" s="20"/>
      <c r="J160" s="25"/>
      <c r="L160" s="50"/>
      <c r="M160" s="20"/>
      <c r="N160" s="20"/>
      <c r="O160" s="25"/>
      <c r="Q160" s="50"/>
      <c r="R160" s="20"/>
      <c r="S160" s="20"/>
      <c r="T160" s="25"/>
      <c r="V160" s="50"/>
      <c r="W160" s="20"/>
      <c r="X160" s="20"/>
      <c r="Y160" s="25"/>
    </row>
    <row r="161" spans="2:25" x14ac:dyDescent="0.35">
      <c r="B161" s="51"/>
      <c r="C161" s="19"/>
      <c r="D161" s="21"/>
      <c r="E161" s="26"/>
      <c r="G161" s="51"/>
      <c r="H161" s="21"/>
      <c r="I161" s="21"/>
      <c r="J161" s="26"/>
      <c r="L161" s="51"/>
      <c r="M161" s="21"/>
      <c r="N161" s="21"/>
      <c r="O161" s="26"/>
      <c r="Q161" s="51"/>
      <c r="R161" s="21"/>
      <c r="S161" s="21"/>
      <c r="T161" s="26"/>
      <c r="V161" s="51"/>
      <c r="W161" s="21"/>
      <c r="X161" s="21"/>
      <c r="Y161" s="26"/>
    </row>
    <row r="162" spans="2:25" x14ac:dyDescent="0.35">
      <c r="B162" s="50"/>
      <c r="C162" s="18"/>
      <c r="D162" s="20"/>
      <c r="E162" s="25"/>
      <c r="G162" s="50"/>
      <c r="H162" s="20"/>
      <c r="I162" s="20"/>
      <c r="J162" s="25"/>
      <c r="L162" s="50"/>
      <c r="M162" s="20"/>
      <c r="N162" s="20"/>
      <c r="O162" s="25"/>
      <c r="Q162" s="50"/>
      <c r="R162" s="20"/>
      <c r="S162" s="20"/>
      <c r="T162" s="25"/>
      <c r="V162" s="50"/>
      <c r="W162" s="20"/>
      <c r="X162" s="20"/>
      <c r="Y162" s="25"/>
    </row>
    <row r="163" spans="2:25" x14ac:dyDescent="0.35">
      <c r="B163" s="51"/>
      <c r="C163" s="19"/>
      <c r="D163" s="21"/>
      <c r="E163" s="26"/>
      <c r="G163" s="51"/>
      <c r="H163" s="21"/>
      <c r="I163" s="21"/>
      <c r="J163" s="26"/>
      <c r="L163" s="51"/>
      <c r="M163" s="21"/>
      <c r="N163" s="21"/>
      <c r="O163" s="26"/>
      <c r="Q163" s="51"/>
      <c r="R163" s="21"/>
      <c r="S163" s="21"/>
      <c r="T163" s="26"/>
      <c r="V163" s="51"/>
      <c r="W163" s="21"/>
      <c r="X163" s="21"/>
      <c r="Y163" s="26"/>
    </row>
    <row r="164" spans="2:25" x14ac:dyDescent="0.35">
      <c r="B164" s="50"/>
      <c r="C164" s="18"/>
      <c r="D164" s="20"/>
      <c r="E164" s="25"/>
      <c r="G164" s="50"/>
      <c r="H164" s="20"/>
      <c r="I164" s="20"/>
      <c r="J164" s="25"/>
      <c r="L164" s="50"/>
      <c r="M164" s="20"/>
      <c r="N164" s="20"/>
      <c r="O164" s="25"/>
      <c r="Q164" s="50"/>
      <c r="R164" s="20"/>
      <c r="S164" s="20"/>
      <c r="T164" s="25"/>
      <c r="V164" s="50"/>
      <c r="W164" s="20"/>
      <c r="X164" s="20"/>
      <c r="Y164" s="25"/>
    </row>
    <row r="165" spans="2:25" x14ac:dyDescent="0.35">
      <c r="B165" s="51"/>
      <c r="C165" s="19"/>
      <c r="D165" s="21"/>
      <c r="E165" s="26"/>
      <c r="G165" s="51"/>
      <c r="H165" s="21"/>
      <c r="I165" s="21"/>
      <c r="J165" s="26"/>
      <c r="L165" s="51"/>
      <c r="M165" s="21"/>
      <c r="N165" s="21"/>
      <c r="O165" s="26"/>
      <c r="Q165" s="51"/>
      <c r="R165" s="21"/>
      <c r="S165" s="21"/>
      <c r="T165" s="26"/>
      <c r="V165" s="51"/>
      <c r="W165" s="21"/>
      <c r="X165" s="21"/>
      <c r="Y165" s="26"/>
    </row>
    <row r="166" spans="2:25" x14ac:dyDescent="0.35">
      <c r="B166" s="50"/>
      <c r="C166" s="18"/>
      <c r="D166" s="20"/>
      <c r="E166" s="25"/>
      <c r="G166" s="50"/>
      <c r="H166" s="20"/>
      <c r="I166" s="20"/>
      <c r="J166" s="25"/>
      <c r="L166" s="50"/>
      <c r="M166" s="20"/>
      <c r="N166" s="20"/>
      <c r="O166" s="25"/>
      <c r="Q166" s="50"/>
      <c r="R166" s="20"/>
      <c r="S166" s="20"/>
      <c r="T166" s="25"/>
      <c r="V166" s="50"/>
      <c r="W166" s="20"/>
      <c r="X166" s="20"/>
      <c r="Y166" s="25"/>
    </row>
    <row r="167" spans="2:25" x14ac:dyDescent="0.35">
      <c r="B167" s="51"/>
      <c r="C167" s="19"/>
      <c r="D167" s="21"/>
      <c r="E167" s="26"/>
      <c r="G167" s="51"/>
      <c r="H167" s="21"/>
      <c r="I167" s="21"/>
      <c r="J167" s="26"/>
      <c r="L167" s="51"/>
      <c r="M167" s="21"/>
      <c r="N167" s="21"/>
      <c r="O167" s="26"/>
      <c r="Q167" s="51"/>
      <c r="R167" s="21"/>
      <c r="S167" s="21"/>
      <c r="T167" s="26"/>
      <c r="V167" s="51"/>
      <c r="W167" s="21"/>
      <c r="X167" s="21"/>
      <c r="Y167" s="26"/>
    </row>
    <row r="168" spans="2:25" x14ac:dyDescent="0.35">
      <c r="B168" s="50"/>
      <c r="C168" s="18"/>
      <c r="D168" s="20"/>
      <c r="E168" s="25"/>
      <c r="G168" s="50"/>
      <c r="H168" s="20"/>
      <c r="I168" s="20"/>
      <c r="J168" s="25"/>
      <c r="L168" s="50"/>
      <c r="M168" s="20"/>
      <c r="N168" s="20"/>
      <c r="O168" s="25"/>
      <c r="Q168" s="50"/>
      <c r="R168" s="20"/>
      <c r="S168" s="20"/>
      <c r="T168" s="25"/>
      <c r="V168" s="50"/>
      <c r="W168" s="20"/>
      <c r="X168" s="20"/>
      <c r="Y168" s="25"/>
    </row>
    <row r="169" spans="2:25" x14ac:dyDescent="0.35">
      <c r="B169" s="51"/>
      <c r="C169" s="19"/>
      <c r="D169" s="21"/>
      <c r="E169" s="26"/>
      <c r="G169" s="51"/>
      <c r="H169" s="21"/>
      <c r="I169" s="21"/>
      <c r="J169" s="26"/>
      <c r="L169" s="51"/>
      <c r="M169" s="21"/>
      <c r="N169" s="21"/>
      <c r="O169" s="26"/>
      <c r="Q169" s="51"/>
      <c r="R169" s="21"/>
      <c r="S169" s="21"/>
      <c r="T169" s="26"/>
      <c r="V169" s="51"/>
      <c r="W169" s="21"/>
      <c r="X169" s="21"/>
      <c r="Y169" s="26"/>
    </row>
    <row r="170" spans="2:25" x14ac:dyDescent="0.35">
      <c r="B170" s="50"/>
      <c r="C170" s="18"/>
      <c r="D170" s="20"/>
      <c r="E170" s="25"/>
      <c r="G170" s="50"/>
      <c r="H170" s="20"/>
      <c r="I170" s="20"/>
      <c r="J170" s="25"/>
      <c r="L170" s="50"/>
      <c r="M170" s="20"/>
      <c r="N170" s="20"/>
      <c r="O170" s="25"/>
      <c r="Q170" s="50"/>
      <c r="R170" s="20"/>
      <c r="S170" s="20"/>
      <c r="T170" s="25"/>
      <c r="V170" s="50"/>
      <c r="W170" s="20"/>
      <c r="X170" s="20"/>
      <c r="Y170" s="25"/>
    </row>
    <row r="171" spans="2:25" x14ac:dyDescent="0.35">
      <c r="B171" s="51"/>
      <c r="C171" s="19"/>
      <c r="D171" s="21"/>
      <c r="E171" s="26"/>
      <c r="G171" s="51"/>
      <c r="H171" s="21"/>
      <c r="I171" s="21"/>
      <c r="J171" s="26"/>
      <c r="L171" s="51"/>
      <c r="M171" s="21"/>
      <c r="N171" s="21"/>
      <c r="O171" s="26"/>
      <c r="Q171" s="51"/>
      <c r="R171" s="21"/>
      <c r="S171" s="21"/>
      <c r="T171" s="26"/>
      <c r="V171" s="51"/>
      <c r="W171" s="21"/>
      <c r="X171" s="21"/>
      <c r="Y171" s="26"/>
    </row>
    <row r="172" spans="2:25" x14ac:dyDescent="0.35">
      <c r="B172" s="50"/>
      <c r="C172" s="18"/>
      <c r="D172" s="20"/>
      <c r="E172" s="25"/>
      <c r="G172" s="50"/>
      <c r="H172" s="20"/>
      <c r="I172" s="20"/>
      <c r="J172" s="25"/>
      <c r="L172" s="50"/>
      <c r="M172" s="20"/>
      <c r="N172" s="20"/>
      <c r="O172" s="25"/>
      <c r="Q172" s="50"/>
      <c r="R172" s="20"/>
      <c r="S172" s="20"/>
      <c r="T172" s="25"/>
      <c r="V172" s="50"/>
      <c r="W172" s="20"/>
      <c r="X172" s="20"/>
      <c r="Y172" s="25"/>
    </row>
    <row r="173" spans="2:25" x14ac:dyDescent="0.35">
      <c r="B173" s="51"/>
      <c r="C173" s="19"/>
      <c r="D173" s="21"/>
      <c r="E173" s="26"/>
      <c r="G173" s="51"/>
      <c r="H173" s="21"/>
      <c r="I173" s="21"/>
      <c r="J173" s="26"/>
      <c r="L173" s="51"/>
      <c r="M173" s="21"/>
      <c r="N173" s="21"/>
      <c r="O173" s="26"/>
      <c r="Q173" s="51"/>
      <c r="R173" s="21"/>
      <c r="S173" s="21"/>
      <c r="T173" s="26"/>
      <c r="V173" s="51"/>
      <c r="W173" s="21"/>
      <c r="X173" s="21"/>
      <c r="Y173" s="26"/>
    </row>
    <row r="174" spans="2:25" x14ac:dyDescent="0.35">
      <c r="B174" s="50"/>
      <c r="C174" s="18"/>
      <c r="D174" s="20"/>
      <c r="E174" s="25"/>
      <c r="G174" s="50"/>
      <c r="H174" s="20"/>
      <c r="I174" s="20"/>
      <c r="J174" s="25"/>
      <c r="L174" s="50"/>
      <c r="M174" s="20"/>
      <c r="N174" s="20"/>
      <c r="O174" s="25"/>
      <c r="Q174" s="50"/>
      <c r="R174" s="20"/>
      <c r="S174" s="20"/>
      <c r="T174" s="25"/>
      <c r="V174" s="50"/>
      <c r="W174" s="20"/>
      <c r="X174" s="20"/>
      <c r="Y174" s="25"/>
    </row>
    <row r="175" spans="2:25" x14ac:dyDescent="0.35">
      <c r="B175" s="51"/>
      <c r="C175" s="19"/>
      <c r="D175" s="21"/>
      <c r="E175" s="26"/>
      <c r="G175" s="51"/>
      <c r="H175" s="21"/>
      <c r="I175" s="21"/>
      <c r="J175" s="26"/>
      <c r="L175" s="51"/>
      <c r="M175" s="21"/>
      <c r="N175" s="21"/>
      <c r="O175" s="26"/>
      <c r="Q175" s="51"/>
      <c r="R175" s="21"/>
      <c r="S175" s="21"/>
      <c r="T175" s="26"/>
      <c r="V175" s="51"/>
      <c r="W175" s="21"/>
      <c r="X175" s="21"/>
      <c r="Y175" s="26"/>
    </row>
    <row r="176" spans="2:25" x14ac:dyDescent="0.35">
      <c r="B176" s="50"/>
      <c r="C176" s="18"/>
      <c r="D176" s="20"/>
      <c r="E176" s="25"/>
      <c r="G176" s="50"/>
      <c r="H176" s="20"/>
      <c r="I176" s="20"/>
      <c r="J176" s="25"/>
      <c r="L176" s="50"/>
      <c r="M176" s="20"/>
      <c r="N176" s="20"/>
      <c r="O176" s="25"/>
      <c r="Q176" s="50"/>
      <c r="R176" s="20"/>
      <c r="S176" s="20"/>
      <c r="T176" s="25"/>
      <c r="V176" s="50"/>
      <c r="W176" s="20"/>
      <c r="X176" s="20"/>
      <c r="Y176" s="25"/>
    </row>
    <row r="177" spans="2:25" x14ac:dyDescent="0.35">
      <c r="B177" s="51"/>
      <c r="C177" s="19"/>
      <c r="D177" s="21"/>
      <c r="E177" s="26"/>
      <c r="G177" s="51"/>
      <c r="H177" s="21"/>
      <c r="I177" s="21"/>
      <c r="J177" s="26"/>
      <c r="L177" s="51"/>
      <c r="M177" s="21"/>
      <c r="N177" s="21"/>
      <c r="O177" s="26"/>
      <c r="Q177" s="51"/>
      <c r="R177" s="21"/>
      <c r="S177" s="21"/>
      <c r="T177" s="26"/>
      <c r="V177" s="51"/>
      <c r="W177" s="21"/>
      <c r="X177" s="21"/>
      <c r="Y177" s="26"/>
    </row>
    <row r="178" spans="2:25" x14ac:dyDescent="0.35">
      <c r="B178" s="50"/>
      <c r="C178" s="18"/>
      <c r="D178" s="20"/>
      <c r="E178" s="25"/>
      <c r="G178" s="50"/>
      <c r="H178" s="20"/>
      <c r="I178" s="20"/>
      <c r="J178" s="25"/>
      <c r="L178" s="50"/>
      <c r="M178" s="20"/>
      <c r="N178" s="20"/>
      <c r="O178" s="25"/>
      <c r="Q178" s="50"/>
      <c r="R178" s="20"/>
      <c r="S178" s="20"/>
      <c r="T178" s="25"/>
      <c r="V178" s="50"/>
      <c r="W178" s="20"/>
      <c r="X178" s="20"/>
      <c r="Y178" s="25"/>
    </row>
    <row r="179" spans="2:25" x14ac:dyDescent="0.35">
      <c r="B179" s="51"/>
      <c r="C179" s="19"/>
      <c r="D179" s="21"/>
      <c r="E179" s="26"/>
      <c r="G179" s="51"/>
      <c r="H179" s="21"/>
      <c r="I179" s="21"/>
      <c r="J179" s="26"/>
      <c r="L179" s="51"/>
      <c r="M179" s="21"/>
      <c r="N179" s="21"/>
      <c r="O179" s="26"/>
      <c r="Q179" s="51"/>
      <c r="R179" s="21"/>
      <c r="S179" s="21"/>
      <c r="T179" s="26"/>
      <c r="V179" s="51"/>
      <c r="W179" s="21"/>
      <c r="X179" s="21"/>
      <c r="Y179" s="26"/>
    </row>
    <row r="180" spans="2:25" x14ac:dyDescent="0.35">
      <c r="B180" s="50"/>
      <c r="C180" s="18"/>
      <c r="D180" s="20"/>
      <c r="E180" s="25"/>
      <c r="G180" s="50"/>
      <c r="H180" s="20"/>
      <c r="I180" s="20"/>
      <c r="J180" s="25"/>
      <c r="L180" s="50"/>
      <c r="M180" s="20"/>
      <c r="N180" s="20"/>
      <c r="O180" s="25"/>
      <c r="Q180" s="50"/>
      <c r="R180" s="20"/>
      <c r="S180" s="20"/>
      <c r="T180" s="25"/>
      <c r="V180" s="50"/>
      <c r="W180" s="20"/>
      <c r="X180" s="20"/>
      <c r="Y180" s="25"/>
    </row>
    <row r="181" spans="2:25" x14ac:dyDescent="0.35">
      <c r="B181" s="51"/>
      <c r="C181" s="19"/>
      <c r="D181" s="21"/>
      <c r="E181" s="26"/>
      <c r="G181" s="51"/>
      <c r="H181" s="21"/>
      <c r="I181" s="21"/>
      <c r="J181" s="26"/>
      <c r="L181" s="51"/>
      <c r="M181" s="21"/>
      <c r="N181" s="21"/>
      <c r="O181" s="26"/>
      <c r="Q181" s="51"/>
      <c r="R181" s="21"/>
      <c r="S181" s="21"/>
      <c r="T181" s="26"/>
      <c r="V181" s="51"/>
      <c r="W181" s="21"/>
      <c r="X181" s="21"/>
      <c r="Y181" s="26"/>
    </row>
    <row r="182" spans="2:25" x14ac:dyDescent="0.35">
      <c r="B182" s="50"/>
      <c r="C182" s="18"/>
      <c r="D182" s="20"/>
      <c r="E182" s="25"/>
      <c r="G182" s="50"/>
      <c r="H182" s="20"/>
      <c r="I182" s="20"/>
      <c r="J182" s="25"/>
      <c r="L182" s="50"/>
      <c r="M182" s="20"/>
      <c r="N182" s="20"/>
      <c r="O182" s="25"/>
      <c r="Q182" s="50"/>
      <c r="R182" s="20"/>
      <c r="S182" s="20"/>
      <c r="T182" s="25"/>
      <c r="V182" s="50"/>
      <c r="W182" s="20"/>
      <c r="X182" s="20"/>
      <c r="Y182" s="25"/>
    </row>
    <row r="183" spans="2:25" x14ac:dyDescent="0.35">
      <c r="B183" s="51"/>
      <c r="C183" s="19"/>
      <c r="D183" s="21"/>
      <c r="E183" s="26"/>
      <c r="G183" s="51"/>
      <c r="H183" s="21"/>
      <c r="I183" s="21"/>
      <c r="J183" s="26"/>
      <c r="L183" s="51"/>
      <c r="M183" s="21"/>
      <c r="N183" s="21"/>
      <c r="O183" s="26"/>
      <c r="Q183" s="51"/>
      <c r="R183" s="21"/>
      <c r="S183" s="21"/>
      <c r="T183" s="26"/>
      <c r="V183" s="51"/>
      <c r="W183" s="21"/>
      <c r="X183" s="21"/>
      <c r="Y183" s="26"/>
    </row>
    <row r="184" spans="2:25" x14ac:dyDescent="0.35">
      <c r="B184" s="50"/>
      <c r="C184" s="18"/>
      <c r="D184" s="20"/>
      <c r="E184" s="25"/>
      <c r="G184" s="50"/>
      <c r="H184" s="20"/>
      <c r="I184" s="20"/>
      <c r="J184" s="25"/>
      <c r="L184" s="50"/>
      <c r="M184" s="20"/>
      <c r="N184" s="20"/>
      <c r="O184" s="25"/>
      <c r="Q184" s="50"/>
      <c r="R184" s="20"/>
      <c r="S184" s="20"/>
      <c r="T184" s="25"/>
      <c r="V184" s="50"/>
      <c r="W184" s="20"/>
      <c r="X184" s="20"/>
      <c r="Y184" s="25"/>
    </row>
    <row r="185" spans="2:25" x14ac:dyDescent="0.35">
      <c r="B185" s="51"/>
      <c r="C185" s="19"/>
      <c r="D185" s="21"/>
      <c r="E185" s="26"/>
      <c r="G185" s="51"/>
      <c r="H185" s="21"/>
      <c r="I185" s="21"/>
      <c r="J185" s="26"/>
      <c r="L185" s="51"/>
      <c r="M185" s="21"/>
      <c r="N185" s="21"/>
      <c r="O185" s="26"/>
      <c r="Q185" s="51"/>
      <c r="R185" s="21"/>
      <c r="S185" s="21"/>
      <c r="T185" s="26"/>
      <c r="V185" s="51"/>
      <c r="W185" s="21"/>
      <c r="X185" s="21"/>
      <c r="Y185" s="26"/>
    </row>
    <row r="186" spans="2:25" x14ac:dyDescent="0.35">
      <c r="B186" s="50"/>
      <c r="C186" s="18"/>
      <c r="D186" s="20"/>
      <c r="E186" s="25"/>
      <c r="G186" s="50"/>
      <c r="H186" s="20"/>
      <c r="I186" s="20"/>
      <c r="J186" s="25"/>
      <c r="L186" s="50"/>
      <c r="M186" s="20"/>
      <c r="N186" s="20"/>
      <c r="O186" s="25"/>
      <c r="Q186" s="50"/>
      <c r="R186" s="20"/>
      <c r="S186" s="20"/>
      <c r="T186" s="25"/>
      <c r="V186" s="50"/>
      <c r="W186" s="20"/>
      <c r="X186" s="20"/>
      <c r="Y186" s="25"/>
    </row>
    <row r="187" spans="2:25" x14ac:dyDescent="0.35">
      <c r="B187" s="51"/>
      <c r="C187" s="19"/>
      <c r="D187" s="21"/>
      <c r="E187" s="26"/>
      <c r="G187" s="51"/>
      <c r="H187" s="21"/>
      <c r="I187" s="21"/>
      <c r="J187" s="26"/>
      <c r="L187" s="51"/>
      <c r="M187" s="21"/>
      <c r="N187" s="21"/>
      <c r="O187" s="26"/>
      <c r="Q187" s="51"/>
      <c r="R187" s="21"/>
      <c r="S187" s="21"/>
      <c r="T187" s="26"/>
      <c r="V187" s="51"/>
      <c r="W187" s="21"/>
      <c r="X187" s="21"/>
      <c r="Y187" s="26"/>
    </row>
    <row r="188" spans="2:25" x14ac:dyDescent="0.35">
      <c r="B188" s="50"/>
      <c r="C188" s="18"/>
      <c r="D188" s="20"/>
      <c r="E188" s="25"/>
      <c r="G188" s="50"/>
      <c r="H188" s="20"/>
      <c r="I188" s="20"/>
      <c r="J188" s="25"/>
      <c r="L188" s="50"/>
      <c r="M188" s="20"/>
      <c r="N188" s="20"/>
      <c r="O188" s="25"/>
      <c r="Q188" s="50"/>
      <c r="R188" s="20"/>
      <c r="S188" s="20"/>
      <c r="T188" s="25"/>
      <c r="V188" s="50"/>
      <c r="W188" s="20"/>
      <c r="X188" s="20"/>
      <c r="Y188" s="25"/>
    </row>
    <row r="189" spans="2:25" x14ac:dyDescent="0.35">
      <c r="B189" s="51"/>
      <c r="C189" s="19"/>
      <c r="D189" s="21"/>
      <c r="E189" s="26"/>
      <c r="G189" s="51"/>
      <c r="H189" s="21"/>
      <c r="I189" s="21"/>
      <c r="J189" s="26"/>
      <c r="L189" s="51"/>
      <c r="M189" s="21"/>
      <c r="N189" s="21"/>
      <c r="O189" s="26"/>
      <c r="Q189" s="51"/>
      <c r="R189" s="21"/>
      <c r="S189" s="21"/>
      <c r="T189" s="26"/>
      <c r="V189" s="51"/>
      <c r="W189" s="21"/>
      <c r="X189" s="21"/>
      <c r="Y189" s="26"/>
    </row>
    <row r="190" spans="2:25" x14ac:dyDescent="0.35">
      <c r="B190" s="50"/>
      <c r="C190" s="18"/>
      <c r="D190" s="20"/>
      <c r="E190" s="25"/>
      <c r="G190" s="50"/>
      <c r="H190" s="20"/>
      <c r="I190" s="20"/>
      <c r="J190" s="25"/>
      <c r="L190" s="50"/>
      <c r="M190" s="20"/>
      <c r="N190" s="20"/>
      <c r="O190" s="25"/>
      <c r="Q190" s="50"/>
      <c r="R190" s="20"/>
      <c r="S190" s="20"/>
      <c r="T190" s="25"/>
      <c r="V190" s="50"/>
      <c r="W190" s="20"/>
      <c r="X190" s="20"/>
      <c r="Y190" s="25"/>
    </row>
    <row r="191" spans="2:25" x14ac:dyDescent="0.35">
      <c r="B191" s="51"/>
      <c r="C191" s="19"/>
      <c r="D191" s="21"/>
      <c r="E191" s="26"/>
      <c r="G191" s="51"/>
      <c r="H191" s="21"/>
      <c r="I191" s="21"/>
      <c r="J191" s="26"/>
      <c r="L191" s="51"/>
      <c r="M191" s="21"/>
      <c r="N191" s="21"/>
      <c r="O191" s="26"/>
      <c r="Q191" s="51"/>
      <c r="R191" s="21"/>
      <c r="S191" s="21"/>
      <c r="T191" s="26"/>
      <c r="V191" s="51"/>
      <c r="W191" s="21"/>
      <c r="X191" s="21"/>
      <c r="Y191" s="26"/>
    </row>
    <row r="192" spans="2:25" x14ac:dyDescent="0.35">
      <c r="B192" s="50"/>
      <c r="C192" s="18"/>
      <c r="D192" s="20"/>
      <c r="E192" s="25"/>
      <c r="G192" s="50"/>
      <c r="H192" s="20"/>
      <c r="I192" s="20"/>
      <c r="J192" s="25"/>
      <c r="L192" s="50"/>
      <c r="M192" s="20"/>
      <c r="N192" s="20"/>
      <c r="O192" s="25"/>
      <c r="Q192" s="50"/>
      <c r="R192" s="20"/>
      <c r="S192" s="20"/>
      <c r="T192" s="25"/>
      <c r="V192" s="50"/>
      <c r="W192" s="20"/>
      <c r="X192" s="20"/>
      <c r="Y192" s="25"/>
    </row>
    <row r="193" spans="2:25" x14ac:dyDescent="0.35">
      <c r="B193" s="51"/>
      <c r="C193" s="19"/>
      <c r="D193" s="21"/>
      <c r="E193" s="26"/>
      <c r="G193" s="51"/>
      <c r="H193" s="21"/>
      <c r="I193" s="21"/>
      <c r="J193" s="26"/>
      <c r="L193" s="51"/>
      <c r="M193" s="21"/>
      <c r="N193" s="21"/>
      <c r="O193" s="26"/>
      <c r="Q193" s="51"/>
      <c r="R193" s="21"/>
      <c r="S193" s="21"/>
      <c r="T193" s="26"/>
      <c r="V193" s="51"/>
      <c r="W193" s="21"/>
      <c r="X193" s="21"/>
      <c r="Y193" s="26"/>
    </row>
    <row r="194" spans="2:25" x14ac:dyDescent="0.35">
      <c r="B194" s="50"/>
      <c r="C194" s="18"/>
      <c r="D194" s="20"/>
      <c r="E194" s="25"/>
      <c r="G194" s="50"/>
      <c r="H194" s="20"/>
      <c r="I194" s="20"/>
      <c r="J194" s="25"/>
      <c r="L194" s="50"/>
      <c r="M194" s="20"/>
      <c r="N194" s="20"/>
      <c r="O194" s="25"/>
      <c r="Q194" s="50"/>
      <c r="R194" s="20"/>
      <c r="S194" s="20"/>
      <c r="T194" s="25"/>
      <c r="V194" s="50"/>
      <c r="W194" s="20"/>
      <c r="X194" s="20"/>
      <c r="Y194" s="25"/>
    </row>
    <row r="195" spans="2:25" x14ac:dyDescent="0.35">
      <c r="B195" s="51"/>
      <c r="C195" s="19"/>
      <c r="D195" s="21"/>
      <c r="E195" s="26"/>
      <c r="G195" s="51"/>
      <c r="H195" s="21"/>
      <c r="I195" s="21"/>
      <c r="J195" s="26"/>
      <c r="L195" s="51"/>
      <c r="M195" s="21"/>
      <c r="N195" s="21"/>
      <c r="O195" s="26"/>
      <c r="Q195" s="51"/>
      <c r="R195" s="21"/>
      <c r="S195" s="21"/>
      <c r="T195" s="26"/>
      <c r="V195" s="51"/>
      <c r="W195" s="21"/>
      <c r="X195" s="21"/>
      <c r="Y195" s="26"/>
    </row>
    <row r="196" spans="2:25" x14ac:dyDescent="0.35">
      <c r="B196" s="50"/>
      <c r="C196" s="18"/>
      <c r="D196" s="20"/>
      <c r="E196" s="25"/>
      <c r="G196" s="50"/>
      <c r="H196" s="20"/>
      <c r="I196" s="20"/>
      <c r="J196" s="25"/>
      <c r="L196" s="50"/>
      <c r="M196" s="20"/>
      <c r="N196" s="20"/>
      <c r="O196" s="25"/>
      <c r="Q196" s="50"/>
      <c r="R196" s="20"/>
      <c r="S196" s="20"/>
      <c r="T196" s="25"/>
      <c r="V196" s="50"/>
      <c r="W196" s="20"/>
      <c r="X196" s="20"/>
      <c r="Y196" s="25"/>
    </row>
    <row r="197" spans="2:25" x14ac:dyDescent="0.35">
      <c r="B197" s="51"/>
      <c r="C197" s="19"/>
      <c r="D197" s="21"/>
      <c r="E197" s="26"/>
      <c r="G197" s="51"/>
      <c r="H197" s="21"/>
      <c r="I197" s="21"/>
      <c r="J197" s="26"/>
      <c r="L197" s="51"/>
      <c r="M197" s="21"/>
      <c r="N197" s="21"/>
      <c r="O197" s="26"/>
      <c r="Q197" s="51"/>
      <c r="R197" s="21"/>
      <c r="S197" s="21"/>
      <c r="T197" s="26"/>
      <c r="V197" s="51"/>
      <c r="W197" s="21"/>
      <c r="X197" s="21"/>
      <c r="Y197" s="26"/>
    </row>
    <row r="198" spans="2:25" x14ac:dyDescent="0.35">
      <c r="B198" s="50"/>
      <c r="C198" s="18"/>
      <c r="D198" s="20"/>
      <c r="E198" s="25"/>
      <c r="G198" s="50"/>
      <c r="H198" s="20"/>
      <c r="I198" s="20"/>
      <c r="J198" s="25"/>
      <c r="L198" s="50"/>
      <c r="M198" s="20"/>
      <c r="N198" s="20"/>
      <c r="O198" s="25"/>
      <c r="Q198" s="50"/>
      <c r="R198" s="20"/>
      <c r="S198" s="20"/>
      <c r="T198" s="25"/>
      <c r="V198" s="50"/>
      <c r="W198" s="20"/>
      <c r="X198" s="20"/>
      <c r="Y198" s="25"/>
    </row>
    <row r="199" spans="2:25" x14ac:dyDescent="0.35">
      <c r="B199" s="51"/>
      <c r="C199" s="19"/>
      <c r="D199" s="21"/>
      <c r="E199" s="26"/>
      <c r="G199" s="51"/>
      <c r="H199" s="21"/>
      <c r="I199" s="21"/>
      <c r="J199" s="26"/>
      <c r="L199" s="51"/>
      <c r="M199" s="21"/>
      <c r="N199" s="21"/>
      <c r="O199" s="26"/>
      <c r="Q199" s="51"/>
      <c r="R199" s="21"/>
      <c r="S199" s="21"/>
      <c r="T199" s="26"/>
      <c r="V199" s="51"/>
      <c r="W199" s="21"/>
      <c r="X199" s="21"/>
      <c r="Y199" s="26"/>
    </row>
    <row r="200" spans="2:25" x14ac:dyDescent="0.35">
      <c r="B200" s="52"/>
      <c r="C200" s="47"/>
      <c r="D200" s="47"/>
      <c r="E200" s="48"/>
      <c r="G200" s="52"/>
      <c r="H200" s="47"/>
      <c r="I200" s="47"/>
      <c r="J200" s="48"/>
      <c r="L200" s="52"/>
      <c r="M200" s="47"/>
      <c r="N200" s="47"/>
      <c r="O200" s="48"/>
      <c r="Q200" s="52"/>
      <c r="R200" s="47"/>
      <c r="S200" s="47"/>
      <c r="T200" s="48"/>
      <c r="V200" s="52"/>
      <c r="W200" s="47"/>
      <c r="X200" s="47"/>
      <c r="Y200" s="48"/>
    </row>
    <row r="1048576" ht="1.5" customHeight="1" x14ac:dyDescent="0.35"/>
  </sheetData>
  <mergeCells count="5">
    <mergeCell ref="V1:Y1"/>
    <mergeCell ref="Q1:T1"/>
    <mergeCell ref="L1:O1"/>
    <mergeCell ref="G1:J1"/>
    <mergeCell ref="B1:E1"/>
  </mergeCells>
  <phoneticPr fontId="9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37"/>
  <sheetViews>
    <sheetView workbookViewId="0">
      <selection sqref="A1:C37"/>
    </sheetView>
  </sheetViews>
  <sheetFormatPr defaultRowHeight="14.5" x14ac:dyDescent="0.35"/>
  <cols>
    <col min="1" max="1" width="10.81640625" bestFit="1" customWidth="1"/>
  </cols>
  <sheetData>
    <row r="1" spans="1:12" x14ac:dyDescent="0.35">
      <c r="A1" t="s">
        <v>67</v>
      </c>
      <c r="B1" t="s">
        <v>26</v>
      </c>
      <c r="C1" t="s">
        <v>545</v>
      </c>
      <c r="L1" s="1" t="s">
        <v>546</v>
      </c>
    </row>
    <row r="2" spans="1:12" x14ac:dyDescent="0.35">
      <c r="A2" s="16">
        <v>43576</v>
      </c>
      <c r="B2">
        <v>0</v>
      </c>
      <c r="C2">
        <v>50</v>
      </c>
    </row>
    <row r="3" spans="1:12" x14ac:dyDescent="0.35">
      <c r="A3" s="16">
        <v>43583</v>
      </c>
      <c r="B3">
        <v>0</v>
      </c>
      <c r="C3">
        <v>0</v>
      </c>
    </row>
    <row r="4" spans="1:12" x14ac:dyDescent="0.35">
      <c r="A4" s="16">
        <v>43590</v>
      </c>
      <c r="B4">
        <v>49</v>
      </c>
      <c r="C4">
        <v>0</v>
      </c>
    </row>
    <row r="5" spans="1:12" x14ac:dyDescent="0.35">
      <c r="A5" s="16">
        <v>43597</v>
      </c>
      <c r="B5">
        <v>0</v>
      </c>
      <c r="C5">
        <v>49</v>
      </c>
    </row>
    <row r="6" spans="1:12" x14ac:dyDescent="0.35">
      <c r="A6" s="16">
        <v>43604</v>
      </c>
      <c r="B6">
        <v>0</v>
      </c>
      <c r="C6">
        <v>0</v>
      </c>
    </row>
    <row r="7" spans="1:12" x14ac:dyDescent="0.35">
      <c r="A7" s="16">
        <v>43611</v>
      </c>
      <c r="B7">
        <v>48</v>
      </c>
      <c r="C7">
        <v>48</v>
      </c>
    </row>
    <row r="8" spans="1:12" x14ac:dyDescent="0.35">
      <c r="A8" s="16">
        <v>43618</v>
      </c>
      <c r="B8">
        <v>49</v>
      </c>
      <c r="C8">
        <v>0</v>
      </c>
    </row>
    <row r="9" spans="1:12" x14ac:dyDescent="0.35">
      <c r="A9" s="16">
        <v>43625</v>
      </c>
      <c r="B9">
        <v>0</v>
      </c>
      <c r="C9">
        <v>0</v>
      </c>
    </row>
    <row r="10" spans="1:12" x14ac:dyDescent="0.35">
      <c r="A10" s="16">
        <v>43632</v>
      </c>
      <c r="B10">
        <v>100</v>
      </c>
      <c r="C10">
        <v>0</v>
      </c>
    </row>
    <row r="11" spans="1:12" x14ac:dyDescent="0.35">
      <c r="A11" s="16">
        <v>43639</v>
      </c>
      <c r="B11">
        <v>0</v>
      </c>
      <c r="C11">
        <v>0</v>
      </c>
    </row>
    <row r="12" spans="1:12" x14ac:dyDescent="0.35">
      <c r="A12" s="16">
        <v>43646</v>
      </c>
      <c r="B12">
        <v>0</v>
      </c>
      <c r="C12">
        <v>0</v>
      </c>
    </row>
    <row r="13" spans="1:12" x14ac:dyDescent="0.35">
      <c r="A13" s="16">
        <v>43653</v>
      </c>
      <c r="B13">
        <v>48</v>
      </c>
      <c r="C13">
        <v>0</v>
      </c>
    </row>
    <row r="14" spans="1:12" x14ac:dyDescent="0.35">
      <c r="A14" s="16">
        <v>43660</v>
      </c>
      <c r="B14">
        <v>0</v>
      </c>
      <c r="C14">
        <v>0</v>
      </c>
    </row>
    <row r="15" spans="1:12" x14ac:dyDescent="0.35">
      <c r="A15" s="16">
        <v>43667</v>
      </c>
      <c r="B15">
        <v>45</v>
      </c>
      <c r="C15">
        <v>0</v>
      </c>
    </row>
    <row r="16" spans="1:12" x14ac:dyDescent="0.35">
      <c r="A16" s="16">
        <v>43674</v>
      </c>
      <c r="B16">
        <v>0</v>
      </c>
      <c r="C16">
        <v>0</v>
      </c>
    </row>
    <row r="17" spans="1:11" x14ac:dyDescent="0.35">
      <c r="A17" s="16">
        <v>43681</v>
      </c>
      <c r="B17">
        <v>0</v>
      </c>
      <c r="C17">
        <v>0</v>
      </c>
    </row>
    <row r="18" spans="1:11" x14ac:dyDescent="0.35">
      <c r="A18" s="16">
        <v>43688</v>
      </c>
      <c r="B18">
        <v>0</v>
      </c>
      <c r="C18">
        <v>30</v>
      </c>
    </row>
    <row r="19" spans="1:11" x14ac:dyDescent="0.35">
      <c r="A19" s="16">
        <v>43695</v>
      </c>
      <c r="B19">
        <v>0</v>
      </c>
      <c r="C19">
        <v>0</v>
      </c>
    </row>
    <row r="20" spans="1:11" x14ac:dyDescent="0.35">
      <c r="A20" s="16">
        <v>43702</v>
      </c>
      <c r="B20">
        <v>80</v>
      </c>
      <c r="C20">
        <v>0</v>
      </c>
      <c r="K20" s="1" t="s">
        <v>33</v>
      </c>
    </row>
    <row r="21" spans="1:11" x14ac:dyDescent="0.35">
      <c r="A21" s="16">
        <v>43709</v>
      </c>
      <c r="B21">
        <v>40</v>
      </c>
      <c r="C21">
        <v>40</v>
      </c>
    </row>
    <row r="22" spans="1:11" x14ac:dyDescent="0.35">
      <c r="A22" s="16">
        <v>43716</v>
      </c>
      <c r="B22">
        <v>41</v>
      </c>
      <c r="C22">
        <v>0</v>
      </c>
    </row>
    <row r="23" spans="1:11" x14ac:dyDescent="0.35">
      <c r="A23" s="16">
        <v>43723</v>
      </c>
      <c r="B23">
        <v>39</v>
      </c>
      <c r="C23">
        <v>40</v>
      </c>
    </row>
    <row r="24" spans="1:11" x14ac:dyDescent="0.35">
      <c r="A24" s="16">
        <v>43730</v>
      </c>
      <c r="B24">
        <v>76</v>
      </c>
      <c r="C24">
        <v>0</v>
      </c>
    </row>
    <row r="25" spans="1:11" x14ac:dyDescent="0.35">
      <c r="A25" s="16">
        <v>43737</v>
      </c>
      <c r="B25">
        <v>73</v>
      </c>
      <c r="C25">
        <v>0</v>
      </c>
    </row>
    <row r="26" spans="1:11" x14ac:dyDescent="0.35">
      <c r="A26" s="16">
        <v>43744</v>
      </c>
      <c r="B26">
        <v>0</v>
      </c>
      <c r="C26">
        <v>40</v>
      </c>
    </row>
    <row r="27" spans="1:11" x14ac:dyDescent="0.35">
      <c r="A27" s="16">
        <v>43751</v>
      </c>
      <c r="B27">
        <v>0</v>
      </c>
      <c r="C27">
        <v>0</v>
      </c>
    </row>
    <row r="28" spans="1:11" x14ac:dyDescent="0.35">
      <c r="A28" s="16">
        <v>43758</v>
      </c>
      <c r="B28">
        <v>40</v>
      </c>
      <c r="C28">
        <v>40</v>
      </c>
    </row>
    <row r="29" spans="1:11" x14ac:dyDescent="0.35">
      <c r="A29" s="16">
        <v>43765</v>
      </c>
      <c r="B29">
        <v>0</v>
      </c>
      <c r="C29">
        <v>0</v>
      </c>
    </row>
    <row r="30" spans="1:11" x14ac:dyDescent="0.35">
      <c r="A30" s="16">
        <v>43772</v>
      </c>
      <c r="B30">
        <v>40</v>
      </c>
      <c r="C30">
        <v>0</v>
      </c>
    </row>
    <row r="31" spans="1:11" x14ac:dyDescent="0.35">
      <c r="A31" s="16">
        <v>43779</v>
      </c>
      <c r="B31">
        <v>0</v>
      </c>
      <c r="C31">
        <v>40</v>
      </c>
    </row>
    <row r="32" spans="1:11" x14ac:dyDescent="0.35">
      <c r="A32" s="16">
        <v>43786</v>
      </c>
      <c r="B32">
        <v>0</v>
      </c>
      <c r="C32">
        <v>0</v>
      </c>
    </row>
    <row r="33" spans="1:3" x14ac:dyDescent="0.35">
      <c r="A33" s="16">
        <v>43793</v>
      </c>
      <c r="B33">
        <v>0</v>
      </c>
      <c r="C33">
        <v>0</v>
      </c>
    </row>
    <row r="34" spans="1:3" x14ac:dyDescent="0.35">
      <c r="A34" s="16">
        <v>43800</v>
      </c>
      <c r="B34">
        <v>0</v>
      </c>
      <c r="C34">
        <v>0</v>
      </c>
    </row>
    <row r="35" spans="1:3" x14ac:dyDescent="0.35">
      <c r="A35" s="16">
        <v>43807</v>
      </c>
      <c r="B35">
        <v>0</v>
      </c>
      <c r="C35">
        <v>0</v>
      </c>
    </row>
    <row r="36" spans="1:3" x14ac:dyDescent="0.35">
      <c r="A36" s="16">
        <v>43814</v>
      </c>
      <c r="B36">
        <v>0</v>
      </c>
      <c r="C36">
        <v>80</v>
      </c>
    </row>
    <row r="37" spans="1:3" x14ac:dyDescent="0.35">
      <c r="A37" s="16">
        <v>43821</v>
      </c>
      <c r="B37">
        <v>35</v>
      </c>
      <c r="C37">
        <v>35</v>
      </c>
    </row>
  </sheetData>
  <hyperlinks>
    <hyperlink ref="L1" r:id="rId1" xr:uid="{507D8F5E-8D35-4316-98FB-0C7C44FC11B7}"/>
    <hyperlink ref="K20" r:id="rId2" xr:uid="{5BF9B2E7-693C-4DA8-AEDC-16934B8783F2}"/>
  </hyperlinks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147F9-CEF2-423B-A99B-A59316BE81B8}">
  <sheetPr codeName="Sheet6"/>
  <dimension ref="A1:AC22"/>
  <sheetViews>
    <sheetView workbookViewId="0">
      <selection activeCell="D13" sqref="D13"/>
    </sheetView>
  </sheetViews>
  <sheetFormatPr defaultRowHeight="14.5" x14ac:dyDescent="0.35"/>
  <cols>
    <col min="25" max="29" width="9.1796875" customWidth="1"/>
  </cols>
  <sheetData>
    <row r="1" spans="1:29" x14ac:dyDescent="0.35">
      <c r="A1" s="101" t="s">
        <v>26</v>
      </c>
      <c r="B1" s="101"/>
      <c r="D1" s="101" t="s">
        <v>545</v>
      </c>
      <c r="E1" s="101"/>
    </row>
    <row r="2" spans="1:29" x14ac:dyDescent="0.35">
      <c r="A2" t="s">
        <v>547</v>
      </c>
      <c r="B2" t="s">
        <v>548</v>
      </c>
      <c r="D2" t="s">
        <v>549</v>
      </c>
      <c r="E2" t="s">
        <v>549</v>
      </c>
    </row>
    <row r="3" spans="1:29" x14ac:dyDescent="0.35">
      <c r="A3" t="s">
        <v>550</v>
      </c>
      <c r="B3">
        <v>8.7200000000000006</v>
      </c>
      <c r="D3" t="s">
        <v>551</v>
      </c>
      <c r="E3" s="2">
        <v>36.799999999999997</v>
      </c>
    </row>
    <row r="4" spans="1:29" x14ac:dyDescent="0.35">
      <c r="A4" t="s">
        <v>552</v>
      </c>
      <c r="B4">
        <v>5.99</v>
      </c>
      <c r="D4" t="s">
        <v>553</v>
      </c>
      <c r="E4" s="2">
        <v>30.97</v>
      </c>
      <c r="W4" s="4"/>
      <c r="X4" s="4"/>
      <c r="Y4" s="4"/>
      <c r="Z4" s="4"/>
      <c r="AA4" s="4"/>
      <c r="AB4" s="4"/>
      <c r="AC4" s="4"/>
    </row>
    <row r="5" spans="1:29" x14ac:dyDescent="0.35">
      <c r="A5" t="s">
        <v>554</v>
      </c>
      <c r="B5">
        <v>4.47</v>
      </c>
      <c r="D5" t="s">
        <v>555</v>
      </c>
      <c r="E5" s="2">
        <v>20</v>
      </c>
      <c r="W5" s="4"/>
      <c r="X5" s="4"/>
      <c r="Y5" s="4"/>
      <c r="Z5" s="4"/>
      <c r="AA5" s="4"/>
      <c r="AB5" s="4"/>
      <c r="AC5" s="4"/>
    </row>
    <row r="6" spans="1:29" x14ac:dyDescent="0.35">
      <c r="A6" t="s">
        <v>556</v>
      </c>
      <c r="B6">
        <v>4.2300000000000004</v>
      </c>
      <c r="D6" t="s">
        <v>557</v>
      </c>
      <c r="E6" s="2">
        <v>10.23</v>
      </c>
      <c r="W6" s="4"/>
      <c r="X6" s="4"/>
      <c r="Y6" s="4"/>
      <c r="Z6" s="81"/>
      <c r="AA6" s="81"/>
      <c r="AB6" s="4"/>
      <c r="AC6" s="4"/>
    </row>
    <row r="7" spans="1:29" x14ac:dyDescent="0.35">
      <c r="A7" t="s">
        <v>558</v>
      </c>
      <c r="B7">
        <v>4.22</v>
      </c>
      <c r="D7" t="s">
        <v>559</v>
      </c>
      <c r="E7" s="2">
        <v>2</v>
      </c>
      <c r="W7" s="4"/>
      <c r="X7" s="4"/>
      <c r="Y7" s="4"/>
      <c r="Z7" s="4"/>
      <c r="AA7" s="4"/>
      <c r="AB7" s="4"/>
      <c r="AC7" s="4"/>
    </row>
    <row r="8" spans="1:29" x14ac:dyDescent="0.35">
      <c r="A8" t="s">
        <v>560</v>
      </c>
      <c r="B8">
        <v>3.71</v>
      </c>
      <c r="W8" s="4"/>
      <c r="X8" s="4"/>
      <c r="Y8" s="4"/>
      <c r="Z8" s="4"/>
      <c r="AA8" s="4"/>
      <c r="AB8" s="4"/>
      <c r="AC8" s="4"/>
    </row>
    <row r="9" spans="1:29" x14ac:dyDescent="0.35">
      <c r="A9" t="s">
        <v>561</v>
      </c>
      <c r="B9">
        <v>3.09</v>
      </c>
      <c r="E9" s="2">
        <f>SUM(E3:E7)</f>
        <v>100</v>
      </c>
      <c r="W9" s="4"/>
      <c r="X9" s="4"/>
      <c r="Y9" s="4"/>
      <c r="Z9" s="4"/>
      <c r="AA9" s="4"/>
      <c r="AB9" s="4"/>
      <c r="AC9" s="4"/>
    </row>
    <row r="10" spans="1:29" x14ac:dyDescent="0.35">
      <c r="A10" t="s">
        <v>562</v>
      </c>
      <c r="B10">
        <v>2.63</v>
      </c>
      <c r="W10" s="4"/>
      <c r="X10" s="4"/>
      <c r="Y10" s="4"/>
      <c r="Z10" s="4"/>
      <c r="AA10" s="4"/>
      <c r="AB10" s="4"/>
      <c r="AC10" s="4"/>
    </row>
    <row r="11" spans="1:29" x14ac:dyDescent="0.35">
      <c r="A11" t="s">
        <v>563</v>
      </c>
      <c r="B11">
        <v>2.52</v>
      </c>
      <c r="W11" s="4"/>
      <c r="X11" s="4"/>
      <c r="Y11" s="4"/>
      <c r="Z11" s="4"/>
      <c r="AA11" s="4"/>
      <c r="AB11" s="4"/>
      <c r="AC11" s="4"/>
    </row>
    <row r="12" spans="1:29" x14ac:dyDescent="0.35">
      <c r="A12" t="s">
        <v>564</v>
      </c>
      <c r="B12">
        <v>2.39</v>
      </c>
      <c r="W12" s="4"/>
      <c r="X12" s="4"/>
      <c r="Y12" s="4"/>
      <c r="Z12" s="4"/>
      <c r="AA12" s="4"/>
      <c r="AB12" s="4"/>
      <c r="AC12" s="4"/>
    </row>
    <row r="13" spans="1:29" x14ac:dyDescent="0.35">
      <c r="A13" t="s">
        <v>565</v>
      </c>
      <c r="B13">
        <f>100-SUM(B3:B12)</f>
        <v>58.029999999999994</v>
      </c>
      <c r="W13" s="4"/>
      <c r="X13" s="4"/>
      <c r="Y13" s="4"/>
      <c r="Z13" s="4"/>
      <c r="AA13" s="4"/>
      <c r="AB13" s="4"/>
      <c r="AC13" s="4"/>
    </row>
    <row r="14" spans="1:29" x14ac:dyDescent="0.35">
      <c r="W14" s="4"/>
      <c r="X14" s="4"/>
      <c r="Y14" s="4"/>
      <c r="Z14" s="4"/>
      <c r="AA14" s="4"/>
      <c r="AB14" s="4"/>
      <c r="AC14" s="4"/>
    </row>
    <row r="15" spans="1:29" x14ac:dyDescent="0.35">
      <c r="W15" s="4"/>
      <c r="X15" s="4"/>
      <c r="Y15" s="4"/>
      <c r="Z15" s="4"/>
      <c r="AA15" s="4"/>
      <c r="AB15" s="4"/>
      <c r="AC15" s="4"/>
    </row>
    <row r="16" spans="1:29" x14ac:dyDescent="0.35">
      <c r="W16" s="4"/>
      <c r="X16" s="4"/>
      <c r="Y16" s="4"/>
      <c r="Z16" s="4"/>
      <c r="AA16" s="4"/>
      <c r="AB16" s="4"/>
      <c r="AC16" s="4"/>
    </row>
    <row r="21" spans="3:3" x14ac:dyDescent="0.35">
      <c r="C21" s="1" t="s">
        <v>31</v>
      </c>
    </row>
    <row r="22" spans="3:3" x14ac:dyDescent="0.35">
      <c r="C22" s="1" t="s">
        <v>32</v>
      </c>
    </row>
  </sheetData>
  <mergeCells count="3">
    <mergeCell ref="A1:B1"/>
    <mergeCell ref="D1:E1"/>
    <mergeCell ref="Z6:AA6"/>
  </mergeCells>
  <hyperlinks>
    <hyperlink ref="C21" r:id="rId1" display="https://app.companiesoffice.govt.nz/companies/app/ui/pages/companies/6842293?backurl=H4sIAAAAAAAAAC3KQQrCQAyF4dvMticI4spNF4Je4DEJtmCTOMkovb1D6e79j29yvCSmaptD17FC0Opy2YyFIqGMxiV3FxLNNQcpH4rlZ%2BYF%2FIVW4TtU3pStSznQ%2Fhw%2B6DrPZz8S2ePWrPtx%2FwEsagvvdgAAAA%3D%3D" xr:uid="{4E7FB13E-1EBE-4FA8-A5B1-CA94E959D481}"/>
    <hyperlink ref="C22" r:id="rId2" xr:uid="{2716927B-E7AB-4F17-AA73-D34B049CE670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37962-480A-46AD-8350-222773A30AE4}">
  <sheetPr codeName="Sheet7"/>
  <dimension ref="A1:D27"/>
  <sheetViews>
    <sheetView workbookViewId="0">
      <selection activeCell="Q17" sqref="Q17"/>
    </sheetView>
  </sheetViews>
  <sheetFormatPr defaultRowHeight="14.5" x14ac:dyDescent="0.35"/>
  <cols>
    <col min="1" max="1" width="11.54296875" customWidth="1"/>
  </cols>
  <sheetData>
    <row r="1" spans="1:4" x14ac:dyDescent="0.35">
      <c r="B1" s="101" t="s">
        <v>566</v>
      </c>
      <c r="C1" s="101"/>
      <c r="D1" s="101"/>
    </row>
    <row r="2" spans="1:4" x14ac:dyDescent="0.35">
      <c r="A2" t="s">
        <v>67</v>
      </c>
      <c r="B2" t="s">
        <v>567</v>
      </c>
      <c r="C2" t="s">
        <v>545</v>
      </c>
    </row>
    <row r="3" spans="1:4" x14ac:dyDescent="0.35">
      <c r="A3" s="16">
        <v>43831</v>
      </c>
      <c r="B3">
        <v>1</v>
      </c>
      <c r="C3">
        <v>1</v>
      </c>
    </row>
    <row r="4" spans="1:4" x14ac:dyDescent="0.35">
      <c r="A4" s="16">
        <v>43832</v>
      </c>
      <c r="B4">
        <v>1</v>
      </c>
      <c r="C4">
        <v>1</v>
      </c>
    </row>
    <row r="5" spans="1:4" x14ac:dyDescent="0.35">
      <c r="A5" s="16">
        <v>43833</v>
      </c>
      <c r="B5">
        <v>2</v>
      </c>
      <c r="C5">
        <v>1</v>
      </c>
    </row>
    <row r="6" spans="1:4" x14ac:dyDescent="0.35">
      <c r="A6" s="16">
        <v>43834</v>
      </c>
      <c r="B6">
        <v>3</v>
      </c>
      <c r="C6">
        <v>2</v>
      </c>
    </row>
    <row r="7" spans="1:4" x14ac:dyDescent="0.35">
      <c r="A7" s="16">
        <v>43835</v>
      </c>
      <c r="B7">
        <v>5</v>
      </c>
      <c r="C7">
        <v>2</v>
      </c>
    </row>
    <row r="8" spans="1:4" x14ac:dyDescent="0.35">
      <c r="A8" s="16">
        <v>43836</v>
      </c>
      <c r="B8">
        <v>9</v>
      </c>
      <c r="C8">
        <v>3</v>
      </c>
    </row>
    <row r="9" spans="1:4" x14ac:dyDescent="0.35">
      <c r="A9" s="16">
        <v>43837</v>
      </c>
      <c r="B9">
        <v>12</v>
      </c>
      <c r="C9">
        <v>4</v>
      </c>
    </row>
    <row r="10" spans="1:4" x14ac:dyDescent="0.35">
      <c r="A10" s="16">
        <v>43838</v>
      </c>
      <c r="B10">
        <v>21</v>
      </c>
      <c r="C10">
        <v>5</v>
      </c>
    </row>
    <row r="11" spans="1:4" x14ac:dyDescent="0.35">
      <c r="A11" s="16">
        <v>43839</v>
      </c>
      <c r="B11">
        <v>21</v>
      </c>
      <c r="C11">
        <v>7</v>
      </c>
    </row>
    <row r="12" spans="1:4" x14ac:dyDescent="0.35">
      <c r="A12" s="16">
        <v>43840</v>
      </c>
      <c r="B12">
        <v>26</v>
      </c>
      <c r="C12">
        <v>8</v>
      </c>
    </row>
    <row r="13" spans="1:4" x14ac:dyDescent="0.35">
      <c r="A13" s="16">
        <v>43841</v>
      </c>
      <c r="B13">
        <v>30</v>
      </c>
      <c r="C13">
        <v>10</v>
      </c>
    </row>
    <row r="14" spans="1:4" x14ac:dyDescent="0.35">
      <c r="A14" s="16">
        <v>43842</v>
      </c>
      <c r="B14">
        <v>37</v>
      </c>
      <c r="C14">
        <v>15</v>
      </c>
    </row>
    <row r="15" spans="1:4" x14ac:dyDescent="0.35">
      <c r="A15" s="16">
        <v>43843</v>
      </c>
      <c r="B15">
        <v>45</v>
      </c>
      <c r="C15">
        <v>20</v>
      </c>
    </row>
    <row r="16" spans="1:4" x14ac:dyDescent="0.35">
      <c r="A16" s="16">
        <v>43844</v>
      </c>
      <c r="B16">
        <v>60</v>
      </c>
      <c r="C16">
        <v>30</v>
      </c>
    </row>
    <row r="17" spans="1:3" x14ac:dyDescent="0.35">
      <c r="A17" s="16">
        <v>43845</v>
      </c>
      <c r="B17">
        <v>80</v>
      </c>
      <c r="C17">
        <v>45</v>
      </c>
    </row>
    <row r="18" spans="1:3" x14ac:dyDescent="0.35">
      <c r="A18" s="16">
        <v>43846</v>
      </c>
      <c r="B18">
        <v>100</v>
      </c>
      <c r="C18">
        <v>55</v>
      </c>
    </row>
    <row r="19" spans="1:3" x14ac:dyDescent="0.35">
      <c r="A19" s="16">
        <v>43847</v>
      </c>
      <c r="B19">
        <v>110</v>
      </c>
      <c r="C19">
        <v>60</v>
      </c>
    </row>
    <row r="20" spans="1:3" x14ac:dyDescent="0.35">
      <c r="A20" s="16">
        <v>43848</v>
      </c>
      <c r="B20">
        <v>115</v>
      </c>
      <c r="C20">
        <v>65</v>
      </c>
    </row>
    <row r="21" spans="1:3" x14ac:dyDescent="0.35">
      <c r="A21" s="16">
        <v>43849</v>
      </c>
      <c r="B21">
        <v>120</v>
      </c>
      <c r="C21">
        <v>68</v>
      </c>
    </row>
    <row r="22" spans="1:3" x14ac:dyDescent="0.35">
      <c r="A22" s="16">
        <v>43850</v>
      </c>
      <c r="B22">
        <v>127</v>
      </c>
      <c r="C22">
        <v>69</v>
      </c>
    </row>
    <row r="23" spans="1:3" x14ac:dyDescent="0.35">
      <c r="A23" s="16">
        <v>43851</v>
      </c>
      <c r="B23">
        <v>135</v>
      </c>
      <c r="C23">
        <v>70</v>
      </c>
    </row>
    <row r="24" spans="1:3" x14ac:dyDescent="0.35">
      <c r="A24" s="16">
        <v>43852</v>
      </c>
      <c r="B24">
        <v>145</v>
      </c>
      <c r="C24">
        <v>70</v>
      </c>
    </row>
    <row r="25" spans="1:3" x14ac:dyDescent="0.35">
      <c r="A25" s="16">
        <v>43853</v>
      </c>
      <c r="B25">
        <v>155</v>
      </c>
      <c r="C25">
        <v>71</v>
      </c>
    </row>
    <row r="26" spans="1:3" x14ac:dyDescent="0.35">
      <c r="A26" s="16">
        <v>43854</v>
      </c>
      <c r="B26">
        <v>170</v>
      </c>
      <c r="C26">
        <v>73</v>
      </c>
    </row>
    <row r="27" spans="1:3" x14ac:dyDescent="0.35">
      <c r="A27" s="16">
        <v>43855</v>
      </c>
      <c r="B27">
        <v>180</v>
      </c>
      <c r="C27">
        <v>73</v>
      </c>
    </row>
  </sheetData>
  <mergeCells count="1">
    <mergeCell ref="B1:D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431C9-54BE-460F-BDDF-EE3FAA7B4E5E}">
  <sheetPr codeName="Sheet8"/>
  <dimension ref="A1:J169"/>
  <sheetViews>
    <sheetView topLeftCell="A16" workbookViewId="0">
      <selection activeCell="J27" sqref="J27"/>
    </sheetView>
  </sheetViews>
  <sheetFormatPr defaultRowHeight="14.5" x14ac:dyDescent="0.35"/>
  <cols>
    <col min="1" max="1" width="14.7265625" customWidth="1"/>
    <col min="3" max="3" width="10.26953125" bestFit="1" customWidth="1"/>
    <col min="4" max="5" width="9.26953125" bestFit="1" customWidth="1"/>
  </cols>
  <sheetData>
    <row r="1" spans="1:5" x14ac:dyDescent="0.35">
      <c r="B1" s="101" t="s">
        <v>568</v>
      </c>
      <c r="C1" s="101"/>
      <c r="D1" s="101" t="s">
        <v>569</v>
      </c>
      <c r="E1" s="101"/>
    </row>
    <row r="2" spans="1:5" x14ac:dyDescent="0.35">
      <c r="A2" t="s">
        <v>570</v>
      </c>
      <c r="B2" s="11" t="s">
        <v>11</v>
      </c>
      <c r="C2" s="9">
        <v>0.30590000000000001</v>
      </c>
      <c r="D2" s="11" t="s">
        <v>12</v>
      </c>
      <c r="E2" s="9">
        <v>0.20799999999999999</v>
      </c>
    </row>
    <row r="3" spans="1:5" x14ac:dyDescent="0.35">
      <c r="A3" t="s">
        <v>571</v>
      </c>
      <c r="B3" s="11" t="s">
        <v>15</v>
      </c>
      <c r="C3" s="9">
        <v>0.33825</v>
      </c>
      <c r="D3" s="11" t="s">
        <v>16</v>
      </c>
      <c r="E3" s="9">
        <v>7.9600000000000004E-2</v>
      </c>
    </row>
    <row r="4" spans="1:5" x14ac:dyDescent="0.35">
      <c r="A4" t="s">
        <v>572</v>
      </c>
      <c r="B4" s="12">
        <v>0.1047</v>
      </c>
      <c r="C4" s="9">
        <v>0.23562</v>
      </c>
      <c r="D4" s="12">
        <v>3.7400000000000003E-2</v>
      </c>
      <c r="E4" s="10">
        <v>0.1053</v>
      </c>
    </row>
    <row r="5" spans="1:5" x14ac:dyDescent="0.35">
      <c r="A5" t="s">
        <v>573</v>
      </c>
      <c r="B5" s="11">
        <v>437.49</v>
      </c>
      <c r="C5" s="9">
        <v>0.25140000000000001</v>
      </c>
      <c r="D5" s="11">
        <v>2393.61</v>
      </c>
      <c r="E5" s="9">
        <v>0.27010000000000001</v>
      </c>
    </row>
    <row r="6" spans="1:5" x14ac:dyDescent="0.35">
      <c r="A6" s="101" t="s">
        <v>574</v>
      </c>
      <c r="B6" s="101"/>
      <c r="C6" s="101"/>
      <c r="D6" s="101"/>
      <c r="E6" s="101"/>
    </row>
    <row r="7" spans="1:5" x14ac:dyDescent="0.35">
      <c r="A7" s="101" t="s">
        <v>575</v>
      </c>
      <c r="B7" s="101"/>
      <c r="C7" s="101"/>
      <c r="D7" s="3"/>
      <c r="E7" s="3"/>
    </row>
    <row r="8" spans="1:5" x14ac:dyDescent="0.35">
      <c r="A8" s="17" t="s">
        <v>544</v>
      </c>
      <c r="B8" s="3" t="s">
        <v>576</v>
      </c>
      <c r="C8" s="3" t="s">
        <v>577</v>
      </c>
      <c r="E8" s="3"/>
    </row>
    <row r="9" spans="1:5" x14ac:dyDescent="0.35">
      <c r="A9" s="13">
        <v>43862</v>
      </c>
      <c r="B9" s="14">
        <f t="shared" ref="B9:C28" si="0">C127/100</f>
        <v>0</v>
      </c>
      <c r="C9" s="14">
        <f t="shared" si="0"/>
        <v>0</v>
      </c>
      <c r="E9" s="14"/>
    </row>
    <row r="10" spans="1:5" x14ac:dyDescent="0.35">
      <c r="A10" s="13">
        <v>43863</v>
      </c>
      <c r="B10" s="14">
        <f t="shared" si="0"/>
        <v>-0.01</v>
      </c>
      <c r="C10" s="14">
        <f t="shared" si="0"/>
        <v>-1.4999999999999999E-2</v>
      </c>
      <c r="E10" s="14"/>
    </row>
    <row r="11" spans="1:5" x14ac:dyDescent="0.35">
      <c r="A11" s="13">
        <v>43864</v>
      </c>
      <c r="B11" s="14">
        <f t="shared" si="0"/>
        <v>-1.4999999999999999E-2</v>
      </c>
      <c r="C11" s="14">
        <f t="shared" si="0"/>
        <v>-0.02</v>
      </c>
      <c r="E11" s="14"/>
    </row>
    <row r="12" spans="1:5" x14ac:dyDescent="0.35">
      <c r="A12" s="13">
        <v>43865</v>
      </c>
      <c r="B12" s="14">
        <f t="shared" si="0"/>
        <v>-0.01</v>
      </c>
      <c r="C12" s="14">
        <f t="shared" si="0"/>
        <v>-0.01</v>
      </c>
      <c r="E12" s="14"/>
    </row>
    <row r="13" spans="1:5" x14ac:dyDescent="0.35">
      <c r="A13" s="13">
        <v>43866</v>
      </c>
      <c r="B13" s="14">
        <f t="shared" si="0"/>
        <v>-0.01</v>
      </c>
      <c r="C13" s="14">
        <f t="shared" si="0"/>
        <v>-5.0000000000000001E-3</v>
      </c>
      <c r="E13" s="14"/>
    </row>
    <row r="14" spans="1:5" x14ac:dyDescent="0.35">
      <c r="A14" s="13">
        <v>43867</v>
      </c>
      <c r="B14" s="14">
        <f t="shared" si="0"/>
        <v>-5.0000000000000001E-3</v>
      </c>
      <c r="C14" s="14">
        <f t="shared" si="0"/>
        <v>0.03</v>
      </c>
      <c r="E14" s="14"/>
    </row>
    <row r="15" spans="1:5" x14ac:dyDescent="0.35">
      <c r="A15" s="13">
        <v>43868</v>
      </c>
      <c r="B15" s="14">
        <f t="shared" si="0"/>
        <v>0.01</v>
      </c>
      <c r="C15" s="14">
        <f t="shared" si="0"/>
        <v>0.05</v>
      </c>
      <c r="E15" s="14"/>
    </row>
    <row r="16" spans="1:5" x14ac:dyDescent="0.35">
      <c r="A16" s="13">
        <v>43869</v>
      </c>
      <c r="B16" s="14">
        <f t="shared" si="0"/>
        <v>0.04</v>
      </c>
      <c r="C16" s="14">
        <f t="shared" si="0"/>
        <v>0.08</v>
      </c>
      <c r="E16" s="14"/>
    </row>
    <row r="17" spans="1:10" x14ac:dyDescent="0.35">
      <c r="A17" s="13">
        <v>43870</v>
      </c>
      <c r="B17" s="14">
        <f t="shared" si="0"/>
        <v>0.05</v>
      </c>
      <c r="C17" s="14">
        <f t="shared" si="0"/>
        <v>0.08</v>
      </c>
      <c r="E17" s="14"/>
    </row>
    <row r="18" spans="1:10" x14ac:dyDescent="0.35">
      <c r="A18" s="13">
        <v>43871</v>
      </c>
      <c r="B18" s="14">
        <f t="shared" si="0"/>
        <v>5.5E-2</v>
      </c>
      <c r="C18" s="14">
        <f t="shared" si="0"/>
        <v>0.1</v>
      </c>
      <c r="E18" s="14"/>
    </row>
    <row r="19" spans="1:10" x14ac:dyDescent="0.35">
      <c r="A19" s="13">
        <v>43872</v>
      </c>
      <c r="B19" s="14">
        <f t="shared" si="0"/>
        <v>0.05</v>
      </c>
      <c r="C19" s="14">
        <f t="shared" si="0"/>
        <v>9.5000000000000001E-2</v>
      </c>
      <c r="E19" s="14"/>
    </row>
    <row r="20" spans="1:10" x14ac:dyDescent="0.35">
      <c r="A20" s="13">
        <v>43873</v>
      </c>
      <c r="B20" s="14">
        <f t="shared" si="0"/>
        <v>4.4999999999999998E-2</v>
      </c>
      <c r="C20" s="14">
        <f t="shared" si="0"/>
        <v>0.1</v>
      </c>
      <c r="E20" s="14"/>
    </row>
    <row r="21" spans="1:10" x14ac:dyDescent="0.35">
      <c r="A21" s="13">
        <v>43874</v>
      </c>
      <c r="B21" s="14">
        <f t="shared" si="0"/>
        <v>4.4999999999999998E-2</v>
      </c>
      <c r="C21" s="14">
        <f t="shared" si="0"/>
        <v>0.12</v>
      </c>
      <c r="E21" s="14"/>
    </row>
    <row r="22" spans="1:10" x14ac:dyDescent="0.35">
      <c r="A22" s="13">
        <v>43875</v>
      </c>
      <c r="B22" s="14">
        <f t="shared" si="0"/>
        <v>0.05</v>
      </c>
      <c r="C22" s="14">
        <f t="shared" si="0"/>
        <v>0.14000000000000001</v>
      </c>
      <c r="E22" s="14"/>
    </row>
    <row r="23" spans="1:10" x14ac:dyDescent="0.35">
      <c r="A23" s="13">
        <v>43876</v>
      </c>
      <c r="B23" s="14">
        <f t="shared" si="0"/>
        <v>0.06</v>
      </c>
      <c r="C23" s="14">
        <f t="shared" si="0"/>
        <v>0.15</v>
      </c>
      <c r="E23" s="14"/>
    </row>
    <row r="24" spans="1:10" x14ac:dyDescent="0.35">
      <c r="A24" s="13">
        <v>43877</v>
      </c>
      <c r="B24" s="14">
        <f t="shared" si="0"/>
        <v>0.08</v>
      </c>
      <c r="C24" s="14">
        <f t="shared" si="0"/>
        <v>0.155</v>
      </c>
      <c r="E24" s="14"/>
    </row>
    <row r="25" spans="1:10" x14ac:dyDescent="0.35">
      <c r="A25" s="13">
        <v>43878</v>
      </c>
      <c r="B25" s="14">
        <f t="shared" si="0"/>
        <v>0.1</v>
      </c>
      <c r="C25" s="14">
        <f t="shared" si="0"/>
        <v>0.155</v>
      </c>
      <c r="E25" s="14"/>
    </row>
    <row r="26" spans="1:10" x14ac:dyDescent="0.35">
      <c r="A26" s="13">
        <v>43879</v>
      </c>
      <c r="B26" s="14">
        <f t="shared" si="0"/>
        <v>0.11</v>
      </c>
      <c r="C26" s="14">
        <f t="shared" si="0"/>
        <v>0.16</v>
      </c>
      <c r="E26" s="14"/>
    </row>
    <row r="27" spans="1:10" x14ac:dyDescent="0.35">
      <c r="A27" s="13">
        <v>43880</v>
      </c>
      <c r="B27" s="14">
        <f t="shared" si="0"/>
        <v>0.1</v>
      </c>
      <c r="C27" s="14">
        <f t="shared" si="0"/>
        <v>0.15</v>
      </c>
      <c r="E27" s="14"/>
      <c r="J27" s="1" t="s">
        <v>578</v>
      </c>
    </row>
    <row r="28" spans="1:10" x14ac:dyDescent="0.35">
      <c r="A28" s="13">
        <v>43881</v>
      </c>
      <c r="B28" s="14">
        <f t="shared" si="0"/>
        <v>0.12</v>
      </c>
      <c r="C28" s="14">
        <f t="shared" si="0"/>
        <v>0.14499999999999999</v>
      </c>
      <c r="E28" s="14"/>
    </row>
    <row r="29" spans="1:10" x14ac:dyDescent="0.35">
      <c r="A29" s="13">
        <v>43882</v>
      </c>
      <c r="B29" s="14">
        <f t="shared" ref="B29:C48" si="1">C147/100</f>
        <v>0.12</v>
      </c>
      <c r="C29" s="14">
        <f t="shared" si="1"/>
        <v>0.15</v>
      </c>
      <c r="E29" s="14"/>
    </row>
    <row r="30" spans="1:10" x14ac:dyDescent="0.35">
      <c r="A30" s="13">
        <v>43883</v>
      </c>
      <c r="B30" s="14">
        <f t="shared" si="1"/>
        <v>0.115</v>
      </c>
      <c r="C30" s="14">
        <f t="shared" si="1"/>
        <v>0.16500000000000001</v>
      </c>
      <c r="E30" s="14"/>
    </row>
    <row r="31" spans="1:10" x14ac:dyDescent="0.35">
      <c r="A31" s="13">
        <v>43884</v>
      </c>
      <c r="B31" s="14">
        <f t="shared" si="1"/>
        <v>0.1</v>
      </c>
      <c r="C31" s="14">
        <f t="shared" si="1"/>
        <v>0.16</v>
      </c>
      <c r="E31" s="14"/>
    </row>
    <row r="32" spans="1:10" x14ac:dyDescent="0.35">
      <c r="A32" s="13">
        <v>43885</v>
      </c>
      <c r="B32" s="14">
        <f t="shared" si="1"/>
        <v>0.09</v>
      </c>
      <c r="C32" s="14">
        <f t="shared" si="1"/>
        <v>0.15</v>
      </c>
      <c r="E32" s="14"/>
    </row>
    <row r="33" spans="1:5" x14ac:dyDescent="0.35">
      <c r="A33" s="13">
        <v>43886</v>
      </c>
      <c r="B33" s="14">
        <f t="shared" si="1"/>
        <v>7.0000000000000007E-2</v>
      </c>
      <c r="C33" s="14">
        <f t="shared" si="1"/>
        <v>0.14000000000000001</v>
      </c>
      <c r="E33" s="14"/>
    </row>
    <row r="34" spans="1:5" x14ac:dyDescent="0.35">
      <c r="A34" s="13">
        <v>43887</v>
      </c>
      <c r="B34" s="14">
        <f t="shared" si="1"/>
        <v>0.05</v>
      </c>
      <c r="C34" s="14">
        <f t="shared" si="1"/>
        <v>0.125</v>
      </c>
      <c r="E34" s="14"/>
    </row>
    <row r="35" spans="1:5" x14ac:dyDescent="0.35">
      <c r="A35" s="13">
        <v>43888</v>
      </c>
      <c r="B35" s="14">
        <f t="shared" si="1"/>
        <v>0.04</v>
      </c>
      <c r="C35" s="14">
        <f t="shared" si="1"/>
        <v>0.1</v>
      </c>
      <c r="E35" s="14"/>
    </row>
    <row r="36" spans="1:5" x14ac:dyDescent="0.35">
      <c r="A36" s="13">
        <v>43889</v>
      </c>
      <c r="B36" s="14">
        <f t="shared" si="1"/>
        <v>3.5000000000000003E-2</v>
      </c>
      <c r="C36" s="14">
        <f t="shared" si="1"/>
        <v>0.08</v>
      </c>
      <c r="E36" s="14"/>
    </row>
    <row r="37" spans="1:5" x14ac:dyDescent="0.35">
      <c r="A37" s="13">
        <v>43890</v>
      </c>
      <c r="B37" s="14">
        <f t="shared" si="1"/>
        <v>0.04</v>
      </c>
      <c r="C37" s="14">
        <f t="shared" si="1"/>
        <v>0.06</v>
      </c>
      <c r="E37" s="14"/>
    </row>
    <row r="38" spans="1:5" x14ac:dyDescent="0.35">
      <c r="A38" s="13">
        <v>43891</v>
      </c>
      <c r="B38" s="14">
        <f t="shared" si="1"/>
        <v>7.0000000000000007E-2</v>
      </c>
      <c r="C38" s="14">
        <f t="shared" si="1"/>
        <v>0.03</v>
      </c>
      <c r="E38" s="14"/>
    </row>
    <row r="39" spans="1:5" x14ac:dyDescent="0.35">
      <c r="A39" s="13">
        <v>43892</v>
      </c>
      <c r="B39" s="14">
        <f t="shared" si="1"/>
        <v>0.06</v>
      </c>
      <c r="C39" s="14">
        <f t="shared" si="1"/>
        <v>0.03</v>
      </c>
      <c r="E39" s="14"/>
    </row>
    <row r="40" spans="1:5" x14ac:dyDescent="0.35">
      <c r="A40" s="13">
        <v>43893</v>
      </c>
      <c r="B40" s="14">
        <f t="shared" si="1"/>
        <v>7.0000000000000007E-2</v>
      </c>
      <c r="C40" s="14">
        <f t="shared" si="1"/>
        <v>0</v>
      </c>
      <c r="E40" s="14"/>
    </row>
    <row r="41" spans="1:5" x14ac:dyDescent="0.35">
      <c r="A41" s="13">
        <v>43894</v>
      </c>
      <c r="B41" s="14">
        <f t="shared" si="1"/>
        <v>0.06</v>
      </c>
      <c r="C41" s="14">
        <f t="shared" si="1"/>
        <v>0</v>
      </c>
      <c r="E41" s="14"/>
    </row>
    <row r="42" spans="1:5" x14ac:dyDescent="0.35">
      <c r="A42" s="13">
        <v>43895</v>
      </c>
      <c r="B42" s="14">
        <f t="shared" si="1"/>
        <v>0.06</v>
      </c>
      <c r="C42" s="14">
        <f t="shared" si="1"/>
        <v>0.02</v>
      </c>
      <c r="E42" s="14"/>
    </row>
    <row r="43" spans="1:5" x14ac:dyDescent="0.35">
      <c r="A43" s="13">
        <v>43896</v>
      </c>
      <c r="B43" s="14">
        <f t="shared" si="1"/>
        <v>0.04</v>
      </c>
      <c r="C43" s="14">
        <f t="shared" si="1"/>
        <v>5.0000000000000001E-3</v>
      </c>
      <c r="E43" s="14"/>
    </row>
    <row r="44" spans="1:5" x14ac:dyDescent="0.35">
      <c r="A44" s="13">
        <v>43897</v>
      </c>
      <c r="B44" s="14">
        <f t="shared" si="1"/>
        <v>0.02</v>
      </c>
      <c r="C44" s="14">
        <f t="shared" si="1"/>
        <v>0.03</v>
      </c>
      <c r="E44" s="14"/>
    </row>
    <row r="45" spans="1:5" x14ac:dyDescent="0.35">
      <c r="A45" s="13">
        <v>43898</v>
      </c>
      <c r="B45" s="14">
        <f t="shared" si="1"/>
        <v>-0.01</v>
      </c>
      <c r="C45" s="14">
        <f t="shared" si="1"/>
        <v>0.01</v>
      </c>
      <c r="E45" s="14"/>
    </row>
    <row r="46" spans="1:5" x14ac:dyDescent="0.35">
      <c r="A46" s="13">
        <v>43899</v>
      </c>
      <c r="B46" s="14">
        <f t="shared" si="1"/>
        <v>0.01</v>
      </c>
      <c r="C46" s="14">
        <f t="shared" si="1"/>
        <v>5.0000000000000001E-3</v>
      </c>
      <c r="E46" s="14"/>
    </row>
    <row r="47" spans="1:5" x14ac:dyDescent="0.35">
      <c r="A47" s="13">
        <v>43900</v>
      </c>
      <c r="B47" s="14">
        <f t="shared" si="1"/>
        <v>0.03</v>
      </c>
      <c r="C47" s="14">
        <f t="shared" si="1"/>
        <v>-0.01</v>
      </c>
      <c r="E47" s="14"/>
    </row>
    <row r="48" spans="1:5" x14ac:dyDescent="0.35">
      <c r="A48" s="13">
        <v>43901</v>
      </c>
      <c r="B48" s="14">
        <f t="shared" si="1"/>
        <v>0</v>
      </c>
      <c r="C48" s="14">
        <f t="shared" si="1"/>
        <v>-8.0000000000000002E-3</v>
      </c>
      <c r="E48" s="14"/>
    </row>
    <row r="49" spans="1:5" x14ac:dyDescent="0.35">
      <c r="A49" s="13">
        <v>43902</v>
      </c>
      <c r="B49" s="14">
        <f t="shared" ref="B49:C51" si="2">C167/100</f>
        <v>-0.05</v>
      </c>
      <c r="C49" s="14">
        <f t="shared" si="2"/>
        <v>-0.05</v>
      </c>
      <c r="E49" s="14"/>
    </row>
    <row r="50" spans="1:5" x14ac:dyDescent="0.35">
      <c r="A50" s="13">
        <v>43903</v>
      </c>
      <c r="B50" s="14">
        <f t="shared" si="2"/>
        <v>-0.02</v>
      </c>
      <c r="C50" s="14">
        <f t="shared" si="2"/>
        <v>-0.02</v>
      </c>
      <c r="E50" s="14"/>
    </row>
    <row r="51" spans="1:5" x14ac:dyDescent="0.35">
      <c r="A51" s="13">
        <v>43904</v>
      </c>
      <c r="B51" s="14">
        <f t="shared" si="2"/>
        <v>-0.1</v>
      </c>
      <c r="C51" s="14">
        <f t="shared" si="2"/>
        <v>-0.08</v>
      </c>
      <c r="E51" s="14"/>
    </row>
    <row r="52" spans="1:5" x14ac:dyDescent="0.35">
      <c r="C52" s="8"/>
      <c r="D52" s="8"/>
    </row>
    <row r="53" spans="1:5" x14ac:dyDescent="0.35">
      <c r="C53" s="8"/>
      <c r="D53" s="8"/>
    </row>
    <row r="54" spans="1:5" x14ac:dyDescent="0.35">
      <c r="C54" s="8"/>
      <c r="D54" s="8"/>
    </row>
    <row r="127" spans="3:4" x14ac:dyDescent="0.35">
      <c r="C127">
        <v>0</v>
      </c>
      <c r="D127">
        <v>0</v>
      </c>
    </row>
    <row r="128" spans="3:4" x14ac:dyDescent="0.35">
      <c r="C128">
        <v>-1</v>
      </c>
      <c r="D128">
        <v>-1.5</v>
      </c>
    </row>
    <row r="129" spans="3:4" x14ac:dyDescent="0.35">
      <c r="C129">
        <v>-1.5</v>
      </c>
      <c r="D129">
        <v>-2</v>
      </c>
    </row>
    <row r="130" spans="3:4" x14ac:dyDescent="0.35">
      <c r="C130">
        <v>-1</v>
      </c>
      <c r="D130">
        <v>-1</v>
      </c>
    </row>
    <row r="131" spans="3:4" x14ac:dyDescent="0.35">
      <c r="C131">
        <v>-1</v>
      </c>
      <c r="D131">
        <v>-0.5</v>
      </c>
    </row>
    <row r="132" spans="3:4" x14ac:dyDescent="0.35">
      <c r="C132">
        <v>-0.5</v>
      </c>
      <c r="D132">
        <v>3</v>
      </c>
    </row>
    <row r="133" spans="3:4" x14ac:dyDescent="0.35">
      <c r="C133">
        <v>1</v>
      </c>
      <c r="D133">
        <v>5</v>
      </c>
    </row>
    <row r="134" spans="3:4" x14ac:dyDescent="0.35">
      <c r="C134">
        <v>4</v>
      </c>
      <c r="D134">
        <v>8</v>
      </c>
    </row>
    <row r="135" spans="3:4" x14ac:dyDescent="0.35">
      <c r="C135">
        <v>5</v>
      </c>
      <c r="D135">
        <v>8</v>
      </c>
    </row>
    <row r="136" spans="3:4" x14ac:dyDescent="0.35">
      <c r="C136">
        <v>5.5</v>
      </c>
      <c r="D136">
        <v>10</v>
      </c>
    </row>
    <row r="137" spans="3:4" x14ac:dyDescent="0.35">
      <c r="C137">
        <v>5</v>
      </c>
      <c r="D137">
        <v>9.5</v>
      </c>
    </row>
    <row r="138" spans="3:4" x14ac:dyDescent="0.35">
      <c r="C138">
        <v>4.5</v>
      </c>
      <c r="D138">
        <v>10</v>
      </c>
    </row>
    <row r="139" spans="3:4" x14ac:dyDescent="0.35">
      <c r="C139">
        <v>4.5</v>
      </c>
      <c r="D139">
        <v>12</v>
      </c>
    </row>
    <row r="140" spans="3:4" x14ac:dyDescent="0.35">
      <c r="C140">
        <v>5</v>
      </c>
      <c r="D140">
        <v>14</v>
      </c>
    </row>
    <row r="141" spans="3:4" x14ac:dyDescent="0.35">
      <c r="C141">
        <v>6</v>
      </c>
      <c r="D141">
        <v>15</v>
      </c>
    </row>
    <row r="142" spans="3:4" x14ac:dyDescent="0.35">
      <c r="C142">
        <v>8</v>
      </c>
      <c r="D142">
        <v>15.5</v>
      </c>
    </row>
    <row r="143" spans="3:4" x14ac:dyDescent="0.35">
      <c r="C143">
        <v>10</v>
      </c>
      <c r="D143">
        <v>15.5</v>
      </c>
    </row>
    <row r="144" spans="3:4" x14ac:dyDescent="0.35">
      <c r="C144">
        <v>11</v>
      </c>
      <c r="D144">
        <v>16</v>
      </c>
    </row>
    <row r="145" spans="3:4" x14ac:dyDescent="0.35">
      <c r="C145">
        <v>10</v>
      </c>
      <c r="D145">
        <v>15</v>
      </c>
    </row>
    <row r="146" spans="3:4" x14ac:dyDescent="0.35">
      <c r="C146">
        <v>12</v>
      </c>
      <c r="D146">
        <v>14.5</v>
      </c>
    </row>
    <row r="147" spans="3:4" x14ac:dyDescent="0.35">
      <c r="C147">
        <v>12</v>
      </c>
      <c r="D147">
        <v>15</v>
      </c>
    </row>
    <row r="148" spans="3:4" x14ac:dyDescent="0.35">
      <c r="C148">
        <v>11.5</v>
      </c>
      <c r="D148">
        <v>16.5</v>
      </c>
    </row>
    <row r="149" spans="3:4" x14ac:dyDescent="0.35">
      <c r="C149">
        <v>10</v>
      </c>
      <c r="D149">
        <v>16</v>
      </c>
    </row>
    <row r="150" spans="3:4" x14ac:dyDescent="0.35">
      <c r="C150">
        <v>9</v>
      </c>
      <c r="D150">
        <v>15</v>
      </c>
    </row>
    <row r="151" spans="3:4" x14ac:dyDescent="0.35">
      <c r="C151">
        <v>7</v>
      </c>
      <c r="D151">
        <v>14</v>
      </c>
    </row>
    <row r="152" spans="3:4" x14ac:dyDescent="0.35">
      <c r="C152">
        <v>5</v>
      </c>
      <c r="D152">
        <v>12.5</v>
      </c>
    </row>
    <row r="153" spans="3:4" x14ac:dyDescent="0.35">
      <c r="C153">
        <v>4</v>
      </c>
      <c r="D153">
        <v>10</v>
      </c>
    </row>
    <row r="154" spans="3:4" x14ac:dyDescent="0.35">
      <c r="C154">
        <v>3.5</v>
      </c>
      <c r="D154">
        <v>8</v>
      </c>
    </row>
    <row r="155" spans="3:4" x14ac:dyDescent="0.35">
      <c r="C155">
        <v>4</v>
      </c>
      <c r="D155">
        <v>6</v>
      </c>
    </row>
    <row r="156" spans="3:4" x14ac:dyDescent="0.35">
      <c r="C156">
        <v>7</v>
      </c>
      <c r="D156">
        <v>3</v>
      </c>
    </row>
    <row r="157" spans="3:4" x14ac:dyDescent="0.35">
      <c r="C157">
        <v>6</v>
      </c>
      <c r="D157">
        <v>3</v>
      </c>
    </row>
    <row r="158" spans="3:4" x14ac:dyDescent="0.35">
      <c r="C158">
        <v>7</v>
      </c>
      <c r="D158">
        <v>0</v>
      </c>
    </row>
    <row r="159" spans="3:4" x14ac:dyDescent="0.35">
      <c r="C159">
        <v>6</v>
      </c>
      <c r="D159">
        <v>0</v>
      </c>
    </row>
    <row r="160" spans="3:4" x14ac:dyDescent="0.35">
      <c r="C160">
        <v>6</v>
      </c>
      <c r="D160">
        <v>2</v>
      </c>
    </row>
    <row r="161" spans="3:4" x14ac:dyDescent="0.35">
      <c r="C161">
        <v>4</v>
      </c>
      <c r="D161">
        <v>0.5</v>
      </c>
    </row>
    <row r="162" spans="3:4" x14ac:dyDescent="0.35">
      <c r="C162">
        <v>2</v>
      </c>
      <c r="D162">
        <v>3</v>
      </c>
    </row>
    <row r="163" spans="3:4" x14ac:dyDescent="0.35">
      <c r="C163">
        <v>-1</v>
      </c>
      <c r="D163">
        <v>1</v>
      </c>
    </row>
    <row r="164" spans="3:4" x14ac:dyDescent="0.35">
      <c r="C164">
        <v>1</v>
      </c>
      <c r="D164">
        <v>0.5</v>
      </c>
    </row>
    <row r="165" spans="3:4" x14ac:dyDescent="0.35">
      <c r="C165">
        <v>3</v>
      </c>
      <c r="D165">
        <v>-1</v>
      </c>
    </row>
    <row r="166" spans="3:4" x14ac:dyDescent="0.35">
      <c r="C166">
        <v>0</v>
      </c>
      <c r="D166">
        <v>-0.8</v>
      </c>
    </row>
    <row r="167" spans="3:4" x14ac:dyDescent="0.35">
      <c r="C167">
        <v>-5</v>
      </c>
      <c r="D167">
        <v>-5</v>
      </c>
    </row>
    <row r="168" spans="3:4" x14ac:dyDescent="0.35">
      <c r="C168">
        <v>-2</v>
      </c>
      <c r="D168">
        <v>-2</v>
      </c>
    </row>
    <row r="169" spans="3:4" x14ac:dyDescent="0.35">
      <c r="C169">
        <v>-10</v>
      </c>
      <c r="D169">
        <v>-8</v>
      </c>
    </row>
  </sheetData>
  <mergeCells count="4">
    <mergeCell ref="A7:C7"/>
    <mergeCell ref="B1:C1"/>
    <mergeCell ref="D1:E1"/>
    <mergeCell ref="A6:E6"/>
  </mergeCells>
  <hyperlinks>
    <hyperlink ref="J27" r:id="rId1" location="scso=_MJ2fXpK1KvLB3LUPwuOfqAQ1:0" xr:uid="{E725CF1A-4809-427B-AC50-4566E533A8BF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2F7D6-67F9-4232-98E9-F60270D510D2}">
  <sheetPr codeName="Sheet9"/>
  <dimension ref="A1"/>
  <sheetViews>
    <sheetView workbookViewId="0">
      <selection activeCell="E26" sqref="E2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APItest</vt:lpstr>
      <vt:lpstr>Companies Office</vt:lpstr>
      <vt:lpstr>Google trends template</vt:lpstr>
      <vt:lpstr>Google trends</vt:lpstr>
      <vt:lpstr>Companies house</vt:lpstr>
      <vt:lpstr>Twitter</vt:lpstr>
      <vt:lpstr>google finance </vt:lpstr>
      <vt:lpstr>Xero (imported)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Etienne</dc:creator>
  <cp:keywords/>
  <dc:description/>
  <cp:lastModifiedBy>Etienne</cp:lastModifiedBy>
  <cp:revision/>
  <dcterms:created xsi:type="dcterms:W3CDTF">2020-04-21T00:13:43Z</dcterms:created>
  <dcterms:modified xsi:type="dcterms:W3CDTF">2020-04-23T16:30:44Z</dcterms:modified>
  <cp:category/>
  <cp:contentStatus/>
</cp:coreProperties>
</file>