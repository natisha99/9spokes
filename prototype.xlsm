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tienne\Documents\9spokes\"/>
    </mc:Choice>
  </mc:AlternateContent>
  <xr:revisionPtr revIDLastSave="0" documentId="13_ncr:1_{B206AB5E-3FD9-4074-A273-C7E9D1FE1688}" xr6:coauthVersionLast="44" xr6:coauthVersionMax="45" xr10:uidLastSave="{00000000-0000-0000-0000-000000000000}"/>
  <bookViews>
    <workbookView xWindow="28680" yWindow="-120" windowWidth="29040" windowHeight="17640" tabRatio="610" xr2:uid="{00000000-000D-0000-FFFF-FFFF00000000}"/>
  </bookViews>
  <sheets>
    <sheet name="Summary" sheetId="7" r:id="rId1"/>
    <sheet name="APItest" sheetId="9" state="hidden" r:id="rId2"/>
    <sheet name="Google trends template" sheetId="11" state="hidden" r:id="rId3"/>
    <sheet name="Linkedin" sheetId="13" r:id="rId4"/>
    <sheet name="Finance" sheetId="3" r:id="rId5"/>
    <sheet name="House" sheetId="10" r:id="rId6"/>
    <sheet name="Trends" sheetId="14" r:id="rId7"/>
    <sheet name="Google trends" sheetId="1" state="hidden" r:id="rId8"/>
    <sheet name="Companies house" sheetId="5" state="hidden" r:id="rId9"/>
    <sheet name="Twitter" sheetId="4" state="hidden" r:id="rId10"/>
    <sheet name="Xero (imported)" sheetId="6" state="hidden" r:id="rId11"/>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54" i="7" l="1"/>
  <c r="AI54" i="7"/>
  <c r="AH54" i="7"/>
  <c r="AG54" i="7"/>
  <c r="AF54" i="7"/>
  <c r="AJ53" i="7"/>
  <c r="AI53" i="7"/>
  <c r="AH53" i="7"/>
  <c r="AG53" i="7"/>
  <c r="AF53" i="7"/>
  <c r="AJ52" i="7"/>
  <c r="AI52" i="7"/>
  <c r="AH52" i="7"/>
  <c r="AG52" i="7"/>
  <c r="AF52" i="7"/>
  <c r="AJ51" i="7"/>
  <c r="AI51" i="7"/>
  <c r="AH51" i="7"/>
  <c r="AG51" i="7"/>
  <c r="AF51" i="7"/>
  <c r="AJ50" i="7"/>
  <c r="AI50" i="7"/>
  <c r="AH50" i="7"/>
  <c r="AG50" i="7"/>
  <c r="AF50" i="7"/>
  <c r="AJ49" i="7"/>
  <c r="AI49" i="7"/>
  <c r="AH49" i="7"/>
  <c r="AG49" i="7"/>
  <c r="AF49" i="7"/>
  <c r="AJ48" i="7"/>
  <c r="AI48" i="7"/>
  <c r="AH48" i="7"/>
  <c r="AG48" i="7"/>
  <c r="AF48" i="7"/>
  <c r="AE54" i="7"/>
  <c r="AE53" i="7"/>
  <c r="AE52" i="7"/>
  <c r="AE51" i="7"/>
  <c r="AE50" i="7"/>
  <c r="AE49" i="7"/>
  <c r="AE48" i="7"/>
  <c r="AD42" i="7"/>
  <c r="AF30" i="7"/>
  <c r="AD30" i="7"/>
  <c r="AF29" i="7"/>
  <c r="AD29" i="7"/>
  <c r="AF28" i="7"/>
  <c r="AD28" i="7"/>
  <c r="AF27" i="7"/>
  <c r="AD27" i="7"/>
  <c r="AF26" i="7"/>
  <c r="AD26" i="7"/>
  <c r="AF23" i="7"/>
  <c r="AF5" i="7"/>
  <c r="G12" i="14"/>
  <c r="F12" i="14"/>
  <c r="E12" i="14"/>
  <c r="C12" i="14"/>
  <c r="D12" i="14"/>
  <c r="Z250" i="14"/>
  <c r="Y250" i="14"/>
  <c r="X250" i="14"/>
  <c r="W250" i="14"/>
  <c r="V250" i="14"/>
  <c r="U250" i="14"/>
  <c r="Z249" i="14"/>
  <c r="Y249" i="14"/>
  <c r="X249" i="14"/>
  <c r="W249" i="14"/>
  <c r="V249" i="14"/>
  <c r="U249" i="14"/>
  <c r="Z248" i="14"/>
  <c r="Y248" i="14"/>
  <c r="X248" i="14"/>
  <c r="W248" i="14"/>
  <c r="V248" i="14"/>
  <c r="U248" i="14"/>
  <c r="Z247" i="14"/>
  <c r="Y247" i="14"/>
  <c r="X247" i="14"/>
  <c r="W247" i="14"/>
  <c r="V247" i="14"/>
  <c r="U247" i="14"/>
  <c r="Z246" i="14"/>
  <c r="Y246" i="14"/>
  <c r="X246" i="14"/>
  <c r="W246" i="14"/>
  <c r="V246" i="14"/>
  <c r="U246" i="14"/>
  <c r="Z245" i="14"/>
  <c r="Y245" i="14"/>
  <c r="X245" i="14"/>
  <c r="W245" i="14"/>
  <c r="V245" i="14"/>
  <c r="U245" i="14"/>
  <c r="Z244" i="14"/>
  <c r="Y244" i="14"/>
  <c r="X244" i="14"/>
  <c r="W244" i="14"/>
  <c r="V244" i="14"/>
  <c r="U244" i="14"/>
  <c r="Z243" i="14"/>
  <c r="Y243" i="14"/>
  <c r="X243" i="14"/>
  <c r="W243" i="14"/>
  <c r="V243" i="14"/>
  <c r="U243" i="14"/>
  <c r="Z242" i="14"/>
  <c r="Y242" i="14"/>
  <c r="X242" i="14"/>
  <c r="W242" i="14"/>
  <c r="V242" i="14"/>
  <c r="U242" i="14"/>
  <c r="Z241" i="14"/>
  <c r="Y241" i="14"/>
  <c r="X241" i="14"/>
  <c r="W241" i="14"/>
  <c r="V241" i="14"/>
  <c r="U241" i="14"/>
  <c r="Z240" i="14"/>
  <c r="Y240" i="14"/>
  <c r="X240" i="14"/>
  <c r="W240" i="14"/>
  <c r="V240" i="14"/>
  <c r="U240" i="14"/>
  <c r="Z239" i="14"/>
  <c r="Y239" i="14"/>
  <c r="X239" i="14"/>
  <c r="W239" i="14"/>
  <c r="V239" i="14"/>
  <c r="U239" i="14"/>
  <c r="Z238" i="14"/>
  <c r="Y238" i="14"/>
  <c r="X238" i="14"/>
  <c r="W238" i="14"/>
  <c r="V238" i="14"/>
  <c r="U238" i="14"/>
  <c r="Z237" i="14"/>
  <c r="Y237" i="14"/>
  <c r="X237" i="14"/>
  <c r="W237" i="14"/>
  <c r="V237" i="14"/>
  <c r="U237" i="14"/>
  <c r="Z236" i="14"/>
  <c r="Y236" i="14"/>
  <c r="X236" i="14"/>
  <c r="W236" i="14"/>
  <c r="V236" i="14"/>
  <c r="U236" i="14"/>
  <c r="Z235" i="14"/>
  <c r="Y235" i="14"/>
  <c r="X235" i="14"/>
  <c r="W235" i="14"/>
  <c r="V235" i="14"/>
  <c r="U235" i="14"/>
  <c r="Z234" i="14"/>
  <c r="Y234" i="14"/>
  <c r="X234" i="14"/>
  <c r="W234" i="14"/>
  <c r="V234" i="14"/>
  <c r="U234" i="14"/>
  <c r="Z233" i="14"/>
  <c r="Y233" i="14"/>
  <c r="X233" i="14"/>
  <c r="W233" i="14"/>
  <c r="V233" i="14"/>
  <c r="U233" i="14"/>
  <c r="Z232" i="14"/>
  <c r="Y232" i="14"/>
  <c r="X232" i="14"/>
  <c r="W232" i="14"/>
  <c r="V232" i="14"/>
  <c r="U232" i="14"/>
  <c r="Z231" i="14"/>
  <c r="Y231" i="14"/>
  <c r="X231" i="14"/>
  <c r="W231" i="14"/>
  <c r="V231" i="14"/>
  <c r="U231" i="14"/>
  <c r="Z230" i="14"/>
  <c r="Y230" i="14"/>
  <c r="X230" i="14"/>
  <c r="W230" i="14"/>
  <c r="V230" i="14"/>
  <c r="U230" i="14"/>
  <c r="Z229" i="14"/>
  <c r="Y229" i="14"/>
  <c r="X229" i="14"/>
  <c r="W229" i="14"/>
  <c r="V229" i="14"/>
  <c r="U229" i="14"/>
  <c r="Z228" i="14"/>
  <c r="Y228" i="14"/>
  <c r="X228" i="14"/>
  <c r="W228" i="14"/>
  <c r="V228" i="14"/>
  <c r="U228" i="14"/>
  <c r="Z227" i="14"/>
  <c r="Y227" i="14"/>
  <c r="X227" i="14"/>
  <c r="W227" i="14"/>
  <c r="V227" i="14"/>
  <c r="U227" i="14"/>
  <c r="Z226" i="14"/>
  <c r="Y226" i="14"/>
  <c r="X226" i="14"/>
  <c r="W226" i="14"/>
  <c r="V226" i="14"/>
  <c r="U226" i="14"/>
  <c r="Z225" i="14"/>
  <c r="Y225" i="14"/>
  <c r="X225" i="14"/>
  <c r="W225" i="14"/>
  <c r="V225" i="14"/>
  <c r="U225" i="14"/>
  <c r="Z224" i="14"/>
  <c r="Y224" i="14"/>
  <c r="X224" i="14"/>
  <c r="W224" i="14"/>
  <c r="V224" i="14"/>
  <c r="U224" i="14"/>
  <c r="Z223" i="14"/>
  <c r="Y223" i="14"/>
  <c r="X223" i="14"/>
  <c r="W223" i="14"/>
  <c r="V223" i="14"/>
  <c r="U223" i="14"/>
  <c r="Z222" i="14"/>
  <c r="Y222" i="14"/>
  <c r="X222" i="14"/>
  <c r="W222" i="14"/>
  <c r="V222" i="14"/>
  <c r="U222" i="14"/>
  <c r="Z221" i="14"/>
  <c r="Y221" i="14"/>
  <c r="X221" i="14"/>
  <c r="W221" i="14"/>
  <c r="V221" i="14"/>
  <c r="U221" i="14"/>
  <c r="Z220" i="14"/>
  <c r="Y220" i="14"/>
  <c r="X220" i="14"/>
  <c r="W220" i="14"/>
  <c r="V220" i="14"/>
  <c r="U220" i="14"/>
  <c r="Z219" i="14"/>
  <c r="Y219" i="14"/>
  <c r="X219" i="14"/>
  <c r="W219" i="14"/>
  <c r="V219" i="14"/>
  <c r="U219" i="14"/>
  <c r="Z218" i="14"/>
  <c r="Y218" i="14"/>
  <c r="X218" i="14"/>
  <c r="W218" i="14"/>
  <c r="V218" i="14"/>
  <c r="U218" i="14"/>
  <c r="Z217" i="14"/>
  <c r="Y217" i="14"/>
  <c r="X217" i="14"/>
  <c r="W217" i="14"/>
  <c r="V217" i="14"/>
  <c r="U217" i="14"/>
  <c r="Z216" i="14"/>
  <c r="Y216" i="14"/>
  <c r="X216" i="14"/>
  <c r="W216" i="14"/>
  <c r="V216" i="14"/>
  <c r="U216" i="14"/>
  <c r="Z215" i="14"/>
  <c r="Y215" i="14"/>
  <c r="X215" i="14"/>
  <c r="W215" i="14"/>
  <c r="V215" i="14"/>
  <c r="U215" i="14"/>
  <c r="Z214" i="14"/>
  <c r="Y214" i="14"/>
  <c r="X214" i="14"/>
  <c r="W214" i="14"/>
  <c r="V214" i="14"/>
  <c r="U214" i="14"/>
  <c r="Z213" i="14"/>
  <c r="Y213" i="14"/>
  <c r="X213" i="14"/>
  <c r="W213" i="14"/>
  <c r="V213" i="14"/>
  <c r="U213" i="14"/>
  <c r="Z212" i="14"/>
  <c r="Y212" i="14"/>
  <c r="X212" i="14"/>
  <c r="W212" i="14"/>
  <c r="V212" i="14"/>
  <c r="U212" i="14"/>
  <c r="Z211" i="14"/>
  <c r="Y211" i="14"/>
  <c r="X211" i="14"/>
  <c r="W211" i="14"/>
  <c r="V211" i="14"/>
  <c r="U211" i="14"/>
  <c r="Z210" i="14"/>
  <c r="Y210" i="14"/>
  <c r="X210" i="14"/>
  <c r="W210" i="14"/>
  <c r="V210" i="14"/>
  <c r="U210" i="14"/>
  <c r="Z209" i="14"/>
  <c r="Y209" i="14"/>
  <c r="X209" i="14"/>
  <c r="W209" i="14"/>
  <c r="V209" i="14"/>
  <c r="U209" i="14"/>
  <c r="Z208" i="14"/>
  <c r="Y208" i="14"/>
  <c r="X208" i="14"/>
  <c r="W208" i="14"/>
  <c r="V208" i="14"/>
  <c r="U208" i="14"/>
  <c r="Z207" i="14"/>
  <c r="Y207" i="14"/>
  <c r="X207" i="14"/>
  <c r="W207" i="14"/>
  <c r="V207" i="14"/>
  <c r="U207" i="14"/>
  <c r="Z206" i="14"/>
  <c r="Y206" i="14"/>
  <c r="X206" i="14"/>
  <c r="W206" i="14"/>
  <c r="V206" i="14"/>
  <c r="U206" i="14"/>
  <c r="Z205" i="14"/>
  <c r="Y205" i="14"/>
  <c r="X205" i="14"/>
  <c r="W205" i="14"/>
  <c r="V205" i="14"/>
  <c r="U205" i="14"/>
  <c r="Z204" i="14"/>
  <c r="Y204" i="14"/>
  <c r="X204" i="14"/>
  <c r="W204" i="14"/>
  <c r="V204" i="14"/>
  <c r="U204" i="14"/>
  <c r="Z203" i="14"/>
  <c r="Y203" i="14"/>
  <c r="X203" i="14"/>
  <c r="W203" i="14"/>
  <c r="V203" i="14"/>
  <c r="U203" i="14"/>
  <c r="Z202" i="14"/>
  <c r="Y202" i="14"/>
  <c r="X202" i="14"/>
  <c r="W202" i="14"/>
  <c r="V202" i="14"/>
  <c r="U202" i="14"/>
  <c r="Z201" i="14"/>
  <c r="Y201" i="14"/>
  <c r="X201" i="14"/>
  <c r="W201" i="14"/>
  <c r="V201" i="14"/>
  <c r="U201" i="14"/>
  <c r="Z200" i="14"/>
  <c r="Y200" i="14"/>
  <c r="X200" i="14"/>
  <c r="W200" i="14"/>
  <c r="V200" i="14"/>
  <c r="U200" i="14"/>
  <c r="Z199" i="14"/>
  <c r="Y199" i="14"/>
  <c r="X199" i="14"/>
  <c r="W199" i="14"/>
  <c r="V199" i="14"/>
  <c r="U199" i="14"/>
  <c r="Z198" i="14"/>
  <c r="Y198" i="14"/>
  <c r="X198" i="14"/>
  <c r="W198" i="14"/>
  <c r="V198" i="14"/>
  <c r="U198" i="14"/>
  <c r="Z197" i="14"/>
  <c r="Y197" i="14"/>
  <c r="X197" i="14"/>
  <c r="W197" i="14"/>
  <c r="V197" i="14"/>
  <c r="U197" i="14"/>
  <c r="Z196" i="14"/>
  <c r="Y196" i="14"/>
  <c r="X196" i="14"/>
  <c r="W196" i="14"/>
  <c r="V196" i="14"/>
  <c r="U196" i="14"/>
  <c r="Z195" i="14"/>
  <c r="Y195" i="14"/>
  <c r="X195" i="14"/>
  <c r="W195" i="14"/>
  <c r="V195" i="14"/>
  <c r="U195" i="14"/>
  <c r="Z194" i="14"/>
  <c r="Y194" i="14"/>
  <c r="X194" i="14"/>
  <c r="W194" i="14"/>
  <c r="V194" i="14"/>
  <c r="U194" i="14"/>
  <c r="Z193" i="14"/>
  <c r="Y193" i="14"/>
  <c r="X193" i="14"/>
  <c r="W193" i="14"/>
  <c r="V193" i="14"/>
  <c r="U193" i="14"/>
  <c r="Z192" i="14"/>
  <c r="Y192" i="14"/>
  <c r="X192" i="14"/>
  <c r="W192" i="14"/>
  <c r="V192" i="14"/>
  <c r="U192" i="14"/>
  <c r="Z191" i="14"/>
  <c r="Y191" i="14"/>
  <c r="X191" i="14"/>
  <c r="W191" i="14"/>
  <c r="V191" i="14"/>
  <c r="U191" i="14"/>
  <c r="Z190" i="14"/>
  <c r="Y190" i="14"/>
  <c r="X190" i="14"/>
  <c r="W190" i="14"/>
  <c r="V190" i="14"/>
  <c r="U190" i="14"/>
  <c r="Z189" i="14"/>
  <c r="Y189" i="14"/>
  <c r="X189" i="14"/>
  <c r="W189" i="14"/>
  <c r="V189" i="14"/>
  <c r="U189" i="14"/>
  <c r="Z188" i="14"/>
  <c r="Y188" i="14"/>
  <c r="X188" i="14"/>
  <c r="W188" i="14"/>
  <c r="V188" i="14"/>
  <c r="U188" i="14"/>
  <c r="Z187" i="14"/>
  <c r="Y187" i="14"/>
  <c r="X187" i="14"/>
  <c r="W187" i="14"/>
  <c r="V187" i="14"/>
  <c r="U187" i="14"/>
  <c r="Z186" i="14"/>
  <c r="Y186" i="14"/>
  <c r="X186" i="14"/>
  <c r="W186" i="14"/>
  <c r="V186" i="14"/>
  <c r="U186" i="14"/>
  <c r="Z185" i="14"/>
  <c r="Y185" i="14"/>
  <c r="X185" i="14"/>
  <c r="W185" i="14"/>
  <c r="V185" i="14"/>
  <c r="U185" i="14"/>
  <c r="Z184" i="14"/>
  <c r="Y184" i="14"/>
  <c r="X184" i="14"/>
  <c r="W184" i="14"/>
  <c r="V184" i="14"/>
  <c r="U184" i="14"/>
  <c r="Z183" i="14"/>
  <c r="Y183" i="14"/>
  <c r="X183" i="14"/>
  <c r="W183" i="14"/>
  <c r="V183" i="14"/>
  <c r="U183" i="14"/>
  <c r="Z182" i="14"/>
  <c r="Y182" i="14"/>
  <c r="X182" i="14"/>
  <c r="W182" i="14"/>
  <c r="V182" i="14"/>
  <c r="U182" i="14"/>
  <c r="Z181" i="14"/>
  <c r="Y181" i="14"/>
  <c r="X181" i="14"/>
  <c r="W181" i="14"/>
  <c r="V181" i="14"/>
  <c r="U181" i="14"/>
  <c r="Z180" i="14"/>
  <c r="Y180" i="14"/>
  <c r="X180" i="14"/>
  <c r="W180" i="14"/>
  <c r="V180" i="14"/>
  <c r="U180" i="14"/>
  <c r="Z179" i="14"/>
  <c r="Y179" i="14"/>
  <c r="X179" i="14"/>
  <c r="W179" i="14"/>
  <c r="V179" i="14"/>
  <c r="U179" i="14"/>
  <c r="Z178" i="14"/>
  <c r="Y178" i="14"/>
  <c r="X178" i="14"/>
  <c r="W178" i="14"/>
  <c r="V178" i="14"/>
  <c r="U178" i="14"/>
  <c r="Z177" i="14"/>
  <c r="Y177" i="14"/>
  <c r="X177" i="14"/>
  <c r="W177" i="14"/>
  <c r="V177" i="14"/>
  <c r="U177" i="14"/>
  <c r="Z176" i="14"/>
  <c r="Y176" i="14"/>
  <c r="X176" i="14"/>
  <c r="W176" i="14"/>
  <c r="V176" i="14"/>
  <c r="U176" i="14"/>
  <c r="Z175" i="14"/>
  <c r="Y175" i="14"/>
  <c r="X175" i="14"/>
  <c r="W175" i="14"/>
  <c r="V175" i="14"/>
  <c r="U175" i="14"/>
  <c r="Z174" i="14"/>
  <c r="Y174" i="14"/>
  <c r="X174" i="14"/>
  <c r="W174" i="14"/>
  <c r="V174" i="14"/>
  <c r="U174" i="14"/>
  <c r="Z173" i="14"/>
  <c r="Y173" i="14"/>
  <c r="X173" i="14"/>
  <c r="W173" i="14"/>
  <c r="V173" i="14"/>
  <c r="U173" i="14"/>
  <c r="Z172" i="14"/>
  <c r="Y172" i="14"/>
  <c r="X172" i="14"/>
  <c r="W172" i="14"/>
  <c r="V172" i="14"/>
  <c r="U172" i="14"/>
  <c r="Z171" i="14"/>
  <c r="Y171" i="14"/>
  <c r="X171" i="14"/>
  <c r="W171" i="14"/>
  <c r="V171" i="14"/>
  <c r="U171" i="14"/>
  <c r="Z170" i="14"/>
  <c r="Y170" i="14"/>
  <c r="X170" i="14"/>
  <c r="W170" i="14"/>
  <c r="V170" i="14"/>
  <c r="U170" i="14"/>
  <c r="Z169" i="14"/>
  <c r="Y169" i="14"/>
  <c r="X169" i="14"/>
  <c r="W169" i="14"/>
  <c r="V169" i="14"/>
  <c r="U169" i="14"/>
  <c r="Z168" i="14"/>
  <c r="Y168" i="14"/>
  <c r="X168" i="14"/>
  <c r="W168" i="14"/>
  <c r="V168" i="14"/>
  <c r="U168" i="14"/>
  <c r="Z167" i="14"/>
  <c r="Y167" i="14"/>
  <c r="X167" i="14"/>
  <c r="W167" i="14"/>
  <c r="V167" i="14"/>
  <c r="U167" i="14"/>
  <c r="Z166" i="14"/>
  <c r="Y166" i="14"/>
  <c r="X166" i="14"/>
  <c r="W166" i="14"/>
  <c r="V166" i="14"/>
  <c r="U166" i="14"/>
  <c r="Z165" i="14"/>
  <c r="Y165" i="14"/>
  <c r="X165" i="14"/>
  <c r="W165" i="14"/>
  <c r="V165" i="14"/>
  <c r="U165" i="14"/>
  <c r="Z164" i="14"/>
  <c r="Y164" i="14"/>
  <c r="X164" i="14"/>
  <c r="W164" i="14"/>
  <c r="V164" i="14"/>
  <c r="U164" i="14"/>
  <c r="Z163" i="14"/>
  <c r="Y163" i="14"/>
  <c r="X163" i="14"/>
  <c r="W163" i="14"/>
  <c r="V163" i="14"/>
  <c r="U163" i="14"/>
  <c r="Z162" i="14"/>
  <c r="Y162" i="14"/>
  <c r="X162" i="14"/>
  <c r="W162" i="14"/>
  <c r="V162" i="14"/>
  <c r="U162" i="14"/>
  <c r="Z161" i="14"/>
  <c r="Y161" i="14"/>
  <c r="X161" i="14"/>
  <c r="W161" i="14"/>
  <c r="V161" i="14"/>
  <c r="U161" i="14"/>
  <c r="Z160" i="14"/>
  <c r="Y160" i="14"/>
  <c r="X160" i="14"/>
  <c r="W160" i="14"/>
  <c r="V160" i="14"/>
  <c r="U160" i="14"/>
  <c r="Z159" i="14"/>
  <c r="Y159" i="14"/>
  <c r="X159" i="14"/>
  <c r="W159" i="14"/>
  <c r="V159" i="14"/>
  <c r="U159" i="14"/>
  <c r="Z158" i="14"/>
  <c r="Y158" i="14"/>
  <c r="X158" i="14"/>
  <c r="W158" i="14"/>
  <c r="V158" i="14"/>
  <c r="U158" i="14"/>
  <c r="Z157" i="14"/>
  <c r="Y157" i="14"/>
  <c r="X157" i="14"/>
  <c r="W157" i="14"/>
  <c r="V157" i="14"/>
  <c r="U157" i="14"/>
  <c r="Z156" i="14"/>
  <c r="Y156" i="14"/>
  <c r="X156" i="14"/>
  <c r="W156" i="14"/>
  <c r="V156" i="14"/>
  <c r="U156" i="14"/>
  <c r="Z155" i="14"/>
  <c r="Y155" i="14"/>
  <c r="X155" i="14"/>
  <c r="W155" i="14"/>
  <c r="V155" i="14"/>
  <c r="U155" i="14"/>
  <c r="Z154" i="14"/>
  <c r="Y154" i="14"/>
  <c r="X154" i="14"/>
  <c r="W154" i="14"/>
  <c r="V154" i="14"/>
  <c r="U154" i="14"/>
  <c r="Z153" i="14"/>
  <c r="Y153" i="14"/>
  <c r="X153" i="14"/>
  <c r="W153" i="14"/>
  <c r="V153" i="14"/>
  <c r="U153" i="14"/>
  <c r="Z152" i="14"/>
  <c r="Y152" i="14"/>
  <c r="X152" i="14"/>
  <c r="W152" i="14"/>
  <c r="V152" i="14"/>
  <c r="U152" i="14"/>
  <c r="Z151" i="14"/>
  <c r="Y151" i="14"/>
  <c r="X151" i="14"/>
  <c r="W151" i="14"/>
  <c r="V151" i="14"/>
  <c r="U151" i="14"/>
  <c r="Z150" i="14"/>
  <c r="Y150" i="14"/>
  <c r="X150" i="14"/>
  <c r="W150" i="14"/>
  <c r="V150" i="14"/>
  <c r="U150" i="14"/>
  <c r="Z149" i="14"/>
  <c r="Y149" i="14"/>
  <c r="X149" i="14"/>
  <c r="W149" i="14"/>
  <c r="V149" i="14"/>
  <c r="U149" i="14"/>
  <c r="Z148" i="14"/>
  <c r="Y148" i="14"/>
  <c r="X148" i="14"/>
  <c r="W148" i="14"/>
  <c r="V148" i="14"/>
  <c r="U148" i="14"/>
  <c r="Z147" i="14"/>
  <c r="Y147" i="14"/>
  <c r="X147" i="14"/>
  <c r="W147" i="14"/>
  <c r="V147" i="14"/>
  <c r="U147" i="14"/>
  <c r="Z146" i="14"/>
  <c r="Y146" i="14"/>
  <c r="X146" i="14"/>
  <c r="W146" i="14"/>
  <c r="V146" i="14"/>
  <c r="U146" i="14"/>
  <c r="Z145" i="14"/>
  <c r="Y145" i="14"/>
  <c r="X145" i="14"/>
  <c r="W145" i="14"/>
  <c r="V145" i="14"/>
  <c r="U145" i="14"/>
  <c r="Z144" i="14"/>
  <c r="Y144" i="14"/>
  <c r="X144" i="14"/>
  <c r="W144" i="14"/>
  <c r="V144" i="14"/>
  <c r="U144" i="14"/>
  <c r="Z143" i="14"/>
  <c r="Y143" i="14"/>
  <c r="X143" i="14"/>
  <c r="W143" i="14"/>
  <c r="V143" i="14"/>
  <c r="U143" i="14"/>
  <c r="Z142" i="14"/>
  <c r="Y142" i="14"/>
  <c r="X142" i="14"/>
  <c r="W142" i="14"/>
  <c r="V142" i="14"/>
  <c r="U142" i="14"/>
  <c r="Z141" i="14"/>
  <c r="Y141" i="14"/>
  <c r="X141" i="14"/>
  <c r="W141" i="14"/>
  <c r="V141" i="14"/>
  <c r="U141" i="14"/>
  <c r="Z140" i="14"/>
  <c r="Y140" i="14"/>
  <c r="X140" i="14"/>
  <c r="W140" i="14"/>
  <c r="V140" i="14"/>
  <c r="U140" i="14"/>
  <c r="Z139" i="14"/>
  <c r="Y139" i="14"/>
  <c r="X139" i="14"/>
  <c r="W139" i="14"/>
  <c r="V139" i="14"/>
  <c r="U139" i="14"/>
  <c r="Z138" i="14"/>
  <c r="Y138" i="14"/>
  <c r="X138" i="14"/>
  <c r="W138" i="14"/>
  <c r="V138" i="14"/>
  <c r="U138" i="14"/>
  <c r="Z137" i="14"/>
  <c r="Y137" i="14"/>
  <c r="X137" i="14"/>
  <c r="W137" i="14"/>
  <c r="V137" i="14"/>
  <c r="U137" i="14"/>
  <c r="Z136" i="14"/>
  <c r="Y136" i="14"/>
  <c r="X136" i="14"/>
  <c r="W136" i="14"/>
  <c r="V136" i="14"/>
  <c r="U136" i="14"/>
  <c r="Z135" i="14"/>
  <c r="Y135" i="14"/>
  <c r="X135" i="14"/>
  <c r="W135" i="14"/>
  <c r="V135" i="14"/>
  <c r="U135" i="14"/>
  <c r="Z134" i="14"/>
  <c r="Y134" i="14"/>
  <c r="X134" i="14"/>
  <c r="W134" i="14"/>
  <c r="V134" i="14"/>
  <c r="U134" i="14"/>
  <c r="Z133" i="14"/>
  <c r="Y133" i="14"/>
  <c r="X133" i="14"/>
  <c r="W133" i="14"/>
  <c r="V133" i="14"/>
  <c r="U133" i="14"/>
  <c r="Z132" i="14"/>
  <c r="Y132" i="14"/>
  <c r="X132" i="14"/>
  <c r="W132" i="14"/>
  <c r="V132" i="14"/>
  <c r="U132" i="14"/>
  <c r="Z131" i="14"/>
  <c r="Y131" i="14"/>
  <c r="X131" i="14"/>
  <c r="W131" i="14"/>
  <c r="V131" i="14"/>
  <c r="U131" i="14"/>
  <c r="Z130" i="14"/>
  <c r="Y130" i="14"/>
  <c r="X130" i="14"/>
  <c r="W130" i="14"/>
  <c r="V130" i="14"/>
  <c r="U130" i="14"/>
  <c r="Z129" i="14"/>
  <c r="Y129" i="14"/>
  <c r="X129" i="14"/>
  <c r="W129" i="14"/>
  <c r="V129" i="14"/>
  <c r="U129" i="14"/>
  <c r="Z128" i="14"/>
  <c r="Y128" i="14"/>
  <c r="X128" i="14"/>
  <c r="W128" i="14"/>
  <c r="V128" i="14"/>
  <c r="U128" i="14"/>
  <c r="Z127" i="14"/>
  <c r="Y127" i="14"/>
  <c r="X127" i="14"/>
  <c r="W127" i="14"/>
  <c r="V127" i="14"/>
  <c r="U127" i="14"/>
  <c r="Z126" i="14"/>
  <c r="Y126" i="14"/>
  <c r="X126" i="14"/>
  <c r="W126" i="14"/>
  <c r="V126" i="14"/>
  <c r="U126" i="14"/>
  <c r="Z125" i="14"/>
  <c r="Y125" i="14"/>
  <c r="X125" i="14"/>
  <c r="W125" i="14"/>
  <c r="V125" i="14"/>
  <c r="U125" i="14"/>
  <c r="Z124" i="14"/>
  <c r="Y124" i="14"/>
  <c r="X124" i="14"/>
  <c r="W124" i="14"/>
  <c r="V124" i="14"/>
  <c r="U124" i="14"/>
  <c r="Z123" i="14"/>
  <c r="Y123" i="14"/>
  <c r="X123" i="14"/>
  <c r="W123" i="14"/>
  <c r="V123" i="14"/>
  <c r="U123" i="14"/>
  <c r="Z122" i="14"/>
  <c r="Y122" i="14"/>
  <c r="X122" i="14"/>
  <c r="W122" i="14"/>
  <c r="V122" i="14"/>
  <c r="U122" i="14"/>
  <c r="Z121" i="14"/>
  <c r="Y121" i="14"/>
  <c r="X121" i="14"/>
  <c r="W121" i="14"/>
  <c r="V121" i="14"/>
  <c r="U121" i="14"/>
  <c r="Z120" i="14"/>
  <c r="Y120" i="14"/>
  <c r="X120" i="14"/>
  <c r="W120" i="14"/>
  <c r="V120" i="14"/>
  <c r="U120" i="14"/>
  <c r="Z119" i="14"/>
  <c r="Y119" i="14"/>
  <c r="X119" i="14"/>
  <c r="W119" i="14"/>
  <c r="V119" i="14"/>
  <c r="U119" i="14"/>
  <c r="Z118" i="14"/>
  <c r="Y118" i="14"/>
  <c r="X118" i="14"/>
  <c r="W118" i="14"/>
  <c r="V118" i="14"/>
  <c r="U118" i="14"/>
  <c r="Z117" i="14"/>
  <c r="Y117" i="14"/>
  <c r="X117" i="14"/>
  <c r="W117" i="14"/>
  <c r="V117" i="14"/>
  <c r="U117" i="14"/>
  <c r="Z116" i="14"/>
  <c r="Y116" i="14"/>
  <c r="X116" i="14"/>
  <c r="W116" i="14"/>
  <c r="V116" i="14"/>
  <c r="U116" i="14"/>
  <c r="Z115" i="14"/>
  <c r="Y115" i="14"/>
  <c r="X115" i="14"/>
  <c r="W115" i="14"/>
  <c r="V115" i="14"/>
  <c r="U115" i="14"/>
  <c r="Z114" i="14"/>
  <c r="Y114" i="14"/>
  <c r="X114" i="14"/>
  <c r="W114" i="14"/>
  <c r="V114" i="14"/>
  <c r="U114" i="14"/>
  <c r="Z113" i="14"/>
  <c r="Y113" i="14"/>
  <c r="X113" i="14"/>
  <c r="W113" i="14"/>
  <c r="V113" i="14"/>
  <c r="U113" i="14"/>
  <c r="Z112" i="14"/>
  <c r="Y112" i="14"/>
  <c r="X112" i="14"/>
  <c r="W112" i="14"/>
  <c r="V112" i="14"/>
  <c r="U112" i="14"/>
  <c r="Z111" i="14"/>
  <c r="Y111" i="14"/>
  <c r="X111" i="14"/>
  <c r="W111" i="14"/>
  <c r="V111" i="14"/>
  <c r="U111" i="14"/>
  <c r="Z110" i="14"/>
  <c r="Y110" i="14"/>
  <c r="X110" i="14"/>
  <c r="W110" i="14"/>
  <c r="V110" i="14"/>
  <c r="U110" i="14"/>
  <c r="Z109" i="14"/>
  <c r="Y109" i="14"/>
  <c r="X109" i="14"/>
  <c r="W109" i="14"/>
  <c r="V109" i="14"/>
  <c r="U109" i="14"/>
  <c r="Z108" i="14"/>
  <c r="Y108" i="14"/>
  <c r="X108" i="14"/>
  <c r="W108" i="14"/>
  <c r="V108" i="14"/>
  <c r="U108" i="14"/>
  <c r="Z107" i="14"/>
  <c r="Y107" i="14"/>
  <c r="X107" i="14"/>
  <c r="W107" i="14"/>
  <c r="V107" i="14"/>
  <c r="U107" i="14"/>
  <c r="Z106" i="14"/>
  <c r="Y106" i="14"/>
  <c r="X106" i="14"/>
  <c r="W106" i="14"/>
  <c r="V106" i="14"/>
  <c r="U106" i="14"/>
  <c r="Z105" i="14"/>
  <c r="Y105" i="14"/>
  <c r="X105" i="14"/>
  <c r="W105" i="14"/>
  <c r="V105" i="14"/>
  <c r="U105" i="14"/>
  <c r="Z104" i="14"/>
  <c r="Y104" i="14"/>
  <c r="X104" i="14"/>
  <c r="W104" i="14"/>
  <c r="V104" i="14"/>
  <c r="U104" i="14"/>
  <c r="Z103" i="14"/>
  <c r="Y103" i="14"/>
  <c r="X103" i="14"/>
  <c r="W103" i="14"/>
  <c r="V103" i="14"/>
  <c r="U103" i="14"/>
  <c r="Z102" i="14"/>
  <c r="Y102" i="14"/>
  <c r="X102" i="14"/>
  <c r="W102" i="14"/>
  <c r="V102" i="14"/>
  <c r="U102" i="14"/>
  <c r="Z101" i="14"/>
  <c r="Y101" i="14"/>
  <c r="X101" i="14"/>
  <c r="W101" i="14"/>
  <c r="V101" i="14"/>
  <c r="U101" i="14"/>
  <c r="Z100" i="14"/>
  <c r="Y100" i="14"/>
  <c r="X100" i="14"/>
  <c r="W100" i="14"/>
  <c r="V100" i="14"/>
  <c r="U100" i="14"/>
  <c r="Z99" i="14"/>
  <c r="Y99" i="14"/>
  <c r="X99" i="14"/>
  <c r="W99" i="14"/>
  <c r="V99" i="14"/>
  <c r="U99" i="14"/>
  <c r="Z98" i="14"/>
  <c r="Y98" i="14"/>
  <c r="X98" i="14"/>
  <c r="W98" i="14"/>
  <c r="V98" i="14"/>
  <c r="U98" i="14"/>
  <c r="Z97" i="14"/>
  <c r="Y97" i="14"/>
  <c r="X97" i="14"/>
  <c r="W97" i="14"/>
  <c r="V97" i="14"/>
  <c r="U97" i="14"/>
  <c r="Z96" i="14"/>
  <c r="Y96" i="14"/>
  <c r="X96" i="14"/>
  <c r="W96" i="14"/>
  <c r="V96" i="14"/>
  <c r="U96" i="14"/>
  <c r="Z95" i="14"/>
  <c r="Y95" i="14"/>
  <c r="X95" i="14"/>
  <c r="W95" i="14"/>
  <c r="V95" i="14"/>
  <c r="U95" i="14"/>
  <c r="Z94" i="14"/>
  <c r="Y94" i="14"/>
  <c r="X94" i="14"/>
  <c r="W94" i="14"/>
  <c r="V94" i="14"/>
  <c r="U94" i="14"/>
  <c r="Z93" i="14"/>
  <c r="Y93" i="14"/>
  <c r="X93" i="14"/>
  <c r="W93" i="14"/>
  <c r="V93" i="14"/>
  <c r="U93" i="14"/>
  <c r="Z92" i="14"/>
  <c r="Y92" i="14"/>
  <c r="X92" i="14"/>
  <c r="W92" i="14"/>
  <c r="V92" i="14"/>
  <c r="U92" i="14"/>
  <c r="Z91" i="14"/>
  <c r="Y91" i="14"/>
  <c r="X91" i="14"/>
  <c r="W91" i="14"/>
  <c r="V91" i="14"/>
  <c r="U91" i="14"/>
  <c r="Z90" i="14"/>
  <c r="Y90" i="14"/>
  <c r="X90" i="14"/>
  <c r="W90" i="14"/>
  <c r="V90" i="14"/>
  <c r="U90" i="14"/>
  <c r="Z89" i="14"/>
  <c r="Y89" i="14"/>
  <c r="X89" i="14"/>
  <c r="W89" i="14"/>
  <c r="V89" i="14"/>
  <c r="U89" i="14"/>
  <c r="Z88" i="14"/>
  <c r="Y88" i="14"/>
  <c r="X88" i="14"/>
  <c r="W88" i="14"/>
  <c r="V88" i="14"/>
  <c r="U88" i="14"/>
  <c r="Z87" i="14"/>
  <c r="Y87" i="14"/>
  <c r="X87" i="14"/>
  <c r="W87" i="14"/>
  <c r="V87" i="14"/>
  <c r="U87" i="14"/>
  <c r="Z86" i="14"/>
  <c r="Y86" i="14"/>
  <c r="X86" i="14"/>
  <c r="W86" i="14"/>
  <c r="V86" i="14"/>
  <c r="U86" i="14"/>
  <c r="Z85" i="14"/>
  <c r="Y85" i="14"/>
  <c r="X85" i="14"/>
  <c r="W85" i="14"/>
  <c r="V85" i="14"/>
  <c r="U85" i="14"/>
  <c r="Z84" i="14"/>
  <c r="Y84" i="14"/>
  <c r="X84" i="14"/>
  <c r="W84" i="14"/>
  <c r="V84" i="14"/>
  <c r="U84" i="14"/>
  <c r="Z83" i="14"/>
  <c r="Y83" i="14"/>
  <c r="X83" i="14"/>
  <c r="W83" i="14"/>
  <c r="V83" i="14"/>
  <c r="U83" i="14"/>
  <c r="Z82" i="14"/>
  <c r="Y82" i="14"/>
  <c r="X82" i="14"/>
  <c r="W82" i="14"/>
  <c r="V82" i="14"/>
  <c r="U82" i="14"/>
  <c r="Z81" i="14"/>
  <c r="Y81" i="14"/>
  <c r="X81" i="14"/>
  <c r="W81" i="14"/>
  <c r="V81" i="14"/>
  <c r="U81" i="14"/>
  <c r="Z80" i="14"/>
  <c r="Y80" i="14"/>
  <c r="X80" i="14"/>
  <c r="W80" i="14"/>
  <c r="V80" i="14"/>
  <c r="U80" i="14"/>
  <c r="Z79" i="14"/>
  <c r="Y79" i="14"/>
  <c r="X79" i="14"/>
  <c r="W79" i="14"/>
  <c r="V79" i="14"/>
  <c r="U79" i="14"/>
  <c r="Z78" i="14"/>
  <c r="Y78" i="14"/>
  <c r="X78" i="14"/>
  <c r="W78" i="14"/>
  <c r="V78" i="14"/>
  <c r="U78" i="14"/>
  <c r="Z77" i="14"/>
  <c r="Y77" i="14"/>
  <c r="X77" i="14"/>
  <c r="W77" i="14"/>
  <c r="V77" i="14"/>
  <c r="U77" i="14"/>
  <c r="Z76" i="14"/>
  <c r="Y76" i="14"/>
  <c r="X76" i="14"/>
  <c r="W76" i="14"/>
  <c r="V76" i="14"/>
  <c r="U76" i="14"/>
  <c r="Z75" i="14"/>
  <c r="Y75" i="14"/>
  <c r="X75" i="14"/>
  <c r="W75" i="14"/>
  <c r="V75" i="14"/>
  <c r="U75" i="14"/>
  <c r="Z74" i="14"/>
  <c r="Y74" i="14"/>
  <c r="X74" i="14"/>
  <c r="W74" i="14"/>
  <c r="V74" i="14"/>
  <c r="U74" i="14"/>
  <c r="Z73" i="14"/>
  <c r="Y73" i="14"/>
  <c r="X73" i="14"/>
  <c r="W73" i="14"/>
  <c r="V73" i="14"/>
  <c r="U73" i="14"/>
  <c r="Z72" i="14"/>
  <c r="Y72" i="14"/>
  <c r="X72" i="14"/>
  <c r="W72" i="14"/>
  <c r="V72" i="14"/>
  <c r="U72" i="14"/>
  <c r="Z71" i="14"/>
  <c r="Y71" i="14"/>
  <c r="X71" i="14"/>
  <c r="W71" i="14"/>
  <c r="V71" i="14"/>
  <c r="U71" i="14"/>
  <c r="Z70" i="14"/>
  <c r="Y70" i="14"/>
  <c r="X70" i="14"/>
  <c r="W70" i="14"/>
  <c r="V70" i="14"/>
  <c r="U70" i="14"/>
  <c r="Z69" i="14"/>
  <c r="Y69" i="14"/>
  <c r="X69" i="14"/>
  <c r="W69" i="14"/>
  <c r="V69" i="14"/>
  <c r="U69" i="14"/>
  <c r="Z68" i="14"/>
  <c r="Y68" i="14"/>
  <c r="X68" i="14"/>
  <c r="W68" i="14"/>
  <c r="V68" i="14"/>
  <c r="U68" i="14"/>
  <c r="Z67" i="14"/>
  <c r="Y67" i="14"/>
  <c r="X67" i="14"/>
  <c r="W67" i="14"/>
  <c r="V67" i="14"/>
  <c r="U67" i="14"/>
  <c r="Z66" i="14"/>
  <c r="Y66" i="14"/>
  <c r="X66" i="14"/>
  <c r="W66" i="14"/>
  <c r="V66" i="14"/>
  <c r="U66" i="14"/>
  <c r="Z65" i="14"/>
  <c r="Y65" i="14"/>
  <c r="X65" i="14"/>
  <c r="W65" i="14"/>
  <c r="V65" i="14"/>
  <c r="U65" i="14"/>
  <c r="Z64" i="14"/>
  <c r="Y64" i="14"/>
  <c r="X64" i="14"/>
  <c r="W64" i="14"/>
  <c r="V64" i="14"/>
  <c r="U64" i="14"/>
  <c r="Z63" i="14"/>
  <c r="Y63" i="14"/>
  <c r="X63" i="14"/>
  <c r="W63" i="14"/>
  <c r="V63" i="14"/>
  <c r="U63" i="14"/>
  <c r="Z62" i="14"/>
  <c r="Y62" i="14"/>
  <c r="X62" i="14"/>
  <c r="W62" i="14"/>
  <c r="V62" i="14"/>
  <c r="U62" i="14"/>
  <c r="Z61" i="14"/>
  <c r="Y61" i="14"/>
  <c r="X61" i="14"/>
  <c r="W61" i="14"/>
  <c r="V61" i="14"/>
  <c r="U61" i="14"/>
  <c r="Z60" i="14"/>
  <c r="Y60" i="14"/>
  <c r="X60" i="14"/>
  <c r="W60" i="14"/>
  <c r="V60" i="14"/>
  <c r="U60" i="14"/>
  <c r="Z59" i="14"/>
  <c r="Y59" i="14"/>
  <c r="X59" i="14"/>
  <c r="W59" i="14"/>
  <c r="V59" i="14"/>
  <c r="U59" i="14"/>
  <c r="Z58" i="14"/>
  <c r="Y58" i="14"/>
  <c r="X58" i="14"/>
  <c r="W58" i="14"/>
  <c r="V58" i="14"/>
  <c r="U58" i="14"/>
  <c r="Z57" i="14"/>
  <c r="Y57" i="14"/>
  <c r="X57" i="14"/>
  <c r="W57" i="14"/>
  <c r="V57" i="14"/>
  <c r="U57" i="14"/>
  <c r="Z56" i="14"/>
  <c r="Y56" i="14"/>
  <c r="X56" i="14"/>
  <c r="W56" i="14"/>
  <c r="V56" i="14"/>
  <c r="U56" i="14"/>
  <c r="Z55" i="14"/>
  <c r="Y55" i="14"/>
  <c r="X55" i="14"/>
  <c r="W55" i="14"/>
  <c r="V55" i="14"/>
  <c r="U55" i="14"/>
  <c r="Z54" i="14"/>
  <c r="Y54" i="14"/>
  <c r="X54" i="14"/>
  <c r="W54" i="14"/>
  <c r="V54" i="14"/>
  <c r="U54" i="14"/>
  <c r="Z53" i="14"/>
  <c r="Y53" i="14"/>
  <c r="X53" i="14"/>
  <c r="W53" i="14"/>
  <c r="V53" i="14"/>
  <c r="U53" i="14"/>
  <c r="Z52" i="14"/>
  <c r="Y52" i="14"/>
  <c r="X52" i="14"/>
  <c r="W52" i="14"/>
  <c r="V52" i="14"/>
  <c r="U52" i="14"/>
  <c r="Z51" i="14"/>
  <c r="Y51" i="14"/>
  <c r="X51" i="14"/>
  <c r="W51" i="14"/>
  <c r="V51" i="14"/>
  <c r="U51" i="14"/>
  <c r="Z50" i="14"/>
  <c r="Y50" i="14"/>
  <c r="X50" i="14"/>
  <c r="W50" i="14"/>
  <c r="V50" i="14"/>
  <c r="U50" i="14"/>
  <c r="Z49" i="14"/>
  <c r="Y49" i="14"/>
  <c r="X49" i="14"/>
  <c r="W49" i="14"/>
  <c r="V49" i="14"/>
  <c r="U49" i="14"/>
  <c r="Z48" i="14"/>
  <c r="Y48" i="14"/>
  <c r="X48" i="14"/>
  <c r="W48" i="14"/>
  <c r="V48" i="14"/>
  <c r="U48" i="14"/>
  <c r="Z47" i="14"/>
  <c r="Y47" i="14"/>
  <c r="X47" i="14"/>
  <c r="W47" i="14"/>
  <c r="V47" i="14"/>
  <c r="U47" i="14"/>
  <c r="Z46" i="14"/>
  <c r="Y46" i="14"/>
  <c r="X46" i="14"/>
  <c r="W46" i="14"/>
  <c r="V46" i="14"/>
  <c r="U46" i="14"/>
  <c r="Z45" i="14"/>
  <c r="Y45" i="14"/>
  <c r="X45" i="14"/>
  <c r="W45" i="14"/>
  <c r="V45" i="14"/>
  <c r="U45" i="14"/>
  <c r="Z44" i="14"/>
  <c r="Y44" i="14"/>
  <c r="X44" i="14"/>
  <c r="W44" i="14"/>
  <c r="V44" i="14"/>
  <c r="U44" i="14"/>
  <c r="Z43" i="14"/>
  <c r="Y43" i="14"/>
  <c r="X43" i="14"/>
  <c r="W43" i="14"/>
  <c r="V43" i="14"/>
  <c r="U43" i="14"/>
  <c r="Z42" i="14"/>
  <c r="Y42" i="14"/>
  <c r="X42" i="14"/>
  <c r="W42" i="14"/>
  <c r="V42" i="14"/>
  <c r="U42" i="14"/>
  <c r="Z41" i="14"/>
  <c r="Y41" i="14"/>
  <c r="X41" i="14"/>
  <c r="W41" i="14"/>
  <c r="V41" i="14"/>
  <c r="U41" i="14"/>
  <c r="Z40" i="14"/>
  <c r="Y40" i="14"/>
  <c r="X40" i="14"/>
  <c r="W40" i="14"/>
  <c r="V40" i="14"/>
  <c r="U40" i="14"/>
  <c r="Z39" i="14"/>
  <c r="Y39" i="14"/>
  <c r="X39" i="14"/>
  <c r="W39" i="14"/>
  <c r="V39" i="14"/>
  <c r="U39" i="14"/>
  <c r="Z38" i="14"/>
  <c r="Y38" i="14"/>
  <c r="X38" i="14"/>
  <c r="W38" i="14"/>
  <c r="V38" i="14"/>
  <c r="U38" i="14"/>
  <c r="Z37" i="14"/>
  <c r="Y37" i="14"/>
  <c r="X37" i="14"/>
  <c r="W37" i="14"/>
  <c r="V37" i="14"/>
  <c r="U37" i="14"/>
  <c r="Z36" i="14"/>
  <c r="Y36" i="14"/>
  <c r="X36" i="14"/>
  <c r="W36" i="14"/>
  <c r="V36" i="14"/>
  <c r="U36" i="14"/>
  <c r="Z35" i="14"/>
  <c r="Y35" i="14"/>
  <c r="X35" i="14"/>
  <c r="W35" i="14"/>
  <c r="V35" i="14"/>
  <c r="U35" i="14"/>
  <c r="Z34" i="14"/>
  <c r="Y34" i="14"/>
  <c r="X34" i="14"/>
  <c r="W34" i="14"/>
  <c r="V34" i="14"/>
  <c r="U34" i="14"/>
  <c r="Z33" i="14"/>
  <c r="Y33" i="14"/>
  <c r="X33" i="14"/>
  <c r="W33" i="14"/>
  <c r="V33" i="14"/>
  <c r="U33" i="14"/>
  <c r="Z32" i="14"/>
  <c r="Y32" i="14"/>
  <c r="X32" i="14"/>
  <c r="W32" i="14"/>
  <c r="V32" i="14"/>
  <c r="U32" i="14"/>
  <c r="Z31" i="14"/>
  <c r="Y31" i="14"/>
  <c r="X31" i="14"/>
  <c r="W31" i="14"/>
  <c r="V31" i="14"/>
  <c r="U31" i="14"/>
  <c r="Z30" i="14"/>
  <c r="Y30" i="14"/>
  <c r="X30" i="14"/>
  <c r="W30" i="14"/>
  <c r="V30" i="14"/>
  <c r="U30" i="14"/>
  <c r="Z29" i="14"/>
  <c r="Y29" i="14"/>
  <c r="X29" i="14"/>
  <c r="W29" i="14"/>
  <c r="V29" i="14"/>
  <c r="U29" i="14"/>
  <c r="Z28" i="14"/>
  <c r="Y28" i="14"/>
  <c r="X28" i="14"/>
  <c r="W28" i="14"/>
  <c r="V28" i="14"/>
  <c r="U28" i="14"/>
  <c r="Z27" i="14"/>
  <c r="Y27" i="14"/>
  <c r="X27" i="14"/>
  <c r="W27" i="14"/>
  <c r="V27" i="14"/>
  <c r="U27" i="14"/>
  <c r="Z26" i="14"/>
  <c r="Y26" i="14"/>
  <c r="X26" i="14"/>
  <c r="W26" i="14"/>
  <c r="V26" i="14"/>
  <c r="U26" i="14"/>
  <c r="Z25" i="14"/>
  <c r="Y25" i="14"/>
  <c r="X25" i="14"/>
  <c r="W25" i="14"/>
  <c r="V25" i="14"/>
  <c r="U25" i="14"/>
  <c r="Z24" i="14"/>
  <c r="Y24" i="14"/>
  <c r="X24" i="14"/>
  <c r="W24" i="14"/>
  <c r="V24" i="14"/>
  <c r="U24" i="14"/>
  <c r="Z23" i="14"/>
  <c r="Y23" i="14"/>
  <c r="X23" i="14"/>
  <c r="W23" i="14"/>
  <c r="V23" i="14"/>
  <c r="U23" i="14"/>
  <c r="Z22" i="14"/>
  <c r="Y22" i="14"/>
  <c r="X22" i="14"/>
  <c r="W22" i="14"/>
  <c r="V22" i="14"/>
  <c r="U22" i="14"/>
  <c r="Z21" i="14"/>
  <c r="Y21" i="14"/>
  <c r="X21" i="14"/>
  <c r="W21" i="14"/>
  <c r="V21" i="14"/>
  <c r="U21" i="14"/>
  <c r="Z20" i="14"/>
  <c r="Y20" i="14"/>
  <c r="X20" i="14"/>
  <c r="W20" i="14"/>
  <c r="V20" i="14"/>
  <c r="U20" i="14"/>
  <c r="Z19" i="14"/>
  <c r="Y19" i="14"/>
  <c r="X19" i="14"/>
  <c r="W19" i="14"/>
  <c r="V19" i="14"/>
  <c r="U19" i="14"/>
  <c r="Z18" i="14"/>
  <c r="Y18" i="14"/>
  <c r="X18" i="14"/>
  <c r="W18" i="14"/>
  <c r="V18" i="14"/>
  <c r="U18" i="14"/>
  <c r="Z17" i="14"/>
  <c r="Y17" i="14"/>
  <c r="X17" i="14"/>
  <c r="W17" i="14"/>
  <c r="V17" i="14"/>
  <c r="U17" i="14"/>
  <c r="Z16" i="14"/>
  <c r="Y16" i="14"/>
  <c r="X16" i="14"/>
  <c r="W16" i="14"/>
  <c r="V16" i="14"/>
  <c r="U16" i="14"/>
  <c r="Z15" i="14"/>
  <c r="Y15" i="14"/>
  <c r="X15" i="14"/>
  <c r="W15" i="14"/>
  <c r="V15" i="14"/>
  <c r="U15" i="14"/>
  <c r="Z14" i="14"/>
  <c r="Y14" i="14"/>
  <c r="X14" i="14"/>
  <c r="W14" i="14"/>
  <c r="V14" i="14"/>
  <c r="U14" i="14"/>
  <c r="Z13" i="14"/>
  <c r="Y13" i="14"/>
  <c r="X13" i="14"/>
  <c r="W13" i="14"/>
  <c r="V13" i="14"/>
  <c r="U13" i="14"/>
  <c r="Z12" i="14"/>
  <c r="Y12" i="14"/>
  <c r="X12" i="14"/>
  <c r="W12" i="14"/>
  <c r="V12" i="14"/>
  <c r="X67" i="7" l="1"/>
  <c r="X68" i="7"/>
  <c r="Y68" i="7"/>
  <c r="Z68" i="7"/>
  <c r="X69" i="7"/>
  <c r="Y69" i="7"/>
  <c r="Z69" i="7"/>
  <c r="X70" i="7"/>
  <c r="Y70" i="7"/>
  <c r="Z70" i="7"/>
  <c r="X71" i="7"/>
  <c r="Y71" i="7"/>
  <c r="Z71" i="7"/>
  <c r="X72" i="7"/>
  <c r="Y72" i="7"/>
  <c r="Z72" i="7"/>
  <c r="X73" i="7"/>
  <c r="Y73" i="7"/>
  <c r="Z73" i="7"/>
  <c r="X59" i="7"/>
  <c r="X60" i="7"/>
  <c r="Y60" i="7"/>
  <c r="Z60" i="7"/>
  <c r="X61" i="7"/>
  <c r="Y61" i="7"/>
  <c r="Z61" i="7"/>
  <c r="X62" i="7"/>
  <c r="Y62" i="7"/>
  <c r="Z62" i="7"/>
  <c r="X63" i="7"/>
  <c r="Y63" i="7"/>
  <c r="Z63" i="7"/>
  <c r="X64" i="7"/>
  <c r="Y64" i="7"/>
  <c r="Z64" i="7"/>
  <c r="X65" i="7"/>
  <c r="Y65" i="7"/>
  <c r="Z65" i="7"/>
  <c r="X51" i="7"/>
  <c r="X52" i="7"/>
  <c r="Y52" i="7"/>
  <c r="Z52" i="7"/>
  <c r="X53" i="7"/>
  <c r="Y53" i="7"/>
  <c r="Z53" i="7"/>
  <c r="X54" i="7"/>
  <c r="Y54" i="7"/>
  <c r="Z54" i="7"/>
  <c r="X55" i="7"/>
  <c r="Y55" i="7"/>
  <c r="Z55" i="7"/>
  <c r="X56" i="7"/>
  <c r="Y56" i="7"/>
  <c r="Z56" i="7"/>
  <c r="X57" i="7"/>
  <c r="Y57" i="7"/>
  <c r="Z57" i="7"/>
  <c r="X43" i="7"/>
  <c r="X44" i="7"/>
  <c r="Y44" i="7"/>
  <c r="Z44" i="7"/>
  <c r="X45" i="7"/>
  <c r="Y45" i="7"/>
  <c r="Z45" i="7"/>
  <c r="X46" i="7"/>
  <c r="Y46" i="7"/>
  <c r="Z46" i="7"/>
  <c r="X47" i="7"/>
  <c r="Y47" i="7"/>
  <c r="Z47" i="7"/>
  <c r="X48" i="7"/>
  <c r="Y48" i="7"/>
  <c r="Z48" i="7"/>
  <c r="X49" i="7"/>
  <c r="Y49" i="7"/>
  <c r="Z49" i="7"/>
  <c r="X35" i="7"/>
  <c r="X36" i="7"/>
  <c r="Y36" i="7"/>
  <c r="Z36" i="7"/>
  <c r="X37" i="7"/>
  <c r="Y37" i="7"/>
  <c r="Z37" i="7"/>
  <c r="X38" i="7"/>
  <c r="Y38" i="7"/>
  <c r="Z38" i="7"/>
  <c r="X39" i="7"/>
  <c r="Y39" i="7"/>
  <c r="Z39" i="7"/>
  <c r="X40" i="7"/>
  <c r="Y40" i="7"/>
  <c r="Z40" i="7"/>
  <c r="X41" i="7"/>
  <c r="Y41" i="7"/>
  <c r="Z41" i="7"/>
  <c r="S68" i="7"/>
  <c r="S60" i="7"/>
  <c r="S52" i="7"/>
  <c r="S44" i="7"/>
  <c r="S36" i="7"/>
  <c r="S3" i="7"/>
  <c r="W15" i="3"/>
  <c r="X15" i="3"/>
  <c r="Y15" i="3"/>
  <c r="Z15" i="3"/>
  <c r="AA15" i="3"/>
  <c r="W16" i="3"/>
  <c r="X16" i="3"/>
  <c r="Y16" i="3"/>
  <c r="Z16" i="3"/>
  <c r="AA16" i="3"/>
  <c r="W17" i="3"/>
  <c r="X17" i="3"/>
  <c r="Y17" i="3"/>
  <c r="Z17" i="3"/>
  <c r="AA17" i="3"/>
  <c r="W18" i="3"/>
  <c r="X18" i="3"/>
  <c r="Y18" i="3"/>
  <c r="Z18" i="3"/>
  <c r="AA18" i="3"/>
  <c r="W19" i="3"/>
  <c r="X19" i="3"/>
  <c r="Y19" i="3"/>
  <c r="Z19" i="3"/>
  <c r="AA19" i="3"/>
  <c r="W20" i="3"/>
  <c r="X20" i="3"/>
  <c r="Y20" i="3"/>
  <c r="Z20" i="3"/>
  <c r="AA20" i="3"/>
  <c r="W21" i="3"/>
  <c r="X21" i="3"/>
  <c r="Y21" i="3"/>
  <c r="Z21" i="3"/>
  <c r="AA21" i="3"/>
  <c r="W22" i="3"/>
  <c r="X22" i="3"/>
  <c r="Y22" i="3"/>
  <c r="Z22" i="3"/>
  <c r="AA22" i="3"/>
  <c r="W23" i="3"/>
  <c r="X23" i="3"/>
  <c r="Y23" i="3"/>
  <c r="Z23" i="3"/>
  <c r="AA23" i="3"/>
  <c r="W24" i="3"/>
  <c r="X24" i="3"/>
  <c r="Y24" i="3"/>
  <c r="Z24" i="3"/>
  <c r="AA24" i="3"/>
  <c r="W25" i="3"/>
  <c r="X25" i="3"/>
  <c r="Y25" i="3"/>
  <c r="Z25" i="3"/>
  <c r="AA25" i="3"/>
  <c r="W26" i="3"/>
  <c r="X26" i="3"/>
  <c r="Y26" i="3"/>
  <c r="Z26" i="3"/>
  <c r="AA26" i="3"/>
  <c r="W27" i="3"/>
  <c r="X27" i="3"/>
  <c r="Y27" i="3"/>
  <c r="Z27" i="3"/>
  <c r="AA27" i="3"/>
  <c r="W28" i="3"/>
  <c r="X28" i="3"/>
  <c r="Y28" i="3"/>
  <c r="Z28" i="3"/>
  <c r="AA28" i="3"/>
  <c r="W29" i="3"/>
  <c r="X29" i="3"/>
  <c r="Y29" i="3"/>
  <c r="Z29" i="3"/>
  <c r="AA29" i="3"/>
  <c r="W30" i="3"/>
  <c r="X30" i="3"/>
  <c r="Y30" i="3"/>
  <c r="Z30" i="3"/>
  <c r="AA30" i="3"/>
  <c r="W31" i="3"/>
  <c r="X31" i="3"/>
  <c r="Y31" i="3"/>
  <c r="Z31" i="3"/>
  <c r="AA31" i="3"/>
  <c r="W32" i="3"/>
  <c r="X32" i="3"/>
  <c r="Y32" i="3"/>
  <c r="Z32" i="3"/>
  <c r="AA32" i="3"/>
  <c r="W33" i="3"/>
  <c r="X33" i="3"/>
  <c r="Y33" i="3"/>
  <c r="Z33" i="3"/>
  <c r="AA33" i="3"/>
  <c r="W34" i="3"/>
  <c r="X34" i="3"/>
  <c r="Y34" i="3"/>
  <c r="Z34" i="3"/>
  <c r="AA34" i="3"/>
  <c r="W35" i="3"/>
  <c r="X35" i="3"/>
  <c r="Y35" i="3"/>
  <c r="Z35" i="3"/>
  <c r="AA35" i="3"/>
  <c r="W36" i="3"/>
  <c r="X36" i="3"/>
  <c r="Y36" i="3"/>
  <c r="Z36" i="3"/>
  <c r="AA36" i="3"/>
  <c r="W37" i="3"/>
  <c r="X37" i="3"/>
  <c r="Y37" i="3"/>
  <c r="Z37" i="3"/>
  <c r="AA37" i="3"/>
  <c r="W38" i="3"/>
  <c r="X38" i="3"/>
  <c r="Y38" i="3"/>
  <c r="Z38" i="3"/>
  <c r="AA38" i="3"/>
  <c r="W39" i="3"/>
  <c r="X39" i="3"/>
  <c r="Y39" i="3"/>
  <c r="Z39" i="3"/>
  <c r="AA39" i="3"/>
  <c r="W40" i="3"/>
  <c r="X40" i="3"/>
  <c r="Y40" i="3"/>
  <c r="Z40" i="3"/>
  <c r="AA40" i="3"/>
  <c r="W41" i="3"/>
  <c r="X41" i="3"/>
  <c r="Y41" i="3"/>
  <c r="Z41" i="3"/>
  <c r="AA41" i="3"/>
  <c r="W42" i="3"/>
  <c r="X42" i="3"/>
  <c r="Y42" i="3"/>
  <c r="Z42" i="3"/>
  <c r="AA42" i="3"/>
  <c r="W43" i="3"/>
  <c r="X43" i="3"/>
  <c r="Y43" i="3"/>
  <c r="Z43" i="3"/>
  <c r="AA43" i="3"/>
  <c r="W44" i="3"/>
  <c r="X44" i="3"/>
  <c r="Y44" i="3"/>
  <c r="Z44" i="3"/>
  <c r="AA44" i="3"/>
  <c r="W45" i="3"/>
  <c r="X45" i="3"/>
  <c r="Y45" i="3"/>
  <c r="Z45" i="3"/>
  <c r="AA45" i="3"/>
  <c r="W46" i="3"/>
  <c r="X46" i="3"/>
  <c r="Y46" i="3"/>
  <c r="Z46" i="3"/>
  <c r="AA46" i="3"/>
  <c r="W47" i="3"/>
  <c r="X47" i="3"/>
  <c r="Y47" i="3"/>
  <c r="Z47" i="3"/>
  <c r="AA47" i="3"/>
  <c r="W48" i="3"/>
  <c r="X48" i="3"/>
  <c r="Y48" i="3"/>
  <c r="Z48" i="3"/>
  <c r="AA48" i="3"/>
  <c r="W49" i="3"/>
  <c r="X49" i="3"/>
  <c r="Y49" i="3"/>
  <c r="Z49" i="3"/>
  <c r="AA49" i="3"/>
  <c r="W50" i="3"/>
  <c r="X50" i="3"/>
  <c r="Y50" i="3"/>
  <c r="Z50" i="3"/>
  <c r="AA50" i="3"/>
  <c r="W51" i="3"/>
  <c r="X51" i="3"/>
  <c r="Y51" i="3"/>
  <c r="Z51" i="3"/>
  <c r="AA51" i="3"/>
  <c r="W52" i="3"/>
  <c r="X52" i="3"/>
  <c r="Y52" i="3"/>
  <c r="Z52" i="3"/>
  <c r="AA52" i="3"/>
  <c r="W53" i="3"/>
  <c r="X53" i="3"/>
  <c r="Y53" i="3"/>
  <c r="Z53" i="3"/>
  <c r="AA53" i="3"/>
  <c r="W54" i="3"/>
  <c r="X54" i="3"/>
  <c r="Y54" i="3"/>
  <c r="Z54" i="3"/>
  <c r="AA54" i="3"/>
  <c r="W55" i="3"/>
  <c r="X55" i="3"/>
  <c r="Y55" i="3"/>
  <c r="Z55" i="3"/>
  <c r="AA55" i="3"/>
  <c r="W56" i="3"/>
  <c r="X56" i="3"/>
  <c r="Y56" i="3"/>
  <c r="Z56" i="3"/>
  <c r="AA56" i="3"/>
  <c r="W57" i="3"/>
  <c r="X57" i="3"/>
  <c r="Y57" i="3"/>
  <c r="Z57" i="3"/>
  <c r="AA57" i="3"/>
  <c r="W58" i="3"/>
  <c r="X58" i="3"/>
  <c r="Y58" i="3"/>
  <c r="Z58" i="3"/>
  <c r="AA58" i="3"/>
  <c r="W59" i="3"/>
  <c r="X59" i="3"/>
  <c r="Y59" i="3"/>
  <c r="Z59" i="3"/>
  <c r="AA59" i="3"/>
  <c r="W60" i="3"/>
  <c r="X60" i="3"/>
  <c r="Y60" i="3"/>
  <c r="Z60" i="3"/>
  <c r="AA60" i="3"/>
  <c r="W61" i="3"/>
  <c r="X61" i="3"/>
  <c r="Y61" i="3"/>
  <c r="Z61" i="3"/>
  <c r="AA61" i="3"/>
  <c r="W62" i="3"/>
  <c r="X62" i="3"/>
  <c r="Y62" i="3"/>
  <c r="Z62" i="3"/>
  <c r="AA62" i="3"/>
  <c r="W63" i="3"/>
  <c r="X63" i="3"/>
  <c r="Y63" i="3"/>
  <c r="Z63" i="3"/>
  <c r="AA63" i="3"/>
  <c r="W64" i="3"/>
  <c r="X64" i="3"/>
  <c r="Y64" i="3"/>
  <c r="Z64" i="3"/>
  <c r="AA64" i="3"/>
  <c r="W65" i="3"/>
  <c r="X65" i="3"/>
  <c r="Y65" i="3"/>
  <c r="Z65" i="3"/>
  <c r="AA65" i="3"/>
  <c r="W66" i="3"/>
  <c r="X66" i="3"/>
  <c r="Y66" i="3"/>
  <c r="Z66" i="3"/>
  <c r="AA66" i="3"/>
  <c r="W67" i="3"/>
  <c r="X67" i="3"/>
  <c r="Y67" i="3"/>
  <c r="Z67" i="3"/>
  <c r="AA67" i="3"/>
  <c r="W68" i="3"/>
  <c r="X68" i="3"/>
  <c r="Y68" i="3"/>
  <c r="Z68" i="3"/>
  <c r="AA68" i="3"/>
  <c r="W69" i="3"/>
  <c r="X69" i="3"/>
  <c r="Y69" i="3"/>
  <c r="Z69" i="3"/>
  <c r="AA69" i="3"/>
  <c r="W70" i="3"/>
  <c r="X70" i="3"/>
  <c r="Y70" i="3"/>
  <c r="Z70" i="3"/>
  <c r="AA70" i="3"/>
  <c r="W71" i="3"/>
  <c r="X71" i="3"/>
  <c r="Y71" i="3"/>
  <c r="Z71" i="3"/>
  <c r="AA71" i="3"/>
  <c r="W72" i="3"/>
  <c r="X72" i="3"/>
  <c r="Y72" i="3"/>
  <c r="Z72" i="3"/>
  <c r="AA72" i="3"/>
  <c r="W73" i="3"/>
  <c r="X73" i="3"/>
  <c r="Y73" i="3"/>
  <c r="Z73" i="3"/>
  <c r="AA73" i="3"/>
  <c r="W74" i="3"/>
  <c r="X74" i="3"/>
  <c r="Y74" i="3"/>
  <c r="Z74" i="3"/>
  <c r="AA74" i="3"/>
  <c r="W75" i="3"/>
  <c r="X75" i="3"/>
  <c r="Y75" i="3"/>
  <c r="Z75" i="3"/>
  <c r="AA75" i="3"/>
  <c r="W76" i="3"/>
  <c r="X76" i="3"/>
  <c r="Y76" i="3"/>
  <c r="Z76" i="3"/>
  <c r="AA76" i="3"/>
  <c r="W77" i="3"/>
  <c r="X77" i="3"/>
  <c r="Y77" i="3"/>
  <c r="Z77" i="3"/>
  <c r="AA77" i="3"/>
  <c r="W78" i="3"/>
  <c r="X78" i="3"/>
  <c r="Y78" i="3"/>
  <c r="Z78" i="3"/>
  <c r="AA78" i="3"/>
  <c r="W79" i="3"/>
  <c r="X79" i="3"/>
  <c r="Y79" i="3"/>
  <c r="Z79" i="3"/>
  <c r="AA79" i="3"/>
  <c r="W80" i="3"/>
  <c r="X80" i="3"/>
  <c r="Y80" i="3"/>
  <c r="Z80" i="3"/>
  <c r="AA80" i="3"/>
  <c r="W81" i="3"/>
  <c r="X81" i="3"/>
  <c r="Y81" i="3"/>
  <c r="Z81" i="3"/>
  <c r="AA81" i="3"/>
  <c r="W82" i="3"/>
  <c r="X82" i="3"/>
  <c r="Y82" i="3"/>
  <c r="Z82" i="3"/>
  <c r="AA82" i="3"/>
  <c r="W83" i="3"/>
  <c r="X83" i="3"/>
  <c r="Y83" i="3"/>
  <c r="Z83" i="3"/>
  <c r="AA83" i="3"/>
  <c r="W84" i="3"/>
  <c r="X84" i="3"/>
  <c r="Y84" i="3"/>
  <c r="Z84" i="3"/>
  <c r="AA84" i="3"/>
  <c r="W85" i="3"/>
  <c r="X85" i="3"/>
  <c r="Y85" i="3"/>
  <c r="Z85" i="3"/>
  <c r="AA85" i="3"/>
  <c r="W86" i="3"/>
  <c r="X86" i="3"/>
  <c r="Y86" i="3"/>
  <c r="Z86" i="3"/>
  <c r="AA86" i="3"/>
  <c r="W87" i="3"/>
  <c r="X87" i="3"/>
  <c r="Y87" i="3"/>
  <c r="Z87" i="3"/>
  <c r="AA87" i="3"/>
  <c r="W88" i="3"/>
  <c r="X88" i="3"/>
  <c r="Y88" i="3"/>
  <c r="Z88" i="3"/>
  <c r="AA88" i="3"/>
  <c r="W89" i="3"/>
  <c r="X89" i="3"/>
  <c r="Y89" i="3"/>
  <c r="Z89" i="3"/>
  <c r="AA89" i="3"/>
  <c r="W90" i="3"/>
  <c r="X90" i="3"/>
  <c r="Y90" i="3"/>
  <c r="Z90" i="3"/>
  <c r="AA90" i="3"/>
  <c r="W91" i="3"/>
  <c r="X91" i="3"/>
  <c r="Y91" i="3"/>
  <c r="Z91" i="3"/>
  <c r="AA91" i="3"/>
  <c r="W92" i="3"/>
  <c r="X92" i="3"/>
  <c r="Y92" i="3"/>
  <c r="Z92" i="3"/>
  <c r="AA92" i="3"/>
  <c r="W93" i="3"/>
  <c r="X93" i="3"/>
  <c r="Y93" i="3"/>
  <c r="Z93" i="3"/>
  <c r="AA93" i="3"/>
  <c r="W94" i="3"/>
  <c r="X94" i="3"/>
  <c r="Y94" i="3"/>
  <c r="Z94" i="3"/>
  <c r="AA94" i="3"/>
  <c r="W95" i="3"/>
  <c r="X95" i="3"/>
  <c r="Y95" i="3"/>
  <c r="Z95" i="3"/>
  <c r="AA95" i="3"/>
  <c r="W96" i="3"/>
  <c r="X96" i="3"/>
  <c r="Y96" i="3"/>
  <c r="Z96" i="3"/>
  <c r="AA96" i="3"/>
  <c r="W97" i="3"/>
  <c r="X97" i="3"/>
  <c r="Y97" i="3"/>
  <c r="Z97" i="3"/>
  <c r="AA97" i="3"/>
  <c r="W98" i="3"/>
  <c r="X98" i="3"/>
  <c r="Y98" i="3"/>
  <c r="Z98" i="3"/>
  <c r="AA98" i="3"/>
  <c r="W99" i="3"/>
  <c r="X99" i="3"/>
  <c r="Y99" i="3"/>
  <c r="Z99" i="3"/>
  <c r="AA99" i="3"/>
  <c r="W100" i="3"/>
  <c r="X100" i="3"/>
  <c r="Y100" i="3"/>
  <c r="Z100" i="3"/>
  <c r="AA100" i="3"/>
  <c r="W101" i="3"/>
  <c r="X101" i="3"/>
  <c r="Y101" i="3"/>
  <c r="Z101" i="3"/>
  <c r="AA101" i="3"/>
  <c r="W102" i="3"/>
  <c r="X102" i="3"/>
  <c r="Y102" i="3"/>
  <c r="Z102" i="3"/>
  <c r="AA102" i="3"/>
  <c r="W103" i="3"/>
  <c r="X103" i="3"/>
  <c r="Y103" i="3"/>
  <c r="Z103" i="3"/>
  <c r="AA103" i="3"/>
  <c r="W104" i="3"/>
  <c r="X104" i="3"/>
  <c r="Y104" i="3"/>
  <c r="Z104" i="3"/>
  <c r="AA104" i="3"/>
  <c r="W105" i="3"/>
  <c r="X105" i="3"/>
  <c r="Y105" i="3"/>
  <c r="Z105" i="3"/>
  <c r="AA105" i="3"/>
  <c r="W106" i="3"/>
  <c r="X106" i="3"/>
  <c r="Y106" i="3"/>
  <c r="Z106" i="3"/>
  <c r="AA106" i="3"/>
  <c r="W107" i="3"/>
  <c r="X107" i="3"/>
  <c r="Y107" i="3"/>
  <c r="Z107" i="3"/>
  <c r="AA107" i="3"/>
  <c r="W108" i="3"/>
  <c r="X108" i="3"/>
  <c r="Y108" i="3"/>
  <c r="Z108" i="3"/>
  <c r="AA108" i="3"/>
  <c r="W109" i="3"/>
  <c r="X109" i="3"/>
  <c r="Y109" i="3"/>
  <c r="Z109" i="3"/>
  <c r="AA109" i="3"/>
  <c r="W110" i="3"/>
  <c r="X110" i="3"/>
  <c r="Y110" i="3"/>
  <c r="Z110" i="3"/>
  <c r="AA110" i="3"/>
  <c r="W111" i="3"/>
  <c r="X111" i="3"/>
  <c r="Y111" i="3"/>
  <c r="Z111" i="3"/>
  <c r="AA111" i="3"/>
  <c r="W112" i="3"/>
  <c r="X112" i="3"/>
  <c r="Y112" i="3"/>
  <c r="Z112" i="3"/>
  <c r="AA112" i="3"/>
  <c r="W113" i="3"/>
  <c r="X113" i="3"/>
  <c r="Y113" i="3"/>
  <c r="Z113" i="3"/>
  <c r="AA113" i="3"/>
  <c r="W114" i="3"/>
  <c r="X114" i="3"/>
  <c r="Y114" i="3"/>
  <c r="Z114" i="3"/>
  <c r="AA114" i="3"/>
  <c r="W115" i="3"/>
  <c r="X115" i="3"/>
  <c r="Y115" i="3"/>
  <c r="Z115" i="3"/>
  <c r="AA115" i="3"/>
  <c r="W116" i="3"/>
  <c r="X116" i="3"/>
  <c r="Y116" i="3"/>
  <c r="Z116" i="3"/>
  <c r="AA116" i="3"/>
  <c r="W117" i="3"/>
  <c r="X117" i="3"/>
  <c r="Y117" i="3"/>
  <c r="Z117" i="3"/>
  <c r="AA117" i="3"/>
  <c r="W118" i="3"/>
  <c r="X118" i="3"/>
  <c r="Y118" i="3"/>
  <c r="Z118" i="3"/>
  <c r="AA118" i="3"/>
  <c r="W119" i="3"/>
  <c r="X119" i="3"/>
  <c r="Y119" i="3"/>
  <c r="Z119" i="3"/>
  <c r="AA119" i="3"/>
  <c r="W120" i="3"/>
  <c r="X120" i="3"/>
  <c r="Y120" i="3"/>
  <c r="Z120" i="3"/>
  <c r="AA120" i="3"/>
  <c r="W121" i="3"/>
  <c r="X121" i="3"/>
  <c r="Y121" i="3"/>
  <c r="Z121" i="3"/>
  <c r="AA121" i="3"/>
  <c r="W122" i="3"/>
  <c r="X122" i="3"/>
  <c r="Y122" i="3"/>
  <c r="Z122" i="3"/>
  <c r="AA122" i="3"/>
  <c r="W123" i="3"/>
  <c r="X123" i="3"/>
  <c r="Y123" i="3"/>
  <c r="Z123" i="3"/>
  <c r="AA123" i="3"/>
  <c r="W124" i="3"/>
  <c r="X124" i="3"/>
  <c r="Y124" i="3"/>
  <c r="Z124" i="3"/>
  <c r="AA124" i="3"/>
  <c r="W125" i="3"/>
  <c r="X125" i="3"/>
  <c r="Y125" i="3"/>
  <c r="Z125" i="3"/>
  <c r="AA125" i="3"/>
  <c r="W126" i="3"/>
  <c r="X126" i="3"/>
  <c r="Y126" i="3"/>
  <c r="Z126" i="3"/>
  <c r="AA126" i="3"/>
  <c r="W127" i="3"/>
  <c r="X127" i="3"/>
  <c r="Y127" i="3"/>
  <c r="Z127" i="3"/>
  <c r="AA127" i="3"/>
  <c r="W128" i="3"/>
  <c r="X128" i="3"/>
  <c r="Y128" i="3"/>
  <c r="Z128" i="3"/>
  <c r="AA128" i="3"/>
  <c r="W129" i="3"/>
  <c r="X129" i="3"/>
  <c r="Y129" i="3"/>
  <c r="Z129" i="3"/>
  <c r="AA129" i="3"/>
  <c r="W130" i="3"/>
  <c r="X130" i="3"/>
  <c r="Y130" i="3"/>
  <c r="Z130" i="3"/>
  <c r="AA130" i="3"/>
  <c r="W131" i="3"/>
  <c r="X131" i="3"/>
  <c r="Y131" i="3"/>
  <c r="Z131" i="3"/>
  <c r="AA131" i="3"/>
  <c r="W132" i="3"/>
  <c r="X132" i="3"/>
  <c r="Y132" i="3"/>
  <c r="Z132" i="3"/>
  <c r="AA132" i="3"/>
  <c r="W133" i="3"/>
  <c r="X133" i="3"/>
  <c r="Y133" i="3"/>
  <c r="Z133" i="3"/>
  <c r="AA133" i="3"/>
  <c r="W134" i="3"/>
  <c r="X134" i="3"/>
  <c r="Y134" i="3"/>
  <c r="Z134" i="3"/>
  <c r="AA134" i="3"/>
  <c r="W135" i="3"/>
  <c r="X135" i="3"/>
  <c r="Y135" i="3"/>
  <c r="Z135" i="3"/>
  <c r="AA135" i="3"/>
  <c r="W136" i="3"/>
  <c r="X136" i="3"/>
  <c r="Y136" i="3"/>
  <c r="Z136" i="3"/>
  <c r="AA136" i="3"/>
  <c r="W137" i="3"/>
  <c r="X137" i="3"/>
  <c r="Y137" i="3"/>
  <c r="Z137" i="3"/>
  <c r="AA137" i="3"/>
  <c r="W138" i="3"/>
  <c r="X138" i="3"/>
  <c r="Y138" i="3"/>
  <c r="Z138" i="3"/>
  <c r="AA138" i="3"/>
  <c r="W139" i="3"/>
  <c r="X139" i="3"/>
  <c r="Y139" i="3"/>
  <c r="Z139" i="3"/>
  <c r="AA139" i="3"/>
  <c r="W140" i="3"/>
  <c r="X140" i="3"/>
  <c r="Y140" i="3"/>
  <c r="Z140" i="3"/>
  <c r="AA140" i="3"/>
  <c r="W141" i="3"/>
  <c r="X141" i="3"/>
  <c r="Y141" i="3"/>
  <c r="Z141" i="3"/>
  <c r="AA141" i="3"/>
  <c r="W142" i="3"/>
  <c r="X142" i="3"/>
  <c r="Y142" i="3"/>
  <c r="Z142" i="3"/>
  <c r="AA142" i="3"/>
  <c r="W143" i="3"/>
  <c r="X143" i="3"/>
  <c r="Y143" i="3"/>
  <c r="Z143" i="3"/>
  <c r="AA143" i="3"/>
  <c r="W144" i="3"/>
  <c r="X144" i="3"/>
  <c r="Y144" i="3"/>
  <c r="Z144" i="3"/>
  <c r="AA144" i="3"/>
  <c r="W145" i="3"/>
  <c r="X145" i="3"/>
  <c r="Y145" i="3"/>
  <c r="Z145" i="3"/>
  <c r="AA145" i="3"/>
  <c r="W146" i="3"/>
  <c r="X146" i="3"/>
  <c r="Y146" i="3"/>
  <c r="Z146" i="3"/>
  <c r="AA146" i="3"/>
  <c r="W147" i="3"/>
  <c r="X147" i="3"/>
  <c r="Y147" i="3"/>
  <c r="Z147" i="3"/>
  <c r="AA147" i="3"/>
  <c r="W148" i="3"/>
  <c r="X148" i="3"/>
  <c r="Y148" i="3"/>
  <c r="Z148" i="3"/>
  <c r="AA148" i="3"/>
  <c r="W149" i="3"/>
  <c r="X149" i="3"/>
  <c r="Y149" i="3"/>
  <c r="Z149" i="3"/>
  <c r="AA149" i="3"/>
  <c r="W150" i="3"/>
  <c r="X150" i="3"/>
  <c r="Y150" i="3"/>
  <c r="Z150" i="3"/>
  <c r="AA150" i="3"/>
  <c r="W151" i="3"/>
  <c r="X151" i="3"/>
  <c r="Y151" i="3"/>
  <c r="Z151" i="3"/>
  <c r="AA151" i="3"/>
  <c r="W152" i="3"/>
  <c r="X152" i="3"/>
  <c r="Y152" i="3"/>
  <c r="Z152" i="3"/>
  <c r="AA152" i="3"/>
  <c r="W153" i="3"/>
  <c r="X153" i="3"/>
  <c r="Y153" i="3"/>
  <c r="Z153" i="3"/>
  <c r="AA153" i="3"/>
  <c r="W154" i="3"/>
  <c r="X154" i="3"/>
  <c r="Y154" i="3"/>
  <c r="Z154" i="3"/>
  <c r="AA154" i="3"/>
  <c r="W155" i="3"/>
  <c r="X155" i="3"/>
  <c r="Y155" i="3"/>
  <c r="Z155" i="3"/>
  <c r="AA155" i="3"/>
  <c r="W156" i="3"/>
  <c r="X156" i="3"/>
  <c r="Y156" i="3"/>
  <c r="Z156" i="3"/>
  <c r="AA156" i="3"/>
  <c r="W157" i="3"/>
  <c r="X157" i="3"/>
  <c r="Y157" i="3"/>
  <c r="Z157" i="3"/>
  <c r="AA157" i="3"/>
  <c r="W158" i="3"/>
  <c r="X158" i="3"/>
  <c r="Y158" i="3"/>
  <c r="Z158" i="3"/>
  <c r="AA158" i="3"/>
  <c r="W159" i="3"/>
  <c r="X159" i="3"/>
  <c r="Y159" i="3"/>
  <c r="Z159" i="3"/>
  <c r="AA159" i="3"/>
  <c r="W160" i="3"/>
  <c r="X160" i="3"/>
  <c r="Y160" i="3"/>
  <c r="Z160" i="3"/>
  <c r="AA160" i="3"/>
  <c r="W161" i="3"/>
  <c r="X161" i="3"/>
  <c r="Y161" i="3"/>
  <c r="Z161" i="3"/>
  <c r="AA161" i="3"/>
  <c r="W162" i="3"/>
  <c r="X162" i="3"/>
  <c r="Y162" i="3"/>
  <c r="Z162" i="3"/>
  <c r="AA162" i="3"/>
  <c r="W163" i="3"/>
  <c r="X163" i="3"/>
  <c r="Y163" i="3"/>
  <c r="Z163" i="3"/>
  <c r="AA163" i="3"/>
  <c r="W164" i="3"/>
  <c r="X164" i="3"/>
  <c r="Y164" i="3"/>
  <c r="Z164" i="3"/>
  <c r="AA164" i="3"/>
  <c r="W165" i="3"/>
  <c r="X165" i="3"/>
  <c r="Y165" i="3"/>
  <c r="Z165" i="3"/>
  <c r="AA165" i="3"/>
  <c r="W166" i="3"/>
  <c r="X166" i="3"/>
  <c r="Y166" i="3"/>
  <c r="Z166" i="3"/>
  <c r="AA166" i="3"/>
  <c r="W167" i="3"/>
  <c r="X167" i="3"/>
  <c r="Y167" i="3"/>
  <c r="Z167" i="3"/>
  <c r="AA167" i="3"/>
  <c r="W168" i="3"/>
  <c r="X168" i="3"/>
  <c r="Y168" i="3"/>
  <c r="Z168" i="3"/>
  <c r="AA168" i="3"/>
  <c r="W169" i="3"/>
  <c r="X169" i="3"/>
  <c r="Y169" i="3"/>
  <c r="Z169" i="3"/>
  <c r="AA169" i="3"/>
  <c r="W170" i="3"/>
  <c r="X170" i="3"/>
  <c r="Y170" i="3"/>
  <c r="Z170" i="3"/>
  <c r="AA170" i="3"/>
  <c r="W171" i="3"/>
  <c r="X171" i="3"/>
  <c r="Y171" i="3"/>
  <c r="Z171" i="3"/>
  <c r="AA171" i="3"/>
  <c r="W172" i="3"/>
  <c r="X172" i="3"/>
  <c r="Y172" i="3"/>
  <c r="Z172" i="3"/>
  <c r="AA172" i="3"/>
  <c r="W173" i="3"/>
  <c r="X173" i="3"/>
  <c r="Y173" i="3"/>
  <c r="Z173" i="3"/>
  <c r="AA173" i="3"/>
  <c r="W174" i="3"/>
  <c r="X174" i="3"/>
  <c r="Y174" i="3"/>
  <c r="Z174" i="3"/>
  <c r="AA174" i="3"/>
  <c r="W175" i="3"/>
  <c r="X175" i="3"/>
  <c r="Y175" i="3"/>
  <c r="Z175" i="3"/>
  <c r="AA175" i="3"/>
  <c r="W176" i="3"/>
  <c r="X176" i="3"/>
  <c r="Y176" i="3"/>
  <c r="Z176" i="3"/>
  <c r="AA176" i="3"/>
  <c r="W177" i="3"/>
  <c r="X177" i="3"/>
  <c r="Y177" i="3"/>
  <c r="Z177" i="3"/>
  <c r="AA177" i="3"/>
  <c r="W178" i="3"/>
  <c r="X178" i="3"/>
  <c r="Y178" i="3"/>
  <c r="Z178" i="3"/>
  <c r="AA178" i="3"/>
  <c r="W179" i="3"/>
  <c r="X179" i="3"/>
  <c r="Y179" i="3"/>
  <c r="Z179" i="3"/>
  <c r="AA179" i="3"/>
  <c r="W180" i="3"/>
  <c r="X180" i="3"/>
  <c r="Y180" i="3"/>
  <c r="Z180" i="3"/>
  <c r="AA180" i="3"/>
  <c r="W181" i="3"/>
  <c r="X181" i="3"/>
  <c r="Y181" i="3"/>
  <c r="Z181" i="3"/>
  <c r="AA181" i="3"/>
  <c r="W182" i="3"/>
  <c r="X182" i="3"/>
  <c r="Y182" i="3"/>
  <c r="Z182" i="3"/>
  <c r="AA182" i="3"/>
  <c r="W183" i="3"/>
  <c r="X183" i="3"/>
  <c r="Y183" i="3"/>
  <c r="Z183" i="3"/>
  <c r="AA183" i="3"/>
  <c r="W184" i="3"/>
  <c r="X184" i="3"/>
  <c r="Y184" i="3"/>
  <c r="Z184" i="3"/>
  <c r="AA184" i="3"/>
  <c r="W185" i="3"/>
  <c r="X185" i="3"/>
  <c r="Y185" i="3"/>
  <c r="Z185" i="3"/>
  <c r="AA185" i="3"/>
  <c r="W186" i="3"/>
  <c r="X186" i="3"/>
  <c r="Y186" i="3"/>
  <c r="Z186" i="3"/>
  <c r="AA186" i="3"/>
  <c r="W187" i="3"/>
  <c r="X187" i="3"/>
  <c r="Y187" i="3"/>
  <c r="Z187" i="3"/>
  <c r="AA187" i="3"/>
  <c r="W188" i="3"/>
  <c r="X188" i="3"/>
  <c r="Y188" i="3"/>
  <c r="Z188" i="3"/>
  <c r="AA188" i="3"/>
  <c r="W189" i="3"/>
  <c r="X189" i="3"/>
  <c r="Y189" i="3"/>
  <c r="Z189" i="3"/>
  <c r="AA189" i="3"/>
  <c r="W190" i="3"/>
  <c r="X190" i="3"/>
  <c r="Y190" i="3"/>
  <c r="Z190" i="3"/>
  <c r="AA190" i="3"/>
  <c r="W191" i="3"/>
  <c r="X191" i="3"/>
  <c r="Y191" i="3"/>
  <c r="Z191" i="3"/>
  <c r="AA191" i="3"/>
  <c r="W192" i="3"/>
  <c r="X192" i="3"/>
  <c r="Y192" i="3"/>
  <c r="Z192" i="3"/>
  <c r="AA192" i="3"/>
  <c r="W193" i="3"/>
  <c r="X193" i="3"/>
  <c r="Y193" i="3"/>
  <c r="Z193" i="3"/>
  <c r="AA193" i="3"/>
  <c r="W194" i="3"/>
  <c r="X194" i="3"/>
  <c r="Y194" i="3"/>
  <c r="Z194" i="3"/>
  <c r="AA194" i="3"/>
  <c r="W195" i="3"/>
  <c r="X195" i="3"/>
  <c r="Y195" i="3"/>
  <c r="Z195" i="3"/>
  <c r="AA195" i="3"/>
  <c r="W196" i="3"/>
  <c r="X196" i="3"/>
  <c r="Y196" i="3"/>
  <c r="Z196" i="3"/>
  <c r="AA196" i="3"/>
  <c r="W197" i="3"/>
  <c r="X197" i="3"/>
  <c r="Y197" i="3"/>
  <c r="Z197" i="3"/>
  <c r="AA197" i="3"/>
  <c r="W198" i="3"/>
  <c r="X198" i="3"/>
  <c r="Y198" i="3"/>
  <c r="Z198" i="3"/>
  <c r="AA198" i="3"/>
  <c r="W199" i="3"/>
  <c r="X199" i="3"/>
  <c r="Y199" i="3"/>
  <c r="Z199" i="3"/>
  <c r="AA199" i="3"/>
  <c r="W200" i="3"/>
  <c r="X200" i="3"/>
  <c r="Y200" i="3"/>
  <c r="Z200" i="3"/>
  <c r="AA200" i="3"/>
  <c r="W201" i="3"/>
  <c r="X201" i="3"/>
  <c r="Y201" i="3"/>
  <c r="Z201" i="3"/>
  <c r="AA201" i="3"/>
  <c r="W202" i="3"/>
  <c r="X202" i="3"/>
  <c r="Y202" i="3"/>
  <c r="Z202" i="3"/>
  <c r="AA202" i="3"/>
  <c r="W203" i="3"/>
  <c r="X203" i="3"/>
  <c r="Y203" i="3"/>
  <c r="Z203" i="3"/>
  <c r="AA203" i="3"/>
  <c r="W204" i="3"/>
  <c r="X204" i="3"/>
  <c r="Y204" i="3"/>
  <c r="Z204" i="3"/>
  <c r="AA204" i="3"/>
  <c r="W205" i="3"/>
  <c r="X205" i="3"/>
  <c r="Y205" i="3"/>
  <c r="Z205" i="3"/>
  <c r="AA205" i="3"/>
  <c r="W206" i="3"/>
  <c r="X206" i="3"/>
  <c r="Y206" i="3"/>
  <c r="Z206" i="3"/>
  <c r="AA206" i="3"/>
  <c r="W207" i="3"/>
  <c r="X207" i="3"/>
  <c r="Y207" i="3"/>
  <c r="Z207" i="3"/>
  <c r="AA207" i="3"/>
  <c r="W208" i="3"/>
  <c r="X208" i="3"/>
  <c r="Y208" i="3"/>
  <c r="Z208" i="3"/>
  <c r="AA208" i="3"/>
  <c r="W209" i="3"/>
  <c r="X209" i="3"/>
  <c r="Y209" i="3"/>
  <c r="Z209" i="3"/>
  <c r="AA209" i="3"/>
  <c r="W210" i="3"/>
  <c r="X210" i="3"/>
  <c r="Y210" i="3"/>
  <c r="Z210" i="3"/>
  <c r="AA210" i="3"/>
  <c r="W211" i="3"/>
  <c r="X211" i="3"/>
  <c r="Y211" i="3"/>
  <c r="Z211" i="3"/>
  <c r="AA211" i="3"/>
  <c r="W212" i="3"/>
  <c r="X212" i="3"/>
  <c r="Y212" i="3"/>
  <c r="Z212" i="3"/>
  <c r="AA212" i="3"/>
  <c r="W213" i="3"/>
  <c r="X213" i="3"/>
  <c r="Y213" i="3"/>
  <c r="Z213" i="3"/>
  <c r="AA213" i="3"/>
  <c r="W214" i="3"/>
  <c r="X214" i="3"/>
  <c r="Y214" i="3"/>
  <c r="Z214" i="3"/>
  <c r="AA214" i="3"/>
  <c r="W215" i="3"/>
  <c r="X215" i="3"/>
  <c r="Y215" i="3"/>
  <c r="Z215" i="3"/>
  <c r="AA215" i="3"/>
  <c r="W216" i="3"/>
  <c r="X216" i="3"/>
  <c r="Y216" i="3"/>
  <c r="Z216" i="3"/>
  <c r="AA216" i="3"/>
  <c r="W217" i="3"/>
  <c r="X217" i="3"/>
  <c r="Y217" i="3"/>
  <c r="Z217" i="3"/>
  <c r="AA217" i="3"/>
  <c r="W218" i="3"/>
  <c r="X218" i="3"/>
  <c r="Y218" i="3"/>
  <c r="Z218" i="3"/>
  <c r="AA218" i="3"/>
  <c r="W219" i="3"/>
  <c r="X219" i="3"/>
  <c r="Y219" i="3"/>
  <c r="Z219" i="3"/>
  <c r="AA219" i="3"/>
  <c r="W220" i="3"/>
  <c r="X220" i="3"/>
  <c r="Y220" i="3"/>
  <c r="Z220" i="3"/>
  <c r="AA220" i="3"/>
  <c r="W221" i="3"/>
  <c r="X221" i="3"/>
  <c r="Y221" i="3"/>
  <c r="Z221" i="3"/>
  <c r="AA221" i="3"/>
  <c r="W222" i="3"/>
  <c r="X222" i="3"/>
  <c r="Y222" i="3"/>
  <c r="Z222" i="3"/>
  <c r="AA222" i="3"/>
  <c r="W223" i="3"/>
  <c r="X223" i="3"/>
  <c r="Y223" i="3"/>
  <c r="Z223" i="3"/>
  <c r="AA223" i="3"/>
  <c r="W224" i="3"/>
  <c r="X224" i="3"/>
  <c r="Y224" i="3"/>
  <c r="Z224" i="3"/>
  <c r="AA224" i="3"/>
  <c r="W225" i="3"/>
  <c r="X225" i="3"/>
  <c r="Y225" i="3"/>
  <c r="Z225" i="3"/>
  <c r="AA225" i="3"/>
  <c r="W226" i="3"/>
  <c r="X226" i="3"/>
  <c r="Y226" i="3"/>
  <c r="Z226" i="3"/>
  <c r="AA226" i="3"/>
  <c r="W227" i="3"/>
  <c r="X227" i="3"/>
  <c r="Y227" i="3"/>
  <c r="Z227" i="3"/>
  <c r="AA227" i="3"/>
  <c r="W228" i="3"/>
  <c r="X228" i="3"/>
  <c r="Y228" i="3"/>
  <c r="Z228" i="3"/>
  <c r="AA228" i="3"/>
  <c r="W229" i="3"/>
  <c r="X229" i="3"/>
  <c r="Y229" i="3"/>
  <c r="Z229" i="3"/>
  <c r="AA229" i="3"/>
  <c r="W230" i="3"/>
  <c r="X230" i="3"/>
  <c r="Y230" i="3"/>
  <c r="Z230" i="3"/>
  <c r="AA230" i="3"/>
  <c r="W231" i="3"/>
  <c r="X231" i="3"/>
  <c r="Y231" i="3"/>
  <c r="Z231" i="3"/>
  <c r="AA231" i="3"/>
  <c r="W232" i="3"/>
  <c r="X232" i="3"/>
  <c r="Y232" i="3"/>
  <c r="Z232" i="3"/>
  <c r="AA232" i="3"/>
  <c r="W233" i="3"/>
  <c r="X233" i="3"/>
  <c r="Y233" i="3"/>
  <c r="Z233" i="3"/>
  <c r="AA233" i="3"/>
  <c r="W234" i="3"/>
  <c r="X234" i="3"/>
  <c r="Y234" i="3"/>
  <c r="Z234" i="3"/>
  <c r="AA234" i="3"/>
  <c r="W235" i="3"/>
  <c r="X235" i="3"/>
  <c r="Y235" i="3"/>
  <c r="Z235" i="3"/>
  <c r="AA235" i="3"/>
  <c r="W236" i="3"/>
  <c r="X236" i="3"/>
  <c r="Y236" i="3"/>
  <c r="Z236" i="3"/>
  <c r="AA236" i="3"/>
  <c r="W237" i="3"/>
  <c r="X237" i="3"/>
  <c r="Y237" i="3"/>
  <c r="Z237" i="3"/>
  <c r="AA237" i="3"/>
  <c r="W238" i="3"/>
  <c r="X238" i="3"/>
  <c r="Y238" i="3"/>
  <c r="Z238" i="3"/>
  <c r="AA238" i="3"/>
  <c r="W239" i="3"/>
  <c r="X239" i="3"/>
  <c r="Y239" i="3"/>
  <c r="Z239" i="3"/>
  <c r="AA239" i="3"/>
  <c r="W240" i="3"/>
  <c r="X240" i="3"/>
  <c r="Y240" i="3"/>
  <c r="Z240" i="3"/>
  <c r="AA240" i="3"/>
  <c r="W241" i="3"/>
  <c r="X241" i="3"/>
  <c r="Y241" i="3"/>
  <c r="Z241" i="3"/>
  <c r="AA241" i="3"/>
  <c r="W242" i="3"/>
  <c r="X242" i="3"/>
  <c r="Y242" i="3"/>
  <c r="Z242" i="3"/>
  <c r="AA242" i="3"/>
  <c r="W243" i="3"/>
  <c r="X243" i="3"/>
  <c r="Y243" i="3"/>
  <c r="Z243" i="3"/>
  <c r="AA243" i="3"/>
  <c r="W244" i="3"/>
  <c r="X244" i="3"/>
  <c r="Y244" i="3"/>
  <c r="Z244" i="3"/>
  <c r="AA244" i="3"/>
  <c r="W245" i="3"/>
  <c r="X245" i="3"/>
  <c r="Y245" i="3"/>
  <c r="Z245" i="3"/>
  <c r="AA245" i="3"/>
  <c r="W246" i="3"/>
  <c r="X246" i="3"/>
  <c r="Y246" i="3"/>
  <c r="Z246" i="3"/>
  <c r="AA246" i="3"/>
  <c r="W247" i="3"/>
  <c r="X247" i="3"/>
  <c r="Y247" i="3"/>
  <c r="Z247" i="3"/>
  <c r="AA247" i="3"/>
  <c r="W248" i="3"/>
  <c r="X248" i="3"/>
  <c r="Y248" i="3"/>
  <c r="Z248" i="3"/>
  <c r="AA248" i="3"/>
  <c r="W249" i="3"/>
  <c r="X249" i="3"/>
  <c r="Y249" i="3"/>
  <c r="Z249" i="3"/>
  <c r="AA249" i="3"/>
  <c r="W250" i="3"/>
  <c r="X250" i="3"/>
  <c r="Y250" i="3"/>
  <c r="Z250" i="3"/>
  <c r="AA250" i="3"/>
  <c r="AA14" i="3"/>
  <c r="AA13" i="3"/>
  <c r="Z14" i="3"/>
  <c r="Z13" i="3"/>
  <c r="Y14" i="3"/>
  <c r="Y13" i="3"/>
  <c r="X14" i="3"/>
  <c r="X13" i="3"/>
  <c r="W14" i="3"/>
  <c r="W13" i="3"/>
  <c r="AA12" i="3"/>
  <c r="Z12" i="3"/>
  <c r="Y12" i="3"/>
  <c r="X12" i="3"/>
  <c r="W12"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14" i="3"/>
  <c r="V13"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Q46" i="7"/>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16" i="3"/>
  <c r="D17" i="3"/>
  <c r="D18" i="3"/>
  <c r="D19" i="3"/>
  <c r="D20" i="3"/>
  <c r="D21" i="3"/>
  <c r="D22" i="3"/>
  <c r="D23" i="3"/>
  <c r="D24" i="3"/>
  <c r="D25" i="3"/>
  <c r="D26" i="3"/>
  <c r="D27" i="3"/>
  <c r="D28" i="3"/>
  <c r="D29" i="3"/>
  <c r="D30" i="3"/>
  <c r="D31" i="3"/>
  <c r="D32" i="3"/>
  <c r="D33" i="3"/>
  <c r="D34" i="3"/>
  <c r="D35" i="3"/>
  <c r="D36" i="3"/>
  <c r="D37" i="3"/>
  <c r="D38" i="3"/>
  <c r="D39" i="3"/>
  <c r="D40" i="3"/>
  <c r="D41" i="3"/>
  <c r="D14" i="3"/>
  <c r="D15" i="3"/>
  <c r="U5" i="7"/>
  <c r="U30" i="7"/>
  <c r="S30" i="7"/>
  <c r="U29" i="7"/>
  <c r="S29" i="7"/>
  <c r="U28" i="7"/>
  <c r="S28" i="7"/>
  <c r="U27" i="7"/>
  <c r="S27" i="7"/>
  <c r="U26" i="7"/>
  <c r="S26" i="7"/>
  <c r="U23" i="7"/>
  <c r="M68" i="7" l="1"/>
  <c r="O69" i="7"/>
  <c r="P68" i="7"/>
  <c r="M70" i="7"/>
  <c r="O70" i="7"/>
  <c r="P70" i="7"/>
  <c r="M71" i="7"/>
  <c r="N71" i="7"/>
  <c r="O71" i="7"/>
  <c r="P71" i="7"/>
  <c r="Q71" i="7"/>
  <c r="M72" i="7"/>
  <c r="N72" i="7"/>
  <c r="O72" i="7"/>
  <c r="P72" i="7"/>
  <c r="Q72" i="7"/>
  <c r="M73" i="7"/>
  <c r="N73" i="7"/>
  <c r="O73" i="7"/>
  <c r="P73" i="7"/>
  <c r="Q73" i="7"/>
  <c r="M74" i="7"/>
  <c r="N74" i="7"/>
  <c r="O74" i="7"/>
  <c r="P74" i="7"/>
  <c r="Q74" i="7"/>
  <c r="M75" i="7"/>
  <c r="N75" i="7"/>
  <c r="O75" i="7"/>
  <c r="P75" i="7"/>
  <c r="Q75" i="7"/>
  <c r="O76" i="7"/>
  <c r="O77" i="7"/>
  <c r="O78" i="7"/>
  <c r="M79" i="7"/>
  <c r="N79" i="7"/>
  <c r="O79" i="7"/>
  <c r="P79" i="7"/>
  <c r="Q79" i="7"/>
  <c r="M80" i="7"/>
  <c r="O80" i="7"/>
  <c r="P80" i="7"/>
  <c r="M81" i="7"/>
  <c r="O81" i="7"/>
  <c r="P81" i="7"/>
  <c r="O82" i="7"/>
  <c r="O83" i="7"/>
  <c r="O84" i="7"/>
  <c r="O85" i="7"/>
  <c r="O86" i="7"/>
  <c r="O87" i="7"/>
  <c r="O88" i="7"/>
  <c r="O89" i="7"/>
  <c r="O90" i="7"/>
  <c r="O91" i="7"/>
  <c r="O92" i="7"/>
  <c r="O93" i="7"/>
  <c r="O94" i="7"/>
  <c r="O95" i="7"/>
  <c r="O96" i="7"/>
  <c r="O97" i="7"/>
  <c r="O98" i="7"/>
  <c r="O99" i="7"/>
  <c r="O100" i="7"/>
  <c r="M35" i="7"/>
  <c r="O36" i="7"/>
  <c r="P35" i="7"/>
  <c r="M37" i="7"/>
  <c r="O37" i="7"/>
  <c r="P37" i="7"/>
  <c r="M38" i="7"/>
  <c r="N38" i="7"/>
  <c r="O38" i="7"/>
  <c r="P38" i="7"/>
  <c r="Q38" i="7"/>
  <c r="M39" i="7"/>
  <c r="N39" i="7"/>
  <c r="O39" i="7"/>
  <c r="P39" i="7"/>
  <c r="Q39" i="7"/>
  <c r="M40" i="7"/>
  <c r="N40" i="7"/>
  <c r="O40" i="7"/>
  <c r="P40" i="7"/>
  <c r="Q40" i="7"/>
  <c r="M41" i="7"/>
  <c r="N41" i="7"/>
  <c r="O41" i="7"/>
  <c r="P41" i="7"/>
  <c r="Q41" i="7"/>
  <c r="M42" i="7"/>
  <c r="N42" i="7"/>
  <c r="O42" i="7"/>
  <c r="P42" i="7"/>
  <c r="Q42" i="7"/>
  <c r="O43" i="7"/>
  <c r="O44" i="7"/>
  <c r="O45" i="7"/>
  <c r="M46" i="7"/>
  <c r="N46" i="7"/>
  <c r="O46" i="7"/>
  <c r="P46" i="7"/>
  <c r="M47" i="7"/>
  <c r="O47" i="7"/>
  <c r="P47" i="7"/>
  <c r="M48" i="7"/>
  <c r="O48" i="7"/>
  <c r="P48" i="7"/>
  <c r="O49" i="7"/>
  <c r="O50" i="7"/>
  <c r="O51" i="7"/>
  <c r="O52" i="7"/>
  <c r="O53" i="7"/>
  <c r="O54" i="7"/>
  <c r="O55" i="7"/>
  <c r="O56" i="7"/>
  <c r="O57" i="7"/>
  <c r="O58" i="7"/>
  <c r="O59" i="7"/>
  <c r="O60" i="7"/>
  <c r="O61" i="7"/>
  <c r="O62" i="7"/>
  <c r="O63" i="7"/>
  <c r="O64" i="7"/>
  <c r="O65" i="7"/>
  <c r="O66" i="7"/>
  <c r="O67" i="7"/>
  <c r="M5" i="7"/>
  <c r="M6" i="7"/>
  <c r="M7" i="7"/>
  <c r="M8" i="7"/>
  <c r="M9" i="7"/>
  <c r="M13" i="7"/>
  <c r="M3" i="7"/>
  <c r="M4" i="7"/>
  <c r="N5" i="7"/>
  <c r="N6" i="7"/>
  <c r="N7" i="7"/>
  <c r="N8" i="7"/>
  <c r="N9" i="7"/>
  <c r="N13" i="7"/>
  <c r="M14" i="7"/>
  <c r="M15" i="7"/>
  <c r="P3" i="7"/>
  <c r="P4" i="7"/>
  <c r="P5" i="7"/>
  <c r="Q5" i="7"/>
  <c r="P6" i="7"/>
  <c r="Q6" i="7"/>
  <c r="P7" i="7"/>
  <c r="Q7" i="7"/>
  <c r="P8" i="7"/>
  <c r="Q8" i="7"/>
  <c r="P9" i="7"/>
  <c r="Q9" i="7"/>
  <c r="P13" i="7"/>
  <c r="Q13" i="7"/>
  <c r="P14" i="7"/>
  <c r="P15" i="7"/>
  <c r="D133" i="7" l="1"/>
  <c r="D132" i="7"/>
  <c r="D131" i="7"/>
  <c r="D130" i="7"/>
  <c r="D129" i="7"/>
  <c r="D128" i="7"/>
  <c r="D127" i="7"/>
  <c r="D73" i="7"/>
  <c r="D72" i="7"/>
  <c r="D71" i="7"/>
  <c r="D70" i="7"/>
  <c r="D69" i="7"/>
  <c r="D68" i="7"/>
  <c r="D67" i="7"/>
  <c r="B150" i="7"/>
  <c r="B149" i="7"/>
  <c r="B148" i="7"/>
  <c r="B147" i="7"/>
  <c r="B146" i="7"/>
  <c r="D143" i="7"/>
  <c r="D142" i="7"/>
  <c r="D141" i="7"/>
  <c r="D140" i="7"/>
  <c r="D139" i="7"/>
  <c r="D138" i="7"/>
  <c r="D137" i="7"/>
  <c r="D136" i="7"/>
  <c r="B120" i="7"/>
  <c r="B119" i="7"/>
  <c r="B118" i="7"/>
  <c r="B117" i="7"/>
  <c r="B116" i="7"/>
  <c r="D113" i="7"/>
  <c r="D112" i="7"/>
  <c r="D111" i="7"/>
  <c r="D110" i="7"/>
  <c r="D109" i="7"/>
  <c r="D108" i="7"/>
  <c r="D107" i="7"/>
  <c r="D106" i="7"/>
  <c r="D103" i="7"/>
  <c r="D102" i="7"/>
  <c r="D101" i="7"/>
  <c r="D100" i="7"/>
  <c r="D99" i="7"/>
  <c r="D98" i="7"/>
  <c r="D97" i="7"/>
  <c r="B90" i="7"/>
  <c r="B89" i="7"/>
  <c r="B88" i="7"/>
  <c r="B87" i="7"/>
  <c r="B86" i="7"/>
  <c r="D83" i="7"/>
  <c r="D82" i="7"/>
  <c r="D81" i="7"/>
  <c r="D80" i="7"/>
  <c r="D79" i="7"/>
  <c r="D78" i="7"/>
  <c r="D77" i="7"/>
  <c r="D76" i="7"/>
  <c r="B60" i="7"/>
  <c r="B59" i="7"/>
  <c r="B58" i="7"/>
  <c r="B57" i="7"/>
  <c r="B56" i="7"/>
  <c r="D53" i="7"/>
  <c r="D52" i="7"/>
  <c r="D51" i="7"/>
  <c r="D50" i="7"/>
  <c r="D49" i="7"/>
  <c r="D48" i="7"/>
  <c r="D47" i="7"/>
  <c r="D46" i="7"/>
  <c r="D43" i="7"/>
  <c r="D42" i="7"/>
  <c r="D41" i="7"/>
  <c r="D40" i="7"/>
  <c r="D39" i="7"/>
  <c r="D38" i="7"/>
  <c r="D37" i="7"/>
  <c r="D30" i="7" l="1"/>
  <c r="B30" i="7"/>
  <c r="D29" i="7"/>
  <c r="B29" i="7"/>
  <c r="D28" i="7"/>
  <c r="B28" i="7"/>
  <c r="D27" i="7"/>
  <c r="B27" i="7"/>
  <c r="B26" i="7"/>
  <c r="D26" i="7"/>
  <c r="D17" i="7"/>
  <c r="D16" i="7"/>
  <c r="D18" i="7"/>
  <c r="B33" i="7"/>
  <c r="D23" i="7"/>
  <c r="D22" i="7"/>
  <c r="D21" i="7"/>
  <c r="D20" i="7"/>
  <c r="D19" i="7"/>
  <c r="D7" i="7"/>
  <c r="D8" i="7"/>
  <c r="D9" i="7"/>
  <c r="D10" i="7"/>
  <c r="D11" i="7"/>
  <c r="D12" i="7"/>
  <c r="D13" i="7"/>
  <c r="B123" i="7"/>
  <c r="B93" i="7"/>
  <c r="B63" i="7"/>
  <c r="B3" i="7"/>
  <c r="B13" i="5" l="1"/>
  <c r="E9" i="5" l="1"/>
</calcChain>
</file>

<file path=xl/sharedStrings.xml><?xml version="1.0" encoding="utf-8"?>
<sst xmlns="http://schemas.openxmlformats.org/spreadsheetml/2006/main" count="1210" uniqueCount="610">
  <si>
    <t>9 Spokes Summary</t>
  </si>
  <si>
    <t>Companies Office</t>
  </si>
  <si>
    <t>Summary</t>
  </si>
  <si>
    <t>Company number</t>
  </si>
  <si>
    <t>NZBN</t>
  </si>
  <si>
    <t>Incorporation Date</t>
  </si>
  <si>
    <t>Company Status</t>
  </si>
  <si>
    <t>Entity type</t>
  </si>
  <si>
    <t>Constitution filed</t>
  </si>
  <si>
    <t>AR filing month</t>
  </si>
  <si>
    <t>GST Number</t>
  </si>
  <si>
    <t>Website</t>
  </si>
  <si>
    <t>Phone number</t>
  </si>
  <si>
    <t>Email address</t>
  </si>
  <si>
    <t>Trading name</t>
  </si>
  <si>
    <t>9 Spokes</t>
  </si>
  <si>
    <t>Trading area</t>
  </si>
  <si>
    <t>Industry classification</t>
  </si>
  <si>
    <t>ABN</t>
  </si>
  <si>
    <t>Directors</t>
  </si>
  <si>
    <t>https://app.companiesoffice.govt.nz/companies/app/ui/pages/companies/6842293?backurl=H4sIAAAAAAAAAC3KQQrCQAyF4dvMticI4spNF4Je4DEJtmCTOMkovb1D6e79j29yvCSmaptD17FC0Opy2YyFIqGMxiV3FxLNNQcpH4rlZ%2BYF%2FIVW4TtU3pStSznQ%2Fhw%2B6DrPZz8S2ePWrPtx%2FwEsagvvdgAAAA%3D%3D</t>
  </si>
  <si>
    <t>https://app.companiesoffice.govt.nz/companies/app/ui/pages/companies/3538758</t>
  </si>
  <si>
    <t>https://trends.google.com/trends/explore?geo=US&amp;q=shwoop,9 spokes</t>
  </si>
  <si>
    <t>rates.CAD</t>
  </si>
  <si>
    <t>rates.HKD</t>
  </si>
  <si>
    <t>rates.ISK</t>
  </si>
  <si>
    <t>rates.PHP</t>
  </si>
  <si>
    <t>rates.DKK</t>
  </si>
  <si>
    <t>rates.HUF</t>
  </si>
  <si>
    <t>rates.CZK</t>
  </si>
  <si>
    <t>rates.AUD</t>
  </si>
  <si>
    <t>rates.RON</t>
  </si>
  <si>
    <t>rates.SEK</t>
  </si>
  <si>
    <t>rates.IDR</t>
  </si>
  <si>
    <t>rates.INR</t>
  </si>
  <si>
    <t>rates.BRL</t>
  </si>
  <si>
    <t>rates.RUB</t>
  </si>
  <si>
    <t>rates.HRK</t>
  </si>
  <si>
    <t>rates.JPY</t>
  </si>
  <si>
    <t>rates.THB</t>
  </si>
  <si>
    <t>rates.CHF</t>
  </si>
  <si>
    <t>rates.SGD</t>
  </si>
  <si>
    <t>rates.PLN</t>
  </si>
  <si>
    <t>rates.BGN</t>
  </si>
  <si>
    <t>rates.TRY</t>
  </si>
  <si>
    <t>rates.CNY</t>
  </si>
  <si>
    <t>rates.NOK</t>
  </si>
  <si>
    <t>rates.NZD</t>
  </si>
  <si>
    <t>rates.ZAR</t>
  </si>
  <si>
    <t>rates.USD</t>
  </si>
  <si>
    <t>rates.MXN</t>
  </si>
  <si>
    <t>rates.ILS</t>
  </si>
  <si>
    <t>rates.GBP</t>
  </si>
  <si>
    <t>rates.KRW</t>
  </si>
  <si>
    <t>rates.MYR</t>
  </si>
  <si>
    <t>base</t>
  </si>
  <si>
    <t>date</t>
  </si>
  <si>
    <t>EUR</t>
  </si>
  <si>
    <t>relinkd api</t>
  </si>
  <si>
    <t>^</t>
  </si>
  <si>
    <t>{</t>
  </si>
  <si>
    <t xml:space="preserve">    "status": "success",</t>
  </si>
  <si>
    <t xml:space="preserve">    "data": {</t>
  </si>
  <si>
    <t xml:space="preserve">        "stats": {</t>
  </si>
  <si>
    <t xml:space="preserve">            "volume": 53079842955.05171,</t>
  </si>
  <si>
    <t xml:space="preserve">            "total": 55061,</t>
  </si>
  <si>
    <t xml:space="preserve">            "limit": 50,</t>
  </si>
  <si>
    <t xml:space="preserve">            "offset": 0</t>
  </si>
  <si>
    <t xml:space="preserve">        },</t>
  </si>
  <si>
    <t xml:space="preserve">        "currencies": [</t>
  </si>
  <si>
    <t xml:space="preserve">            {</t>
  </si>
  <si>
    <t xml:space="preserve">                "id": 1509,</t>
  </si>
  <si>
    <t xml:space="preserve">                "uuid": "yhjMzLPhuIDl",</t>
  </si>
  <si>
    <t xml:space="preserve">                "type": "fiat",</t>
  </si>
  <si>
    <t xml:space="preserve">                "iconUrl": "https://cdn.coinranking.com/OjL-P17sq/usd.svg",</t>
  </si>
  <si>
    <t xml:space="preserve">                "name": "US dollar",</t>
  </si>
  <si>
    <t xml:space="preserve">                "symbol": "USD",</t>
  </si>
  <si>
    <t xml:space="preserve">                "sign": "$"</t>
  </si>
  <si>
    <t xml:space="preserve">            }</t>
  </si>
  <si>
    <t xml:space="preserve">        ],</t>
  </si>
  <si>
    <t xml:space="preserve">        "markets": [</t>
  </si>
  <si>
    <t xml:space="preserve">                "id": 27390993,</t>
  </si>
  <si>
    <t xml:space="preserve">                "rank": 1,</t>
  </si>
  <si>
    <t xml:space="preserve">                "baseSymbol": "BTC",</t>
  </si>
  <si>
    <t xml:space="preserve">                "quoteSymbol": "USDT",</t>
  </si>
  <si>
    <t xml:space="preserve">                "sourceName": "VinDAX",</t>
  </si>
  <si>
    <t xml:space="preserve">                "sourceIconUrl": "https://cdn.coinranking.com/DJFs4gAgf/vindax.svg",</t>
  </si>
  <si>
    <t xml:space="preserve">                "tickerCreatedAt": 1587601458000,</t>
  </si>
  <si>
    <t xml:space="preserve">                "tickerClose": 7104.45,</t>
  </si>
  <si>
    <t xml:space="preserve">                "tickerBaseVolume": 205464.39951,</t>
  </si>
  <si>
    <t xml:space="preserve">                "tickerQuoteVolume": 1437280306.657,</t>
  </si>
  <si>
    <t xml:space="preserve">                "marketShare": 2.699268275354571,</t>
  </si>
  <si>
    <t xml:space="preserve">                "price": 7104.701866776636,</t>
  </si>
  <si>
    <t xml:space="preserve">                "volume": 1432767361.4937391</t>
  </si>
  <si>
    <t xml:space="preserve">            },</t>
  </si>
  <si>
    <t xml:space="preserve">                "id": 27392268,</t>
  </si>
  <si>
    <t xml:space="preserve">                "rank": 2,</t>
  </si>
  <si>
    <t xml:space="preserve">                "sourceName": "Coinsbit",</t>
  </si>
  <si>
    <t xml:space="preserve">                "sourceIconUrl": "https://cdn.coinranking.com/Xx7PRnP31/coinsbit.svg",</t>
  </si>
  <si>
    <t xml:space="preserve">                "tickerCreatedAt": 1587601326000,</t>
  </si>
  <si>
    <t xml:space="preserve">                "tickerClose": 7104.07,</t>
  </si>
  <si>
    <t xml:space="preserve">                "tickerBaseVolume": 164201.61688258,</t>
  </si>
  <si>
    <t xml:space="preserve">                "tickerQuoteVolume": null,</t>
  </si>
  <si>
    <t xml:space="preserve">                "marketShare": 2.197026738544554,</t>
  </si>
  <si>
    <t xml:space="preserve">                "price": 7104.321853304887,</t>
  </si>
  <si>
    <t xml:space="preserve">                "volume": 1166178342.499944</t>
  </si>
  <si>
    <t xml:space="preserve">                "id": 27396485,</t>
  </si>
  <si>
    <t xml:space="preserve">                "rank": 3,</t>
  </si>
  <si>
    <t xml:space="preserve">                "sourceName": "BKEX",</t>
  </si>
  <si>
    <t xml:space="preserve">                "sourceIconUrl": "https://cdn.coinranking.com/uNp-AXDRf/BKEX.svg",</t>
  </si>
  <si>
    <t xml:space="preserve">                "tickerCreatedAt": 1587601493000,</t>
  </si>
  <si>
    <t xml:space="preserve">                "tickerClose": 7109.6755,</t>
  </si>
  <si>
    <t xml:space="preserve">                "tickerBaseVolume": 154167.4612,</t>
  </si>
  <si>
    <t xml:space="preserve">                "tickerQuoteVolume": 1082322041.5486,</t>
  </si>
  <si>
    <t xml:space="preserve">                "marketShare": 2.049619189208717,</t>
  </si>
  <si>
    <t xml:space="preserve">                "price": 7109.927552030927,</t>
  </si>
  <si>
    <t xml:space="preserve">                "volume": 1087934646.8085911</t>
  </si>
  <si>
    <t xml:space="preserve">                "id": 60007,</t>
  </si>
  <si>
    <t xml:space="preserve">                "rank": 4,</t>
  </si>
  <si>
    <t xml:space="preserve">                "sourceName": "HOTBIT",</t>
  </si>
  <si>
    <t xml:space="preserve">                "sourceIconUrl": "https://cdn.coinranking.com/lQYXlA0LJ/hotbit.svg",</t>
  </si>
  <si>
    <t xml:space="preserve">                "tickerCreatedAt": 1587601296000,</t>
  </si>
  <si>
    <t xml:space="preserve">                "tickerClose": 7098.79,</t>
  </si>
  <si>
    <t xml:space="preserve">                "tickerBaseVolume": 151167.984781,</t>
  </si>
  <si>
    <t xml:space="preserve">                "marketShare": 2.0226360183362333,</t>
  </si>
  <si>
    <t xml:space="preserve">                "price": 7099.041666118464,</t>
  </si>
  <si>
    <t xml:space="preserve">                "volume": 1073612022.0851835</t>
  </si>
  <si>
    <t xml:space="preserve">                "id": 234979,</t>
  </si>
  <si>
    <t xml:space="preserve">                "rank": 5,</t>
  </si>
  <si>
    <t xml:space="preserve">                "sourceName": "EXX",</t>
  </si>
  <si>
    <t xml:space="preserve">                "sourceIconUrl": "https://cdn.coinranking.com/DPEj4c9ez/exx.svg",</t>
  </si>
  <si>
    <t xml:space="preserve">                "tickerCreatedAt": 1587601319000,</t>
  </si>
  <si>
    <t xml:space="preserve">                "tickerClose": 7104.5,</t>
  </si>
  <si>
    <t xml:space="preserve">                "tickerBaseVolume": 129444.1274,</t>
  </si>
  <si>
    <t xml:space="preserve">                "marketShare": 1.7319696020334296,</t>
  </si>
  <si>
    <t xml:space="preserve">                "price": 7104.751868549235,</t>
  </si>
  <si>
    <t xml:space="preserve">                "volume": 919326744.7885785</t>
  </si>
  <si>
    <t xml:space="preserve">                "id": 232307,</t>
  </si>
  <si>
    <t xml:space="preserve">                "rank": 6,</t>
  </si>
  <si>
    <t xml:space="preserve">                "sourceName": "LBank",</t>
  </si>
  <si>
    <t xml:space="preserve">                "sourceIconUrl": "https://cdn.coinranking.com/9BtVBP7RO/lbank.svg",</t>
  </si>
  <si>
    <t xml:space="preserve">                "tickerCreatedAt": 1587601307000,</t>
  </si>
  <si>
    <t xml:space="preserve">                "tickerClose": 7102.99,</t>
  </si>
  <si>
    <t xml:space="preserve">                "tickerBaseVolume": 110007.5831,</t>
  </si>
  <si>
    <t xml:space="preserve">                "marketShare": 1.4719075615814026,</t>
  </si>
  <si>
    <t xml:space="preserve">                "price": 7103.241815016755,</t>
  </si>
  <si>
    <t xml:space="preserve">                "volume": 781286222.1309396</t>
  </si>
  <si>
    <t xml:space="preserve">                "id": 27396486,</t>
  </si>
  <si>
    <t xml:space="preserve">                "rank": 7,</t>
  </si>
  <si>
    <t xml:space="preserve">                "baseSymbol": "ETH",</t>
  </si>
  <si>
    <t xml:space="preserve">                "tickerClose": 181.82,</t>
  </si>
  <si>
    <t xml:space="preserve">                "tickerBaseVolume": 4347462.1185,</t>
  </si>
  <si>
    <t xml:space="preserve">                "tickerQuoteVolume": 774971593.6267,</t>
  </si>
  <si>
    <t xml:space="preserve">                "marketShare": 1.4605339095482626,</t>
  </si>
  <si>
    <t xml:space="preserve">                "price": 181.82644587791145,</t>
  </si>
  <si>
    <t xml:space="preserve">                "volume": 775249105.4934947</t>
  </si>
  <si>
    <t xml:space="preserve">                "id": 27386223,</t>
  </si>
  <si>
    <t xml:space="preserve">                "rank": 8,</t>
  </si>
  <si>
    <t xml:space="preserve">                "sourceName": "BitOffer",</t>
  </si>
  <si>
    <t xml:space="preserve">                "sourceIconUrl": "https://cdn.coinranking.com/M431SHDbi/bitoffer.svg",</t>
  </si>
  <si>
    <t xml:space="preserve">                "tickerCreatedAt": 1587601443000,</t>
  </si>
  <si>
    <t xml:space="preserve">                "tickerClose": 7110.16,</t>
  </si>
  <si>
    <t xml:space="preserve">                "tickerBaseVolume": 108328.436982,</t>
  </si>
  <si>
    <t xml:space="preserve">                "marketShare": 1.4494404934172238,</t>
  </si>
  <si>
    <t xml:space="preserve">                "price": 7110.4120692074075,</t>
  </si>
  <si>
    <t xml:space="preserve">                "volume": 769360737.632789</t>
  </si>
  <si>
    <t xml:space="preserve">                "id": 271182,</t>
  </si>
  <si>
    <t xml:space="preserve">                "rank": 9,</t>
  </si>
  <si>
    <t xml:space="preserve">                "sourceName": "P2PB2B",</t>
  </si>
  <si>
    <t xml:space="preserve">                "sourceIconUrl": "https://cdn.coinranking.com/oMYGUH2Ok/p2pb2b.svg",</t>
  </si>
  <si>
    <t xml:space="preserve">                "tickerCreatedAt": 1587601316000,</t>
  </si>
  <si>
    <t xml:space="preserve">                "tickerClose": 7101.99,</t>
  </si>
  <si>
    <t xml:space="preserve">                "tickerBaseVolume": 102612.154016,</t>
  </si>
  <si>
    <t xml:space="preserve">                "marketShare": 1.3729563103755333,</t>
  </si>
  <si>
    <t xml:space="preserve">                "price": 7102.241779564781,</t>
  </si>
  <si>
    <t xml:space="preserve">                "volume": 728763053.3888055</t>
  </si>
  <si>
    <t xml:space="preserve">                "id": 234708,</t>
  </si>
  <si>
    <t xml:space="preserve">                "rank": 10,</t>
  </si>
  <si>
    <t xml:space="preserve">                "quoteSymbol": "USD",</t>
  </si>
  <si>
    <t xml:space="preserve">                "tickerClose": 7088.99,</t>
  </si>
  <si>
    <t xml:space="preserve">                "tickerBaseVolume": 102386.474687,</t>
  </si>
  <si>
    <t xml:space="preserve">                "marketShare": 1.36993670844004,</t>
  </si>
  <si>
    <t xml:space="preserve">                "price": 7088.99,</t>
  </si>
  <si>
    <t xml:space="preserve">                "volume": 727160253.4235778</t>
  </si>
  <si>
    <t xml:space="preserve">                "id": 67647,</t>
  </si>
  <si>
    <t xml:space="preserve">                "rank": 11,</t>
  </si>
  <si>
    <t xml:space="preserve">                "sourceName": "Coineal",</t>
  </si>
  <si>
    <t xml:space="preserve">                "sourceIconUrl": "https://cdn.coinranking.com/YS6yzhqGd/coineal.svg",</t>
  </si>
  <si>
    <t xml:space="preserve">                "tickerCreatedAt": 1587601299000,</t>
  </si>
  <si>
    <t xml:space="preserve">                "tickerBaseVolume": 100194.89873,</t>
  </si>
  <si>
    <t xml:space="preserve">                "marketShare": 1.340613300616818,</t>
  </si>
  <si>
    <t xml:space="preserve">                "volume": 711595434.6019422</t>
  </si>
  <si>
    <t xml:space="preserve">                "id": 27386229,</t>
  </si>
  <si>
    <t xml:space="preserve">                "rank": 12,</t>
  </si>
  <si>
    <t xml:space="preserve">                "tickerClose": 181.93,</t>
  </si>
  <si>
    <t xml:space="preserve">                "tickerBaseVolume": 3338943.6398,</t>
  </si>
  <si>
    <t xml:space="preserve">                "marketShare": 1.1416904449438485,</t>
  </si>
  <si>
    <t xml:space="preserve">                "price": 181.93644977762858,</t>
  </si>
  <si>
    <t xml:space="preserve">                "volume": 606007495.2090259</t>
  </si>
  <si>
    <t xml:space="preserve">                "id": 236535,</t>
  </si>
  <si>
    <t xml:space="preserve">                "rank": 13,</t>
  </si>
  <si>
    <t xml:space="preserve">                "tickerClose": 7037.82512561,</t>
  </si>
  <si>
    <t xml:space="preserve">                "tickerBaseVolume": 79688.23333524,</t>
  </si>
  <si>
    <t xml:space="preserve">                "marketShare": 1.066232980580799,</t>
  </si>
  <si>
    <t xml:space="preserve">                "price": 7037.82512561,</t>
  </si>
  <si>
    <t xml:space="preserve">                "volume": 565954791.6272552</t>
  </si>
  <si>
    <t xml:space="preserve">                "id": 27394333,</t>
  </si>
  <si>
    <t xml:space="preserve">                "rank": 14,</t>
  </si>
  <si>
    <t xml:space="preserve">                "sourceName": "BiKi",</t>
  </si>
  <si>
    <t xml:space="preserve">                "sourceIconUrl": "https://cdn.coinranking.com/QxrKrB3zG/BiKi.svg",</t>
  </si>
  <si>
    <t xml:space="preserve">                "tickerCreatedAt": 1587601463000,</t>
  </si>
  <si>
    <t xml:space="preserve">                "tickerClose": 181.84,</t>
  </si>
  <si>
    <t xml:space="preserve">                "tickerBaseVolume": 2997250.51904677,</t>
  </si>
  <si>
    <t xml:space="preserve">                "marketShare": 1.0248061783759692,</t>
  </si>
  <si>
    <t xml:space="preserve">                "price": 181.84644658695092,</t>
  </si>
  <si>
    <t xml:space="preserve">                "volume": 543965510.0756315</t>
  </si>
  <si>
    <t xml:space="preserve">                "id": 232308,</t>
  </si>
  <si>
    <t xml:space="preserve">                "rank": 15,</t>
  </si>
  <si>
    <t xml:space="preserve">                "tickerClose": 181.6,</t>
  </si>
  <si>
    <t xml:space="preserve">                "tickerBaseVolume": 2884670.4357,</t>
  </si>
  <si>
    <t xml:space="preserve">                "marketShare": 0.9863600672960056,</t>
  </si>
  <si>
    <t xml:space="preserve">                "price": 181.60643807847717,</t>
  </si>
  <si>
    <t xml:space="preserve">                "volume": 523558374.69206214</t>
  </si>
  <si>
    <t xml:space="preserve">                "id": 47926,</t>
  </si>
  <si>
    <t xml:space="preserve">                "rank": 16,</t>
  </si>
  <si>
    <t xml:space="preserve">                "sourceName": "LATOKEN",</t>
  </si>
  <si>
    <t xml:space="preserve">                "sourceIconUrl": "https://cdn.coinranking.com/k6o_Wi3jY/latoken.svg",</t>
  </si>
  <si>
    <t xml:space="preserve">                "tickerCreatedAt": 1587601286000,</t>
  </si>
  <si>
    <t xml:space="preserve">                "tickerClose": 7110.66,</t>
  </si>
  <si>
    <t xml:space="preserve">                "tickerBaseVolume": 69317.39762458013,</t>
  </si>
  <si>
    <t xml:space="preserve">                "tickerQuoteVolume": 492892446.593197,</t>
  </si>
  <si>
    <t xml:space="preserve">                "marketShare": 0.9286197794910469,</t>
  </si>
  <si>
    <t xml:space="preserve">                "price": 7110.912086933396,</t>
  </si>
  <si>
    <t xml:space="preserve">                "volume": 492909920.6033951</t>
  </si>
  <si>
    <t xml:space="preserve">                "id": 100668,</t>
  </si>
  <si>
    <t xml:space="preserve">                "rank": 17,</t>
  </si>
  <si>
    <t xml:space="preserve">                "baseSymbol": "TUSD",</t>
  </si>
  <si>
    <t xml:space="preserve">                "sourceName": "Bit-Z",</t>
  </si>
  <si>
    <t xml:space="preserve">                "sourceIconUrl": "https://cdn.coinranking.com/0Q5yBsqRp/Bit-Z.svg",</t>
  </si>
  <si>
    <t xml:space="preserve">                "tickerClose": 0.9974,</t>
  </si>
  <si>
    <t xml:space="preserve">                "tickerBaseVolume": 488136337.22,</t>
  </si>
  <si>
    <t xml:space="preserve">                "tickerQuoteVolume": 487144394.51,</t>
  </si>
  <si>
    <t xml:space="preserve">                "marketShare": 0.9177903279648665,</t>
  </si>
  <si>
    <t xml:space="preserve">                "price": 0.9974353597988626,</t>
  </si>
  <si>
    <t xml:space="preserve">                "volume": 487161664.74040514</t>
  </si>
  <si>
    <t xml:space="preserve">                "id": 15365467,</t>
  </si>
  <si>
    <t xml:space="preserve">                "rank": 18,</t>
  </si>
  <si>
    <t xml:space="preserve">                "sourceName": "MXC",</t>
  </si>
  <si>
    <t xml:space="preserve">                "sourceIconUrl": "https://cdn.coinranking.com/5H4rM81Pj/mxc.svg",</t>
  </si>
  <si>
    <t xml:space="preserve">                "tickerCreatedAt": 1587601431000,</t>
  </si>
  <si>
    <t xml:space="preserve">                "tickerClose": 7110.88,</t>
  </si>
  <si>
    <t xml:space="preserve">                "tickerBaseVolume": 68135.934669,</t>
  </si>
  <si>
    <t xml:space="preserve">                "marketShare": 0.9116625838743432,</t>
  </si>
  <si>
    <t xml:space="preserve">                "price": 7111.132094732829,</t>
  </si>
  <si>
    <t xml:space="preserve">                "volume": 483909067.80046797</t>
  </si>
  <si>
    <t xml:space="preserve">                "id": 27394331,</t>
  </si>
  <si>
    <t xml:space="preserve">                "rank": 19,</t>
  </si>
  <si>
    <t xml:space="preserve">                "tickerClose": 7108.14,</t>
  </si>
  <si>
    <t xml:space="preserve">                "tickerBaseVolume": 68021.01691031,</t>
  </si>
  <si>
    <t xml:space="preserve">                "marketShare": 0.9103439706902919,</t>
  </si>
  <si>
    <t xml:space="preserve">                "price": 7108.391997594421,</t>
  </si>
  <si>
    <t xml:space="preserve">                "volume": 483209149.993189</t>
  </si>
  <si>
    <t xml:space="preserve">                "id": 47453,</t>
  </si>
  <si>
    <t xml:space="preserve">                "rank": 20,</t>
  </si>
  <si>
    <t xml:space="preserve">                "baseSymbol": "ETC",</t>
  </si>
  <si>
    <t xml:space="preserve">                "sourceName": "CoinBene",</t>
  </si>
  <si>
    <t xml:space="preserve">                "sourceIconUrl": "https://cdn.coinranking.com/fWL5Jugm_/coinbene.svg",</t>
  </si>
  <si>
    <t xml:space="preserve">                "tickerCreatedAt": 1587601283000,</t>
  </si>
  <si>
    <t xml:space="preserve">                "tickerClose": 5.3604,</t>
  </si>
  <si>
    <t xml:space="preserve">                "tickerBaseVolume": 83397389.68,</t>
  </si>
  <si>
    <t xml:space="preserve">                "marketShare": 0.8426255195355475,</t>
  </si>
  <si>
    <t xml:space="preserve">                "price": 5.360590036761395,</t>
  </si>
  <si>
    <t xml:space="preserve">                "volume": 447264302.4686572</t>
  </si>
  <si>
    <t xml:space="preserve">                "id": 15365489,</t>
  </si>
  <si>
    <t xml:space="preserve">                "rank": 21,</t>
  </si>
  <si>
    <t xml:space="preserve">                "tickerClose": 181.89,</t>
  </si>
  <si>
    <t xml:space="preserve">                "tickerBaseVolume": 2460343.36899,</t>
  </si>
  <si>
    <t xml:space="preserve">                "marketShare": 0.8412692212513938,</t>
  </si>
  <si>
    <t xml:space="preserve">                "price": 181.89644835954962,</t>
  </si>
  <si>
    <t xml:space="preserve">                "volume": 446544381.46942633</t>
  </si>
  <si>
    <t xml:space="preserve">                "id": 60021,</t>
  </si>
  <si>
    <t xml:space="preserve">                "rank": 22,</t>
  </si>
  <si>
    <t xml:space="preserve">                "tickerClose": 181.47,</t>
  </si>
  <si>
    <t xml:space="preserve">                "tickerBaseVolume": 2399002.13671,</t>
  </si>
  <si>
    <t xml:space="preserve">                "marketShare": 0.8202947136435469,</t>
  </si>
  <si>
    <t xml:space="preserve">                "price": 181.47643346972055,</t>
  </si>
  <si>
    <t xml:space="preserve">                "volume": 435411145.77058583</t>
  </si>
  <si>
    <t xml:space="preserve">                "id": 45499,</t>
  </si>
  <si>
    <t xml:space="preserve">                "rank": 23,</t>
  </si>
  <si>
    <t xml:space="preserve">                "sourceName": "Binance",</t>
  </si>
  <si>
    <t xml:space="preserve">                "sourceIconUrl": "https://cdn.coinranking.com/mDTK5qrmq/binance.svg",</t>
  </si>
  <si>
    <t xml:space="preserve">                "tickerCreatedAt": 1587601365000,</t>
  </si>
  <si>
    <t xml:space="preserve">                "tickerClose": 7102.87,</t>
  </si>
  <si>
    <t xml:space="preserve">                "tickerBaseVolume": 61631.568566,</t>
  </si>
  <si>
    <t xml:space="preserve">                "tickerQuoteVolume": 432564603.6398222,</t>
  </si>
  <si>
    <t xml:space="preserve">                "marketShare": 0.8149608492157971,</t>
  </si>
  <si>
    <t xml:space="preserve">                "price": 7103.121810762518,</t>
  </si>
  <si>
    <t xml:space="preserve">                "volume": 432579938.90890086</t>
  </si>
  <si>
    <t xml:space="preserve">                "id": 49057,</t>
  </si>
  <si>
    <t xml:space="preserve">                "rank": 24,</t>
  </si>
  <si>
    <t xml:space="preserve">                "sourceName": "ZB",</t>
  </si>
  <si>
    <t xml:space="preserve">                "sourceIconUrl": "https://cdn.coinranking.com/VhtrNhSv7/ZB.svg",</t>
  </si>
  <si>
    <t xml:space="preserve">                "tickerCreatedAt": 1587601288000,</t>
  </si>
  <si>
    <t xml:space="preserve">                "tickerClose": 7103.02,</t>
  </si>
  <si>
    <t xml:space="preserve">                "tickerBaseVolume": 58885.7176,</t>
  </si>
  <si>
    <t xml:space="preserve">                "marketShare": 0.7878941665848407,</t>
  </si>
  <si>
    <t xml:space="preserve">                "price": 7103.271816080313,</t>
  </si>
  <si>
    <t xml:space="preserve">                "volume": 418212986.27524686</t>
  </si>
  <si>
    <t xml:space="preserve">                "id": 27397948,</t>
  </si>
  <si>
    <t xml:space="preserve">                "rank": 25,</t>
  </si>
  <si>
    <t xml:space="preserve">                "sourceName": "Hoo.com",</t>
  </si>
  <si>
    <t xml:space="preserve">                "sourceIconUrl": "https://cdn.coinranking.com/1IajEbLut/hoo-com.svg",</t>
  </si>
  <si>
    <t xml:space="preserve">                "tickerCreatedAt": 1587601201000,</t>
  </si>
  <si>
    <t xml:space="preserve">                "tickerClose": 181.73,</t>
  </si>
  <si>
    <t xml:space="preserve">                "tickerBaseVolume": 2168995.61525999,</t>
  </si>
  <si>
    <t xml:space="preserve">                "marketShare": 0.7416482085980235,</t>
  </si>
  <si>
    <t xml:space="preserve">                "price": 181.73644268723382,</t>
  </si>
  <si>
    <t xml:space="preserve">                "volume": 393665704.4027852</t>
  </si>
  <si>
    <t xml:space="preserve">                "id": 27394846,</t>
  </si>
  <si>
    <t xml:space="preserve">                "rank": 26,</t>
  </si>
  <si>
    <t xml:space="preserve">                "sourceName": "TOKOK",</t>
  </si>
  <si>
    <t xml:space="preserve">                "sourceIconUrl": "https://cdn.coinranking.com/45ULOuMmM/TOKOK.svg",</t>
  </si>
  <si>
    <t xml:space="preserve">                "tickerCreatedAt": 1587601470000,</t>
  </si>
  <si>
    <t xml:space="preserve">                "tickerClose": 181.83,</t>
  </si>
  <si>
    <t xml:space="preserve">                "tickerBaseVolume": 2152299.70759552,</t>
  </si>
  <si>
    <t xml:space="preserve">                "marketShare": 0.7360891079579815,</t>
  </si>
  <si>
    <t xml:space="preserve">                "price": 181.8364462324312,</t>
  </si>
  <si>
    <t xml:space="preserve">                "volume": 390714942.5133377</t>
  </si>
  <si>
    <t xml:space="preserve">                "id": 100545,</t>
  </si>
  <si>
    <t xml:space="preserve">                "rank": 27,</t>
  </si>
  <si>
    <t xml:space="preserve">                "tickerClose": 7096.78,</t>
  </si>
  <si>
    <t xml:space="preserve">                "tickerBaseVolume": 55428.77,</t>
  </si>
  <si>
    <t xml:space="preserve">                "tickerQuoteVolume": 388905021.06,</t>
  </si>
  <si>
    <t xml:space="preserve">                "marketShare": 0.732705273525453,</t>
  </si>
  <si>
    <t xml:space="preserve">                "price": 7097.031594859996,</t>
  </si>
  <si>
    <t xml:space="preserve">                "volume": 388918808.5106925</t>
  </si>
  <si>
    <t xml:space="preserve">                "id": 233840,</t>
  </si>
  <si>
    <t xml:space="preserve">                "rank": 28,</t>
  </si>
  <si>
    <t xml:space="preserve">                "baseSymbol": "LTC",</t>
  </si>
  <si>
    <t xml:space="preserve">                "sourceName": "Bitforex",</t>
  </si>
  <si>
    <t xml:space="preserve">                "sourceIconUrl": "https://cdn.coinranking.com/tG3ps5jPI/bitforex.svg",</t>
  </si>
  <si>
    <t xml:space="preserve">                "tickerCreatedAt": 1587601308000,</t>
  </si>
  <si>
    <t xml:space="preserve">                "tickerClose": 41.57,</t>
  </si>
  <si>
    <t xml:space="preserve">                "tickerBaseVolume": 9308673.8754,</t>
  </si>
  <si>
    <t xml:space="preserve">                "tickerQuoteVolume": 386240594.17,</t>
  </si>
  <si>
    <t xml:space="preserve">                "marketShare": 0.7276854369908023,</t>
  </si>
  <si>
    <t xml:space="preserve">                "price": 41.5714737385589,</t>
  </si>
  <si>
    <t xml:space="preserve">                "volume": 386254287.1614997</t>
  </si>
  <si>
    <t xml:space="preserve">                "id": 27394841,</t>
  </si>
  <si>
    <t xml:space="preserve">                "rank": 29,</t>
  </si>
  <si>
    <t xml:space="preserve">                "quoteSymbol": "BTC",</t>
  </si>
  <si>
    <t xml:space="preserve">                "tickerClose": 0.025584,</t>
  </si>
  <si>
    <t xml:space="preserve">                "tickerBaseVolume": 2107171.1867296,</t>
  </si>
  <si>
    <t xml:space="preserve">                "marketShare": 0.7207575011475136,</t>
  </si>
  <si>
    <t xml:space="preserve">                "price": 181.7004441305461,</t>
  </si>
  <si>
    <t xml:space="preserve">                "volume": 382576949.6958552</t>
  </si>
  <si>
    <t xml:space="preserve">                "id": 232427,</t>
  </si>
  <si>
    <t xml:space="preserve">                "rank": 30,</t>
  </si>
  <si>
    <t xml:space="preserve">                "sourceName": "Bibox",</t>
  </si>
  <si>
    <t xml:space="preserve">                "sourceIconUrl": "https://cdn.coinranking.com/iAb5fjrVQ/bix.svg",</t>
  </si>
  <si>
    <t xml:space="preserve">                "tickerCreatedAt": 1587601304000,</t>
  </si>
  <si>
    <t xml:space="preserve">                "tickerClose": 7102.82,</t>
  </si>
  <si>
    <t xml:space="preserve">                "tickerBaseVolume": 53415,</t>
  </si>
  <si>
    <t xml:space="preserve">                "tickerQuoteVolume": 373602967.87,</t>
  </si>
  <si>
    <t xml:space="preserve">                "marketShare": 0.7038758821292689,</t>
  </si>
  <si>
    <t xml:space="preserve">                "price": 7103.071808989918,</t>
  </si>
  <si>
    <t xml:space="preserve">                "volume": 373616212.8327008</t>
  </si>
  <si>
    <t xml:space="preserve">                "id": 27394847,</t>
  </si>
  <si>
    <t xml:space="preserve">                "rank": 31,</t>
  </si>
  <si>
    <t xml:space="preserve">                "tickerClose": 7108.99,</t>
  </si>
  <si>
    <t xml:space="preserve">                "tickerBaseVolume": 51810.32884056,</t>
  </si>
  <si>
    <t xml:space="preserve">                "marketShare": 0.6932162574959618,</t>
  </si>
  <si>
    <t xml:space="preserve">                "price": 7109.242027728599,</t>
  </si>
  <si>
    <t xml:space="preserve">                "volume": 367958100.8177434</t>
  </si>
  <si>
    <t xml:space="preserve">                "id": 233797,</t>
  </si>
  <si>
    <t xml:space="preserve">                "rank": 32,</t>
  </si>
  <si>
    <t xml:space="preserve">                "tickerClose": 7102.14,</t>
  </si>
  <si>
    <t xml:space="preserve">                "tickerBaseVolume": 50426.3278,</t>
  </si>
  <si>
    <t xml:space="preserve">                "tickerQuoteVolume": 352934547.03,</t>
  </si>
  <si>
    <t xml:space="preserve">                "marketShare": 0.6649361407403939,</t>
  </si>
  <si>
    <t xml:space="preserve">                "price": 7102.391784882577,</t>
  </si>
  <si>
    <t xml:space="preserve">                "volume": 352947059.25638264</t>
  </si>
  <si>
    <t xml:space="preserve">                "id": 27395742,</t>
  </si>
  <si>
    <t xml:space="preserve">                "rank": 33,</t>
  </si>
  <si>
    <t xml:space="preserve">                "sourceName": "dcoin",</t>
  </si>
  <si>
    <t xml:space="preserve">                "sourceIconUrl": "https://cdn.coinranking.com/bqNxLB8Tx/dcoin.svg",</t>
  </si>
  <si>
    <t xml:space="preserve">                "tickerCreatedAt": 1587601480000,</t>
  </si>
  <si>
    <t xml:space="preserve">                "tickerClose": 181.8196,</t>
  </si>
  <si>
    <t xml:space="preserve">                "tickerBaseVolume": 1747026,</t>
  </si>
  <si>
    <t xml:space="preserve">                "marketShare": 0.5972177868981249,</t>
  </si>
  <si>
    <t xml:space="preserve">                "price": 181.82604586373066,</t>
  </si>
  <si>
    <t xml:space="preserve">                "volume": 317002263.38516</t>
  </si>
  <si>
    <t xml:space="preserve">                "id": 45915,</t>
  </si>
  <si>
    <t xml:space="preserve">                "rank": 34,</t>
  </si>
  <si>
    <t xml:space="preserve">                "sourceName": "OKEx",</t>
  </si>
  <si>
    <t xml:space="preserve">                "sourceIconUrl": "https://cdn.coinranking.com/tBA4j321g/Okex.svg",</t>
  </si>
  <si>
    <t xml:space="preserve">                "tickerCreatedAt": 1587601366000,</t>
  </si>
  <si>
    <t xml:space="preserve">                "tickerClose": 7104.3,</t>
  </si>
  <si>
    <t xml:space="preserve">                "tickerBaseVolume": 43284.59207706,</t>
  </si>
  <si>
    <t xml:space="preserve">                "tickerQuoteVolume": 302553747.86031264,</t>
  </si>
  <si>
    <t xml:space="preserve">                "marketShare": 0.5700176510396359,</t>
  </si>
  <si>
    <t xml:space="preserve">                "price": 7104.55186145884,</t>
  </si>
  <si>
    <t xml:space="preserve">                "volume": 302564473.98791337</t>
  </si>
  <si>
    <t xml:space="preserve">                "id": 47417,</t>
  </si>
  <si>
    <t xml:space="preserve">                "rank": 35,</t>
  </si>
  <si>
    <t xml:space="preserve">                "tickerClose": 7102.62,</t>
  </si>
  <si>
    <t xml:space="preserve">                "tickerBaseVolume": 42003.6725,</t>
  </si>
  <si>
    <t xml:space="preserve">                "marketShare": 0.5620114670707534,</t>
  </si>
  <si>
    <t xml:space="preserve">                "price": 7102.871801899524,</t>
  </si>
  <si>
    <t xml:space="preserve">                "volume": 298314804.11053807</t>
  </si>
  <si>
    <t xml:space="preserve">                "id": 267708,</t>
  </si>
  <si>
    <t xml:space="preserve">                "rank": 36,</t>
  </si>
  <si>
    <t xml:space="preserve">                "tickerClose": 181.52,</t>
  </si>
  <si>
    <t xml:space="preserve">                "tickerBaseVolume": 1642649.51582,</t>
  </si>
  <si>
    <t xml:space="preserve">                "marketShare": 0.5616738282877,</t>
  </si>
  <si>
    <t xml:space="preserve">                "price": 181.52643524231925,</t>
  </si>
  <si>
    <t xml:space="preserve">                "volume": 298135585.97473794</t>
  </si>
  <si>
    <t xml:space="preserve">                "id": 234920,</t>
  </si>
  <si>
    <t xml:space="preserve">                "rank": 37,</t>
  </si>
  <si>
    <t xml:space="preserve">                "tickerClose": 181.54,</t>
  </si>
  <si>
    <t xml:space="preserve">                "tickerBaseVolume": 1638382.34486,</t>
  </si>
  <si>
    <t xml:space="preserve">                "marketShare": 0.5602147475611186,</t>
  </si>
  <si>
    <t xml:space="preserve">                "price": 181.54000000000002,</t>
  </si>
  <si>
    <t xml:space="preserve">                "volume": 297361108.2164811</t>
  </si>
  <si>
    <t xml:space="preserve">                "id": 232428,</t>
  </si>
  <si>
    <t xml:space="preserve">                "rank": 38,</t>
  </si>
  <si>
    <t xml:space="preserve">                "tickerClose": 181.5251,</t>
  </si>
  <si>
    <t xml:space="preserve">                "tickerBaseVolume": 1673294,</t>
  </si>
  <si>
    <t xml:space="preserve">                "tickerQuoteVolume": 297122539.95,</t>
  </si>
  <si>
    <t xml:space="preserve">                "marketShare": 0.5597851406270605,</t>
  </si>
  <si>
    <t xml:space="preserve">                "price": 181.53153542312432,</t>
  </si>
  <si>
    <t xml:space="preserve">                "volume": 297133073.5305591</t>
  </si>
  <si>
    <t xml:space="preserve">                "id": 47455,</t>
  </si>
  <si>
    <t xml:space="preserve">                "rank": 39,</t>
  </si>
  <si>
    <t xml:space="preserve">                "tickerClose": 181.55,</t>
  </si>
  <si>
    <t xml:space="preserve">                "tickerBaseVolume": 1635171.139,</t>
  </si>
  <si>
    <t xml:space="preserve">                "marketShare": 0.5591167347035761,</t>
  </si>
  <si>
    <t xml:space="preserve">                "price": 181.55643630587846,</t>
  </si>
  <si>
    <t xml:space="preserve">                "volume": 296778284.7160713</t>
  </si>
  <si>
    <t xml:space="preserve">                "id": 48676,</t>
  </si>
  <si>
    <t xml:space="preserve">                "rank": 40,</t>
  </si>
  <si>
    <t xml:space="preserve">                "sourceName": "BitMart",</t>
  </si>
  <si>
    <t xml:space="preserve">                "sourceIconUrl": "https://cdn.coinranking.com/0KoAUbthl/bitmart.svg",</t>
  </si>
  <si>
    <t xml:space="preserve">                "tickerCreatedAt": 1587601287000,</t>
  </si>
  <si>
    <t xml:space="preserve">                "tickerBaseVolume": 1664078.5152,</t>
  </si>
  <si>
    <t xml:space="preserve">                "tickerQuoteVolume": 295645277.65326,</t>
  </si>
  <si>
    <t xml:space="preserve">                "marketShare": 0.5570019472595603,</t>
  </si>
  <si>
    <t xml:space="preserve">                "price": 181.54643595135875,</t>
  </si>
  <si>
    <t xml:space="preserve">                "volume": 295655758.86195457</t>
  </si>
  <si>
    <t xml:space="preserve">                "id": 48674,</t>
  </si>
  <si>
    <t xml:space="preserve">                "rank": 41,</t>
  </si>
  <si>
    <t xml:space="preserve">                "tickerClose": 7102,</t>
  </si>
  <si>
    <t xml:space="preserve">                "tickerBaseVolume": 41555.77638,</t>
  </si>
  <si>
    <t xml:space="preserve">                "tickerQuoteVolume": 291950832.30424,</t>
  </si>
  <si>
    <t xml:space="preserve">                "marketShare": 0.5500415341936644,</t>
  </si>
  <si>
    <t xml:space="preserve">                "price": 7102.251779919301,</t>
  </si>
  <si>
    <t xml:space="preserve">                "volume": 291961182.53755414</t>
  </si>
  <si>
    <t xml:space="preserve">                "id": 27386900,</t>
  </si>
  <si>
    <t xml:space="preserve">                "rank": 42,</t>
  </si>
  <si>
    <t xml:space="preserve">                "baseSymbol": "ZEC",</t>
  </si>
  <si>
    <t xml:space="preserve">                "quoteSymbol": "ETH",</t>
  </si>
  <si>
    <t xml:space="preserve">                "tickerClose": 0.24846538,</t>
  </si>
  <si>
    <t xml:space="preserve">                "tickerBaseVolume": 6449527.6285,</t>
  </si>
  <si>
    <t xml:space="preserve">                "tickerQuoteVolume": 1597596.81,</t>
  </si>
  <si>
    <t xml:space="preserve">                "marketShare": 0.5462688831007123,</t>
  </si>
  <si>
    <t xml:space="preserve">                "price": 45.09566462432948,</t>
  </si>
  <si>
    <t xml:space="preserve">                "volume": 289958665.2621731</t>
  </si>
  <si>
    <t xml:space="preserve">                "id": 15365394,</t>
  </si>
  <si>
    <t xml:space="preserve">                "rank": 43,</t>
  </si>
  <si>
    <t xml:space="preserve">                "baseSymbol": "BCH",</t>
  </si>
  <si>
    <t xml:space="preserve">                "tickerClose": 231.786,</t>
  </si>
  <si>
    <t xml:space="preserve">                "tickerBaseVolume": 1205011.37575,</t>
  </si>
  <si>
    <t xml:space="preserve">                "marketShare": 0.5255051929703698,</t>
  </si>
  <si>
    <t xml:space="preserve">                "price": 231.794217271244,</t>
  </si>
  <si>
    <t xml:space="preserve">                "volume": 278937331.1493137</t>
  </si>
  <si>
    <t xml:space="preserve">                "id": 235084,</t>
  </si>
  <si>
    <t xml:space="preserve">                "rank": 44,</t>
  </si>
  <si>
    <t xml:space="preserve">                "tickerClose": 181.63,</t>
  </si>
  <si>
    <t xml:space="preserve">                "tickerBaseVolume": 1527078.318,</t>
  </si>
  <si>
    <t xml:space="preserve">                "marketShare": 0.5221563801076783,</t>
  </si>
  <si>
    <t xml:space="preserve">                "price": 181.6364391420364,</t>
  </si>
  <si>
    <t xml:space="preserve">                "volume": 277159786.54093856</t>
  </si>
  <si>
    <t xml:space="preserve">                "id": 27392532,</t>
  </si>
  <si>
    <t xml:space="preserve">                "rank": 45,</t>
  </si>
  <si>
    <t xml:space="preserve">                "tickerClose": 231.32,</t>
  </si>
  <si>
    <t xml:space="preserve">                "tickerBaseVolume": 1191203.1376,</t>
  </si>
  <si>
    <t xml:space="preserve">                "marketShare": 0.5194834233841032,</t>
  </si>
  <si>
    <t xml:space="preserve">                "price": 231.32820075062412,</t>
  </si>
  <si>
    <t xml:space="preserve">                "volume": 275740985.3098084</t>
  </si>
  <si>
    <t xml:space="preserve">                "id": 67665,</t>
  </si>
  <si>
    <t xml:space="preserve">                "rank": 46,</t>
  </si>
  <si>
    <t xml:space="preserve">                "tickerBaseVolume": 1504223.9892,</t>
  </si>
  <si>
    <t xml:space="preserve">                "marketShare": 0.5143417621831518,</t>
  </si>
  <si>
    <t xml:space="preserve">                "volume": 273011799.6190625</t>
  </si>
  <si>
    <t xml:space="preserve">                "id": 240157,</t>
  </si>
  <si>
    <t xml:space="preserve">                "rank": 48,</t>
  </si>
  <si>
    <t xml:space="preserve">                "sourceName": "Coinegg",</t>
  </si>
  <si>
    <t xml:space="preserve">                "sourceIconUrl": "https://cdn.coinranking.com/qRnW_QF9B/coinegg.svg",</t>
  </si>
  <si>
    <t xml:space="preserve">                "tickerCreatedAt": 1587601387000,</t>
  </si>
  <si>
    <t xml:space="preserve">                "tickerClose": 0.005908,</t>
  </si>
  <si>
    <t xml:space="preserve">                "tickerBaseVolume": 6358590.225,</t>
  </si>
  <si>
    <t xml:space="preserve">                "tickerQuoteVolume": 37521.89603386,</t>
  </si>
  <si>
    <t xml:space="preserve">                "marketShare": 0.5020450494481392,</t>
  </si>
  <si>
    <t xml:space="preserve">                "price": 41.95928017211016,</t>
  </si>
  <si>
    <t xml:space="preserve">                "volume": 266484723.81068397</t>
  </si>
  <si>
    <t xml:space="preserve">                "id": 27397947,</t>
  </si>
  <si>
    <t xml:space="preserve">                "rank": 47,</t>
  </si>
  <si>
    <t xml:space="preserve">                "tickerClose": 7104.41,</t>
  </si>
  <si>
    <t xml:space="preserve">                "tickerBaseVolume": 37521.527698,</t>
  </si>
  <si>
    <t xml:space="preserve">                "marketShare": 0.5020401210939088,</t>
  </si>
  <si>
    <t xml:space="preserve">                "price": 7104.661865358557,</t>
  </si>
  <si>
    <t xml:space="preserve">                "volume": 266482107.84799823</t>
  </si>
  <si>
    <t xml:space="preserve">                "id": 100665,</t>
  </si>
  <si>
    <t xml:space="preserve">                "rank": 49,</t>
  </si>
  <si>
    <t xml:space="preserve">                "baseSymbol": "PAX",</t>
  </si>
  <si>
    <t xml:space="preserve">                "tickerClose": 0.9991,</t>
  </si>
  <si>
    <t xml:space="preserve">                "tickerBaseVolume": 265344062.95,</t>
  </si>
  <si>
    <t xml:space="preserve">                "tickerQuoteVolume": 265252107.74,</t>
  </si>
  <si>
    <t xml:space="preserve">                "marketShare": 0.499740573225603,</t>
  </si>
  <si>
    <t xml:space="preserve">                "price": 0.9991354200672135,</t>
  </si>
  <si>
    <t xml:space="preserve">                "volume": 265261511.45082524</t>
  </si>
  <si>
    <t xml:space="preserve">                "id": 100546,</t>
  </si>
  <si>
    <t xml:space="preserve">                "rank": 50,</t>
  </si>
  <si>
    <t xml:space="preserve">                "tickerClose": 181.38,</t>
  </si>
  <si>
    <t xml:space="preserve">                "tickerBaseVolume": 1471951.01,</t>
  </si>
  <si>
    <t xml:space="preserve">                "tickerQuoteVolume": 262216158.28,</t>
  </si>
  <si>
    <t xml:space="preserve">                "marketShare": 0.49402078032234914,</t>
  </si>
  <si>
    <t xml:space="preserve">                "price": 181.3864302790429,</t>
  </si>
  <si>
    <t xml:space="preserve">                "volume": 262225454.36042395</t>
  </si>
  <si>
    <t xml:space="preserve">        ]</t>
  </si>
  <si>
    <t xml:space="preserve">    }</t>
  </si>
  <si>
    <t>}</t>
  </si>
  <si>
    <t>Share holders</t>
  </si>
  <si>
    <t>Date</t>
  </si>
  <si>
    <t>Competitor</t>
  </si>
  <si>
    <t>https://towardsdatascience.com/google-trends-api-for-python-a84bc25db88f</t>
  </si>
  <si>
    <t>holder</t>
  </si>
  <si>
    <t>%</t>
  </si>
  <si>
    <t xml:space="preserve"> </t>
  </si>
  <si>
    <t>CS Third Nominees Pty Limited, HSBC Cust Nom Au Ltd</t>
  </si>
  <si>
    <t>Jamie</t>
  </si>
  <si>
    <t>HARROGATE TRUSTEE LIMITED</t>
  </si>
  <si>
    <t>Adrian</t>
  </si>
  <si>
    <t>HSBC Custody Nominees (Australia) Limited A/C 2</t>
  </si>
  <si>
    <t>Hayden</t>
  </si>
  <si>
    <t>M &amp; M NO.2 LIMITED</t>
  </si>
  <si>
    <t>Jin</t>
  </si>
  <si>
    <t>AJ TRUSTEE SERVICES LIMITED</t>
  </si>
  <si>
    <t>Siyu</t>
  </si>
  <si>
    <t>Citicorp Nominees Pty Ltd</t>
  </si>
  <si>
    <t>G &amp; S CAPITAL LIMITED</t>
  </si>
  <si>
    <t>SEKOTS GROUP LIMITED</t>
  </si>
  <si>
    <t>FRANC HOLDINGS LIMITED</t>
  </si>
  <si>
    <t>OPTIMUM HOLDINGS LIMITED</t>
  </si>
  <si>
    <t>other</t>
  </si>
  <si>
    <t>#</t>
  </si>
  <si>
    <t>9Spokes</t>
  </si>
  <si>
    <t>revenue</t>
  </si>
  <si>
    <t>net income</t>
  </si>
  <si>
    <t>net profit margin</t>
  </si>
  <si>
    <t>share value</t>
  </si>
  <si>
    <t>2</t>
  </si>
  <si>
    <t>3</t>
  </si>
  <si>
    <t>5</t>
  </si>
  <si>
    <t>Etienne Naude</t>
  </si>
  <si>
    <t>Position</t>
  </si>
  <si>
    <t>Employer</t>
  </si>
  <si>
    <t>About</t>
  </si>
  <si>
    <t>Industries</t>
  </si>
  <si>
    <t>Size</t>
  </si>
  <si>
    <t>Founded</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</si>
  <si>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</si>
  <si>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</si>
  <si>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</si>
  <si>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</si>
  <si>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</si>
  <si>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</si>
  <si>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link</t>
  </si>
  <si>
    <t xml:space="preserve">https://www.linkedin.com/school/the-university-of-auckland/?trk=public_profile_topcard_school </t>
  </si>
  <si>
    <t>Hooker</t>
  </si>
  <si>
    <t>big mama</t>
  </si>
  <si>
    <t>XXX.XXX</t>
  </si>
  <si>
    <t>PhD AuT</t>
  </si>
  <si>
    <t>Alfred</t>
  </si>
  <si>
    <t>test</t>
  </si>
  <si>
    <t>Linked In</t>
  </si>
  <si>
    <t>great sample response:</t>
  </si>
  <si>
    <t>market cap</t>
  </si>
  <si>
    <t>volume</t>
  </si>
  <si>
    <t>1 year</t>
  </si>
  <si>
    <t>price</t>
  </si>
  <si>
    <t>% change</t>
  </si>
  <si>
    <t>Finance</t>
  </si>
  <si>
    <t>8</t>
  </si>
  <si>
    <t>Summaries</t>
  </si>
  <si>
    <t>100 B</t>
  </si>
  <si>
    <t>not flix</t>
  </si>
  <si>
    <t>$1</t>
  </si>
  <si>
    <t>average</t>
  </si>
  <si>
    <t>9spokes</t>
  </si>
  <si>
    <t>9 spokes</t>
  </si>
  <si>
    <t>shwoop</t>
  </si>
  <si>
    <t>40</t>
  </si>
  <si>
    <t>12</t>
  </si>
  <si>
    <t>19</t>
  </si>
  <si>
    <t>top country</t>
  </si>
  <si>
    <t>nz</t>
  </si>
  <si>
    <t>india</t>
  </si>
  <si>
    <t>strya</t>
  </si>
  <si>
    <t>Trends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</si>
</sst>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25" x14ac:knownFonts="1">
    <font>
      <sz val="11"/>
      <color theme="1"/>
      <name val="Calibri"/>
      <family val="2"/>
      <scheme val="minor"/>
    </font>
    <font>
      <u/>
      <sz val="11"/>
      <color theme="10"/>
      <name val="Calibri"/>
      <family val="2"/>
      <scheme val="minor"/>
    </font>
    <font>
      <b/>
      <sz val="15"/>
      <color theme="3"/>
      <name val="Calibri"/>
      <scheme val="minor"/>
    </font>
    <font>
      <b/>
      <sz val="13"/>
      <color theme="3"/>
      <name val="Calibri"/>
      <scheme val="minor"/>
    </font>
    <font>
      <b/>
      <sz val="11"/>
      <color theme="3"/>
      <name val="Calibri"/>
      <scheme val="minor"/>
    </font>
    <font>
      <b/>
      <sz val="11"/>
      <color theme="1"/>
      <name val="Calibri"/>
      <family val="2"/>
      <scheme val="minor"/>
    </font>
    <font>
      <sz val="8"/>
      <name val="Calibri"/>
      <family val="2"/>
      <scheme val="minor"/>
    </font>
    <font>
      <sz val="11"/>
      <color theme="0"/>
      <name val="Calibri"/>
      <family val="2"/>
      <scheme val="minor"/>
    </font>
    <font>
      <sz val="11"/>
      <color rgb="FF000000"/>
      <name val="Calibri"/>
      <family val="2"/>
    </font>
    <font>
      <sz val="11"/>
      <color theme="6" tint="0.79998168889431442"/>
      <name val="Calibri"/>
      <family val="2"/>
      <scheme val="minor"/>
    </font>
    <font>
      <sz val="11"/>
      <color theme="1"/>
      <name val="Calibri"/>
      <family val="2"/>
      <scheme val="minor"/>
    </font>
    <font>
      <sz val="18"/>
      <color theme="3"/>
      <name val="Calibri Light"/>
      <family val="2"/>
      <scheme val="major"/>
    </font>
    <font>
      <sz val="11"/>
      <color theme="0"/>
      <name val="Times New Roman"/>
      <family val="1"/>
    </font>
    <font>
      <b/>
      <sz val="48"/>
      <color theme="3"/>
      <name val="Times New Roman"/>
      <family val="1"/>
    </font>
    <font>
      <sz val="11"/>
      <color theme="6" tint="0.79998168889431442"/>
      <name val="Times New Roman"/>
      <family val="1"/>
    </font>
    <font>
      <sz val="11"/>
      <color theme="1"/>
      <name val="Times New Roman"/>
      <family val="1"/>
    </font>
    <font>
      <b/>
      <sz val="13"/>
      <color theme="3"/>
      <name val="Times New Roman"/>
      <family val="1"/>
    </font>
    <font>
      <b/>
      <sz val="28"/>
      <color theme="3"/>
      <name val="Times New Roman"/>
      <family val="1"/>
    </font>
    <font>
      <b/>
      <sz val="24"/>
      <color theme="1"/>
      <name val="Times New Roman"/>
      <family val="1"/>
    </font>
    <font>
      <b/>
      <sz val="11"/>
      <color theme="3"/>
      <name val="Times New Roman"/>
      <family val="1"/>
    </font>
    <font>
      <b/>
      <sz val="11"/>
      <color theme="1"/>
      <name val="Times New Roman"/>
      <family val="1"/>
    </font>
    <font>
      <u/>
      <sz val="11"/>
      <color theme="10"/>
      <name val="Times New Roman"/>
      <family val="1"/>
    </font>
    <font>
      <b/>
      <sz val="48"/>
      <color theme="1"/>
      <name val="Times New Roman"/>
      <family val="1"/>
    </font>
    <font>
      <sz val="48"/>
      <color theme="3"/>
      <name val="Times New Roman"/>
      <family val="1"/>
    </font>
    <font>
      <b/>
      <sz val="11"/>
      <color theme="0"/>
      <name val="Times New Roman"/>
      <family val="1"/>
    </font>
  </fonts>
  <fills count="12">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theme="0"/>
        <bgColor indexed="64"/>
      </patternFill>
    </fill>
    <fill>
      <patternFill patternType="solid">
        <fgColor theme="0"/>
        <bgColor theme="8" tint="0.59999389629810485"/>
      </patternFill>
    </fill>
    <fill>
      <patternFill patternType="solid">
        <fgColor theme="7" tint="0.59999389629810485"/>
        <bgColor indexed="64"/>
      </patternFill>
    </fill>
    <fill>
      <patternFill patternType="solid">
        <fgColor theme="4" tint="-0.249977111117893"/>
        <bgColor indexed="64"/>
      </patternFill>
    </fill>
  </fills>
  <borders count="5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medium">
        <color rgb="FF000000"/>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style="thin">
        <color theme="0"/>
      </left>
      <right/>
      <top/>
      <bottom/>
      <diagonal/>
    </border>
    <border>
      <left/>
      <right style="thin">
        <color theme="0"/>
      </right>
      <top style="thin">
        <color rgb="FF000000"/>
      </top>
      <bottom/>
      <diagonal/>
    </border>
    <border>
      <left style="thin">
        <color theme="0"/>
      </left>
      <right/>
      <top style="thin">
        <color rgb="FF000000"/>
      </top>
      <bottom/>
      <diagonal/>
    </border>
    <border>
      <left/>
      <right style="thin">
        <color theme="0"/>
      </right>
      <top/>
      <bottom style="thin">
        <color rgb="FF000000"/>
      </bottom>
      <diagonal/>
    </border>
    <border>
      <left style="thin">
        <color theme="0"/>
      </left>
      <right/>
      <top/>
      <bottom style="thin">
        <color rgb="FF000000"/>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right/>
      <top style="thick">
        <color theme="4"/>
      </top>
      <bottom style="thick">
        <color theme="4" tint="0.499984740745262"/>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ck">
        <color theme="4" tint="0.499984740745262"/>
      </top>
      <bottom/>
      <diagonal/>
    </border>
    <border>
      <left/>
      <right/>
      <top/>
      <bottom style="medium">
        <color indexed="64"/>
      </bottom>
      <diagonal/>
    </border>
    <border>
      <left/>
      <right/>
      <top style="medium">
        <color indexed="64"/>
      </top>
      <bottom/>
      <diagonal/>
    </border>
    <border>
      <left/>
      <right style="medium">
        <color indexed="64"/>
      </right>
      <top/>
      <bottom/>
      <diagonal/>
    </border>
    <border>
      <left style="thin">
        <color theme="0"/>
      </left>
      <right/>
      <top style="medium">
        <color theme="4" tint="0.39997558519241921"/>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
      <left style="thin">
        <color rgb="FF000000"/>
      </left>
      <right style="thin">
        <color theme="0"/>
      </right>
      <top style="medium">
        <color theme="4" tint="0.39997558519241921"/>
      </top>
      <bottom/>
      <diagonal/>
    </border>
    <border>
      <left/>
      <right style="thin">
        <color rgb="FF000000"/>
      </right>
      <top/>
      <bottom style="thin">
        <color indexed="64"/>
      </bottom>
      <diagonal/>
    </border>
    <border>
      <left style="thin">
        <color theme="0"/>
      </left>
      <right style="thin">
        <color theme="0"/>
      </right>
      <top style="thin">
        <color rgb="FF000000"/>
      </top>
      <bottom/>
      <diagonal/>
    </border>
    <border>
      <left style="thin">
        <color theme="0"/>
      </left>
      <right style="thin">
        <color theme="0"/>
      </right>
      <top/>
      <bottom/>
      <diagonal/>
    </border>
    <border>
      <left style="thin">
        <color theme="0"/>
      </left>
      <right style="thin">
        <color theme="0"/>
      </right>
      <top/>
      <bottom style="thin">
        <color indexed="64"/>
      </bottom>
      <diagonal/>
    </border>
    <border>
      <left style="thin">
        <color rgb="FF000000"/>
      </left>
      <right style="thin">
        <color theme="0"/>
      </right>
      <top/>
      <bottom style="medium">
        <color theme="4" tint="0.39997558519241921"/>
      </bottom>
      <diagonal/>
    </border>
    <border>
      <left style="thin">
        <color theme="0"/>
      </left>
      <right style="thin">
        <color theme="0"/>
      </right>
      <top/>
      <bottom style="thin">
        <color rgb="FF000000"/>
      </bottom>
      <diagonal/>
    </border>
    <border>
      <left style="medium">
        <color indexed="64"/>
      </left>
      <right/>
      <top/>
      <bottom/>
      <diagonal/>
    </border>
  </borders>
  <cellStyleXfs count="11">
    <xf numFmtId="0" fontId="0" fillId="0" borderId="0"/>
    <xf numFmtId="0" fontId="1"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9" fillId="4" borderId="0" applyNumberFormat="0" applyBorder="0" applyAlignment="0" applyProtection="0"/>
    <xf numFmtId="0" fontId="7" fillId="7" borderId="0" applyNumberFormat="0" applyBorder="0" applyAlignment="0" applyProtection="0"/>
    <xf numFmtId="0" fontId="9" fillId="4" borderId="0"/>
    <xf numFmtId="0" fontId="7" fillId="7" borderId="0"/>
    <xf numFmtId="9" fontId="10" fillId="0" borderId="0" applyFont="0" applyFill="0" applyBorder="0" applyAlignment="0" applyProtection="0"/>
    <xf numFmtId="0" fontId="11" fillId="0" borderId="0" applyNumberFormat="0" applyFill="0" applyBorder="0" applyAlignment="0" applyProtection="0"/>
  </cellStyleXfs>
  <cellXfs count="219">
    <xf numFmtId="0" fontId="0" fillId="0" borderId="0" xfId="0"/>
    <xf numFmtId="0" fontId="1" fillId="0" borderId="0" xfId="1"/>
    <xf numFmtId="2" fontId="0" fillId="0" borderId="0" xfId="0" applyNumberFormat="1"/>
    <xf numFmtId="0" fontId="0" fillId="0" borderId="0" xfId="0" applyFill="1"/>
    <xf numFmtId="0" fontId="9" fillId="4" borderId="0" xfId="5"/>
    <xf numFmtId="14" fontId="0" fillId="0" borderId="0" xfId="0" applyNumberFormat="1"/>
    <xf numFmtId="49" fontId="0" fillId="3" borderId="13" xfId="0" applyNumberFormat="1" applyFont="1" applyFill="1" applyBorder="1" applyAlignment="1"/>
    <xf numFmtId="49" fontId="0" fillId="2" borderId="13" xfId="0" applyNumberFormat="1" applyFont="1" applyFill="1" applyBorder="1" applyAlignment="1"/>
    <xf numFmtId="49" fontId="0" fillId="3" borderId="13" xfId="0" applyNumberFormat="1" applyFont="1" applyFill="1" applyBorder="1" applyAlignment="1"/>
    <xf numFmtId="49" fontId="0" fillId="2" borderId="13" xfId="0" applyNumberFormat="1" applyFont="1" applyFill="1" applyBorder="1" applyAlignment="1"/>
    <xf numFmtId="0" fontId="0" fillId="5" borderId="0" xfId="0" applyFill="1" applyAlignment="1"/>
    <xf numFmtId="49" fontId="0" fillId="2" borderId="15" xfId="0" applyNumberFormat="1" applyFont="1" applyFill="1" applyBorder="1" applyAlignment="1"/>
    <xf numFmtId="49" fontId="0" fillId="2" borderId="22" xfId="0" applyNumberFormat="1" applyFont="1" applyFill="1" applyBorder="1" applyAlignment="1"/>
    <xf numFmtId="49" fontId="0" fillId="3" borderId="23" xfId="0" applyNumberFormat="1" applyFont="1" applyFill="1" applyBorder="1" applyAlignment="1"/>
    <xf numFmtId="49" fontId="0" fillId="2" borderId="23" xfId="0" applyNumberFormat="1" applyFont="1" applyFill="1" applyBorder="1" applyAlignment="1"/>
    <xf numFmtId="49" fontId="4" fillId="0" borderId="28" xfId="4" applyNumberFormat="1" applyFill="1" applyBorder="1" applyAlignment="1">
      <alignment horizontal="center" vertical="center"/>
    </xf>
    <xf numFmtId="49" fontId="4" fillId="0" borderId="29" xfId="4" applyNumberFormat="1" applyFill="1" applyBorder="1" applyAlignment="1">
      <alignment horizontal="center" vertical="center"/>
    </xf>
    <xf numFmtId="49" fontId="4" fillId="0" borderId="30" xfId="4" applyNumberFormat="1" applyFill="1" applyBorder="1" applyAlignment="1">
      <alignment horizontal="center" vertical="center"/>
    </xf>
    <xf numFmtId="49" fontId="0" fillId="3" borderId="17" xfId="0" applyNumberFormat="1" applyFont="1" applyFill="1" applyBorder="1" applyAlignment="1"/>
    <xf numFmtId="49" fontId="0" fillId="3" borderId="24" xfId="0" applyNumberFormat="1" applyFont="1" applyFill="1" applyBorder="1" applyAlignment="1"/>
    <xf numFmtId="164" fontId="5" fillId="2" borderId="6" xfId="0" applyNumberFormat="1" applyFont="1" applyFill="1" applyBorder="1" applyAlignment="1">
      <alignment horizontal="right"/>
    </xf>
    <xf numFmtId="164" fontId="5" fillId="3" borderId="8" xfId="0" applyNumberFormat="1" applyFont="1" applyFill="1" applyBorder="1" applyAlignment="1"/>
    <xf numFmtId="164" fontId="5" fillId="2" borderId="8" xfId="0" applyNumberFormat="1" applyFont="1" applyFill="1" applyBorder="1" applyAlignment="1"/>
    <xf numFmtId="164" fontId="5" fillId="3" borderId="9" xfId="0" applyNumberFormat="1" applyFont="1" applyFill="1" applyBorder="1" applyAlignment="1"/>
    <xf numFmtId="164" fontId="0" fillId="0" borderId="0" xfId="0" applyNumberFormat="1"/>
    <xf numFmtId="0" fontId="9" fillId="4" borderId="0" xfId="5" applyBorder="1"/>
    <xf numFmtId="0" fontId="9" fillId="4" borderId="0" xfId="7"/>
    <xf numFmtId="0" fontId="12" fillId="7" borderId="34" xfId="6" applyFont="1" applyBorder="1"/>
    <xf numFmtId="0" fontId="14" fillId="4" borderId="0" xfId="5" applyFont="1" applyAlignment="1"/>
    <xf numFmtId="0" fontId="15" fillId="0" borderId="0" xfId="0" applyFont="1"/>
    <xf numFmtId="0" fontId="12" fillId="7" borderId="0" xfId="6" applyFont="1" applyBorder="1"/>
    <xf numFmtId="0" fontId="12" fillId="7" borderId="0" xfId="6" applyFont="1" applyBorder="1" applyAlignment="1">
      <alignment horizontal="center"/>
    </xf>
    <xf numFmtId="0" fontId="12" fillId="7" borderId="0" xfId="6" applyFont="1" applyAlignment="1"/>
    <xf numFmtId="0" fontId="16" fillId="0" borderId="0" xfId="3" applyFont="1" applyFill="1" applyBorder="1" applyAlignment="1">
      <alignment horizontal="center"/>
    </xf>
    <xf numFmtId="0" fontId="14" fillId="4" borderId="0" xfId="5" applyFont="1"/>
    <xf numFmtId="49" fontId="14" fillId="4" borderId="0" xfId="5" applyNumberFormat="1" applyFont="1" applyAlignment="1">
      <alignment horizontal="left"/>
    </xf>
    <xf numFmtId="0" fontId="14" fillId="4" borderId="0" xfId="5" applyFont="1" applyBorder="1"/>
    <xf numFmtId="49" fontId="20" fillId="2" borderId="48" xfId="0" applyNumberFormat="1" applyFont="1" applyFill="1" applyBorder="1" applyAlignment="1">
      <alignment horizontal="right"/>
    </xf>
    <xf numFmtId="49" fontId="15" fillId="2" borderId="22" xfId="0" applyNumberFormat="1" applyFont="1" applyFill="1" applyBorder="1" applyAlignment="1">
      <alignment horizontal="left"/>
    </xf>
    <xf numFmtId="49" fontId="20" fillId="2" borderId="8" xfId="0" applyNumberFormat="1" applyFont="1" applyFill="1" applyBorder="1" applyAlignment="1">
      <alignment horizontal="right"/>
    </xf>
    <xf numFmtId="49" fontId="21" fillId="2" borderId="23" xfId="1" applyNumberFormat="1" applyFont="1" applyFill="1" applyBorder="1" applyAlignment="1">
      <alignment horizontal="left"/>
    </xf>
    <xf numFmtId="49" fontId="20" fillId="3" borderId="0" xfId="0" applyNumberFormat="1" applyFont="1" applyFill="1" applyBorder="1" applyAlignment="1">
      <alignment horizontal="right"/>
    </xf>
    <xf numFmtId="49" fontId="15" fillId="3" borderId="23" xfId="0" applyNumberFormat="1" applyFont="1" applyFill="1" applyBorder="1" applyAlignment="1">
      <alignment horizontal="left"/>
    </xf>
    <xf numFmtId="49" fontId="20" fillId="3" borderId="8" xfId="0" applyNumberFormat="1" applyFont="1" applyFill="1" applyBorder="1" applyAlignment="1">
      <alignment horizontal="right"/>
    </xf>
    <xf numFmtId="49" fontId="20" fillId="2" borderId="50" xfId="0" applyNumberFormat="1" applyFont="1" applyFill="1" applyBorder="1" applyAlignment="1">
      <alignment horizontal="right"/>
    </xf>
    <xf numFmtId="49" fontId="20" fillId="2" borderId="0" xfId="0" applyNumberFormat="1" applyFont="1" applyFill="1" applyBorder="1" applyAlignment="1">
      <alignment horizontal="right"/>
    </xf>
    <xf numFmtId="49" fontId="15" fillId="2" borderId="23" xfId="0" applyNumberFormat="1" applyFont="1" applyFill="1" applyBorder="1" applyAlignment="1">
      <alignment horizontal="left"/>
    </xf>
    <xf numFmtId="49" fontId="20" fillId="3" borderId="46" xfId="0" applyNumberFormat="1" applyFont="1" applyFill="1" applyBorder="1" applyAlignment="1">
      <alignment horizontal="right"/>
    </xf>
    <xf numFmtId="49" fontId="15" fillId="3" borderId="5" xfId="0" applyNumberFormat="1" applyFont="1" applyFill="1" applyBorder="1" applyAlignment="1">
      <alignment horizontal="left"/>
    </xf>
    <xf numFmtId="0" fontId="15" fillId="3" borderId="23" xfId="0" applyFont="1" applyFill="1" applyBorder="1" applyAlignment="1">
      <alignment horizontal="left"/>
    </xf>
    <xf numFmtId="49" fontId="20" fillId="2" borderId="46" xfId="0" applyNumberFormat="1" applyFont="1" applyFill="1" applyBorder="1" applyAlignment="1">
      <alignment horizontal="right"/>
    </xf>
    <xf numFmtId="49" fontId="15" fillId="2" borderId="5" xfId="0" applyNumberFormat="1" applyFont="1" applyFill="1" applyBorder="1" applyAlignment="1">
      <alignment horizontal="left"/>
    </xf>
    <xf numFmtId="0" fontId="12" fillId="7" borderId="0" xfId="6" applyFont="1"/>
    <xf numFmtId="49" fontId="20" fillId="3" borderId="47" xfId="0" applyNumberFormat="1" applyFont="1" applyFill="1" applyBorder="1" applyAlignment="1">
      <alignment horizontal="right"/>
    </xf>
    <xf numFmtId="49" fontId="20" fillId="3" borderId="38" xfId="0" applyNumberFormat="1" applyFont="1" applyFill="1" applyBorder="1" applyAlignment="1">
      <alignment horizontal="right"/>
    </xf>
    <xf numFmtId="0" fontId="15" fillId="3" borderId="37" xfId="0" applyFont="1" applyFill="1" applyBorder="1" applyAlignment="1">
      <alignment horizontal="left"/>
    </xf>
    <xf numFmtId="0" fontId="14" fillId="4" borderId="0" xfId="5" applyFont="1" applyAlignment="1">
      <alignment horizontal="left"/>
    </xf>
    <xf numFmtId="0" fontId="14" fillId="4" borderId="32" xfId="5" applyFont="1" applyBorder="1"/>
    <xf numFmtId="49" fontId="14" fillId="4" borderId="32" xfId="5" applyNumberFormat="1" applyFont="1" applyBorder="1" applyAlignment="1">
      <alignment horizontal="left"/>
    </xf>
    <xf numFmtId="0" fontId="14" fillId="4" borderId="4" xfId="5" applyFont="1" applyBorder="1"/>
    <xf numFmtId="49" fontId="14" fillId="4" borderId="4" xfId="5" applyNumberFormat="1" applyFont="1" applyBorder="1" applyAlignment="1">
      <alignment horizontal="left"/>
    </xf>
    <xf numFmtId="0" fontId="15" fillId="5" borderId="0" xfId="0" applyFont="1" applyFill="1" applyAlignment="1"/>
    <xf numFmtId="49" fontId="20" fillId="2" borderId="6" xfId="0" applyNumberFormat="1" applyFont="1" applyFill="1" applyBorder="1" applyAlignment="1">
      <alignment horizontal="right"/>
    </xf>
    <xf numFmtId="0" fontId="15" fillId="6" borderId="0" xfId="0" applyFont="1" applyFill="1" applyAlignment="1"/>
    <xf numFmtId="0" fontId="15" fillId="6" borderId="0" xfId="0" applyFont="1" applyFill="1" applyAlignment="1">
      <alignment horizontal="left"/>
    </xf>
    <xf numFmtId="49" fontId="20" fillId="9" borderId="0" xfId="0" applyNumberFormat="1" applyFont="1" applyFill="1" applyBorder="1" applyAlignment="1">
      <alignment horizontal="right"/>
    </xf>
    <xf numFmtId="10" fontId="15" fillId="9" borderId="0" xfId="0" applyNumberFormat="1" applyFont="1" applyFill="1" applyBorder="1" applyAlignment="1">
      <alignment horizontal="left"/>
    </xf>
    <xf numFmtId="0" fontId="15" fillId="8" borderId="0" xfId="0" applyFont="1" applyFill="1" applyBorder="1" applyAlignment="1"/>
    <xf numFmtId="0" fontId="15" fillId="8" borderId="0" xfId="0" applyFont="1" applyFill="1" applyBorder="1" applyAlignment="1">
      <alignment horizontal="left"/>
    </xf>
    <xf numFmtId="0" fontId="15" fillId="0" borderId="0" xfId="0" applyFont="1" applyBorder="1" applyAlignment="1"/>
    <xf numFmtId="0" fontId="15" fillId="0" borderId="0" xfId="0" applyFont="1" applyBorder="1" applyAlignment="1">
      <alignment horizontal="left"/>
    </xf>
    <xf numFmtId="0" fontId="15" fillId="0" borderId="0" xfId="0" applyFont="1" applyAlignment="1"/>
    <xf numFmtId="0" fontId="15" fillId="0" borderId="0" xfId="0" applyFont="1" applyAlignment="1">
      <alignment horizontal="left"/>
    </xf>
    <xf numFmtId="49" fontId="20" fillId="2" borderId="9" xfId="0" applyNumberFormat="1" applyFont="1" applyFill="1" applyBorder="1" applyAlignment="1">
      <alignment horizontal="right"/>
    </xf>
    <xf numFmtId="49" fontId="15" fillId="2" borderId="24" xfId="0" applyNumberFormat="1" applyFont="1" applyFill="1" applyBorder="1" applyAlignment="1">
      <alignment horizontal="left"/>
    </xf>
    <xf numFmtId="49" fontId="20" fillId="3" borderId="9" xfId="0" applyNumberFormat="1" applyFont="1" applyFill="1" applyBorder="1" applyAlignment="1">
      <alignment horizontal="right"/>
    </xf>
    <xf numFmtId="0" fontId="15" fillId="3" borderId="24" xfId="0" applyFont="1" applyFill="1" applyBorder="1" applyAlignment="1">
      <alignment horizontal="left"/>
    </xf>
    <xf numFmtId="10" fontId="15" fillId="2" borderId="22" xfId="0" applyNumberFormat="1" applyFont="1" applyFill="1" applyBorder="1" applyAlignment="1">
      <alignment horizontal="left"/>
    </xf>
    <xf numFmtId="10" fontId="15" fillId="3" borderId="27" xfId="0" applyNumberFormat="1" applyFont="1" applyFill="1" applyBorder="1" applyAlignment="1">
      <alignment horizontal="left"/>
    </xf>
    <xf numFmtId="10" fontId="15" fillId="2" borderId="27" xfId="0" applyNumberFormat="1" applyFont="1" applyFill="1" applyBorder="1" applyAlignment="1">
      <alignment horizontal="left"/>
    </xf>
    <xf numFmtId="0" fontId="14" fillId="4" borderId="0" xfId="7" applyFont="1"/>
    <xf numFmtId="0" fontId="15" fillId="5" borderId="0" xfId="0" applyFont="1" applyFill="1" applyBorder="1" applyAlignment="1"/>
    <xf numFmtId="49" fontId="20" fillId="2" borderId="36" xfId="0" applyNumberFormat="1" applyFont="1" applyFill="1" applyBorder="1" applyAlignment="1">
      <alignment horizontal="center"/>
    </xf>
    <xf numFmtId="49" fontId="15" fillId="3" borderId="37" xfId="0" applyNumberFormat="1" applyFont="1" applyFill="1" applyBorder="1" applyAlignment="1">
      <alignment horizontal="left"/>
    </xf>
    <xf numFmtId="0" fontId="15" fillId="0" borderId="0" xfId="0" applyNumberFormat="1" applyFont="1" applyAlignment="1">
      <alignment horizontal="left"/>
    </xf>
    <xf numFmtId="0" fontId="20" fillId="3" borderId="0" xfId="0" applyNumberFormat="1" applyFont="1" applyFill="1" applyBorder="1" applyAlignment="1">
      <alignment horizontal="right"/>
    </xf>
    <xf numFmtId="0" fontId="7" fillId="7" borderId="0" xfId="6" applyNumberFormat="1" applyBorder="1" applyAlignment="1">
      <alignment horizontal="right"/>
    </xf>
    <xf numFmtId="49" fontId="7" fillId="7" borderId="0" xfId="6" applyNumberFormat="1" applyBorder="1" applyAlignment="1">
      <alignment horizontal="right"/>
    </xf>
    <xf numFmtId="14" fontId="20" fillId="3" borderId="0" xfId="0" applyNumberFormat="1" applyFont="1" applyFill="1" applyBorder="1" applyAlignment="1">
      <alignment horizontal="right"/>
    </xf>
    <xf numFmtId="0" fontId="15" fillId="3" borderId="0" xfId="0" applyNumberFormat="1" applyFont="1" applyFill="1" applyBorder="1" applyAlignment="1">
      <alignment horizontal="left"/>
    </xf>
    <xf numFmtId="14" fontId="20" fillId="2" borderId="0" xfId="0" applyNumberFormat="1" applyFont="1" applyFill="1" applyBorder="1" applyAlignment="1">
      <alignment horizontal="right"/>
    </xf>
    <xf numFmtId="9" fontId="15" fillId="2" borderId="0" xfId="9" applyFont="1" applyFill="1" applyBorder="1" applyAlignment="1">
      <alignment horizontal="left"/>
    </xf>
    <xf numFmtId="9" fontId="15" fillId="3" borderId="0" xfId="9" applyFont="1" applyFill="1" applyBorder="1" applyAlignment="1">
      <alignment horizontal="left"/>
    </xf>
    <xf numFmtId="14" fontId="7" fillId="7" borderId="0" xfId="6" applyNumberFormat="1" applyBorder="1" applyAlignment="1">
      <alignment horizontal="right"/>
    </xf>
    <xf numFmtId="9" fontId="7" fillId="7" borderId="0" xfId="6" applyNumberFormat="1" applyBorder="1" applyAlignment="1">
      <alignment horizontal="left"/>
    </xf>
    <xf numFmtId="0" fontId="7" fillId="7" borderId="0" xfId="6" applyBorder="1" applyAlignment="1"/>
    <xf numFmtId="49" fontId="7" fillId="7" borderId="0" xfId="6" applyNumberFormat="1" applyBorder="1" applyAlignment="1">
      <alignment horizontal="left"/>
    </xf>
    <xf numFmtId="0" fontId="9" fillId="4" borderId="0" xfId="7" applyBorder="1"/>
    <xf numFmtId="49" fontId="20" fillId="2" borderId="36" xfId="0" applyNumberFormat="1" applyFont="1" applyFill="1" applyBorder="1" applyAlignment="1">
      <alignment horizontal="right"/>
    </xf>
    <xf numFmtId="49" fontId="20" fillId="2" borderId="36" xfId="0" applyNumberFormat="1" applyFont="1" applyFill="1" applyBorder="1" applyAlignment="1">
      <alignment horizontal="left"/>
    </xf>
    <xf numFmtId="49" fontId="15" fillId="2" borderId="48" xfId="0" applyNumberFormat="1" applyFont="1" applyFill="1" applyBorder="1" applyAlignment="1">
      <alignment horizontal="right"/>
    </xf>
    <xf numFmtId="49" fontId="15" fillId="3" borderId="0" xfId="0" applyNumberFormat="1" applyFont="1" applyFill="1" applyBorder="1" applyAlignment="1">
      <alignment horizontal="right"/>
    </xf>
    <xf numFmtId="49" fontId="15" fillId="2" borderId="0" xfId="0" applyNumberFormat="1" applyFont="1" applyFill="1" applyBorder="1" applyAlignment="1">
      <alignment horizontal="right"/>
    </xf>
    <xf numFmtId="49" fontId="15" fillId="3" borderId="38" xfId="0" applyNumberFormat="1" applyFont="1" applyFill="1" applyBorder="1" applyAlignment="1">
      <alignment horizontal="right"/>
    </xf>
    <xf numFmtId="0" fontId="15" fillId="3" borderId="0" xfId="0" applyNumberFormat="1" applyFont="1" applyFill="1" applyBorder="1" applyAlignment="1">
      <alignment horizontal="right"/>
    </xf>
    <xf numFmtId="0" fontId="15" fillId="2" borderId="0" xfId="0" applyNumberFormat="1" applyFont="1" applyFill="1" applyBorder="1" applyAlignment="1">
      <alignment horizontal="right"/>
    </xf>
    <xf numFmtId="14" fontId="9" fillId="4" borderId="0" xfId="5" applyNumberFormat="1"/>
    <xf numFmtId="49" fontId="19" fillId="0" borderId="20" xfId="4" applyNumberFormat="1" applyFont="1" applyFill="1" applyBorder="1" applyAlignment="1">
      <alignment horizontal="center"/>
    </xf>
    <xf numFmtId="49" fontId="19" fillId="0" borderId="18" xfId="4" applyNumberFormat="1" applyFont="1" applyFill="1" applyBorder="1" applyAlignment="1">
      <alignment horizontal="center"/>
    </xf>
    <xf numFmtId="49" fontId="19" fillId="0" borderId="19" xfId="4" applyNumberFormat="1" applyFont="1" applyFill="1" applyBorder="1" applyAlignment="1">
      <alignment horizontal="center"/>
    </xf>
    <xf numFmtId="0" fontId="23" fillId="8" borderId="0" xfId="10" applyFont="1" applyFill="1" applyAlignment="1">
      <alignment horizontal="center" vertical="center"/>
    </xf>
    <xf numFmtId="0" fontId="23" fillId="8" borderId="5" xfId="10" applyFont="1" applyFill="1" applyBorder="1" applyAlignment="1">
      <alignment horizontal="center" vertical="center"/>
    </xf>
    <xf numFmtId="0" fontId="16" fillId="8" borderId="21" xfId="3" applyFont="1" applyFill="1" applyBorder="1" applyAlignment="1">
      <alignment horizontal="center"/>
    </xf>
    <xf numFmtId="0" fontId="17" fillId="0" borderId="31" xfId="3" applyFont="1" applyFill="1" applyBorder="1" applyAlignment="1">
      <alignment horizontal="center"/>
    </xf>
    <xf numFmtId="0" fontId="17" fillId="0" borderId="0" xfId="3" applyFont="1" applyFill="1" applyBorder="1" applyAlignment="1">
      <alignment horizontal="center"/>
    </xf>
    <xf numFmtId="0" fontId="19" fillId="0" borderId="18" xfId="4" applyFont="1" applyFill="1" applyBorder="1" applyAlignment="1">
      <alignment horizontal="center"/>
    </xf>
    <xf numFmtId="0" fontId="19" fillId="0" borderId="19" xfId="4" applyFont="1" applyFill="1" applyBorder="1" applyAlignment="1">
      <alignment horizontal="center"/>
    </xf>
    <xf numFmtId="49" fontId="15" fillId="2" borderId="36" xfId="0" applyNumberFormat="1" applyFont="1" applyFill="1" applyBorder="1" applyAlignment="1">
      <alignment horizontal="left" vertical="top" wrapText="1"/>
    </xf>
    <xf numFmtId="49" fontId="15" fillId="2" borderId="42" xfId="0" applyNumberFormat="1" applyFont="1" applyFill="1" applyBorder="1" applyAlignment="1">
      <alignment horizontal="left" vertical="top" wrapText="1"/>
    </xf>
    <xf numFmtId="49" fontId="15" fillId="2" borderId="0" xfId="0" applyNumberFormat="1" applyFont="1" applyFill="1" applyBorder="1" applyAlignment="1">
      <alignment horizontal="left" vertical="top" wrapText="1"/>
    </xf>
    <xf numFmtId="49" fontId="15" fillId="2" borderId="43" xfId="0" applyNumberFormat="1" applyFont="1" applyFill="1" applyBorder="1" applyAlignment="1">
      <alignment horizontal="left" vertical="top" wrapText="1"/>
    </xf>
    <xf numFmtId="49" fontId="15" fillId="2" borderId="38" xfId="0" applyNumberFormat="1" applyFont="1" applyFill="1" applyBorder="1" applyAlignment="1">
      <alignment horizontal="left" vertical="top" wrapText="1"/>
    </xf>
    <xf numFmtId="49" fontId="15" fillId="2" borderId="44" xfId="0" applyNumberFormat="1" applyFont="1" applyFill="1" applyBorder="1" applyAlignment="1">
      <alignment horizontal="left" vertical="top" wrapText="1"/>
    </xf>
    <xf numFmtId="0" fontId="19" fillId="0" borderId="20" xfId="4" applyFont="1" applyFill="1" applyBorder="1" applyAlignment="1">
      <alignment horizontal="center"/>
    </xf>
    <xf numFmtId="49" fontId="15" fillId="2" borderId="39" xfId="0" applyNumberFormat="1" applyFont="1" applyFill="1" applyBorder="1" applyAlignment="1">
      <alignment horizontal="left" vertical="top" wrapText="1"/>
    </xf>
    <xf numFmtId="49" fontId="15" fillId="2" borderId="40" xfId="0" applyNumberFormat="1" applyFont="1" applyFill="1" applyBorder="1" applyAlignment="1">
      <alignment horizontal="left" vertical="top" wrapText="1"/>
    </xf>
    <xf numFmtId="49" fontId="15" fillId="2" borderId="41" xfId="0" applyNumberFormat="1" applyFont="1" applyFill="1" applyBorder="1" applyAlignment="1">
      <alignment horizontal="left" vertical="top" wrapText="1"/>
    </xf>
    <xf numFmtId="0" fontId="18" fillId="6" borderId="45" xfId="0" applyFont="1" applyFill="1" applyBorder="1" applyAlignment="1">
      <alignment horizontal="center" vertical="center"/>
    </xf>
    <xf numFmtId="0" fontId="18" fillId="6" borderId="11" xfId="0" applyFont="1" applyFill="1" applyBorder="1" applyAlignment="1">
      <alignment horizontal="center" vertical="center"/>
    </xf>
    <xf numFmtId="49" fontId="20" fillId="2" borderId="12" xfId="0" applyNumberFormat="1" applyFont="1" applyFill="1" applyBorder="1" applyAlignment="1">
      <alignment horizontal="right" vertical="center"/>
    </xf>
    <xf numFmtId="49" fontId="20" fillId="2" borderId="49" xfId="0" applyNumberFormat="1" applyFont="1" applyFill="1" applyBorder="1" applyAlignment="1">
      <alignment horizontal="right" vertical="center"/>
    </xf>
    <xf numFmtId="49" fontId="21" fillId="2" borderId="23" xfId="1" applyNumberFormat="1" applyFont="1" applyFill="1" applyBorder="1" applyAlignment="1">
      <alignment horizontal="left" wrapText="1"/>
    </xf>
    <xf numFmtId="49" fontId="21" fillId="2" borderId="37" xfId="1" applyNumberFormat="1" applyFont="1" applyFill="1" applyBorder="1" applyAlignment="1">
      <alignment horizontal="left" wrapText="1"/>
    </xf>
    <xf numFmtId="49" fontId="20" fillId="2" borderId="46" xfId="0" applyNumberFormat="1" applyFont="1" applyFill="1" applyBorder="1" applyAlignment="1">
      <alignment horizontal="right" vertical="center"/>
    </xf>
    <xf numFmtId="49" fontId="20" fillId="2" borderId="47" xfId="0" applyNumberFormat="1" applyFont="1" applyFill="1" applyBorder="1" applyAlignment="1">
      <alignment horizontal="right" vertical="center"/>
    </xf>
    <xf numFmtId="0" fontId="15" fillId="2" borderId="9" xfId="0" applyFont="1" applyFill="1" applyBorder="1" applyAlignment="1">
      <alignment horizontal="center"/>
    </xf>
    <xf numFmtId="0" fontId="15" fillId="2" borderId="11" xfId="0" applyFont="1" applyFill="1" applyBorder="1" applyAlignment="1">
      <alignment horizontal="center"/>
    </xf>
    <xf numFmtId="0" fontId="15" fillId="2" borderId="10" xfId="0" applyFont="1" applyFill="1" applyBorder="1" applyAlignment="1">
      <alignment horizontal="center"/>
    </xf>
    <xf numFmtId="0" fontId="15" fillId="2" borderId="8" xfId="0" applyFont="1" applyFill="1" applyBorder="1" applyAlignment="1">
      <alignment horizontal="center"/>
    </xf>
    <xf numFmtId="0" fontId="15" fillId="2" borderId="0" xfId="0" applyFont="1" applyFill="1" applyBorder="1" applyAlignment="1">
      <alignment horizontal="center"/>
    </xf>
    <xf numFmtId="0" fontId="15" fillId="2" borderId="5" xfId="0" applyFont="1" applyFill="1" applyBorder="1" applyAlignment="1">
      <alignment horizontal="center"/>
    </xf>
    <xf numFmtId="0" fontId="15" fillId="3" borderId="8" xfId="0" applyFont="1" applyFill="1" applyBorder="1" applyAlignment="1">
      <alignment horizontal="center"/>
    </xf>
    <xf numFmtId="0" fontId="15" fillId="3" borderId="0" xfId="0" applyFont="1" applyFill="1" applyBorder="1" applyAlignment="1">
      <alignment horizontal="center"/>
    </xf>
    <xf numFmtId="0" fontId="15" fillId="3" borderId="5" xfId="0" applyFont="1" applyFill="1" applyBorder="1" applyAlignment="1">
      <alignment horizontal="center"/>
    </xf>
    <xf numFmtId="0" fontId="20" fillId="2" borderId="8" xfId="0" applyFont="1" applyFill="1" applyBorder="1" applyAlignment="1">
      <alignment horizontal="right"/>
    </xf>
    <xf numFmtId="0" fontId="20" fillId="2" borderId="12" xfId="0" applyFont="1" applyFill="1" applyBorder="1" applyAlignment="1">
      <alignment horizontal="right"/>
    </xf>
    <xf numFmtId="0" fontId="15" fillId="2" borderId="13" xfId="0" applyNumberFormat="1" applyFont="1" applyFill="1" applyBorder="1" applyAlignment="1">
      <alignment horizontal="left"/>
    </xf>
    <xf numFmtId="0" fontId="15" fillId="2" borderId="5" xfId="0" applyNumberFormat="1" applyFont="1" applyFill="1" applyBorder="1" applyAlignment="1">
      <alignment horizontal="left"/>
    </xf>
    <xf numFmtId="0" fontId="20" fillId="3" borderId="8" xfId="0" applyFont="1" applyFill="1" applyBorder="1" applyAlignment="1">
      <alignment horizontal="right"/>
    </xf>
    <xf numFmtId="0" fontId="20" fillId="3" borderId="12" xfId="0" applyFont="1" applyFill="1" applyBorder="1" applyAlignment="1">
      <alignment horizontal="right"/>
    </xf>
    <xf numFmtId="0" fontId="15" fillId="3" borderId="13" xfId="0" applyNumberFormat="1" applyFont="1" applyFill="1" applyBorder="1" applyAlignment="1">
      <alignment horizontal="left"/>
    </xf>
    <xf numFmtId="0" fontId="15" fillId="3" borderId="5" xfId="0" applyNumberFormat="1" applyFont="1" applyFill="1" applyBorder="1" applyAlignment="1">
      <alignment horizontal="left"/>
    </xf>
    <xf numFmtId="0" fontId="20" fillId="2" borderId="9" xfId="0" applyFont="1" applyFill="1" applyBorder="1" applyAlignment="1">
      <alignment horizontal="right"/>
    </xf>
    <xf numFmtId="0" fontId="20" fillId="2" borderId="16" xfId="0" applyFont="1" applyFill="1" applyBorder="1" applyAlignment="1">
      <alignment horizontal="right"/>
    </xf>
    <xf numFmtId="0" fontId="15" fillId="2" borderId="17" xfId="0" applyNumberFormat="1" applyFont="1" applyFill="1" applyBorder="1" applyAlignment="1">
      <alignment horizontal="left"/>
    </xf>
    <xf numFmtId="0" fontId="15" fillId="2" borderId="10" xfId="0" applyNumberFormat="1" applyFont="1" applyFill="1" applyBorder="1" applyAlignment="1">
      <alignment horizontal="left"/>
    </xf>
    <xf numFmtId="49" fontId="15" fillId="3" borderId="13" xfId="0" applyNumberFormat="1" applyFont="1" applyFill="1" applyBorder="1" applyAlignment="1">
      <alignment horizontal="left"/>
    </xf>
    <xf numFmtId="49" fontId="20" fillId="2" borderId="8" xfId="0" applyNumberFormat="1" applyFont="1" applyFill="1" applyBorder="1" applyAlignment="1">
      <alignment horizontal="right"/>
    </xf>
    <xf numFmtId="49" fontId="20" fillId="2" borderId="12" xfId="0" applyNumberFormat="1" applyFont="1" applyFill="1" applyBorder="1" applyAlignment="1">
      <alignment horizontal="right"/>
    </xf>
    <xf numFmtId="49" fontId="20" fillId="3" borderId="8" xfId="0" applyNumberFormat="1" applyFont="1" applyFill="1" applyBorder="1" applyAlignment="1">
      <alignment horizontal="right"/>
    </xf>
    <xf numFmtId="49" fontId="20" fillId="3" borderId="12" xfId="0" applyNumberFormat="1" applyFont="1" applyFill="1" applyBorder="1" applyAlignment="1">
      <alignment horizontal="right"/>
    </xf>
    <xf numFmtId="49" fontId="20" fillId="2" borderId="9" xfId="0" applyNumberFormat="1" applyFont="1" applyFill="1" applyBorder="1" applyAlignment="1">
      <alignment horizontal="right"/>
    </xf>
    <xf numFmtId="49" fontId="20" fillId="2" borderId="16" xfId="0" applyNumberFormat="1" applyFont="1" applyFill="1" applyBorder="1" applyAlignment="1">
      <alignment horizontal="right"/>
    </xf>
    <xf numFmtId="0" fontId="17" fillId="0" borderId="33" xfId="3" applyFont="1" applyFill="1" applyBorder="1" applyAlignment="1">
      <alignment horizontal="center"/>
    </xf>
    <xf numFmtId="49" fontId="20" fillId="2" borderId="6" xfId="0" applyNumberFormat="1" applyFont="1" applyFill="1" applyBorder="1" applyAlignment="1">
      <alignment horizontal="right"/>
    </xf>
    <xf numFmtId="49" fontId="20" fillId="2" borderId="14" xfId="0" applyNumberFormat="1" applyFont="1" applyFill="1" applyBorder="1" applyAlignment="1">
      <alignment horizontal="right"/>
    </xf>
    <xf numFmtId="49" fontId="15" fillId="2" borderId="15" xfId="0" applyNumberFormat="1" applyFont="1" applyFill="1" applyBorder="1" applyAlignment="1">
      <alignment horizontal="left"/>
    </xf>
    <xf numFmtId="0" fontId="15" fillId="2" borderId="7" xfId="0" applyNumberFormat="1" applyFont="1" applyFill="1" applyBorder="1" applyAlignment="1">
      <alignment horizontal="left"/>
    </xf>
    <xf numFmtId="49" fontId="15" fillId="3" borderId="5" xfId="0" applyNumberFormat="1" applyFont="1" applyFill="1" applyBorder="1" applyAlignment="1">
      <alignment horizontal="left"/>
    </xf>
    <xf numFmtId="49" fontId="15" fillId="2" borderId="13" xfId="0" applyNumberFormat="1" applyFont="1" applyFill="1" applyBorder="1" applyAlignment="1">
      <alignment horizontal="left"/>
    </xf>
    <xf numFmtId="49" fontId="15" fillId="2" borderId="5" xfId="0" applyNumberFormat="1" applyFont="1" applyFill="1" applyBorder="1" applyAlignment="1">
      <alignment horizontal="left"/>
    </xf>
    <xf numFmtId="49" fontId="15" fillId="2" borderId="17" xfId="0" applyNumberFormat="1" applyFont="1" applyFill="1" applyBorder="1" applyAlignment="1">
      <alignment horizontal="left"/>
    </xf>
    <xf numFmtId="49" fontId="15" fillId="2" borderId="10" xfId="0" applyNumberFormat="1" applyFont="1" applyFill="1" applyBorder="1" applyAlignment="1">
      <alignment horizontal="left"/>
    </xf>
    <xf numFmtId="49" fontId="15" fillId="3" borderId="35" xfId="0" applyNumberFormat="1" applyFont="1" applyFill="1" applyBorder="1" applyAlignment="1">
      <alignment horizontal="left"/>
    </xf>
    <xf numFmtId="0" fontId="15" fillId="3" borderId="26" xfId="0" applyNumberFormat="1" applyFont="1" applyFill="1" applyBorder="1" applyAlignment="1">
      <alignment horizontal="left"/>
    </xf>
    <xf numFmtId="0" fontId="13" fillId="0" borderId="0" xfId="2" applyFont="1" applyFill="1" applyBorder="1" applyAlignment="1">
      <alignment horizontal="center"/>
    </xf>
    <xf numFmtId="0" fontId="16" fillId="0" borderId="21" xfId="3" applyFont="1" applyFill="1" applyBorder="1" applyAlignment="1">
      <alignment horizontal="center"/>
    </xf>
    <xf numFmtId="49" fontId="15" fillId="2" borderId="9" xfId="0" applyNumberFormat="1" applyFont="1" applyFill="1" applyBorder="1" applyAlignment="1">
      <alignment horizontal="center"/>
    </xf>
    <xf numFmtId="49" fontId="15" fillId="2" borderId="11" xfId="0" applyNumberFormat="1" applyFont="1" applyFill="1" applyBorder="1" applyAlignment="1">
      <alignment horizontal="center"/>
    </xf>
    <xf numFmtId="49" fontId="15" fillId="2" borderId="10" xfId="0" applyNumberFormat="1" applyFont="1" applyFill="1" applyBorder="1" applyAlignment="1">
      <alignment horizontal="center"/>
    </xf>
    <xf numFmtId="49" fontId="15" fillId="3" borderId="8" xfId="0" applyNumberFormat="1" applyFont="1" applyFill="1" applyBorder="1" applyAlignment="1">
      <alignment horizontal="center"/>
    </xf>
    <xf numFmtId="49" fontId="15" fillId="3" borderId="0" xfId="0" applyNumberFormat="1" applyFont="1" applyFill="1" applyBorder="1" applyAlignment="1">
      <alignment horizontal="center"/>
    </xf>
    <xf numFmtId="49" fontId="15" fillId="3" borderId="5" xfId="0" applyNumberFormat="1" applyFont="1" applyFill="1" applyBorder="1" applyAlignment="1">
      <alignment horizontal="center"/>
    </xf>
    <xf numFmtId="49" fontId="15" fillId="2" borderId="8" xfId="0" applyNumberFormat="1" applyFont="1" applyFill="1" applyBorder="1" applyAlignment="1">
      <alignment horizontal="center"/>
    </xf>
    <xf numFmtId="49" fontId="15" fillId="2" borderId="0" xfId="0" applyNumberFormat="1" applyFont="1" applyFill="1" applyBorder="1" applyAlignment="1">
      <alignment horizontal="center"/>
    </xf>
    <xf numFmtId="49" fontId="15" fillId="2" borderId="5" xfId="0" applyNumberFormat="1" applyFont="1" applyFill="1" applyBorder="1" applyAlignment="1">
      <alignment horizontal="center"/>
    </xf>
    <xf numFmtId="49" fontId="15" fillId="3" borderId="26" xfId="0" applyNumberFormat="1" applyFont="1" applyFill="1" applyBorder="1" applyAlignment="1">
      <alignment horizontal="left"/>
    </xf>
    <xf numFmtId="49" fontId="15" fillId="2" borderId="35" xfId="0" applyNumberFormat="1" applyFont="1" applyFill="1" applyBorder="1" applyAlignment="1">
      <alignment horizontal="left"/>
    </xf>
    <xf numFmtId="49" fontId="15" fillId="2" borderId="26" xfId="0" applyNumberFormat="1" applyFont="1" applyFill="1" applyBorder="1" applyAlignment="1">
      <alignment horizontal="left"/>
    </xf>
    <xf numFmtId="0" fontId="0" fillId="0" borderId="11" xfId="0" applyBorder="1" applyAlignment="1">
      <alignment horizontal="center" vertical="center"/>
    </xf>
    <xf numFmtId="0" fontId="22" fillId="10" borderId="8" xfId="0" applyFont="1" applyFill="1" applyBorder="1" applyAlignment="1">
      <alignment horizontal="center"/>
    </xf>
    <xf numFmtId="0" fontId="15" fillId="3" borderId="9" xfId="0" applyFont="1" applyFill="1" applyBorder="1" applyAlignment="1">
      <alignment horizontal="center"/>
    </xf>
    <xf numFmtId="0" fontId="15" fillId="3" borderId="10" xfId="0" applyFont="1" applyFill="1" applyBorder="1" applyAlignment="1">
      <alignment horizontal="center"/>
    </xf>
    <xf numFmtId="0" fontId="15" fillId="2" borderId="25" xfId="0" applyFont="1" applyFill="1" applyBorder="1" applyAlignment="1">
      <alignment horizontal="center"/>
    </xf>
    <xf numFmtId="0" fontId="15" fillId="2" borderId="26" xfId="0" applyFont="1" applyFill="1" applyBorder="1" applyAlignment="1">
      <alignment horizontal="center"/>
    </xf>
    <xf numFmtId="0" fontId="0" fillId="0" borderId="0" xfId="0" applyAlignment="1">
      <alignment horizontal="center"/>
    </xf>
    <xf numFmtId="0" fontId="0" fillId="0" borderId="0" xfId="0" applyFill="1" applyAlignment="1"/>
    <xf numFmtId="0" fontId="18" fillId="6" borderId="0" xfId="0" applyFont="1" applyFill="1" applyBorder="1" applyAlignment="1">
      <alignment horizontal="center" vertical="center"/>
    </xf>
    <xf numFmtId="0" fontId="14" fillId="8" borderId="45" xfId="7" applyFont="1" applyFill="1" applyBorder="1" applyAlignment="1">
      <alignment horizontal="center"/>
    </xf>
    <xf numFmtId="0" fontId="14" fillId="8" borderId="0" xfId="7" applyFont="1" applyFill="1" applyAlignment="1">
      <alignment horizontal="center"/>
    </xf>
    <xf numFmtId="0" fontId="14" fillId="8" borderId="3" xfId="7" applyFont="1" applyFill="1" applyBorder="1" applyAlignment="1">
      <alignment horizontal="center"/>
    </xf>
    <xf numFmtId="49" fontId="15" fillId="2" borderId="7" xfId="0" applyNumberFormat="1" applyFont="1" applyFill="1" applyBorder="1" applyAlignment="1">
      <alignment horizontal="left"/>
    </xf>
    <xf numFmtId="0" fontId="15" fillId="3" borderId="51" xfId="0" applyFont="1" applyFill="1" applyBorder="1" applyAlignment="1">
      <alignment horizontal="left"/>
    </xf>
    <xf numFmtId="49" fontId="15" fillId="2" borderId="52" xfId="0" applyNumberFormat="1" applyFont="1" applyFill="1" applyBorder="1" applyAlignment="1">
      <alignment horizontal="left"/>
    </xf>
    <xf numFmtId="49" fontId="15" fillId="3" borderId="53" xfId="0" applyNumberFormat="1" applyFont="1" applyFill="1" applyBorder="1" applyAlignment="1">
      <alignment horizontal="left"/>
    </xf>
    <xf numFmtId="49" fontId="15" fillId="2" borderId="53" xfId="0" applyNumberFormat="1" applyFont="1" applyFill="1" applyBorder="1" applyAlignment="1">
      <alignment horizontal="left"/>
    </xf>
    <xf numFmtId="0" fontId="15" fillId="3" borderId="54" xfId="0" applyFont="1" applyFill="1" applyBorder="1" applyAlignment="1">
      <alignment horizontal="left"/>
    </xf>
    <xf numFmtId="49" fontId="15" fillId="2" borderId="14" xfId="0" applyNumberFormat="1" applyFont="1" applyFill="1" applyBorder="1" applyAlignment="1">
      <alignment horizontal="left"/>
    </xf>
    <xf numFmtId="49" fontId="15" fillId="3" borderId="12" xfId="0" applyNumberFormat="1" applyFont="1" applyFill="1" applyBorder="1" applyAlignment="1">
      <alignment horizontal="left"/>
    </xf>
    <xf numFmtId="49" fontId="15" fillId="2" borderId="12" xfId="0" applyNumberFormat="1" applyFont="1" applyFill="1" applyBorder="1" applyAlignment="1">
      <alignment horizontal="left"/>
    </xf>
    <xf numFmtId="0" fontId="15" fillId="3" borderId="49" xfId="0" applyFont="1" applyFill="1" applyBorder="1" applyAlignment="1">
      <alignment horizontal="left"/>
    </xf>
    <xf numFmtId="49" fontId="24" fillId="11" borderId="55" xfId="4" applyNumberFormat="1" applyFont="1" applyFill="1" applyBorder="1" applyAlignment="1">
      <alignment horizontal="center" vertical="center"/>
    </xf>
    <xf numFmtId="49" fontId="24" fillId="11" borderId="0" xfId="4" applyNumberFormat="1" applyFont="1" applyFill="1" applyBorder="1" applyAlignment="1">
      <alignment horizontal="center" vertical="center"/>
    </xf>
    <xf numFmtId="49" fontId="24" fillId="11" borderId="17" xfId="4" applyNumberFormat="1" applyFont="1" applyFill="1" applyBorder="1" applyAlignment="1">
      <alignment horizontal="center" vertical="center"/>
    </xf>
    <xf numFmtId="49" fontId="24" fillId="11" borderId="56" xfId="4" applyNumberFormat="1" applyFont="1" applyFill="1" applyBorder="1" applyAlignment="1">
      <alignment horizontal="center" vertical="center"/>
    </xf>
    <xf numFmtId="49" fontId="15" fillId="3" borderId="54" xfId="0" applyNumberFormat="1" applyFont="1" applyFill="1" applyBorder="1" applyAlignment="1">
      <alignment horizontal="left"/>
    </xf>
    <xf numFmtId="49" fontId="15" fillId="3" borderId="49" xfId="0" applyNumberFormat="1" applyFont="1" applyFill="1" applyBorder="1" applyAlignment="1">
      <alignment horizontal="left"/>
    </xf>
    <xf numFmtId="49" fontId="15" fillId="3" borderId="51" xfId="0" applyNumberFormat="1" applyFont="1" applyFill="1" applyBorder="1" applyAlignment="1">
      <alignment horizontal="left"/>
    </xf>
    <xf numFmtId="0" fontId="13" fillId="0" borderId="57" xfId="2" applyFont="1" applyFill="1" applyBorder="1" applyAlignment="1">
      <alignment horizontal="center"/>
    </xf>
  </cellXfs>
  <cellStyles count="11">
    <cellStyle name="20% - Accent3" xfId="5" builtinId="38" customBuiltin="1"/>
    <cellStyle name="Accent3" xfId="6" builtinId="37"/>
    <cellStyle name="Background" xfId="7" xr:uid="{A5926AD2-1697-4418-ABBB-543978235BB5}"/>
    <cellStyle name="Border" xfId="8" xr:uid="{F4DEAB84-B90B-4DCB-8C85-324C12695355}"/>
    <cellStyle name="Heading 1" xfId="2" builtinId="16"/>
    <cellStyle name="Heading 2" xfId="3" builtinId="17"/>
    <cellStyle name="Heading 3" xfId="4" builtinId="18"/>
    <cellStyle name="Hyperlink" xfId="1" builtinId="8"/>
    <cellStyle name="Normal" xfId="0" builtinId="0"/>
    <cellStyle name="Percent" xfId="9" builtinId="5"/>
    <cellStyle name="Title" xfId="10" builtinId="1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House!$B$34:$B$41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House!$C$34:$C$298</c:f>
              <c:numCache>
                <c:formatCode>0.00%</c:formatCode>
                <c:ptCount val="265"/>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House!$F$34:$F$298</c:f>
              <c:strCache>
                <c:ptCount val="265"/>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House!$F$34:$F$298</c15:sqref>
                  </c15:fullRef>
                </c:ext>
              </c:extLst>
              <c:f>(House!$F$34:$F$36,House!$F$39:$F$298)</c:f>
              <c:numCache>
                <c:formatCode>0.00%</c:formatCode>
                <c:ptCount val="263"/>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House!$I$34:$I$35</c:f>
              <c:strCache>
                <c:ptCount val="2"/>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C6-4DD5-8C90-CDEBA6D1538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C6-4DD5-8C90-CDEBA6D1538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1C6-4DD5-8C90-CDEBA6D1538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1C6-4DD5-8C90-CDEBA6D1538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1C6-4DD5-8C90-CDEBA6D1538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1C6-4DD5-8C90-CDEBA6D1538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1C6-4DD5-8C90-CDEBA6D1538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1C6-4DD5-8C90-CDEBA6D1538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1C6-4DD5-8C90-CDEBA6D1538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1C6-4DD5-8C90-CDEBA6D1538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1C6-4DD5-8C90-CDEBA6D1538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1C6-4DD5-8C90-CDEBA6D1538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1C6-4DD5-8C90-CDEBA6D1538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1C6-4DD5-8C90-CDEBA6D1538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1C6-4DD5-8C90-CDEBA6D1538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01C6-4DD5-8C90-CDEBA6D1538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01C6-4DD5-8C90-CDEBA6D1538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01C6-4DD5-8C90-CDEBA6D1538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01C6-4DD5-8C90-CDEBA6D1538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01C6-4DD5-8C90-CDEBA6D1538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01C6-4DD5-8C90-CDEBA6D1538C}"/>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01C6-4DD5-8C90-CDEBA6D1538C}"/>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01C6-4DD5-8C90-CDEBA6D1538C}"/>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01C6-4DD5-8C90-CDEBA6D1538C}"/>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01C6-4DD5-8C90-CDEBA6D1538C}"/>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01C6-4DD5-8C90-CDEBA6D1538C}"/>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01C6-4DD5-8C90-CDEBA6D1538C}"/>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01C6-4DD5-8C90-CDEBA6D1538C}"/>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01C6-4DD5-8C90-CDEBA6D1538C}"/>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01C6-4DD5-8C90-CDEBA6D1538C}"/>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01C6-4DD5-8C90-CDEBA6D1538C}"/>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01C6-4DD5-8C90-CDEBA6D1538C}"/>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01C6-4DD5-8C90-CDEBA6D1538C}"/>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01C6-4DD5-8C90-CDEBA6D1538C}"/>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01C6-4DD5-8C90-CDEBA6D1538C}"/>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01C6-4DD5-8C90-CDEBA6D1538C}"/>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01C6-4DD5-8C90-CDEBA6D1538C}"/>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01C6-4DD5-8C90-CDEBA6D1538C}"/>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01C6-4DD5-8C90-CDEBA6D1538C}"/>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01C6-4DD5-8C90-CDEBA6D1538C}"/>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01C6-4DD5-8C90-CDEBA6D1538C}"/>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01C6-4DD5-8C90-CDEBA6D1538C}"/>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01C6-4DD5-8C90-CDEBA6D1538C}"/>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01C6-4DD5-8C90-CDEBA6D1538C}"/>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01C6-4DD5-8C90-CDEBA6D1538C}"/>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01C6-4DD5-8C90-CDEBA6D1538C}"/>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01C6-4DD5-8C90-CDEBA6D1538C}"/>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01C6-4DD5-8C90-CDEBA6D1538C}"/>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01C6-4DD5-8C90-CDEBA6D1538C}"/>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01C6-4DD5-8C90-CDEBA6D1538C}"/>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01C6-4DD5-8C90-CDEBA6D1538C}"/>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01C6-4DD5-8C90-CDEBA6D1538C}"/>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01C6-4DD5-8C90-CDEBA6D1538C}"/>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01C6-4DD5-8C90-CDEBA6D1538C}"/>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01C6-4DD5-8C90-CDEBA6D1538C}"/>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01C6-4DD5-8C90-CDEBA6D1538C}"/>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01C6-4DD5-8C90-CDEBA6D1538C}"/>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01C6-4DD5-8C90-CDEBA6D1538C}"/>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01C6-4DD5-8C90-CDEBA6D1538C}"/>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01C6-4DD5-8C90-CDEBA6D1538C}"/>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01C6-4DD5-8C90-CDEBA6D1538C}"/>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01C6-4DD5-8C90-CDEBA6D1538C}"/>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01C6-4DD5-8C90-CDEBA6D1538C}"/>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01C6-4DD5-8C90-CDEBA6D1538C}"/>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01C6-4DD5-8C90-CDEBA6D1538C}"/>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01C6-4DD5-8C90-CDEBA6D1538C}"/>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01C6-4DD5-8C90-CDEBA6D1538C}"/>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01C6-4DD5-8C90-CDEBA6D1538C}"/>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01C6-4DD5-8C90-CDEBA6D1538C}"/>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01C6-4DD5-8C90-CDEBA6D1538C}"/>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01C6-4DD5-8C90-CDEBA6D1538C}"/>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01C6-4DD5-8C90-CDEBA6D1538C}"/>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01C6-4DD5-8C90-CDEBA6D1538C}"/>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01C6-4DD5-8C90-CDEBA6D1538C}"/>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01C6-4DD5-8C90-CDEBA6D1538C}"/>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01C6-4DD5-8C90-CDEBA6D1538C}"/>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01C6-4DD5-8C90-CDEBA6D1538C}"/>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01C6-4DD5-8C90-CDEBA6D1538C}"/>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01C6-4DD5-8C90-CDEBA6D1538C}"/>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01C6-4DD5-8C90-CDEBA6D1538C}"/>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01C6-4DD5-8C90-CDEBA6D1538C}"/>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01C6-4DD5-8C90-CDEBA6D1538C}"/>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01C6-4DD5-8C90-CDEBA6D1538C}"/>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01C6-4DD5-8C90-CDEBA6D1538C}"/>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01C6-4DD5-8C90-CDEBA6D1538C}"/>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01C6-4DD5-8C90-CDEBA6D1538C}"/>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01C6-4DD5-8C90-CDEBA6D1538C}"/>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01C6-4DD5-8C90-CDEBA6D1538C}"/>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01C6-4DD5-8C90-CDEBA6D1538C}"/>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01C6-4DD5-8C90-CDEBA6D1538C}"/>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01C6-4DD5-8C90-CDEBA6D1538C}"/>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01C6-4DD5-8C90-CDEBA6D1538C}"/>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01C6-4DD5-8C90-CDEBA6D1538C}"/>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01C6-4DD5-8C90-CDEBA6D1538C}"/>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01C6-4DD5-8C90-CDEBA6D1538C}"/>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01C6-4DD5-8C90-CDEBA6D1538C}"/>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01C6-4DD5-8C90-CDEBA6D1538C}"/>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01C6-4DD5-8C90-CDEBA6D1538C}"/>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01C6-4DD5-8C90-CDEBA6D1538C}"/>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01C6-4DD5-8C90-CDEBA6D1538C}"/>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01C6-4DD5-8C90-CDEBA6D1538C}"/>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01C6-4DD5-8C90-CDEBA6D1538C}"/>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01C6-4DD5-8C90-CDEBA6D1538C}"/>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01C6-4DD5-8C90-CDEBA6D1538C}"/>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01C6-4DD5-8C90-CDEBA6D1538C}"/>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01C6-4DD5-8C90-CDEBA6D1538C}"/>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01C6-4DD5-8C90-CDEBA6D1538C}"/>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01C6-4DD5-8C90-CDEBA6D1538C}"/>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01C6-4DD5-8C90-CDEBA6D1538C}"/>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01C6-4DD5-8C90-CDEBA6D1538C}"/>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01C6-4DD5-8C90-CDEBA6D1538C}"/>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01C6-4DD5-8C90-CDEBA6D1538C}"/>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01C6-4DD5-8C90-CDEBA6D1538C}"/>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01C6-4DD5-8C90-CDEBA6D1538C}"/>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01C6-4DD5-8C90-CDEBA6D1538C}"/>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01C6-4DD5-8C90-CDEBA6D1538C}"/>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01C6-4DD5-8C90-CDEBA6D1538C}"/>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01C6-4DD5-8C90-CDEBA6D1538C}"/>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01C6-4DD5-8C90-CDEBA6D1538C}"/>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01C6-4DD5-8C90-CDEBA6D1538C}"/>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01C6-4DD5-8C90-CDEBA6D1538C}"/>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01C6-4DD5-8C90-CDEBA6D1538C}"/>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01C6-4DD5-8C90-CDEBA6D1538C}"/>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01C6-4DD5-8C90-CDEBA6D1538C}"/>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01C6-4DD5-8C90-CDEBA6D1538C}"/>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01C6-4DD5-8C90-CDEBA6D1538C}"/>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01C6-4DD5-8C90-CDEBA6D1538C}"/>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01C6-4DD5-8C90-CDEBA6D1538C}"/>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01C6-4DD5-8C90-CDEBA6D1538C}"/>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01C6-4DD5-8C90-CDEBA6D1538C}"/>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01C6-4DD5-8C90-CDEBA6D1538C}"/>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01C6-4DD5-8C90-CDEBA6D1538C}"/>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01C6-4DD5-8C90-CDEBA6D1538C}"/>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01C6-4DD5-8C90-CDEBA6D1538C}"/>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01C6-4DD5-8C90-CDEBA6D1538C}"/>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01C6-4DD5-8C90-CDEBA6D1538C}"/>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01C6-4DD5-8C90-CDEBA6D1538C}"/>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01C6-4DD5-8C90-CDEBA6D1538C}"/>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01C6-4DD5-8C90-CDEBA6D1538C}"/>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01C6-4DD5-8C90-CDEBA6D1538C}"/>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01C6-4DD5-8C90-CDEBA6D1538C}"/>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01C6-4DD5-8C90-CDEBA6D1538C}"/>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01C6-4DD5-8C90-CDEBA6D1538C}"/>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01C6-4DD5-8C90-CDEBA6D1538C}"/>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01C6-4DD5-8C90-CDEBA6D1538C}"/>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01C6-4DD5-8C90-CDEBA6D1538C}"/>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01C6-4DD5-8C90-CDEBA6D1538C}"/>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01C6-4DD5-8C90-CDEBA6D1538C}"/>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01C6-4DD5-8C90-CDEBA6D1538C}"/>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01C6-4DD5-8C90-CDEBA6D1538C}"/>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01C6-4DD5-8C90-CDEBA6D1538C}"/>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01C6-4DD5-8C90-CDEBA6D1538C}"/>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01C6-4DD5-8C90-CDEBA6D1538C}"/>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01C6-4DD5-8C90-CDEBA6D1538C}"/>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01C6-4DD5-8C90-CDEBA6D1538C}"/>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01C6-4DD5-8C90-CDEBA6D1538C}"/>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01C6-4DD5-8C90-CDEBA6D1538C}"/>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01C6-4DD5-8C90-CDEBA6D1538C}"/>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01C6-4DD5-8C90-CDEBA6D1538C}"/>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01C6-4DD5-8C90-CDEBA6D1538C}"/>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01C6-4DD5-8C90-CDEBA6D1538C}"/>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01C6-4DD5-8C90-CDEBA6D1538C}"/>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01C6-4DD5-8C90-CDEBA6D1538C}"/>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01C6-4DD5-8C90-CDEBA6D1538C}"/>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01C6-4DD5-8C90-CDEBA6D1538C}"/>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01C6-4DD5-8C90-CDEBA6D1538C}"/>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01C6-4DD5-8C90-CDEBA6D1538C}"/>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01C6-4DD5-8C90-CDEBA6D1538C}"/>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01C6-4DD5-8C90-CDEBA6D1538C}"/>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01C6-4DD5-8C90-CDEBA6D1538C}"/>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01C6-4DD5-8C90-CDEBA6D1538C}"/>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01C6-4DD5-8C90-CDEBA6D1538C}"/>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01C6-4DD5-8C90-CDEBA6D1538C}"/>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01C6-4DD5-8C90-CDEBA6D1538C}"/>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01C6-4DD5-8C90-CDEBA6D1538C}"/>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01C6-4DD5-8C90-CDEBA6D1538C}"/>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01C6-4DD5-8C90-CDEBA6D1538C}"/>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01C6-4DD5-8C90-CDEBA6D1538C}"/>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01C6-4DD5-8C90-CDEBA6D1538C}"/>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01C6-4DD5-8C90-CDEBA6D1538C}"/>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01C6-4DD5-8C90-CDEBA6D1538C}"/>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01C6-4DD5-8C90-CDEBA6D1538C}"/>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01C6-4DD5-8C90-CDEBA6D1538C}"/>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01C6-4DD5-8C90-CDEBA6D1538C}"/>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01C6-4DD5-8C90-CDEBA6D1538C}"/>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01C6-4DD5-8C90-CDEBA6D1538C}"/>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01C6-4DD5-8C90-CDEBA6D1538C}"/>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01C6-4DD5-8C90-CDEBA6D1538C}"/>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01C6-4DD5-8C90-CDEBA6D1538C}"/>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01C6-4DD5-8C90-CDEBA6D1538C}"/>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01C6-4DD5-8C90-CDEBA6D1538C}"/>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01C6-4DD5-8C90-CDEBA6D1538C}"/>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01C6-4DD5-8C90-CDEBA6D1538C}"/>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01C6-4DD5-8C90-CDEBA6D1538C}"/>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01C6-4DD5-8C90-CDEBA6D1538C}"/>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01C6-4DD5-8C90-CDEBA6D1538C}"/>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01C6-4DD5-8C90-CDEBA6D1538C}"/>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01C6-4DD5-8C90-CDEBA6D1538C}"/>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01C6-4DD5-8C90-CDEBA6D1538C}"/>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01C6-4DD5-8C90-CDEBA6D1538C}"/>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01C6-4DD5-8C90-CDEBA6D1538C}"/>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01C6-4DD5-8C90-CDEBA6D1538C}"/>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01C6-4DD5-8C90-CDEBA6D1538C}"/>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01C6-4DD5-8C90-CDEBA6D1538C}"/>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01C6-4DD5-8C90-CDEBA6D1538C}"/>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01C6-4DD5-8C90-CDEBA6D1538C}"/>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01C6-4DD5-8C90-CDEBA6D1538C}"/>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01C6-4DD5-8C90-CDEBA6D1538C}"/>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01C6-4DD5-8C90-CDEBA6D1538C}"/>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01C6-4DD5-8C90-CDEBA6D1538C}"/>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01C6-4DD5-8C90-CDEBA6D1538C}"/>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01C6-4DD5-8C90-CDEBA6D1538C}"/>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01C6-4DD5-8C90-CDEBA6D1538C}"/>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01C6-4DD5-8C90-CDEBA6D1538C}"/>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01C6-4DD5-8C90-CDEBA6D1538C}"/>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01C6-4DD5-8C90-CDEBA6D1538C}"/>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01C6-4DD5-8C90-CDEBA6D1538C}"/>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01C6-4DD5-8C90-CDEBA6D1538C}"/>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01C6-4DD5-8C90-CDEBA6D1538C}"/>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01C6-4DD5-8C90-CDEBA6D1538C}"/>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01C6-4DD5-8C90-CDEBA6D1538C}"/>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01C6-4DD5-8C90-CDEBA6D1538C}"/>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01C6-4DD5-8C90-CDEBA6D1538C}"/>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01C6-4DD5-8C90-CDEBA6D1538C}"/>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01C6-4DD5-8C90-CDEBA6D1538C}"/>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01C6-4DD5-8C90-CDEBA6D1538C}"/>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01C6-4DD5-8C90-CDEBA6D1538C}"/>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01C6-4DD5-8C90-CDEBA6D1538C}"/>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01C6-4DD5-8C90-CDEBA6D1538C}"/>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01C6-4DD5-8C90-CDEBA6D1538C}"/>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01C6-4DD5-8C90-CDEBA6D1538C}"/>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01C6-4DD5-8C90-CDEBA6D1538C}"/>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01C6-4DD5-8C90-CDEBA6D1538C}"/>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01C6-4DD5-8C90-CDEBA6D1538C}"/>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01C6-4DD5-8C90-CDEBA6D1538C}"/>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01C6-4DD5-8C90-CDEBA6D1538C}"/>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01C6-4DD5-8C90-CDEBA6D1538C}"/>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01C6-4DD5-8C90-CDEBA6D1538C}"/>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01C6-4DD5-8C90-CDEBA6D1538C}"/>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01C6-4DD5-8C90-CDEBA6D1538C}"/>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01C6-4DD5-8C90-CDEBA6D1538C}"/>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01C6-4DD5-8C90-CDEBA6D1538C}"/>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01C6-4DD5-8C90-CDEBA6D1538C}"/>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01C6-4DD5-8C90-CDEBA6D1538C}"/>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01C6-4DD5-8C90-CDEBA6D1538C}"/>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01C6-4DD5-8C90-CDEBA6D1538C}"/>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01C6-4DD5-8C90-CDEBA6D1538C}"/>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01C6-4DD5-8C90-CDEBA6D1538C}"/>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01C6-4DD5-8C90-CDEBA6D1538C}"/>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01C6-4DD5-8C90-CDEBA6D1538C}"/>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01C6-4DD5-8C90-CDEBA6D1538C}"/>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01C6-4DD5-8C90-CDEBA6D1538C}"/>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01C6-4DD5-8C90-CDEBA6D1538C}"/>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01C6-4DD5-8C90-CDEBA6D1538C}"/>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01C6-4DD5-8C90-CDEBA6D1538C}"/>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01C6-4DD5-8C90-CDEBA6D1538C}"/>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01C6-4DD5-8C90-CDEBA6D1538C}"/>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01C6-4DD5-8C90-CDEBA6D1538C}"/>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01C6-4DD5-8C90-CDEBA6D1538C}"/>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01C6-4DD5-8C90-CDEBA6D1538C}"/>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01C6-4DD5-8C90-CDEBA6D1538C}"/>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01C6-4DD5-8C90-CDEBA6D1538C}"/>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01C6-4DD5-8C90-CDEBA6D1538C}"/>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01C6-4DD5-8C90-CDEBA6D1538C}"/>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01C6-4DD5-8C90-CDEBA6D1538C}"/>
              </c:ext>
            </c:extLst>
          </c:dPt>
          <c:val>
            <c:numRef>
              <c:f>House!$I$34:$I$298</c:f>
              <c:numCache>
                <c:formatCode>0.00%</c:formatCode>
                <c:ptCount val="265"/>
              </c:numCache>
            </c:numRef>
          </c:val>
          <c:extLst>
            <c:ext xmlns:c16="http://schemas.microsoft.com/office/drawing/2014/chart" uri="{C3380CC4-5D6E-409C-BE32-E72D297353CC}">
              <c16:uniqueId val="{00000212-01C6-4DD5-8C90-CDEBA6D153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House!$L$34:$L$298</c:f>
              <c:strCache>
                <c:ptCount val="265"/>
                <c:pt idx="0">
                  <c:v>1.00%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275-4163-94E6-AD793D49BD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75-4163-94E6-AD793D49BD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275-4163-94E6-AD793D49BDD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275-4163-94E6-AD793D49BDD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275-4163-94E6-AD793D49BDD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275-4163-94E6-AD793D49BDD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275-4163-94E6-AD793D49BDD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275-4163-94E6-AD793D49BDD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275-4163-94E6-AD793D49BDD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275-4163-94E6-AD793D49BDD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275-4163-94E6-AD793D49BDD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275-4163-94E6-AD793D49BDD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275-4163-94E6-AD793D49BDD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275-4163-94E6-AD793D49BDD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275-4163-94E6-AD793D49BDD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6275-4163-94E6-AD793D49BDD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6275-4163-94E6-AD793D49BDD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6275-4163-94E6-AD793D49BDD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6275-4163-94E6-AD793D49BDD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6275-4163-94E6-AD793D49BDD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6275-4163-94E6-AD793D49BDDC}"/>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6275-4163-94E6-AD793D49BDDC}"/>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6275-4163-94E6-AD793D49BDDC}"/>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6275-4163-94E6-AD793D49BDDC}"/>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6275-4163-94E6-AD793D49BDDC}"/>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6275-4163-94E6-AD793D49BDDC}"/>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6275-4163-94E6-AD793D49BDDC}"/>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6275-4163-94E6-AD793D49BDDC}"/>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6275-4163-94E6-AD793D49BDDC}"/>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6275-4163-94E6-AD793D49BDDC}"/>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6275-4163-94E6-AD793D49BDDC}"/>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6275-4163-94E6-AD793D49BDDC}"/>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6275-4163-94E6-AD793D49BDDC}"/>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6275-4163-94E6-AD793D49BDDC}"/>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6275-4163-94E6-AD793D49BDDC}"/>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6275-4163-94E6-AD793D49BDDC}"/>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6275-4163-94E6-AD793D49BDDC}"/>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6275-4163-94E6-AD793D49BDDC}"/>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6275-4163-94E6-AD793D49BDDC}"/>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6275-4163-94E6-AD793D49BDDC}"/>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6275-4163-94E6-AD793D49BDDC}"/>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6275-4163-94E6-AD793D49BDDC}"/>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6275-4163-94E6-AD793D49BDDC}"/>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6275-4163-94E6-AD793D49BDDC}"/>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6275-4163-94E6-AD793D49BDDC}"/>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6275-4163-94E6-AD793D49BDDC}"/>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6275-4163-94E6-AD793D49BDDC}"/>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6275-4163-94E6-AD793D49BDDC}"/>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6275-4163-94E6-AD793D49BDDC}"/>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6275-4163-94E6-AD793D49BDDC}"/>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6275-4163-94E6-AD793D49BDDC}"/>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6275-4163-94E6-AD793D49BDDC}"/>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6275-4163-94E6-AD793D49BDDC}"/>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6275-4163-94E6-AD793D49BDDC}"/>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6275-4163-94E6-AD793D49BDDC}"/>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6275-4163-94E6-AD793D49BDDC}"/>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6275-4163-94E6-AD793D49BDDC}"/>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6275-4163-94E6-AD793D49BDDC}"/>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6275-4163-94E6-AD793D49BDDC}"/>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6275-4163-94E6-AD793D49BDDC}"/>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6275-4163-94E6-AD793D49BDDC}"/>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6275-4163-94E6-AD793D49BDDC}"/>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6275-4163-94E6-AD793D49BDDC}"/>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6275-4163-94E6-AD793D49BDDC}"/>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6275-4163-94E6-AD793D49BDDC}"/>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6275-4163-94E6-AD793D49BDDC}"/>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6275-4163-94E6-AD793D49BDDC}"/>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6275-4163-94E6-AD793D49BDDC}"/>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6275-4163-94E6-AD793D49BDDC}"/>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6275-4163-94E6-AD793D49BDDC}"/>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6275-4163-94E6-AD793D49BDDC}"/>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6275-4163-94E6-AD793D49BDDC}"/>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6275-4163-94E6-AD793D49BDDC}"/>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6275-4163-94E6-AD793D49BDDC}"/>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6275-4163-94E6-AD793D49BDDC}"/>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6275-4163-94E6-AD793D49BDDC}"/>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6275-4163-94E6-AD793D49BDDC}"/>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6275-4163-94E6-AD793D49BDDC}"/>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6275-4163-94E6-AD793D49BDDC}"/>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6275-4163-94E6-AD793D49BDDC}"/>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6275-4163-94E6-AD793D49BDDC}"/>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6275-4163-94E6-AD793D49BDDC}"/>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6275-4163-94E6-AD793D49BDDC}"/>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6275-4163-94E6-AD793D49BDDC}"/>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6275-4163-94E6-AD793D49BDDC}"/>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6275-4163-94E6-AD793D49BDDC}"/>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6275-4163-94E6-AD793D49BDDC}"/>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6275-4163-94E6-AD793D49BDDC}"/>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6275-4163-94E6-AD793D49BDDC}"/>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6275-4163-94E6-AD793D49BDDC}"/>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6275-4163-94E6-AD793D49BDDC}"/>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6275-4163-94E6-AD793D49BDDC}"/>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6275-4163-94E6-AD793D49BDDC}"/>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6275-4163-94E6-AD793D49BDDC}"/>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6275-4163-94E6-AD793D49BDDC}"/>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6275-4163-94E6-AD793D49BDDC}"/>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6275-4163-94E6-AD793D49BDDC}"/>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6275-4163-94E6-AD793D49BDDC}"/>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6275-4163-94E6-AD793D49BDDC}"/>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6275-4163-94E6-AD793D49BDDC}"/>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6275-4163-94E6-AD793D49BDDC}"/>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6275-4163-94E6-AD793D49BDDC}"/>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6275-4163-94E6-AD793D49BDDC}"/>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6275-4163-94E6-AD793D49BDDC}"/>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6275-4163-94E6-AD793D49BDDC}"/>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6275-4163-94E6-AD793D49BDDC}"/>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6275-4163-94E6-AD793D49BDDC}"/>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6275-4163-94E6-AD793D49BDDC}"/>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6275-4163-94E6-AD793D49BDDC}"/>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6275-4163-94E6-AD793D49BDDC}"/>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6275-4163-94E6-AD793D49BDDC}"/>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6275-4163-94E6-AD793D49BDDC}"/>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6275-4163-94E6-AD793D49BDDC}"/>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6275-4163-94E6-AD793D49BDDC}"/>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6275-4163-94E6-AD793D49BDDC}"/>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6275-4163-94E6-AD793D49BDDC}"/>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6275-4163-94E6-AD793D49BDDC}"/>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6275-4163-94E6-AD793D49BDDC}"/>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6275-4163-94E6-AD793D49BDDC}"/>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6275-4163-94E6-AD793D49BDDC}"/>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6275-4163-94E6-AD793D49BDDC}"/>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6275-4163-94E6-AD793D49BDDC}"/>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6275-4163-94E6-AD793D49BDDC}"/>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6275-4163-94E6-AD793D49BDDC}"/>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6275-4163-94E6-AD793D49BDDC}"/>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6275-4163-94E6-AD793D49BDDC}"/>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6275-4163-94E6-AD793D49BDDC}"/>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6275-4163-94E6-AD793D49BDDC}"/>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6275-4163-94E6-AD793D49BDDC}"/>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6275-4163-94E6-AD793D49BDDC}"/>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6275-4163-94E6-AD793D49BDDC}"/>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6275-4163-94E6-AD793D49BDDC}"/>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6275-4163-94E6-AD793D49BDDC}"/>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6275-4163-94E6-AD793D49BDDC}"/>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6275-4163-94E6-AD793D49BDDC}"/>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6275-4163-94E6-AD793D49BDDC}"/>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6275-4163-94E6-AD793D49BDDC}"/>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6275-4163-94E6-AD793D49BDDC}"/>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6275-4163-94E6-AD793D49BDDC}"/>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6275-4163-94E6-AD793D49BDDC}"/>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6275-4163-94E6-AD793D49BDDC}"/>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6275-4163-94E6-AD793D49BDDC}"/>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6275-4163-94E6-AD793D49BDDC}"/>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6275-4163-94E6-AD793D49BDDC}"/>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6275-4163-94E6-AD793D49BDDC}"/>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6275-4163-94E6-AD793D49BDDC}"/>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6275-4163-94E6-AD793D49BDDC}"/>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6275-4163-94E6-AD793D49BDDC}"/>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6275-4163-94E6-AD793D49BDDC}"/>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6275-4163-94E6-AD793D49BDDC}"/>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6275-4163-94E6-AD793D49BDDC}"/>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6275-4163-94E6-AD793D49BDDC}"/>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6275-4163-94E6-AD793D49BDDC}"/>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6275-4163-94E6-AD793D49BDDC}"/>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6275-4163-94E6-AD793D49BDDC}"/>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6275-4163-94E6-AD793D49BDDC}"/>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6275-4163-94E6-AD793D49BDDC}"/>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6275-4163-94E6-AD793D49BDDC}"/>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6275-4163-94E6-AD793D49BDDC}"/>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6275-4163-94E6-AD793D49BDDC}"/>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6275-4163-94E6-AD793D49BDDC}"/>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6275-4163-94E6-AD793D49BDDC}"/>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6275-4163-94E6-AD793D49BDDC}"/>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6275-4163-94E6-AD793D49BDDC}"/>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6275-4163-94E6-AD793D49BDDC}"/>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6275-4163-94E6-AD793D49BDDC}"/>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6275-4163-94E6-AD793D49BDDC}"/>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6275-4163-94E6-AD793D49BDDC}"/>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6275-4163-94E6-AD793D49BDDC}"/>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6275-4163-94E6-AD793D49BDDC}"/>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6275-4163-94E6-AD793D49BDDC}"/>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6275-4163-94E6-AD793D49BDDC}"/>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6275-4163-94E6-AD793D49BDDC}"/>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6275-4163-94E6-AD793D49BDDC}"/>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6275-4163-94E6-AD793D49BDDC}"/>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6275-4163-94E6-AD793D49BDDC}"/>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6275-4163-94E6-AD793D49BDDC}"/>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6275-4163-94E6-AD793D49BDDC}"/>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6275-4163-94E6-AD793D49BDDC}"/>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6275-4163-94E6-AD793D49BDDC}"/>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6275-4163-94E6-AD793D49BDDC}"/>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6275-4163-94E6-AD793D49BDDC}"/>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6275-4163-94E6-AD793D49BDDC}"/>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6275-4163-94E6-AD793D49BDDC}"/>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6275-4163-94E6-AD793D49BDDC}"/>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6275-4163-94E6-AD793D49BDDC}"/>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6275-4163-94E6-AD793D49BDDC}"/>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6275-4163-94E6-AD793D49BDDC}"/>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6275-4163-94E6-AD793D49BDDC}"/>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6275-4163-94E6-AD793D49BDDC}"/>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6275-4163-94E6-AD793D49BDDC}"/>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6275-4163-94E6-AD793D49BDDC}"/>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6275-4163-94E6-AD793D49BDDC}"/>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6275-4163-94E6-AD793D49BDDC}"/>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6275-4163-94E6-AD793D49BDDC}"/>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6275-4163-94E6-AD793D49BDDC}"/>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6275-4163-94E6-AD793D49BDDC}"/>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6275-4163-94E6-AD793D49BDDC}"/>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6275-4163-94E6-AD793D49BDDC}"/>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6275-4163-94E6-AD793D49BDDC}"/>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6275-4163-94E6-AD793D49BDDC}"/>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6275-4163-94E6-AD793D49BDDC}"/>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6275-4163-94E6-AD793D49BDDC}"/>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6275-4163-94E6-AD793D49BDDC}"/>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6275-4163-94E6-AD793D49BDDC}"/>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6275-4163-94E6-AD793D49BDDC}"/>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6275-4163-94E6-AD793D49BDDC}"/>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6275-4163-94E6-AD793D49BDDC}"/>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6275-4163-94E6-AD793D49BDDC}"/>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6275-4163-94E6-AD793D49BDDC}"/>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6275-4163-94E6-AD793D49BDDC}"/>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6275-4163-94E6-AD793D49BDDC}"/>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6275-4163-94E6-AD793D49BDDC}"/>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6275-4163-94E6-AD793D49BDDC}"/>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6275-4163-94E6-AD793D49BDDC}"/>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6275-4163-94E6-AD793D49BDDC}"/>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6275-4163-94E6-AD793D49BDDC}"/>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6275-4163-94E6-AD793D49BDDC}"/>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6275-4163-94E6-AD793D49BDDC}"/>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6275-4163-94E6-AD793D49BDDC}"/>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6275-4163-94E6-AD793D49BDDC}"/>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6275-4163-94E6-AD793D49BDDC}"/>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6275-4163-94E6-AD793D49BDDC}"/>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6275-4163-94E6-AD793D49BDDC}"/>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6275-4163-94E6-AD793D49BDDC}"/>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6275-4163-94E6-AD793D49BDDC}"/>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6275-4163-94E6-AD793D49BDDC}"/>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6275-4163-94E6-AD793D49BDDC}"/>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6275-4163-94E6-AD793D49BDDC}"/>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6275-4163-94E6-AD793D49BDDC}"/>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6275-4163-94E6-AD793D49BDDC}"/>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6275-4163-94E6-AD793D49BDDC}"/>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6275-4163-94E6-AD793D49BDDC}"/>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6275-4163-94E6-AD793D49BDDC}"/>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6275-4163-94E6-AD793D49BDDC}"/>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6275-4163-94E6-AD793D49BDDC}"/>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6275-4163-94E6-AD793D49BDDC}"/>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6275-4163-94E6-AD793D49BDDC}"/>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6275-4163-94E6-AD793D49BDDC}"/>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6275-4163-94E6-AD793D49BDDC}"/>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6275-4163-94E6-AD793D49BDDC}"/>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6275-4163-94E6-AD793D49BDDC}"/>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6275-4163-94E6-AD793D49BDDC}"/>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6275-4163-94E6-AD793D49BDDC}"/>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6275-4163-94E6-AD793D49BDDC}"/>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6275-4163-94E6-AD793D49BDDC}"/>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6275-4163-94E6-AD793D49BDDC}"/>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6275-4163-94E6-AD793D49BDDC}"/>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6275-4163-94E6-AD793D49BDDC}"/>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6275-4163-94E6-AD793D49BDDC}"/>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6275-4163-94E6-AD793D49BDDC}"/>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6275-4163-94E6-AD793D49BDDC}"/>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6275-4163-94E6-AD793D49BDDC}"/>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6275-4163-94E6-AD793D49BDDC}"/>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6275-4163-94E6-AD793D49BDDC}"/>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6275-4163-94E6-AD793D49BDDC}"/>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6275-4163-94E6-AD793D49BDDC}"/>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6275-4163-94E6-AD793D49BDDC}"/>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6275-4163-94E6-AD793D49BDDC}"/>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6275-4163-94E6-AD793D49BDDC}"/>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6275-4163-94E6-AD793D49BDDC}"/>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6275-4163-94E6-AD793D49BDDC}"/>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6275-4163-94E6-AD793D49BDDC}"/>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6275-4163-94E6-AD793D49BDDC}"/>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6275-4163-94E6-AD793D49BDDC}"/>
              </c:ext>
            </c:extLst>
          </c:dPt>
          <c:val>
            <c:numRef>
              <c:f>House!$L$34:$L$298</c:f>
              <c:numCache>
                <c:formatCode>0.00%</c:formatCode>
                <c:ptCount val="265"/>
                <c:pt idx="0">
                  <c:v>0.01</c:v>
                </c:pt>
              </c:numCache>
            </c:numRef>
          </c:val>
          <c:extLst>
            <c:ext xmlns:c16="http://schemas.microsoft.com/office/drawing/2014/chart" uri="{C3380CC4-5D6E-409C-BE32-E72D297353CC}">
              <c16:uniqueId val="{00000212-6275-4163-94E6-AD793D49BDD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House!$B$34:$B$41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6-407A-AFB3-6C993D9B38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26-407A-AFB3-6C993D9B38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26-407A-AFB3-6C993D9B38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126-407A-AFB3-6C993D9B38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126-407A-AFB3-6C993D9B38D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126-407A-AFB3-6C993D9B38D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126-407A-AFB3-6C993D9B38D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126-407A-AFB3-6C993D9B38D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126-407A-AFB3-6C993D9B38D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126-407A-AFB3-6C993D9B38D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126-407A-AFB3-6C993D9B38D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126-407A-AFB3-6C993D9B38D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126-407A-AFB3-6C993D9B38D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126-407A-AFB3-6C993D9B38D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126-407A-AFB3-6C993D9B38DD}"/>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2126-407A-AFB3-6C993D9B38DD}"/>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2126-407A-AFB3-6C993D9B38DD}"/>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2126-407A-AFB3-6C993D9B38DD}"/>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2126-407A-AFB3-6C993D9B38D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2126-407A-AFB3-6C993D9B38D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2126-407A-AFB3-6C993D9B38D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2126-407A-AFB3-6C993D9B38D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2126-407A-AFB3-6C993D9B38D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2126-407A-AFB3-6C993D9B38DD}"/>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2126-407A-AFB3-6C993D9B38DD}"/>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2126-407A-AFB3-6C993D9B38DD}"/>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2126-407A-AFB3-6C993D9B38DD}"/>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2126-407A-AFB3-6C993D9B38DD}"/>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2126-407A-AFB3-6C993D9B38DD}"/>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2126-407A-AFB3-6C993D9B38DD}"/>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2126-407A-AFB3-6C993D9B38DD}"/>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2126-407A-AFB3-6C993D9B38DD}"/>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2126-407A-AFB3-6C993D9B38DD}"/>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2126-407A-AFB3-6C993D9B38DD}"/>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2126-407A-AFB3-6C993D9B38DD}"/>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2126-407A-AFB3-6C993D9B38DD}"/>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2126-407A-AFB3-6C993D9B38DD}"/>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2126-407A-AFB3-6C993D9B38DD}"/>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2126-407A-AFB3-6C993D9B38DD}"/>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2126-407A-AFB3-6C993D9B38DD}"/>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2126-407A-AFB3-6C993D9B38DD}"/>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2126-407A-AFB3-6C993D9B38DD}"/>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2126-407A-AFB3-6C993D9B38DD}"/>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2126-407A-AFB3-6C993D9B38DD}"/>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2126-407A-AFB3-6C993D9B38DD}"/>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2126-407A-AFB3-6C993D9B38DD}"/>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2126-407A-AFB3-6C993D9B38DD}"/>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2126-407A-AFB3-6C993D9B38DD}"/>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2126-407A-AFB3-6C993D9B38DD}"/>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2126-407A-AFB3-6C993D9B38DD}"/>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2126-407A-AFB3-6C993D9B38DD}"/>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2126-407A-AFB3-6C993D9B38DD}"/>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2126-407A-AFB3-6C993D9B38DD}"/>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2126-407A-AFB3-6C993D9B38DD}"/>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2126-407A-AFB3-6C993D9B38DD}"/>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2126-407A-AFB3-6C993D9B38DD}"/>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2126-407A-AFB3-6C993D9B38DD}"/>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2126-407A-AFB3-6C993D9B38DD}"/>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2126-407A-AFB3-6C993D9B38DD}"/>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2126-407A-AFB3-6C993D9B38DD}"/>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2126-407A-AFB3-6C993D9B38DD}"/>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2126-407A-AFB3-6C993D9B38DD}"/>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2126-407A-AFB3-6C993D9B38DD}"/>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2126-407A-AFB3-6C993D9B38DD}"/>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2126-407A-AFB3-6C993D9B38DD}"/>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2126-407A-AFB3-6C993D9B38DD}"/>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2126-407A-AFB3-6C993D9B38DD}"/>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2126-407A-AFB3-6C993D9B38DD}"/>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2126-407A-AFB3-6C993D9B38DD}"/>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2126-407A-AFB3-6C993D9B38DD}"/>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2126-407A-AFB3-6C993D9B38DD}"/>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2126-407A-AFB3-6C993D9B38DD}"/>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2126-407A-AFB3-6C993D9B38DD}"/>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2126-407A-AFB3-6C993D9B38DD}"/>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2126-407A-AFB3-6C993D9B38DD}"/>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2126-407A-AFB3-6C993D9B38DD}"/>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2126-407A-AFB3-6C993D9B38DD}"/>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2126-407A-AFB3-6C993D9B38DD}"/>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2126-407A-AFB3-6C993D9B38DD}"/>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2126-407A-AFB3-6C993D9B38DD}"/>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2126-407A-AFB3-6C993D9B38DD}"/>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2126-407A-AFB3-6C993D9B38DD}"/>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2126-407A-AFB3-6C993D9B38DD}"/>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2126-407A-AFB3-6C993D9B38DD}"/>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2126-407A-AFB3-6C993D9B38DD}"/>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2126-407A-AFB3-6C993D9B38DD}"/>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2126-407A-AFB3-6C993D9B38DD}"/>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2126-407A-AFB3-6C993D9B38DD}"/>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2126-407A-AFB3-6C993D9B38DD}"/>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2126-407A-AFB3-6C993D9B38DD}"/>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2126-407A-AFB3-6C993D9B38DD}"/>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2126-407A-AFB3-6C993D9B38DD}"/>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2126-407A-AFB3-6C993D9B38DD}"/>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2126-407A-AFB3-6C993D9B38DD}"/>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2126-407A-AFB3-6C993D9B38DD}"/>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2126-407A-AFB3-6C993D9B38DD}"/>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2126-407A-AFB3-6C993D9B38DD}"/>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2126-407A-AFB3-6C993D9B38DD}"/>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2126-407A-AFB3-6C993D9B38DD}"/>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2126-407A-AFB3-6C993D9B38DD}"/>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2126-407A-AFB3-6C993D9B38DD}"/>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2126-407A-AFB3-6C993D9B38DD}"/>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2126-407A-AFB3-6C993D9B38DD}"/>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2126-407A-AFB3-6C993D9B38DD}"/>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2126-407A-AFB3-6C993D9B38DD}"/>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2126-407A-AFB3-6C993D9B38DD}"/>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2126-407A-AFB3-6C993D9B38DD}"/>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2126-407A-AFB3-6C993D9B38DD}"/>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2126-407A-AFB3-6C993D9B38DD}"/>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2126-407A-AFB3-6C993D9B38DD}"/>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2126-407A-AFB3-6C993D9B38DD}"/>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2126-407A-AFB3-6C993D9B38DD}"/>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2126-407A-AFB3-6C993D9B38DD}"/>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2126-407A-AFB3-6C993D9B38DD}"/>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2126-407A-AFB3-6C993D9B38DD}"/>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2126-407A-AFB3-6C993D9B38DD}"/>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2126-407A-AFB3-6C993D9B38DD}"/>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2126-407A-AFB3-6C993D9B38DD}"/>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2126-407A-AFB3-6C993D9B38DD}"/>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2126-407A-AFB3-6C993D9B38DD}"/>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2126-407A-AFB3-6C993D9B38DD}"/>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2126-407A-AFB3-6C993D9B38DD}"/>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2126-407A-AFB3-6C993D9B38DD}"/>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2126-407A-AFB3-6C993D9B38DD}"/>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2126-407A-AFB3-6C993D9B38DD}"/>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2126-407A-AFB3-6C993D9B38DD}"/>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2126-407A-AFB3-6C993D9B38DD}"/>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2126-407A-AFB3-6C993D9B38DD}"/>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2126-407A-AFB3-6C993D9B38DD}"/>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2126-407A-AFB3-6C993D9B38DD}"/>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2126-407A-AFB3-6C993D9B38DD}"/>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2126-407A-AFB3-6C993D9B38DD}"/>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2126-407A-AFB3-6C993D9B38DD}"/>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2126-407A-AFB3-6C993D9B38DD}"/>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2126-407A-AFB3-6C993D9B38DD}"/>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2126-407A-AFB3-6C993D9B38DD}"/>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2126-407A-AFB3-6C993D9B38DD}"/>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2126-407A-AFB3-6C993D9B38DD}"/>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2126-407A-AFB3-6C993D9B38DD}"/>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2126-407A-AFB3-6C993D9B38DD}"/>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2126-407A-AFB3-6C993D9B38DD}"/>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2126-407A-AFB3-6C993D9B38DD}"/>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2126-407A-AFB3-6C993D9B38DD}"/>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2126-407A-AFB3-6C993D9B38DD}"/>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2126-407A-AFB3-6C993D9B38DD}"/>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2126-407A-AFB3-6C993D9B38DD}"/>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2126-407A-AFB3-6C993D9B38DD}"/>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2126-407A-AFB3-6C993D9B38DD}"/>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2126-407A-AFB3-6C993D9B38DD}"/>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2126-407A-AFB3-6C993D9B38DD}"/>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2126-407A-AFB3-6C993D9B38DD}"/>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2126-407A-AFB3-6C993D9B38DD}"/>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2126-407A-AFB3-6C993D9B38DD}"/>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2126-407A-AFB3-6C993D9B38DD}"/>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2126-407A-AFB3-6C993D9B38DD}"/>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2126-407A-AFB3-6C993D9B38DD}"/>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2126-407A-AFB3-6C993D9B38DD}"/>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2126-407A-AFB3-6C993D9B38DD}"/>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2126-407A-AFB3-6C993D9B38DD}"/>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2126-407A-AFB3-6C993D9B38DD}"/>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2126-407A-AFB3-6C993D9B38DD}"/>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2126-407A-AFB3-6C993D9B38DD}"/>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2126-407A-AFB3-6C993D9B38DD}"/>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2126-407A-AFB3-6C993D9B38DD}"/>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2126-407A-AFB3-6C993D9B38DD}"/>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2126-407A-AFB3-6C993D9B38DD}"/>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2126-407A-AFB3-6C993D9B38DD}"/>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2126-407A-AFB3-6C993D9B38DD}"/>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2126-407A-AFB3-6C993D9B38DD}"/>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2126-407A-AFB3-6C993D9B38DD}"/>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2126-407A-AFB3-6C993D9B38DD}"/>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2126-407A-AFB3-6C993D9B38DD}"/>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2126-407A-AFB3-6C993D9B38DD}"/>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2126-407A-AFB3-6C993D9B38DD}"/>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2126-407A-AFB3-6C993D9B38DD}"/>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2126-407A-AFB3-6C993D9B38DD}"/>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2126-407A-AFB3-6C993D9B38DD}"/>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2126-407A-AFB3-6C993D9B38DD}"/>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2126-407A-AFB3-6C993D9B38DD}"/>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2126-407A-AFB3-6C993D9B38DD}"/>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2126-407A-AFB3-6C993D9B38DD}"/>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2126-407A-AFB3-6C993D9B38DD}"/>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2126-407A-AFB3-6C993D9B38DD}"/>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2126-407A-AFB3-6C993D9B38DD}"/>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2126-407A-AFB3-6C993D9B38DD}"/>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2126-407A-AFB3-6C993D9B38DD}"/>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2126-407A-AFB3-6C993D9B38DD}"/>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2126-407A-AFB3-6C993D9B38DD}"/>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2126-407A-AFB3-6C993D9B38DD}"/>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2126-407A-AFB3-6C993D9B38DD}"/>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2126-407A-AFB3-6C993D9B38DD}"/>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2126-407A-AFB3-6C993D9B38DD}"/>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2126-407A-AFB3-6C993D9B38DD}"/>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2126-407A-AFB3-6C993D9B38DD}"/>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2126-407A-AFB3-6C993D9B38DD}"/>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2126-407A-AFB3-6C993D9B38DD}"/>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2126-407A-AFB3-6C993D9B38DD}"/>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2126-407A-AFB3-6C993D9B38DD}"/>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2126-407A-AFB3-6C993D9B38DD}"/>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2126-407A-AFB3-6C993D9B38DD}"/>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2126-407A-AFB3-6C993D9B38DD}"/>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2126-407A-AFB3-6C993D9B38DD}"/>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2126-407A-AFB3-6C993D9B38DD}"/>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2126-407A-AFB3-6C993D9B38DD}"/>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2126-407A-AFB3-6C993D9B38DD}"/>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2126-407A-AFB3-6C993D9B38DD}"/>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2126-407A-AFB3-6C993D9B38DD}"/>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2126-407A-AFB3-6C993D9B38DD}"/>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2126-407A-AFB3-6C993D9B38DD}"/>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2126-407A-AFB3-6C993D9B38DD}"/>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2126-407A-AFB3-6C993D9B38DD}"/>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2126-407A-AFB3-6C993D9B38DD}"/>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2126-407A-AFB3-6C993D9B38DD}"/>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2126-407A-AFB3-6C993D9B38DD}"/>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2126-407A-AFB3-6C993D9B38DD}"/>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2126-407A-AFB3-6C993D9B38DD}"/>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2126-407A-AFB3-6C993D9B38DD}"/>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2126-407A-AFB3-6C993D9B38DD}"/>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2126-407A-AFB3-6C993D9B38DD}"/>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2126-407A-AFB3-6C993D9B38DD}"/>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2126-407A-AFB3-6C993D9B38DD}"/>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2126-407A-AFB3-6C993D9B38DD}"/>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2126-407A-AFB3-6C993D9B38DD}"/>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2126-407A-AFB3-6C993D9B38DD}"/>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2126-407A-AFB3-6C993D9B38DD}"/>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2126-407A-AFB3-6C993D9B38DD}"/>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2126-407A-AFB3-6C993D9B38DD}"/>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2126-407A-AFB3-6C993D9B38DD}"/>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2126-407A-AFB3-6C993D9B38DD}"/>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2126-407A-AFB3-6C993D9B38DD}"/>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2126-407A-AFB3-6C993D9B38DD}"/>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2126-407A-AFB3-6C993D9B38DD}"/>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2126-407A-AFB3-6C993D9B38DD}"/>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2126-407A-AFB3-6C993D9B38DD}"/>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2126-407A-AFB3-6C993D9B38DD}"/>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2126-407A-AFB3-6C993D9B38DD}"/>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2126-407A-AFB3-6C993D9B38DD}"/>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2126-407A-AFB3-6C993D9B38DD}"/>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2126-407A-AFB3-6C993D9B38DD}"/>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2126-407A-AFB3-6C993D9B38DD}"/>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2126-407A-AFB3-6C993D9B38DD}"/>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2126-407A-AFB3-6C993D9B38DD}"/>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2126-407A-AFB3-6C993D9B38DD}"/>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2126-407A-AFB3-6C993D9B38DD}"/>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2126-407A-AFB3-6C993D9B38DD}"/>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2126-407A-AFB3-6C993D9B38DD}"/>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2126-407A-AFB3-6C993D9B38DD}"/>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2126-407A-AFB3-6C993D9B38DD}"/>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2126-407A-AFB3-6C993D9B38DD}"/>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2126-407A-AFB3-6C993D9B38DD}"/>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2126-407A-AFB3-6C993D9B38DD}"/>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2126-407A-AFB3-6C993D9B38DD}"/>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2126-407A-AFB3-6C993D9B38DD}"/>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2126-407A-AFB3-6C993D9B38DD}"/>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2126-407A-AFB3-6C993D9B38DD}"/>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2126-407A-AFB3-6C993D9B38DD}"/>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2126-407A-AFB3-6C993D9B38DD}"/>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2126-407A-AFB3-6C993D9B38DD}"/>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2126-407A-AFB3-6C993D9B38DD}"/>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2126-407A-AFB3-6C993D9B38DD}"/>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2126-407A-AFB3-6C993D9B38DD}"/>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2126-407A-AFB3-6C993D9B38DD}"/>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2126-407A-AFB3-6C993D9B38DD}"/>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2126-407A-AFB3-6C993D9B38DD}"/>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2126-407A-AFB3-6C993D9B38DD}"/>
              </c:ext>
            </c:extLst>
          </c:dPt>
          <c:val>
            <c:numRef>
              <c:f>House!$O$34:$O$298</c:f>
              <c:numCache>
                <c:formatCode>0.00%</c:formatCode>
                <c:ptCount val="265"/>
              </c:numCache>
            </c:numRef>
          </c:val>
          <c:extLst>
            <c:ext xmlns:c16="http://schemas.microsoft.com/office/drawing/2014/chart" uri="{C3380CC4-5D6E-409C-BE32-E72D297353CC}">
              <c16:uniqueId val="{00000212-2126-407A-AFB3-6C993D9B38D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Finance!$W$12</c:f>
              <c:strCache>
                <c:ptCount val="1"/>
                <c:pt idx="0">
                  <c:v>not flix</c:v>
                </c:pt>
              </c:strCache>
            </c:strRef>
          </c:tx>
          <c:spPr>
            <a:ln w="28575" cap="rnd">
              <a:solidFill>
                <a:schemeClr val="accent1"/>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Finance!$W$13:$W$250</c:f>
              <c:numCache>
                <c:formatCode>General</c:formatCode>
                <c:ptCount val="2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18</c:v>
                </c:pt>
                <c:pt idx="18">
                  <c:v>1</c:v>
                </c:pt>
                <c:pt idx="19">
                  <c:v>1</c:v>
                </c:pt>
                <c:pt idx="20">
                  <c:v>1</c:v>
                </c:pt>
                <c:pt idx="21">
                  <c:v>1</c:v>
                </c:pt>
                <c:pt idx="22">
                  <c:v>1</c:v>
                </c:pt>
                <c:pt idx="23">
                  <c:v>1</c:v>
                </c:pt>
                <c:pt idx="24">
                  <c:v>1</c:v>
                </c:pt>
                <c:pt idx="25">
                  <c:v>26</c:v>
                </c:pt>
                <c:pt idx="26">
                  <c:v>1</c:v>
                </c:pt>
                <c:pt idx="27">
                  <c:v>1</c:v>
                </c:pt>
                <c:pt idx="28">
                  <c:v>1</c:v>
                </c:pt>
                <c:pt idx="29">
                  <c:v>1</c:v>
                </c:pt>
                <c:pt idx="30">
                  <c:v>1</c:v>
                </c:pt>
                <c:pt idx="31">
                  <c:v>1</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0-09DF-4144-8236-96B07A9F120A}"/>
            </c:ext>
          </c:extLst>
        </c:ser>
        <c:ser>
          <c:idx val="1"/>
          <c:order val="1"/>
          <c:tx>
            <c:strRef>
              <c:f>Finance!$X$12</c:f>
              <c:strCache>
                <c:ptCount val="1"/>
                <c:pt idx="0">
                  <c:v>2</c:v>
                </c:pt>
              </c:strCache>
            </c:strRef>
          </c:tx>
          <c:spPr>
            <a:ln w="28575" cap="rnd">
              <a:solidFill>
                <a:schemeClr val="accent2"/>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Finance!$X$13:$X$250</c:f>
              <c:numCache>
                <c:formatCode>General</c:formatCode>
                <c:ptCount val="238"/>
                <c:pt idx="0">
                  <c:v>3</c:v>
                </c:pt>
                <c:pt idx="1">
                  <c:v>4</c:v>
                </c:pt>
                <c:pt idx="2">
                  <c:v>4</c:v>
                </c:pt>
                <c:pt idx="3">
                  <c:v>4</c:v>
                </c:pt>
                <c:pt idx="4">
                  <c:v>4</c:v>
                </c:pt>
                <c:pt idx="5">
                  <c:v>4</c:v>
                </c:pt>
                <c:pt idx="6">
                  <c:v>4</c:v>
                </c:pt>
                <c:pt idx="7">
                  <c:v>4</c:v>
                </c:pt>
                <c:pt idx="8">
                  <c:v>4</c:v>
                </c:pt>
                <c:pt idx="9">
                  <c:v>5</c:v>
                </c:pt>
                <c:pt idx="10">
                  <c:v>54</c:v>
                </c:pt>
                <c:pt idx="11">
                  <c:v>5</c:v>
                </c:pt>
                <c:pt idx="12">
                  <c:v>6</c:v>
                </c:pt>
                <c:pt idx="13">
                  <c:v>45</c:v>
                </c:pt>
                <c:pt idx="14">
                  <c:v>8</c:v>
                </c:pt>
                <c:pt idx="15">
                  <c:v>4</c:v>
                </c:pt>
                <c:pt idx="16">
                  <c:v>6</c:v>
                </c:pt>
                <c:pt idx="17">
                  <c:v>63</c:v>
                </c:pt>
                <c:pt idx="18">
                  <c:v>46</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c:v>
                </c:pt>
                <c:pt idx="187">
                  <c:v>188</c:v>
                </c:pt>
                <c:pt idx="188">
                  <c:v>189</c:v>
                </c:pt>
                <c:pt idx="189">
                  <c:v>190</c:v>
                </c:pt>
                <c:pt idx="190">
                  <c:v>191</c:v>
                </c:pt>
                <c:pt idx="191">
                  <c:v>192</c:v>
                </c:pt>
                <c:pt idx="192">
                  <c:v>1</c:v>
                </c:pt>
                <c:pt idx="193">
                  <c:v>194</c:v>
                </c:pt>
                <c:pt idx="194">
                  <c:v>195</c:v>
                </c:pt>
                <c:pt idx="195">
                  <c:v>196</c:v>
                </c:pt>
                <c:pt idx="196">
                  <c:v>197</c:v>
                </c:pt>
                <c:pt idx="197">
                  <c:v>1</c:v>
                </c:pt>
                <c:pt idx="198">
                  <c:v>199</c:v>
                </c:pt>
                <c:pt idx="199">
                  <c:v>1</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1-09DF-4144-8236-96B07A9F120A}"/>
            </c:ext>
          </c:extLst>
        </c:ser>
        <c:ser>
          <c:idx val="2"/>
          <c:order val="2"/>
          <c:tx>
            <c:strRef>
              <c:f>Finance!$Y$12</c:f>
              <c:strCache>
                <c:ptCount val="1"/>
                <c:pt idx="0">
                  <c:v>3</c:v>
                </c:pt>
              </c:strCache>
            </c:strRef>
          </c:tx>
          <c:spPr>
            <a:ln w="28575" cap="rnd">
              <a:solidFill>
                <a:schemeClr val="accent3"/>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Finance!$Y$13:$Y$250</c:f>
              <c:numCache>
                <c:formatCode>General</c:formatCode>
                <c:ptCount val="2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2-09DF-4144-8236-96B07A9F120A}"/>
            </c:ext>
          </c:extLst>
        </c:ser>
        <c:ser>
          <c:idx val="3"/>
          <c:order val="3"/>
          <c:tx>
            <c:strRef>
              <c:f>Finance!$Z$12</c:f>
              <c:strCache>
                <c:ptCount val="1"/>
                <c:pt idx="0">
                  <c:v>4</c:v>
                </c:pt>
              </c:strCache>
            </c:strRef>
          </c:tx>
          <c:spPr>
            <a:ln w="28575" cap="rnd">
              <a:solidFill>
                <a:schemeClr val="accent4"/>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Finance!$Z$13:$Z$250</c:f>
              <c:numCache>
                <c:formatCode>General</c:formatCode>
                <c:ptCount val="238"/>
                <c:pt idx="0">
                  <c:v>1</c:v>
                </c:pt>
                <c:pt idx="1">
                  <c:v>9</c:v>
                </c:pt>
                <c:pt idx="2">
                  <c:v>9</c:v>
                </c:pt>
                <c:pt idx="3">
                  <c:v>9</c:v>
                </c:pt>
                <c:pt idx="4">
                  <c:v>9</c:v>
                </c:pt>
                <c:pt idx="5">
                  <c:v>9</c:v>
                </c:pt>
                <c:pt idx="6">
                  <c:v>9</c:v>
                </c:pt>
                <c:pt idx="7">
                  <c:v>9</c:v>
                </c:pt>
                <c:pt idx="8">
                  <c:v>9</c:v>
                </c:pt>
                <c:pt idx="9">
                  <c:v>99</c:v>
                </c:pt>
                <c:pt idx="10">
                  <c:v>9</c:v>
                </c:pt>
                <c:pt idx="11">
                  <c:v>9</c:v>
                </c:pt>
                <c:pt idx="12">
                  <c:v>13</c:v>
                </c:pt>
                <c:pt idx="13">
                  <c:v>9</c:v>
                </c:pt>
                <c:pt idx="14">
                  <c:v>9</c:v>
                </c:pt>
                <c:pt idx="15">
                  <c:v>9</c:v>
                </c:pt>
                <c:pt idx="16">
                  <c:v>9</c:v>
                </c:pt>
                <c:pt idx="17">
                  <c:v>9</c:v>
                </c:pt>
                <c:pt idx="18">
                  <c:v>99</c:v>
                </c:pt>
                <c:pt idx="19">
                  <c:v>9</c:v>
                </c:pt>
                <c:pt idx="20">
                  <c:v>21</c:v>
                </c:pt>
                <c:pt idx="21">
                  <c:v>9</c:v>
                </c:pt>
                <c:pt idx="22">
                  <c:v>99</c:v>
                </c:pt>
                <c:pt idx="23">
                  <c:v>9</c:v>
                </c:pt>
                <c:pt idx="24">
                  <c:v>9</c:v>
                </c:pt>
                <c:pt idx="25">
                  <c:v>26</c:v>
                </c:pt>
                <c:pt idx="26">
                  <c:v>9</c:v>
                </c:pt>
                <c:pt idx="27">
                  <c:v>9</c:v>
                </c:pt>
                <c:pt idx="28">
                  <c:v>99</c:v>
                </c:pt>
                <c:pt idx="29">
                  <c:v>9</c:v>
                </c:pt>
                <c:pt idx="30">
                  <c:v>9</c:v>
                </c:pt>
                <c:pt idx="31">
                  <c:v>9</c:v>
                </c:pt>
                <c:pt idx="32">
                  <c:v>9</c:v>
                </c:pt>
                <c:pt idx="33">
                  <c:v>9</c:v>
                </c:pt>
                <c:pt idx="34">
                  <c:v>9</c:v>
                </c:pt>
                <c:pt idx="35">
                  <c:v>9</c:v>
                </c:pt>
                <c:pt idx="36">
                  <c:v>9</c:v>
                </c:pt>
                <c:pt idx="37">
                  <c:v>9</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3-09DF-4144-8236-96B07A9F120A}"/>
            </c:ext>
          </c:extLst>
        </c:ser>
        <c:ser>
          <c:idx val="4"/>
          <c:order val="4"/>
          <c:tx>
            <c:strRef>
              <c:f>Finance!$AA$12</c:f>
              <c:strCache>
                <c:ptCount val="1"/>
                <c:pt idx="0">
                  <c:v>5</c:v>
                </c:pt>
              </c:strCache>
            </c:strRef>
          </c:tx>
          <c:spPr>
            <a:ln w="28575" cap="rnd">
              <a:solidFill>
                <a:schemeClr val="accent5"/>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Finance!$AA$13:$AA$250</c:f>
              <c:numCache>
                <c:formatCode>General</c:formatCode>
                <c:ptCount val="238"/>
                <c:pt idx="0">
                  <c:v>12</c:v>
                </c:pt>
                <c:pt idx="1">
                  <c:v>12</c:v>
                </c:pt>
                <c:pt idx="2">
                  <c:v>12</c:v>
                </c:pt>
                <c:pt idx="3">
                  <c:v>12</c:v>
                </c:pt>
                <c:pt idx="4">
                  <c:v>12</c:v>
                </c:pt>
                <c:pt idx="5">
                  <c:v>12</c:v>
                </c:pt>
                <c:pt idx="6">
                  <c:v>12</c:v>
                </c:pt>
                <c:pt idx="7">
                  <c:v>12</c:v>
                </c:pt>
                <c:pt idx="8">
                  <c:v>12</c:v>
                </c:pt>
                <c:pt idx="9">
                  <c:v>12</c:v>
                </c:pt>
                <c:pt idx="10">
                  <c:v>12</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12</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12</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4-09DF-4144-8236-96B07A9F120A}"/>
            </c:ext>
          </c:extLst>
        </c:ser>
        <c:dLbls>
          <c:showLegendKey val="0"/>
          <c:showVal val="0"/>
          <c:showCatName val="0"/>
          <c:showSerName val="0"/>
          <c:showPercent val="0"/>
          <c:showBubbleSize val="0"/>
        </c:dLbls>
        <c:smooth val="0"/>
        <c:axId val="1004735616"/>
        <c:axId val="416278752"/>
      </c:lineChart>
      <c:dateAx>
        <c:axId val="1004735616"/>
        <c:scaling>
          <c:orientation val="minMax"/>
        </c:scaling>
        <c:delete val="1"/>
        <c:axPos val="b"/>
        <c:numFmt formatCode="m/d/yyyy" sourceLinked="1"/>
        <c:majorTickMark val="none"/>
        <c:minorTickMark val="none"/>
        <c:tickLblPos val="nextTo"/>
        <c:crossAx val="416278752"/>
        <c:crosses val="autoZero"/>
        <c:auto val="1"/>
        <c:lblOffset val="100"/>
        <c:baseTimeUnit val="days"/>
      </c:dateAx>
      <c:valAx>
        <c:axId val="416278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73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Trends!$C$2</c:f>
              <c:strCache>
                <c:ptCount val="1"/>
                <c:pt idx="0">
                  <c:v>9spokes</c:v>
                </c:pt>
              </c:strCache>
            </c:strRef>
          </c:tx>
          <c:spPr>
            <a:ln w="28575" cap="rnd">
              <a:solidFill>
                <a:schemeClr val="accent1"/>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Trends!$C$12:$C$250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32</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0-1AAD-42B9-8F57-0BE75280497E}"/>
            </c:ext>
          </c:extLst>
        </c:ser>
        <c:ser>
          <c:idx val="1"/>
          <c:order val="1"/>
          <c:tx>
            <c:strRef>
              <c:f>Trends!$D$2</c:f>
              <c:strCache>
                <c:ptCount val="1"/>
                <c:pt idx="0">
                  <c:v>9 spokes</c:v>
                </c:pt>
              </c:strCache>
            </c:strRef>
          </c:tx>
          <c:spPr>
            <a:ln w="28575" cap="rnd">
              <a:solidFill>
                <a:schemeClr val="accent2"/>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Trends!$D$12:$D$250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5</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1-1AAD-42B9-8F57-0BE75280497E}"/>
            </c:ext>
          </c:extLst>
        </c:ser>
        <c:ser>
          <c:idx val="2"/>
          <c:order val="2"/>
          <c:tx>
            <c:strRef>
              <c:f>Trends!$E$2</c:f>
              <c:strCache>
                <c:ptCount val="1"/>
                <c:pt idx="0">
                  <c:v>shwoop</c:v>
                </c:pt>
              </c:strCache>
            </c:strRef>
          </c:tx>
          <c:spPr>
            <a:ln w="28575" cap="rnd">
              <a:solidFill>
                <a:schemeClr val="accent3"/>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Trends!$E$12:$E$250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66</c:v>
                </c:pt>
                <c:pt idx="26">
                  <c:v>26</c:v>
                </c:pt>
                <c:pt idx="27">
                  <c:v>66</c:v>
                </c:pt>
                <c:pt idx="28">
                  <c:v>66</c:v>
                </c:pt>
                <c:pt idx="29">
                  <c:v>66</c:v>
                </c:pt>
                <c:pt idx="30">
                  <c:v>66</c:v>
                </c:pt>
                <c:pt idx="31">
                  <c:v>66</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2-1AAD-42B9-8F57-0BE75280497E}"/>
            </c:ext>
          </c:extLst>
        </c:ser>
        <c:ser>
          <c:idx val="3"/>
          <c:order val="3"/>
          <c:tx>
            <c:strRef>
              <c:f>Trends!$F$2</c:f>
              <c:strCache>
                <c:ptCount val="1"/>
              </c:strCache>
            </c:strRef>
          </c:tx>
          <c:spPr>
            <a:ln w="28575" cap="rnd">
              <a:solidFill>
                <a:schemeClr val="accent4"/>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Trends!$F$12:$F$250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90</c:v>
                </c:pt>
                <c:pt idx="28">
                  <c:v>87</c:v>
                </c:pt>
                <c:pt idx="29">
                  <c:v>90</c:v>
                </c:pt>
                <c:pt idx="30">
                  <c:v>90</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3-1AAD-42B9-8F57-0BE75280497E}"/>
            </c:ext>
          </c:extLst>
        </c:ser>
        <c:ser>
          <c:idx val="4"/>
          <c:order val="4"/>
          <c:tx>
            <c:strRef>
              <c:f>Trends!$G$2</c:f>
              <c:strCache>
                <c:ptCount val="1"/>
              </c:strCache>
            </c:strRef>
          </c:tx>
          <c:spPr>
            <a:ln w="28575" cap="rnd">
              <a:solidFill>
                <a:schemeClr val="accent5"/>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Trends!$G$12:$G$250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5</c:v>
                </c:pt>
                <c:pt idx="27">
                  <c:v>1</c:v>
                </c:pt>
                <c:pt idx="28">
                  <c:v>1</c:v>
                </c:pt>
                <c:pt idx="29">
                  <c:v>1</c:v>
                </c:pt>
                <c:pt idx="30">
                  <c:v>5</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4-1AAD-42B9-8F57-0BE75280497E}"/>
            </c:ext>
          </c:extLst>
        </c:ser>
        <c:dLbls>
          <c:showLegendKey val="0"/>
          <c:showVal val="0"/>
          <c:showCatName val="0"/>
          <c:showSerName val="0"/>
          <c:showPercent val="0"/>
          <c:showBubbleSize val="0"/>
        </c:dLbls>
        <c:smooth val="0"/>
        <c:axId val="739079647"/>
        <c:axId val="626241567"/>
      </c:lineChart>
      <c:dateAx>
        <c:axId val="73907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241567"/>
        <c:crosses val="autoZero"/>
        <c:auto val="0"/>
        <c:lblOffset val="100"/>
        <c:baseTimeUnit val="days"/>
      </c:dateAx>
      <c:valAx>
        <c:axId val="626241567"/>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079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'Google trends'!$B$1</c:f>
              <c:strCache>
                <c:ptCount val="1"/>
                <c:pt idx="0">
                  <c:v>9 Spokes</c:v>
                </c:pt>
              </c:strCache>
            </c:strRef>
          </c:tx>
          <c:spPr>
            <a:ln w="28575" cap="rnd">
              <a:solidFill>
                <a:srgbClr val="8EA9DB"/>
              </a:solidFill>
              <a:prstDash val="solid"/>
              <a:round/>
            </a:ln>
            <a:effectLst/>
          </c:spPr>
          <c:marker>
            <c:symbol val="none"/>
          </c:marker>
          <c:val>
            <c:numRef>
              <c:f>'Google trends'!$B$2:$B$37</c:f>
              <c:numCache>
                <c:formatCode>General</c:formatCode>
                <c:ptCount val="36"/>
                <c:pt idx="0">
                  <c:v>0</c:v>
                </c:pt>
                <c:pt idx="1">
                  <c:v>0</c:v>
                </c:pt>
                <c:pt idx="2">
                  <c:v>49</c:v>
                </c:pt>
                <c:pt idx="3">
                  <c:v>0</c:v>
                </c:pt>
                <c:pt idx="4">
                  <c:v>0</c:v>
                </c:pt>
                <c:pt idx="5">
                  <c:v>48</c:v>
                </c:pt>
                <c:pt idx="6">
                  <c:v>49</c:v>
                </c:pt>
                <c:pt idx="7">
                  <c:v>0</c:v>
                </c:pt>
                <c:pt idx="8">
                  <c:v>100</c:v>
                </c:pt>
                <c:pt idx="9">
                  <c:v>0</c:v>
                </c:pt>
                <c:pt idx="10">
                  <c:v>0</c:v>
                </c:pt>
                <c:pt idx="11">
                  <c:v>48</c:v>
                </c:pt>
                <c:pt idx="12">
                  <c:v>0</c:v>
                </c:pt>
                <c:pt idx="13">
                  <c:v>45</c:v>
                </c:pt>
                <c:pt idx="14">
                  <c:v>0</c:v>
                </c:pt>
                <c:pt idx="15">
                  <c:v>0</c:v>
                </c:pt>
                <c:pt idx="16">
                  <c:v>0</c:v>
                </c:pt>
                <c:pt idx="17">
                  <c:v>0</c:v>
                </c:pt>
                <c:pt idx="18">
                  <c:v>80</c:v>
                </c:pt>
                <c:pt idx="19">
                  <c:v>40</c:v>
                </c:pt>
                <c:pt idx="20">
                  <c:v>41</c:v>
                </c:pt>
                <c:pt idx="21">
                  <c:v>39</c:v>
                </c:pt>
                <c:pt idx="22">
                  <c:v>76</c:v>
                </c:pt>
                <c:pt idx="23">
                  <c:v>73</c:v>
                </c:pt>
                <c:pt idx="24">
                  <c:v>0</c:v>
                </c:pt>
                <c:pt idx="25">
                  <c:v>0</c:v>
                </c:pt>
                <c:pt idx="26">
                  <c:v>40</c:v>
                </c:pt>
                <c:pt idx="27">
                  <c:v>0</c:v>
                </c:pt>
                <c:pt idx="28">
                  <c:v>40</c:v>
                </c:pt>
                <c:pt idx="29">
                  <c:v>0</c:v>
                </c:pt>
                <c:pt idx="30">
                  <c:v>0</c:v>
                </c:pt>
                <c:pt idx="31">
                  <c:v>0</c:v>
                </c:pt>
                <c:pt idx="32">
                  <c:v>0</c:v>
                </c:pt>
                <c:pt idx="33">
                  <c:v>0</c:v>
                </c:pt>
                <c:pt idx="34">
                  <c:v>0</c:v>
                </c:pt>
                <c:pt idx="35">
                  <c:v>35</c:v>
                </c:pt>
              </c:numCache>
            </c:numRef>
          </c:val>
          <c:smooth val="0"/>
          <c:extLst>
            <c:ext xmlns:c16="http://schemas.microsoft.com/office/drawing/2014/chart" uri="{C3380CC4-5D6E-409C-BE32-E72D297353CC}">
              <c16:uniqueId val="{00000000-C734-491A-8030-698EEDA2FF52}"/>
            </c:ext>
          </c:extLst>
        </c:ser>
        <c:ser>
          <c:idx val="1"/>
          <c:order val="1"/>
          <c:tx>
            <c:strRef>
              <c:f>'Google trends'!$C$1</c:f>
              <c:strCache>
                <c:ptCount val="1"/>
                <c:pt idx="0">
                  <c:v>Competitor</c:v>
                </c:pt>
              </c:strCache>
            </c:strRef>
          </c:tx>
          <c:spPr>
            <a:ln w="28575" cap="rnd">
              <a:solidFill>
                <a:srgbClr val="7030A0"/>
              </a:solidFill>
              <a:prstDash val="solid"/>
              <a:round/>
            </a:ln>
            <a:effectLst/>
          </c:spPr>
          <c:marker>
            <c:symbol val="circle"/>
            <c:size val="2"/>
            <c:spPr>
              <a:solidFill>
                <a:srgbClr val="7030A0"/>
              </a:solidFill>
              <a:ln w="9525">
                <a:solidFill>
                  <a:srgbClr val="7030A0"/>
                </a:solidFill>
                <a:prstDash val="solid"/>
              </a:ln>
              <a:effectLst/>
            </c:spPr>
          </c:marker>
          <c:val>
            <c:numRef>
              <c:f>'Google trends'!$C$2:$C$37</c:f>
              <c:numCache>
                <c:formatCode>General</c:formatCode>
                <c:ptCount val="36"/>
                <c:pt idx="0">
                  <c:v>50</c:v>
                </c:pt>
                <c:pt idx="1">
                  <c:v>0</c:v>
                </c:pt>
                <c:pt idx="2">
                  <c:v>0</c:v>
                </c:pt>
                <c:pt idx="3">
                  <c:v>49</c:v>
                </c:pt>
                <c:pt idx="4">
                  <c:v>0</c:v>
                </c:pt>
                <c:pt idx="5">
                  <c:v>48</c:v>
                </c:pt>
                <c:pt idx="6">
                  <c:v>0</c:v>
                </c:pt>
                <c:pt idx="7">
                  <c:v>0</c:v>
                </c:pt>
                <c:pt idx="8">
                  <c:v>0</c:v>
                </c:pt>
                <c:pt idx="9">
                  <c:v>0</c:v>
                </c:pt>
                <c:pt idx="10">
                  <c:v>0</c:v>
                </c:pt>
                <c:pt idx="11">
                  <c:v>0</c:v>
                </c:pt>
                <c:pt idx="12">
                  <c:v>0</c:v>
                </c:pt>
                <c:pt idx="13">
                  <c:v>0</c:v>
                </c:pt>
                <c:pt idx="14">
                  <c:v>0</c:v>
                </c:pt>
                <c:pt idx="15">
                  <c:v>0</c:v>
                </c:pt>
                <c:pt idx="16">
                  <c:v>30</c:v>
                </c:pt>
                <c:pt idx="17">
                  <c:v>0</c:v>
                </c:pt>
                <c:pt idx="18">
                  <c:v>0</c:v>
                </c:pt>
                <c:pt idx="19">
                  <c:v>40</c:v>
                </c:pt>
                <c:pt idx="20">
                  <c:v>0</c:v>
                </c:pt>
                <c:pt idx="21">
                  <c:v>40</c:v>
                </c:pt>
                <c:pt idx="22">
                  <c:v>0</c:v>
                </c:pt>
                <c:pt idx="23">
                  <c:v>0</c:v>
                </c:pt>
                <c:pt idx="24">
                  <c:v>40</c:v>
                </c:pt>
                <c:pt idx="25">
                  <c:v>0</c:v>
                </c:pt>
                <c:pt idx="26">
                  <c:v>40</c:v>
                </c:pt>
                <c:pt idx="27">
                  <c:v>0</c:v>
                </c:pt>
                <c:pt idx="28">
                  <c:v>0</c:v>
                </c:pt>
                <c:pt idx="29">
                  <c:v>40</c:v>
                </c:pt>
                <c:pt idx="30">
                  <c:v>0</c:v>
                </c:pt>
                <c:pt idx="31">
                  <c:v>0</c:v>
                </c:pt>
                <c:pt idx="32">
                  <c:v>0</c:v>
                </c:pt>
                <c:pt idx="33">
                  <c:v>0</c:v>
                </c:pt>
                <c:pt idx="34">
                  <c:v>80</c:v>
                </c:pt>
                <c:pt idx="35">
                  <c:v>35</c:v>
                </c:pt>
              </c:numCache>
            </c:numRef>
          </c:val>
          <c:smooth val="0"/>
          <c:extLst>
            <c:ext xmlns:c16="http://schemas.microsoft.com/office/drawing/2014/chart" uri="{C3380CC4-5D6E-409C-BE32-E72D297353CC}">
              <c16:uniqueId val="{00000001-C734-491A-8030-698EEDA2FF52}"/>
            </c:ext>
          </c:extLst>
        </c:ser>
        <c:dLbls>
          <c:showLegendKey val="0"/>
          <c:showVal val="0"/>
          <c:showCatName val="0"/>
          <c:showSerName val="0"/>
          <c:showPercent val="0"/>
          <c:showBubbleSize val="0"/>
        </c:dLbls>
        <c:smooth val="0"/>
        <c:axId val="836452536"/>
        <c:axId val="836461272"/>
      </c:lineChart>
      <c:catAx>
        <c:axId val="836452536"/>
        <c:scaling>
          <c:orientation val="minMax"/>
        </c:scaling>
        <c:delete val="0"/>
        <c:axPos val="b"/>
        <c:numFmt formatCode="0" sourceLinked="0"/>
        <c:majorTickMark val="none"/>
        <c:minorTickMark val="none"/>
        <c:tickLblPos val="nextTo"/>
        <c:spPr>
          <a:solidFill>
            <a:srgbClr val="FFFFFF"/>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836461272"/>
        <c:crosses val="autoZero"/>
        <c:auto val="1"/>
        <c:lblAlgn val="ctr"/>
        <c:lblOffset val="100"/>
        <c:noMultiLvlLbl val="0"/>
      </c:catAx>
      <c:valAx>
        <c:axId val="836461272"/>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4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Google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'Google trends'!$B$1</c:f>
              <c:strCache>
                <c:ptCount val="1"/>
                <c:pt idx="0">
                  <c:v>9 Spokes</c:v>
                </c:pt>
              </c:strCache>
            </c:strRef>
          </c:tx>
          <c:spPr>
            <a:ln w="28575" cap="rnd">
              <a:solidFill>
                <a:srgbClr val="8EA9DB"/>
              </a:solidFill>
              <a:prstDash val="solid"/>
              <a:round/>
            </a:ln>
            <a:effectLst/>
          </c:spPr>
          <c:marker>
            <c:symbol val="none"/>
          </c:marker>
          <c:cat>
            <c:numRef>
              <c:f>'Google trends'!$A$2:$A$37</c:f>
              <c:numCache>
                <c:formatCode>m/d/yyyy</c:formatCode>
                <c:ptCount val="36"/>
                <c:pt idx="0">
                  <c:v>43576</c:v>
                </c:pt>
                <c:pt idx="1">
                  <c:v>43583</c:v>
                </c:pt>
                <c:pt idx="2">
                  <c:v>43590</c:v>
                </c:pt>
                <c:pt idx="3">
                  <c:v>43597</c:v>
                </c:pt>
                <c:pt idx="4">
                  <c:v>43604</c:v>
                </c:pt>
                <c:pt idx="5">
                  <c:v>43611</c:v>
                </c:pt>
                <c:pt idx="6">
                  <c:v>43618</c:v>
                </c:pt>
                <c:pt idx="7">
                  <c:v>43625</c:v>
                </c:pt>
                <c:pt idx="8">
                  <c:v>43632</c:v>
                </c:pt>
                <c:pt idx="9">
                  <c:v>43639</c:v>
                </c:pt>
                <c:pt idx="10">
                  <c:v>43646</c:v>
                </c:pt>
                <c:pt idx="11">
                  <c:v>43653</c:v>
                </c:pt>
                <c:pt idx="12">
                  <c:v>43660</c:v>
                </c:pt>
                <c:pt idx="13">
                  <c:v>43667</c:v>
                </c:pt>
                <c:pt idx="14">
                  <c:v>43674</c:v>
                </c:pt>
                <c:pt idx="15">
                  <c:v>43681</c:v>
                </c:pt>
                <c:pt idx="16">
                  <c:v>43688</c:v>
                </c:pt>
                <c:pt idx="17">
                  <c:v>43695</c:v>
                </c:pt>
                <c:pt idx="18">
                  <c:v>43702</c:v>
                </c:pt>
                <c:pt idx="19">
                  <c:v>43709</c:v>
                </c:pt>
                <c:pt idx="20">
                  <c:v>43716</c:v>
                </c:pt>
                <c:pt idx="21">
                  <c:v>43723</c:v>
                </c:pt>
                <c:pt idx="22">
                  <c:v>43730</c:v>
                </c:pt>
                <c:pt idx="23">
                  <c:v>43737</c:v>
                </c:pt>
                <c:pt idx="24">
                  <c:v>43744</c:v>
                </c:pt>
                <c:pt idx="25">
                  <c:v>43751</c:v>
                </c:pt>
                <c:pt idx="26">
                  <c:v>43758</c:v>
                </c:pt>
                <c:pt idx="27">
                  <c:v>43765</c:v>
                </c:pt>
                <c:pt idx="28">
                  <c:v>43772</c:v>
                </c:pt>
                <c:pt idx="29">
                  <c:v>43779</c:v>
                </c:pt>
                <c:pt idx="30">
                  <c:v>43786</c:v>
                </c:pt>
                <c:pt idx="31">
                  <c:v>43793</c:v>
                </c:pt>
                <c:pt idx="32">
                  <c:v>43800</c:v>
                </c:pt>
                <c:pt idx="33">
                  <c:v>43807</c:v>
                </c:pt>
                <c:pt idx="34">
                  <c:v>43814</c:v>
                </c:pt>
                <c:pt idx="35">
                  <c:v>43821</c:v>
                </c:pt>
              </c:numCache>
            </c:numRef>
          </c:cat>
          <c:val>
            <c:numRef>
              <c:f>'Google trends'!$B$2:$B$37</c:f>
              <c:numCache>
                <c:formatCode>General</c:formatCode>
                <c:ptCount val="36"/>
                <c:pt idx="0">
                  <c:v>0</c:v>
                </c:pt>
                <c:pt idx="1">
                  <c:v>0</c:v>
                </c:pt>
                <c:pt idx="2">
                  <c:v>49</c:v>
                </c:pt>
                <c:pt idx="3">
                  <c:v>0</c:v>
                </c:pt>
                <c:pt idx="4">
                  <c:v>0</c:v>
                </c:pt>
                <c:pt idx="5">
                  <c:v>48</c:v>
                </c:pt>
                <c:pt idx="6">
                  <c:v>49</c:v>
                </c:pt>
                <c:pt idx="7">
                  <c:v>0</c:v>
                </c:pt>
                <c:pt idx="8">
                  <c:v>100</c:v>
                </c:pt>
                <c:pt idx="9">
                  <c:v>0</c:v>
                </c:pt>
                <c:pt idx="10">
                  <c:v>0</c:v>
                </c:pt>
                <c:pt idx="11">
                  <c:v>48</c:v>
                </c:pt>
                <c:pt idx="12">
                  <c:v>0</c:v>
                </c:pt>
                <c:pt idx="13">
                  <c:v>45</c:v>
                </c:pt>
                <c:pt idx="14">
                  <c:v>0</c:v>
                </c:pt>
                <c:pt idx="15">
                  <c:v>0</c:v>
                </c:pt>
                <c:pt idx="16">
                  <c:v>0</c:v>
                </c:pt>
                <c:pt idx="17">
                  <c:v>0</c:v>
                </c:pt>
                <c:pt idx="18">
                  <c:v>80</c:v>
                </c:pt>
                <c:pt idx="19">
                  <c:v>40</c:v>
                </c:pt>
                <c:pt idx="20">
                  <c:v>41</c:v>
                </c:pt>
                <c:pt idx="21">
                  <c:v>39</c:v>
                </c:pt>
                <c:pt idx="22">
                  <c:v>76</c:v>
                </c:pt>
                <c:pt idx="23">
                  <c:v>73</c:v>
                </c:pt>
                <c:pt idx="24">
                  <c:v>0</c:v>
                </c:pt>
                <c:pt idx="25">
                  <c:v>0</c:v>
                </c:pt>
                <c:pt idx="26">
                  <c:v>40</c:v>
                </c:pt>
                <c:pt idx="27">
                  <c:v>0</c:v>
                </c:pt>
                <c:pt idx="28">
                  <c:v>40</c:v>
                </c:pt>
                <c:pt idx="29">
                  <c:v>0</c:v>
                </c:pt>
                <c:pt idx="30">
                  <c:v>0</c:v>
                </c:pt>
                <c:pt idx="31">
                  <c:v>0</c:v>
                </c:pt>
                <c:pt idx="32">
                  <c:v>0</c:v>
                </c:pt>
                <c:pt idx="33">
                  <c:v>0</c:v>
                </c:pt>
                <c:pt idx="34">
                  <c:v>0</c:v>
                </c:pt>
                <c:pt idx="35">
                  <c:v>35</c:v>
                </c:pt>
              </c:numCache>
            </c:numRef>
          </c:val>
          <c:smooth val="0"/>
          <c:extLst>
            <c:ext xmlns:c16="http://schemas.microsoft.com/office/drawing/2014/chart" uri="{C3380CC4-5D6E-409C-BE32-E72D297353CC}">
              <c16:uniqueId val="{00000000-4F1E-41C3-BBE2-26849B2E67AE}"/>
            </c:ext>
          </c:extLst>
        </c:ser>
        <c:ser>
          <c:idx val="1"/>
          <c:order val="1"/>
          <c:tx>
            <c:strRef>
              <c:f>'Google trends'!$C$1</c:f>
              <c:strCache>
                <c:ptCount val="1"/>
                <c:pt idx="0">
                  <c:v>Competitor</c:v>
                </c:pt>
              </c:strCache>
            </c:strRef>
          </c:tx>
          <c:spPr>
            <a:ln w="28575" cap="rnd">
              <a:solidFill>
                <a:srgbClr val="7030A0"/>
              </a:solidFill>
              <a:prstDash val="solid"/>
              <a:round/>
            </a:ln>
            <a:effectLst/>
          </c:spPr>
          <c:marker>
            <c:symbol val="none"/>
          </c:marker>
          <c:cat>
            <c:numRef>
              <c:f>'Google trends'!$A$2:$A$37</c:f>
              <c:numCache>
                <c:formatCode>m/d/yyyy</c:formatCode>
                <c:ptCount val="36"/>
                <c:pt idx="0">
                  <c:v>43576</c:v>
                </c:pt>
                <c:pt idx="1">
                  <c:v>43583</c:v>
                </c:pt>
                <c:pt idx="2">
                  <c:v>43590</c:v>
                </c:pt>
                <c:pt idx="3">
                  <c:v>43597</c:v>
                </c:pt>
                <c:pt idx="4">
                  <c:v>43604</c:v>
                </c:pt>
                <c:pt idx="5">
                  <c:v>43611</c:v>
                </c:pt>
                <c:pt idx="6">
                  <c:v>43618</c:v>
                </c:pt>
                <c:pt idx="7">
                  <c:v>43625</c:v>
                </c:pt>
                <c:pt idx="8">
                  <c:v>43632</c:v>
                </c:pt>
                <c:pt idx="9">
                  <c:v>43639</c:v>
                </c:pt>
                <c:pt idx="10">
                  <c:v>43646</c:v>
                </c:pt>
                <c:pt idx="11">
                  <c:v>43653</c:v>
                </c:pt>
                <c:pt idx="12">
                  <c:v>43660</c:v>
                </c:pt>
                <c:pt idx="13">
                  <c:v>43667</c:v>
                </c:pt>
                <c:pt idx="14">
                  <c:v>43674</c:v>
                </c:pt>
                <c:pt idx="15">
                  <c:v>43681</c:v>
                </c:pt>
                <c:pt idx="16">
                  <c:v>43688</c:v>
                </c:pt>
                <c:pt idx="17">
                  <c:v>43695</c:v>
                </c:pt>
                <c:pt idx="18">
                  <c:v>43702</c:v>
                </c:pt>
                <c:pt idx="19">
                  <c:v>43709</c:v>
                </c:pt>
                <c:pt idx="20">
                  <c:v>43716</c:v>
                </c:pt>
                <c:pt idx="21">
                  <c:v>43723</c:v>
                </c:pt>
                <c:pt idx="22">
                  <c:v>43730</c:v>
                </c:pt>
                <c:pt idx="23">
                  <c:v>43737</c:v>
                </c:pt>
                <c:pt idx="24">
                  <c:v>43744</c:v>
                </c:pt>
                <c:pt idx="25">
                  <c:v>43751</c:v>
                </c:pt>
                <c:pt idx="26">
                  <c:v>43758</c:v>
                </c:pt>
                <c:pt idx="27">
                  <c:v>43765</c:v>
                </c:pt>
                <c:pt idx="28">
                  <c:v>43772</c:v>
                </c:pt>
                <c:pt idx="29">
                  <c:v>43779</c:v>
                </c:pt>
                <c:pt idx="30">
                  <c:v>43786</c:v>
                </c:pt>
                <c:pt idx="31">
                  <c:v>43793</c:v>
                </c:pt>
                <c:pt idx="32">
                  <c:v>43800</c:v>
                </c:pt>
                <c:pt idx="33">
                  <c:v>43807</c:v>
                </c:pt>
                <c:pt idx="34">
                  <c:v>43814</c:v>
                </c:pt>
                <c:pt idx="35">
                  <c:v>43821</c:v>
                </c:pt>
              </c:numCache>
            </c:numRef>
          </c:cat>
          <c:val>
            <c:numRef>
              <c:f>'Google trends'!$C$2:$C$37</c:f>
              <c:numCache>
                <c:formatCode>General</c:formatCode>
                <c:ptCount val="36"/>
                <c:pt idx="0">
                  <c:v>50</c:v>
                </c:pt>
                <c:pt idx="1">
                  <c:v>0</c:v>
                </c:pt>
                <c:pt idx="2">
                  <c:v>0</c:v>
                </c:pt>
                <c:pt idx="3">
                  <c:v>49</c:v>
                </c:pt>
                <c:pt idx="4">
                  <c:v>0</c:v>
                </c:pt>
                <c:pt idx="5">
                  <c:v>48</c:v>
                </c:pt>
                <c:pt idx="6">
                  <c:v>0</c:v>
                </c:pt>
                <c:pt idx="7">
                  <c:v>0</c:v>
                </c:pt>
                <c:pt idx="8">
                  <c:v>0</c:v>
                </c:pt>
                <c:pt idx="9">
                  <c:v>0</c:v>
                </c:pt>
                <c:pt idx="10">
                  <c:v>0</c:v>
                </c:pt>
                <c:pt idx="11">
                  <c:v>0</c:v>
                </c:pt>
                <c:pt idx="12">
                  <c:v>0</c:v>
                </c:pt>
                <c:pt idx="13">
                  <c:v>0</c:v>
                </c:pt>
                <c:pt idx="14">
                  <c:v>0</c:v>
                </c:pt>
                <c:pt idx="15">
                  <c:v>0</c:v>
                </c:pt>
                <c:pt idx="16">
                  <c:v>30</c:v>
                </c:pt>
                <c:pt idx="17">
                  <c:v>0</c:v>
                </c:pt>
                <c:pt idx="18">
                  <c:v>0</c:v>
                </c:pt>
                <c:pt idx="19">
                  <c:v>40</c:v>
                </c:pt>
                <c:pt idx="20">
                  <c:v>0</c:v>
                </c:pt>
                <c:pt idx="21">
                  <c:v>40</c:v>
                </c:pt>
                <c:pt idx="22">
                  <c:v>0</c:v>
                </c:pt>
                <c:pt idx="23">
                  <c:v>0</c:v>
                </c:pt>
                <c:pt idx="24">
                  <c:v>40</c:v>
                </c:pt>
                <c:pt idx="25">
                  <c:v>0</c:v>
                </c:pt>
                <c:pt idx="26">
                  <c:v>40</c:v>
                </c:pt>
                <c:pt idx="27">
                  <c:v>0</c:v>
                </c:pt>
                <c:pt idx="28">
                  <c:v>0</c:v>
                </c:pt>
                <c:pt idx="29">
                  <c:v>40</c:v>
                </c:pt>
                <c:pt idx="30">
                  <c:v>0</c:v>
                </c:pt>
                <c:pt idx="31">
                  <c:v>0</c:v>
                </c:pt>
                <c:pt idx="32">
                  <c:v>0</c:v>
                </c:pt>
                <c:pt idx="33">
                  <c:v>0</c:v>
                </c:pt>
                <c:pt idx="34">
                  <c:v>80</c:v>
                </c:pt>
                <c:pt idx="35">
                  <c:v>35</c:v>
                </c:pt>
              </c:numCache>
            </c:numRef>
          </c:val>
          <c:smooth val="0"/>
          <c:extLst>
            <c:ext xmlns:c16="http://schemas.microsoft.com/office/drawing/2014/chart" uri="{C3380CC4-5D6E-409C-BE32-E72D297353CC}">
              <c16:uniqueId val="{00000001-4F1E-41C3-BBE2-26849B2E67AE}"/>
            </c:ext>
          </c:extLst>
        </c:ser>
        <c:dLbls>
          <c:showLegendKey val="0"/>
          <c:showVal val="0"/>
          <c:showCatName val="0"/>
          <c:showSerName val="0"/>
          <c:showPercent val="0"/>
          <c:showBubbleSize val="0"/>
        </c:dLbls>
        <c:smooth val="0"/>
        <c:axId val="496149335"/>
        <c:axId val="496154327"/>
      </c:lineChart>
      <c:dateAx>
        <c:axId val="49614933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4327"/>
        <c:crosses val="autoZero"/>
        <c:auto val="1"/>
        <c:lblOffset val="100"/>
        <c:baseTimeUnit val="days"/>
      </c:dateAx>
      <c:valAx>
        <c:axId val="4961543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493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house'!$E$1:$E$2</c:f>
              <c:strCache>
                <c:ptCount val="2"/>
                <c:pt idx="0">
                  <c:v>Competitor</c:v>
                </c:pt>
                <c:pt idx="1">
                  <c:v>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1E-4EB5-92BB-D392E4A7980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1E-4EB5-92BB-D392E4A7980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1E-4EB5-92BB-D392E4A7980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41E-4EB5-92BB-D392E4A7980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41E-4EB5-92BB-D392E4A79806}"/>
              </c:ext>
            </c:extLst>
          </c:dPt>
          <c:cat>
            <c:strRef>
              <c:f>'Companies house'!$D$3:$D$7</c:f>
              <c:strCache>
                <c:ptCount val="5"/>
                <c:pt idx="0">
                  <c:v>Jamie</c:v>
                </c:pt>
                <c:pt idx="1">
                  <c:v>Adrian</c:v>
                </c:pt>
                <c:pt idx="2">
                  <c:v>Hayden</c:v>
                </c:pt>
                <c:pt idx="3">
                  <c:v>Jin</c:v>
                </c:pt>
                <c:pt idx="4">
                  <c:v>Siyu</c:v>
                </c:pt>
              </c:strCache>
            </c:strRef>
          </c:cat>
          <c:val>
            <c:numRef>
              <c:f>'Companies house'!$E$3:$E$7</c:f>
              <c:numCache>
                <c:formatCode>0.00</c:formatCode>
                <c:ptCount val="5"/>
                <c:pt idx="0">
                  <c:v>36.799999999999997</c:v>
                </c:pt>
                <c:pt idx="1">
                  <c:v>30.97</c:v>
                </c:pt>
                <c:pt idx="2">
                  <c:v>20</c:v>
                </c:pt>
                <c:pt idx="3">
                  <c:v>10.23</c:v>
                </c:pt>
                <c:pt idx="4">
                  <c:v>2</c:v>
                </c:pt>
              </c:numCache>
            </c:numRef>
          </c:val>
          <c:extLst>
            <c:ext xmlns:c16="http://schemas.microsoft.com/office/drawing/2014/chart" uri="{C3380CC4-5D6E-409C-BE32-E72D297353CC}">
              <c16:uniqueId val="{00000000-BA97-4460-B4F1-9DF4CD2A36B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house'!$B$1:$B$4</c:f>
              <c:strCache>
                <c:ptCount val="4"/>
                <c:pt idx="0">
                  <c:v>9 Spokes</c:v>
                </c:pt>
                <c:pt idx="1">
                  <c:v>%</c:v>
                </c:pt>
                <c:pt idx="2">
                  <c:v>8.72</c:v>
                </c:pt>
                <c:pt idx="3">
                  <c:v>5.99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209-4DE6-9C3C-D84055C47A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209-4DE6-9C3C-D84055C47A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209-4DE6-9C3C-D84055C47A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209-4DE6-9C3C-D84055C47A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209-4DE6-9C3C-D84055C47A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209-4DE6-9C3C-D84055C47A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209-4DE6-9C3C-D84055C47AF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209-4DE6-9C3C-D84055C47AF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209-4DE6-9C3C-D84055C47AF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E209-4DE6-9C3C-D84055C47AF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209-4DE6-9C3C-D84055C47AFB}"/>
              </c:ext>
            </c:extLst>
          </c:dPt>
          <c:cat>
            <c:strRef>
              <c:f>'Companies house'!$A$3:$A$13</c:f>
              <c:strCache>
                <c:ptCount val="11"/>
                <c:pt idx="0">
                  <c:v>CS Third Nominees Pty Limited, HSBC Cust Nom Au Ltd</c:v>
                </c:pt>
                <c:pt idx="1">
                  <c:v>HARROGATE TRUSTEE LIMITED</c:v>
                </c:pt>
                <c:pt idx="2">
                  <c:v>HSBC Custody Nominees (Australia) Limited A/C 2</c:v>
                </c:pt>
                <c:pt idx="3">
                  <c:v>M &amp; M NO.2 LIMITED</c:v>
                </c:pt>
                <c:pt idx="4">
                  <c:v>AJ TRUSTEE SERVICES LIMITED</c:v>
                </c:pt>
                <c:pt idx="5">
                  <c:v>Citicorp Nominees Pty Ltd</c:v>
                </c:pt>
                <c:pt idx="6">
                  <c:v>G &amp; S CAPITAL LIMITED</c:v>
                </c:pt>
                <c:pt idx="7">
                  <c:v>SEKOTS GROUP LIMITED</c:v>
                </c:pt>
                <c:pt idx="8">
                  <c:v>FRANC HOLDINGS LIMITED</c:v>
                </c:pt>
                <c:pt idx="9">
                  <c:v>OPTIMUM HOLDINGS LIMITED</c:v>
                </c:pt>
                <c:pt idx="10">
                  <c:v>other</c:v>
                </c:pt>
              </c:strCache>
            </c:strRef>
          </c:cat>
          <c:val>
            <c:numRef>
              <c:f>'Companies house'!$B$3:$B$13</c:f>
              <c:numCache>
                <c:formatCode>General</c:formatCode>
                <c:ptCount val="11"/>
                <c:pt idx="0">
                  <c:v>8.7200000000000006</c:v>
                </c:pt>
                <c:pt idx="1">
                  <c:v>5.99</c:v>
                </c:pt>
                <c:pt idx="2">
                  <c:v>4.47</c:v>
                </c:pt>
                <c:pt idx="3">
                  <c:v>4.2300000000000004</c:v>
                </c:pt>
                <c:pt idx="4">
                  <c:v>4.22</c:v>
                </c:pt>
                <c:pt idx="5">
                  <c:v>3.71</c:v>
                </c:pt>
                <c:pt idx="6">
                  <c:v>3.09</c:v>
                </c:pt>
                <c:pt idx="7">
                  <c:v>2.63</c:v>
                </c:pt>
                <c:pt idx="8">
                  <c:v>2.52</c:v>
                </c:pt>
                <c:pt idx="9">
                  <c:v>2.39</c:v>
                </c:pt>
                <c:pt idx="10">
                  <c:v>58.029999999999994</c:v>
                </c:pt>
              </c:numCache>
            </c:numRef>
          </c:val>
          <c:extLst>
            <c:ext xmlns:c16="http://schemas.microsoft.com/office/drawing/2014/chart" uri="{C3380CC4-5D6E-409C-BE32-E72D297353CC}">
              <c16:uniqueId val="{00000000-19D7-456C-9B52-A21576E6010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Twitter Hashtag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Twitter!$B$1</c:f>
              <c:strCache>
                <c:ptCount val="1"/>
                <c:pt idx="0">
                  <c:v>#</c:v>
                </c:pt>
              </c:strCache>
            </c:strRef>
          </c:tx>
          <c:spPr>
            <a:ln w="28575" cap="rnd">
              <a:solidFill>
                <a:srgbClr val="8EA9DB"/>
              </a:solidFill>
              <a:prstDash val="solid"/>
              <a:round/>
            </a:ln>
            <a:effectLst/>
          </c:spPr>
          <c:marker>
            <c:symbol val="none"/>
          </c:marker>
          <c:cat>
            <c:numRef>
              <c:f>Twitter!$A$3:$A$27</c:f>
              <c:numCache>
                <c:formatCode>m/d/yyyy</c:formatCode>
                <c:ptCount val="25"/>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numCache>
            </c:numRef>
          </c:cat>
          <c:val>
            <c:numRef>
              <c:f>Twitter!$B$3:$B$27</c:f>
              <c:numCache>
                <c:formatCode>General</c:formatCode>
                <c:ptCount val="25"/>
                <c:pt idx="0">
                  <c:v>1</c:v>
                </c:pt>
                <c:pt idx="1">
                  <c:v>1</c:v>
                </c:pt>
                <c:pt idx="2">
                  <c:v>2</c:v>
                </c:pt>
                <c:pt idx="3">
                  <c:v>3</c:v>
                </c:pt>
                <c:pt idx="4">
                  <c:v>5</c:v>
                </c:pt>
                <c:pt idx="5">
                  <c:v>9</c:v>
                </c:pt>
                <c:pt idx="6">
                  <c:v>12</c:v>
                </c:pt>
                <c:pt idx="7">
                  <c:v>21</c:v>
                </c:pt>
                <c:pt idx="8">
                  <c:v>21</c:v>
                </c:pt>
                <c:pt idx="9">
                  <c:v>26</c:v>
                </c:pt>
                <c:pt idx="10">
                  <c:v>30</c:v>
                </c:pt>
                <c:pt idx="11">
                  <c:v>37</c:v>
                </c:pt>
                <c:pt idx="12">
                  <c:v>45</c:v>
                </c:pt>
                <c:pt idx="13">
                  <c:v>60</c:v>
                </c:pt>
                <c:pt idx="14">
                  <c:v>80</c:v>
                </c:pt>
                <c:pt idx="15">
                  <c:v>100</c:v>
                </c:pt>
                <c:pt idx="16">
                  <c:v>110</c:v>
                </c:pt>
                <c:pt idx="17">
                  <c:v>115</c:v>
                </c:pt>
                <c:pt idx="18">
                  <c:v>120</c:v>
                </c:pt>
                <c:pt idx="19">
                  <c:v>127</c:v>
                </c:pt>
                <c:pt idx="20">
                  <c:v>135</c:v>
                </c:pt>
                <c:pt idx="21">
                  <c:v>145</c:v>
                </c:pt>
                <c:pt idx="22">
                  <c:v>155</c:v>
                </c:pt>
                <c:pt idx="23">
                  <c:v>170</c:v>
                </c:pt>
                <c:pt idx="24">
                  <c:v>180</c:v>
                </c:pt>
              </c:numCache>
            </c:numRef>
          </c:val>
          <c:smooth val="0"/>
          <c:extLst>
            <c:ext xmlns:c16="http://schemas.microsoft.com/office/drawing/2014/chart" uri="{C3380CC4-5D6E-409C-BE32-E72D297353CC}">
              <c16:uniqueId val="{00000000-B976-48B5-9060-D85A7860A469}"/>
            </c:ext>
          </c:extLst>
        </c:ser>
        <c:ser>
          <c:idx val="1"/>
          <c:order val="1"/>
          <c:tx>
            <c:strRef>
              <c:f>Twitter!$C$1</c:f>
              <c:strCache>
                <c:ptCount val="1"/>
              </c:strCache>
            </c:strRef>
          </c:tx>
          <c:spPr>
            <a:ln w="28575" cap="rnd">
              <a:solidFill>
                <a:srgbClr val="7030A0"/>
              </a:solidFill>
              <a:prstDash val="solid"/>
              <a:round/>
            </a:ln>
            <a:effectLst/>
          </c:spPr>
          <c:marker>
            <c:symbol val="none"/>
          </c:marker>
          <c:cat>
            <c:numRef>
              <c:f>Twitter!$A$3:$A$27</c:f>
              <c:numCache>
                <c:formatCode>m/d/yyyy</c:formatCode>
                <c:ptCount val="25"/>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numCache>
            </c:numRef>
          </c:cat>
          <c:val>
            <c:numRef>
              <c:f>Twitter!$C$3:$C$27</c:f>
              <c:numCache>
                <c:formatCode>General</c:formatCode>
                <c:ptCount val="25"/>
                <c:pt idx="0">
                  <c:v>1</c:v>
                </c:pt>
                <c:pt idx="1">
                  <c:v>1</c:v>
                </c:pt>
                <c:pt idx="2">
                  <c:v>1</c:v>
                </c:pt>
                <c:pt idx="3">
                  <c:v>2</c:v>
                </c:pt>
                <c:pt idx="4">
                  <c:v>2</c:v>
                </c:pt>
                <c:pt idx="5">
                  <c:v>3</c:v>
                </c:pt>
                <c:pt idx="6">
                  <c:v>4</c:v>
                </c:pt>
                <c:pt idx="7">
                  <c:v>5</c:v>
                </c:pt>
                <c:pt idx="8">
                  <c:v>7</c:v>
                </c:pt>
                <c:pt idx="9">
                  <c:v>8</c:v>
                </c:pt>
                <c:pt idx="10">
                  <c:v>10</c:v>
                </c:pt>
                <c:pt idx="11">
                  <c:v>15</c:v>
                </c:pt>
                <c:pt idx="12">
                  <c:v>20</c:v>
                </c:pt>
                <c:pt idx="13">
                  <c:v>30</c:v>
                </c:pt>
                <c:pt idx="14">
                  <c:v>45</c:v>
                </c:pt>
                <c:pt idx="15">
                  <c:v>55</c:v>
                </c:pt>
                <c:pt idx="16">
                  <c:v>60</c:v>
                </c:pt>
                <c:pt idx="17">
                  <c:v>65</c:v>
                </c:pt>
                <c:pt idx="18">
                  <c:v>68</c:v>
                </c:pt>
                <c:pt idx="19">
                  <c:v>69</c:v>
                </c:pt>
                <c:pt idx="20">
                  <c:v>70</c:v>
                </c:pt>
                <c:pt idx="21">
                  <c:v>70</c:v>
                </c:pt>
                <c:pt idx="22">
                  <c:v>71</c:v>
                </c:pt>
                <c:pt idx="23">
                  <c:v>73</c:v>
                </c:pt>
                <c:pt idx="24">
                  <c:v>73</c:v>
                </c:pt>
              </c:numCache>
            </c:numRef>
          </c:val>
          <c:smooth val="0"/>
          <c:extLst>
            <c:ext xmlns:c16="http://schemas.microsoft.com/office/drawing/2014/chart" uri="{C3380CC4-5D6E-409C-BE32-E72D297353CC}">
              <c16:uniqueId val="{00000001-B976-48B5-9060-D85A7860A469}"/>
            </c:ext>
          </c:extLst>
        </c:ser>
        <c:dLbls>
          <c:showLegendKey val="0"/>
          <c:showVal val="0"/>
          <c:showCatName val="0"/>
          <c:showSerName val="0"/>
          <c:showPercent val="0"/>
          <c:showBubbleSize val="0"/>
        </c:dLbls>
        <c:smooth val="0"/>
        <c:axId val="43606311"/>
        <c:axId val="43599655"/>
      </c:lineChart>
      <c:dateAx>
        <c:axId val="4360631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9655"/>
        <c:crosses val="autoZero"/>
        <c:auto val="1"/>
        <c:lblOffset val="100"/>
        <c:baseTimeUnit val="days"/>
        <c:majorUnit val="2"/>
        <c:majorTimeUnit val="days"/>
        <c:minorTimeUnit val="days"/>
      </c:dateAx>
      <c:valAx>
        <c:axId val="435996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Usage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063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5</xdr:col>
      <xdr:colOff>15875</xdr:colOff>
      <xdr:row>4</xdr:row>
      <xdr:rowOff>20636</xdr:rowOff>
    </xdr:from>
    <xdr:to>
      <xdr:col>10</xdr:col>
      <xdr:colOff>609600</xdr:colOff>
      <xdr:row>31</xdr:row>
      <xdr:rowOff>146049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15875</xdr:colOff>
      <xdr:row>34</xdr:row>
      <xdr:rowOff>20636</xdr:rowOff>
    </xdr:from>
    <xdr:to>
      <xdr:col>10</xdr:col>
      <xdr:colOff>609600</xdr:colOff>
      <xdr:row>61</xdr:row>
      <xdr:rowOff>146049</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15875</xdr:colOff>
      <xdr:row>64</xdr:row>
      <xdr:rowOff>20636</xdr:rowOff>
    </xdr:from>
    <xdr:to>
      <xdr:col>10</xdr:col>
      <xdr:colOff>609600</xdr:colOff>
      <xdr:row>91</xdr:row>
      <xdr:rowOff>146049</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15875</xdr:colOff>
      <xdr:row>94</xdr:row>
      <xdr:rowOff>20636</xdr:rowOff>
    </xdr:from>
    <xdr:to>
      <xdr:col>10</xdr:col>
      <xdr:colOff>609600</xdr:colOff>
      <xdr:row>121</xdr:row>
      <xdr:rowOff>146049</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15875</xdr:colOff>
      <xdr:row>124</xdr:row>
      <xdr:rowOff>20636</xdr:rowOff>
    </xdr:from>
    <xdr:to>
      <xdr:col>10</xdr:col>
      <xdr:colOff>609600</xdr:colOff>
      <xdr:row>151</xdr:row>
      <xdr:rowOff>146049</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9</xdr:col>
          <xdr:colOff>19050</xdr:colOff>
          <xdr:row>1</xdr:row>
          <xdr:rowOff>25400</xdr:rowOff>
        </xdr:from>
        <xdr:to>
          <xdr:col>10</xdr:col>
          <xdr:colOff>622300</xdr:colOff>
          <xdr:row>1</xdr:row>
          <xdr:rowOff>209550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1257300</xdr:colOff>
          <xdr:row>1</xdr:row>
          <xdr:rowOff>19050</xdr:rowOff>
        </xdr:from>
        <xdr:to>
          <xdr:col>17</xdr:col>
          <xdr:colOff>12700</xdr:colOff>
          <xdr:row>1</xdr:row>
          <xdr:rowOff>203200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3</xdr:col>
      <xdr:colOff>192974</xdr:colOff>
      <xdr:row>5</xdr:row>
      <xdr:rowOff>59211</xdr:rowOff>
    </xdr:from>
    <xdr:to>
      <xdr:col>14</xdr:col>
      <xdr:colOff>86592</xdr:colOff>
      <xdr:row>35</xdr:row>
      <xdr:rowOff>135370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699656" y="2016166"/>
          <a:ext cx="8621981" cy="5375522"/>
        </a:xfrm>
        <a:prstGeom prst="rect">
          <a:avLst/>
        </a:prstGeom>
        <a:solidFill>
          <a:srgbClr val="92D050"/>
        </a:solidFill>
        <a:ln w="762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4800" b="1"/>
            <a:t>NO PASSWORD JUST FOR ACCEDENTAL EDITS, </a:t>
          </a:r>
          <a:br>
            <a:rPr lang="en-NZ" sz="4800" b="1"/>
          </a:br>
          <a:br>
            <a:rPr lang="en-NZ" sz="4800" b="1"/>
          </a:br>
          <a:r>
            <a:rPr lang="en-NZ" sz="4800" b="1"/>
            <a:t>you can turn on edits in "review"</a:t>
          </a:r>
          <a:br>
            <a:rPr lang="en-NZ" sz="4800" b="1"/>
          </a:br>
          <a:br>
            <a:rPr lang="en-NZ" sz="4800" b="1"/>
          </a:br>
          <a:r>
            <a:rPr lang="en-NZ" sz="4800" b="1"/>
            <a:t>API calls should be to the other sheets</a:t>
          </a:r>
        </a:p>
      </xdr:txBody>
    </xdr:sp>
    <xdr:clientData/>
  </xdr:twoCellAnchor>
  <mc:AlternateContent xmlns:mc="http://schemas.openxmlformats.org/markup-compatibility/2006">
    <mc:Choice xmlns:a14="http://schemas.microsoft.com/office/drawing/2010/main" Requires="a14">
      <xdr:twoCellAnchor>
        <xdr:from>
          <xdr:col>26</xdr:col>
          <xdr:colOff>19050</xdr:colOff>
          <xdr:row>1</xdr:row>
          <xdr:rowOff>25400</xdr:rowOff>
        </xdr:from>
        <xdr:to>
          <xdr:col>27</xdr:col>
          <xdr:colOff>622300</xdr:colOff>
          <xdr:row>1</xdr:row>
          <xdr:rowOff>209550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17</xdr:col>
      <xdr:colOff>102507</xdr:colOff>
      <xdr:row>4</xdr:row>
      <xdr:rowOff>-1</xdr:rowOff>
    </xdr:from>
    <xdr:to>
      <xdr:col>27</xdr:col>
      <xdr:colOff>350610</xdr:colOff>
      <xdr:row>30</xdr:row>
      <xdr:rowOff>13607</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40821</xdr:colOff>
      <xdr:row>7</xdr:row>
      <xdr:rowOff>105682</xdr:rowOff>
    </xdr:from>
    <xdr:to>
      <xdr:col>23</xdr:col>
      <xdr:colOff>1268639</xdr:colOff>
      <xdr:row>11</xdr:row>
      <xdr:rowOff>54428</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8573750" y="2405289"/>
          <a:ext cx="2207532" cy="656318"/>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800" b="1"/>
            <a:t>Only allows 255 data points per series</a:t>
          </a:r>
        </a:p>
        <a:p>
          <a:endParaRPr lang="en-NZ" sz="1800" b="1"/>
        </a:p>
      </xdr:txBody>
    </xdr:sp>
    <xdr:clientData/>
  </xdr:twoCellAnchor>
  <mc:AlternateContent xmlns:mc="http://schemas.openxmlformats.org/markup-compatibility/2006">
    <mc:Choice xmlns:a14="http://schemas.microsoft.com/office/drawing/2010/main" Requires="a14">
      <xdr:twoCellAnchor>
        <xdr:from>
          <xdr:col>37</xdr:col>
          <xdr:colOff>19050</xdr:colOff>
          <xdr:row>1</xdr:row>
          <xdr:rowOff>25400</xdr:rowOff>
        </xdr:from>
        <xdr:to>
          <xdr:col>38</xdr:col>
          <xdr:colOff>622300</xdr:colOff>
          <xdr:row>1</xdr:row>
          <xdr:rowOff>209550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9DBEC1E3-4BAF-4F2C-BC41-B073B10069D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29</xdr:col>
      <xdr:colOff>0</xdr:colOff>
      <xdr:row>3</xdr:row>
      <xdr:rowOff>204107</xdr:rowOff>
    </xdr:from>
    <xdr:to>
      <xdr:col>38</xdr:col>
      <xdr:colOff>601889</xdr:colOff>
      <xdr:row>29</xdr:row>
      <xdr:rowOff>155389</xdr:rowOff>
    </xdr:to>
    <xdr:graphicFrame macro="">
      <xdr:nvGraphicFramePr>
        <xdr:cNvPr id="19" name="Chart 18">
          <a:extLst>
            <a:ext uri="{FF2B5EF4-FFF2-40B4-BE49-F238E27FC236}">
              <a16:creationId xmlns:a16="http://schemas.microsoft.com/office/drawing/2014/main" id="{3D84C846-6D47-4670-9BDA-E50B7D5A91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114300</xdr:colOff>
      <xdr:row>3</xdr:row>
      <xdr:rowOff>38100</xdr:rowOff>
    </xdr:from>
    <xdr:to>
      <xdr:col>14</xdr:col>
      <xdr:colOff>387350</xdr:colOff>
      <xdr:row>34</xdr:row>
      <xdr:rowOff>171450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762875" y="609600"/>
          <a:ext cx="3552825" cy="6038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77562</xdr:colOff>
      <xdr:row>7</xdr:row>
      <xdr:rowOff>44652</xdr:rowOff>
    </xdr:from>
    <xdr:to>
      <xdr:col>6</xdr:col>
      <xdr:colOff>8832173</xdr:colOff>
      <xdr:row>26</xdr:row>
      <xdr:rowOff>116889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7126062" y="1514223"/>
          <a:ext cx="8754611" cy="34387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66675</xdr:colOff>
      <xdr:row>0</xdr:row>
      <xdr:rowOff>57150</xdr:rowOff>
    </xdr:from>
    <xdr:to>
      <xdr:col>22</xdr:col>
      <xdr:colOff>368300</xdr:colOff>
      <xdr:row>18</xdr:row>
      <xdr:rowOff>44450</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838575" y="57150"/>
          <a:ext cx="10058400" cy="3419475"/>
        </a:xfrm>
        <a:prstGeom prst="rect">
          <a:avLst/>
        </a:prstGeom>
      </xdr:spPr>
    </xdr:pic>
    <xdr:clientData/>
  </xdr:twoCellAnchor>
  <xdr:twoCellAnchor>
    <xdr:from>
      <xdr:col>5</xdr:col>
      <xdr:colOff>590550</xdr:colOff>
      <xdr:row>20</xdr:row>
      <xdr:rowOff>180975</xdr:rowOff>
    </xdr:from>
    <xdr:to>
      <xdr:col>22</xdr:col>
      <xdr:colOff>390525</xdr:colOff>
      <xdr:row>40</xdr:row>
      <xdr:rowOff>66675</xdr:rowOff>
    </xdr:to>
    <xdr:graphicFrame macro="">
      <xdr:nvGraphicFramePr>
        <xdr:cNvPr id="4" name="Chart 2">
          <a:extLst>
            <a:ext uri="{FF2B5EF4-FFF2-40B4-BE49-F238E27FC236}">
              <a16:creationId xmlns:a16="http://schemas.microsoft.com/office/drawing/2014/main" id="{00000000-0008-0000-0600-000004000000}"/>
            </a:ext>
            <a:ext uri="{147F2762-F138-4A5C-976F-8EAC2B608ADB}">
              <a16:predDERef xmlns:a16="http://schemas.microsoft.com/office/drawing/2014/main" pred="{0A78C109-3695-4158-9290-F478D8E39F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590550</xdr:colOff>
      <xdr:row>20</xdr:row>
      <xdr:rowOff>180975</xdr:rowOff>
    </xdr:from>
    <xdr:to>
      <xdr:col>22</xdr:col>
      <xdr:colOff>390525</xdr:colOff>
      <xdr:row>40</xdr:row>
      <xdr:rowOff>76200</xdr:rowOff>
    </xdr:to>
    <xdr:graphicFrame macro="">
      <xdr:nvGraphicFramePr>
        <xdr:cNvPr id="11" name="Chart 3">
          <a:extLst>
            <a:ext uri="{FF2B5EF4-FFF2-40B4-BE49-F238E27FC236}">
              <a16:creationId xmlns:a16="http://schemas.microsoft.com/office/drawing/2014/main" id="{00000000-0008-0000-0600-00000B000000}"/>
            </a:ext>
            <a:ext uri="{147F2762-F138-4A5C-976F-8EAC2B608ADB}">
              <a16:predDERef xmlns:a16="http://schemas.microsoft.com/office/drawing/2014/main" pred="{093B18ED-07F0-4064-AA6C-6440FA84A6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190500</xdr:colOff>
      <xdr:row>0</xdr:row>
      <xdr:rowOff>133350</xdr:rowOff>
    </xdr:from>
    <xdr:to>
      <xdr:col>19</xdr:col>
      <xdr:colOff>400050</xdr:colOff>
      <xdr:row>15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15</xdr:row>
      <xdr:rowOff>9525</xdr:rowOff>
    </xdr:from>
    <xdr:to>
      <xdr:col>19</xdr:col>
      <xdr:colOff>400050</xdr:colOff>
      <xdr:row>38</xdr:row>
      <xdr:rowOff>133350</xdr:rowOff>
    </xdr:to>
    <xdr:graphicFrame macro="">
      <xdr:nvGraphicFramePr>
        <xdr:cNvPr id="5" name="Chart 2">
          <a:extLst>
            <a:ext uri="{FF2B5EF4-FFF2-40B4-BE49-F238E27FC236}">
              <a16:creationId xmlns:a16="http://schemas.microsoft.com/office/drawing/2014/main" id="{00000000-0008-0000-0700-000005000000}"/>
            </a:ext>
            <a:ext uri="{147F2762-F138-4A5C-976F-8EAC2B608ADB}">
              <a16:predDERef xmlns:a16="http://schemas.microsoft.com/office/drawing/2014/main" pred="{A8672CD6-A495-4DDB-8BA0-3B6188565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371475</xdr:colOff>
      <xdr:row>7</xdr:row>
      <xdr:rowOff>114300</xdr:rowOff>
    </xdr:from>
    <xdr:to>
      <xdr:col>20</xdr:col>
      <xdr:colOff>0</xdr:colOff>
      <xdr:row>22</xdr:row>
      <xdr:rowOff>0</xdr:rowOff>
    </xdr:to>
    <xdr:graphicFrame macro="">
      <xdr:nvGraphicFramePr>
        <xdr:cNvPr id="32" name="Chart 1">
          <a:extLst>
            <a:ext uri="{FF2B5EF4-FFF2-40B4-BE49-F238E27FC236}">
              <a16:creationId xmlns:a16="http://schemas.microsoft.com/office/drawing/2014/main" id="{00000000-0008-0000-08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EEB21F-4243-43C2-A0CA-8B8EE0245440}" name="SimpleAPISheet1" displayName="SimpleAPISheet1" ref="A1:AH2" totalsRowShown="0">
  <autoFilter ref="A1:AH2" xr:uid="{30347808-3A25-411F-AF63-B53CA50E626B}"/>
  <tableColumns count="34">
    <tableColumn id="1" xr3:uid="{4389C63B-4654-45CF-860A-F7A223ECFC43}" name="rates.CAD"/>
    <tableColumn id="2" xr3:uid="{8F9F7E30-FC37-4477-9F1A-A371E4EB3F20}" name="rates.HKD"/>
    <tableColumn id="3" xr3:uid="{7B59E7C4-7336-48D3-BCCA-593B725D4551}" name="rates.ISK"/>
    <tableColumn id="4" xr3:uid="{10B12EBF-643E-4871-8813-00865C52CA60}" name="rates.PHP"/>
    <tableColumn id="5" xr3:uid="{8BC14C97-CCE5-4B9F-A68C-91128AAB9178}" name="rates.DKK"/>
    <tableColumn id="6" xr3:uid="{DC67D22F-A520-44D1-A561-6B7B96C6E2D4}" name="rates.HUF"/>
    <tableColumn id="7" xr3:uid="{8FA4B38D-4C37-4E3B-B532-BC84F542B4E0}" name="rates.CZK"/>
    <tableColumn id="8" xr3:uid="{99C33D9C-E8E1-4173-BCF7-C2BEF76C5BA7}" name="rates.AUD"/>
    <tableColumn id="9" xr3:uid="{E49DCF62-0659-4CBC-965F-63A0AC7C5CD0}" name="rates.RON"/>
    <tableColumn id="10" xr3:uid="{30CA7561-FC12-404D-9D1F-296E258C72F8}" name="rates.SEK"/>
    <tableColumn id="11" xr3:uid="{456BC880-F77D-42B1-9553-62460E4BBE09}" name="rates.IDR"/>
    <tableColumn id="12" xr3:uid="{EFB77325-C827-42EB-A4D0-A06290D92C94}" name="rates.INR"/>
    <tableColumn id="13" xr3:uid="{2155DA1E-6BD4-4CD1-8CD9-4D1B842D55A4}" name="rates.BRL"/>
    <tableColumn id="14" xr3:uid="{F3A242E9-3F44-4D1E-8FDD-E5DC96232020}" name="rates.RUB"/>
    <tableColumn id="15" xr3:uid="{9D622215-52B3-47E7-AA76-D16EFF70F55C}" name="rates.HRK"/>
    <tableColumn id="16" xr3:uid="{1D0568F8-326A-4F4F-9B42-A8D5337B3F43}" name="rates.JPY"/>
    <tableColumn id="17" xr3:uid="{6CD3A71F-CBE2-477C-83D2-1042E4F024EB}" name="rates.THB"/>
    <tableColumn id="18" xr3:uid="{36AAC55F-9603-4331-86E7-6D590F25EB1F}" name="rates.CHF"/>
    <tableColumn id="19" xr3:uid="{BFBA2B62-3466-401A-83FA-C097FAA9ED10}" name="rates.SGD"/>
    <tableColumn id="20" xr3:uid="{30483C7F-07BF-43C0-9CCB-85BA7561B41C}" name="rates.PLN"/>
    <tableColumn id="21" xr3:uid="{1FFCDDA6-D933-4228-B59D-1E0FE23CA556}" name="rates.BGN"/>
    <tableColumn id="22" xr3:uid="{2FD2233B-D1C4-4ED6-BE42-B0F57B226FD6}" name="rates.TRY"/>
    <tableColumn id="23" xr3:uid="{5A157EE1-A819-45FF-95CB-3C5DB149598C}" name="rates.CNY"/>
    <tableColumn id="24" xr3:uid="{E1145C68-A886-4B4B-A0B1-6397F750868F}" name="rates.NOK"/>
    <tableColumn id="25" xr3:uid="{021EFD2A-84BE-4999-B055-2BFF135F0245}" name="rates.NZD"/>
    <tableColumn id="26" xr3:uid="{AD4F1D56-02E1-4EB7-8F80-2C432A9889D3}" name="rates.ZAR"/>
    <tableColumn id="27" xr3:uid="{48ED5DDF-E230-452A-BFFB-A0CEEB3A8F9B}" name="rates.USD"/>
    <tableColumn id="28" xr3:uid="{60123101-DCA0-4214-97B0-F64FACB3254F}" name="rates.MXN"/>
    <tableColumn id="29" xr3:uid="{59E1FCEB-D6FD-4DFF-8195-DFC179F56FF7}" name="rates.ILS"/>
    <tableColumn id="30" xr3:uid="{86C0338F-D46B-4FEF-BE0B-D8427B3009A0}" name="rates.GBP"/>
    <tableColumn id="31" xr3:uid="{532D16A7-2954-4839-BBAE-32A39A74CAA3}" name="rates.KRW"/>
    <tableColumn id="32" xr3:uid="{86399979-7FFC-4DCF-9D14-6EB4157A0403}" name="rates.MYR"/>
    <tableColumn id="33" xr3:uid="{FD7A517B-7D51-456D-AEAE-B2FF82F94247}" name="base"/>
    <tableColumn id="34" xr3:uid="{4105A334-CB6A-4E69-8149-5EAD8EC50DC1}" name="dat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hyperlink" Target="http://www.etinaude.tk/"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hyperlink" Target="https://www.linkedin.com/in/etienne-naude-880b51198/" TargetMode="External"/><Relationship Id="rId11" Type="http://schemas.openxmlformats.org/officeDocument/2006/relationships/ctrlProp" Target="../ctrlProps/ctrlProp2.xml"/><Relationship Id="rId5" Type="http://schemas.openxmlformats.org/officeDocument/2006/relationships/hyperlink" Target="http://www.etinaude.tk/" TargetMode="External"/><Relationship Id="rId10" Type="http://schemas.openxmlformats.org/officeDocument/2006/relationships/ctrlProp" Target="../ctrlProps/ctrlProp1.xml"/><Relationship Id="rId4" Type="http://schemas.openxmlformats.org/officeDocument/2006/relationships/hyperlink" Target="https://www.linkedin.com/in/etienne-naude-880b51198/"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www.etinaude.tk/" TargetMode="External"/><Relationship Id="rId1" Type="http://schemas.openxmlformats.org/officeDocument/2006/relationships/hyperlink" Target="https://www.linkedin.com/school/the-university-of-auckland/?trk=public_profile_topcard_school"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trends.google.com/trends/explore?geo=US&amp;q=shwoop,9%20spokes" TargetMode="External"/><Relationship Id="rId1" Type="http://schemas.openxmlformats.org/officeDocument/2006/relationships/hyperlink" Target="https://towardsdatascience.com/google-trends-api-for-python-a84bc25db88f"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app.companiesoffice.govt.nz/companies/app/ui/pages/companies/3538758" TargetMode="External"/><Relationship Id="rId1" Type="http://schemas.openxmlformats.org/officeDocument/2006/relationships/hyperlink" Target="https://app.companiesoffice.govt.nz/companies/app/ui/pages/companies/6842293?backurl=H4sIAAAAAAAAAC3KQQrCQAyF4dvMticI4spNF4Je4DEJtmCTOMkovb1D6e79j29yvCSmaptD17FC0Opy2YyFIqGMxiV3FxLNNQcpH4rlZ%2BYF%2FIVW4TtU3pStSznQ%2Fhw%2B6DrPZz8S2ePWrPtx%2FwEsagvvdgAAAA%3D%3D"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VU8137"/>
  <sheetViews>
    <sheetView tabSelected="1" topLeftCell="V1" zoomScale="85" zoomScaleNormal="85" workbookViewId="0">
      <selection activeCell="AR19" sqref="AR19"/>
    </sheetView>
  </sheetViews>
  <sheetFormatPr defaultRowHeight="14" x14ac:dyDescent="0.3"/>
  <cols>
    <col min="1" max="1" width="1.7265625" style="27" customWidth="1"/>
    <col min="2" max="2" width="9.1796875" style="34" customWidth="1"/>
    <col min="3" max="3" width="10.7265625" style="34" customWidth="1"/>
    <col min="4" max="5" width="9.1796875" style="35" customWidth="1"/>
    <col min="6" max="8" width="9.1796875" style="34" customWidth="1"/>
    <col min="9" max="9" width="8.7265625" style="34"/>
    <col min="10" max="11" width="9.1796875" style="34" customWidth="1"/>
    <col min="12" max="12" width="1.7265625" style="30" customWidth="1"/>
    <col min="13" max="13" width="17.36328125" style="34" customWidth="1"/>
    <col min="14" max="14" width="32.81640625" style="34" customWidth="1"/>
    <col min="15" max="15" width="5.1796875" style="34" customWidth="1"/>
    <col min="16" max="16" width="20" style="34" customWidth="1"/>
    <col min="17" max="17" width="35.54296875" style="34" customWidth="1"/>
    <col min="18" max="18" width="1.81640625" style="52" customWidth="1"/>
    <col min="19" max="20" width="14.08984375" style="34" customWidth="1"/>
    <col min="21" max="22" width="14.08984375" style="35" customWidth="1"/>
    <col min="23" max="23" width="14.08984375" style="34" customWidth="1"/>
    <col min="24" max="24" width="28.6328125" style="34" customWidth="1"/>
    <col min="25" max="26" width="16.81640625" style="34" customWidth="1"/>
    <col min="27" max="27" width="9.1796875" style="34" customWidth="1"/>
    <col min="28" max="28" width="5.1796875" style="34" customWidth="1"/>
    <col min="29" max="29" width="1.7265625" style="30" customWidth="1"/>
    <col min="30" max="30" width="25.7265625" style="34" customWidth="1"/>
    <col min="31" max="31" width="31.26953125" style="34" customWidth="1"/>
    <col min="32" max="36" width="13.6328125" style="34" customWidth="1"/>
    <col min="37" max="37" width="8.7265625" style="34"/>
    <col min="38" max="39" width="8.7265625" style="34" customWidth="1"/>
    <col min="40" max="40" width="2" style="34" customWidth="1"/>
    <col min="41" max="16384" width="8.7265625" style="34"/>
  </cols>
  <sheetData>
    <row r="1" spans="1:593" s="29" customFormat="1" ht="73.5" customHeight="1" thickBot="1" x14ac:dyDescent="1.2">
      <c r="A1" s="27"/>
      <c r="B1" s="218" t="s">
        <v>0</v>
      </c>
      <c r="C1" s="175"/>
      <c r="D1" s="175"/>
      <c r="E1" s="175"/>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175"/>
      <c r="AI1" s="175"/>
      <c r="AJ1" s="175"/>
      <c r="AK1" s="175"/>
      <c r="AL1" s="175"/>
      <c r="AM1" s="175"/>
      <c r="AN1" s="175"/>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28"/>
      <c r="CQ1" s="28"/>
      <c r="CR1" s="28"/>
      <c r="CS1" s="28"/>
      <c r="CT1" s="28"/>
      <c r="CU1" s="28"/>
      <c r="CV1" s="28"/>
      <c r="CW1" s="28"/>
      <c r="CX1" s="28"/>
      <c r="CY1" s="28"/>
      <c r="CZ1" s="28"/>
      <c r="DA1" s="28"/>
      <c r="DB1" s="28"/>
      <c r="DC1" s="28"/>
      <c r="DD1" s="28"/>
      <c r="DE1" s="28"/>
      <c r="DF1" s="28"/>
      <c r="DG1" s="28"/>
      <c r="DH1" s="28"/>
      <c r="DI1" s="28"/>
      <c r="DJ1" s="28"/>
      <c r="DK1" s="28"/>
      <c r="DL1" s="28"/>
      <c r="DM1" s="28"/>
      <c r="DN1" s="28"/>
      <c r="DO1" s="28"/>
      <c r="DP1" s="28"/>
      <c r="DQ1" s="28"/>
      <c r="DR1" s="28"/>
      <c r="DS1" s="28"/>
      <c r="DT1" s="28"/>
      <c r="DU1" s="28"/>
      <c r="DV1" s="28"/>
      <c r="DW1" s="28"/>
      <c r="DX1" s="28"/>
      <c r="DY1" s="28"/>
      <c r="DZ1" s="28"/>
      <c r="EA1" s="28"/>
      <c r="EB1" s="28"/>
      <c r="EC1" s="28"/>
      <c r="ED1" s="28"/>
      <c r="EE1" s="28"/>
      <c r="EF1" s="28"/>
      <c r="EG1" s="28"/>
      <c r="EH1" s="28"/>
      <c r="EI1" s="28"/>
      <c r="EJ1" s="28"/>
      <c r="EK1" s="28"/>
      <c r="EL1" s="28"/>
      <c r="EM1" s="28"/>
      <c r="EN1" s="28"/>
      <c r="EO1" s="28"/>
      <c r="EP1" s="28"/>
      <c r="EQ1" s="28"/>
      <c r="ER1" s="28"/>
      <c r="ES1" s="28"/>
      <c r="ET1" s="28"/>
      <c r="EU1" s="28"/>
      <c r="EV1" s="28"/>
      <c r="EW1" s="28"/>
      <c r="EX1" s="28"/>
      <c r="EY1" s="28"/>
      <c r="EZ1" s="28"/>
      <c r="FA1" s="28"/>
      <c r="FB1" s="28"/>
      <c r="FC1" s="28"/>
      <c r="FD1" s="28"/>
      <c r="FE1" s="28"/>
      <c r="FF1" s="28"/>
      <c r="FG1" s="28"/>
      <c r="FH1" s="28"/>
      <c r="FI1" s="28"/>
      <c r="FJ1" s="28"/>
      <c r="FK1" s="28"/>
      <c r="FL1" s="28"/>
      <c r="FM1" s="28"/>
      <c r="FN1" s="28"/>
      <c r="FO1" s="28"/>
      <c r="FP1" s="28"/>
      <c r="FQ1" s="28"/>
      <c r="FR1" s="28"/>
      <c r="FS1" s="28"/>
      <c r="FT1" s="28"/>
      <c r="FU1" s="28"/>
      <c r="FV1" s="28"/>
      <c r="FW1" s="28"/>
      <c r="FX1" s="28"/>
      <c r="FY1" s="28"/>
      <c r="FZ1" s="28"/>
      <c r="GA1" s="28"/>
      <c r="GB1" s="28"/>
      <c r="GC1" s="28"/>
      <c r="GD1" s="28"/>
      <c r="GE1" s="28"/>
      <c r="GF1" s="28"/>
      <c r="GG1" s="28"/>
      <c r="GH1" s="28"/>
      <c r="GI1" s="28"/>
      <c r="GJ1" s="28"/>
      <c r="GK1" s="28"/>
      <c r="GL1" s="28"/>
      <c r="GM1" s="28"/>
      <c r="GN1" s="28"/>
      <c r="GO1" s="28"/>
      <c r="GP1" s="28"/>
      <c r="GQ1" s="28"/>
      <c r="GR1" s="28"/>
      <c r="GS1" s="28"/>
      <c r="GT1" s="28"/>
      <c r="GU1" s="28"/>
      <c r="GV1" s="28"/>
      <c r="GW1" s="28"/>
      <c r="GX1" s="28"/>
      <c r="GY1" s="28"/>
      <c r="GZ1" s="28"/>
      <c r="HA1" s="28"/>
      <c r="HB1" s="28"/>
      <c r="HC1" s="28"/>
      <c r="HD1" s="28"/>
      <c r="HE1" s="28"/>
      <c r="HF1" s="28"/>
      <c r="HG1" s="28"/>
      <c r="HH1" s="28"/>
      <c r="HI1" s="28"/>
      <c r="HJ1" s="28"/>
      <c r="HK1" s="28"/>
      <c r="HL1" s="28"/>
      <c r="HM1" s="28"/>
      <c r="HN1" s="28"/>
      <c r="HO1" s="28"/>
      <c r="HP1" s="28"/>
      <c r="HQ1" s="28"/>
      <c r="HR1" s="28"/>
      <c r="HS1" s="28"/>
      <c r="HT1" s="28"/>
      <c r="HU1" s="28"/>
      <c r="HV1" s="28"/>
      <c r="HW1" s="28"/>
      <c r="HX1" s="28"/>
      <c r="HY1" s="28"/>
      <c r="HZ1" s="28"/>
      <c r="IA1" s="28"/>
      <c r="IB1" s="28"/>
      <c r="IC1" s="28"/>
      <c r="ID1" s="28"/>
      <c r="IE1" s="28"/>
      <c r="IF1" s="28"/>
      <c r="IG1" s="28"/>
      <c r="IH1" s="28"/>
      <c r="II1" s="28"/>
      <c r="IJ1" s="28"/>
      <c r="IK1" s="28"/>
      <c r="IL1" s="28"/>
      <c r="IM1" s="28"/>
      <c r="IN1" s="28"/>
      <c r="IO1" s="28"/>
      <c r="IP1" s="28"/>
      <c r="IQ1" s="28"/>
      <c r="IR1" s="28"/>
      <c r="IS1" s="28"/>
      <c r="IT1" s="28"/>
      <c r="IU1" s="28"/>
      <c r="IV1" s="28"/>
      <c r="IW1" s="28"/>
      <c r="IX1" s="28"/>
      <c r="IY1" s="28"/>
      <c r="IZ1" s="28"/>
      <c r="JA1" s="28"/>
      <c r="JB1" s="28"/>
      <c r="JC1" s="28"/>
      <c r="JD1" s="28"/>
      <c r="JE1" s="28"/>
      <c r="JF1" s="28"/>
      <c r="JG1" s="28"/>
      <c r="JH1" s="28"/>
      <c r="JI1" s="28"/>
      <c r="JJ1" s="28"/>
      <c r="JK1" s="28"/>
      <c r="JL1" s="28"/>
      <c r="JM1" s="28"/>
      <c r="JN1" s="28"/>
      <c r="JO1" s="28"/>
      <c r="JP1" s="28"/>
      <c r="JQ1" s="28"/>
      <c r="JR1" s="28"/>
      <c r="JS1" s="28"/>
      <c r="JT1" s="28"/>
      <c r="JU1" s="28"/>
      <c r="JV1" s="28"/>
      <c r="JW1" s="28"/>
      <c r="JX1" s="28"/>
      <c r="JY1" s="28"/>
      <c r="JZ1" s="28"/>
      <c r="KA1" s="28"/>
      <c r="KB1" s="28"/>
      <c r="KC1" s="28"/>
      <c r="KD1" s="28"/>
      <c r="KE1" s="28"/>
      <c r="KF1" s="28"/>
      <c r="KG1" s="28"/>
      <c r="KH1" s="28"/>
      <c r="KI1" s="28"/>
      <c r="KJ1" s="28"/>
      <c r="KK1" s="28"/>
      <c r="KL1" s="28"/>
      <c r="KM1" s="28"/>
      <c r="KN1" s="28"/>
      <c r="KO1" s="28"/>
      <c r="KP1" s="28"/>
      <c r="KQ1" s="28"/>
      <c r="KR1" s="28"/>
      <c r="KS1" s="28"/>
      <c r="KT1" s="28"/>
      <c r="KU1" s="28"/>
      <c r="KV1" s="28"/>
      <c r="KW1" s="28"/>
      <c r="KX1" s="28"/>
      <c r="KY1" s="28"/>
      <c r="KZ1" s="28"/>
      <c r="LA1" s="28"/>
      <c r="LB1" s="28"/>
      <c r="LC1" s="28"/>
      <c r="LD1" s="28"/>
      <c r="LE1" s="28"/>
      <c r="LF1" s="28"/>
      <c r="LG1" s="28"/>
      <c r="LH1" s="28"/>
      <c r="LI1" s="28"/>
      <c r="LJ1" s="28"/>
      <c r="LK1" s="28"/>
      <c r="LL1" s="28"/>
      <c r="LM1" s="28"/>
      <c r="LN1" s="28"/>
      <c r="LO1" s="28"/>
      <c r="LP1" s="28"/>
      <c r="LQ1" s="28"/>
      <c r="LR1" s="28"/>
      <c r="LS1" s="28"/>
      <c r="LT1" s="28"/>
      <c r="LU1" s="28"/>
      <c r="LV1" s="28"/>
      <c r="LW1" s="28"/>
      <c r="LX1" s="28"/>
      <c r="LY1" s="28"/>
      <c r="LZ1" s="28"/>
      <c r="MA1" s="28"/>
      <c r="MB1" s="28"/>
      <c r="MC1" s="28"/>
      <c r="MD1" s="28"/>
      <c r="ME1" s="28"/>
      <c r="MF1" s="28"/>
      <c r="MG1" s="28"/>
      <c r="MH1" s="28"/>
      <c r="MI1" s="28"/>
      <c r="MJ1" s="28"/>
      <c r="MK1" s="28"/>
      <c r="ML1" s="28"/>
      <c r="MM1" s="28"/>
      <c r="MN1" s="28"/>
      <c r="MO1" s="28"/>
      <c r="MP1" s="28"/>
      <c r="MQ1" s="28"/>
      <c r="MR1" s="28"/>
      <c r="MS1" s="28"/>
      <c r="MT1" s="28"/>
      <c r="MU1" s="28"/>
      <c r="MV1" s="28"/>
      <c r="MW1" s="28"/>
      <c r="MX1" s="28"/>
      <c r="MY1" s="28"/>
      <c r="MZ1" s="28"/>
      <c r="NA1" s="28"/>
      <c r="NB1" s="28"/>
      <c r="NC1" s="28"/>
      <c r="ND1" s="28"/>
      <c r="NE1" s="28"/>
      <c r="NF1" s="28"/>
      <c r="NG1" s="28"/>
      <c r="NH1" s="28"/>
      <c r="NI1" s="28"/>
      <c r="NJ1" s="28"/>
      <c r="NK1" s="28"/>
      <c r="NL1" s="28"/>
      <c r="NM1" s="28"/>
      <c r="NN1" s="28"/>
      <c r="NO1" s="28"/>
      <c r="NP1" s="28"/>
      <c r="NQ1" s="28"/>
      <c r="NR1" s="28"/>
      <c r="NS1" s="28"/>
      <c r="NT1" s="28"/>
      <c r="NU1" s="28"/>
      <c r="NV1" s="28"/>
      <c r="NW1" s="28"/>
      <c r="NX1" s="28"/>
      <c r="NY1" s="28"/>
      <c r="NZ1" s="28"/>
      <c r="OA1" s="28"/>
      <c r="OB1" s="28"/>
      <c r="OC1" s="28"/>
      <c r="OD1" s="28"/>
      <c r="OE1" s="28"/>
      <c r="OF1" s="28"/>
      <c r="OG1" s="28"/>
      <c r="OH1" s="28"/>
      <c r="OI1" s="28"/>
      <c r="OJ1" s="28"/>
      <c r="OK1" s="28"/>
      <c r="OL1" s="28"/>
      <c r="OM1" s="28"/>
      <c r="ON1" s="28"/>
      <c r="OO1" s="28"/>
      <c r="OP1" s="28"/>
      <c r="OQ1" s="28"/>
      <c r="OR1" s="28"/>
      <c r="OS1" s="28"/>
      <c r="OT1" s="28"/>
      <c r="OU1" s="28"/>
      <c r="OV1" s="28"/>
      <c r="OW1" s="28"/>
      <c r="OX1" s="28"/>
      <c r="OY1" s="28"/>
      <c r="OZ1" s="28"/>
      <c r="PA1" s="28"/>
      <c r="PB1" s="28"/>
      <c r="PC1" s="28"/>
      <c r="PD1" s="28"/>
      <c r="PE1" s="28"/>
      <c r="PF1" s="28"/>
      <c r="PG1" s="28"/>
      <c r="PH1" s="28"/>
      <c r="PI1" s="28"/>
      <c r="PJ1" s="28"/>
      <c r="PK1" s="28"/>
      <c r="PL1" s="28"/>
      <c r="PM1" s="28"/>
      <c r="PN1" s="28"/>
      <c r="PO1" s="28"/>
      <c r="PP1" s="28"/>
      <c r="PQ1" s="28"/>
      <c r="PR1" s="28"/>
      <c r="PS1" s="28"/>
      <c r="PT1" s="28"/>
      <c r="PU1" s="28"/>
      <c r="PV1" s="28"/>
      <c r="PW1" s="28"/>
      <c r="PX1" s="28"/>
      <c r="PY1" s="28"/>
      <c r="PZ1" s="28"/>
      <c r="QA1" s="28"/>
      <c r="QB1" s="28"/>
      <c r="QC1" s="28"/>
      <c r="QD1" s="28"/>
      <c r="QE1" s="28"/>
      <c r="QF1" s="28"/>
      <c r="QG1" s="28"/>
      <c r="QH1" s="28"/>
      <c r="QI1" s="28"/>
      <c r="QJ1" s="28"/>
      <c r="QK1" s="28"/>
      <c r="QL1" s="28"/>
      <c r="QM1" s="28"/>
      <c r="QN1" s="28"/>
      <c r="QO1" s="28"/>
      <c r="QP1" s="28"/>
      <c r="QQ1" s="28"/>
      <c r="QR1" s="28"/>
      <c r="QS1" s="28"/>
      <c r="QT1" s="28"/>
      <c r="QU1" s="28"/>
      <c r="QV1" s="28"/>
      <c r="QW1" s="28"/>
      <c r="QX1" s="28"/>
      <c r="QY1" s="28"/>
      <c r="QZ1" s="28"/>
      <c r="RA1" s="28"/>
      <c r="RB1" s="28"/>
      <c r="RC1" s="28"/>
      <c r="RD1" s="28"/>
      <c r="RE1" s="28"/>
      <c r="RF1" s="28"/>
      <c r="RG1" s="28"/>
      <c r="RH1" s="28"/>
      <c r="RI1" s="28"/>
      <c r="RJ1" s="28"/>
      <c r="RK1" s="28"/>
      <c r="RL1" s="28"/>
      <c r="RM1" s="28"/>
      <c r="RN1" s="28"/>
      <c r="RO1" s="28"/>
      <c r="RP1" s="28"/>
      <c r="RQ1" s="28"/>
      <c r="RR1" s="28"/>
      <c r="RS1" s="28"/>
      <c r="RT1" s="28"/>
      <c r="RU1" s="28"/>
      <c r="RV1" s="28"/>
      <c r="RW1" s="28"/>
      <c r="RX1" s="28"/>
      <c r="RY1" s="28"/>
      <c r="RZ1" s="28"/>
      <c r="SA1" s="28"/>
      <c r="SB1" s="28"/>
      <c r="SC1" s="28"/>
      <c r="SD1" s="28"/>
      <c r="SE1" s="28"/>
      <c r="SF1" s="28"/>
      <c r="SG1" s="28"/>
      <c r="SH1" s="28"/>
      <c r="SI1" s="28"/>
      <c r="SJ1" s="28"/>
      <c r="SK1" s="28"/>
      <c r="SL1" s="28"/>
      <c r="SM1" s="28"/>
      <c r="SN1" s="28"/>
      <c r="SO1" s="28"/>
      <c r="SP1" s="28"/>
      <c r="SQ1" s="28"/>
      <c r="SR1" s="28"/>
      <c r="SS1" s="28"/>
      <c r="ST1" s="28"/>
      <c r="SU1" s="28"/>
      <c r="SV1" s="28"/>
      <c r="SW1" s="28"/>
      <c r="SX1" s="28"/>
      <c r="SY1" s="28"/>
      <c r="SZ1" s="28"/>
      <c r="TA1" s="28"/>
      <c r="TB1" s="28"/>
      <c r="TC1" s="28"/>
      <c r="TD1" s="28"/>
      <c r="TE1" s="28"/>
      <c r="TF1" s="28"/>
      <c r="TG1" s="28"/>
      <c r="TH1" s="28"/>
      <c r="TI1" s="28"/>
      <c r="TJ1" s="28"/>
      <c r="TK1" s="28"/>
      <c r="TL1" s="28"/>
      <c r="TM1" s="28"/>
      <c r="TN1" s="28"/>
      <c r="TO1" s="28"/>
      <c r="TP1" s="28"/>
      <c r="TQ1" s="28"/>
      <c r="TR1" s="28"/>
      <c r="TS1" s="28"/>
      <c r="TT1" s="28"/>
      <c r="TU1" s="28"/>
      <c r="TV1" s="28"/>
      <c r="TW1" s="28"/>
      <c r="TX1" s="28"/>
      <c r="TY1" s="28"/>
      <c r="TZ1" s="28"/>
      <c r="UA1" s="28"/>
      <c r="UB1" s="28"/>
      <c r="UC1" s="28"/>
      <c r="UD1" s="28"/>
      <c r="UE1" s="28"/>
      <c r="UF1" s="28"/>
      <c r="UG1" s="28"/>
      <c r="UH1" s="28"/>
      <c r="UI1" s="28"/>
      <c r="UJ1" s="28"/>
      <c r="UK1" s="28"/>
      <c r="UL1" s="28"/>
      <c r="UM1" s="28"/>
      <c r="UN1" s="28"/>
      <c r="UO1" s="28"/>
      <c r="UP1" s="28"/>
      <c r="UQ1" s="28"/>
      <c r="UR1" s="28"/>
      <c r="US1" s="28"/>
      <c r="UT1" s="28"/>
      <c r="UU1" s="28"/>
      <c r="UV1" s="28"/>
      <c r="UW1" s="28"/>
      <c r="UX1" s="28"/>
      <c r="UY1" s="28"/>
      <c r="UZ1" s="28"/>
      <c r="VA1" s="28"/>
      <c r="VB1" s="28"/>
      <c r="VC1" s="28"/>
      <c r="VD1" s="28"/>
      <c r="VE1" s="28"/>
      <c r="VF1" s="28"/>
      <c r="VG1" s="28"/>
      <c r="VH1" s="28"/>
      <c r="VI1" s="28"/>
      <c r="VJ1" s="28"/>
      <c r="VK1" s="28"/>
      <c r="VL1" s="28"/>
      <c r="VM1" s="28"/>
      <c r="VN1" s="28"/>
      <c r="VO1" s="28"/>
      <c r="VP1" s="28"/>
      <c r="VQ1" s="28"/>
      <c r="VR1" s="28"/>
      <c r="VS1" s="28"/>
      <c r="VT1" s="28"/>
      <c r="VU1" s="28"/>
    </row>
    <row r="2" spans="1:593" s="29" customFormat="1" ht="17.5" thickTop="1" thickBot="1" x14ac:dyDescent="0.4">
      <c r="A2" s="27"/>
      <c r="B2" s="176" t="s">
        <v>1</v>
      </c>
      <c r="C2" s="176"/>
      <c r="D2" s="176"/>
      <c r="E2" s="176"/>
      <c r="F2" s="176"/>
      <c r="G2" s="176"/>
      <c r="H2" s="176"/>
      <c r="I2" s="176"/>
      <c r="J2" s="176"/>
      <c r="K2" s="176"/>
      <c r="L2" s="30"/>
      <c r="M2" s="112" t="s">
        <v>585</v>
      </c>
      <c r="N2" s="112"/>
      <c r="O2" s="112"/>
      <c r="P2" s="112"/>
      <c r="Q2" s="112"/>
      <c r="R2" s="31"/>
      <c r="S2" s="112" t="s">
        <v>592</v>
      </c>
      <c r="T2" s="112"/>
      <c r="U2" s="112"/>
      <c r="V2" s="112"/>
      <c r="W2" s="112"/>
      <c r="X2" s="112"/>
      <c r="Y2" s="112"/>
      <c r="Z2" s="112"/>
      <c r="AA2" s="112"/>
      <c r="AB2" s="112"/>
      <c r="AC2" s="32"/>
      <c r="AD2" s="112" t="s">
        <v>609</v>
      </c>
      <c r="AE2" s="112"/>
      <c r="AF2" s="112"/>
      <c r="AG2" s="112"/>
      <c r="AH2" s="112"/>
      <c r="AI2" s="112"/>
      <c r="AJ2" s="112"/>
      <c r="AK2" s="112"/>
      <c r="AL2" s="112"/>
      <c r="AM2" s="112"/>
      <c r="AN2" s="32"/>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c r="CV2" s="28"/>
      <c r="CW2" s="28"/>
      <c r="CX2" s="28"/>
      <c r="CY2" s="28"/>
      <c r="CZ2" s="28"/>
      <c r="DA2" s="28"/>
      <c r="DB2" s="28"/>
      <c r="DC2" s="28"/>
      <c r="DD2" s="28"/>
      <c r="DE2" s="28"/>
      <c r="DF2" s="28"/>
      <c r="DG2" s="28"/>
      <c r="DH2" s="28"/>
      <c r="DI2" s="28"/>
      <c r="DJ2" s="28"/>
      <c r="DK2" s="28"/>
      <c r="DL2" s="28"/>
      <c r="DM2" s="28"/>
      <c r="DN2" s="28"/>
      <c r="DO2" s="28"/>
      <c r="DP2" s="28"/>
      <c r="DQ2" s="28"/>
      <c r="DR2" s="28"/>
      <c r="DS2" s="28"/>
      <c r="DT2" s="28"/>
      <c r="DU2" s="28"/>
      <c r="DV2" s="28"/>
      <c r="DW2" s="28"/>
      <c r="DX2" s="28"/>
      <c r="DY2" s="28"/>
      <c r="DZ2" s="28"/>
      <c r="EA2" s="28"/>
      <c r="EB2" s="28"/>
      <c r="EC2" s="28"/>
      <c r="ED2" s="28"/>
      <c r="EE2" s="28"/>
      <c r="EF2" s="28"/>
      <c r="EG2" s="28"/>
      <c r="EH2" s="28"/>
      <c r="EI2" s="28"/>
      <c r="EJ2" s="28"/>
      <c r="EK2" s="28"/>
      <c r="EL2" s="28"/>
      <c r="EM2" s="28"/>
      <c r="EN2" s="28"/>
      <c r="EO2" s="28"/>
      <c r="EP2" s="28"/>
      <c r="EQ2" s="28"/>
      <c r="ER2" s="28"/>
      <c r="ES2" s="28"/>
      <c r="ET2" s="28"/>
      <c r="EU2" s="28"/>
      <c r="EV2" s="28"/>
      <c r="EW2" s="28"/>
      <c r="EX2" s="28"/>
      <c r="EY2" s="28"/>
      <c r="EZ2" s="28"/>
      <c r="FA2" s="28"/>
      <c r="FB2" s="28"/>
      <c r="FC2" s="28"/>
      <c r="FD2" s="28"/>
      <c r="FE2" s="28"/>
      <c r="FF2" s="28"/>
      <c r="FG2" s="28"/>
      <c r="FH2" s="28"/>
      <c r="FI2" s="28"/>
      <c r="FJ2" s="28"/>
      <c r="FK2" s="28"/>
      <c r="FL2" s="28"/>
      <c r="FM2" s="28"/>
      <c r="FN2" s="28"/>
      <c r="FO2" s="28"/>
      <c r="FP2" s="28"/>
      <c r="FQ2" s="28"/>
      <c r="FR2" s="28"/>
      <c r="FS2" s="28"/>
      <c r="FT2" s="28"/>
      <c r="FU2" s="28"/>
      <c r="FV2" s="28"/>
      <c r="FW2" s="28"/>
      <c r="FX2" s="28"/>
      <c r="FY2" s="28"/>
      <c r="FZ2" s="28"/>
      <c r="GA2" s="28"/>
      <c r="GB2" s="28"/>
      <c r="GC2" s="28"/>
      <c r="GD2" s="28"/>
      <c r="GE2" s="28"/>
      <c r="GF2" s="28"/>
      <c r="GG2" s="28"/>
      <c r="GH2" s="28"/>
      <c r="GI2" s="28"/>
      <c r="GJ2" s="28"/>
      <c r="GK2" s="28"/>
      <c r="GL2" s="28"/>
      <c r="GM2" s="28"/>
      <c r="GN2" s="28"/>
      <c r="GO2" s="28"/>
      <c r="GP2" s="28"/>
      <c r="GQ2" s="28"/>
      <c r="GR2" s="28"/>
      <c r="GS2" s="28"/>
      <c r="GT2" s="28"/>
      <c r="GU2" s="28"/>
      <c r="GV2" s="28"/>
      <c r="GW2" s="28"/>
      <c r="GX2" s="28"/>
      <c r="GY2" s="28"/>
      <c r="GZ2" s="28"/>
      <c r="HA2" s="28"/>
      <c r="HB2" s="28"/>
      <c r="HC2" s="28"/>
      <c r="HD2" s="28"/>
      <c r="HE2" s="28"/>
      <c r="HF2" s="28"/>
      <c r="HG2" s="28"/>
      <c r="HH2" s="28"/>
      <c r="HI2" s="28"/>
      <c r="HJ2" s="28"/>
      <c r="HK2" s="28"/>
      <c r="HL2" s="28"/>
      <c r="HM2" s="28"/>
      <c r="HN2" s="28"/>
      <c r="HO2" s="28"/>
      <c r="HP2" s="28"/>
      <c r="HQ2" s="28"/>
      <c r="HR2" s="28"/>
      <c r="HS2" s="28"/>
      <c r="HT2" s="28"/>
      <c r="HU2" s="28"/>
      <c r="HV2" s="28"/>
      <c r="HW2" s="28"/>
      <c r="HX2" s="28"/>
      <c r="HY2" s="28"/>
      <c r="HZ2" s="28"/>
      <c r="IA2" s="28"/>
      <c r="IB2" s="28"/>
      <c r="IC2" s="28"/>
      <c r="ID2" s="28"/>
      <c r="IE2" s="28"/>
      <c r="IF2" s="28"/>
      <c r="IG2" s="28"/>
      <c r="IH2" s="28"/>
      <c r="II2" s="28"/>
      <c r="IJ2" s="28"/>
      <c r="IK2" s="28"/>
      <c r="IL2" s="28"/>
      <c r="IM2" s="28"/>
      <c r="IN2" s="28"/>
      <c r="IO2" s="28"/>
      <c r="IP2" s="28"/>
      <c r="IQ2" s="28"/>
      <c r="IR2" s="28"/>
      <c r="IS2" s="28"/>
      <c r="IT2" s="28"/>
      <c r="IU2" s="28"/>
      <c r="IV2" s="28"/>
      <c r="IW2" s="28"/>
      <c r="IX2" s="28"/>
      <c r="IY2" s="28"/>
      <c r="IZ2" s="28"/>
      <c r="JA2" s="28"/>
      <c r="JB2" s="28"/>
      <c r="JC2" s="28"/>
      <c r="JD2" s="28"/>
      <c r="JE2" s="28"/>
      <c r="JF2" s="28"/>
      <c r="JG2" s="28"/>
      <c r="JH2" s="28"/>
      <c r="JI2" s="28"/>
      <c r="JJ2" s="28"/>
      <c r="JK2" s="28"/>
      <c r="JL2" s="28"/>
      <c r="JM2" s="28"/>
      <c r="JN2" s="28"/>
      <c r="JO2" s="28"/>
      <c r="JP2" s="28"/>
      <c r="JQ2" s="28"/>
      <c r="JR2" s="28"/>
      <c r="JS2" s="28"/>
      <c r="JT2" s="28"/>
      <c r="JU2" s="28"/>
      <c r="JV2" s="28"/>
      <c r="JW2" s="28"/>
      <c r="JX2" s="28"/>
      <c r="JY2" s="28"/>
      <c r="JZ2" s="28"/>
      <c r="KA2" s="28"/>
      <c r="KB2" s="28"/>
      <c r="KC2" s="28"/>
      <c r="KD2" s="28"/>
      <c r="KE2" s="28"/>
      <c r="KF2" s="28"/>
      <c r="KG2" s="28"/>
      <c r="KH2" s="28"/>
      <c r="KI2" s="28"/>
      <c r="KJ2" s="28"/>
      <c r="KK2" s="28"/>
      <c r="KL2" s="28"/>
      <c r="KM2" s="28"/>
      <c r="KN2" s="28"/>
      <c r="KO2" s="28"/>
      <c r="KP2" s="28"/>
      <c r="KQ2" s="28"/>
      <c r="KR2" s="28"/>
      <c r="KS2" s="28"/>
      <c r="KT2" s="28"/>
      <c r="KU2" s="28"/>
      <c r="KV2" s="28"/>
      <c r="KW2" s="28"/>
      <c r="KX2" s="28"/>
      <c r="KY2" s="28"/>
      <c r="KZ2" s="28"/>
      <c r="LA2" s="28"/>
      <c r="LB2" s="28"/>
      <c r="LC2" s="28"/>
      <c r="LD2" s="28"/>
      <c r="LE2" s="28"/>
      <c r="LF2" s="28"/>
      <c r="LG2" s="28"/>
      <c r="LH2" s="28"/>
      <c r="LI2" s="28"/>
      <c r="LJ2" s="28"/>
      <c r="LK2" s="28"/>
      <c r="LL2" s="28"/>
      <c r="LM2" s="28"/>
      <c r="LN2" s="28"/>
      <c r="LO2" s="28"/>
      <c r="LP2" s="28"/>
      <c r="LQ2" s="28"/>
      <c r="LR2" s="28"/>
      <c r="LS2" s="28"/>
      <c r="LT2" s="28"/>
      <c r="LU2" s="28"/>
      <c r="LV2" s="28"/>
      <c r="LW2" s="28"/>
      <c r="LX2" s="28"/>
      <c r="LY2" s="28"/>
      <c r="LZ2" s="28"/>
      <c r="MA2" s="28"/>
      <c r="MB2" s="28"/>
      <c r="MC2" s="28"/>
      <c r="MD2" s="28"/>
      <c r="ME2" s="28"/>
      <c r="MF2" s="28"/>
      <c r="MG2" s="28"/>
      <c r="MH2" s="28"/>
      <c r="MI2" s="28"/>
      <c r="MJ2" s="28"/>
      <c r="MK2" s="28"/>
      <c r="ML2" s="28"/>
      <c r="MM2" s="28"/>
      <c r="MN2" s="28"/>
      <c r="MO2" s="28"/>
      <c r="MP2" s="28"/>
      <c r="MQ2" s="28"/>
      <c r="MR2" s="28"/>
      <c r="MS2" s="28"/>
      <c r="MT2" s="28"/>
      <c r="MU2" s="28"/>
      <c r="MV2" s="28"/>
      <c r="MW2" s="28"/>
      <c r="MX2" s="28"/>
      <c r="MY2" s="28"/>
      <c r="MZ2" s="28"/>
      <c r="NA2" s="28"/>
      <c r="NB2" s="28"/>
      <c r="NC2" s="28"/>
      <c r="ND2" s="28"/>
      <c r="NE2" s="28"/>
      <c r="NF2" s="28"/>
      <c r="NG2" s="28"/>
      <c r="NH2" s="28"/>
      <c r="NI2" s="28"/>
      <c r="NJ2" s="28"/>
      <c r="NK2" s="28"/>
      <c r="NL2" s="28"/>
      <c r="NM2" s="28"/>
      <c r="NN2" s="28"/>
      <c r="NO2" s="28"/>
      <c r="NP2" s="28"/>
      <c r="NQ2" s="28"/>
      <c r="NR2" s="28"/>
      <c r="NS2" s="28"/>
      <c r="NT2" s="28"/>
      <c r="NU2" s="28"/>
      <c r="NV2" s="28"/>
      <c r="NW2" s="28"/>
      <c r="NX2" s="28"/>
      <c r="NY2" s="28"/>
      <c r="NZ2" s="28"/>
      <c r="OA2" s="28"/>
      <c r="OB2" s="28"/>
      <c r="OC2" s="28"/>
      <c r="OD2" s="28"/>
      <c r="OE2" s="28"/>
      <c r="OF2" s="28"/>
      <c r="OG2" s="28"/>
      <c r="OH2" s="28"/>
      <c r="OI2" s="28"/>
      <c r="OJ2" s="28"/>
      <c r="OK2" s="28"/>
      <c r="OL2" s="28"/>
      <c r="OM2" s="28"/>
      <c r="ON2" s="28"/>
      <c r="OO2" s="28"/>
      <c r="OP2" s="28"/>
      <c r="OQ2" s="28"/>
      <c r="OR2" s="28"/>
      <c r="OS2" s="28"/>
      <c r="OT2" s="28"/>
      <c r="OU2" s="28"/>
      <c r="OV2" s="28"/>
      <c r="OW2" s="28"/>
      <c r="OX2" s="28"/>
      <c r="OY2" s="28"/>
      <c r="OZ2" s="28"/>
      <c r="PA2" s="28"/>
      <c r="PB2" s="28"/>
      <c r="PC2" s="28"/>
      <c r="PD2" s="28"/>
      <c r="PE2" s="28"/>
      <c r="PF2" s="28"/>
      <c r="PG2" s="28"/>
      <c r="PH2" s="28"/>
      <c r="PI2" s="28"/>
      <c r="PJ2" s="28"/>
      <c r="PK2" s="28"/>
      <c r="PL2" s="28"/>
      <c r="PM2" s="28"/>
      <c r="PN2" s="28"/>
      <c r="PO2" s="28"/>
      <c r="PP2" s="28"/>
      <c r="PQ2" s="28"/>
      <c r="PR2" s="28"/>
      <c r="PS2" s="28"/>
      <c r="PT2" s="28"/>
      <c r="PU2" s="28"/>
      <c r="PV2" s="28"/>
      <c r="PW2" s="28"/>
      <c r="PX2" s="28"/>
      <c r="PY2" s="28"/>
      <c r="PZ2" s="28"/>
      <c r="QA2" s="28"/>
      <c r="QB2" s="28"/>
      <c r="QC2" s="28"/>
      <c r="QD2" s="28"/>
      <c r="QE2" s="28"/>
      <c r="QF2" s="28"/>
      <c r="QG2" s="28"/>
      <c r="QH2" s="28"/>
      <c r="QI2" s="28"/>
      <c r="QJ2" s="28"/>
      <c r="QK2" s="28"/>
      <c r="QL2" s="28"/>
      <c r="QM2" s="28"/>
      <c r="QN2" s="28"/>
      <c r="QO2" s="28"/>
      <c r="QP2" s="28"/>
      <c r="QQ2" s="28"/>
      <c r="QR2" s="28"/>
      <c r="QS2" s="28"/>
      <c r="QT2" s="28"/>
      <c r="QU2" s="28"/>
      <c r="QV2" s="28"/>
      <c r="QW2" s="28"/>
      <c r="QX2" s="28"/>
      <c r="QY2" s="28"/>
      <c r="QZ2" s="28"/>
      <c r="RA2" s="28"/>
      <c r="RB2" s="28"/>
      <c r="RC2" s="28"/>
      <c r="RD2" s="28"/>
      <c r="RE2" s="28"/>
      <c r="RF2" s="28"/>
      <c r="RG2" s="28"/>
      <c r="RH2" s="28"/>
      <c r="RI2" s="28"/>
      <c r="RJ2" s="28"/>
      <c r="RK2" s="28"/>
      <c r="RL2" s="28"/>
      <c r="RM2" s="28"/>
      <c r="RN2" s="28"/>
      <c r="RO2" s="28"/>
      <c r="RP2" s="28"/>
      <c r="RQ2" s="28"/>
      <c r="RR2" s="28"/>
      <c r="RS2" s="28"/>
      <c r="RT2" s="28"/>
      <c r="RU2" s="28"/>
      <c r="RV2" s="28"/>
      <c r="RW2" s="28"/>
      <c r="RX2" s="28"/>
      <c r="RY2" s="28"/>
      <c r="RZ2" s="28"/>
      <c r="SA2" s="28"/>
      <c r="SB2" s="28"/>
      <c r="SC2" s="28"/>
      <c r="SD2" s="28"/>
      <c r="SE2" s="28"/>
      <c r="SF2" s="28"/>
      <c r="SG2" s="28"/>
      <c r="SH2" s="28"/>
      <c r="SI2" s="28"/>
      <c r="SJ2" s="28"/>
      <c r="SK2" s="28"/>
      <c r="SL2" s="28"/>
      <c r="SM2" s="28"/>
      <c r="SN2" s="28"/>
      <c r="SO2" s="28"/>
      <c r="SP2" s="28"/>
      <c r="SQ2" s="28"/>
      <c r="SR2" s="28"/>
      <c r="SS2" s="28"/>
      <c r="ST2" s="28"/>
      <c r="SU2" s="28"/>
      <c r="SV2" s="28"/>
      <c r="SW2" s="28"/>
      <c r="SX2" s="28"/>
      <c r="SY2" s="28"/>
      <c r="SZ2" s="28"/>
      <c r="TA2" s="28"/>
      <c r="TB2" s="28"/>
      <c r="TC2" s="28"/>
      <c r="TD2" s="28"/>
      <c r="TE2" s="28"/>
      <c r="TF2" s="28"/>
      <c r="TG2" s="28"/>
      <c r="TH2" s="28"/>
      <c r="TI2" s="28"/>
      <c r="TJ2" s="28"/>
      <c r="TK2" s="28"/>
      <c r="TL2" s="28"/>
      <c r="TM2" s="28"/>
      <c r="TN2" s="28"/>
      <c r="TO2" s="28"/>
      <c r="TP2" s="28"/>
      <c r="TQ2" s="28"/>
      <c r="TR2" s="28"/>
      <c r="TS2" s="28"/>
      <c r="TT2" s="28"/>
      <c r="TU2" s="28"/>
      <c r="TV2" s="28"/>
      <c r="TW2" s="28"/>
      <c r="TX2" s="28"/>
      <c r="TY2" s="28"/>
      <c r="TZ2" s="28"/>
      <c r="UA2" s="28"/>
      <c r="UB2" s="28"/>
      <c r="UC2" s="28"/>
      <c r="UD2" s="28"/>
      <c r="UE2" s="28"/>
      <c r="UF2" s="28"/>
      <c r="UG2" s="28"/>
      <c r="UH2" s="28"/>
      <c r="UI2" s="28"/>
      <c r="UJ2" s="28"/>
      <c r="UK2" s="28"/>
      <c r="UL2" s="28"/>
      <c r="UM2" s="28"/>
      <c r="UN2" s="28"/>
      <c r="UO2" s="28"/>
      <c r="UP2" s="28"/>
      <c r="UQ2" s="28"/>
      <c r="UR2" s="28"/>
      <c r="US2" s="28"/>
      <c r="UT2" s="28"/>
      <c r="UU2" s="28"/>
      <c r="UV2" s="28"/>
      <c r="UW2" s="28"/>
      <c r="UX2" s="28"/>
      <c r="UY2" s="28"/>
      <c r="UZ2" s="28"/>
      <c r="VA2" s="28"/>
      <c r="VB2" s="28"/>
      <c r="VC2" s="28"/>
      <c r="VD2" s="28"/>
      <c r="VE2" s="28"/>
      <c r="VF2" s="28"/>
      <c r="VG2" s="28"/>
      <c r="VH2" s="28"/>
      <c r="VI2" s="28"/>
      <c r="VJ2" s="28"/>
      <c r="VK2" s="28"/>
      <c r="VL2" s="28"/>
      <c r="VM2" s="28"/>
      <c r="VN2" s="28"/>
      <c r="VO2" s="28"/>
      <c r="VP2" s="28"/>
      <c r="VQ2" s="28"/>
      <c r="VR2" s="28"/>
      <c r="VS2" s="28"/>
      <c r="VT2" s="28"/>
      <c r="VU2" s="28"/>
    </row>
    <row r="3" spans="1:593" s="29" customFormat="1" ht="30.5" customHeight="1" thickTop="1" x14ac:dyDescent="0.35">
      <c r="A3" s="27"/>
      <c r="B3" s="113">
        <f>House!B1</f>
        <v>1</v>
      </c>
      <c r="C3" s="113"/>
      <c r="D3" s="113"/>
      <c r="E3" s="113"/>
      <c r="F3" s="113"/>
      <c r="G3" s="113"/>
      <c r="H3" s="113"/>
      <c r="I3" s="113"/>
      <c r="J3" s="113"/>
      <c r="K3" s="113"/>
      <c r="L3" s="30"/>
      <c r="M3" s="128" t="str">
        <f>Linkedin!B1</f>
        <v>Etienne Naude</v>
      </c>
      <c r="N3" s="128"/>
      <c r="O3" s="33"/>
      <c r="P3" s="128" t="str">
        <f>Linkedin!E1</f>
        <v>Auckland uni</v>
      </c>
      <c r="Q3" s="128"/>
      <c r="R3" s="31"/>
      <c r="S3" s="113" t="str">
        <f>Finance!$B$1</f>
        <v>not flix</v>
      </c>
      <c r="T3" s="113"/>
      <c r="U3" s="113"/>
      <c r="V3" s="113"/>
      <c r="W3" s="113"/>
      <c r="X3" s="113"/>
      <c r="Y3" s="113"/>
      <c r="Z3" s="113"/>
      <c r="AA3" s="113"/>
      <c r="AB3" s="113"/>
      <c r="AC3" s="32"/>
      <c r="AD3" s="113"/>
      <c r="AE3" s="113"/>
      <c r="AF3" s="113"/>
      <c r="AG3" s="113"/>
      <c r="AH3" s="113"/>
      <c r="AI3" s="113"/>
      <c r="AJ3" s="113"/>
      <c r="AK3" s="113"/>
      <c r="AL3" s="113"/>
      <c r="AM3" s="113"/>
      <c r="AN3" s="32"/>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8"/>
      <c r="DL3" s="28"/>
      <c r="DM3" s="28"/>
      <c r="DN3" s="28"/>
      <c r="DO3" s="28"/>
      <c r="DP3" s="28"/>
      <c r="DQ3" s="28"/>
      <c r="DR3" s="28"/>
      <c r="DS3" s="28"/>
      <c r="DT3" s="28"/>
      <c r="DU3" s="28"/>
      <c r="DV3" s="28"/>
      <c r="DW3" s="28"/>
      <c r="DX3" s="28"/>
      <c r="DY3" s="28"/>
      <c r="DZ3" s="28"/>
      <c r="EA3" s="28"/>
      <c r="EB3" s="28"/>
      <c r="EC3" s="28"/>
      <c r="ED3" s="28"/>
      <c r="EE3" s="28"/>
      <c r="EF3" s="28"/>
      <c r="EG3" s="28"/>
      <c r="EH3" s="28"/>
      <c r="EI3" s="28"/>
      <c r="EJ3" s="28"/>
      <c r="EK3" s="28"/>
      <c r="EL3" s="28"/>
      <c r="EM3" s="28"/>
      <c r="EN3" s="28"/>
      <c r="EO3" s="28"/>
      <c r="EP3" s="28"/>
      <c r="EQ3" s="28"/>
      <c r="ER3" s="28"/>
      <c r="ES3" s="28"/>
      <c r="ET3" s="28"/>
      <c r="EU3" s="28"/>
      <c r="EV3" s="28"/>
      <c r="EW3" s="28"/>
      <c r="EX3" s="28"/>
      <c r="EY3" s="28"/>
      <c r="EZ3" s="28"/>
      <c r="FA3" s="28"/>
      <c r="FB3" s="28"/>
      <c r="FC3" s="28"/>
      <c r="FD3" s="28"/>
      <c r="FE3" s="28"/>
      <c r="FF3" s="28"/>
      <c r="FG3" s="28"/>
      <c r="FH3" s="28"/>
      <c r="FI3" s="28"/>
      <c r="FJ3" s="28"/>
      <c r="FK3" s="28"/>
      <c r="FL3" s="28"/>
      <c r="FM3" s="28"/>
      <c r="FN3" s="28"/>
      <c r="FO3" s="28"/>
      <c r="FP3" s="28"/>
      <c r="FQ3" s="28"/>
      <c r="FR3" s="28"/>
      <c r="FS3" s="28"/>
      <c r="FT3" s="28"/>
      <c r="FU3" s="28"/>
      <c r="FV3" s="28"/>
      <c r="FW3" s="28"/>
      <c r="FX3" s="28"/>
      <c r="FY3" s="28"/>
      <c r="FZ3" s="28"/>
      <c r="GA3" s="28"/>
      <c r="GB3" s="28"/>
      <c r="GC3" s="28"/>
      <c r="GD3" s="28"/>
      <c r="GE3" s="28"/>
      <c r="GF3" s="28"/>
      <c r="GG3" s="28"/>
      <c r="GH3" s="28"/>
      <c r="GI3" s="28"/>
      <c r="GJ3" s="28"/>
      <c r="GK3" s="28"/>
      <c r="GL3" s="28"/>
      <c r="GM3" s="28"/>
      <c r="GN3" s="28"/>
      <c r="GO3" s="28"/>
      <c r="GP3" s="28"/>
      <c r="GQ3" s="28"/>
      <c r="GR3" s="28"/>
      <c r="GS3" s="28"/>
      <c r="GT3" s="28"/>
      <c r="GU3" s="28"/>
      <c r="GV3" s="28"/>
      <c r="GW3" s="28"/>
      <c r="GX3" s="28"/>
      <c r="GY3" s="28"/>
      <c r="GZ3" s="28"/>
      <c r="HA3" s="28"/>
      <c r="HB3" s="28"/>
      <c r="HC3" s="28"/>
      <c r="HD3" s="28"/>
      <c r="HE3" s="28"/>
      <c r="HF3" s="28"/>
      <c r="HG3" s="28"/>
      <c r="HH3" s="28"/>
      <c r="HI3" s="28"/>
      <c r="HJ3" s="28"/>
      <c r="HK3" s="28"/>
      <c r="HL3" s="28"/>
      <c r="HM3" s="28"/>
      <c r="HN3" s="28"/>
      <c r="HO3" s="28"/>
      <c r="HP3" s="28"/>
      <c r="HQ3" s="28"/>
      <c r="HR3" s="28"/>
      <c r="HS3" s="28"/>
      <c r="HT3" s="28"/>
      <c r="HU3" s="28"/>
      <c r="HV3" s="28"/>
      <c r="HW3" s="28"/>
      <c r="HX3" s="28"/>
      <c r="HY3" s="28"/>
      <c r="HZ3" s="28"/>
      <c r="IA3" s="28"/>
      <c r="IB3" s="28"/>
      <c r="IC3" s="28"/>
      <c r="ID3" s="28"/>
      <c r="IE3" s="28"/>
      <c r="IF3" s="28"/>
      <c r="IG3" s="28"/>
      <c r="IH3" s="28"/>
      <c r="II3" s="28"/>
      <c r="IJ3" s="28"/>
      <c r="IK3" s="28"/>
      <c r="IL3" s="28"/>
      <c r="IM3" s="28"/>
      <c r="IN3" s="28"/>
      <c r="IO3" s="28"/>
      <c r="IP3" s="28"/>
      <c r="IQ3" s="28"/>
      <c r="IR3" s="28"/>
      <c r="IS3" s="28"/>
      <c r="IT3" s="28"/>
      <c r="IU3" s="28"/>
      <c r="IV3" s="28"/>
      <c r="IW3" s="28"/>
      <c r="IX3" s="28"/>
      <c r="IY3" s="28"/>
      <c r="IZ3" s="28"/>
      <c r="JA3" s="28"/>
      <c r="JB3" s="28"/>
      <c r="JC3" s="28"/>
      <c r="JD3" s="28"/>
      <c r="JE3" s="28"/>
      <c r="JF3" s="28"/>
      <c r="JG3" s="28"/>
      <c r="JH3" s="28"/>
      <c r="JI3" s="28"/>
      <c r="JJ3" s="28"/>
      <c r="JK3" s="28"/>
      <c r="JL3" s="28"/>
      <c r="JM3" s="28"/>
      <c r="JN3" s="28"/>
      <c r="JO3" s="28"/>
      <c r="JP3" s="28"/>
      <c r="JQ3" s="28"/>
      <c r="JR3" s="28"/>
      <c r="JS3" s="28"/>
      <c r="JT3" s="28"/>
      <c r="JU3" s="28"/>
      <c r="JV3" s="28"/>
      <c r="JW3" s="28"/>
      <c r="JX3" s="28"/>
      <c r="JY3" s="28"/>
      <c r="JZ3" s="28"/>
      <c r="KA3" s="28"/>
      <c r="KB3" s="28"/>
      <c r="KC3" s="28"/>
      <c r="KD3" s="28"/>
      <c r="KE3" s="28"/>
      <c r="KF3" s="28"/>
      <c r="KG3" s="28"/>
      <c r="KH3" s="28"/>
      <c r="KI3" s="28"/>
      <c r="KJ3" s="28"/>
      <c r="KK3" s="28"/>
      <c r="KL3" s="28"/>
      <c r="KM3" s="28"/>
      <c r="KN3" s="28"/>
      <c r="KO3" s="28"/>
      <c r="KP3" s="28"/>
      <c r="KQ3" s="28"/>
      <c r="KR3" s="28"/>
      <c r="KS3" s="28"/>
      <c r="KT3" s="28"/>
      <c r="KU3" s="28"/>
      <c r="KV3" s="28"/>
      <c r="KW3" s="28"/>
      <c r="KX3" s="28"/>
      <c r="KY3" s="28"/>
      <c r="KZ3" s="28"/>
      <c r="LA3" s="28"/>
      <c r="LB3" s="28"/>
      <c r="LC3" s="28"/>
      <c r="LD3" s="28"/>
      <c r="LE3" s="28"/>
      <c r="LF3" s="28"/>
      <c r="LG3" s="28"/>
      <c r="LH3" s="28"/>
      <c r="LI3" s="28"/>
      <c r="LJ3" s="28"/>
      <c r="LK3" s="28"/>
      <c r="LL3" s="28"/>
      <c r="LM3" s="28"/>
      <c r="LN3" s="28"/>
      <c r="LO3" s="28"/>
      <c r="LP3" s="28"/>
      <c r="LQ3" s="28"/>
      <c r="LR3" s="28"/>
      <c r="LS3" s="28"/>
      <c r="LT3" s="28"/>
      <c r="LU3" s="28"/>
      <c r="LV3" s="28"/>
      <c r="LW3" s="28"/>
      <c r="LX3" s="28"/>
      <c r="LY3" s="28"/>
      <c r="LZ3" s="28"/>
      <c r="MA3" s="28"/>
      <c r="MB3" s="28"/>
      <c r="MC3" s="28"/>
      <c r="MD3" s="28"/>
      <c r="ME3" s="28"/>
      <c r="MF3" s="28"/>
      <c r="MG3" s="28"/>
      <c r="MH3" s="28"/>
      <c r="MI3" s="28"/>
      <c r="MJ3" s="28"/>
      <c r="MK3" s="28"/>
      <c r="ML3" s="28"/>
      <c r="MM3" s="28"/>
      <c r="MN3" s="28"/>
      <c r="MO3" s="28"/>
      <c r="MP3" s="28"/>
      <c r="MQ3" s="28"/>
      <c r="MR3" s="28"/>
      <c r="MS3" s="28"/>
      <c r="MT3" s="28"/>
      <c r="MU3" s="28"/>
      <c r="MV3" s="28"/>
      <c r="MW3" s="28"/>
      <c r="MX3" s="28"/>
      <c r="MY3" s="28"/>
      <c r="MZ3" s="28"/>
      <c r="NA3" s="28"/>
      <c r="NB3" s="28"/>
      <c r="NC3" s="28"/>
      <c r="ND3" s="28"/>
      <c r="NE3" s="28"/>
      <c r="NF3" s="28"/>
      <c r="NG3" s="28"/>
      <c r="NH3" s="28"/>
      <c r="NI3" s="28"/>
      <c r="NJ3" s="28"/>
      <c r="NK3" s="28"/>
      <c r="NL3" s="28"/>
      <c r="NM3" s="28"/>
      <c r="NN3" s="28"/>
      <c r="NO3" s="28"/>
      <c r="NP3" s="28"/>
      <c r="NQ3" s="28"/>
      <c r="NR3" s="28"/>
      <c r="NS3" s="28"/>
      <c r="NT3" s="28"/>
      <c r="NU3" s="28"/>
      <c r="NV3" s="28"/>
      <c r="NW3" s="28"/>
      <c r="NX3" s="28"/>
      <c r="NY3" s="28"/>
      <c r="NZ3" s="28"/>
      <c r="OA3" s="28"/>
      <c r="OB3" s="28"/>
      <c r="OC3" s="28"/>
      <c r="OD3" s="28"/>
      <c r="OE3" s="28"/>
      <c r="OF3" s="28"/>
      <c r="OG3" s="28"/>
      <c r="OH3" s="28"/>
      <c r="OI3" s="28"/>
      <c r="OJ3" s="28"/>
      <c r="OK3" s="28"/>
      <c r="OL3" s="28"/>
      <c r="OM3" s="28"/>
      <c r="ON3" s="28"/>
      <c r="OO3" s="28"/>
      <c r="OP3" s="28"/>
      <c r="OQ3" s="28"/>
      <c r="OR3" s="28"/>
      <c r="OS3" s="28"/>
      <c r="OT3" s="28"/>
      <c r="OU3" s="28"/>
      <c r="OV3" s="28"/>
      <c r="OW3" s="28"/>
      <c r="OX3" s="28"/>
      <c r="OY3" s="28"/>
      <c r="OZ3" s="28"/>
      <c r="PA3" s="28"/>
      <c r="PB3" s="28"/>
      <c r="PC3" s="28"/>
      <c r="PD3" s="28"/>
      <c r="PE3" s="28"/>
      <c r="PF3" s="28"/>
      <c r="PG3" s="28"/>
      <c r="PH3" s="28"/>
      <c r="PI3" s="28"/>
      <c r="PJ3" s="28"/>
      <c r="PK3" s="28"/>
      <c r="PL3" s="28"/>
      <c r="PM3" s="28"/>
      <c r="PN3" s="28"/>
      <c r="PO3" s="28"/>
      <c r="PP3" s="28"/>
      <c r="PQ3" s="28"/>
      <c r="PR3" s="28"/>
      <c r="PS3" s="28"/>
      <c r="PT3" s="28"/>
      <c r="PU3" s="28"/>
      <c r="PV3" s="28"/>
      <c r="PW3" s="28"/>
      <c r="PX3" s="28"/>
      <c r="PY3" s="28"/>
      <c r="PZ3" s="28"/>
      <c r="QA3" s="28"/>
      <c r="QB3" s="28"/>
      <c r="QC3" s="28"/>
      <c r="QD3" s="28"/>
      <c r="QE3" s="28"/>
      <c r="QF3" s="28"/>
      <c r="QG3" s="28"/>
      <c r="QH3" s="28"/>
      <c r="QI3" s="28"/>
      <c r="QJ3" s="28"/>
      <c r="QK3" s="28"/>
      <c r="QL3" s="28"/>
      <c r="QM3" s="28"/>
      <c r="QN3" s="28"/>
      <c r="QO3" s="28"/>
      <c r="QP3" s="28"/>
      <c r="QQ3" s="28"/>
      <c r="QR3" s="28"/>
      <c r="QS3" s="28"/>
      <c r="QT3" s="28"/>
      <c r="QU3" s="28"/>
      <c r="QV3" s="28"/>
      <c r="QW3" s="28"/>
      <c r="QX3" s="28"/>
      <c r="QY3" s="28"/>
      <c r="QZ3" s="28"/>
      <c r="RA3" s="28"/>
      <c r="RB3" s="28"/>
      <c r="RC3" s="28"/>
      <c r="RD3" s="28"/>
      <c r="RE3" s="28"/>
      <c r="RF3" s="28"/>
      <c r="RG3" s="28"/>
      <c r="RH3" s="28"/>
      <c r="RI3" s="28"/>
      <c r="RJ3" s="28"/>
      <c r="RK3" s="28"/>
      <c r="RL3" s="28"/>
      <c r="RM3" s="28"/>
      <c r="RN3" s="28"/>
      <c r="RO3" s="28"/>
      <c r="RP3" s="28"/>
      <c r="RQ3" s="28"/>
      <c r="RR3" s="28"/>
      <c r="RS3" s="28"/>
      <c r="RT3" s="28"/>
      <c r="RU3" s="28"/>
      <c r="RV3" s="28"/>
      <c r="RW3" s="28"/>
      <c r="RX3" s="28"/>
      <c r="RY3" s="28"/>
      <c r="RZ3" s="28"/>
      <c r="SA3" s="28"/>
      <c r="SB3" s="28"/>
      <c r="SC3" s="28"/>
      <c r="SD3" s="28"/>
      <c r="SE3" s="28"/>
      <c r="SF3" s="28"/>
      <c r="SG3" s="28"/>
      <c r="SH3" s="28"/>
      <c r="SI3" s="28"/>
      <c r="SJ3" s="28"/>
      <c r="SK3" s="28"/>
      <c r="SL3" s="28"/>
      <c r="SM3" s="28"/>
      <c r="SN3" s="28"/>
      <c r="SO3" s="28"/>
      <c r="SP3" s="28"/>
      <c r="SQ3" s="28"/>
      <c r="SR3" s="28"/>
      <c r="SS3" s="28"/>
      <c r="ST3" s="28"/>
      <c r="SU3" s="28"/>
      <c r="SV3" s="28"/>
      <c r="SW3" s="28"/>
      <c r="SX3" s="28"/>
      <c r="SY3" s="28"/>
      <c r="SZ3" s="28"/>
      <c r="TA3" s="28"/>
      <c r="TB3" s="28"/>
      <c r="TC3" s="28"/>
      <c r="TD3" s="28"/>
      <c r="TE3" s="28"/>
      <c r="TF3" s="28"/>
      <c r="TG3" s="28"/>
      <c r="TH3" s="28"/>
      <c r="TI3" s="28"/>
      <c r="TJ3" s="28"/>
      <c r="TK3" s="28"/>
      <c r="TL3" s="28"/>
      <c r="TM3" s="28"/>
      <c r="TN3" s="28"/>
      <c r="TO3" s="28"/>
      <c r="TP3" s="28"/>
      <c r="TQ3" s="28"/>
      <c r="TR3" s="28"/>
      <c r="TS3" s="28"/>
      <c r="TT3" s="28"/>
      <c r="TU3" s="28"/>
      <c r="TV3" s="28"/>
      <c r="TW3" s="28"/>
      <c r="TX3" s="28"/>
      <c r="TY3" s="28"/>
      <c r="TZ3" s="28"/>
      <c r="UA3" s="28"/>
      <c r="UB3" s="28"/>
      <c r="UC3" s="28"/>
      <c r="UD3" s="28"/>
      <c r="UE3" s="28"/>
      <c r="UF3" s="28"/>
      <c r="UG3" s="28"/>
      <c r="UH3" s="28"/>
      <c r="UI3" s="28"/>
      <c r="UJ3" s="28"/>
      <c r="UK3" s="28"/>
      <c r="UL3" s="28"/>
      <c r="UM3" s="28"/>
      <c r="UN3" s="28"/>
      <c r="UO3" s="28"/>
      <c r="UP3" s="28"/>
      <c r="UQ3" s="28"/>
      <c r="UR3" s="28"/>
      <c r="US3" s="28"/>
      <c r="UT3" s="28"/>
      <c r="UU3" s="28"/>
      <c r="UV3" s="28"/>
      <c r="UW3" s="28"/>
      <c r="UX3" s="28"/>
      <c r="UY3" s="28"/>
      <c r="UZ3" s="28"/>
      <c r="VA3" s="28"/>
      <c r="VB3" s="28"/>
      <c r="VC3" s="28"/>
      <c r="VD3" s="28"/>
      <c r="VE3" s="28"/>
      <c r="VF3" s="28"/>
      <c r="VG3" s="28"/>
      <c r="VH3" s="28"/>
      <c r="VI3" s="28"/>
      <c r="VJ3" s="28"/>
      <c r="VK3" s="28"/>
      <c r="VL3" s="28"/>
      <c r="VM3" s="28"/>
      <c r="VN3" s="28"/>
      <c r="VO3" s="28"/>
      <c r="VP3" s="28"/>
      <c r="VQ3" s="28"/>
      <c r="VR3" s="28"/>
      <c r="VS3" s="28"/>
      <c r="VT3" s="28"/>
      <c r="VU3" s="28"/>
    </row>
    <row r="4" spans="1:593" s="29" customFormat="1" ht="17" customHeight="1" thickBot="1" x14ac:dyDescent="0.4">
      <c r="A4" s="27"/>
      <c r="B4" s="114"/>
      <c r="C4" s="114"/>
      <c r="D4" s="114"/>
      <c r="E4" s="114"/>
      <c r="F4" s="114"/>
      <c r="G4" s="114"/>
      <c r="H4" s="114"/>
      <c r="I4" s="114"/>
      <c r="J4" s="114"/>
      <c r="K4" s="114"/>
      <c r="L4" s="30"/>
      <c r="M4" s="108" t="str">
        <f>Linkedin!B2</f>
        <v>Summary</v>
      </c>
      <c r="N4" s="109"/>
      <c r="O4" s="33"/>
      <c r="P4" s="107" t="str">
        <f>Linkedin!E2</f>
        <v>Summary</v>
      </c>
      <c r="Q4" s="109"/>
      <c r="R4" s="31"/>
      <c r="S4" s="114"/>
      <c r="T4" s="114"/>
      <c r="U4" s="114"/>
      <c r="V4" s="114"/>
      <c r="W4" s="114"/>
      <c r="X4" s="114"/>
      <c r="Y4" s="114"/>
      <c r="Z4" s="114"/>
      <c r="AA4" s="114"/>
      <c r="AB4" s="114"/>
      <c r="AC4" s="32"/>
      <c r="AD4" s="114"/>
      <c r="AE4" s="114"/>
      <c r="AF4" s="114"/>
      <c r="AG4" s="114"/>
      <c r="AH4" s="114"/>
      <c r="AI4" s="114"/>
      <c r="AJ4" s="114"/>
      <c r="AK4" s="114"/>
      <c r="AL4" s="114"/>
      <c r="AM4" s="114"/>
      <c r="AN4" s="32"/>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c r="BV4" s="28"/>
      <c r="BW4" s="28"/>
      <c r="BX4" s="28"/>
      <c r="BY4" s="28"/>
      <c r="BZ4" s="28"/>
      <c r="CA4" s="28"/>
      <c r="CB4" s="28"/>
      <c r="CC4" s="28"/>
      <c r="CD4" s="28"/>
      <c r="CE4" s="28"/>
      <c r="CF4" s="28"/>
      <c r="CG4" s="28"/>
      <c r="CH4" s="28"/>
      <c r="CI4" s="28"/>
      <c r="CJ4" s="28"/>
      <c r="CK4" s="28"/>
      <c r="CL4" s="28"/>
      <c r="CM4" s="28"/>
      <c r="CN4" s="28"/>
      <c r="CO4" s="28"/>
      <c r="CP4" s="28"/>
      <c r="CQ4" s="28"/>
      <c r="CR4" s="28"/>
      <c r="CS4" s="28"/>
      <c r="CT4" s="28"/>
      <c r="CU4" s="28"/>
      <c r="CV4" s="28"/>
      <c r="CW4" s="28"/>
      <c r="CX4" s="28"/>
      <c r="CY4" s="28"/>
      <c r="CZ4" s="28"/>
      <c r="DA4" s="28"/>
      <c r="DB4" s="28"/>
      <c r="DC4" s="28"/>
      <c r="DD4" s="28"/>
      <c r="DE4" s="28"/>
      <c r="DF4" s="28"/>
      <c r="DG4" s="28"/>
      <c r="DH4" s="28"/>
      <c r="DI4" s="28"/>
      <c r="DJ4" s="28"/>
      <c r="DK4" s="28"/>
      <c r="DL4" s="28"/>
      <c r="DM4" s="28"/>
      <c r="DN4" s="28"/>
      <c r="DO4" s="28"/>
      <c r="DP4" s="28"/>
      <c r="DQ4" s="28"/>
      <c r="DR4" s="28"/>
      <c r="DS4" s="28"/>
      <c r="DT4" s="28"/>
      <c r="DU4" s="28"/>
      <c r="DV4" s="28"/>
      <c r="DW4" s="28"/>
      <c r="DX4" s="28"/>
      <c r="DY4" s="28"/>
      <c r="DZ4" s="28"/>
      <c r="EA4" s="28"/>
      <c r="EB4" s="28"/>
      <c r="EC4" s="28"/>
      <c r="ED4" s="28"/>
      <c r="EE4" s="28"/>
      <c r="EF4" s="28"/>
      <c r="EG4" s="28"/>
      <c r="EH4" s="28"/>
      <c r="EI4" s="28"/>
      <c r="EJ4" s="28"/>
      <c r="EK4" s="28"/>
      <c r="EL4" s="28"/>
      <c r="EM4" s="28"/>
      <c r="EN4" s="28"/>
      <c r="EO4" s="28"/>
      <c r="EP4" s="28"/>
      <c r="EQ4" s="28"/>
      <c r="ER4" s="28"/>
      <c r="ES4" s="28"/>
      <c r="ET4" s="28"/>
      <c r="EU4" s="28"/>
      <c r="EV4" s="28"/>
      <c r="EW4" s="28"/>
      <c r="EX4" s="28"/>
      <c r="EY4" s="28"/>
      <c r="EZ4" s="28"/>
      <c r="FA4" s="28"/>
      <c r="FB4" s="28"/>
      <c r="FC4" s="28"/>
      <c r="FD4" s="28"/>
      <c r="FE4" s="28"/>
      <c r="FF4" s="28"/>
      <c r="FG4" s="28"/>
      <c r="FH4" s="28"/>
      <c r="FI4" s="28"/>
      <c r="FJ4" s="28"/>
      <c r="FK4" s="28"/>
      <c r="FL4" s="28"/>
      <c r="FM4" s="28"/>
      <c r="FN4" s="28"/>
      <c r="FO4" s="28"/>
      <c r="FP4" s="28"/>
      <c r="FQ4" s="28"/>
      <c r="FR4" s="28"/>
      <c r="FS4" s="28"/>
      <c r="FT4" s="28"/>
      <c r="FU4" s="28"/>
      <c r="FV4" s="28"/>
      <c r="FW4" s="28"/>
      <c r="FX4" s="28"/>
      <c r="FY4" s="28"/>
      <c r="FZ4" s="28"/>
      <c r="GA4" s="28"/>
      <c r="GB4" s="28"/>
      <c r="GC4" s="28"/>
      <c r="GD4" s="28"/>
      <c r="GE4" s="28"/>
      <c r="GF4" s="28"/>
      <c r="GG4" s="28"/>
      <c r="GH4" s="28"/>
      <c r="GI4" s="28"/>
      <c r="GJ4" s="28"/>
      <c r="GK4" s="28"/>
      <c r="GL4" s="28"/>
      <c r="GM4" s="28"/>
      <c r="GN4" s="28"/>
      <c r="GO4" s="28"/>
      <c r="GP4" s="28"/>
      <c r="GQ4" s="28"/>
      <c r="GR4" s="28"/>
      <c r="GS4" s="28"/>
      <c r="GT4" s="28"/>
      <c r="GU4" s="28"/>
      <c r="GV4" s="28"/>
      <c r="GW4" s="28"/>
      <c r="GX4" s="28"/>
      <c r="GY4" s="28"/>
      <c r="GZ4" s="28"/>
      <c r="HA4" s="28"/>
      <c r="HB4" s="28"/>
      <c r="HC4" s="28"/>
      <c r="HD4" s="28"/>
      <c r="HE4" s="28"/>
      <c r="HF4" s="28"/>
      <c r="HG4" s="28"/>
      <c r="HH4" s="28"/>
      <c r="HI4" s="28"/>
      <c r="HJ4" s="28"/>
      <c r="HK4" s="28"/>
      <c r="HL4" s="28"/>
      <c r="HM4" s="28"/>
      <c r="HN4" s="28"/>
      <c r="HO4" s="28"/>
      <c r="HP4" s="28"/>
      <c r="HQ4" s="28"/>
      <c r="HR4" s="28"/>
      <c r="HS4" s="28"/>
      <c r="HT4" s="28"/>
      <c r="HU4" s="28"/>
      <c r="HV4" s="28"/>
      <c r="HW4" s="28"/>
      <c r="HX4" s="28"/>
      <c r="HY4" s="28"/>
      <c r="HZ4" s="28"/>
      <c r="IA4" s="28"/>
      <c r="IB4" s="28"/>
      <c r="IC4" s="28"/>
      <c r="ID4" s="28"/>
      <c r="IE4" s="28"/>
      <c r="IF4" s="28"/>
      <c r="IG4" s="28"/>
      <c r="IH4" s="28"/>
      <c r="II4" s="28"/>
      <c r="IJ4" s="28"/>
      <c r="IK4" s="28"/>
      <c r="IL4" s="28"/>
      <c r="IM4" s="28"/>
      <c r="IN4" s="28"/>
      <c r="IO4" s="28"/>
      <c r="IP4" s="28"/>
      <c r="IQ4" s="28"/>
      <c r="IR4" s="28"/>
      <c r="IS4" s="28"/>
      <c r="IT4" s="28"/>
      <c r="IU4" s="28"/>
      <c r="IV4" s="28"/>
      <c r="IW4" s="28"/>
      <c r="IX4" s="28"/>
      <c r="IY4" s="28"/>
      <c r="IZ4" s="28"/>
      <c r="JA4" s="28"/>
      <c r="JB4" s="28"/>
      <c r="JC4" s="28"/>
      <c r="JD4" s="28"/>
      <c r="JE4" s="28"/>
      <c r="JF4" s="28"/>
      <c r="JG4" s="28"/>
      <c r="JH4" s="28"/>
      <c r="JI4" s="28"/>
      <c r="JJ4" s="28"/>
      <c r="JK4" s="28"/>
      <c r="JL4" s="28"/>
      <c r="JM4" s="28"/>
      <c r="JN4" s="28"/>
      <c r="JO4" s="28"/>
      <c r="JP4" s="28"/>
      <c r="JQ4" s="28"/>
      <c r="JR4" s="28"/>
      <c r="JS4" s="28"/>
      <c r="JT4" s="28"/>
      <c r="JU4" s="28"/>
      <c r="JV4" s="28"/>
      <c r="JW4" s="28"/>
      <c r="JX4" s="28"/>
      <c r="JY4" s="28"/>
      <c r="JZ4" s="28"/>
      <c r="KA4" s="28"/>
      <c r="KB4" s="28"/>
      <c r="KC4" s="28"/>
      <c r="KD4" s="28"/>
      <c r="KE4" s="28"/>
      <c r="KF4" s="28"/>
      <c r="KG4" s="28"/>
      <c r="KH4" s="28"/>
      <c r="KI4" s="28"/>
      <c r="KJ4" s="28"/>
      <c r="KK4" s="28"/>
      <c r="KL4" s="28"/>
      <c r="KM4" s="28"/>
      <c r="KN4" s="28"/>
      <c r="KO4" s="28"/>
      <c r="KP4" s="28"/>
      <c r="KQ4" s="28"/>
      <c r="KR4" s="28"/>
      <c r="KS4" s="28"/>
      <c r="KT4" s="28"/>
      <c r="KU4" s="28"/>
      <c r="KV4" s="28"/>
      <c r="KW4" s="28"/>
      <c r="KX4" s="28"/>
      <c r="KY4" s="28"/>
      <c r="KZ4" s="28"/>
      <c r="LA4" s="28"/>
      <c r="LB4" s="28"/>
      <c r="LC4" s="28"/>
      <c r="LD4" s="28"/>
      <c r="LE4" s="28"/>
      <c r="LF4" s="28"/>
      <c r="LG4" s="28"/>
      <c r="LH4" s="28"/>
      <c r="LI4" s="28"/>
      <c r="LJ4" s="28"/>
      <c r="LK4" s="28"/>
      <c r="LL4" s="28"/>
      <c r="LM4" s="28"/>
      <c r="LN4" s="28"/>
      <c r="LO4" s="28"/>
      <c r="LP4" s="28"/>
      <c r="LQ4" s="28"/>
      <c r="LR4" s="28"/>
      <c r="LS4" s="28"/>
      <c r="LT4" s="28"/>
      <c r="LU4" s="28"/>
      <c r="LV4" s="28"/>
      <c r="LW4" s="28"/>
      <c r="LX4" s="28"/>
      <c r="LY4" s="28"/>
      <c r="LZ4" s="28"/>
      <c r="MA4" s="28"/>
      <c r="MB4" s="28"/>
      <c r="MC4" s="28"/>
      <c r="MD4" s="28"/>
      <c r="ME4" s="28"/>
      <c r="MF4" s="28"/>
      <c r="MG4" s="28"/>
      <c r="MH4" s="28"/>
      <c r="MI4" s="28"/>
      <c r="MJ4" s="28"/>
      <c r="MK4" s="28"/>
      <c r="ML4" s="28"/>
      <c r="MM4" s="28"/>
      <c r="MN4" s="28"/>
      <c r="MO4" s="28"/>
      <c r="MP4" s="28"/>
      <c r="MQ4" s="28"/>
      <c r="MR4" s="28"/>
      <c r="MS4" s="28"/>
      <c r="MT4" s="28"/>
      <c r="MU4" s="28"/>
      <c r="MV4" s="28"/>
      <c r="MW4" s="28"/>
      <c r="MX4" s="28"/>
      <c r="MY4" s="28"/>
      <c r="MZ4" s="28"/>
      <c r="NA4" s="28"/>
      <c r="NB4" s="28"/>
      <c r="NC4" s="28"/>
      <c r="ND4" s="28"/>
      <c r="NE4" s="28"/>
      <c r="NF4" s="28"/>
      <c r="NG4" s="28"/>
      <c r="NH4" s="28"/>
      <c r="NI4" s="28"/>
      <c r="NJ4" s="28"/>
      <c r="NK4" s="28"/>
      <c r="NL4" s="28"/>
      <c r="NM4" s="28"/>
      <c r="NN4" s="28"/>
      <c r="NO4" s="28"/>
      <c r="NP4" s="28"/>
      <c r="NQ4" s="28"/>
      <c r="NR4" s="28"/>
      <c r="NS4" s="28"/>
      <c r="NT4" s="28"/>
      <c r="NU4" s="28"/>
      <c r="NV4" s="28"/>
      <c r="NW4" s="28"/>
      <c r="NX4" s="28"/>
      <c r="NY4" s="28"/>
      <c r="NZ4" s="28"/>
      <c r="OA4" s="28"/>
      <c r="OB4" s="28"/>
      <c r="OC4" s="28"/>
      <c r="OD4" s="28"/>
      <c r="OE4" s="28"/>
      <c r="OF4" s="28"/>
      <c r="OG4" s="28"/>
      <c r="OH4" s="28"/>
      <c r="OI4" s="28"/>
      <c r="OJ4" s="28"/>
      <c r="OK4" s="28"/>
      <c r="OL4" s="28"/>
      <c r="OM4" s="28"/>
      <c r="ON4" s="28"/>
      <c r="OO4" s="28"/>
      <c r="OP4" s="28"/>
      <c r="OQ4" s="28"/>
      <c r="OR4" s="28"/>
      <c r="OS4" s="28"/>
      <c r="OT4" s="28"/>
      <c r="OU4" s="28"/>
      <c r="OV4" s="28"/>
      <c r="OW4" s="28"/>
      <c r="OX4" s="28"/>
      <c r="OY4" s="28"/>
      <c r="OZ4" s="28"/>
      <c r="PA4" s="28"/>
      <c r="PB4" s="28"/>
      <c r="PC4" s="28"/>
      <c r="PD4" s="28"/>
      <c r="PE4" s="28"/>
      <c r="PF4" s="28"/>
      <c r="PG4" s="28"/>
      <c r="PH4" s="28"/>
      <c r="PI4" s="28"/>
      <c r="PJ4" s="28"/>
      <c r="PK4" s="28"/>
      <c r="PL4" s="28"/>
      <c r="PM4" s="28"/>
      <c r="PN4" s="28"/>
      <c r="PO4" s="28"/>
      <c r="PP4" s="28"/>
      <c r="PQ4" s="28"/>
      <c r="PR4" s="28"/>
      <c r="PS4" s="28"/>
      <c r="PT4" s="28"/>
      <c r="PU4" s="28"/>
      <c r="PV4" s="28"/>
      <c r="PW4" s="28"/>
      <c r="PX4" s="28"/>
      <c r="PY4" s="28"/>
      <c r="PZ4" s="28"/>
      <c r="QA4" s="28"/>
      <c r="QB4" s="28"/>
      <c r="QC4" s="28"/>
      <c r="QD4" s="28"/>
      <c r="QE4" s="28"/>
      <c r="QF4" s="28"/>
      <c r="QG4" s="28"/>
      <c r="QH4" s="28"/>
      <c r="QI4" s="28"/>
      <c r="QJ4" s="28"/>
      <c r="QK4" s="28"/>
      <c r="QL4" s="28"/>
      <c r="QM4" s="28"/>
      <c r="QN4" s="28"/>
      <c r="QO4" s="28"/>
      <c r="QP4" s="28"/>
      <c r="QQ4" s="28"/>
      <c r="QR4" s="28"/>
      <c r="QS4" s="28"/>
      <c r="QT4" s="28"/>
      <c r="QU4" s="28"/>
      <c r="QV4" s="28"/>
      <c r="QW4" s="28"/>
      <c r="QX4" s="28"/>
      <c r="QY4" s="28"/>
      <c r="QZ4" s="28"/>
      <c r="RA4" s="28"/>
      <c r="RB4" s="28"/>
      <c r="RC4" s="28"/>
      <c r="RD4" s="28"/>
      <c r="RE4" s="28"/>
      <c r="RF4" s="28"/>
      <c r="RG4" s="28"/>
      <c r="RH4" s="28"/>
      <c r="RI4" s="28"/>
      <c r="RJ4" s="28"/>
      <c r="RK4" s="28"/>
      <c r="RL4" s="28"/>
      <c r="RM4" s="28"/>
      <c r="RN4" s="28"/>
      <c r="RO4" s="28"/>
      <c r="RP4" s="28"/>
      <c r="RQ4" s="28"/>
      <c r="RR4" s="28"/>
      <c r="RS4" s="28"/>
      <c r="RT4" s="28"/>
      <c r="RU4" s="28"/>
      <c r="RV4" s="28"/>
      <c r="RW4" s="28"/>
      <c r="RX4" s="28"/>
      <c r="RY4" s="28"/>
      <c r="RZ4" s="28"/>
      <c r="SA4" s="28"/>
      <c r="SB4" s="28"/>
      <c r="SC4" s="28"/>
      <c r="SD4" s="28"/>
      <c r="SE4" s="28"/>
      <c r="SF4" s="28"/>
      <c r="SG4" s="28"/>
      <c r="SH4" s="28"/>
      <c r="SI4" s="28"/>
      <c r="SJ4" s="28"/>
      <c r="SK4" s="28"/>
      <c r="SL4" s="28"/>
      <c r="SM4" s="28"/>
      <c r="SN4" s="28"/>
      <c r="SO4" s="28"/>
      <c r="SP4" s="28"/>
      <c r="SQ4" s="28"/>
      <c r="SR4" s="28"/>
      <c r="SS4" s="28"/>
      <c r="ST4" s="28"/>
      <c r="SU4" s="28"/>
      <c r="SV4" s="28"/>
      <c r="SW4" s="28"/>
      <c r="SX4" s="28"/>
      <c r="SY4" s="28"/>
      <c r="SZ4" s="28"/>
      <c r="TA4" s="28"/>
      <c r="TB4" s="28"/>
      <c r="TC4" s="28"/>
      <c r="TD4" s="28"/>
      <c r="TE4" s="28"/>
      <c r="TF4" s="28"/>
      <c r="TG4" s="28"/>
      <c r="TH4" s="28"/>
      <c r="TI4" s="28"/>
      <c r="TJ4" s="28"/>
      <c r="TK4" s="28"/>
      <c r="TL4" s="28"/>
      <c r="TM4" s="28"/>
      <c r="TN4" s="28"/>
      <c r="TO4" s="28"/>
      <c r="TP4" s="28"/>
      <c r="TQ4" s="28"/>
      <c r="TR4" s="28"/>
      <c r="TS4" s="28"/>
      <c r="TT4" s="28"/>
      <c r="TU4" s="28"/>
      <c r="TV4" s="28"/>
      <c r="TW4" s="28"/>
      <c r="TX4" s="28"/>
      <c r="TY4" s="28"/>
      <c r="TZ4" s="28"/>
      <c r="UA4" s="28"/>
      <c r="UB4" s="28"/>
      <c r="UC4" s="28"/>
      <c r="UD4" s="28"/>
      <c r="UE4" s="28"/>
      <c r="UF4" s="28"/>
      <c r="UG4" s="28"/>
      <c r="UH4" s="28"/>
      <c r="UI4" s="28"/>
      <c r="UJ4" s="28"/>
      <c r="UK4" s="28"/>
      <c r="UL4" s="28"/>
      <c r="UM4" s="28"/>
      <c r="UN4" s="28"/>
      <c r="UO4" s="28"/>
      <c r="UP4" s="28"/>
      <c r="UQ4" s="28"/>
      <c r="UR4" s="28"/>
      <c r="US4" s="28"/>
      <c r="UT4" s="28"/>
      <c r="UU4" s="28"/>
      <c r="UV4" s="28"/>
      <c r="UW4" s="28"/>
      <c r="UX4" s="28"/>
      <c r="UY4" s="28"/>
      <c r="UZ4" s="28"/>
      <c r="VA4" s="28"/>
      <c r="VB4" s="28"/>
      <c r="VC4" s="28"/>
      <c r="VD4" s="28"/>
      <c r="VE4" s="28"/>
      <c r="VF4" s="28"/>
      <c r="VG4" s="28"/>
      <c r="VH4" s="28"/>
      <c r="VI4" s="28"/>
      <c r="VJ4" s="28"/>
      <c r="VK4" s="28"/>
      <c r="VL4" s="28"/>
      <c r="VM4" s="28"/>
      <c r="VN4" s="28"/>
      <c r="VO4" s="28"/>
      <c r="VP4" s="28"/>
      <c r="VQ4" s="28"/>
      <c r="VR4" s="28"/>
      <c r="VS4" s="28"/>
      <c r="VT4" s="28"/>
      <c r="VU4" s="28"/>
    </row>
    <row r="5" spans="1:593" x14ac:dyDescent="0.3">
      <c r="K5" s="36"/>
      <c r="M5" s="37" t="str">
        <f>Linkedin!B3</f>
        <v>Position</v>
      </c>
      <c r="N5" s="38" t="str">
        <f>Linkedin!C3</f>
        <v>Hooker</v>
      </c>
      <c r="P5" s="39" t="str">
        <f>Linkedin!E3</f>
        <v>Website</v>
      </c>
      <c r="Q5" s="40" t="str">
        <f>Linkedin!F3</f>
        <v>http://www.auckland.ac.nz/</v>
      </c>
      <c r="R5" s="32"/>
      <c r="S5" s="34" t="s">
        <v>2</v>
      </c>
      <c r="U5" s="34" t="str">
        <f>Finance!B2</f>
        <v>Summary</v>
      </c>
      <c r="V5" s="34"/>
      <c r="AB5" s="36"/>
      <c r="AC5" s="32"/>
      <c r="AD5" s="34" t="s">
        <v>2</v>
      </c>
      <c r="AF5" s="34">
        <f>Finance!M2</f>
        <v>0</v>
      </c>
      <c r="AM5" s="36"/>
      <c r="AN5" s="32"/>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c r="BV5" s="28"/>
      <c r="BW5" s="28"/>
      <c r="BX5" s="28"/>
      <c r="BY5" s="28"/>
      <c r="BZ5" s="28"/>
      <c r="CA5" s="28"/>
      <c r="CB5" s="28"/>
      <c r="CC5" s="28"/>
      <c r="CD5" s="28"/>
      <c r="CE5" s="28"/>
      <c r="CF5" s="28"/>
      <c r="CG5" s="28"/>
      <c r="CH5" s="28"/>
      <c r="CI5" s="28"/>
      <c r="CJ5" s="28"/>
      <c r="CK5" s="28"/>
      <c r="CL5" s="28"/>
      <c r="CM5" s="28"/>
      <c r="CN5" s="28"/>
      <c r="CO5" s="28"/>
      <c r="CP5" s="28"/>
      <c r="CQ5" s="28"/>
      <c r="CR5" s="28"/>
      <c r="CS5" s="28"/>
      <c r="CT5" s="28"/>
      <c r="CU5" s="28"/>
      <c r="CV5" s="28"/>
      <c r="CW5" s="28"/>
      <c r="CX5" s="28"/>
      <c r="CY5" s="28"/>
      <c r="CZ5" s="28"/>
      <c r="DA5" s="28"/>
      <c r="DB5" s="28"/>
      <c r="DC5" s="28"/>
      <c r="DD5" s="28"/>
      <c r="DE5" s="28"/>
      <c r="DF5" s="28"/>
      <c r="DG5" s="28"/>
      <c r="DH5" s="28"/>
      <c r="DI5" s="28"/>
      <c r="DJ5" s="28"/>
      <c r="DK5" s="28"/>
      <c r="DL5" s="28"/>
      <c r="DM5" s="28"/>
      <c r="DN5" s="28"/>
      <c r="DO5" s="28"/>
      <c r="DP5" s="28"/>
      <c r="DQ5" s="28"/>
      <c r="DR5" s="28"/>
      <c r="DS5" s="28"/>
      <c r="DT5" s="28"/>
      <c r="DU5" s="28"/>
      <c r="DV5" s="28"/>
      <c r="DW5" s="28"/>
      <c r="DX5" s="28"/>
      <c r="DY5" s="28"/>
      <c r="DZ5" s="28"/>
      <c r="EA5" s="28"/>
      <c r="EB5" s="28"/>
      <c r="EC5" s="28"/>
      <c r="ED5" s="28"/>
      <c r="EE5" s="28"/>
      <c r="EF5" s="28"/>
      <c r="EG5" s="28"/>
      <c r="EH5" s="28"/>
      <c r="EI5" s="28"/>
      <c r="EJ5" s="28"/>
      <c r="EK5" s="28"/>
      <c r="EL5" s="28"/>
      <c r="EM5" s="28"/>
      <c r="EN5" s="28"/>
      <c r="EO5" s="28"/>
      <c r="EP5" s="28"/>
      <c r="EQ5" s="28"/>
      <c r="ER5" s="28"/>
      <c r="ES5" s="28"/>
      <c r="ET5" s="28"/>
      <c r="EU5" s="28"/>
      <c r="EV5" s="28"/>
      <c r="EW5" s="28"/>
      <c r="EX5" s="28"/>
      <c r="EY5" s="28"/>
      <c r="EZ5" s="28"/>
      <c r="FA5" s="28"/>
      <c r="FB5" s="28"/>
      <c r="FC5" s="28"/>
      <c r="FD5" s="28"/>
      <c r="FE5" s="28"/>
      <c r="FF5" s="28"/>
      <c r="FG5" s="28"/>
      <c r="FH5" s="28"/>
      <c r="FI5" s="28"/>
      <c r="FJ5" s="28"/>
      <c r="FK5" s="28"/>
      <c r="FL5" s="28"/>
      <c r="FM5" s="28"/>
      <c r="FN5" s="28"/>
      <c r="FO5" s="28"/>
      <c r="FP5" s="28"/>
      <c r="FQ5" s="28"/>
      <c r="FR5" s="28"/>
      <c r="FS5" s="28"/>
      <c r="FT5" s="28"/>
      <c r="FU5" s="28"/>
      <c r="FV5" s="28"/>
      <c r="FW5" s="28"/>
      <c r="FX5" s="28"/>
      <c r="FY5" s="28"/>
      <c r="FZ5" s="28"/>
      <c r="GA5" s="28"/>
      <c r="GB5" s="28"/>
      <c r="GC5" s="28"/>
      <c r="GD5" s="28"/>
      <c r="GE5" s="28"/>
      <c r="GF5" s="28"/>
      <c r="GG5" s="28"/>
      <c r="GH5" s="28"/>
      <c r="GI5" s="28"/>
      <c r="GJ5" s="28"/>
      <c r="GK5" s="28"/>
      <c r="GL5" s="28"/>
      <c r="GM5" s="28"/>
      <c r="GN5" s="28"/>
      <c r="GO5" s="28"/>
      <c r="GP5" s="28"/>
      <c r="GQ5" s="28"/>
      <c r="GR5" s="28"/>
      <c r="GS5" s="28"/>
      <c r="GT5" s="28"/>
      <c r="GU5" s="28"/>
      <c r="GV5" s="28"/>
      <c r="GW5" s="28"/>
      <c r="GX5" s="28"/>
      <c r="GY5" s="28"/>
      <c r="GZ5" s="28"/>
      <c r="HA5" s="28"/>
      <c r="HB5" s="28"/>
      <c r="HC5" s="28"/>
      <c r="HD5" s="28"/>
      <c r="HE5" s="28"/>
      <c r="HF5" s="28"/>
      <c r="HG5" s="28"/>
      <c r="HH5" s="28"/>
      <c r="HI5" s="28"/>
      <c r="HJ5" s="28"/>
      <c r="HK5" s="28"/>
      <c r="HL5" s="28"/>
      <c r="HM5" s="28"/>
      <c r="HN5" s="28"/>
      <c r="HO5" s="28"/>
      <c r="HP5" s="28"/>
      <c r="HQ5" s="28"/>
      <c r="HR5" s="28"/>
      <c r="HS5" s="28"/>
      <c r="HT5" s="28"/>
      <c r="HU5" s="28"/>
      <c r="HV5" s="28"/>
      <c r="HW5" s="28"/>
      <c r="HX5" s="28"/>
      <c r="HY5" s="28"/>
      <c r="HZ5" s="28"/>
      <c r="IA5" s="28"/>
      <c r="IB5" s="28"/>
      <c r="IC5" s="28"/>
      <c r="ID5" s="28"/>
      <c r="IE5" s="28"/>
      <c r="IF5" s="28"/>
      <c r="IG5" s="28"/>
      <c r="IH5" s="28"/>
      <c r="II5" s="28"/>
      <c r="IJ5" s="28"/>
      <c r="IK5" s="28"/>
      <c r="IL5" s="28"/>
      <c r="IM5" s="28"/>
      <c r="IN5" s="28"/>
      <c r="IO5" s="28"/>
      <c r="IP5" s="28"/>
      <c r="IQ5" s="28"/>
      <c r="IR5" s="28"/>
      <c r="IS5" s="28"/>
      <c r="IT5" s="28"/>
      <c r="IU5" s="28"/>
      <c r="IV5" s="28"/>
      <c r="IW5" s="28"/>
      <c r="IX5" s="28"/>
      <c r="IY5" s="28"/>
      <c r="IZ5" s="28"/>
      <c r="JA5" s="28"/>
      <c r="JB5" s="28"/>
      <c r="JC5" s="28"/>
      <c r="JD5" s="28"/>
      <c r="JE5" s="28"/>
      <c r="JF5" s="28"/>
      <c r="JG5" s="28"/>
      <c r="JH5" s="28"/>
      <c r="JI5" s="28"/>
      <c r="JJ5" s="28"/>
      <c r="JK5" s="28"/>
      <c r="JL5" s="28"/>
      <c r="JM5" s="28"/>
      <c r="JN5" s="28"/>
      <c r="JO5" s="28"/>
      <c r="JP5" s="28"/>
      <c r="JQ5" s="28"/>
      <c r="JR5" s="28"/>
      <c r="JS5" s="28"/>
      <c r="JT5" s="28"/>
      <c r="JU5" s="28"/>
      <c r="JV5" s="28"/>
      <c r="JW5" s="28"/>
      <c r="JX5" s="28"/>
      <c r="JY5" s="28"/>
      <c r="JZ5" s="28"/>
      <c r="KA5" s="28"/>
      <c r="KB5" s="28"/>
      <c r="KC5" s="28"/>
      <c r="KD5" s="28"/>
      <c r="KE5" s="28"/>
      <c r="KF5" s="28"/>
      <c r="KG5" s="28"/>
      <c r="KH5" s="28"/>
      <c r="KI5" s="28"/>
      <c r="KJ5" s="28"/>
      <c r="KK5" s="28"/>
      <c r="KL5" s="28"/>
      <c r="KM5" s="28"/>
      <c r="KN5" s="28"/>
      <c r="KO5" s="28"/>
      <c r="KP5" s="28"/>
      <c r="KQ5" s="28"/>
      <c r="KR5" s="28"/>
      <c r="KS5" s="28"/>
      <c r="KT5" s="28"/>
      <c r="KU5" s="28"/>
      <c r="KV5" s="28"/>
      <c r="KW5" s="28"/>
      <c r="KX5" s="28"/>
      <c r="KY5" s="28"/>
      <c r="KZ5" s="28"/>
      <c r="LA5" s="28"/>
      <c r="LB5" s="28"/>
      <c r="LC5" s="28"/>
      <c r="LD5" s="28"/>
      <c r="LE5" s="28"/>
      <c r="LF5" s="28"/>
      <c r="LG5" s="28"/>
      <c r="LH5" s="28"/>
      <c r="LI5" s="28"/>
      <c r="LJ5" s="28"/>
      <c r="LK5" s="28"/>
      <c r="LL5" s="28"/>
      <c r="LM5" s="28"/>
      <c r="LN5" s="28"/>
      <c r="LO5" s="28"/>
      <c r="LP5" s="28"/>
      <c r="LQ5" s="28"/>
      <c r="LR5" s="28"/>
      <c r="LS5" s="28"/>
      <c r="LT5" s="28"/>
      <c r="LU5" s="28"/>
      <c r="LV5" s="28"/>
      <c r="LW5" s="28"/>
      <c r="LX5" s="28"/>
      <c r="LY5" s="28"/>
      <c r="LZ5" s="28"/>
      <c r="MA5" s="28"/>
      <c r="MB5" s="28"/>
      <c r="MC5" s="28"/>
      <c r="MD5" s="28"/>
      <c r="ME5" s="28"/>
      <c r="MF5" s="28"/>
      <c r="MG5" s="28"/>
      <c r="MH5" s="28"/>
      <c r="MI5" s="28"/>
      <c r="MJ5" s="28"/>
      <c r="MK5" s="28"/>
      <c r="ML5" s="28"/>
      <c r="MM5" s="28"/>
      <c r="MN5" s="28"/>
      <c r="MO5" s="28"/>
      <c r="MP5" s="28"/>
      <c r="MQ5" s="28"/>
      <c r="MR5" s="28"/>
      <c r="MS5" s="28"/>
      <c r="MT5" s="28"/>
      <c r="MU5" s="28"/>
      <c r="MV5" s="28"/>
      <c r="MW5" s="28"/>
      <c r="MX5" s="28"/>
      <c r="MY5" s="28"/>
      <c r="MZ5" s="28"/>
      <c r="NA5" s="28"/>
      <c r="NB5" s="28"/>
      <c r="NC5" s="28"/>
      <c r="ND5" s="28"/>
      <c r="NE5" s="28"/>
      <c r="NF5" s="28"/>
      <c r="NG5" s="28"/>
      <c r="NH5" s="28"/>
      <c r="NI5" s="28"/>
      <c r="NJ5" s="28"/>
      <c r="NK5" s="28"/>
      <c r="NL5" s="28"/>
      <c r="NM5" s="28"/>
      <c r="NN5" s="28"/>
      <c r="NO5" s="28"/>
      <c r="NP5" s="28"/>
      <c r="NQ5" s="28"/>
      <c r="NR5" s="28"/>
      <c r="NS5" s="28"/>
      <c r="NT5" s="28"/>
      <c r="NU5" s="28"/>
      <c r="NV5" s="28"/>
      <c r="NW5" s="28"/>
      <c r="NX5" s="28"/>
      <c r="NY5" s="28"/>
      <c r="NZ5" s="28"/>
      <c r="OA5" s="28"/>
      <c r="OB5" s="28"/>
      <c r="OC5" s="28"/>
      <c r="OD5" s="28"/>
      <c r="OE5" s="28"/>
      <c r="OF5" s="28"/>
      <c r="OG5" s="28"/>
      <c r="OH5" s="28"/>
      <c r="OI5" s="28"/>
      <c r="OJ5" s="28"/>
      <c r="OK5" s="28"/>
      <c r="OL5" s="28"/>
      <c r="OM5" s="28"/>
      <c r="ON5" s="28"/>
      <c r="OO5" s="28"/>
      <c r="OP5" s="28"/>
      <c r="OQ5" s="28"/>
      <c r="OR5" s="28"/>
      <c r="OS5" s="28"/>
      <c r="OT5" s="28"/>
      <c r="OU5" s="28"/>
      <c r="OV5" s="28"/>
      <c r="OW5" s="28"/>
      <c r="OX5" s="28"/>
      <c r="OY5" s="28"/>
      <c r="OZ5" s="28"/>
      <c r="PA5" s="28"/>
      <c r="PB5" s="28"/>
      <c r="PC5" s="28"/>
      <c r="PD5" s="28"/>
      <c r="PE5" s="28"/>
      <c r="PF5" s="28"/>
      <c r="PG5" s="28"/>
      <c r="PH5" s="28"/>
      <c r="PI5" s="28"/>
      <c r="PJ5" s="28"/>
      <c r="PK5" s="28"/>
      <c r="PL5" s="28"/>
      <c r="PM5" s="28"/>
      <c r="PN5" s="28"/>
      <c r="PO5" s="28"/>
      <c r="PP5" s="28"/>
      <c r="PQ5" s="28"/>
      <c r="PR5" s="28"/>
      <c r="PS5" s="28"/>
      <c r="PT5" s="28"/>
      <c r="PU5" s="28"/>
      <c r="PV5" s="28"/>
      <c r="PW5" s="28"/>
      <c r="PX5" s="28"/>
      <c r="PY5" s="28"/>
      <c r="PZ5" s="28"/>
      <c r="QA5" s="28"/>
      <c r="QB5" s="28"/>
      <c r="QC5" s="28"/>
      <c r="QD5" s="28"/>
      <c r="QE5" s="28"/>
      <c r="QF5" s="28"/>
      <c r="QG5" s="28"/>
      <c r="QH5" s="28"/>
      <c r="QI5" s="28"/>
      <c r="QJ5" s="28"/>
      <c r="QK5" s="28"/>
      <c r="QL5" s="28"/>
      <c r="QM5" s="28"/>
      <c r="QN5" s="28"/>
      <c r="QO5" s="28"/>
      <c r="QP5" s="28"/>
      <c r="QQ5" s="28"/>
      <c r="QR5" s="28"/>
      <c r="QS5" s="28"/>
      <c r="QT5" s="28"/>
      <c r="QU5" s="28"/>
      <c r="QV5" s="28"/>
      <c r="QW5" s="28"/>
      <c r="QX5" s="28"/>
      <c r="QY5" s="28"/>
      <c r="QZ5" s="28"/>
      <c r="RA5" s="28"/>
      <c r="RB5" s="28"/>
      <c r="RC5" s="28"/>
      <c r="RD5" s="28"/>
      <c r="RE5" s="28"/>
      <c r="RF5" s="28"/>
      <c r="RG5" s="28"/>
      <c r="RH5" s="28"/>
      <c r="RI5" s="28"/>
      <c r="RJ5" s="28"/>
      <c r="RK5" s="28"/>
      <c r="RL5" s="28"/>
      <c r="RM5" s="28"/>
      <c r="RN5" s="28"/>
      <c r="RO5" s="28"/>
      <c r="RP5" s="28"/>
      <c r="RQ5" s="28"/>
      <c r="RR5" s="28"/>
      <c r="RS5" s="28"/>
      <c r="RT5" s="28"/>
      <c r="RU5" s="28"/>
      <c r="RV5" s="28"/>
      <c r="RW5" s="28"/>
      <c r="RX5" s="28"/>
      <c r="RY5" s="28"/>
      <c r="RZ5" s="28"/>
      <c r="SA5" s="28"/>
      <c r="SB5" s="28"/>
      <c r="SC5" s="28"/>
      <c r="SD5" s="28"/>
      <c r="SE5" s="28"/>
      <c r="SF5" s="28"/>
      <c r="SG5" s="28"/>
      <c r="SH5" s="28"/>
      <c r="SI5" s="28"/>
      <c r="SJ5" s="28"/>
      <c r="SK5" s="28"/>
      <c r="SL5" s="28"/>
      <c r="SM5" s="28"/>
      <c r="SN5" s="28"/>
      <c r="SO5" s="28"/>
      <c r="SP5" s="28"/>
      <c r="SQ5" s="28"/>
      <c r="SR5" s="28"/>
      <c r="SS5" s="28"/>
      <c r="ST5" s="28"/>
      <c r="SU5" s="28"/>
      <c r="SV5" s="28"/>
      <c r="SW5" s="28"/>
      <c r="SX5" s="28"/>
      <c r="SY5" s="28"/>
      <c r="SZ5" s="28"/>
      <c r="TA5" s="28"/>
      <c r="TB5" s="28"/>
      <c r="TC5" s="28"/>
      <c r="TD5" s="28"/>
      <c r="TE5" s="28"/>
      <c r="TF5" s="28"/>
      <c r="TG5" s="28"/>
      <c r="TH5" s="28"/>
      <c r="TI5" s="28"/>
      <c r="TJ5" s="28"/>
      <c r="TK5" s="28"/>
      <c r="TL5" s="28"/>
      <c r="TM5" s="28"/>
      <c r="TN5" s="28"/>
      <c r="TO5" s="28"/>
      <c r="TP5" s="28"/>
      <c r="TQ5" s="28"/>
      <c r="TR5" s="28"/>
      <c r="TS5" s="28"/>
      <c r="TT5" s="28"/>
      <c r="TU5" s="28"/>
      <c r="TV5" s="28"/>
      <c r="TW5" s="28"/>
      <c r="TX5" s="28"/>
      <c r="TY5" s="28"/>
      <c r="TZ5" s="28"/>
      <c r="UA5" s="28"/>
      <c r="UB5" s="28"/>
      <c r="UC5" s="28"/>
      <c r="UD5" s="28"/>
      <c r="UE5" s="28"/>
      <c r="UF5" s="28"/>
      <c r="UG5" s="28"/>
      <c r="UH5" s="28"/>
      <c r="UI5" s="28"/>
      <c r="UJ5" s="28"/>
      <c r="UK5" s="28"/>
      <c r="UL5" s="28"/>
      <c r="UM5" s="28"/>
      <c r="UN5" s="28"/>
      <c r="UO5" s="28"/>
      <c r="UP5" s="28"/>
      <c r="UQ5" s="28"/>
      <c r="UR5" s="28"/>
      <c r="US5" s="28"/>
      <c r="UT5" s="28"/>
      <c r="UU5" s="28"/>
      <c r="UV5" s="28"/>
      <c r="UW5" s="28"/>
      <c r="UX5" s="28"/>
      <c r="UY5" s="28"/>
      <c r="UZ5" s="28"/>
      <c r="VA5" s="28"/>
      <c r="VB5" s="28"/>
      <c r="VC5" s="28"/>
      <c r="VD5" s="28"/>
      <c r="VE5" s="28"/>
      <c r="VF5" s="28"/>
      <c r="VG5" s="28"/>
      <c r="VH5" s="28"/>
      <c r="VI5" s="28"/>
      <c r="VJ5" s="28"/>
      <c r="VK5" s="28"/>
      <c r="VL5" s="28"/>
      <c r="VM5" s="28"/>
      <c r="VN5" s="28"/>
      <c r="VO5" s="28"/>
      <c r="VP5" s="28"/>
      <c r="VQ5" s="28"/>
      <c r="VR5" s="28"/>
      <c r="VS5" s="28"/>
      <c r="VT5" s="28"/>
      <c r="VU5" s="28"/>
    </row>
    <row r="6" spans="1:593" ht="14.5" thickBot="1" x14ac:dyDescent="0.35">
      <c r="B6" s="107" t="s">
        <v>2</v>
      </c>
      <c r="C6" s="108"/>
      <c r="D6" s="108"/>
      <c r="E6" s="109"/>
      <c r="K6" s="36"/>
      <c r="M6" s="41" t="str">
        <f>Linkedin!B4</f>
        <v>Employer</v>
      </c>
      <c r="N6" s="42" t="str">
        <f>Linkedin!C4</f>
        <v>big mama</v>
      </c>
      <c r="P6" s="43" t="str">
        <f>Linkedin!E4</f>
        <v>Industries</v>
      </c>
      <c r="Q6" s="42" t="str">
        <f>Linkedin!F4</f>
        <v>Higher Education</v>
      </c>
      <c r="R6" s="32"/>
      <c r="S6" s="34" t="s">
        <v>557</v>
      </c>
      <c r="U6" s="34"/>
      <c r="V6" s="34"/>
      <c r="AB6" s="36"/>
      <c r="AC6" s="32"/>
      <c r="AD6" s="34" t="s">
        <v>557</v>
      </c>
      <c r="AM6" s="36"/>
      <c r="AN6" s="32"/>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row>
    <row r="7" spans="1:593" x14ac:dyDescent="0.3">
      <c r="B7" s="164" t="s">
        <v>3</v>
      </c>
      <c r="C7" s="165"/>
      <c r="D7" s="187">
        <f>House!C3</f>
        <v>0</v>
      </c>
      <c r="E7" s="188"/>
      <c r="K7" s="36"/>
      <c r="M7" s="45" t="str">
        <f>Linkedin!B5</f>
        <v>Website</v>
      </c>
      <c r="N7" s="40" t="str">
        <f>Linkedin!C5</f>
        <v>XXX.XXX</v>
      </c>
      <c r="P7" s="39" t="str">
        <f>Linkedin!E5</f>
        <v>Size</v>
      </c>
      <c r="Q7" s="46" t="str">
        <f>Linkedin!F5</f>
        <v xml:space="preserve">1001-5000 </v>
      </c>
      <c r="R7" s="32"/>
      <c r="S7" s="34" t="s">
        <v>558</v>
      </c>
      <c r="U7" s="34"/>
      <c r="V7" s="34"/>
      <c r="AB7" s="36"/>
      <c r="AC7" s="32"/>
      <c r="AD7" s="34" t="s">
        <v>558</v>
      </c>
      <c r="AM7" s="36"/>
      <c r="AN7" s="32"/>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c r="IV7" s="28"/>
      <c r="IW7" s="28"/>
      <c r="IX7" s="28"/>
      <c r="IY7" s="28"/>
      <c r="IZ7" s="28"/>
      <c r="JA7" s="28"/>
      <c r="JB7" s="28"/>
      <c r="JC7" s="28"/>
      <c r="JD7" s="28"/>
      <c r="JE7" s="28"/>
      <c r="JF7" s="28"/>
      <c r="JG7" s="28"/>
      <c r="JH7" s="28"/>
      <c r="JI7" s="28"/>
      <c r="JJ7" s="28"/>
      <c r="JK7" s="28"/>
      <c r="JL7" s="28"/>
      <c r="JM7" s="28"/>
      <c r="JN7" s="28"/>
      <c r="JO7" s="28"/>
      <c r="JP7" s="28"/>
      <c r="JQ7" s="28"/>
      <c r="JR7" s="28"/>
      <c r="JS7" s="28"/>
      <c r="JT7" s="28"/>
      <c r="JU7" s="28"/>
      <c r="JV7" s="28"/>
      <c r="JW7" s="28"/>
      <c r="JX7" s="28"/>
      <c r="JY7" s="28"/>
      <c r="JZ7" s="28"/>
      <c r="KA7" s="28"/>
      <c r="KB7" s="28"/>
      <c r="KC7" s="28"/>
      <c r="KD7" s="28"/>
      <c r="KE7" s="28"/>
      <c r="KF7" s="28"/>
      <c r="KG7" s="28"/>
      <c r="KH7" s="28"/>
      <c r="KI7" s="28"/>
      <c r="KJ7" s="28"/>
      <c r="KK7" s="28"/>
      <c r="KL7" s="28"/>
      <c r="KM7" s="28"/>
      <c r="KN7" s="28"/>
      <c r="KO7" s="28"/>
      <c r="KP7" s="28"/>
      <c r="KQ7" s="28"/>
      <c r="KR7" s="28"/>
      <c r="KS7" s="28"/>
      <c r="KT7" s="28"/>
      <c r="KU7" s="28"/>
      <c r="KV7" s="28"/>
      <c r="KW7" s="28"/>
      <c r="KX7" s="28"/>
      <c r="KY7" s="28"/>
      <c r="KZ7" s="28"/>
      <c r="LA7" s="28"/>
      <c r="LB7" s="28"/>
      <c r="LC7" s="28"/>
      <c r="LD7" s="28"/>
      <c r="LE7" s="28"/>
      <c r="LF7" s="28"/>
      <c r="LG7" s="28"/>
      <c r="LH7" s="28"/>
      <c r="LI7" s="28"/>
      <c r="LJ7" s="28"/>
      <c r="LK7" s="28"/>
      <c r="LL7" s="28"/>
      <c r="LM7" s="28"/>
      <c r="LN7" s="28"/>
      <c r="LO7" s="28"/>
      <c r="LP7" s="28"/>
      <c r="LQ7" s="28"/>
      <c r="LR7" s="28"/>
      <c r="LS7" s="28"/>
      <c r="LT7" s="28"/>
      <c r="LU7" s="28"/>
      <c r="LV7" s="28"/>
      <c r="LW7" s="28"/>
      <c r="LX7" s="28"/>
      <c r="LY7" s="28"/>
      <c r="LZ7" s="28"/>
      <c r="MA7" s="28"/>
      <c r="MB7" s="28"/>
      <c r="MC7" s="28"/>
      <c r="MD7" s="28"/>
      <c r="ME7" s="28"/>
      <c r="MF7" s="28"/>
      <c r="MG7" s="28"/>
      <c r="MH7" s="28"/>
      <c r="MI7" s="28"/>
      <c r="MJ7" s="28"/>
      <c r="MK7" s="28"/>
      <c r="ML7" s="28"/>
      <c r="MM7" s="28"/>
      <c r="MN7" s="28"/>
      <c r="MO7" s="28"/>
      <c r="MP7" s="28"/>
      <c r="MQ7" s="28"/>
      <c r="MR7" s="28"/>
      <c r="MS7" s="28"/>
      <c r="MT7" s="28"/>
      <c r="MU7" s="28"/>
      <c r="MV7" s="28"/>
      <c r="MW7" s="28"/>
      <c r="MX7" s="28"/>
      <c r="MY7" s="28"/>
      <c r="MZ7" s="28"/>
      <c r="NA7" s="28"/>
      <c r="NB7" s="28"/>
      <c r="NC7" s="28"/>
      <c r="ND7" s="28"/>
      <c r="NE7" s="28"/>
      <c r="NF7" s="28"/>
      <c r="NG7" s="28"/>
      <c r="NH7" s="28"/>
      <c r="NI7" s="28"/>
      <c r="NJ7" s="28"/>
      <c r="NK7" s="28"/>
      <c r="NL7" s="28"/>
      <c r="NM7" s="28"/>
      <c r="NN7" s="28"/>
      <c r="NO7" s="28"/>
      <c r="NP7" s="28"/>
      <c r="NQ7" s="28"/>
      <c r="NR7" s="28"/>
      <c r="NS7" s="28"/>
      <c r="NT7" s="28"/>
      <c r="NU7" s="28"/>
      <c r="NV7" s="28"/>
      <c r="NW7" s="28"/>
      <c r="NX7" s="28"/>
      <c r="NY7" s="28"/>
      <c r="NZ7" s="28"/>
      <c r="OA7" s="28"/>
      <c r="OB7" s="28"/>
      <c r="OC7" s="28"/>
      <c r="OD7" s="28"/>
      <c r="OE7" s="28"/>
      <c r="OF7" s="28"/>
      <c r="OG7" s="28"/>
      <c r="OH7" s="28"/>
      <c r="OI7" s="28"/>
      <c r="OJ7" s="28"/>
      <c r="OK7" s="28"/>
      <c r="OL7" s="28"/>
      <c r="OM7" s="28"/>
      <c r="ON7" s="28"/>
      <c r="OO7" s="28"/>
      <c r="OP7" s="28"/>
      <c r="OQ7" s="28"/>
      <c r="OR7" s="28"/>
      <c r="OS7" s="28"/>
      <c r="OT7" s="28"/>
      <c r="OU7" s="28"/>
      <c r="OV7" s="28"/>
      <c r="OW7" s="28"/>
      <c r="OX7" s="28"/>
      <c r="OY7" s="28"/>
      <c r="OZ7" s="28"/>
      <c r="PA7" s="28"/>
      <c r="PB7" s="28"/>
      <c r="PC7" s="28"/>
      <c r="PD7" s="28"/>
      <c r="PE7" s="28"/>
      <c r="PF7" s="28"/>
      <c r="PG7" s="28"/>
      <c r="PH7" s="28"/>
      <c r="PI7" s="28"/>
      <c r="PJ7" s="28"/>
      <c r="PK7" s="28"/>
      <c r="PL7" s="28"/>
      <c r="PM7" s="28"/>
      <c r="PN7" s="28"/>
      <c r="PO7" s="28"/>
      <c r="PP7" s="28"/>
      <c r="PQ7" s="28"/>
      <c r="PR7" s="28"/>
      <c r="PS7" s="28"/>
      <c r="PT7" s="28"/>
      <c r="PU7" s="28"/>
      <c r="PV7" s="28"/>
      <c r="PW7" s="28"/>
      <c r="PX7" s="28"/>
      <c r="PY7" s="28"/>
      <c r="PZ7" s="28"/>
      <c r="QA7" s="28"/>
      <c r="QB7" s="28"/>
      <c r="QC7" s="28"/>
      <c r="QD7" s="28"/>
      <c r="QE7" s="28"/>
      <c r="QF7" s="28"/>
      <c r="QG7" s="28"/>
      <c r="QH7" s="28"/>
      <c r="QI7" s="28"/>
      <c r="QJ7" s="28"/>
      <c r="QK7" s="28"/>
      <c r="QL7" s="28"/>
      <c r="QM7" s="28"/>
      <c r="QN7" s="28"/>
      <c r="QO7" s="28"/>
      <c r="QP7" s="28"/>
      <c r="QQ7" s="28"/>
      <c r="QR7" s="28"/>
      <c r="QS7" s="28"/>
      <c r="QT7" s="28"/>
      <c r="QU7" s="28"/>
      <c r="QV7" s="28"/>
      <c r="QW7" s="28"/>
      <c r="QX7" s="28"/>
      <c r="QY7" s="28"/>
      <c r="QZ7" s="28"/>
      <c r="RA7" s="28"/>
      <c r="RB7" s="28"/>
      <c r="RC7" s="28"/>
      <c r="RD7" s="28"/>
      <c r="RE7" s="28"/>
      <c r="RF7" s="28"/>
      <c r="RG7" s="28"/>
      <c r="RH7" s="28"/>
      <c r="RI7" s="28"/>
      <c r="RJ7" s="28"/>
      <c r="RK7" s="28"/>
      <c r="RL7" s="28"/>
      <c r="RM7" s="28"/>
      <c r="RN7" s="28"/>
      <c r="RO7" s="28"/>
      <c r="RP7" s="28"/>
      <c r="RQ7" s="28"/>
      <c r="RR7" s="28"/>
      <c r="RS7" s="28"/>
      <c r="RT7" s="28"/>
      <c r="RU7" s="28"/>
      <c r="RV7" s="28"/>
      <c r="RW7" s="28"/>
      <c r="RX7" s="28"/>
      <c r="RY7" s="28"/>
      <c r="RZ7" s="28"/>
      <c r="SA7" s="28"/>
      <c r="SB7" s="28"/>
      <c r="SC7" s="28"/>
      <c r="SD7" s="28"/>
      <c r="SE7" s="28"/>
      <c r="SF7" s="28"/>
      <c r="SG7" s="28"/>
      <c r="SH7" s="28"/>
      <c r="SI7" s="28"/>
      <c r="SJ7" s="28"/>
      <c r="SK7" s="28"/>
      <c r="SL7" s="28"/>
      <c r="SM7" s="28"/>
      <c r="SN7" s="28"/>
      <c r="SO7" s="28"/>
      <c r="SP7" s="28"/>
      <c r="SQ7" s="28"/>
      <c r="SR7" s="28"/>
      <c r="SS7" s="28"/>
      <c r="ST7" s="28"/>
      <c r="SU7" s="28"/>
      <c r="SV7" s="28"/>
      <c r="SW7" s="28"/>
      <c r="SX7" s="28"/>
      <c r="SY7" s="28"/>
      <c r="SZ7" s="28"/>
      <c r="TA7" s="28"/>
      <c r="TB7" s="28"/>
      <c r="TC7" s="28"/>
      <c r="TD7" s="28"/>
      <c r="TE7" s="28"/>
      <c r="TF7" s="28"/>
      <c r="TG7" s="28"/>
      <c r="TH7" s="28"/>
      <c r="TI7" s="28"/>
      <c r="TJ7" s="28"/>
      <c r="TK7" s="28"/>
      <c r="TL7" s="28"/>
      <c r="TM7" s="28"/>
      <c r="TN7" s="28"/>
      <c r="TO7" s="28"/>
      <c r="TP7" s="28"/>
      <c r="TQ7" s="28"/>
      <c r="TR7" s="28"/>
      <c r="TS7" s="28"/>
      <c r="TT7" s="28"/>
      <c r="TU7" s="28"/>
      <c r="TV7" s="28"/>
      <c r="TW7" s="28"/>
      <c r="TX7" s="28"/>
      <c r="TY7" s="28"/>
      <c r="TZ7" s="28"/>
      <c r="UA7" s="28"/>
      <c r="UB7" s="28"/>
      <c r="UC7" s="28"/>
      <c r="UD7" s="28"/>
      <c r="UE7" s="28"/>
      <c r="UF7" s="28"/>
      <c r="UG7" s="28"/>
      <c r="UH7" s="28"/>
      <c r="UI7" s="28"/>
      <c r="UJ7" s="28"/>
      <c r="UK7" s="28"/>
      <c r="UL7" s="28"/>
      <c r="UM7" s="28"/>
      <c r="UN7" s="28"/>
      <c r="UO7" s="28"/>
      <c r="UP7" s="28"/>
      <c r="UQ7" s="28"/>
      <c r="UR7" s="28"/>
      <c r="US7" s="28"/>
      <c r="UT7" s="28"/>
      <c r="UU7" s="28"/>
      <c r="UV7" s="28"/>
      <c r="UW7" s="28"/>
      <c r="UX7" s="28"/>
      <c r="UY7" s="28"/>
      <c r="UZ7" s="28"/>
      <c r="VA7" s="28"/>
      <c r="VB7" s="28"/>
      <c r="VC7" s="28"/>
      <c r="VD7" s="28"/>
      <c r="VE7" s="28"/>
      <c r="VF7" s="28"/>
      <c r="VG7" s="28"/>
      <c r="VH7" s="28"/>
      <c r="VI7" s="28"/>
      <c r="VJ7" s="28"/>
      <c r="VK7" s="28"/>
      <c r="VL7" s="28"/>
      <c r="VM7" s="28"/>
      <c r="VN7" s="28"/>
      <c r="VO7" s="28"/>
      <c r="VP7" s="28"/>
      <c r="VQ7" s="28"/>
      <c r="VR7" s="28"/>
      <c r="VS7" s="28"/>
      <c r="VT7" s="28"/>
      <c r="VU7" s="28"/>
    </row>
    <row r="8" spans="1:593" x14ac:dyDescent="0.3">
      <c r="B8" s="159" t="s">
        <v>4</v>
      </c>
      <c r="C8" s="160"/>
      <c r="D8" s="156">
        <f>House!C4</f>
        <v>0</v>
      </c>
      <c r="E8" s="168"/>
      <c r="K8" s="36"/>
      <c r="M8" s="41" t="str">
        <f>Linkedin!B6</f>
        <v>Education</v>
      </c>
      <c r="N8" s="42" t="str">
        <f>Linkedin!C6</f>
        <v>PhD AuT</v>
      </c>
      <c r="P8" s="43" t="str">
        <f>Linkedin!E6</f>
        <v>Founded</v>
      </c>
      <c r="Q8" s="49">
        <f>Linkedin!F6</f>
        <v>1883</v>
      </c>
      <c r="R8" s="32"/>
      <c r="S8" s="34" t="s">
        <v>559</v>
      </c>
      <c r="U8" s="34"/>
      <c r="V8" s="34"/>
      <c r="AB8" s="36"/>
      <c r="AC8" s="32"/>
      <c r="AD8" s="34" t="s">
        <v>559</v>
      </c>
      <c r="AM8" s="36"/>
      <c r="AN8" s="32"/>
    </row>
    <row r="9" spans="1:593" x14ac:dyDescent="0.3">
      <c r="B9" s="157" t="s">
        <v>5</v>
      </c>
      <c r="C9" s="158"/>
      <c r="D9" s="169">
        <f>House!C5</f>
        <v>0</v>
      </c>
      <c r="E9" s="170"/>
      <c r="K9" s="36"/>
      <c r="M9" s="129" t="str">
        <f>Linkedin!B7</f>
        <v>link</v>
      </c>
      <c r="N9" s="131">
        <f>Linkedin!C7</f>
        <v>0</v>
      </c>
      <c r="P9" s="133" t="str">
        <f>Linkedin!E7</f>
        <v>link</v>
      </c>
      <c r="Q9" s="131" t="str">
        <f>Linkedin!F7</f>
        <v xml:space="preserve">https://www.linkedin.com/school/the-university-of-auckland/?trk=public_profile_topcard_school </v>
      </c>
      <c r="R9" s="32"/>
      <c r="S9" s="34" t="s">
        <v>560</v>
      </c>
      <c r="U9" s="34"/>
      <c r="V9" s="34"/>
      <c r="AB9" s="36"/>
      <c r="AC9" s="32"/>
      <c r="AD9" s="34" t="s">
        <v>560</v>
      </c>
      <c r="AM9" s="36"/>
      <c r="AN9" s="32"/>
    </row>
    <row r="10" spans="1:593" x14ac:dyDescent="0.3">
      <c r="B10" s="159" t="s">
        <v>6</v>
      </c>
      <c r="C10" s="160"/>
      <c r="D10" s="156">
        <f>House!C6</f>
        <v>0</v>
      </c>
      <c r="E10" s="168"/>
      <c r="K10" s="36"/>
      <c r="M10" s="129"/>
      <c r="N10" s="131"/>
      <c r="P10" s="133"/>
      <c r="Q10" s="131"/>
      <c r="S10" s="34" t="s">
        <v>587</v>
      </c>
      <c r="U10" s="34"/>
      <c r="V10" s="34"/>
      <c r="AB10" s="36"/>
      <c r="AC10" s="32"/>
      <c r="AD10" s="34" t="s">
        <v>587</v>
      </c>
      <c r="AM10" s="36"/>
      <c r="AN10" s="32"/>
    </row>
    <row r="11" spans="1:593" x14ac:dyDescent="0.3">
      <c r="B11" s="157" t="s">
        <v>7</v>
      </c>
      <c r="C11" s="158"/>
      <c r="D11" s="169">
        <f>House!C7</f>
        <v>0</v>
      </c>
      <c r="E11" s="170"/>
      <c r="K11" s="36"/>
      <c r="M11" s="129"/>
      <c r="N11" s="131"/>
      <c r="P11" s="133"/>
      <c r="Q11" s="131"/>
      <c r="S11" s="34" t="s">
        <v>588</v>
      </c>
      <c r="U11" s="34"/>
      <c r="V11" s="34"/>
      <c r="AB11" s="36"/>
      <c r="AC11" s="32"/>
      <c r="AD11" s="34" t="s">
        <v>588</v>
      </c>
      <c r="AM11" s="36"/>
      <c r="AN11" s="32"/>
    </row>
    <row r="12" spans="1:593" ht="14.5" customHeight="1" x14ac:dyDescent="0.3">
      <c r="B12" s="159" t="s">
        <v>8</v>
      </c>
      <c r="C12" s="160"/>
      <c r="D12" s="156">
        <f>House!C8</f>
        <v>0</v>
      </c>
      <c r="E12" s="168"/>
      <c r="K12" s="36"/>
      <c r="M12" s="130"/>
      <c r="N12" s="132"/>
      <c r="P12" s="134"/>
      <c r="Q12" s="132"/>
      <c r="S12" s="34" t="s">
        <v>8</v>
      </c>
      <c r="U12" s="34"/>
      <c r="V12" s="34"/>
      <c r="AB12" s="36"/>
      <c r="AC12" s="32"/>
      <c r="AD12" s="34" t="s">
        <v>8</v>
      </c>
      <c r="AM12" s="36"/>
      <c r="AN12" s="32"/>
    </row>
    <row r="13" spans="1:593" x14ac:dyDescent="0.3">
      <c r="B13" s="161" t="s">
        <v>9</v>
      </c>
      <c r="C13" s="162"/>
      <c r="D13" s="171">
        <f>House!C9</f>
        <v>0</v>
      </c>
      <c r="E13" s="172"/>
      <c r="K13" s="36"/>
      <c r="M13" s="28">
        <f>Linkedin!B11</f>
        <v>0</v>
      </c>
      <c r="N13" s="56">
        <f>Linkedin!C11</f>
        <v>0</v>
      </c>
      <c r="P13" s="28">
        <f>Linkedin!E11</f>
        <v>0</v>
      </c>
      <c r="Q13" s="56">
        <f>Linkedin!F11</f>
        <v>0</v>
      </c>
      <c r="S13" s="34" t="s">
        <v>9</v>
      </c>
      <c r="U13" s="34"/>
      <c r="V13" s="34"/>
      <c r="AB13" s="36"/>
      <c r="AC13" s="32"/>
      <c r="AD13" s="34" t="s">
        <v>9</v>
      </c>
      <c r="AM13" s="36"/>
      <c r="AN13" s="32"/>
    </row>
    <row r="14" spans="1:593" ht="14.5" thickBot="1" x14ac:dyDescent="0.35">
      <c r="K14" s="36"/>
      <c r="M14" s="115" t="str">
        <f>Linkedin!B12</f>
        <v>About</v>
      </c>
      <c r="N14" s="116"/>
      <c r="P14" s="123" t="str">
        <f>Linkedin!E12</f>
        <v>About</v>
      </c>
      <c r="Q14" s="116"/>
      <c r="U14" s="34"/>
      <c r="V14" s="34"/>
      <c r="AB14" s="36"/>
      <c r="AC14" s="32"/>
      <c r="AM14" s="36"/>
      <c r="AN14" s="32"/>
    </row>
    <row r="15" spans="1:593" ht="14.5" thickBot="1" x14ac:dyDescent="0.35">
      <c r="B15" s="123" t="s">
        <v>4</v>
      </c>
      <c r="C15" s="115"/>
      <c r="D15" s="115"/>
      <c r="E15" s="116"/>
      <c r="K15" s="36"/>
      <c r="M15" s="117" t="str">
        <f>Linkedin!B13</f>
        <v>test</v>
      </c>
      <c r="N15" s="118"/>
      <c r="P15" s="124"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Q15" s="118"/>
      <c r="S15" s="34" t="s">
        <v>4</v>
      </c>
      <c r="U15" s="34"/>
      <c r="V15" s="34"/>
      <c r="AB15" s="36"/>
      <c r="AC15" s="32"/>
      <c r="AD15" s="34" t="s">
        <v>4</v>
      </c>
      <c r="AM15" s="36"/>
      <c r="AN15" s="32"/>
    </row>
    <row r="16" spans="1:593" x14ac:dyDescent="0.3">
      <c r="B16" s="148" t="s">
        <v>10</v>
      </c>
      <c r="C16" s="149"/>
      <c r="D16" s="173">
        <f>House!C12</f>
        <v>0</v>
      </c>
      <c r="E16" s="186"/>
      <c r="K16" s="36"/>
      <c r="M16" s="119"/>
      <c r="N16" s="120"/>
      <c r="P16" s="125"/>
      <c r="Q16" s="120"/>
      <c r="U16" s="34"/>
      <c r="V16" s="34"/>
      <c r="AB16" s="36"/>
      <c r="AC16" s="32"/>
      <c r="AM16" s="36"/>
      <c r="AN16" s="32"/>
    </row>
    <row r="17" spans="2:154" x14ac:dyDescent="0.3">
      <c r="B17" s="144" t="s">
        <v>11</v>
      </c>
      <c r="C17" s="145"/>
      <c r="D17" s="169">
        <f>House!C13</f>
        <v>0</v>
      </c>
      <c r="E17" s="170"/>
      <c r="K17" s="36"/>
      <c r="M17" s="119"/>
      <c r="N17" s="120"/>
      <c r="P17" s="125"/>
      <c r="Q17" s="120"/>
      <c r="V17" s="34"/>
      <c r="AB17" s="36"/>
      <c r="AC17" s="32"/>
      <c r="AF17" s="35"/>
      <c r="AM17" s="36"/>
      <c r="AN17" s="32"/>
    </row>
    <row r="18" spans="2:154" x14ac:dyDescent="0.3">
      <c r="B18" s="148" t="s">
        <v>12</v>
      </c>
      <c r="C18" s="149"/>
      <c r="D18" s="156">
        <f>House!C14</f>
        <v>0</v>
      </c>
      <c r="E18" s="168"/>
      <c r="K18" s="36"/>
      <c r="M18" s="119"/>
      <c r="N18" s="120"/>
      <c r="P18" s="125"/>
      <c r="Q18" s="120"/>
      <c r="V18" s="34"/>
      <c r="AB18" s="36"/>
      <c r="AC18" s="32"/>
      <c r="AF18" s="35"/>
      <c r="AM18" s="36"/>
      <c r="AN18" s="32"/>
    </row>
    <row r="19" spans="2:154" x14ac:dyDescent="0.3">
      <c r="B19" s="144" t="s">
        <v>13</v>
      </c>
      <c r="C19" s="145"/>
      <c r="D19" s="169">
        <f>House!C15</f>
        <v>0</v>
      </c>
      <c r="E19" s="170"/>
      <c r="K19" s="36"/>
      <c r="M19" s="119"/>
      <c r="N19" s="120"/>
      <c r="P19" s="125"/>
      <c r="Q19" s="120"/>
      <c r="V19" s="34"/>
      <c r="AB19" s="36"/>
      <c r="AC19" s="32"/>
      <c r="AF19" s="35"/>
      <c r="AM19" s="36"/>
      <c r="AN19" s="32"/>
    </row>
    <row r="20" spans="2:154" x14ac:dyDescent="0.3">
      <c r="B20" s="148" t="s">
        <v>14</v>
      </c>
      <c r="C20" s="149"/>
      <c r="D20" s="156">
        <f>House!C16</f>
        <v>0</v>
      </c>
      <c r="E20" s="168"/>
      <c r="K20" s="36"/>
      <c r="M20" s="119"/>
      <c r="N20" s="120"/>
      <c r="P20" s="125"/>
      <c r="Q20" s="120"/>
      <c r="V20" s="34"/>
      <c r="AB20" s="36"/>
      <c r="AC20" s="32"/>
      <c r="AF20" s="35"/>
      <c r="AM20" s="36"/>
      <c r="AN20" s="32"/>
    </row>
    <row r="21" spans="2:154" x14ac:dyDescent="0.3">
      <c r="B21" s="144" t="s">
        <v>16</v>
      </c>
      <c r="C21" s="145"/>
      <c r="D21" s="169">
        <f>House!C17</f>
        <v>0</v>
      </c>
      <c r="E21" s="170"/>
      <c r="K21" s="36"/>
      <c r="M21" s="119"/>
      <c r="N21" s="120"/>
      <c r="P21" s="125"/>
      <c r="Q21" s="120"/>
      <c r="V21" s="34"/>
      <c r="AB21" s="36"/>
      <c r="AC21" s="32"/>
      <c r="AF21" s="35"/>
      <c r="AM21" s="36"/>
      <c r="AN21" s="32"/>
    </row>
    <row r="22" spans="2:154" x14ac:dyDescent="0.3">
      <c r="B22" s="148" t="s">
        <v>17</v>
      </c>
      <c r="C22" s="149"/>
      <c r="D22" s="156">
        <f>House!C18</f>
        <v>0</v>
      </c>
      <c r="E22" s="168"/>
      <c r="K22" s="36"/>
      <c r="M22" s="119"/>
      <c r="N22" s="120"/>
      <c r="P22" s="125"/>
      <c r="Q22" s="120"/>
      <c r="V22" s="34"/>
      <c r="AB22" s="36"/>
      <c r="AC22" s="32"/>
      <c r="AF22" s="35"/>
      <c r="AM22" s="36"/>
      <c r="AN22" s="32"/>
    </row>
    <row r="23" spans="2:154" x14ac:dyDescent="0.3">
      <c r="B23" s="152" t="s">
        <v>18</v>
      </c>
      <c r="C23" s="153"/>
      <c r="D23" s="171">
        <f>House!C19</f>
        <v>0</v>
      </c>
      <c r="E23" s="172"/>
      <c r="K23" s="36"/>
      <c r="M23" s="119"/>
      <c r="N23" s="120"/>
      <c r="P23" s="125"/>
      <c r="Q23" s="120"/>
      <c r="S23" s="34" t="s">
        <v>18</v>
      </c>
      <c r="U23" s="34">
        <f>House!T19</f>
        <v>0</v>
      </c>
      <c r="V23" s="34"/>
      <c r="AB23" s="36"/>
      <c r="AC23" s="32"/>
      <c r="AD23" s="34" t="s">
        <v>18</v>
      </c>
      <c r="AF23" s="34">
        <f>House!AE19</f>
        <v>0</v>
      </c>
      <c r="AM23" s="36"/>
      <c r="AN23" s="32"/>
    </row>
    <row r="24" spans="2:154" x14ac:dyDescent="0.3">
      <c r="K24" s="36"/>
      <c r="M24" s="119"/>
      <c r="N24" s="120"/>
      <c r="P24" s="125"/>
      <c r="Q24" s="120"/>
      <c r="U24" s="34"/>
      <c r="V24" s="34"/>
      <c r="AB24" s="36"/>
      <c r="AC24" s="32"/>
      <c r="AM24" s="36"/>
      <c r="AN24" s="32"/>
    </row>
    <row r="25" spans="2:154" ht="14.5" thickBot="1" x14ac:dyDescent="0.35">
      <c r="B25" s="123" t="s">
        <v>19</v>
      </c>
      <c r="C25" s="115"/>
      <c r="D25" s="115"/>
      <c r="E25" s="116"/>
      <c r="K25" s="36"/>
      <c r="M25" s="119"/>
      <c r="N25" s="120"/>
      <c r="P25" s="125"/>
      <c r="Q25" s="120"/>
      <c r="R25" s="32"/>
      <c r="S25" s="34" t="s">
        <v>19</v>
      </c>
      <c r="U25" s="34"/>
      <c r="V25" s="34"/>
      <c r="AB25" s="36"/>
      <c r="AC25" s="32"/>
      <c r="AD25" s="34" t="s">
        <v>19</v>
      </c>
      <c r="AM25" s="36"/>
      <c r="AN25" s="32"/>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c r="CE25" s="28"/>
      <c r="CF25" s="28"/>
      <c r="CG25" s="28"/>
      <c r="CH25" s="28"/>
      <c r="CI25" s="28"/>
      <c r="CJ25" s="28"/>
      <c r="CK25" s="28"/>
      <c r="CL25" s="28"/>
      <c r="CM25" s="28"/>
      <c r="CN25" s="28"/>
      <c r="CO25" s="28"/>
      <c r="CP25" s="28"/>
      <c r="CQ25" s="28"/>
      <c r="CR25" s="28"/>
      <c r="CS25" s="28"/>
      <c r="CT25" s="28"/>
      <c r="CU25" s="28"/>
      <c r="CV25" s="28"/>
      <c r="CW25" s="28"/>
      <c r="CX25" s="28"/>
      <c r="CY25" s="28"/>
      <c r="CZ25" s="28"/>
      <c r="DA25" s="28"/>
      <c r="DB25" s="28"/>
      <c r="DC25" s="28"/>
      <c r="DD25" s="28"/>
      <c r="DE25" s="28"/>
      <c r="DF25" s="28"/>
      <c r="DG25" s="28"/>
      <c r="DH25" s="28"/>
      <c r="DI25" s="28"/>
      <c r="DJ25" s="28"/>
      <c r="DK25" s="28"/>
      <c r="DL25" s="28"/>
      <c r="DM25" s="28"/>
      <c r="DN25" s="28"/>
      <c r="DO25" s="28"/>
      <c r="DP25" s="28"/>
      <c r="DQ25" s="28"/>
      <c r="DR25" s="28"/>
      <c r="DS25" s="28"/>
      <c r="DT25" s="28"/>
      <c r="DU25" s="28"/>
      <c r="DV25" s="28"/>
      <c r="DW25" s="28"/>
      <c r="DX25" s="28"/>
      <c r="DY25" s="28"/>
      <c r="DZ25" s="28"/>
      <c r="EA25" s="28"/>
      <c r="EB25" s="28"/>
      <c r="EC25" s="28"/>
      <c r="ED25" s="28"/>
      <c r="EE25" s="28"/>
      <c r="EF25" s="28"/>
      <c r="EG25" s="28"/>
      <c r="EH25" s="28"/>
      <c r="EI25" s="28"/>
      <c r="EJ25" s="28"/>
      <c r="EK25" s="28"/>
      <c r="EL25" s="28"/>
      <c r="EM25" s="28"/>
      <c r="EN25" s="28"/>
      <c r="EO25" s="28"/>
      <c r="EP25" s="28"/>
      <c r="EQ25" s="28"/>
      <c r="ER25" s="28"/>
      <c r="ES25" s="28"/>
      <c r="ET25" s="28"/>
      <c r="EU25" s="28"/>
      <c r="EV25" s="28"/>
      <c r="EW25" s="28"/>
      <c r="EX25" s="28"/>
    </row>
    <row r="26" spans="2:154" x14ac:dyDescent="0.3">
      <c r="B26" s="183">
        <f>House!B22</f>
        <v>0</v>
      </c>
      <c r="C26" s="184"/>
      <c r="D26" s="184">
        <f>House!C22</f>
        <v>0</v>
      </c>
      <c r="E26" s="185"/>
      <c r="K26" s="36"/>
      <c r="M26" s="119"/>
      <c r="N26" s="120"/>
      <c r="P26" s="125"/>
      <c r="Q26" s="120"/>
      <c r="R26" s="32"/>
      <c r="S26" s="34">
        <f>House!S22</f>
        <v>0</v>
      </c>
      <c r="U26" s="34">
        <f>House!T22</f>
        <v>0</v>
      </c>
      <c r="V26" s="34"/>
      <c r="AB26" s="36"/>
      <c r="AC26" s="32"/>
      <c r="AD26" s="34">
        <f>House!AD22</f>
        <v>0</v>
      </c>
      <c r="AF26" s="34">
        <f>House!AE22</f>
        <v>0</v>
      </c>
      <c r="AM26" s="36"/>
      <c r="AN26" s="32"/>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c r="DH26" s="28"/>
      <c r="DI26" s="28"/>
      <c r="DJ26" s="28"/>
      <c r="DK26" s="28"/>
      <c r="DL26" s="28"/>
      <c r="DM26" s="28"/>
      <c r="DN26" s="28"/>
      <c r="DO26" s="28"/>
      <c r="DP26" s="28"/>
      <c r="DQ26" s="28"/>
      <c r="DR26" s="28"/>
      <c r="DS26" s="28"/>
      <c r="DT26" s="28"/>
      <c r="DU26" s="28"/>
      <c r="DV26" s="28"/>
      <c r="DW26" s="28"/>
      <c r="DX26" s="28"/>
      <c r="DY26" s="28"/>
      <c r="DZ26" s="28"/>
      <c r="EA26" s="28"/>
      <c r="EB26" s="28"/>
      <c r="EC26" s="28"/>
      <c r="ED26" s="28"/>
      <c r="EE26" s="28"/>
      <c r="EF26" s="28"/>
      <c r="EG26" s="28"/>
      <c r="EH26" s="28"/>
      <c r="EI26" s="28"/>
      <c r="EJ26" s="28"/>
      <c r="EK26" s="28"/>
      <c r="EL26" s="28"/>
      <c r="EM26" s="28"/>
      <c r="EN26" s="28"/>
      <c r="EO26" s="28"/>
      <c r="EP26" s="28"/>
      <c r="EQ26" s="28"/>
      <c r="ER26" s="28"/>
      <c r="ES26" s="28"/>
      <c r="ET26" s="28"/>
      <c r="EU26" s="28"/>
      <c r="EV26" s="28"/>
      <c r="EW26" s="28"/>
      <c r="EX26" s="28"/>
    </row>
    <row r="27" spans="2:154" x14ac:dyDescent="0.3">
      <c r="B27" s="180">
        <f>House!B23</f>
        <v>0</v>
      </c>
      <c r="C27" s="181"/>
      <c r="D27" s="181">
        <f>House!C23</f>
        <v>0</v>
      </c>
      <c r="E27" s="182"/>
      <c r="K27" s="36"/>
      <c r="M27" s="119"/>
      <c r="N27" s="120"/>
      <c r="P27" s="125"/>
      <c r="Q27" s="120"/>
      <c r="R27" s="32"/>
      <c r="S27" s="34">
        <f>House!S23</f>
        <v>0</v>
      </c>
      <c r="U27" s="34">
        <f>House!T23</f>
        <v>0</v>
      </c>
      <c r="V27" s="34"/>
      <c r="AB27" s="36"/>
      <c r="AC27" s="32"/>
      <c r="AD27" s="34">
        <f>House!AD23</f>
        <v>0</v>
      </c>
      <c r="AF27" s="34">
        <f>House!AE23</f>
        <v>0</v>
      </c>
      <c r="AM27" s="36"/>
      <c r="AN27" s="32"/>
      <c r="AO27" s="28"/>
      <c r="AP27" s="28"/>
      <c r="AQ27" s="28"/>
      <c r="AR27" s="28"/>
      <c r="AS27" s="28"/>
      <c r="AT27" s="28"/>
      <c r="AU27" s="28"/>
      <c r="AV27" s="28"/>
      <c r="AW27" s="28"/>
      <c r="AX27" s="28"/>
      <c r="AY27" s="28"/>
      <c r="AZ27" s="28"/>
      <c r="BA27" s="28"/>
      <c r="BB27" s="28"/>
      <c r="BC27" s="28"/>
      <c r="BD27" s="28"/>
      <c r="BE27" s="28"/>
      <c r="BF27" s="28"/>
      <c r="BG27" s="28"/>
      <c r="BH27" s="28"/>
      <c r="BI27" s="28"/>
      <c r="BJ27" s="28"/>
      <c r="BK27" s="28"/>
      <c r="BL27" s="28"/>
      <c r="BM27" s="28"/>
      <c r="BN27" s="28"/>
      <c r="BO27" s="28"/>
      <c r="BP27" s="28"/>
      <c r="BQ27" s="28"/>
      <c r="BR27" s="28"/>
      <c r="BS27" s="28"/>
      <c r="BT27" s="28"/>
      <c r="BU27" s="28"/>
      <c r="BV27" s="28"/>
      <c r="BW27" s="28"/>
      <c r="BX27" s="28"/>
      <c r="BY27" s="28"/>
      <c r="BZ27" s="28"/>
      <c r="CA27" s="28"/>
      <c r="CB27" s="28"/>
      <c r="CC27" s="28"/>
      <c r="CD27" s="28"/>
      <c r="CE27" s="28"/>
      <c r="CF27" s="28"/>
      <c r="CG27" s="28"/>
      <c r="CH27" s="28"/>
      <c r="CI27" s="28"/>
      <c r="CJ27" s="28"/>
      <c r="CK27" s="28"/>
      <c r="CL27" s="28"/>
      <c r="CM27" s="28"/>
      <c r="CN27" s="28"/>
      <c r="CO27" s="28"/>
      <c r="CP27" s="28"/>
      <c r="CQ27" s="28"/>
      <c r="CR27" s="28"/>
      <c r="CS27" s="28"/>
      <c r="CT27" s="28"/>
      <c r="CU27" s="28"/>
      <c r="CV27" s="28"/>
      <c r="CW27" s="28"/>
      <c r="CX27" s="28"/>
      <c r="CY27" s="28"/>
      <c r="CZ27" s="28"/>
      <c r="DA27" s="28"/>
      <c r="DB27" s="28"/>
      <c r="DC27" s="28"/>
      <c r="DD27" s="28"/>
      <c r="DE27" s="28"/>
      <c r="DF27" s="28"/>
      <c r="DG27" s="28"/>
      <c r="DH27" s="28"/>
      <c r="DI27" s="28"/>
      <c r="DJ27" s="28"/>
      <c r="DK27" s="28"/>
      <c r="DL27" s="28"/>
      <c r="DM27" s="28"/>
      <c r="DN27" s="28"/>
      <c r="DO27" s="28"/>
      <c r="DP27" s="28"/>
      <c r="DQ27" s="28"/>
      <c r="DR27" s="28"/>
      <c r="DS27" s="28"/>
      <c r="DT27" s="28"/>
      <c r="DU27" s="28"/>
      <c r="DV27" s="28"/>
      <c r="DW27" s="28"/>
      <c r="DX27" s="28"/>
      <c r="DY27" s="28"/>
      <c r="DZ27" s="28"/>
      <c r="EA27" s="28"/>
      <c r="EB27" s="28"/>
      <c r="EC27" s="28"/>
      <c r="ED27" s="28"/>
      <c r="EE27" s="28"/>
      <c r="EF27" s="28"/>
      <c r="EG27" s="28"/>
      <c r="EH27" s="28"/>
      <c r="EI27" s="28"/>
      <c r="EJ27" s="28"/>
      <c r="EK27" s="28"/>
      <c r="EL27" s="28"/>
      <c r="EM27" s="28"/>
      <c r="EN27" s="28"/>
      <c r="EO27" s="28"/>
      <c r="EP27" s="28"/>
      <c r="EQ27" s="28"/>
      <c r="ER27" s="28"/>
      <c r="ES27" s="28"/>
      <c r="ET27" s="28"/>
      <c r="EU27" s="28"/>
      <c r="EV27" s="28"/>
      <c r="EW27" s="28"/>
      <c r="EX27" s="28"/>
    </row>
    <row r="28" spans="2:154" x14ac:dyDescent="0.3">
      <c r="B28" s="183">
        <f>House!B24</f>
        <v>0</v>
      </c>
      <c r="C28" s="184"/>
      <c r="D28" s="184">
        <f>House!C24</f>
        <v>0</v>
      </c>
      <c r="E28" s="185"/>
      <c r="K28" s="36"/>
      <c r="M28" s="119"/>
      <c r="N28" s="120"/>
      <c r="P28" s="125"/>
      <c r="Q28" s="120"/>
      <c r="R28" s="32"/>
      <c r="S28" s="34">
        <f>House!S24</f>
        <v>0</v>
      </c>
      <c r="U28" s="34">
        <f>House!T24</f>
        <v>0</v>
      </c>
      <c r="V28" s="34"/>
      <c r="AB28" s="36"/>
      <c r="AC28" s="32"/>
      <c r="AD28" s="34">
        <f>House!AD24</f>
        <v>0</v>
      </c>
      <c r="AF28" s="34">
        <f>House!AE24</f>
        <v>0</v>
      </c>
      <c r="AM28" s="36"/>
      <c r="AN28" s="32"/>
      <c r="AO28" s="28"/>
      <c r="AP28" s="28"/>
      <c r="AQ28" s="28"/>
      <c r="AR28" s="28"/>
      <c r="AS28" s="28"/>
      <c r="AT28" s="28"/>
      <c r="AU28" s="28"/>
      <c r="AV28" s="28"/>
      <c r="AW28" s="28"/>
      <c r="AX28" s="28"/>
      <c r="AY28" s="28"/>
      <c r="AZ28" s="28"/>
      <c r="BA28" s="28"/>
      <c r="BB28" s="28"/>
      <c r="BC28" s="28"/>
      <c r="BD28" s="28"/>
      <c r="BE28" s="28"/>
      <c r="BF28" s="28"/>
      <c r="BG28" s="28"/>
      <c r="BH28" s="28"/>
      <c r="BI28" s="28"/>
      <c r="BJ28" s="28"/>
      <c r="BK28" s="28"/>
      <c r="BL28" s="28"/>
      <c r="BM28" s="28"/>
      <c r="BN28" s="28"/>
      <c r="BO28" s="28"/>
      <c r="BP28" s="28"/>
      <c r="BQ28" s="28"/>
      <c r="BR28" s="28"/>
      <c r="BS28" s="28"/>
      <c r="BT28" s="28"/>
      <c r="BU28" s="28"/>
      <c r="BV28" s="28"/>
      <c r="BW28" s="28"/>
      <c r="BX28" s="28"/>
      <c r="BY28" s="28"/>
      <c r="BZ28" s="28"/>
      <c r="CA28" s="28"/>
      <c r="CB28" s="28"/>
      <c r="CC28" s="28"/>
      <c r="CD28" s="28"/>
      <c r="CE28" s="28"/>
      <c r="CF28" s="28"/>
      <c r="CG28" s="28"/>
      <c r="CH28" s="28"/>
      <c r="CI28" s="28"/>
      <c r="CJ28" s="28"/>
      <c r="CK28" s="28"/>
      <c r="CL28" s="28"/>
      <c r="CM28" s="28"/>
      <c r="CN28" s="28"/>
      <c r="CO28" s="28"/>
      <c r="CP28" s="28"/>
      <c r="CQ28" s="28"/>
      <c r="CR28" s="28"/>
      <c r="CS28" s="28"/>
      <c r="CT28" s="28"/>
      <c r="CU28" s="28"/>
      <c r="CV28" s="28"/>
      <c r="CW28" s="28"/>
      <c r="CX28" s="28"/>
      <c r="CY28" s="28"/>
      <c r="CZ28" s="28"/>
      <c r="DA28" s="28"/>
      <c r="DB28" s="28"/>
      <c r="DC28" s="28"/>
      <c r="DD28" s="28"/>
      <c r="DE28" s="28"/>
      <c r="DF28" s="28"/>
      <c r="DG28" s="28"/>
      <c r="DH28" s="28"/>
      <c r="DI28" s="28"/>
      <c r="DJ28" s="28"/>
      <c r="DK28" s="28"/>
      <c r="DL28" s="28"/>
      <c r="DM28" s="28"/>
      <c r="DN28" s="28"/>
      <c r="DO28" s="28"/>
      <c r="DP28" s="28"/>
      <c r="DQ28" s="28"/>
      <c r="DR28" s="28"/>
      <c r="DS28" s="28"/>
      <c r="DT28" s="28"/>
      <c r="DU28" s="28"/>
      <c r="DV28" s="28"/>
      <c r="DW28" s="28"/>
      <c r="DX28" s="28"/>
      <c r="DY28" s="28"/>
      <c r="DZ28" s="28"/>
      <c r="EA28" s="28"/>
      <c r="EB28" s="28"/>
      <c r="EC28" s="28"/>
      <c r="ED28" s="28"/>
      <c r="EE28" s="28"/>
      <c r="EF28" s="28"/>
      <c r="EG28" s="28"/>
      <c r="EH28" s="28"/>
      <c r="EI28" s="28"/>
      <c r="EJ28" s="28"/>
      <c r="EK28" s="28"/>
      <c r="EL28" s="28"/>
      <c r="EM28" s="28"/>
      <c r="EN28" s="28"/>
      <c r="EO28" s="28"/>
      <c r="EP28" s="28"/>
      <c r="EQ28" s="28"/>
      <c r="ER28" s="28"/>
      <c r="ES28" s="28"/>
      <c r="ET28" s="28"/>
      <c r="EU28" s="28"/>
      <c r="EV28" s="28"/>
      <c r="EW28" s="28"/>
      <c r="EX28" s="28"/>
    </row>
    <row r="29" spans="2:154" x14ac:dyDescent="0.3">
      <c r="B29" s="180">
        <f>House!B25</f>
        <v>0</v>
      </c>
      <c r="C29" s="181"/>
      <c r="D29" s="181">
        <f>House!C25</f>
        <v>0</v>
      </c>
      <c r="E29" s="182"/>
      <c r="K29" s="36"/>
      <c r="M29" s="119"/>
      <c r="N29" s="120"/>
      <c r="P29" s="125"/>
      <c r="Q29" s="120"/>
      <c r="S29" s="34">
        <f>House!S25</f>
        <v>0</v>
      </c>
      <c r="U29" s="34">
        <f>House!T25</f>
        <v>0</v>
      </c>
      <c r="V29" s="34"/>
      <c r="AB29" s="36"/>
      <c r="AC29" s="32"/>
      <c r="AD29" s="34">
        <f>House!AD25</f>
        <v>0</v>
      </c>
      <c r="AF29" s="34">
        <f>House!AE25</f>
        <v>0</v>
      </c>
      <c r="AM29" s="36"/>
      <c r="AN29" s="32"/>
      <c r="AO29" s="28"/>
      <c r="AP29" s="28"/>
      <c r="AQ29" s="28"/>
      <c r="AR29" s="28"/>
      <c r="AS29" s="28"/>
      <c r="AT29" s="28"/>
      <c r="AU29" s="28"/>
      <c r="AV29" s="28"/>
      <c r="AW29" s="28"/>
      <c r="AX29" s="28"/>
      <c r="AY29" s="28"/>
      <c r="AZ29" s="28"/>
      <c r="BA29" s="28"/>
      <c r="BB29" s="28"/>
      <c r="BC29" s="28"/>
      <c r="BD29" s="28"/>
      <c r="BE29" s="28"/>
      <c r="BF29" s="28"/>
      <c r="BG29" s="28"/>
      <c r="BH29" s="28"/>
      <c r="BI29" s="28"/>
      <c r="BJ29" s="28"/>
      <c r="BK29" s="28"/>
      <c r="BL29" s="28"/>
      <c r="BM29" s="28"/>
      <c r="BN29" s="28"/>
      <c r="BO29" s="28"/>
      <c r="BP29" s="28"/>
      <c r="BQ29" s="28"/>
      <c r="BR29" s="28"/>
      <c r="BS29" s="28"/>
      <c r="BT29" s="28"/>
      <c r="BU29" s="28"/>
      <c r="BV29" s="28"/>
      <c r="BW29" s="28"/>
      <c r="BX29" s="28"/>
      <c r="BY29" s="28"/>
      <c r="BZ29" s="28"/>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c r="DA29" s="28"/>
      <c r="DB29" s="28"/>
      <c r="DC29" s="28"/>
      <c r="DD29" s="28"/>
      <c r="DE29" s="28"/>
      <c r="DF29" s="28"/>
      <c r="DG29" s="28"/>
      <c r="DH29" s="28"/>
      <c r="DI29" s="28"/>
      <c r="DJ29" s="28"/>
      <c r="DK29" s="28"/>
      <c r="DL29" s="28"/>
      <c r="DM29" s="28"/>
      <c r="DN29" s="28"/>
      <c r="DO29" s="28"/>
      <c r="DP29" s="28"/>
      <c r="DQ29" s="28"/>
      <c r="DR29" s="28"/>
      <c r="DS29" s="28"/>
      <c r="DT29" s="28"/>
      <c r="DU29" s="28"/>
      <c r="DV29" s="28"/>
      <c r="DW29" s="28"/>
      <c r="DX29" s="28"/>
      <c r="DY29" s="28"/>
      <c r="DZ29" s="28"/>
      <c r="EA29" s="28"/>
      <c r="EB29" s="28"/>
      <c r="EC29" s="28"/>
      <c r="ED29" s="28"/>
      <c r="EE29" s="28"/>
      <c r="EF29" s="28"/>
      <c r="EG29" s="28"/>
      <c r="EH29" s="28"/>
      <c r="EI29" s="28"/>
      <c r="EJ29" s="28"/>
      <c r="EK29" s="28"/>
      <c r="EL29" s="28"/>
      <c r="EM29" s="28"/>
      <c r="EN29" s="28"/>
      <c r="EO29" s="28"/>
      <c r="EP29" s="28"/>
      <c r="EQ29" s="28"/>
      <c r="ER29" s="28"/>
      <c r="ES29" s="28"/>
      <c r="ET29" s="28"/>
      <c r="EU29" s="28"/>
      <c r="EV29" s="28"/>
      <c r="EW29" s="28"/>
      <c r="EX29" s="28"/>
    </row>
    <row r="30" spans="2:154" x14ac:dyDescent="0.3">
      <c r="B30" s="177">
        <f>House!B26</f>
        <v>0</v>
      </c>
      <c r="C30" s="178"/>
      <c r="D30" s="178">
        <f>House!C26</f>
        <v>0</v>
      </c>
      <c r="E30" s="179"/>
      <c r="K30" s="36"/>
      <c r="M30" s="119"/>
      <c r="N30" s="120"/>
      <c r="P30" s="125"/>
      <c r="Q30" s="120"/>
      <c r="S30" s="34">
        <f>House!S26</f>
        <v>0</v>
      </c>
      <c r="U30" s="34">
        <f>House!T26</f>
        <v>0</v>
      </c>
      <c r="V30" s="34"/>
      <c r="AB30" s="36"/>
      <c r="AC30" s="32"/>
      <c r="AD30" s="34">
        <f>House!AD26</f>
        <v>0</v>
      </c>
      <c r="AF30" s="34">
        <f>House!AE26</f>
        <v>0</v>
      </c>
      <c r="AM30" s="36"/>
      <c r="AN30" s="32"/>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row>
    <row r="31" spans="2:154" x14ac:dyDescent="0.3">
      <c r="K31" s="36"/>
      <c r="M31" s="119"/>
      <c r="N31" s="120"/>
      <c r="P31" s="125"/>
      <c r="Q31" s="120"/>
      <c r="AB31" s="36"/>
      <c r="AC31" s="32"/>
      <c r="AF31" s="35"/>
      <c r="AG31" s="35"/>
      <c r="AM31" s="36"/>
      <c r="AN31" s="32"/>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c r="DH31" s="28"/>
      <c r="DI31" s="28"/>
      <c r="DJ31" s="28"/>
      <c r="DK31" s="28"/>
      <c r="DL31" s="28"/>
      <c r="DM31" s="28"/>
      <c r="DN31" s="28"/>
      <c r="DO31" s="28"/>
      <c r="DP31" s="28"/>
      <c r="DQ31" s="28"/>
      <c r="DR31" s="28"/>
      <c r="DS31" s="28"/>
      <c r="DT31" s="28"/>
      <c r="DU31" s="28"/>
      <c r="DV31" s="28"/>
      <c r="DW31" s="28"/>
      <c r="DX31" s="28"/>
      <c r="DY31" s="28"/>
      <c r="DZ31" s="28"/>
      <c r="EA31" s="28"/>
      <c r="EB31" s="28"/>
      <c r="EC31" s="28"/>
      <c r="ED31" s="28"/>
      <c r="EE31" s="28"/>
      <c r="EF31" s="28"/>
      <c r="EG31" s="28"/>
      <c r="EH31" s="28"/>
      <c r="EI31" s="28"/>
      <c r="EJ31" s="28"/>
      <c r="EK31" s="28"/>
      <c r="EL31" s="28"/>
      <c r="EM31" s="28"/>
      <c r="EN31" s="28"/>
      <c r="EO31" s="28"/>
      <c r="EP31" s="28"/>
      <c r="EQ31" s="28"/>
      <c r="ER31" s="28"/>
      <c r="ES31" s="28"/>
      <c r="ET31" s="28"/>
      <c r="EU31" s="28"/>
      <c r="EV31" s="28"/>
      <c r="EW31" s="28"/>
      <c r="EX31" s="28"/>
    </row>
    <row r="32" spans="2:154" ht="14.5" thickBot="1" x14ac:dyDescent="0.35">
      <c r="B32" s="57"/>
      <c r="C32" s="57"/>
      <c r="D32" s="58"/>
      <c r="E32" s="58"/>
      <c r="F32" s="57"/>
      <c r="G32" s="57"/>
      <c r="H32" s="57"/>
      <c r="I32" s="57"/>
      <c r="J32" s="57"/>
      <c r="K32" s="57"/>
      <c r="M32" s="119"/>
      <c r="N32" s="120"/>
      <c r="P32" s="125"/>
      <c r="Q32" s="120"/>
      <c r="S32" s="57"/>
      <c r="T32" s="57"/>
      <c r="U32" s="58"/>
      <c r="V32" s="58"/>
      <c r="W32" s="57"/>
      <c r="X32" s="57"/>
      <c r="Y32" s="57"/>
      <c r="Z32" s="57"/>
      <c r="AA32" s="57"/>
      <c r="AB32" s="57"/>
      <c r="AC32" s="32"/>
      <c r="AD32" s="57"/>
      <c r="AE32" s="57"/>
      <c r="AF32" s="58"/>
      <c r="AG32" s="58"/>
      <c r="AH32" s="57"/>
      <c r="AI32" s="57"/>
      <c r="AJ32" s="57"/>
      <c r="AK32" s="57"/>
      <c r="AL32" s="57"/>
      <c r="AM32" s="57"/>
      <c r="AN32" s="32"/>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c r="BM32" s="28"/>
      <c r="BN32" s="28"/>
      <c r="BO32" s="28"/>
      <c r="BP32" s="28"/>
      <c r="BQ32" s="28"/>
      <c r="BR32" s="28"/>
      <c r="BS32" s="28"/>
      <c r="BT32" s="28"/>
      <c r="BU32" s="28"/>
      <c r="BV32" s="28"/>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c r="DA32" s="28"/>
      <c r="DB32" s="28"/>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28"/>
      <c r="EK32" s="28"/>
      <c r="EL32" s="28"/>
      <c r="EM32" s="28"/>
      <c r="EN32" s="28"/>
      <c r="EO32" s="28"/>
      <c r="EP32" s="28"/>
      <c r="EQ32" s="28"/>
      <c r="ER32" s="28"/>
      <c r="ES32" s="28"/>
      <c r="ET32" s="28"/>
      <c r="EU32" s="28"/>
      <c r="EV32" s="28"/>
      <c r="EW32" s="28"/>
      <c r="EX32" s="28"/>
    </row>
    <row r="33" spans="2:154" ht="15" customHeight="1" thickTop="1" x14ac:dyDescent="0.3">
      <c r="B33" s="163">
        <f>House!E1</f>
        <v>2</v>
      </c>
      <c r="C33" s="163"/>
      <c r="D33" s="163"/>
      <c r="E33" s="163"/>
      <c r="F33" s="163"/>
      <c r="G33" s="163"/>
      <c r="H33" s="163"/>
      <c r="I33" s="163"/>
      <c r="J33" s="163"/>
      <c r="K33" s="163"/>
      <c r="M33" s="119"/>
      <c r="N33" s="120"/>
      <c r="P33" s="125"/>
      <c r="Q33" s="120"/>
      <c r="S33" s="113" t="s">
        <v>594</v>
      </c>
      <c r="T33" s="113"/>
      <c r="U33" s="113"/>
      <c r="V33" s="113"/>
      <c r="W33" s="113"/>
      <c r="X33" s="113"/>
      <c r="Y33" s="113"/>
      <c r="Z33" s="113"/>
      <c r="AA33" s="113"/>
      <c r="AB33" s="113"/>
      <c r="AC33" s="32"/>
      <c r="AD33" s="113"/>
      <c r="AE33" s="113"/>
      <c r="AF33" s="113"/>
      <c r="AG33" s="113"/>
      <c r="AH33" s="113"/>
      <c r="AI33" s="113"/>
      <c r="AJ33" s="113"/>
      <c r="AK33" s="113"/>
      <c r="AL33" s="113"/>
      <c r="AM33" s="113"/>
      <c r="AN33" s="32"/>
      <c r="AO33" s="28"/>
      <c r="AP33" s="28"/>
      <c r="AQ33" s="28"/>
      <c r="AR33" s="28"/>
      <c r="AS33" s="28"/>
      <c r="AT33" s="28"/>
      <c r="AU33" s="28"/>
      <c r="AV33" s="28"/>
      <c r="AW33" s="28"/>
      <c r="AX33" s="28"/>
      <c r="AY33" s="28"/>
      <c r="AZ33" s="28"/>
      <c r="BA33" s="28"/>
      <c r="BB33" s="28"/>
      <c r="BC33" s="28"/>
      <c r="BD33" s="28"/>
      <c r="BE33" s="28"/>
      <c r="BF33" s="28"/>
      <c r="BG33" s="28"/>
      <c r="BH33" s="28"/>
      <c r="BI33" s="28"/>
      <c r="BJ33" s="28"/>
      <c r="BK33" s="28"/>
      <c r="BL33" s="28"/>
      <c r="BM33" s="28"/>
      <c r="BN33" s="28"/>
      <c r="BO33" s="28"/>
      <c r="BP33" s="28"/>
      <c r="BQ33" s="28"/>
      <c r="BR33" s="28"/>
      <c r="BS33" s="28"/>
      <c r="BT33" s="28"/>
      <c r="BU33" s="28"/>
      <c r="BV33" s="28"/>
      <c r="BW33" s="28"/>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c r="DA33" s="28"/>
      <c r="DB33" s="28"/>
      <c r="DC33" s="28"/>
      <c r="DD33" s="28"/>
      <c r="DE33" s="28"/>
      <c r="DF33" s="28"/>
      <c r="DG33" s="28"/>
      <c r="DH33" s="28"/>
      <c r="DI33" s="28"/>
      <c r="DJ33" s="28"/>
      <c r="DK33" s="28"/>
      <c r="DL33" s="28"/>
      <c r="DM33" s="28"/>
      <c r="DN33" s="28"/>
      <c r="DO33" s="28"/>
      <c r="DP33" s="28"/>
      <c r="DQ33" s="28"/>
      <c r="DR33" s="28"/>
      <c r="DS33" s="28"/>
      <c r="DT33" s="28"/>
      <c r="DU33" s="28"/>
      <c r="DV33" s="28"/>
      <c r="DW33" s="28"/>
      <c r="DX33" s="28"/>
      <c r="DY33" s="28"/>
      <c r="DZ33" s="28"/>
      <c r="EA33" s="28"/>
      <c r="EB33" s="28"/>
      <c r="EC33" s="28"/>
      <c r="ED33" s="28"/>
      <c r="EE33" s="28"/>
      <c r="EF33" s="28"/>
      <c r="EG33" s="28"/>
      <c r="EH33" s="28"/>
      <c r="EI33" s="28"/>
      <c r="EJ33" s="28"/>
      <c r="EK33" s="28"/>
      <c r="EL33" s="28"/>
      <c r="EM33" s="28"/>
      <c r="EN33" s="28"/>
      <c r="EO33" s="28"/>
      <c r="EP33" s="28"/>
      <c r="EQ33" s="28"/>
      <c r="ER33" s="28"/>
      <c r="ES33" s="28"/>
      <c r="ET33" s="28"/>
      <c r="EU33" s="28"/>
      <c r="EV33" s="28"/>
      <c r="EW33" s="28"/>
      <c r="EX33" s="28"/>
    </row>
    <row r="34" spans="2:154" ht="14.5" customHeight="1" x14ac:dyDescent="0.3">
      <c r="B34" s="114"/>
      <c r="C34" s="114"/>
      <c r="D34" s="114"/>
      <c r="E34" s="114"/>
      <c r="F34" s="114"/>
      <c r="G34" s="114"/>
      <c r="H34" s="114"/>
      <c r="I34" s="114"/>
      <c r="J34" s="114"/>
      <c r="K34" s="114"/>
      <c r="M34" s="121"/>
      <c r="N34" s="122"/>
      <c r="P34" s="126"/>
      <c r="Q34" s="122"/>
      <c r="S34" s="114"/>
      <c r="T34" s="114"/>
      <c r="U34" s="114"/>
      <c r="V34" s="114"/>
      <c r="W34" s="114"/>
      <c r="X34" s="114"/>
      <c r="Y34" s="114"/>
      <c r="Z34" s="114"/>
      <c r="AA34" s="114"/>
      <c r="AB34" s="114"/>
      <c r="AC34" s="32"/>
      <c r="AD34" s="114"/>
      <c r="AE34" s="114"/>
      <c r="AF34" s="114"/>
      <c r="AG34" s="114"/>
      <c r="AH34" s="114"/>
      <c r="AI34" s="114"/>
      <c r="AJ34" s="114"/>
      <c r="AK34" s="114"/>
      <c r="AL34" s="114"/>
      <c r="AM34" s="114"/>
      <c r="AN34" s="32"/>
      <c r="AO34" s="28"/>
      <c r="AP34" s="28"/>
      <c r="AQ34" s="28"/>
      <c r="AR34" s="28"/>
      <c r="AS34" s="28"/>
      <c r="AT34" s="28"/>
      <c r="AU34" s="28"/>
      <c r="AV34" s="28"/>
      <c r="AW34" s="28"/>
      <c r="AX34" s="28"/>
      <c r="AY34" s="28"/>
      <c r="AZ34" s="28"/>
      <c r="BA34" s="28"/>
      <c r="BB34" s="28"/>
      <c r="BC34" s="28"/>
      <c r="BD34" s="28"/>
      <c r="BE34" s="28"/>
      <c r="BF34" s="28"/>
      <c r="BG34" s="28"/>
      <c r="BH34" s="28"/>
      <c r="BI34" s="28"/>
      <c r="BJ34" s="28"/>
      <c r="BK34" s="28"/>
      <c r="BL34" s="28"/>
      <c r="BM34" s="28"/>
      <c r="BN34" s="28"/>
      <c r="BO34" s="28"/>
      <c r="BP34" s="28"/>
      <c r="BQ34" s="28"/>
      <c r="BR34" s="28"/>
      <c r="BS34" s="28"/>
      <c r="BT34" s="28"/>
      <c r="BU34" s="28"/>
      <c r="BV34" s="28"/>
      <c r="BW34" s="28"/>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c r="DA34" s="28"/>
      <c r="DB34" s="28"/>
      <c r="DC34" s="28"/>
      <c r="DD34" s="28"/>
      <c r="DE34" s="28"/>
      <c r="DF34" s="28"/>
      <c r="DG34" s="28"/>
      <c r="DH34" s="28"/>
      <c r="DI34" s="28"/>
      <c r="DJ34" s="28"/>
      <c r="DK34" s="28"/>
      <c r="DL34" s="28"/>
      <c r="DM34" s="28"/>
      <c r="DN34" s="28"/>
      <c r="DO34" s="28"/>
      <c r="DP34" s="28"/>
      <c r="DQ34" s="28"/>
      <c r="DR34" s="28"/>
      <c r="DS34" s="28"/>
      <c r="DT34" s="28"/>
      <c r="DU34" s="28"/>
      <c r="DV34" s="28"/>
      <c r="DW34" s="28"/>
      <c r="DX34" s="28"/>
      <c r="DY34" s="28"/>
      <c r="DZ34" s="28"/>
      <c r="EA34" s="28"/>
      <c r="EB34" s="28"/>
      <c r="EC34" s="28"/>
      <c r="ED34" s="28"/>
      <c r="EE34" s="28"/>
      <c r="EF34" s="28"/>
      <c r="EG34" s="28"/>
      <c r="EH34" s="28"/>
      <c r="EI34" s="28"/>
      <c r="EJ34" s="28"/>
      <c r="EK34" s="28"/>
      <c r="EL34" s="28"/>
      <c r="EM34" s="28"/>
      <c r="EN34" s="28"/>
      <c r="EO34" s="28"/>
      <c r="EP34" s="28"/>
      <c r="EQ34" s="28"/>
      <c r="ER34" s="28"/>
      <c r="ES34" s="28"/>
      <c r="ET34" s="28"/>
      <c r="EU34" s="28"/>
      <c r="EV34" s="28"/>
      <c r="EW34" s="28"/>
      <c r="EX34" s="28"/>
    </row>
    <row r="35" spans="2:154" ht="14.5" customHeight="1" thickBot="1" x14ac:dyDescent="0.35">
      <c r="K35" s="36"/>
      <c r="M35" s="127" t="str">
        <f>Linkedin!B34</f>
        <v>Alfred</v>
      </c>
      <c r="N35" s="127"/>
      <c r="P35" s="127" t="str">
        <f>Linkedin!E34</f>
        <v>Auckland uni</v>
      </c>
      <c r="Q35" s="127"/>
      <c r="S35" s="34" t="s">
        <v>2</v>
      </c>
      <c r="X35" s="107" t="str">
        <f>Finance!B2</f>
        <v>Summary</v>
      </c>
      <c r="Y35" s="108"/>
      <c r="Z35" s="109"/>
      <c r="AB35" s="36"/>
      <c r="AC35" s="32"/>
      <c r="AD35" s="28"/>
      <c r="AE35" s="28"/>
      <c r="AF35" s="28"/>
      <c r="AG35" s="28"/>
      <c r="AH35" s="28"/>
      <c r="AI35" s="28"/>
      <c r="AJ35" s="28"/>
      <c r="AK35" s="28"/>
      <c r="AL35" s="28"/>
      <c r="AM35" s="36"/>
      <c r="AN35" s="32"/>
      <c r="AO35" s="28"/>
      <c r="AP35" s="28"/>
      <c r="AQ35" s="28"/>
      <c r="AR35" s="28"/>
      <c r="AS35" s="28"/>
      <c r="AT35" s="28"/>
      <c r="AU35" s="28"/>
      <c r="AV35" s="28"/>
      <c r="AW35" s="28"/>
      <c r="AX35" s="28"/>
      <c r="AY35" s="28"/>
      <c r="AZ35" s="28"/>
      <c r="BA35" s="28"/>
      <c r="BB35" s="28"/>
      <c r="BC35" s="28"/>
      <c r="BD35" s="28"/>
      <c r="BE35" s="28"/>
      <c r="BF35" s="28"/>
      <c r="BG35" s="28"/>
      <c r="BH35" s="28"/>
      <c r="BI35" s="28"/>
      <c r="BJ35" s="28"/>
      <c r="BK35" s="28"/>
      <c r="BL35" s="28"/>
      <c r="BM35" s="28"/>
      <c r="BN35" s="28"/>
      <c r="BO35" s="28"/>
      <c r="BP35" s="28"/>
      <c r="BQ35" s="28"/>
      <c r="BR35" s="28"/>
      <c r="BS35" s="28"/>
      <c r="BT35" s="28"/>
      <c r="BU35" s="28"/>
      <c r="BV35" s="28"/>
      <c r="BW35" s="28"/>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c r="DA35" s="28"/>
      <c r="DB35" s="28"/>
      <c r="DC35" s="28"/>
      <c r="DD35" s="28"/>
      <c r="DE35" s="28"/>
      <c r="DF35" s="28"/>
      <c r="DG35" s="28"/>
      <c r="DH35" s="28"/>
      <c r="DI35" s="28"/>
      <c r="DJ35" s="28"/>
      <c r="DK35" s="28"/>
      <c r="DL35" s="28"/>
      <c r="DM35" s="28"/>
      <c r="DN35" s="28"/>
      <c r="DO35" s="28"/>
      <c r="DP35" s="28"/>
      <c r="DQ35" s="28"/>
      <c r="DR35" s="28"/>
      <c r="DS35" s="28"/>
      <c r="DT35" s="28"/>
      <c r="DU35" s="28"/>
      <c r="DV35" s="28"/>
      <c r="DW35" s="28"/>
      <c r="DX35" s="28"/>
      <c r="DY35" s="28"/>
      <c r="DZ35" s="28"/>
      <c r="EA35" s="28"/>
      <c r="EB35" s="28"/>
      <c r="EC35" s="28"/>
      <c r="ED35" s="28"/>
      <c r="EE35" s="28"/>
      <c r="EF35" s="28"/>
      <c r="EG35" s="28"/>
      <c r="EH35" s="28"/>
      <c r="EI35" s="28"/>
      <c r="EJ35" s="28"/>
      <c r="EK35" s="28"/>
      <c r="EL35" s="28"/>
      <c r="EM35" s="28"/>
      <c r="EN35" s="28"/>
      <c r="EO35" s="28"/>
      <c r="EP35" s="28"/>
      <c r="EQ35" s="28"/>
      <c r="ER35" s="28"/>
      <c r="ES35" s="28"/>
      <c r="ET35" s="28"/>
      <c r="EU35" s="28"/>
      <c r="EV35" s="28"/>
      <c r="EW35" s="28"/>
      <c r="EX35" s="28"/>
    </row>
    <row r="36" spans="2:154" ht="15" customHeight="1" thickBot="1" x14ac:dyDescent="0.35">
      <c r="B36" s="107" t="s">
        <v>2</v>
      </c>
      <c r="C36" s="108"/>
      <c r="D36" s="108"/>
      <c r="E36" s="109"/>
      <c r="K36" s="36"/>
      <c r="M36" s="128"/>
      <c r="N36" s="128"/>
      <c r="O36" s="34">
        <f>Linkedin!D34</f>
        <v>0</v>
      </c>
      <c r="P36" s="128"/>
      <c r="Q36" s="128"/>
      <c r="S36" s="110" t="str">
        <f>Finance!$B$1</f>
        <v>not flix</v>
      </c>
      <c r="T36" s="110"/>
      <c r="U36" s="110"/>
      <c r="V36" s="110"/>
      <c r="W36" s="111"/>
      <c r="X36" s="44" t="str">
        <f>Finance!B3</f>
        <v>revenue</v>
      </c>
      <c r="Y36" s="37" t="str">
        <f>Finance!C3</f>
        <v>100 B</v>
      </c>
      <c r="Z36" s="38">
        <f>Finance!D3</f>
        <v>0</v>
      </c>
      <c r="AB36" s="36"/>
      <c r="AC36" s="32"/>
      <c r="AD36" s="28"/>
      <c r="AE36" s="28"/>
      <c r="AF36" s="28"/>
      <c r="AG36" s="28"/>
      <c r="AH36" s="28"/>
      <c r="AI36" s="28"/>
      <c r="AJ36" s="28"/>
      <c r="AK36" s="28"/>
      <c r="AL36" s="28"/>
      <c r="AM36" s="36"/>
      <c r="AN36" s="32"/>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28"/>
      <c r="ER36" s="28"/>
      <c r="ES36" s="28"/>
      <c r="ET36" s="28"/>
      <c r="EU36" s="28"/>
      <c r="EV36" s="28"/>
      <c r="EW36" s="28"/>
      <c r="EX36" s="28"/>
    </row>
    <row r="37" spans="2:154" ht="14.5" customHeight="1" thickBot="1" x14ac:dyDescent="0.35">
      <c r="B37" s="164" t="s">
        <v>3</v>
      </c>
      <c r="C37" s="165"/>
      <c r="D37" s="166">
        <f>House!F3</f>
        <v>0</v>
      </c>
      <c r="E37" s="167"/>
      <c r="K37" s="36"/>
      <c r="M37" s="108" t="str">
        <f>Linkedin!B35</f>
        <v>Summary</v>
      </c>
      <c r="N37" s="109"/>
      <c r="O37" s="34">
        <f>Linkedin!D35</f>
        <v>0</v>
      </c>
      <c r="P37" s="107" t="str">
        <f>Linkedin!E35</f>
        <v>Summary</v>
      </c>
      <c r="Q37" s="109"/>
      <c r="S37" s="110"/>
      <c r="T37" s="110"/>
      <c r="U37" s="110"/>
      <c r="V37" s="110"/>
      <c r="W37" s="111"/>
      <c r="X37" s="47" t="str">
        <f>Finance!B4</f>
        <v>net income</v>
      </c>
      <c r="Y37" s="41" t="str">
        <f>Finance!C4</f>
        <v>$1</v>
      </c>
      <c r="Z37" s="42">
        <f>Finance!D4</f>
        <v>0</v>
      </c>
      <c r="AB37" s="36"/>
      <c r="AC37" s="32"/>
      <c r="AD37" s="28"/>
      <c r="AE37" s="28"/>
      <c r="AF37" s="28"/>
      <c r="AG37" s="28"/>
      <c r="AH37" s="28"/>
      <c r="AI37" s="28"/>
      <c r="AJ37" s="28"/>
      <c r="AK37" s="28"/>
      <c r="AL37" s="28"/>
      <c r="AM37" s="36"/>
      <c r="AN37" s="32"/>
      <c r="AO37" s="28"/>
      <c r="AP37" s="28"/>
      <c r="AQ37" s="28"/>
      <c r="AR37" s="28"/>
      <c r="AS37" s="28"/>
      <c r="AT37" s="28"/>
      <c r="AU37" s="28"/>
      <c r="AV37" s="28"/>
      <c r="AW37" s="28"/>
      <c r="AX37" s="28"/>
      <c r="AY37" s="28"/>
      <c r="AZ37" s="28"/>
      <c r="BA37" s="28"/>
      <c r="BB37" s="28"/>
      <c r="BC37" s="28"/>
      <c r="BD37" s="28"/>
      <c r="BE37" s="28"/>
      <c r="BF37" s="28"/>
      <c r="BG37" s="28"/>
      <c r="BH37" s="28"/>
      <c r="BI37" s="28"/>
      <c r="BJ37" s="28"/>
      <c r="BK37" s="28"/>
      <c r="BL37" s="28"/>
      <c r="BM37" s="28"/>
      <c r="BN37" s="28"/>
      <c r="BO37" s="28"/>
      <c r="BP37" s="28"/>
      <c r="BQ37" s="28"/>
      <c r="BR37" s="28"/>
      <c r="BS37" s="28"/>
      <c r="BT37" s="28"/>
      <c r="BU37" s="28"/>
      <c r="BV37" s="28"/>
      <c r="BW37" s="28"/>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c r="DA37" s="28"/>
      <c r="DB37" s="28"/>
      <c r="DC37" s="28"/>
      <c r="DD37" s="28"/>
      <c r="DE37" s="28"/>
      <c r="DF37" s="28"/>
      <c r="DG37" s="28"/>
      <c r="DH37" s="28"/>
      <c r="DI37" s="28"/>
      <c r="DJ37" s="28"/>
      <c r="DK37" s="28"/>
      <c r="DL37" s="28"/>
      <c r="DM37" s="28"/>
      <c r="DN37" s="28"/>
      <c r="DO37" s="28"/>
      <c r="DP37" s="28"/>
      <c r="DQ37" s="28"/>
      <c r="DR37" s="28"/>
      <c r="DS37" s="28"/>
      <c r="DT37" s="28"/>
      <c r="DU37" s="28"/>
      <c r="DV37" s="28"/>
      <c r="DW37" s="28"/>
      <c r="DX37" s="28"/>
      <c r="DY37" s="28"/>
      <c r="DZ37" s="28"/>
      <c r="EA37" s="28"/>
      <c r="EB37" s="28"/>
      <c r="EC37" s="28"/>
      <c r="ED37" s="28"/>
      <c r="EE37" s="28"/>
      <c r="EF37" s="28"/>
      <c r="EG37" s="28"/>
      <c r="EH37" s="28"/>
      <c r="EI37" s="28"/>
      <c r="EJ37" s="28"/>
      <c r="EK37" s="28"/>
      <c r="EL37" s="28"/>
      <c r="EM37" s="28"/>
      <c r="EN37" s="28"/>
      <c r="EO37" s="28"/>
      <c r="EP37" s="28"/>
      <c r="EQ37" s="28"/>
      <c r="ER37" s="28"/>
      <c r="ES37" s="28"/>
      <c r="ET37" s="28"/>
      <c r="EU37" s="28"/>
      <c r="EV37" s="28"/>
      <c r="EW37" s="28"/>
      <c r="EX37" s="28"/>
    </row>
    <row r="38" spans="2:154" ht="14.5" customHeight="1" x14ac:dyDescent="0.3">
      <c r="B38" s="159" t="s">
        <v>4</v>
      </c>
      <c r="C38" s="160"/>
      <c r="D38" s="156">
        <f>House!F4</f>
        <v>0</v>
      </c>
      <c r="E38" s="151"/>
      <c r="K38" s="36"/>
      <c r="M38" s="37" t="str">
        <f>Linkedin!B36</f>
        <v>Position</v>
      </c>
      <c r="N38" s="38">
        <f>Linkedin!C36</f>
        <v>0</v>
      </c>
      <c r="O38" s="34">
        <f>Linkedin!D36</f>
        <v>0</v>
      </c>
      <c r="P38" s="39" t="str">
        <f>Linkedin!E36</f>
        <v>Website</v>
      </c>
      <c r="Q38" s="40">
        <f>Linkedin!F36</f>
        <v>0</v>
      </c>
      <c r="S38" s="110"/>
      <c r="T38" s="110"/>
      <c r="U38" s="110"/>
      <c r="V38" s="110"/>
      <c r="W38" s="111"/>
      <c r="X38" s="50" t="str">
        <f>Finance!B5</f>
        <v>net profit margin</v>
      </c>
      <c r="Y38" s="45" t="str">
        <f>Finance!C5</f>
        <v>2</v>
      </c>
      <c r="Z38" s="46">
        <f>Finance!D5</f>
        <v>0</v>
      </c>
      <c r="AB38" s="36"/>
      <c r="AC38" s="32"/>
      <c r="AD38" s="28"/>
      <c r="AE38" s="28"/>
      <c r="AF38" s="28"/>
      <c r="AG38" s="28"/>
      <c r="AH38" s="28"/>
      <c r="AI38" s="28"/>
      <c r="AJ38" s="28"/>
      <c r="AK38" s="28"/>
      <c r="AL38" s="28"/>
      <c r="AM38" s="36"/>
      <c r="AN38" s="32"/>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c r="DW38" s="28"/>
      <c r="DX38" s="28"/>
      <c r="DY38" s="28"/>
      <c r="DZ38" s="28"/>
      <c r="EA38" s="28"/>
      <c r="EB38" s="28"/>
      <c r="EC38" s="28"/>
      <c r="ED38" s="28"/>
      <c r="EE38" s="28"/>
      <c r="EF38" s="28"/>
      <c r="EG38" s="28"/>
      <c r="EH38" s="28"/>
      <c r="EI38" s="28"/>
      <c r="EJ38" s="28"/>
      <c r="EK38" s="28"/>
      <c r="EL38" s="28"/>
      <c r="EM38" s="28"/>
      <c r="EN38" s="28"/>
      <c r="EO38" s="28"/>
      <c r="EP38" s="28"/>
      <c r="EQ38" s="28"/>
      <c r="ER38" s="28"/>
      <c r="ES38" s="28"/>
      <c r="ET38" s="28"/>
      <c r="EU38" s="28"/>
      <c r="EV38" s="28"/>
      <c r="EW38" s="28"/>
      <c r="EX38" s="28"/>
    </row>
    <row r="39" spans="2:154" ht="14.5" customHeight="1" x14ac:dyDescent="0.3">
      <c r="B39" s="157" t="s">
        <v>5</v>
      </c>
      <c r="C39" s="158"/>
      <c r="D39" s="169">
        <f>House!F5</f>
        <v>0</v>
      </c>
      <c r="E39" s="147"/>
      <c r="K39" s="36"/>
      <c r="M39" s="41" t="str">
        <f>Linkedin!B37</f>
        <v>Employer</v>
      </c>
      <c r="N39" s="42">
        <f>Linkedin!C37</f>
        <v>0</v>
      </c>
      <c r="O39" s="34">
        <f>Linkedin!D37</f>
        <v>0</v>
      </c>
      <c r="P39" s="43" t="str">
        <f>Linkedin!E37</f>
        <v>Industries</v>
      </c>
      <c r="Q39" s="42">
        <f>Linkedin!F37</f>
        <v>0</v>
      </c>
      <c r="S39" s="110"/>
      <c r="T39" s="110"/>
      <c r="U39" s="110"/>
      <c r="V39" s="110"/>
      <c r="W39" s="111"/>
      <c r="X39" s="47" t="str">
        <f>Finance!B6</f>
        <v>share value</v>
      </c>
      <c r="Y39" s="41" t="str">
        <f>Finance!C6</f>
        <v>3</v>
      </c>
      <c r="Z39" s="42">
        <f>Finance!D6</f>
        <v>0</v>
      </c>
      <c r="AB39" s="36"/>
      <c r="AC39" s="32"/>
      <c r="AD39" s="28"/>
      <c r="AE39" s="28"/>
      <c r="AF39" s="28"/>
      <c r="AG39" s="28"/>
      <c r="AH39" s="28"/>
      <c r="AI39" s="28"/>
      <c r="AJ39" s="28"/>
      <c r="AK39" s="28"/>
      <c r="AL39" s="28"/>
      <c r="AM39" s="36"/>
      <c r="AN39" s="32"/>
      <c r="AO39" s="28"/>
      <c r="AP39" s="28"/>
      <c r="AQ39" s="28"/>
      <c r="AR39" s="28"/>
      <c r="AS39" s="28"/>
      <c r="AT39" s="28"/>
      <c r="AU39" s="28"/>
      <c r="AV39" s="28"/>
      <c r="AW39" s="28"/>
      <c r="AX39" s="28"/>
      <c r="AY39" s="28"/>
      <c r="AZ39" s="28"/>
      <c r="BA39" s="28"/>
      <c r="BB39" s="28"/>
      <c r="BC39" s="28"/>
      <c r="BD39" s="28"/>
      <c r="BE39" s="28"/>
      <c r="BF39" s="28"/>
      <c r="BG39" s="28"/>
      <c r="BH39" s="28"/>
      <c r="BI39" s="28"/>
      <c r="BJ39" s="28"/>
      <c r="BK39" s="28"/>
      <c r="BL39" s="28"/>
      <c r="BM39" s="28"/>
      <c r="BN39" s="28"/>
      <c r="BO39" s="28"/>
      <c r="BP39" s="28"/>
      <c r="BQ39" s="28"/>
      <c r="BR39" s="28"/>
      <c r="BS39" s="28"/>
      <c r="BT39" s="28"/>
      <c r="BU39" s="28"/>
      <c r="BV39" s="28"/>
      <c r="BW39" s="28"/>
      <c r="BX39" s="28"/>
      <c r="BY39" s="28"/>
      <c r="BZ39" s="28"/>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c r="DA39" s="28"/>
      <c r="DB39" s="28"/>
      <c r="DC39" s="28"/>
      <c r="DD39" s="28"/>
      <c r="DE39" s="28"/>
      <c r="DF39" s="28"/>
      <c r="DG39" s="28"/>
      <c r="DH39" s="28"/>
      <c r="DI39" s="28"/>
      <c r="DJ39" s="28"/>
      <c r="DK39" s="28"/>
      <c r="DL39" s="28"/>
      <c r="DM39" s="28"/>
      <c r="DN39" s="28"/>
      <c r="DO39" s="28"/>
      <c r="DP39" s="28"/>
      <c r="DQ39" s="28"/>
      <c r="DR39" s="28"/>
      <c r="DS39" s="28"/>
      <c r="DT39" s="28"/>
      <c r="DU39" s="28"/>
      <c r="DV39" s="28"/>
      <c r="DW39" s="28"/>
      <c r="DX39" s="28"/>
      <c r="DY39" s="28"/>
      <c r="DZ39" s="28"/>
      <c r="EA39" s="28"/>
      <c r="EB39" s="28"/>
      <c r="EC39" s="28"/>
      <c r="ED39" s="28"/>
      <c r="EE39" s="28"/>
      <c r="EF39" s="28"/>
      <c r="EG39" s="28"/>
      <c r="EH39" s="28"/>
      <c r="EI39" s="28"/>
      <c r="EJ39" s="28"/>
      <c r="EK39" s="28"/>
      <c r="EL39" s="28"/>
      <c r="EM39" s="28"/>
      <c r="EN39" s="28"/>
      <c r="EO39" s="28"/>
      <c r="EP39" s="28"/>
      <c r="EQ39" s="28"/>
      <c r="ER39" s="28"/>
      <c r="ES39" s="28"/>
      <c r="ET39" s="28"/>
      <c r="EU39" s="28"/>
      <c r="EV39" s="28"/>
      <c r="EW39" s="28"/>
      <c r="EX39" s="28"/>
    </row>
    <row r="40" spans="2:154" ht="14.5" customHeight="1" x14ac:dyDescent="0.3">
      <c r="B40" s="159" t="s">
        <v>6</v>
      </c>
      <c r="C40" s="160"/>
      <c r="D40" s="156">
        <f>House!F6</f>
        <v>0</v>
      </c>
      <c r="E40" s="151"/>
      <c r="K40" s="36"/>
      <c r="M40" s="45" t="str">
        <f>Linkedin!B38</f>
        <v>Website</v>
      </c>
      <c r="N40" s="40">
        <f>Linkedin!C38</f>
        <v>0</v>
      </c>
      <c r="O40" s="34">
        <f>Linkedin!D38</f>
        <v>0</v>
      </c>
      <c r="P40" s="39" t="str">
        <f>Linkedin!E38</f>
        <v>Size</v>
      </c>
      <c r="Q40" s="46">
        <f>Linkedin!F38</f>
        <v>0</v>
      </c>
      <c r="S40" s="110"/>
      <c r="T40" s="110"/>
      <c r="U40" s="110"/>
      <c r="V40" s="110"/>
      <c r="W40" s="111"/>
      <c r="X40" s="50" t="str">
        <f>Finance!B7</f>
        <v>market cap</v>
      </c>
      <c r="Y40" s="45" t="str">
        <f>Finance!C7</f>
        <v>5</v>
      </c>
      <c r="Z40" s="46">
        <f>Finance!D7</f>
        <v>0</v>
      </c>
      <c r="AB40" s="36"/>
      <c r="AC40" s="32"/>
      <c r="AD40" s="28"/>
      <c r="AE40" s="28"/>
      <c r="AF40" s="28"/>
      <c r="AG40" s="28"/>
      <c r="AH40" s="28"/>
      <c r="AI40" s="28"/>
      <c r="AJ40" s="28"/>
      <c r="AK40" s="28"/>
      <c r="AL40" s="28"/>
      <c r="AM40" s="36"/>
      <c r="AN40" s="32"/>
      <c r="AO40" s="28"/>
      <c r="AP40" s="28"/>
      <c r="AQ40" s="28"/>
      <c r="AR40" s="28"/>
      <c r="AS40" s="28"/>
      <c r="AT40" s="28"/>
      <c r="AU40" s="28"/>
      <c r="AV40" s="28"/>
      <c r="AW40" s="28"/>
      <c r="AX40" s="28"/>
      <c r="AY40" s="28"/>
      <c r="AZ40" s="28"/>
      <c r="BA40" s="28"/>
      <c r="BB40" s="28"/>
      <c r="BC40" s="28"/>
      <c r="BD40" s="28"/>
      <c r="BE40" s="28"/>
      <c r="BF40" s="28"/>
      <c r="BG40" s="28"/>
      <c r="BH40" s="28"/>
      <c r="BI40" s="28"/>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row>
    <row r="41" spans="2:154" ht="14.5" customHeight="1" x14ac:dyDescent="0.3">
      <c r="B41" s="157" t="s">
        <v>7</v>
      </c>
      <c r="C41" s="158"/>
      <c r="D41" s="169">
        <f>House!F7</f>
        <v>0</v>
      </c>
      <c r="E41" s="147"/>
      <c r="K41" s="36"/>
      <c r="M41" s="41" t="str">
        <f>Linkedin!B39</f>
        <v>Education</v>
      </c>
      <c r="N41" s="42">
        <f>Linkedin!C39</f>
        <v>0</v>
      </c>
      <c r="O41" s="34">
        <f>Linkedin!D39</f>
        <v>0</v>
      </c>
      <c r="P41" s="43" t="str">
        <f>Linkedin!E39</f>
        <v>Founded</v>
      </c>
      <c r="Q41" s="49">
        <f>Linkedin!F39</f>
        <v>0</v>
      </c>
      <c r="S41" s="34" t="s">
        <v>588</v>
      </c>
      <c r="X41" s="53" t="str">
        <f>Finance!B8</f>
        <v>volume</v>
      </c>
      <c r="Y41" s="54" t="str">
        <f>Finance!C8</f>
        <v>8</v>
      </c>
      <c r="Z41" s="83">
        <f>Finance!D8</f>
        <v>0</v>
      </c>
      <c r="AB41" s="36"/>
      <c r="AC41" s="32"/>
      <c r="AD41" s="28"/>
      <c r="AE41" s="28"/>
      <c r="AF41" s="28"/>
      <c r="AG41" s="28"/>
      <c r="AH41" s="28"/>
      <c r="AI41" s="28"/>
      <c r="AJ41" s="28"/>
      <c r="AK41" s="28"/>
      <c r="AL41" s="28"/>
      <c r="AM41" s="36"/>
      <c r="AN41" s="32"/>
      <c r="AO41" s="28"/>
      <c r="AP41" s="28"/>
      <c r="AQ41" s="28"/>
      <c r="AR41" s="28"/>
      <c r="AS41" s="28"/>
      <c r="AT41" s="28"/>
      <c r="AU41" s="28"/>
      <c r="AV41" s="28"/>
      <c r="AW41" s="28"/>
      <c r="AX41" s="28"/>
      <c r="AY41" s="28"/>
      <c r="AZ41" s="28"/>
      <c r="BA41" s="28"/>
      <c r="BB41" s="28"/>
      <c r="BC41" s="28"/>
      <c r="BD41" s="28"/>
      <c r="BE41" s="28"/>
      <c r="BF41" s="28"/>
      <c r="BG41" s="28"/>
      <c r="BH41" s="28"/>
      <c r="BI41" s="28"/>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row>
    <row r="42" spans="2:154" ht="14.5" customHeight="1" x14ac:dyDescent="0.3">
      <c r="B42" s="159" t="s">
        <v>8</v>
      </c>
      <c r="C42" s="160"/>
      <c r="D42" s="150">
        <f>House!F8</f>
        <v>0</v>
      </c>
      <c r="E42" s="151"/>
      <c r="K42" s="36"/>
      <c r="M42" s="129" t="str">
        <f>Linkedin!B40</f>
        <v>link</v>
      </c>
      <c r="N42" s="131">
        <f>Linkedin!C40</f>
        <v>0</v>
      </c>
      <c r="O42" s="34">
        <f>Linkedin!D40</f>
        <v>0</v>
      </c>
      <c r="P42" s="133" t="str">
        <f>Linkedin!E40</f>
        <v>link</v>
      </c>
      <c r="Q42" s="131">
        <f>Linkedin!F40</f>
        <v>0</v>
      </c>
      <c r="U42" s="34"/>
      <c r="V42" s="34"/>
      <c r="AB42" s="36"/>
      <c r="AC42" s="32"/>
      <c r="AD42" s="28">
        <f>Trends!E36</f>
        <v>1</v>
      </c>
      <c r="AE42" s="28"/>
      <c r="AF42" s="28"/>
      <c r="AG42" s="28"/>
      <c r="AH42" s="28"/>
      <c r="AI42" s="28"/>
      <c r="AJ42" s="28"/>
      <c r="AK42" s="28"/>
      <c r="AL42" s="28"/>
      <c r="AM42" s="36"/>
      <c r="AN42" s="32"/>
      <c r="AO42" s="28"/>
      <c r="AP42" s="28"/>
      <c r="AQ42" s="28"/>
      <c r="AR42" s="28"/>
      <c r="AS42" s="28"/>
      <c r="AT42" s="28"/>
      <c r="AU42" s="28"/>
      <c r="AV42" s="28"/>
      <c r="AW42" s="28"/>
      <c r="AX42" s="28"/>
      <c r="AY42" s="28"/>
      <c r="AZ42" s="28"/>
      <c r="BA42" s="28"/>
      <c r="BB42" s="28"/>
      <c r="BC42" s="28"/>
      <c r="BD42" s="28"/>
      <c r="BE42" s="28"/>
      <c r="BF42" s="28"/>
      <c r="BG42" s="28"/>
      <c r="BH42" s="28"/>
      <c r="BI42" s="28"/>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row>
    <row r="43" spans="2:154" ht="14.5" customHeight="1" thickBot="1" x14ac:dyDescent="0.35">
      <c r="B43" s="161" t="s">
        <v>9</v>
      </c>
      <c r="C43" s="162"/>
      <c r="D43" s="171">
        <f>House!F9</f>
        <v>0</v>
      </c>
      <c r="E43" s="155"/>
      <c r="K43" s="36"/>
      <c r="M43" s="129"/>
      <c r="N43" s="131"/>
      <c r="O43" s="34">
        <f>Linkedin!D41</f>
        <v>0</v>
      </c>
      <c r="P43" s="133"/>
      <c r="Q43" s="131"/>
      <c r="S43" s="34" t="s">
        <v>2</v>
      </c>
      <c r="X43" s="107" t="str">
        <f>Finance!F2</f>
        <v>Summary</v>
      </c>
      <c r="Y43" s="108"/>
      <c r="Z43" s="109"/>
      <c r="AA43" s="28"/>
      <c r="AB43" s="28"/>
      <c r="AC43" s="32"/>
      <c r="AD43" s="28"/>
      <c r="AE43" s="28"/>
      <c r="AF43" s="28"/>
      <c r="AG43" s="28"/>
      <c r="AH43" s="28"/>
      <c r="AI43" s="28"/>
      <c r="AJ43" s="28"/>
      <c r="AK43" s="28"/>
      <c r="AL43" s="28"/>
      <c r="AM43" s="28"/>
      <c r="AN43" s="32"/>
      <c r="AO43" s="28"/>
      <c r="AP43" s="28"/>
      <c r="AQ43" s="28"/>
      <c r="AR43" s="28"/>
      <c r="AS43" s="28"/>
      <c r="AT43" s="28"/>
      <c r="AU43" s="28"/>
      <c r="AV43" s="28"/>
      <c r="AW43" s="28"/>
      <c r="AX43" s="28"/>
      <c r="AY43" s="28"/>
      <c r="AZ43" s="28"/>
      <c r="BA43" s="28"/>
      <c r="BB43" s="28"/>
      <c r="BC43" s="28"/>
      <c r="BD43" s="28"/>
      <c r="BE43" s="28"/>
      <c r="BF43" s="28"/>
      <c r="BG43" s="28"/>
      <c r="BH43" s="28"/>
      <c r="BI43" s="28"/>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row>
    <row r="44" spans="2:154" ht="14.5" customHeight="1" x14ac:dyDescent="0.3">
      <c r="K44" s="36"/>
      <c r="M44" s="129"/>
      <c r="N44" s="131"/>
      <c r="O44" s="34">
        <f>Linkedin!D42</f>
        <v>0</v>
      </c>
      <c r="P44" s="133"/>
      <c r="Q44" s="131"/>
      <c r="S44" s="110">
        <f>Finance!$F$1</f>
        <v>2</v>
      </c>
      <c r="T44" s="110"/>
      <c r="U44" s="110"/>
      <c r="V44" s="110"/>
      <c r="W44" s="111"/>
      <c r="X44" s="44" t="str">
        <f>Finance!F3</f>
        <v>revenue</v>
      </c>
      <c r="Y44" s="37">
        <f>Finance!G3</f>
        <v>0</v>
      </c>
      <c r="Z44" s="38">
        <f>Finance!H3</f>
        <v>0</v>
      </c>
      <c r="AA44" s="28"/>
      <c r="AB44" s="28"/>
      <c r="AC44" s="32"/>
      <c r="AD44" s="28"/>
      <c r="AE44" s="28"/>
      <c r="AF44" s="28"/>
      <c r="AG44" s="28"/>
      <c r="AH44" s="28"/>
      <c r="AI44" s="28"/>
      <c r="AJ44" s="28"/>
      <c r="AK44" s="28"/>
      <c r="AL44" s="28"/>
      <c r="AM44" s="28"/>
      <c r="AN44" s="32"/>
      <c r="AO44" s="28"/>
      <c r="AP44" s="28"/>
      <c r="AQ44" s="28"/>
      <c r="AR44" s="28"/>
      <c r="AS44" s="28"/>
      <c r="AT44" s="28"/>
      <c r="AU44" s="28"/>
      <c r="AV44" s="28"/>
      <c r="AW44" s="28"/>
      <c r="AX44" s="28"/>
      <c r="AY44" s="28"/>
      <c r="AZ44" s="28"/>
      <c r="BA44" s="28"/>
      <c r="BB44" s="28"/>
      <c r="BC44" s="28"/>
      <c r="BD44" s="28"/>
      <c r="BE44" s="28"/>
      <c r="BF44" s="28"/>
      <c r="BG44" s="28"/>
      <c r="BH44" s="28"/>
      <c r="BI44" s="28"/>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row>
    <row r="45" spans="2:154" ht="15" customHeight="1" thickBot="1" x14ac:dyDescent="0.35">
      <c r="B45" s="123" t="s">
        <v>4</v>
      </c>
      <c r="C45" s="115"/>
      <c r="D45" s="115"/>
      <c r="E45" s="116"/>
      <c r="K45" s="36"/>
      <c r="M45" s="130"/>
      <c r="N45" s="132"/>
      <c r="O45" s="34">
        <f>Linkedin!D43</f>
        <v>0</v>
      </c>
      <c r="P45" s="134"/>
      <c r="Q45" s="132"/>
      <c r="S45" s="110"/>
      <c r="T45" s="110"/>
      <c r="U45" s="110"/>
      <c r="V45" s="110"/>
      <c r="W45" s="111"/>
      <c r="X45" s="47" t="str">
        <f>Finance!F4</f>
        <v>net income</v>
      </c>
      <c r="Y45" s="41">
        <f>Finance!G4</f>
        <v>0</v>
      </c>
      <c r="Z45" s="42">
        <f>Finance!H4</f>
        <v>0</v>
      </c>
      <c r="AA45" s="28"/>
      <c r="AB45" s="28"/>
      <c r="AC45" s="32"/>
      <c r="AD45" s="28"/>
      <c r="AE45" s="28"/>
      <c r="AF45" s="28"/>
      <c r="AG45" s="28"/>
      <c r="AH45" s="28"/>
      <c r="AI45" s="28"/>
      <c r="AJ45" s="28"/>
      <c r="AK45" s="28"/>
      <c r="AL45" s="28"/>
      <c r="AM45" s="28"/>
      <c r="AN45" s="32"/>
      <c r="AO45" s="28"/>
      <c r="AP45" s="28"/>
      <c r="AQ45" s="28"/>
      <c r="AR45" s="28"/>
      <c r="AS45" s="28"/>
      <c r="AT45" s="28"/>
      <c r="AU45" s="28"/>
      <c r="AV45" s="28"/>
      <c r="AW45" s="28"/>
      <c r="AX45" s="28"/>
      <c r="AY45" s="28"/>
      <c r="AZ45" s="28"/>
      <c r="BA45" s="28"/>
      <c r="BB45" s="28"/>
      <c r="BC45" s="28"/>
      <c r="BD45" s="28"/>
      <c r="BE45" s="28"/>
      <c r="BF45" s="28"/>
      <c r="BG45" s="28"/>
      <c r="BH45" s="28"/>
      <c r="BI45" s="28"/>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row>
    <row r="46" spans="2:154" ht="14.5" customHeight="1" x14ac:dyDescent="0.3">
      <c r="B46" s="148" t="s">
        <v>10</v>
      </c>
      <c r="C46" s="149"/>
      <c r="D46" s="173">
        <f>House!F12</f>
        <v>0</v>
      </c>
      <c r="E46" s="174"/>
      <c r="K46" s="36"/>
      <c r="M46" s="28">
        <f>Linkedin!B44</f>
        <v>0</v>
      </c>
      <c r="N46" s="56">
        <f>Linkedin!C44</f>
        <v>0</v>
      </c>
      <c r="O46" s="34">
        <f>Linkedin!D44</f>
        <v>0</v>
      </c>
      <c r="P46" s="28">
        <f>Linkedin!E44</f>
        <v>0</v>
      </c>
      <c r="Q46" s="56">
        <f>Linkedin!F44</f>
        <v>0</v>
      </c>
      <c r="S46" s="110"/>
      <c r="T46" s="110"/>
      <c r="U46" s="110"/>
      <c r="V46" s="110"/>
      <c r="W46" s="111"/>
      <c r="X46" s="50" t="str">
        <f>Finance!F5</f>
        <v>net profit margin</v>
      </c>
      <c r="Y46" s="45">
        <f>Finance!G5</f>
        <v>0</v>
      </c>
      <c r="Z46" s="46">
        <f>Finance!H5</f>
        <v>0</v>
      </c>
      <c r="AA46" s="28"/>
      <c r="AB46" s="28"/>
      <c r="AC46" s="32"/>
      <c r="AD46" s="28"/>
      <c r="AE46" s="28"/>
      <c r="AF46" s="28"/>
      <c r="AG46" s="28"/>
      <c r="AH46" s="28"/>
      <c r="AI46" s="28"/>
      <c r="AJ46" s="28"/>
      <c r="AK46" s="28"/>
      <c r="AL46" s="28"/>
      <c r="AM46" s="28"/>
      <c r="AN46" s="32"/>
      <c r="AO46" s="28"/>
      <c r="AP46" s="28"/>
      <c r="AQ46" s="28"/>
      <c r="AR46" s="28"/>
      <c r="AS46" s="28"/>
      <c r="AT46" s="28"/>
      <c r="AU46" s="28"/>
      <c r="AV46" s="28"/>
      <c r="AW46" s="28"/>
      <c r="AX46" s="28"/>
      <c r="AY46" s="28"/>
      <c r="AZ46" s="28"/>
      <c r="BA46" s="28"/>
      <c r="BB46" s="28"/>
      <c r="BC46" s="28"/>
      <c r="BD46" s="28"/>
      <c r="BE46" s="28"/>
      <c r="BF46" s="28"/>
      <c r="BG46" s="28"/>
      <c r="BH46" s="28"/>
      <c r="BI46" s="28"/>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row>
    <row r="47" spans="2:154" ht="14.5" customHeight="1" thickBot="1" x14ac:dyDescent="0.35">
      <c r="B47" s="144" t="s">
        <v>11</v>
      </c>
      <c r="C47" s="145"/>
      <c r="D47" s="169">
        <f>House!F13</f>
        <v>0</v>
      </c>
      <c r="E47" s="170"/>
      <c r="K47" s="36"/>
      <c r="M47" s="115" t="str">
        <f>Linkedin!B45</f>
        <v>About</v>
      </c>
      <c r="N47" s="116"/>
      <c r="O47" s="34">
        <f>Linkedin!D45</f>
        <v>0</v>
      </c>
      <c r="P47" s="123" t="str">
        <f>Linkedin!E45</f>
        <v>About</v>
      </c>
      <c r="Q47" s="116"/>
      <c r="S47" s="110"/>
      <c r="T47" s="110"/>
      <c r="U47" s="110"/>
      <c r="V47" s="110"/>
      <c r="W47" s="111"/>
      <c r="X47" s="47" t="str">
        <f>Finance!F6</f>
        <v>share value</v>
      </c>
      <c r="Y47" s="41">
        <f>Finance!G6</f>
        <v>0</v>
      </c>
      <c r="Z47" s="42">
        <f>Finance!H6</f>
        <v>0</v>
      </c>
      <c r="AA47" s="28"/>
      <c r="AB47" s="28"/>
      <c r="AC47" s="32"/>
      <c r="AD47" s="28"/>
      <c r="AE47" s="28"/>
      <c r="AF47" s="28"/>
      <c r="AG47" s="28"/>
      <c r="AH47" s="28"/>
      <c r="AI47" s="28"/>
      <c r="AJ47" s="28"/>
      <c r="AK47" s="28"/>
      <c r="AL47" s="28"/>
      <c r="AM47" s="28"/>
      <c r="AN47" s="32"/>
      <c r="AO47" s="28"/>
      <c r="AP47" s="28"/>
      <c r="AQ47" s="28"/>
      <c r="AR47" s="28"/>
      <c r="AS47" s="28"/>
      <c r="AT47" s="28"/>
      <c r="AU47" s="28"/>
      <c r="AV47" s="28"/>
      <c r="AW47" s="28"/>
      <c r="AX47" s="28"/>
      <c r="AY47" s="28"/>
      <c r="AZ47" s="28"/>
      <c r="BA47" s="28"/>
      <c r="BB47" s="28"/>
      <c r="BC47" s="28"/>
      <c r="BD47" s="28"/>
      <c r="BE47" s="28"/>
      <c r="BF47" s="28"/>
      <c r="BG47" s="28"/>
      <c r="BH47" s="28"/>
      <c r="BI47" s="28"/>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row>
    <row r="48" spans="2:154" ht="14.5" customHeight="1" thickBot="1" x14ac:dyDescent="0.35">
      <c r="B48" s="148" t="s">
        <v>12</v>
      </c>
      <c r="C48" s="149"/>
      <c r="D48" s="156">
        <f>House!F14</f>
        <v>0</v>
      </c>
      <c r="E48" s="168"/>
      <c r="K48" s="36"/>
      <c r="M48" s="117">
        <f>Linkedin!B46</f>
        <v>0</v>
      </c>
      <c r="N48" s="118"/>
      <c r="O48" s="34">
        <f>Linkedin!D46</f>
        <v>0</v>
      </c>
      <c r="P48" s="124">
        <f>Linkedin!E46</f>
        <v>0</v>
      </c>
      <c r="Q48" s="118"/>
      <c r="S48" s="110"/>
      <c r="T48" s="110"/>
      <c r="U48" s="110"/>
      <c r="V48" s="110"/>
      <c r="W48" s="111"/>
      <c r="X48" s="50" t="str">
        <f>Finance!F7</f>
        <v>market cap</v>
      </c>
      <c r="Y48" s="45">
        <f>Finance!G7</f>
        <v>0</v>
      </c>
      <c r="Z48" s="46">
        <f>Finance!H7</f>
        <v>0</v>
      </c>
      <c r="AA48" s="28"/>
      <c r="AB48" s="28"/>
      <c r="AC48" s="32"/>
      <c r="AD48" s="28"/>
      <c r="AE48" s="211" t="str">
        <f>Trends!B2</f>
        <v>Summary</v>
      </c>
      <c r="AF48" s="212" t="str">
        <f>Trends!C2</f>
        <v>9spokes</v>
      </c>
      <c r="AG48" s="213" t="str">
        <f>Trends!D2</f>
        <v>9 spokes</v>
      </c>
      <c r="AH48" s="214" t="str">
        <f>Trends!E2</f>
        <v>shwoop</v>
      </c>
      <c r="AI48" s="214">
        <f>Trends!F2</f>
        <v>0</v>
      </c>
      <c r="AJ48" s="213">
        <f>Trends!G2</f>
        <v>0</v>
      </c>
      <c r="AK48" s="28"/>
      <c r="AL48" s="28"/>
      <c r="AM48" s="28"/>
      <c r="AN48" s="32"/>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row>
    <row r="49" spans="2:154" ht="14.5" customHeight="1" x14ac:dyDescent="0.3">
      <c r="B49" s="144" t="s">
        <v>13</v>
      </c>
      <c r="C49" s="145"/>
      <c r="D49" s="169">
        <f>House!F15</f>
        <v>0</v>
      </c>
      <c r="E49" s="170"/>
      <c r="K49" s="36"/>
      <c r="M49" s="119"/>
      <c r="N49" s="120"/>
      <c r="O49" s="34">
        <f>Linkedin!D47</f>
        <v>0</v>
      </c>
      <c r="P49" s="125"/>
      <c r="Q49" s="120"/>
      <c r="S49" s="34" t="s">
        <v>588</v>
      </c>
      <c r="X49" s="53" t="str">
        <f>Finance!F8</f>
        <v>volume</v>
      </c>
      <c r="Y49" s="54">
        <f>Finance!G8</f>
        <v>0</v>
      </c>
      <c r="Z49" s="83">
        <f>Finance!H8</f>
        <v>0</v>
      </c>
      <c r="AA49" s="28"/>
      <c r="AB49" s="28"/>
      <c r="AC49" s="32"/>
      <c r="AD49" s="28"/>
      <c r="AE49" s="44" t="str">
        <f>Trends!B3</f>
        <v>average</v>
      </c>
      <c r="AF49" s="100" t="str">
        <f>Trends!C3</f>
        <v>40</v>
      </c>
      <c r="AG49" s="203" t="str">
        <f>Trends!D3</f>
        <v>12</v>
      </c>
      <c r="AH49" s="207" t="str">
        <f>Trends!E3</f>
        <v>19</v>
      </c>
      <c r="AI49" s="203">
        <f>Trends!F3</f>
        <v>0</v>
      </c>
      <c r="AJ49" s="201">
        <f>Trends!G3</f>
        <v>0</v>
      </c>
      <c r="AK49" s="28"/>
      <c r="AL49" s="28"/>
      <c r="AM49" s="28"/>
      <c r="AN49" s="32"/>
      <c r="AO49" s="28"/>
      <c r="AP49" s="28"/>
      <c r="AQ49" s="28"/>
      <c r="AR49" s="28"/>
      <c r="AS49" s="28"/>
      <c r="AT49" s="28"/>
      <c r="AU49" s="28"/>
      <c r="AV49" s="28"/>
      <c r="AW49" s="28"/>
      <c r="AX49" s="28"/>
      <c r="AY49" s="28"/>
      <c r="AZ49" s="28"/>
      <c r="BA49" s="28"/>
      <c r="BB49" s="28"/>
      <c r="BC49" s="28"/>
      <c r="BD49" s="28"/>
      <c r="BE49" s="28"/>
      <c r="BF49" s="28"/>
      <c r="BG49" s="28"/>
      <c r="BH49" s="28"/>
      <c r="BI49" s="28"/>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row>
    <row r="50" spans="2:154" ht="14.5" customHeight="1" x14ac:dyDescent="0.3">
      <c r="B50" s="148" t="s">
        <v>14</v>
      </c>
      <c r="C50" s="149"/>
      <c r="D50" s="156">
        <f>House!F16</f>
        <v>0</v>
      </c>
      <c r="E50" s="168"/>
      <c r="K50" s="36"/>
      <c r="M50" s="119"/>
      <c r="N50" s="120"/>
      <c r="O50" s="34">
        <f>Linkedin!D48</f>
        <v>0</v>
      </c>
      <c r="P50" s="125"/>
      <c r="Q50" s="120"/>
      <c r="S50" s="28"/>
      <c r="T50" s="28"/>
      <c r="U50" s="28"/>
      <c r="V50" s="28"/>
      <c r="W50" s="28"/>
      <c r="X50" s="28"/>
      <c r="Y50" s="28"/>
      <c r="Z50" s="28"/>
      <c r="AA50" s="28"/>
      <c r="AB50" s="28"/>
      <c r="AC50" s="32"/>
      <c r="AD50" s="28"/>
      <c r="AE50" s="47" t="str">
        <f>Trends!B4</f>
        <v>top country</v>
      </c>
      <c r="AF50" s="101" t="str">
        <f>Trends!C4</f>
        <v>strya</v>
      </c>
      <c r="AG50" s="204" t="str">
        <f>Trends!D4</f>
        <v>india</v>
      </c>
      <c r="AH50" s="208" t="str">
        <f>Trends!E4</f>
        <v>nz</v>
      </c>
      <c r="AI50" s="204">
        <f>Trends!F4</f>
        <v>0</v>
      </c>
      <c r="AJ50" s="48">
        <f>Trends!G4</f>
        <v>0</v>
      </c>
      <c r="AK50" s="28"/>
      <c r="AL50" s="28"/>
      <c r="AM50" s="28"/>
      <c r="AN50" s="32"/>
      <c r="AO50" s="28"/>
      <c r="AP50" s="28"/>
      <c r="AQ50" s="28"/>
      <c r="AR50" s="28"/>
      <c r="AS50" s="28"/>
      <c r="AT50" s="28"/>
      <c r="AU50" s="28"/>
      <c r="AV50" s="28"/>
      <c r="AW50" s="28"/>
      <c r="AX50" s="28"/>
      <c r="AY50" s="28"/>
      <c r="AZ50" s="28"/>
      <c r="BA50" s="28"/>
      <c r="BB50" s="28"/>
      <c r="BC50" s="28"/>
      <c r="BD50" s="28"/>
      <c r="BE50" s="28"/>
      <c r="BF50" s="28"/>
      <c r="BG50" s="28"/>
      <c r="BH50" s="28"/>
      <c r="BI50" s="28"/>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row>
    <row r="51" spans="2:154" ht="14.5" customHeight="1" thickBot="1" x14ac:dyDescent="0.35">
      <c r="B51" s="144" t="s">
        <v>16</v>
      </c>
      <c r="C51" s="145"/>
      <c r="D51" s="169">
        <f>House!F17</f>
        <v>0</v>
      </c>
      <c r="E51" s="170"/>
      <c r="K51" s="36"/>
      <c r="M51" s="119"/>
      <c r="N51" s="120"/>
      <c r="O51" s="34">
        <f>Linkedin!D49</f>
        <v>0</v>
      </c>
      <c r="P51" s="125"/>
      <c r="Q51" s="120"/>
      <c r="S51" s="34" t="s">
        <v>2</v>
      </c>
      <c r="X51" s="107" t="str">
        <f>Finance!J2</f>
        <v>Summary</v>
      </c>
      <c r="Y51" s="108"/>
      <c r="Z51" s="109"/>
      <c r="AA51" s="28"/>
      <c r="AB51" s="28"/>
      <c r="AC51" s="32"/>
      <c r="AD51" s="28"/>
      <c r="AE51" s="50">
        <f>Trends!B5</f>
        <v>0</v>
      </c>
      <c r="AF51" s="102">
        <f>Trends!C5</f>
        <v>0</v>
      </c>
      <c r="AG51" s="205">
        <f>Trends!D5</f>
        <v>0</v>
      </c>
      <c r="AH51" s="209">
        <f>Trends!E5</f>
        <v>0</v>
      </c>
      <c r="AI51" s="205">
        <f>Trends!F5</f>
        <v>0</v>
      </c>
      <c r="AJ51" s="51">
        <f>Trends!G5</f>
        <v>0</v>
      </c>
      <c r="AK51" s="28"/>
      <c r="AL51" s="28"/>
      <c r="AM51" s="28"/>
      <c r="AN51" s="32"/>
      <c r="AO51" s="28"/>
      <c r="AP51" s="28"/>
      <c r="AQ51" s="28"/>
      <c r="AR51" s="28"/>
      <c r="AS51" s="28"/>
      <c r="AT51" s="28"/>
      <c r="AU51" s="28"/>
      <c r="AV51" s="28"/>
      <c r="AW51" s="28"/>
      <c r="AX51" s="28"/>
      <c r="AY51" s="28"/>
      <c r="AZ51" s="28"/>
      <c r="BA51" s="28"/>
      <c r="BB51" s="28"/>
      <c r="BC51" s="28"/>
      <c r="BD51" s="28"/>
      <c r="BE51" s="28"/>
      <c r="BF51" s="28"/>
      <c r="BG51" s="28"/>
      <c r="BH51" s="28"/>
      <c r="BI51" s="28"/>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row>
    <row r="52" spans="2:154" ht="14.5" customHeight="1" x14ac:dyDescent="0.3">
      <c r="B52" s="148" t="s">
        <v>17</v>
      </c>
      <c r="C52" s="149"/>
      <c r="D52" s="156">
        <f>House!F18</f>
        <v>0</v>
      </c>
      <c r="E52" s="168"/>
      <c r="K52" s="36"/>
      <c r="M52" s="119"/>
      <c r="N52" s="120"/>
      <c r="O52" s="34">
        <f>Linkedin!D50</f>
        <v>0</v>
      </c>
      <c r="P52" s="125"/>
      <c r="Q52" s="120"/>
      <c r="S52" s="110">
        <f>Finance!$J$1</f>
        <v>3</v>
      </c>
      <c r="T52" s="110"/>
      <c r="U52" s="110"/>
      <c r="V52" s="110"/>
      <c r="W52" s="111"/>
      <c r="X52" s="44" t="str">
        <f>Finance!J3</f>
        <v>revenue</v>
      </c>
      <c r="Y52" s="37">
        <f>Finance!K3</f>
        <v>0</v>
      </c>
      <c r="Z52" s="38">
        <f>Finance!L3</f>
        <v>0</v>
      </c>
      <c r="AA52" s="28"/>
      <c r="AB52" s="28"/>
      <c r="AC52" s="32"/>
      <c r="AD52" s="28"/>
      <c r="AE52" s="47">
        <f>Trends!B6</f>
        <v>0</v>
      </c>
      <c r="AF52" s="101">
        <f>Trends!C6</f>
        <v>0</v>
      </c>
      <c r="AG52" s="204">
        <f>Trends!D6</f>
        <v>0</v>
      </c>
      <c r="AH52" s="208">
        <f>Trends!E6</f>
        <v>0</v>
      </c>
      <c r="AI52" s="204">
        <f>Trends!F6</f>
        <v>0</v>
      </c>
      <c r="AJ52" s="48">
        <f>Trends!G6</f>
        <v>0</v>
      </c>
      <c r="AK52" s="28"/>
      <c r="AL52" s="28"/>
      <c r="AM52" s="28"/>
      <c r="AN52" s="32"/>
      <c r="AO52" s="28"/>
      <c r="AP52" s="28"/>
      <c r="AQ52" s="28"/>
      <c r="AR52" s="28"/>
      <c r="AS52" s="28"/>
      <c r="AT52" s="28"/>
      <c r="AU52" s="28"/>
      <c r="AV52" s="28"/>
      <c r="AW52" s="28"/>
      <c r="AX52" s="28"/>
      <c r="AY52" s="28"/>
      <c r="AZ52" s="28"/>
      <c r="BA52" s="28"/>
      <c r="BB52" s="28"/>
      <c r="BC52" s="28"/>
      <c r="BD52" s="28"/>
      <c r="BE52" s="28"/>
      <c r="BF52" s="28"/>
      <c r="BG52" s="28"/>
      <c r="BH52" s="28"/>
      <c r="BI52" s="28"/>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row>
    <row r="53" spans="2:154" ht="14.5" customHeight="1" x14ac:dyDescent="0.3">
      <c r="B53" s="152" t="s">
        <v>18</v>
      </c>
      <c r="C53" s="153"/>
      <c r="D53" s="171">
        <f>House!F19</f>
        <v>0</v>
      </c>
      <c r="E53" s="172"/>
      <c r="K53" s="36"/>
      <c r="M53" s="119"/>
      <c r="N53" s="120"/>
      <c r="O53" s="34">
        <f>Linkedin!D51</f>
        <v>0</v>
      </c>
      <c r="P53" s="125"/>
      <c r="Q53" s="120"/>
      <c r="S53" s="110"/>
      <c r="T53" s="110"/>
      <c r="U53" s="110"/>
      <c r="V53" s="110"/>
      <c r="W53" s="111"/>
      <c r="X53" s="47" t="str">
        <f>Finance!J4</f>
        <v>net income</v>
      </c>
      <c r="Y53" s="41">
        <f>Finance!K4</f>
        <v>0</v>
      </c>
      <c r="Z53" s="42">
        <f>Finance!L4</f>
        <v>0</v>
      </c>
      <c r="AA53" s="28"/>
      <c r="AB53" s="28"/>
      <c r="AC53" s="32"/>
      <c r="AD53" s="28"/>
      <c r="AE53" s="50">
        <f>Trends!B7</f>
        <v>0</v>
      </c>
      <c r="AF53" s="102">
        <f>Trends!C7</f>
        <v>0</v>
      </c>
      <c r="AG53" s="205">
        <f>Trends!D7</f>
        <v>0</v>
      </c>
      <c r="AH53" s="209">
        <f>Trends!E7</f>
        <v>0</v>
      </c>
      <c r="AI53" s="205">
        <f>Trends!F7</f>
        <v>0</v>
      </c>
      <c r="AJ53" s="51">
        <f>Trends!G7</f>
        <v>0</v>
      </c>
      <c r="AK53" s="28"/>
      <c r="AL53" s="28"/>
      <c r="AM53" s="28"/>
      <c r="AN53" s="32"/>
      <c r="AO53" s="28"/>
      <c r="AP53" s="28"/>
      <c r="AQ53" s="28"/>
      <c r="AR53" s="28"/>
      <c r="AS53" s="28"/>
      <c r="AT53" s="28"/>
      <c r="AU53" s="28"/>
      <c r="AV53" s="28"/>
      <c r="AW53" s="28"/>
      <c r="AX53" s="28"/>
      <c r="AY53" s="28"/>
      <c r="AZ53" s="28"/>
      <c r="BA53" s="28"/>
      <c r="BB53" s="28"/>
      <c r="BC53" s="28"/>
      <c r="BD53" s="28"/>
      <c r="BE53" s="28"/>
      <c r="BF53" s="28"/>
      <c r="BG53" s="28"/>
      <c r="BH53" s="28"/>
      <c r="BI53" s="28"/>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row>
    <row r="54" spans="2:154" ht="14.5" customHeight="1" x14ac:dyDescent="0.3">
      <c r="K54" s="36"/>
      <c r="M54" s="119"/>
      <c r="N54" s="120"/>
      <c r="O54" s="34">
        <f>Linkedin!D52</f>
        <v>0</v>
      </c>
      <c r="P54" s="125"/>
      <c r="Q54" s="120"/>
      <c r="S54" s="110"/>
      <c r="T54" s="110"/>
      <c r="U54" s="110"/>
      <c r="V54" s="110"/>
      <c r="W54" s="111"/>
      <c r="X54" s="50" t="str">
        <f>Finance!J5</f>
        <v>net profit margin</v>
      </c>
      <c r="Y54" s="45">
        <f>Finance!K5</f>
        <v>0</v>
      </c>
      <c r="Z54" s="46">
        <f>Finance!L5</f>
        <v>0</v>
      </c>
      <c r="AA54" s="28"/>
      <c r="AB54" s="28"/>
      <c r="AC54" s="32"/>
      <c r="AD54" s="28"/>
      <c r="AE54" s="53">
        <f>Trends!B8</f>
        <v>0</v>
      </c>
      <c r="AF54" s="103">
        <f>Trends!C8</f>
        <v>0</v>
      </c>
      <c r="AG54" s="215">
        <f>Trends!D8</f>
        <v>0</v>
      </c>
      <c r="AH54" s="216">
        <f>Trends!E8</f>
        <v>0</v>
      </c>
      <c r="AI54" s="215">
        <f>Trends!F8</f>
        <v>0</v>
      </c>
      <c r="AJ54" s="217">
        <f>Trends!G8</f>
        <v>0</v>
      </c>
      <c r="AK54" s="28"/>
      <c r="AL54" s="28"/>
      <c r="AM54" s="28"/>
      <c r="AN54" s="32"/>
      <c r="AO54" s="28"/>
      <c r="AP54" s="28"/>
      <c r="AQ54" s="28"/>
      <c r="AR54" s="28"/>
      <c r="AS54" s="28"/>
      <c r="AT54" s="28"/>
      <c r="AU54" s="28"/>
      <c r="AV54" s="28"/>
      <c r="AW54" s="28"/>
      <c r="AX54" s="28"/>
      <c r="AY54" s="28"/>
      <c r="AZ54" s="28"/>
      <c r="BA54" s="28"/>
      <c r="BB54" s="28"/>
      <c r="BC54" s="28"/>
      <c r="BD54" s="28"/>
      <c r="BE54" s="28"/>
      <c r="BF54" s="28"/>
      <c r="BG54" s="28"/>
      <c r="BH54" s="28"/>
      <c r="BI54" s="28"/>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row>
    <row r="55" spans="2:154" ht="15" customHeight="1" thickBot="1" x14ac:dyDescent="0.35">
      <c r="B55" s="123" t="s">
        <v>19</v>
      </c>
      <c r="C55" s="115"/>
      <c r="D55" s="115"/>
      <c r="E55" s="116"/>
      <c r="K55" s="36"/>
      <c r="M55" s="119"/>
      <c r="N55" s="120"/>
      <c r="O55" s="34">
        <f>Linkedin!D53</f>
        <v>0</v>
      </c>
      <c r="P55" s="125"/>
      <c r="Q55" s="120"/>
      <c r="S55" s="110"/>
      <c r="T55" s="110"/>
      <c r="U55" s="110"/>
      <c r="V55" s="110"/>
      <c r="W55" s="111"/>
      <c r="X55" s="47" t="str">
        <f>Finance!J6</f>
        <v>share value</v>
      </c>
      <c r="Y55" s="41">
        <f>Finance!K6</f>
        <v>0</v>
      </c>
      <c r="Z55" s="42">
        <f>Finance!L6</f>
        <v>0</v>
      </c>
      <c r="AA55" s="28"/>
      <c r="AB55" s="28"/>
      <c r="AC55" s="32"/>
      <c r="AD55" s="28"/>
      <c r="AE55" s="28"/>
      <c r="AF55" s="28"/>
      <c r="AG55" s="28"/>
      <c r="AH55" s="28"/>
      <c r="AI55" s="28"/>
      <c r="AJ55" s="28"/>
      <c r="AK55" s="28"/>
      <c r="AL55" s="28"/>
      <c r="AM55" s="28"/>
      <c r="AN55" s="32"/>
      <c r="AO55" s="28"/>
      <c r="AP55" s="28"/>
      <c r="AQ55" s="28"/>
      <c r="AR55" s="28"/>
      <c r="AS55" s="28"/>
      <c r="AT55" s="28"/>
      <c r="AU55" s="28"/>
      <c r="AV55" s="28"/>
      <c r="AW55" s="28"/>
      <c r="AX55" s="28"/>
      <c r="AY55" s="28"/>
      <c r="AZ55" s="28"/>
      <c r="BA55" s="28"/>
      <c r="BB55" s="28"/>
      <c r="BC55" s="28"/>
      <c r="BD55" s="28"/>
      <c r="BE55" s="28"/>
      <c r="BF55" s="28"/>
      <c r="BG55" s="28"/>
      <c r="BH55" s="28"/>
      <c r="BI55" s="28"/>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row>
    <row r="56" spans="2:154" ht="14.5" customHeight="1" x14ac:dyDescent="0.3">
      <c r="B56" s="138">
        <f>House!E22</f>
        <v>0</v>
      </c>
      <c r="C56" s="139"/>
      <c r="D56" s="139"/>
      <c r="E56" s="140"/>
      <c r="K56" s="36"/>
      <c r="M56" s="119"/>
      <c r="N56" s="120"/>
      <c r="O56" s="34">
        <f>Linkedin!D54</f>
        <v>0</v>
      </c>
      <c r="P56" s="125"/>
      <c r="Q56" s="120"/>
      <c r="S56" s="110"/>
      <c r="T56" s="110"/>
      <c r="U56" s="110"/>
      <c r="V56" s="110"/>
      <c r="W56" s="111"/>
      <c r="X56" s="50" t="str">
        <f>Finance!J7</f>
        <v>market cap</v>
      </c>
      <c r="Y56" s="45">
        <f>Finance!K7</f>
        <v>0</v>
      </c>
      <c r="Z56" s="46">
        <f>Finance!L7</f>
        <v>0</v>
      </c>
      <c r="AA56" s="28"/>
      <c r="AB56" s="28"/>
      <c r="AC56" s="32"/>
      <c r="AD56" s="28"/>
      <c r="AE56" s="28"/>
      <c r="AF56" s="28"/>
      <c r="AG56" s="28"/>
      <c r="AH56" s="28"/>
      <c r="AI56" s="28"/>
      <c r="AJ56" s="28"/>
      <c r="AK56" s="28"/>
      <c r="AL56" s="28"/>
      <c r="AM56" s="28"/>
      <c r="AN56" s="32"/>
      <c r="AO56" s="28"/>
      <c r="AP56" s="28"/>
      <c r="AQ56" s="28"/>
      <c r="AR56" s="28"/>
      <c r="AS56" s="28"/>
      <c r="AT56" s="28"/>
      <c r="AU56" s="28"/>
      <c r="AV56" s="28"/>
      <c r="AW56" s="28"/>
      <c r="AX56" s="28"/>
      <c r="AY56" s="28"/>
      <c r="AZ56" s="28"/>
      <c r="BA56" s="28"/>
      <c r="BB56" s="28"/>
      <c r="BC56" s="28"/>
      <c r="BD56" s="28"/>
      <c r="BE56" s="28"/>
      <c r="BF56" s="28"/>
      <c r="BG56" s="28"/>
      <c r="BH56" s="28"/>
      <c r="BI56" s="28"/>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row>
    <row r="57" spans="2:154" ht="14.5" customHeight="1" x14ac:dyDescent="0.3">
      <c r="B57" s="141">
        <f>House!E23</f>
        <v>0</v>
      </c>
      <c r="C57" s="142"/>
      <c r="D57" s="142"/>
      <c r="E57" s="143"/>
      <c r="K57" s="36"/>
      <c r="M57" s="119"/>
      <c r="N57" s="120"/>
      <c r="O57" s="34">
        <f>Linkedin!D55</f>
        <v>0</v>
      </c>
      <c r="P57" s="125"/>
      <c r="Q57" s="120"/>
      <c r="S57" s="34" t="s">
        <v>588</v>
      </c>
      <c r="X57" s="53" t="str">
        <f>Finance!J8</f>
        <v>volume</v>
      </c>
      <c r="Y57" s="54">
        <f>Finance!K8</f>
        <v>0</v>
      </c>
      <c r="Z57" s="83">
        <f>Finance!L8</f>
        <v>0</v>
      </c>
      <c r="AA57" s="28"/>
      <c r="AB57" s="28"/>
      <c r="AC57" s="32"/>
      <c r="AD57" s="28"/>
      <c r="AE57" s="28"/>
      <c r="AF57" s="28"/>
      <c r="AG57" s="28"/>
      <c r="AH57" s="28"/>
      <c r="AI57" s="28"/>
      <c r="AJ57" s="28"/>
      <c r="AK57" s="28"/>
      <c r="AL57" s="28"/>
      <c r="AM57" s="28"/>
      <c r="AN57" s="32"/>
      <c r="AO57" s="28"/>
      <c r="AP57" s="28"/>
      <c r="AQ57" s="28"/>
      <c r="AR57" s="28"/>
      <c r="AS57" s="28"/>
      <c r="AT57" s="28"/>
      <c r="AU57" s="28"/>
      <c r="AV57" s="28"/>
      <c r="AW57" s="28"/>
      <c r="AX57" s="28"/>
      <c r="AY57" s="28"/>
      <c r="AZ57" s="28"/>
      <c r="BA57" s="28"/>
      <c r="BB57" s="28"/>
      <c r="BC57" s="28"/>
      <c r="BD57" s="28"/>
      <c r="BE57" s="28"/>
      <c r="BF57" s="28"/>
      <c r="BG57" s="28"/>
      <c r="BH57" s="28"/>
      <c r="BI57" s="28"/>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row>
    <row r="58" spans="2:154" ht="14.5" customHeight="1" x14ac:dyDescent="0.3">
      <c r="B58" s="138">
        <f>House!E24</f>
        <v>0</v>
      </c>
      <c r="C58" s="139"/>
      <c r="D58" s="139"/>
      <c r="E58" s="140"/>
      <c r="K58" s="36"/>
      <c r="M58" s="119"/>
      <c r="N58" s="120"/>
      <c r="O58" s="34">
        <f>Linkedin!D56</f>
        <v>0</v>
      </c>
      <c r="P58" s="125"/>
      <c r="Q58" s="120"/>
      <c r="S58" s="28"/>
      <c r="T58" s="28"/>
      <c r="U58" s="28"/>
      <c r="V58" s="28"/>
      <c r="W58" s="28"/>
      <c r="X58" s="28"/>
      <c r="Y58" s="28"/>
      <c r="Z58" s="28"/>
      <c r="AA58" s="28"/>
      <c r="AB58" s="28"/>
      <c r="AC58" s="32"/>
      <c r="AD58" s="28"/>
      <c r="AE58" s="28"/>
      <c r="AF58" s="28"/>
      <c r="AG58" s="28"/>
      <c r="AH58" s="28"/>
      <c r="AI58" s="28"/>
      <c r="AJ58" s="28"/>
      <c r="AK58" s="28"/>
      <c r="AL58" s="28"/>
      <c r="AM58" s="28"/>
      <c r="AN58" s="32"/>
      <c r="AO58" s="28"/>
      <c r="AP58" s="28"/>
      <c r="AQ58" s="28"/>
      <c r="AR58" s="28"/>
      <c r="AS58" s="28"/>
      <c r="AT58" s="28"/>
      <c r="AU58" s="28"/>
      <c r="AV58" s="28"/>
      <c r="AW58" s="28"/>
      <c r="AX58" s="28"/>
      <c r="AY58" s="28"/>
      <c r="AZ58" s="28"/>
      <c r="BA58" s="28"/>
      <c r="BB58" s="28"/>
      <c r="BC58" s="28"/>
      <c r="BD58" s="28"/>
      <c r="BE58" s="28"/>
      <c r="BF58" s="28"/>
      <c r="BG58" s="28"/>
      <c r="BH58" s="28"/>
      <c r="BI58" s="28"/>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row>
    <row r="59" spans="2:154" ht="14.5" customHeight="1" thickBot="1" x14ac:dyDescent="0.35">
      <c r="B59" s="141">
        <f>House!E25</f>
        <v>0</v>
      </c>
      <c r="C59" s="142"/>
      <c r="D59" s="142"/>
      <c r="E59" s="143"/>
      <c r="K59" s="36"/>
      <c r="M59" s="119"/>
      <c r="N59" s="120"/>
      <c r="O59" s="34">
        <f>Linkedin!D57</f>
        <v>0</v>
      </c>
      <c r="P59" s="125"/>
      <c r="Q59" s="120"/>
      <c r="S59" s="34" t="s">
        <v>2</v>
      </c>
      <c r="X59" s="107" t="str">
        <f>Finance!N2</f>
        <v>Summary</v>
      </c>
      <c r="Y59" s="108"/>
      <c r="Z59" s="109"/>
      <c r="AA59" s="28"/>
      <c r="AB59" s="28"/>
      <c r="AC59" s="32"/>
      <c r="AD59" s="28"/>
      <c r="AE59" s="28"/>
      <c r="AF59" s="28"/>
      <c r="AG59" s="28"/>
      <c r="AH59" s="28"/>
      <c r="AI59" s="28"/>
      <c r="AJ59" s="28"/>
      <c r="AK59" s="28"/>
      <c r="AL59" s="28"/>
      <c r="AM59" s="28"/>
      <c r="AN59" s="32"/>
      <c r="AO59" s="28"/>
      <c r="AP59" s="28"/>
      <c r="AQ59" s="28"/>
      <c r="AR59" s="28"/>
      <c r="AS59" s="28"/>
      <c r="AT59" s="28"/>
      <c r="AU59" s="28"/>
      <c r="AV59" s="28"/>
      <c r="AW59" s="28"/>
      <c r="AX59" s="28"/>
      <c r="AY59" s="28"/>
      <c r="AZ59" s="28"/>
      <c r="BA59" s="28"/>
      <c r="BB59" s="28"/>
      <c r="BC59" s="28"/>
      <c r="BD59" s="28"/>
      <c r="BE59" s="28"/>
      <c r="BF59" s="28"/>
      <c r="BG59" s="28"/>
      <c r="BH59" s="28"/>
      <c r="BI59" s="28"/>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row>
    <row r="60" spans="2:154" ht="14.5" customHeight="1" x14ac:dyDescent="0.3">
      <c r="B60" s="135">
        <f>House!E26</f>
        <v>0</v>
      </c>
      <c r="C60" s="136"/>
      <c r="D60" s="136"/>
      <c r="E60" s="137"/>
      <c r="K60" s="36"/>
      <c r="M60" s="119"/>
      <c r="N60" s="120"/>
      <c r="O60" s="34">
        <f>Linkedin!D58</f>
        <v>0</v>
      </c>
      <c r="P60" s="125"/>
      <c r="Q60" s="120"/>
      <c r="S60" s="110">
        <f>Finance!$N$1</f>
        <v>4</v>
      </c>
      <c r="T60" s="110"/>
      <c r="U60" s="110"/>
      <c r="V60" s="110"/>
      <c r="W60" s="111"/>
      <c r="X60" s="44" t="str">
        <f>Finance!N3</f>
        <v>revenue</v>
      </c>
      <c r="Y60" s="37">
        <f>Finance!O3</f>
        <v>0</v>
      </c>
      <c r="Z60" s="38">
        <f>Finance!P3</f>
        <v>0</v>
      </c>
      <c r="AA60" s="28"/>
      <c r="AB60" s="28"/>
      <c r="AC60" s="32"/>
      <c r="AD60" s="28"/>
      <c r="AE60" s="28"/>
      <c r="AF60" s="28"/>
      <c r="AG60" s="28"/>
      <c r="AH60" s="28"/>
      <c r="AI60" s="28"/>
      <c r="AJ60" s="28"/>
      <c r="AK60" s="28"/>
      <c r="AL60" s="28"/>
      <c r="AM60" s="28"/>
      <c r="AN60" s="32"/>
      <c r="AO60" s="28"/>
      <c r="AP60" s="28"/>
      <c r="AQ60" s="28"/>
      <c r="AR60" s="28"/>
      <c r="AS60" s="28"/>
      <c r="AT60" s="28"/>
      <c r="AU60" s="28"/>
      <c r="AV60" s="28"/>
      <c r="AW60" s="28"/>
      <c r="AX60" s="28"/>
      <c r="AY60" s="28"/>
      <c r="AZ60" s="28"/>
      <c r="BA60" s="28"/>
      <c r="BB60" s="28"/>
      <c r="BC60" s="28"/>
      <c r="BD60" s="28"/>
      <c r="BE60" s="28"/>
      <c r="BF60" s="28"/>
      <c r="BG60" s="28"/>
      <c r="BH60" s="28"/>
      <c r="BI60" s="28"/>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row>
    <row r="61" spans="2:154" ht="14.5" customHeight="1" x14ac:dyDescent="0.3">
      <c r="K61" s="36"/>
      <c r="M61" s="119"/>
      <c r="N61" s="120"/>
      <c r="O61" s="34">
        <f>Linkedin!D59</f>
        <v>0</v>
      </c>
      <c r="P61" s="125"/>
      <c r="Q61" s="120"/>
      <c r="S61" s="110"/>
      <c r="T61" s="110"/>
      <c r="U61" s="110"/>
      <c r="V61" s="110"/>
      <c r="W61" s="111"/>
      <c r="X61" s="47" t="str">
        <f>Finance!N4</f>
        <v>net income</v>
      </c>
      <c r="Y61" s="41">
        <f>Finance!O4</f>
        <v>0</v>
      </c>
      <c r="Z61" s="42">
        <f>Finance!P4</f>
        <v>0</v>
      </c>
      <c r="AA61" s="28"/>
      <c r="AB61" s="28"/>
      <c r="AC61" s="32"/>
      <c r="AD61" s="28"/>
      <c r="AE61" s="28"/>
      <c r="AF61" s="28"/>
      <c r="AG61" s="28"/>
      <c r="AH61" s="28"/>
      <c r="AI61" s="28"/>
      <c r="AJ61" s="28"/>
      <c r="AK61" s="28"/>
      <c r="AL61" s="28"/>
      <c r="AM61" s="28"/>
      <c r="AN61" s="32"/>
      <c r="AO61" s="28"/>
      <c r="AP61" s="28"/>
      <c r="AQ61" s="28"/>
      <c r="AR61" s="28"/>
      <c r="AS61" s="28"/>
      <c r="AT61" s="28"/>
      <c r="AU61" s="28"/>
      <c r="AV61" s="28"/>
      <c r="AW61" s="28"/>
      <c r="AX61" s="28"/>
      <c r="AY61" s="28"/>
      <c r="AZ61" s="28"/>
      <c r="BA61" s="28"/>
      <c r="BB61" s="28"/>
      <c r="BC61" s="28"/>
      <c r="BD61" s="28"/>
      <c r="BE61" s="28"/>
      <c r="BF61" s="28"/>
      <c r="BG61" s="28"/>
      <c r="BH61" s="28"/>
      <c r="BI61" s="28"/>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row>
    <row r="62" spans="2:154" ht="15" customHeight="1" thickBot="1" x14ac:dyDescent="0.35">
      <c r="B62" s="59"/>
      <c r="C62" s="59"/>
      <c r="D62" s="60"/>
      <c r="E62" s="60"/>
      <c r="F62" s="59"/>
      <c r="G62" s="59"/>
      <c r="H62" s="59"/>
      <c r="I62" s="59"/>
      <c r="J62" s="59"/>
      <c r="K62" s="59"/>
      <c r="M62" s="119"/>
      <c r="N62" s="120"/>
      <c r="O62" s="34">
        <f>Linkedin!D60</f>
        <v>0</v>
      </c>
      <c r="P62" s="125"/>
      <c r="Q62" s="120"/>
      <c r="S62" s="110"/>
      <c r="T62" s="110"/>
      <c r="U62" s="110"/>
      <c r="V62" s="110"/>
      <c r="W62" s="111"/>
      <c r="X62" s="50" t="str">
        <f>Finance!N5</f>
        <v>net profit margin</v>
      </c>
      <c r="Y62" s="45">
        <f>Finance!O5</f>
        <v>0</v>
      </c>
      <c r="Z62" s="46">
        <f>Finance!P5</f>
        <v>0</v>
      </c>
      <c r="AA62" s="28"/>
      <c r="AB62" s="28"/>
      <c r="AC62" s="32"/>
      <c r="AD62" s="28"/>
      <c r="AE62" s="28"/>
      <c r="AF62" s="28"/>
      <c r="AG62" s="28"/>
      <c r="AH62" s="28"/>
      <c r="AI62" s="28"/>
      <c r="AJ62" s="28"/>
      <c r="AK62" s="28"/>
      <c r="AL62" s="28"/>
      <c r="AM62" s="28"/>
      <c r="AN62" s="32"/>
      <c r="AO62" s="28"/>
      <c r="AP62" s="28"/>
      <c r="AQ62" s="28"/>
      <c r="AR62" s="28"/>
      <c r="AS62" s="28"/>
      <c r="AT62" s="28"/>
      <c r="AU62" s="28"/>
      <c r="AV62" s="28"/>
      <c r="AW62" s="28"/>
      <c r="AX62" s="28"/>
      <c r="AY62" s="28"/>
      <c r="AZ62" s="28"/>
      <c r="BA62" s="28"/>
      <c r="BB62" s="28"/>
      <c r="BC62" s="28"/>
      <c r="BD62" s="28"/>
      <c r="BE62" s="28"/>
      <c r="BF62" s="28"/>
      <c r="BG62" s="28"/>
      <c r="BH62" s="28"/>
      <c r="BI62" s="28"/>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row>
    <row r="63" spans="2:154" ht="14.5" customHeight="1" x14ac:dyDescent="0.3">
      <c r="B63" s="163">
        <f>House!H1</f>
        <v>3</v>
      </c>
      <c r="C63" s="163"/>
      <c r="D63" s="163"/>
      <c r="E63" s="163"/>
      <c r="F63" s="163"/>
      <c r="G63" s="163"/>
      <c r="H63" s="163"/>
      <c r="I63" s="163"/>
      <c r="J63" s="163"/>
      <c r="K63" s="163"/>
      <c r="M63" s="119"/>
      <c r="N63" s="120"/>
      <c r="O63" s="34">
        <f>Linkedin!D61</f>
        <v>0</v>
      </c>
      <c r="P63" s="125"/>
      <c r="Q63" s="120"/>
      <c r="S63" s="110"/>
      <c r="T63" s="110"/>
      <c r="U63" s="110"/>
      <c r="V63" s="110"/>
      <c r="W63" s="111"/>
      <c r="X63" s="47" t="str">
        <f>Finance!N6</f>
        <v>share value</v>
      </c>
      <c r="Y63" s="41">
        <f>Finance!O6</f>
        <v>0</v>
      </c>
      <c r="Z63" s="42">
        <f>Finance!P6</f>
        <v>0</v>
      </c>
      <c r="AA63" s="28"/>
      <c r="AB63" s="28"/>
      <c r="AC63" s="32"/>
      <c r="AD63" s="28"/>
      <c r="AE63" s="28"/>
      <c r="AF63" s="28"/>
      <c r="AG63" s="28"/>
      <c r="AH63" s="28"/>
      <c r="AI63" s="28"/>
      <c r="AJ63" s="28"/>
      <c r="AK63" s="28"/>
      <c r="AL63" s="28"/>
      <c r="AM63" s="28"/>
      <c r="AN63" s="32"/>
      <c r="AO63" s="28"/>
      <c r="AP63" s="28"/>
      <c r="AQ63" s="28"/>
      <c r="AR63" s="28"/>
      <c r="AS63" s="28"/>
      <c r="AT63" s="28"/>
      <c r="AU63" s="28"/>
      <c r="AV63" s="28"/>
      <c r="AW63" s="28"/>
      <c r="AX63" s="28"/>
      <c r="AY63" s="28"/>
      <c r="AZ63" s="28"/>
      <c r="BA63" s="28"/>
      <c r="BB63" s="28"/>
      <c r="BC63" s="28"/>
      <c r="BD63" s="28"/>
      <c r="BE63" s="28"/>
      <c r="BF63" s="28"/>
      <c r="BG63" s="28"/>
      <c r="BH63" s="28"/>
      <c r="BI63" s="28"/>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row>
    <row r="64" spans="2:154" ht="14.5" customHeight="1" x14ac:dyDescent="0.3">
      <c r="B64" s="114"/>
      <c r="C64" s="114"/>
      <c r="D64" s="114"/>
      <c r="E64" s="114"/>
      <c r="F64" s="114"/>
      <c r="G64" s="114"/>
      <c r="H64" s="114"/>
      <c r="I64" s="114"/>
      <c r="J64" s="114"/>
      <c r="K64" s="114"/>
      <c r="M64" s="119"/>
      <c r="N64" s="120"/>
      <c r="O64" s="34">
        <f>Linkedin!D62</f>
        <v>0</v>
      </c>
      <c r="P64" s="125"/>
      <c r="Q64" s="120"/>
      <c r="S64" s="110"/>
      <c r="T64" s="110"/>
      <c r="U64" s="110"/>
      <c r="V64" s="110"/>
      <c r="W64" s="111"/>
      <c r="X64" s="50" t="str">
        <f>Finance!N7</f>
        <v>market cap</v>
      </c>
      <c r="Y64" s="45">
        <f>Finance!O7</f>
        <v>0</v>
      </c>
      <c r="Z64" s="46">
        <f>Finance!P7</f>
        <v>0</v>
      </c>
      <c r="AA64" s="28"/>
      <c r="AB64" s="28"/>
      <c r="AC64" s="32"/>
      <c r="AD64" s="28"/>
      <c r="AE64" s="28"/>
      <c r="AF64" s="28"/>
      <c r="AG64" s="28"/>
      <c r="AH64" s="28"/>
      <c r="AI64" s="28"/>
      <c r="AJ64" s="28"/>
      <c r="AK64" s="28"/>
      <c r="AL64" s="28"/>
      <c r="AM64" s="28"/>
      <c r="AN64" s="32"/>
      <c r="AO64" s="28"/>
      <c r="AP64" s="28"/>
      <c r="AQ64" s="28"/>
      <c r="AR64" s="28"/>
      <c r="AS64" s="28"/>
      <c r="AT64" s="28"/>
      <c r="AU64" s="28"/>
      <c r="AV64" s="28"/>
      <c r="AW64" s="28"/>
      <c r="AX64" s="28"/>
      <c r="AY64" s="28"/>
      <c r="AZ64" s="28"/>
      <c r="BA64" s="28"/>
      <c r="BB64" s="28"/>
      <c r="BC64" s="28"/>
      <c r="BD64" s="28"/>
      <c r="BE64" s="28"/>
      <c r="BF64" s="28"/>
      <c r="BG64" s="28"/>
      <c r="BH64" s="28"/>
      <c r="BI64" s="28"/>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row>
    <row r="65" spans="2:154" ht="14.5" customHeight="1" x14ac:dyDescent="0.3">
      <c r="K65" s="36"/>
      <c r="M65" s="119"/>
      <c r="N65" s="120"/>
      <c r="O65" s="34">
        <f>Linkedin!D63</f>
        <v>0</v>
      </c>
      <c r="P65" s="125"/>
      <c r="Q65" s="120"/>
      <c r="S65" s="34" t="s">
        <v>588</v>
      </c>
      <c r="X65" s="53" t="str">
        <f>Finance!N8</f>
        <v>volume</v>
      </c>
      <c r="Y65" s="54">
        <f>Finance!O8</f>
        <v>0</v>
      </c>
      <c r="Z65" s="83">
        <f>Finance!P8</f>
        <v>0</v>
      </c>
      <c r="AA65" s="28"/>
      <c r="AB65" s="28"/>
      <c r="AC65" s="32"/>
      <c r="AD65" s="28"/>
      <c r="AE65" s="28"/>
      <c r="AF65" s="28"/>
      <c r="AG65" s="28"/>
      <c r="AH65" s="28"/>
      <c r="AI65" s="28"/>
      <c r="AJ65" s="28"/>
      <c r="AK65" s="28"/>
      <c r="AL65" s="28"/>
      <c r="AM65" s="28"/>
      <c r="AN65" s="32"/>
      <c r="AO65" s="28"/>
      <c r="AP65" s="28"/>
      <c r="AQ65" s="28"/>
      <c r="AR65" s="28"/>
      <c r="AS65" s="28"/>
      <c r="AT65" s="28"/>
      <c r="AU65" s="28"/>
      <c r="AV65" s="28"/>
      <c r="AW65" s="28"/>
      <c r="AX65" s="28"/>
      <c r="AY65" s="28"/>
      <c r="AZ65" s="28"/>
      <c r="BA65" s="28"/>
      <c r="BB65" s="28"/>
      <c r="BC65" s="28"/>
      <c r="BD65" s="28"/>
      <c r="BE65" s="28"/>
      <c r="BF65" s="28"/>
      <c r="BG65" s="28"/>
      <c r="BH65" s="28"/>
      <c r="BI65" s="28"/>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row>
    <row r="66" spans="2:154" ht="15" customHeight="1" thickBot="1" x14ac:dyDescent="0.35">
      <c r="B66" s="107" t="s">
        <v>2</v>
      </c>
      <c r="C66" s="108"/>
      <c r="D66" s="108"/>
      <c r="E66" s="109"/>
      <c r="K66" s="36"/>
      <c r="M66" s="119"/>
      <c r="N66" s="120"/>
      <c r="O66" s="34">
        <f>Linkedin!D64</f>
        <v>0</v>
      </c>
      <c r="P66" s="125"/>
      <c r="Q66" s="120"/>
      <c r="S66" s="28"/>
      <c r="T66" s="28"/>
      <c r="U66" s="28"/>
      <c r="V66" s="28"/>
      <c r="W66" s="28"/>
      <c r="X66" s="28"/>
      <c r="Y66" s="28"/>
      <c r="Z66" s="28"/>
      <c r="AA66" s="28"/>
      <c r="AB66" s="28"/>
      <c r="AC66" s="32"/>
      <c r="AD66" s="28"/>
      <c r="AE66" s="28"/>
      <c r="AF66" s="28"/>
      <c r="AG66" s="28"/>
      <c r="AH66" s="28"/>
      <c r="AI66" s="28"/>
      <c r="AJ66" s="28"/>
      <c r="AK66" s="28"/>
      <c r="AL66" s="28"/>
      <c r="AM66" s="28"/>
      <c r="AN66" s="32"/>
      <c r="AO66" s="28"/>
      <c r="AP66" s="28"/>
      <c r="AQ66" s="28"/>
      <c r="AR66" s="28"/>
      <c r="AS66" s="28"/>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row>
    <row r="67" spans="2:154" ht="14.5" customHeight="1" thickBot="1" x14ac:dyDescent="0.35">
      <c r="B67" s="164" t="s">
        <v>3</v>
      </c>
      <c r="C67" s="165"/>
      <c r="D67" s="166">
        <f>House!I3</f>
        <v>0</v>
      </c>
      <c r="E67" s="167"/>
      <c r="K67" s="36"/>
      <c r="M67" s="121"/>
      <c r="N67" s="122"/>
      <c r="O67" s="34">
        <f>Linkedin!D65</f>
        <v>0</v>
      </c>
      <c r="P67" s="126"/>
      <c r="Q67" s="122"/>
      <c r="S67" s="34" t="s">
        <v>2</v>
      </c>
      <c r="X67" s="107" t="str">
        <f>Finance!R2</f>
        <v>Summary</v>
      </c>
      <c r="Y67" s="108"/>
      <c r="Z67" s="109"/>
      <c r="AA67" s="28"/>
      <c r="AB67" s="28"/>
      <c r="AC67" s="32"/>
      <c r="AD67" s="28"/>
      <c r="AE67" s="28"/>
      <c r="AF67" s="28"/>
      <c r="AG67" s="28"/>
      <c r="AH67" s="28"/>
      <c r="AI67" s="28"/>
      <c r="AJ67" s="28"/>
      <c r="AK67" s="28"/>
      <c r="AL67" s="28"/>
      <c r="AM67" s="28"/>
      <c r="AN67" s="32"/>
      <c r="AO67" s="28"/>
      <c r="AP67" s="28"/>
      <c r="AQ67" s="28"/>
      <c r="AR67" s="28"/>
      <c r="AS67" s="28"/>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row>
    <row r="68" spans="2:154" ht="14.5" customHeight="1" x14ac:dyDescent="0.3">
      <c r="B68" s="159" t="s">
        <v>4</v>
      </c>
      <c r="C68" s="160"/>
      <c r="D68" s="150">
        <f>House!I4</f>
        <v>0</v>
      </c>
      <c r="E68" s="151"/>
      <c r="K68" s="36"/>
      <c r="M68" s="127" t="str">
        <f>Linkedin!B67</f>
        <v>Etienne Naude</v>
      </c>
      <c r="N68" s="127"/>
      <c r="P68" s="127" t="str">
        <f>Linkedin!E67</f>
        <v>Auckland uni</v>
      </c>
      <c r="Q68" s="127"/>
      <c r="S68" s="110">
        <f>Finance!$R$1</f>
        <v>5</v>
      </c>
      <c r="T68" s="110"/>
      <c r="U68" s="110"/>
      <c r="V68" s="110"/>
      <c r="W68" s="111"/>
      <c r="X68" s="44" t="str">
        <f>Finance!R3</f>
        <v>revenue</v>
      </c>
      <c r="Y68" s="37">
        <f>Finance!S3</f>
        <v>0</v>
      </c>
      <c r="Z68" s="38">
        <f>Finance!T3</f>
        <v>0</v>
      </c>
      <c r="AA68" s="28"/>
      <c r="AB68" s="28"/>
      <c r="AC68" s="32"/>
      <c r="AD68" s="28"/>
      <c r="AE68" s="28"/>
      <c r="AF68" s="28"/>
      <c r="AG68" s="28"/>
      <c r="AH68" s="28"/>
      <c r="AI68" s="28"/>
      <c r="AJ68" s="28"/>
      <c r="AK68" s="28"/>
      <c r="AL68" s="28"/>
      <c r="AM68" s="28"/>
      <c r="AN68" s="32"/>
      <c r="AO68" s="28"/>
      <c r="AP68" s="28"/>
      <c r="AQ68" s="28"/>
      <c r="AR68" s="28"/>
      <c r="AS68" s="28"/>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row>
    <row r="69" spans="2:154" ht="14.5" customHeight="1" x14ac:dyDescent="0.3">
      <c r="B69" s="157" t="s">
        <v>5</v>
      </c>
      <c r="C69" s="158"/>
      <c r="D69" s="146">
        <f>House!I5</f>
        <v>0</v>
      </c>
      <c r="E69" s="147"/>
      <c r="K69" s="36"/>
      <c r="M69" s="128"/>
      <c r="N69" s="128"/>
      <c r="O69" s="34">
        <f>Linkedin!D67</f>
        <v>0</v>
      </c>
      <c r="P69" s="128"/>
      <c r="Q69" s="128"/>
      <c r="S69" s="110"/>
      <c r="T69" s="110"/>
      <c r="U69" s="110"/>
      <c r="V69" s="110"/>
      <c r="W69" s="111"/>
      <c r="X69" s="47" t="str">
        <f>Finance!R4</f>
        <v>net income</v>
      </c>
      <c r="Y69" s="41">
        <f>Finance!S4</f>
        <v>0</v>
      </c>
      <c r="Z69" s="42">
        <f>Finance!T4</f>
        <v>0</v>
      </c>
      <c r="AA69" s="28"/>
      <c r="AB69" s="28"/>
      <c r="AC69" s="32"/>
      <c r="AD69" s="28"/>
      <c r="AE69" s="28"/>
      <c r="AF69" s="28"/>
      <c r="AG69" s="28"/>
      <c r="AH69" s="28"/>
      <c r="AI69" s="28"/>
      <c r="AJ69" s="28"/>
      <c r="AK69" s="28"/>
      <c r="AL69" s="28"/>
      <c r="AM69" s="28"/>
      <c r="AN69" s="32"/>
      <c r="AO69" s="28"/>
      <c r="AP69" s="28"/>
      <c r="AQ69" s="28"/>
      <c r="AR69" s="28"/>
      <c r="AS69" s="28"/>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row>
    <row r="70" spans="2:154" ht="14.5" customHeight="1" thickBot="1" x14ac:dyDescent="0.35">
      <c r="B70" s="159" t="s">
        <v>6</v>
      </c>
      <c r="C70" s="160"/>
      <c r="D70" s="150">
        <f>House!I6</f>
        <v>0</v>
      </c>
      <c r="E70" s="151"/>
      <c r="K70" s="36"/>
      <c r="M70" s="108" t="str">
        <f>Linkedin!B68</f>
        <v>Summary</v>
      </c>
      <c r="N70" s="109"/>
      <c r="O70" s="34">
        <f>Linkedin!D68</f>
        <v>0</v>
      </c>
      <c r="P70" s="107" t="str">
        <f>Linkedin!E68</f>
        <v>Summary</v>
      </c>
      <c r="Q70" s="109"/>
      <c r="S70" s="110"/>
      <c r="T70" s="110"/>
      <c r="U70" s="110"/>
      <c r="V70" s="110"/>
      <c r="W70" s="111"/>
      <c r="X70" s="50" t="str">
        <f>Finance!R5</f>
        <v>net profit margin</v>
      </c>
      <c r="Y70" s="45">
        <f>Finance!S5</f>
        <v>0</v>
      </c>
      <c r="Z70" s="46">
        <f>Finance!T5</f>
        <v>0</v>
      </c>
      <c r="AA70" s="28"/>
      <c r="AB70" s="28"/>
      <c r="AC70" s="32"/>
      <c r="AD70" s="28"/>
      <c r="AE70" s="28"/>
      <c r="AF70" s="28"/>
      <c r="AG70" s="28"/>
      <c r="AH70" s="28"/>
      <c r="AI70" s="28"/>
      <c r="AJ70" s="28"/>
      <c r="AK70" s="28"/>
      <c r="AL70" s="28"/>
      <c r="AM70" s="28"/>
      <c r="AN70" s="32"/>
      <c r="AO70" s="28"/>
      <c r="AP70" s="28"/>
      <c r="AQ70" s="28"/>
      <c r="AR70" s="28"/>
      <c r="AS70" s="28"/>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row>
    <row r="71" spans="2:154" ht="14.5" customHeight="1" x14ac:dyDescent="0.3">
      <c r="B71" s="157" t="s">
        <v>7</v>
      </c>
      <c r="C71" s="158"/>
      <c r="D71" s="146">
        <f>House!I7</f>
        <v>0</v>
      </c>
      <c r="E71" s="147"/>
      <c r="K71" s="36"/>
      <c r="M71" s="37" t="str">
        <f>Linkedin!B69</f>
        <v>Position</v>
      </c>
      <c r="N71" s="38">
        <f>Linkedin!C69</f>
        <v>0</v>
      </c>
      <c r="O71" s="34">
        <f>Linkedin!D69</f>
        <v>0</v>
      </c>
      <c r="P71" s="39" t="str">
        <f>Linkedin!E69</f>
        <v>Website</v>
      </c>
      <c r="Q71" s="40">
        <f>Linkedin!F69</f>
        <v>0</v>
      </c>
      <c r="S71" s="110"/>
      <c r="T71" s="110"/>
      <c r="U71" s="110"/>
      <c r="V71" s="110"/>
      <c r="W71" s="111"/>
      <c r="X71" s="47" t="str">
        <f>Finance!R6</f>
        <v>share value</v>
      </c>
      <c r="Y71" s="41">
        <f>Finance!S6</f>
        <v>0</v>
      </c>
      <c r="Z71" s="42">
        <f>Finance!T6</f>
        <v>0</v>
      </c>
      <c r="AA71" s="28"/>
      <c r="AB71" s="28"/>
      <c r="AC71" s="32"/>
      <c r="AD71" s="28"/>
      <c r="AE71" s="28"/>
      <c r="AF71" s="28"/>
      <c r="AG71" s="28"/>
      <c r="AH71" s="28"/>
      <c r="AI71" s="28"/>
      <c r="AJ71" s="28"/>
      <c r="AK71" s="28"/>
      <c r="AL71" s="28"/>
      <c r="AM71" s="28"/>
      <c r="AN71" s="32"/>
      <c r="AO71" s="28"/>
      <c r="AP71" s="28"/>
      <c r="AQ71" s="28"/>
      <c r="AR71" s="28"/>
      <c r="AS71" s="28"/>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row>
    <row r="72" spans="2:154" ht="14.5" customHeight="1" x14ac:dyDescent="0.3">
      <c r="B72" s="159" t="s">
        <v>8</v>
      </c>
      <c r="C72" s="160"/>
      <c r="D72" s="150">
        <f>House!I8</f>
        <v>0</v>
      </c>
      <c r="E72" s="151"/>
      <c r="K72" s="36"/>
      <c r="M72" s="41" t="str">
        <f>Linkedin!B70</f>
        <v>Employer</v>
      </c>
      <c r="N72" s="42">
        <f>Linkedin!C70</f>
        <v>0</v>
      </c>
      <c r="O72" s="34">
        <f>Linkedin!D70</f>
        <v>0</v>
      </c>
      <c r="P72" s="43" t="str">
        <f>Linkedin!E70</f>
        <v>Industries</v>
      </c>
      <c r="Q72" s="42">
        <f>Linkedin!F70</f>
        <v>0</v>
      </c>
      <c r="S72" s="110"/>
      <c r="T72" s="110"/>
      <c r="U72" s="110"/>
      <c r="V72" s="110"/>
      <c r="W72" s="111"/>
      <c r="X72" s="50" t="str">
        <f>Finance!R7</f>
        <v>market cap</v>
      </c>
      <c r="Y72" s="45">
        <f>Finance!S7</f>
        <v>0</v>
      </c>
      <c r="Z72" s="46">
        <f>Finance!T7</f>
        <v>0</v>
      </c>
      <c r="AA72" s="28"/>
      <c r="AB72" s="28"/>
      <c r="AC72" s="32"/>
      <c r="AD72" s="28"/>
      <c r="AE72" s="28"/>
      <c r="AF72" s="28"/>
      <c r="AG72" s="28"/>
      <c r="AH72" s="28"/>
      <c r="AI72" s="28"/>
      <c r="AJ72" s="28"/>
      <c r="AK72" s="28"/>
      <c r="AL72" s="28"/>
      <c r="AM72" s="28"/>
      <c r="AN72" s="32"/>
      <c r="AO72" s="28"/>
      <c r="AP72" s="28"/>
      <c r="AQ72" s="28"/>
      <c r="AR72" s="28"/>
      <c r="AS72" s="28"/>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row>
    <row r="73" spans="2:154" ht="14.5" customHeight="1" x14ac:dyDescent="0.3">
      <c r="B73" s="161" t="s">
        <v>9</v>
      </c>
      <c r="C73" s="162"/>
      <c r="D73" s="154">
        <f>House!I9</f>
        <v>0</v>
      </c>
      <c r="E73" s="155"/>
      <c r="K73" s="36"/>
      <c r="M73" s="45" t="str">
        <f>Linkedin!B71</f>
        <v>Website</v>
      </c>
      <c r="N73" s="40">
        <f>Linkedin!C71</f>
        <v>0</v>
      </c>
      <c r="O73" s="34">
        <f>Linkedin!D71</f>
        <v>0</v>
      </c>
      <c r="P73" s="39" t="str">
        <f>Linkedin!E71</f>
        <v>Size</v>
      </c>
      <c r="Q73" s="46">
        <f>Linkedin!F71</f>
        <v>0</v>
      </c>
      <c r="S73" s="34" t="s">
        <v>588</v>
      </c>
      <c r="X73" s="53" t="str">
        <f>Finance!R8</f>
        <v>volume</v>
      </c>
      <c r="Y73" s="54">
        <f>Finance!S8</f>
        <v>0</v>
      </c>
      <c r="Z73" s="83">
        <f>Finance!T8</f>
        <v>0</v>
      </c>
      <c r="AA73" s="28"/>
      <c r="AB73" s="28"/>
      <c r="AC73" s="32"/>
      <c r="AD73" s="28"/>
      <c r="AE73" s="28"/>
      <c r="AF73" s="28"/>
      <c r="AG73" s="28"/>
      <c r="AH73" s="28"/>
      <c r="AI73" s="28"/>
      <c r="AJ73" s="28"/>
      <c r="AK73" s="28"/>
      <c r="AL73" s="28"/>
      <c r="AM73" s="28"/>
      <c r="AN73" s="32"/>
      <c r="AO73" s="28"/>
      <c r="AP73" s="28"/>
      <c r="AQ73" s="28"/>
      <c r="AR73" s="28"/>
      <c r="AS73" s="28"/>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row>
    <row r="74" spans="2:154" x14ac:dyDescent="0.3">
      <c r="K74" s="36"/>
      <c r="M74" s="41" t="str">
        <f>Linkedin!B72</f>
        <v>Education</v>
      </c>
      <c r="N74" s="42">
        <f>Linkedin!C72</f>
        <v>0</v>
      </c>
      <c r="O74" s="34">
        <f>Linkedin!D72</f>
        <v>0</v>
      </c>
      <c r="P74" s="43" t="str">
        <f>Linkedin!E72</f>
        <v>Founded</v>
      </c>
      <c r="Q74" s="49">
        <f>Linkedin!F72</f>
        <v>0</v>
      </c>
      <c r="S74" s="28"/>
      <c r="T74" s="28"/>
      <c r="U74" s="28"/>
      <c r="V74" s="28"/>
      <c r="W74" s="28"/>
      <c r="X74" s="28"/>
      <c r="Y74" s="28"/>
      <c r="Z74" s="28"/>
      <c r="AA74" s="28"/>
      <c r="AB74" s="28"/>
      <c r="AC74" s="32"/>
      <c r="AD74" s="28"/>
      <c r="AE74" s="28"/>
      <c r="AF74" s="28"/>
      <c r="AG74" s="28"/>
      <c r="AH74" s="28"/>
      <c r="AI74" s="28"/>
      <c r="AJ74" s="28"/>
      <c r="AK74" s="28"/>
      <c r="AL74" s="28"/>
      <c r="AM74" s="28"/>
      <c r="AN74" s="32"/>
      <c r="AO74" s="28"/>
      <c r="AP74" s="28"/>
      <c r="AQ74" s="28"/>
      <c r="AR74" s="28"/>
      <c r="AS74" s="28"/>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row>
    <row r="75" spans="2:154" ht="14.5" thickBot="1" x14ac:dyDescent="0.35">
      <c r="B75" s="123" t="s">
        <v>4</v>
      </c>
      <c r="C75" s="115"/>
      <c r="D75" s="115"/>
      <c r="E75" s="116"/>
      <c r="K75" s="36"/>
      <c r="M75" s="129" t="str">
        <f>Linkedin!B73</f>
        <v>link</v>
      </c>
      <c r="N75" s="131">
        <f>Linkedin!C73</f>
        <v>0</v>
      </c>
      <c r="O75" s="34">
        <f>Linkedin!D73</f>
        <v>0</v>
      </c>
      <c r="P75" s="133" t="str">
        <f>Linkedin!E73</f>
        <v>link</v>
      </c>
      <c r="Q75" s="131">
        <f>Linkedin!F73</f>
        <v>0</v>
      </c>
      <c r="S75" s="32"/>
      <c r="T75" s="32"/>
      <c r="U75" s="32"/>
      <c r="V75" s="32"/>
      <c r="W75" s="32"/>
      <c r="X75" s="32"/>
      <c r="Y75" s="32"/>
      <c r="Z75" s="32"/>
      <c r="AA75" s="32"/>
      <c r="AB75" s="32"/>
      <c r="AC75" s="32"/>
      <c r="AD75" s="32"/>
      <c r="AE75" s="32"/>
      <c r="AF75" s="32"/>
      <c r="AG75" s="32"/>
      <c r="AH75" s="32"/>
      <c r="AI75" s="32"/>
      <c r="AJ75" s="32"/>
      <c r="AK75" s="32"/>
      <c r="AL75" s="32"/>
      <c r="AM75" s="32"/>
      <c r="AN75" s="32"/>
      <c r="AO75" s="28"/>
      <c r="AP75" s="28"/>
      <c r="AQ75" s="28"/>
      <c r="AR75" s="28"/>
      <c r="AS75" s="28"/>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row>
    <row r="76" spans="2:154" x14ac:dyDescent="0.3">
      <c r="B76" s="148" t="s">
        <v>10</v>
      </c>
      <c r="C76" s="149"/>
      <c r="D76" s="156">
        <f>House!I12</f>
        <v>0</v>
      </c>
      <c r="E76" s="151"/>
      <c r="K76" s="36"/>
      <c r="M76" s="129"/>
      <c r="N76" s="131"/>
      <c r="O76" s="34">
        <f>Linkedin!D74</f>
        <v>0</v>
      </c>
      <c r="P76" s="133"/>
      <c r="Q76" s="131"/>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row>
    <row r="77" spans="2:154" x14ac:dyDescent="0.3">
      <c r="B77" s="144" t="s">
        <v>11</v>
      </c>
      <c r="C77" s="145"/>
      <c r="D77" s="146">
        <f>House!I13</f>
        <v>0</v>
      </c>
      <c r="E77" s="147"/>
      <c r="K77" s="36"/>
      <c r="M77" s="129"/>
      <c r="N77" s="131"/>
      <c r="O77" s="34">
        <f>Linkedin!D75</f>
        <v>0</v>
      </c>
      <c r="P77" s="133"/>
      <c r="Q77" s="131"/>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row>
    <row r="78" spans="2:154" x14ac:dyDescent="0.3">
      <c r="B78" s="148" t="s">
        <v>12</v>
      </c>
      <c r="C78" s="149"/>
      <c r="D78" s="150">
        <f>House!I14</f>
        <v>0</v>
      </c>
      <c r="E78" s="151"/>
      <c r="K78" s="36"/>
      <c r="M78" s="130"/>
      <c r="N78" s="132"/>
      <c r="O78" s="34">
        <f>Linkedin!D76</f>
        <v>0</v>
      </c>
      <c r="P78" s="134"/>
      <c r="Q78" s="132"/>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c r="AS78" s="28"/>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row>
    <row r="79" spans="2:154" x14ac:dyDescent="0.3">
      <c r="B79" s="144" t="s">
        <v>13</v>
      </c>
      <c r="C79" s="145"/>
      <c r="D79" s="146">
        <f>House!I15</f>
        <v>0</v>
      </c>
      <c r="E79" s="147"/>
      <c r="K79" s="36"/>
      <c r="M79" s="28">
        <f>Linkedin!B77</f>
        <v>0</v>
      </c>
      <c r="N79" s="56">
        <f>Linkedin!C77</f>
        <v>0</v>
      </c>
      <c r="O79" s="34">
        <f>Linkedin!D77</f>
        <v>0</v>
      </c>
      <c r="P79" s="28">
        <f>Linkedin!E77</f>
        <v>0</v>
      </c>
      <c r="Q79" s="56">
        <f>Linkedin!F77</f>
        <v>0</v>
      </c>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row>
    <row r="80" spans="2:154" ht="14.5" thickBot="1" x14ac:dyDescent="0.35">
      <c r="B80" s="148" t="s">
        <v>14</v>
      </c>
      <c r="C80" s="149"/>
      <c r="D80" s="150">
        <f>House!I16</f>
        <v>0</v>
      </c>
      <c r="E80" s="151"/>
      <c r="K80" s="36"/>
      <c r="M80" s="115" t="str">
        <f>Linkedin!B78</f>
        <v>About</v>
      </c>
      <c r="N80" s="116"/>
      <c r="O80" s="34">
        <f>Linkedin!D78</f>
        <v>0</v>
      </c>
      <c r="P80" s="123" t="str">
        <f>Linkedin!E78</f>
        <v>About</v>
      </c>
      <c r="Q80" s="116"/>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row>
    <row r="81" spans="2:154" x14ac:dyDescent="0.3">
      <c r="B81" s="144" t="s">
        <v>16</v>
      </c>
      <c r="C81" s="145"/>
      <c r="D81" s="146">
        <f>House!I17</f>
        <v>0</v>
      </c>
      <c r="E81" s="147"/>
      <c r="K81" s="36"/>
      <c r="M81" s="117">
        <f>Linkedin!B79</f>
        <v>0</v>
      </c>
      <c r="N81" s="118"/>
      <c r="O81" s="34">
        <f>Linkedin!D79</f>
        <v>0</v>
      </c>
      <c r="P81" s="124">
        <f>Linkedin!E79</f>
        <v>0</v>
      </c>
      <c r="Q81" s="11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row>
    <row r="82" spans="2:154" x14ac:dyDescent="0.3">
      <c r="B82" s="148" t="s">
        <v>17</v>
      </c>
      <c r="C82" s="149"/>
      <c r="D82" s="150">
        <f>House!I18</f>
        <v>0</v>
      </c>
      <c r="E82" s="151"/>
      <c r="K82" s="36"/>
      <c r="M82" s="119"/>
      <c r="N82" s="120"/>
      <c r="O82" s="34">
        <f>Linkedin!D80</f>
        <v>0</v>
      </c>
      <c r="P82" s="125"/>
      <c r="Q82" s="120"/>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row>
    <row r="83" spans="2:154" x14ac:dyDescent="0.3">
      <c r="B83" s="152" t="s">
        <v>18</v>
      </c>
      <c r="C83" s="153"/>
      <c r="D83" s="154">
        <f>House!I19</f>
        <v>0</v>
      </c>
      <c r="E83" s="155"/>
      <c r="K83" s="36"/>
      <c r="M83" s="119"/>
      <c r="N83" s="120"/>
      <c r="O83" s="34">
        <f>Linkedin!D81</f>
        <v>0</v>
      </c>
      <c r="P83" s="125"/>
      <c r="Q83" s="120"/>
      <c r="S83" s="28"/>
      <c r="T83" s="28"/>
      <c r="U83" s="28"/>
      <c r="V83" s="28"/>
      <c r="W83" s="28"/>
      <c r="X83" s="28"/>
      <c r="Y83" s="28"/>
      <c r="Z83" s="28"/>
      <c r="AA83" s="28"/>
      <c r="AB83" s="28"/>
      <c r="AC83" s="28"/>
      <c r="AD83" s="28"/>
      <c r="AE83" s="28"/>
      <c r="AF83" s="28"/>
      <c r="AG83" s="28"/>
      <c r="AH83" s="28"/>
      <c r="AI83" s="28"/>
      <c r="AJ83" s="28"/>
      <c r="AK83" s="28"/>
      <c r="AL83" s="28"/>
      <c r="AM83" s="28"/>
      <c r="AN83" s="28"/>
      <c r="AO83" s="28"/>
      <c r="AP83" s="28"/>
      <c r="AQ83" s="28"/>
      <c r="AR83" s="28"/>
      <c r="AS83" s="28"/>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row>
    <row r="84" spans="2:154" x14ac:dyDescent="0.3">
      <c r="K84" s="36"/>
      <c r="M84" s="119"/>
      <c r="N84" s="120"/>
      <c r="O84" s="34">
        <f>Linkedin!D82</f>
        <v>0</v>
      </c>
      <c r="P84" s="125"/>
      <c r="Q84" s="120"/>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c r="AQ84" s="28"/>
      <c r="AR84" s="28"/>
      <c r="AS84" s="28"/>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row>
    <row r="85" spans="2:154" ht="14.5" thickBot="1" x14ac:dyDescent="0.35">
      <c r="B85" s="123" t="s">
        <v>19</v>
      </c>
      <c r="C85" s="115"/>
      <c r="D85" s="115"/>
      <c r="E85" s="116"/>
      <c r="K85" s="36"/>
      <c r="M85" s="119"/>
      <c r="N85" s="120"/>
      <c r="O85" s="34">
        <f>Linkedin!D83</f>
        <v>0</v>
      </c>
      <c r="P85" s="125"/>
      <c r="Q85" s="120"/>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row>
    <row r="86" spans="2:154" x14ac:dyDescent="0.3">
      <c r="B86" s="138">
        <f>House!H22</f>
        <v>0</v>
      </c>
      <c r="C86" s="139"/>
      <c r="D86" s="139"/>
      <c r="E86" s="140"/>
      <c r="K86" s="36"/>
      <c r="M86" s="119"/>
      <c r="N86" s="120"/>
      <c r="O86" s="34">
        <f>Linkedin!D84</f>
        <v>0</v>
      </c>
      <c r="P86" s="125"/>
      <c r="Q86" s="120"/>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row>
    <row r="87" spans="2:154" x14ac:dyDescent="0.3">
      <c r="B87" s="141">
        <f>House!H23</f>
        <v>0</v>
      </c>
      <c r="C87" s="142"/>
      <c r="D87" s="142"/>
      <c r="E87" s="143"/>
      <c r="K87" s="36"/>
      <c r="M87" s="119"/>
      <c r="N87" s="120"/>
      <c r="O87" s="34">
        <f>Linkedin!D85</f>
        <v>0</v>
      </c>
      <c r="P87" s="125"/>
      <c r="Q87" s="120"/>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28"/>
    </row>
    <row r="88" spans="2:154" x14ac:dyDescent="0.3">
      <c r="B88" s="138">
        <f>House!H24</f>
        <v>0</v>
      </c>
      <c r="C88" s="139"/>
      <c r="D88" s="139"/>
      <c r="E88" s="140"/>
      <c r="K88" s="36"/>
      <c r="M88" s="119"/>
      <c r="N88" s="120"/>
      <c r="O88" s="34">
        <f>Linkedin!D86</f>
        <v>0</v>
      </c>
      <c r="P88" s="125"/>
      <c r="Q88" s="120"/>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28"/>
    </row>
    <row r="89" spans="2:154" x14ac:dyDescent="0.3">
      <c r="B89" s="141">
        <f>House!H25</f>
        <v>0</v>
      </c>
      <c r="C89" s="142"/>
      <c r="D89" s="142"/>
      <c r="E89" s="143"/>
      <c r="K89" s="36"/>
      <c r="M89" s="119"/>
      <c r="N89" s="120"/>
      <c r="O89" s="34">
        <f>Linkedin!D87</f>
        <v>0</v>
      </c>
      <c r="P89" s="125"/>
      <c r="Q89" s="120"/>
      <c r="S89" s="28"/>
      <c r="T89" s="28"/>
      <c r="U89" s="28"/>
      <c r="V89" s="28"/>
      <c r="W89" s="28"/>
      <c r="X89" s="28"/>
      <c r="Y89" s="28"/>
      <c r="Z89" s="28"/>
      <c r="AA89" s="28"/>
      <c r="AB89" s="28"/>
      <c r="AC89" s="28"/>
      <c r="AD89" s="28"/>
      <c r="AE89" s="28"/>
      <c r="AF89" s="28"/>
      <c r="AG89" s="28"/>
      <c r="AH89" s="28"/>
      <c r="AI89" s="28"/>
      <c r="AJ89" s="28"/>
      <c r="AK89" s="28"/>
      <c r="AL89" s="28"/>
      <c r="AM89" s="28"/>
      <c r="AN89" s="28"/>
      <c r="AO89" s="28"/>
      <c r="AP89" s="28"/>
      <c r="AQ89" s="28"/>
      <c r="AR89" s="28"/>
      <c r="AS89" s="28"/>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28"/>
    </row>
    <row r="90" spans="2:154" x14ac:dyDescent="0.3">
      <c r="B90" s="135">
        <f>House!H26</f>
        <v>0</v>
      </c>
      <c r="C90" s="136"/>
      <c r="D90" s="136"/>
      <c r="E90" s="137"/>
      <c r="K90" s="36"/>
      <c r="M90" s="119"/>
      <c r="N90" s="120"/>
      <c r="O90" s="34">
        <f>Linkedin!D88</f>
        <v>0</v>
      </c>
      <c r="P90" s="125"/>
      <c r="Q90" s="120"/>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28"/>
    </row>
    <row r="91" spans="2:154" x14ac:dyDescent="0.3">
      <c r="K91" s="36"/>
      <c r="M91" s="119"/>
      <c r="N91" s="120"/>
      <c r="O91" s="34">
        <f>Linkedin!D89</f>
        <v>0</v>
      </c>
      <c r="P91" s="125"/>
      <c r="Q91" s="120"/>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28"/>
    </row>
    <row r="92" spans="2:154" ht="14.5" thickBot="1" x14ac:dyDescent="0.35">
      <c r="B92" s="59"/>
      <c r="C92" s="59"/>
      <c r="D92" s="60"/>
      <c r="E92" s="60"/>
      <c r="F92" s="59"/>
      <c r="G92" s="59"/>
      <c r="H92" s="59"/>
      <c r="I92" s="59"/>
      <c r="J92" s="59"/>
      <c r="K92" s="59"/>
      <c r="M92" s="119"/>
      <c r="N92" s="120"/>
      <c r="O92" s="34">
        <f>Linkedin!D90</f>
        <v>0</v>
      </c>
      <c r="P92" s="125"/>
      <c r="Q92" s="120"/>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28"/>
    </row>
    <row r="93" spans="2:154" ht="14" customHeight="1" x14ac:dyDescent="0.3">
      <c r="B93" s="163">
        <f>House!K1</f>
        <v>4</v>
      </c>
      <c r="C93" s="163"/>
      <c r="D93" s="163"/>
      <c r="E93" s="163"/>
      <c r="F93" s="163"/>
      <c r="G93" s="163"/>
      <c r="H93" s="163"/>
      <c r="I93" s="163"/>
      <c r="J93" s="163"/>
      <c r="K93" s="163"/>
      <c r="M93" s="119"/>
      <c r="N93" s="120"/>
      <c r="O93" s="34">
        <f>Linkedin!D91</f>
        <v>0</v>
      </c>
      <c r="P93" s="125"/>
      <c r="Q93" s="120"/>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28"/>
      <c r="DQ93" s="28"/>
      <c r="DR93" s="28"/>
      <c r="DS93" s="28"/>
      <c r="DT93" s="28"/>
      <c r="DU93" s="28"/>
      <c r="DV93" s="28"/>
      <c r="DW93" s="28"/>
      <c r="DX93" s="28"/>
      <c r="DY93" s="28"/>
      <c r="DZ93" s="28"/>
      <c r="EA93" s="28"/>
      <c r="EB93" s="28"/>
      <c r="EC93" s="28"/>
      <c r="ED93" s="28"/>
      <c r="EE93" s="28"/>
      <c r="EF93" s="28"/>
      <c r="EG93" s="28"/>
      <c r="EH93" s="28"/>
      <c r="EI93" s="28"/>
      <c r="EJ93" s="28"/>
      <c r="EK93" s="28"/>
      <c r="EL93" s="28"/>
      <c r="EM93" s="28"/>
      <c r="EN93" s="28"/>
      <c r="EO93" s="28"/>
      <c r="EP93" s="28"/>
      <c r="EQ93" s="28"/>
      <c r="ER93" s="28"/>
      <c r="ES93" s="28"/>
      <c r="ET93" s="28"/>
      <c r="EU93" s="28"/>
      <c r="EV93" s="28"/>
      <c r="EW93" s="28"/>
      <c r="EX93" s="28"/>
    </row>
    <row r="94" spans="2:154" ht="14" customHeight="1" x14ac:dyDescent="0.3">
      <c r="B94" s="114"/>
      <c r="C94" s="114"/>
      <c r="D94" s="114"/>
      <c r="E94" s="114"/>
      <c r="F94" s="114"/>
      <c r="G94" s="114"/>
      <c r="H94" s="114"/>
      <c r="I94" s="114"/>
      <c r="J94" s="114"/>
      <c r="K94" s="114"/>
      <c r="M94" s="119"/>
      <c r="N94" s="120"/>
      <c r="O94" s="34">
        <f>Linkedin!D92</f>
        <v>0</v>
      </c>
      <c r="P94" s="125"/>
      <c r="Q94" s="120"/>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28"/>
      <c r="DQ94" s="28"/>
      <c r="DR94" s="28"/>
      <c r="DS94" s="28"/>
      <c r="DT94" s="28"/>
      <c r="DU94" s="28"/>
      <c r="DV94" s="28"/>
      <c r="DW94" s="28"/>
      <c r="DX94" s="28"/>
      <c r="DY94" s="28"/>
      <c r="DZ94" s="28"/>
      <c r="EA94" s="28"/>
      <c r="EB94" s="28"/>
      <c r="EC94" s="28"/>
      <c r="ED94" s="28"/>
      <c r="EE94" s="28"/>
      <c r="EF94" s="28"/>
      <c r="EG94" s="28"/>
      <c r="EH94" s="28"/>
      <c r="EI94" s="28"/>
      <c r="EJ94" s="28"/>
      <c r="EK94" s="28"/>
      <c r="EL94" s="28"/>
      <c r="EM94" s="28"/>
      <c r="EN94" s="28"/>
      <c r="EO94" s="28"/>
      <c r="EP94" s="28"/>
      <c r="EQ94" s="28"/>
      <c r="ER94" s="28"/>
      <c r="ES94" s="28"/>
      <c r="ET94" s="28"/>
      <c r="EU94" s="28"/>
      <c r="EV94" s="28"/>
      <c r="EW94" s="28"/>
      <c r="EX94" s="28"/>
    </row>
    <row r="95" spans="2:154" x14ac:dyDescent="0.3">
      <c r="K95" s="36"/>
      <c r="M95" s="119"/>
      <c r="N95" s="120"/>
      <c r="O95" s="34">
        <f>Linkedin!D93</f>
        <v>0</v>
      </c>
      <c r="P95" s="125"/>
      <c r="Q95" s="120"/>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row>
    <row r="96" spans="2:154" ht="14.5" thickBot="1" x14ac:dyDescent="0.35">
      <c r="B96" s="107" t="s">
        <v>2</v>
      </c>
      <c r="C96" s="108"/>
      <c r="D96" s="108"/>
      <c r="E96" s="109"/>
      <c r="K96" s="36"/>
      <c r="M96" s="119"/>
      <c r="N96" s="120"/>
      <c r="O96" s="34">
        <f>Linkedin!D94</f>
        <v>0</v>
      </c>
      <c r="P96" s="125"/>
      <c r="Q96" s="120"/>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row>
    <row r="97" spans="2:154" x14ac:dyDescent="0.3">
      <c r="B97" s="164" t="s">
        <v>3</v>
      </c>
      <c r="C97" s="165"/>
      <c r="D97" s="166">
        <f>House!L3</f>
        <v>0</v>
      </c>
      <c r="E97" s="167"/>
      <c r="K97" s="36"/>
      <c r="M97" s="119"/>
      <c r="N97" s="120"/>
      <c r="O97" s="34">
        <f>Linkedin!D95</f>
        <v>0</v>
      </c>
      <c r="P97" s="125"/>
      <c r="Q97" s="120"/>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row>
    <row r="98" spans="2:154" x14ac:dyDescent="0.3">
      <c r="B98" s="159" t="s">
        <v>4</v>
      </c>
      <c r="C98" s="160"/>
      <c r="D98" s="150">
        <f>House!L4</f>
        <v>0</v>
      </c>
      <c r="E98" s="151"/>
      <c r="K98" s="36"/>
      <c r="M98" s="119"/>
      <c r="N98" s="120"/>
      <c r="O98" s="34">
        <f>Linkedin!D96</f>
        <v>0</v>
      </c>
      <c r="P98" s="125"/>
      <c r="Q98" s="120"/>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row>
    <row r="99" spans="2:154" x14ac:dyDescent="0.3">
      <c r="B99" s="157" t="s">
        <v>5</v>
      </c>
      <c r="C99" s="158"/>
      <c r="D99" s="146">
        <f>House!L5</f>
        <v>0</v>
      </c>
      <c r="E99" s="147"/>
      <c r="K99" s="36"/>
      <c r="M99" s="119"/>
      <c r="N99" s="120"/>
      <c r="O99" s="34">
        <f>Linkedin!D97</f>
        <v>0</v>
      </c>
      <c r="P99" s="125"/>
      <c r="Q99" s="120"/>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row>
    <row r="100" spans="2:154" x14ac:dyDescent="0.3">
      <c r="B100" s="159" t="s">
        <v>6</v>
      </c>
      <c r="C100" s="160"/>
      <c r="D100" s="150">
        <f>House!L6</f>
        <v>0</v>
      </c>
      <c r="E100" s="151"/>
      <c r="K100" s="36"/>
      <c r="M100" s="121"/>
      <c r="N100" s="122"/>
      <c r="O100" s="34">
        <f>Linkedin!D98</f>
        <v>0</v>
      </c>
      <c r="P100" s="126"/>
      <c r="Q100" s="122"/>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row>
    <row r="101" spans="2:154" x14ac:dyDescent="0.3">
      <c r="B101" s="157" t="s">
        <v>7</v>
      </c>
      <c r="C101" s="158"/>
      <c r="D101" s="146">
        <f>House!L7</f>
        <v>0</v>
      </c>
      <c r="E101" s="147"/>
      <c r="K101" s="36"/>
      <c r="M101" s="52"/>
      <c r="N101" s="52"/>
      <c r="O101" s="52"/>
      <c r="P101" s="52"/>
      <c r="Q101" s="52"/>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row>
    <row r="102" spans="2:154" x14ac:dyDescent="0.3">
      <c r="B102" s="159" t="s">
        <v>8</v>
      </c>
      <c r="C102" s="160"/>
      <c r="D102" s="150">
        <f>House!L8</f>
        <v>0</v>
      </c>
      <c r="E102" s="151"/>
      <c r="K102" s="36"/>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row>
    <row r="103" spans="2:154" x14ac:dyDescent="0.3">
      <c r="B103" s="161" t="s">
        <v>9</v>
      </c>
      <c r="C103" s="162"/>
      <c r="D103" s="154">
        <f>House!L9</f>
        <v>0</v>
      </c>
      <c r="E103" s="155"/>
      <c r="K103" s="36"/>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row>
    <row r="104" spans="2:154" x14ac:dyDescent="0.3">
      <c r="K104" s="36"/>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28"/>
      <c r="DQ104" s="28"/>
      <c r="DR104" s="28"/>
      <c r="DS104" s="28"/>
      <c r="DT104" s="28"/>
      <c r="DU104" s="28"/>
      <c r="DV104" s="28"/>
      <c r="DW104" s="28"/>
      <c r="DX104" s="28"/>
      <c r="DY104" s="28"/>
      <c r="DZ104" s="28"/>
      <c r="EA104" s="28"/>
      <c r="EB104" s="28"/>
      <c r="EC104" s="28"/>
      <c r="ED104" s="28"/>
      <c r="EE104" s="28"/>
      <c r="EF104" s="28"/>
      <c r="EG104" s="28"/>
      <c r="EH104" s="28"/>
      <c r="EI104" s="28"/>
      <c r="EJ104" s="28"/>
      <c r="EK104" s="28"/>
      <c r="EL104" s="28"/>
      <c r="EM104" s="28"/>
      <c r="EN104" s="28"/>
      <c r="EO104" s="28"/>
      <c r="EP104" s="28"/>
      <c r="EQ104" s="28"/>
      <c r="ER104" s="28"/>
      <c r="ES104" s="28"/>
      <c r="ET104" s="28"/>
      <c r="EU104" s="28"/>
      <c r="EV104" s="28"/>
      <c r="EW104" s="28"/>
      <c r="EX104" s="28"/>
    </row>
    <row r="105" spans="2:154" ht="14.5" thickBot="1" x14ac:dyDescent="0.35">
      <c r="B105" s="123" t="s">
        <v>4</v>
      </c>
      <c r="C105" s="115"/>
      <c r="D105" s="115"/>
      <c r="E105" s="116"/>
      <c r="K105" s="36"/>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28"/>
      <c r="DQ105" s="28"/>
      <c r="DR105" s="28"/>
      <c r="DS105" s="28"/>
      <c r="DT105" s="28"/>
      <c r="DU105" s="28"/>
      <c r="DV105" s="28"/>
      <c r="DW105" s="28"/>
      <c r="DX105" s="28"/>
      <c r="DY105" s="28"/>
      <c r="DZ105" s="28"/>
      <c r="EA105" s="28"/>
      <c r="EB105" s="28"/>
      <c r="EC105" s="28"/>
      <c r="ED105" s="28"/>
      <c r="EE105" s="28"/>
      <c r="EF105" s="28"/>
      <c r="EG105" s="28"/>
      <c r="EH105" s="28"/>
      <c r="EI105" s="28"/>
      <c r="EJ105" s="28"/>
      <c r="EK105" s="28"/>
      <c r="EL105" s="28"/>
      <c r="EM105" s="28"/>
      <c r="EN105" s="28"/>
      <c r="EO105" s="28"/>
      <c r="EP105" s="28"/>
      <c r="EQ105" s="28"/>
      <c r="ER105" s="28"/>
      <c r="ES105" s="28"/>
      <c r="ET105" s="28"/>
      <c r="EU105" s="28"/>
      <c r="EV105" s="28"/>
      <c r="EW105" s="28"/>
      <c r="EX105" s="28"/>
    </row>
    <row r="106" spans="2:154" x14ac:dyDescent="0.3">
      <c r="B106" s="148" t="s">
        <v>10</v>
      </c>
      <c r="C106" s="149"/>
      <c r="D106" s="156">
        <f>House!L12</f>
        <v>0</v>
      </c>
      <c r="E106" s="151"/>
      <c r="K106" s="36"/>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28"/>
      <c r="DQ106" s="28"/>
      <c r="DR106" s="28"/>
      <c r="DS106" s="28"/>
      <c r="DT106" s="28"/>
      <c r="DU106" s="28"/>
      <c r="DV106" s="28"/>
      <c r="DW106" s="28"/>
      <c r="DX106" s="28"/>
      <c r="DY106" s="28"/>
      <c r="DZ106" s="28"/>
      <c r="EA106" s="28"/>
      <c r="EB106" s="28"/>
      <c r="EC106" s="28"/>
      <c r="ED106" s="28"/>
      <c r="EE106" s="28"/>
      <c r="EF106" s="28"/>
      <c r="EG106" s="28"/>
      <c r="EH106" s="28"/>
      <c r="EI106" s="28"/>
      <c r="EJ106" s="28"/>
      <c r="EK106" s="28"/>
      <c r="EL106" s="28"/>
      <c r="EM106" s="28"/>
      <c r="EN106" s="28"/>
      <c r="EO106" s="28"/>
      <c r="EP106" s="28"/>
      <c r="EQ106" s="28"/>
      <c r="ER106" s="28"/>
      <c r="ES106" s="28"/>
      <c r="ET106" s="28"/>
      <c r="EU106" s="28"/>
      <c r="EV106" s="28"/>
      <c r="EW106" s="28"/>
      <c r="EX106" s="28"/>
    </row>
    <row r="107" spans="2:154" x14ac:dyDescent="0.3">
      <c r="B107" s="144" t="s">
        <v>11</v>
      </c>
      <c r="C107" s="145"/>
      <c r="D107" s="146">
        <f>House!L13</f>
        <v>0</v>
      </c>
      <c r="E107" s="147"/>
      <c r="K107" s="36"/>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28"/>
      <c r="DQ107" s="28"/>
      <c r="DR107" s="28"/>
      <c r="DS107" s="28"/>
      <c r="DT107" s="28"/>
      <c r="DU107" s="28"/>
      <c r="DV107" s="28"/>
      <c r="DW107" s="28"/>
      <c r="DX107" s="28"/>
      <c r="DY107" s="28"/>
      <c r="DZ107" s="28"/>
      <c r="EA107" s="28"/>
      <c r="EB107" s="28"/>
      <c r="EC107" s="28"/>
      <c r="ED107" s="28"/>
      <c r="EE107" s="28"/>
      <c r="EF107" s="28"/>
      <c r="EG107" s="28"/>
      <c r="EH107" s="28"/>
      <c r="EI107" s="28"/>
      <c r="EJ107" s="28"/>
      <c r="EK107" s="28"/>
      <c r="EL107" s="28"/>
      <c r="EM107" s="28"/>
      <c r="EN107" s="28"/>
      <c r="EO107" s="28"/>
      <c r="EP107" s="28"/>
      <c r="EQ107" s="28"/>
      <c r="ER107" s="28"/>
      <c r="ES107" s="28"/>
      <c r="ET107" s="28"/>
      <c r="EU107" s="28"/>
      <c r="EV107" s="28"/>
      <c r="EW107" s="28"/>
      <c r="EX107" s="28"/>
    </row>
    <row r="108" spans="2:154" x14ac:dyDescent="0.3">
      <c r="B108" s="148" t="s">
        <v>12</v>
      </c>
      <c r="C108" s="149"/>
      <c r="D108" s="150">
        <f>House!L14</f>
        <v>0</v>
      </c>
      <c r="E108" s="151"/>
      <c r="K108" s="36"/>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28"/>
      <c r="DQ108" s="28"/>
      <c r="DR108" s="28"/>
      <c r="DS108" s="28"/>
      <c r="DT108" s="28"/>
      <c r="DU108" s="28"/>
      <c r="DV108" s="28"/>
      <c r="DW108" s="28"/>
      <c r="DX108" s="28"/>
      <c r="DY108" s="28"/>
      <c r="DZ108" s="28"/>
      <c r="EA108" s="28"/>
      <c r="EB108" s="28"/>
      <c r="EC108" s="28"/>
      <c r="ED108" s="28"/>
      <c r="EE108" s="28"/>
      <c r="EF108" s="28"/>
      <c r="EG108" s="28"/>
      <c r="EH108" s="28"/>
      <c r="EI108" s="28"/>
      <c r="EJ108" s="28"/>
      <c r="EK108" s="28"/>
      <c r="EL108" s="28"/>
      <c r="EM108" s="28"/>
      <c r="EN108" s="28"/>
      <c r="EO108" s="28"/>
      <c r="EP108" s="28"/>
      <c r="EQ108" s="28"/>
      <c r="ER108" s="28"/>
      <c r="ES108" s="28"/>
      <c r="ET108" s="28"/>
      <c r="EU108" s="28"/>
      <c r="EV108" s="28"/>
      <c r="EW108" s="28"/>
      <c r="EX108" s="28"/>
    </row>
    <row r="109" spans="2:154" x14ac:dyDescent="0.3">
      <c r="B109" s="144" t="s">
        <v>13</v>
      </c>
      <c r="C109" s="145"/>
      <c r="D109" s="146">
        <f>House!L15</f>
        <v>0</v>
      </c>
      <c r="E109" s="147"/>
      <c r="K109" s="36"/>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28"/>
      <c r="DQ109" s="28"/>
      <c r="DR109" s="28"/>
      <c r="DS109" s="28"/>
      <c r="DT109" s="28"/>
      <c r="DU109" s="28"/>
      <c r="DV109" s="28"/>
      <c r="DW109" s="28"/>
      <c r="DX109" s="28"/>
      <c r="DY109" s="28"/>
      <c r="DZ109" s="28"/>
      <c r="EA109" s="28"/>
      <c r="EB109" s="28"/>
      <c r="EC109" s="28"/>
      <c r="ED109" s="28"/>
      <c r="EE109" s="28"/>
      <c r="EF109" s="28"/>
      <c r="EG109" s="28"/>
      <c r="EH109" s="28"/>
      <c r="EI109" s="28"/>
      <c r="EJ109" s="28"/>
      <c r="EK109" s="28"/>
      <c r="EL109" s="28"/>
      <c r="EM109" s="28"/>
      <c r="EN109" s="28"/>
      <c r="EO109" s="28"/>
      <c r="EP109" s="28"/>
      <c r="EQ109" s="28"/>
      <c r="ER109" s="28"/>
      <c r="ES109" s="28"/>
      <c r="ET109" s="28"/>
      <c r="EU109" s="28"/>
      <c r="EV109" s="28"/>
      <c r="EW109" s="28"/>
      <c r="EX109" s="28"/>
    </row>
    <row r="110" spans="2:154" x14ac:dyDescent="0.3">
      <c r="B110" s="148" t="s">
        <v>14</v>
      </c>
      <c r="C110" s="149"/>
      <c r="D110" s="150">
        <f>House!L16</f>
        <v>0</v>
      </c>
      <c r="E110" s="151"/>
      <c r="K110" s="36"/>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28"/>
      <c r="DQ110" s="28"/>
      <c r="DR110" s="28"/>
      <c r="DS110" s="28"/>
      <c r="DT110" s="28"/>
      <c r="DU110" s="28"/>
      <c r="DV110" s="28"/>
      <c r="DW110" s="28"/>
      <c r="DX110" s="28"/>
      <c r="DY110" s="28"/>
      <c r="DZ110" s="28"/>
      <c r="EA110" s="28"/>
      <c r="EB110" s="28"/>
      <c r="EC110" s="28"/>
      <c r="ED110" s="28"/>
      <c r="EE110" s="28"/>
      <c r="EF110" s="28"/>
      <c r="EG110" s="28"/>
      <c r="EH110" s="28"/>
      <c r="EI110" s="28"/>
      <c r="EJ110" s="28"/>
      <c r="EK110" s="28"/>
      <c r="EL110" s="28"/>
      <c r="EM110" s="28"/>
      <c r="EN110" s="28"/>
      <c r="EO110" s="28"/>
      <c r="EP110" s="28"/>
      <c r="EQ110" s="28"/>
      <c r="ER110" s="28"/>
      <c r="ES110" s="28"/>
      <c r="ET110" s="28"/>
      <c r="EU110" s="28"/>
      <c r="EV110" s="28"/>
      <c r="EW110" s="28"/>
      <c r="EX110" s="28"/>
    </row>
    <row r="111" spans="2:154" x14ac:dyDescent="0.3">
      <c r="B111" s="144" t="s">
        <v>16</v>
      </c>
      <c r="C111" s="145"/>
      <c r="D111" s="146">
        <f>House!L17</f>
        <v>0</v>
      </c>
      <c r="E111" s="147"/>
      <c r="K111" s="36"/>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28"/>
      <c r="DQ111" s="28"/>
      <c r="DR111" s="28"/>
      <c r="DS111" s="28"/>
      <c r="DT111" s="28"/>
      <c r="DU111" s="28"/>
      <c r="DV111" s="28"/>
      <c r="DW111" s="28"/>
      <c r="DX111" s="28"/>
      <c r="DY111" s="28"/>
      <c r="DZ111" s="28"/>
      <c r="EA111" s="28"/>
      <c r="EB111" s="28"/>
      <c r="EC111" s="28"/>
      <c r="ED111" s="28"/>
      <c r="EE111" s="28"/>
      <c r="EF111" s="28"/>
      <c r="EG111" s="28"/>
      <c r="EH111" s="28"/>
      <c r="EI111" s="28"/>
      <c r="EJ111" s="28"/>
      <c r="EK111" s="28"/>
      <c r="EL111" s="28"/>
      <c r="EM111" s="28"/>
      <c r="EN111" s="28"/>
      <c r="EO111" s="28"/>
      <c r="EP111" s="28"/>
      <c r="EQ111" s="28"/>
      <c r="ER111" s="28"/>
      <c r="ES111" s="28"/>
      <c r="ET111" s="28"/>
      <c r="EU111" s="28"/>
      <c r="EV111" s="28"/>
      <c r="EW111" s="28"/>
      <c r="EX111" s="28"/>
    </row>
    <row r="112" spans="2:154" x14ac:dyDescent="0.3">
      <c r="B112" s="148" t="s">
        <v>17</v>
      </c>
      <c r="C112" s="149"/>
      <c r="D112" s="150">
        <f>House!L18</f>
        <v>0</v>
      </c>
      <c r="E112" s="151"/>
      <c r="K112" s="36"/>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28"/>
      <c r="DQ112" s="28"/>
      <c r="DR112" s="28"/>
      <c r="DS112" s="28"/>
      <c r="DT112" s="28"/>
      <c r="DU112" s="28"/>
      <c r="DV112" s="28"/>
      <c r="DW112" s="28"/>
      <c r="DX112" s="28"/>
      <c r="DY112" s="28"/>
      <c r="DZ112" s="28"/>
      <c r="EA112" s="28"/>
      <c r="EB112" s="28"/>
      <c r="EC112" s="28"/>
      <c r="ED112" s="28"/>
      <c r="EE112" s="28"/>
      <c r="EF112" s="28"/>
      <c r="EG112" s="28"/>
      <c r="EH112" s="28"/>
      <c r="EI112" s="28"/>
      <c r="EJ112" s="28"/>
      <c r="EK112" s="28"/>
      <c r="EL112" s="28"/>
      <c r="EM112" s="28"/>
      <c r="EN112" s="28"/>
      <c r="EO112" s="28"/>
      <c r="EP112" s="28"/>
      <c r="EQ112" s="28"/>
      <c r="ER112" s="28"/>
      <c r="ES112" s="28"/>
      <c r="ET112" s="28"/>
      <c r="EU112" s="28"/>
      <c r="EV112" s="28"/>
      <c r="EW112" s="28"/>
      <c r="EX112" s="28"/>
    </row>
    <row r="113" spans="2:154" x14ac:dyDescent="0.3">
      <c r="B113" s="152" t="s">
        <v>18</v>
      </c>
      <c r="C113" s="153"/>
      <c r="D113" s="154">
        <f>House!L19</f>
        <v>0</v>
      </c>
      <c r="E113" s="155"/>
      <c r="K113" s="36"/>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28"/>
      <c r="DQ113" s="28"/>
      <c r="DR113" s="28"/>
      <c r="DS113" s="28"/>
      <c r="DT113" s="28"/>
      <c r="DU113" s="28"/>
      <c r="DV113" s="28"/>
      <c r="DW113" s="28"/>
      <c r="DX113" s="28"/>
      <c r="DY113" s="28"/>
      <c r="DZ113" s="28"/>
      <c r="EA113" s="28"/>
      <c r="EB113" s="28"/>
      <c r="EC113" s="28"/>
      <c r="ED113" s="28"/>
      <c r="EE113" s="28"/>
      <c r="EF113" s="28"/>
      <c r="EG113" s="28"/>
      <c r="EH113" s="28"/>
      <c r="EI113" s="28"/>
      <c r="EJ113" s="28"/>
      <c r="EK113" s="28"/>
      <c r="EL113" s="28"/>
      <c r="EM113" s="28"/>
      <c r="EN113" s="28"/>
      <c r="EO113" s="28"/>
      <c r="EP113" s="28"/>
      <c r="EQ113" s="28"/>
      <c r="ER113" s="28"/>
      <c r="ES113" s="28"/>
      <c r="ET113" s="28"/>
      <c r="EU113" s="28"/>
      <c r="EV113" s="28"/>
      <c r="EW113" s="28"/>
      <c r="EX113" s="28"/>
    </row>
    <row r="114" spans="2:154" x14ac:dyDescent="0.3">
      <c r="K114" s="36"/>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28"/>
      <c r="DQ114" s="28"/>
      <c r="DR114" s="28"/>
      <c r="DS114" s="28"/>
      <c r="DT114" s="28"/>
      <c r="DU114" s="28"/>
      <c r="DV114" s="28"/>
      <c r="DW114" s="28"/>
      <c r="DX114" s="28"/>
      <c r="DY114" s="28"/>
      <c r="DZ114" s="28"/>
      <c r="EA114" s="28"/>
      <c r="EB114" s="28"/>
      <c r="EC114" s="28"/>
      <c r="ED114" s="28"/>
      <c r="EE114" s="28"/>
      <c r="EF114" s="28"/>
      <c r="EG114" s="28"/>
      <c r="EH114" s="28"/>
      <c r="EI114" s="28"/>
      <c r="EJ114" s="28"/>
      <c r="EK114" s="28"/>
      <c r="EL114" s="28"/>
      <c r="EM114" s="28"/>
      <c r="EN114" s="28"/>
      <c r="EO114" s="28"/>
      <c r="EP114" s="28"/>
      <c r="EQ114" s="28"/>
      <c r="ER114" s="28"/>
      <c r="ES114" s="28"/>
      <c r="ET114" s="28"/>
      <c r="EU114" s="28"/>
      <c r="EV114" s="28"/>
      <c r="EW114" s="28"/>
      <c r="EX114" s="28"/>
    </row>
    <row r="115" spans="2:154" ht="14.5" thickBot="1" x14ac:dyDescent="0.35">
      <c r="B115" s="123" t="s">
        <v>19</v>
      </c>
      <c r="C115" s="115"/>
      <c r="D115" s="115"/>
      <c r="E115" s="116"/>
      <c r="K115" s="36"/>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28"/>
      <c r="DQ115" s="28"/>
      <c r="DR115" s="28"/>
      <c r="DS115" s="28"/>
      <c r="DT115" s="28"/>
      <c r="DU115" s="28"/>
      <c r="DV115" s="28"/>
      <c r="DW115" s="28"/>
      <c r="DX115" s="28"/>
      <c r="DY115" s="28"/>
      <c r="DZ115" s="28"/>
      <c r="EA115" s="28"/>
      <c r="EB115" s="28"/>
      <c r="EC115" s="28"/>
      <c r="ED115" s="28"/>
      <c r="EE115" s="28"/>
      <c r="EF115" s="28"/>
      <c r="EG115" s="28"/>
      <c r="EH115" s="28"/>
      <c r="EI115" s="28"/>
      <c r="EJ115" s="28"/>
      <c r="EK115" s="28"/>
      <c r="EL115" s="28"/>
      <c r="EM115" s="28"/>
      <c r="EN115" s="28"/>
      <c r="EO115" s="28"/>
      <c r="EP115" s="28"/>
      <c r="EQ115" s="28"/>
      <c r="ER115" s="28"/>
      <c r="ES115" s="28"/>
      <c r="ET115" s="28"/>
      <c r="EU115" s="28"/>
      <c r="EV115" s="28"/>
      <c r="EW115" s="28"/>
      <c r="EX115" s="28"/>
    </row>
    <row r="116" spans="2:154" x14ac:dyDescent="0.3">
      <c r="B116" s="138">
        <f>House!K22</f>
        <v>0</v>
      </c>
      <c r="C116" s="139"/>
      <c r="D116" s="139"/>
      <c r="E116" s="140"/>
      <c r="K116" s="36"/>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28"/>
      <c r="DQ116" s="28"/>
      <c r="DR116" s="28"/>
      <c r="DS116" s="28"/>
      <c r="DT116" s="28"/>
      <c r="DU116" s="28"/>
      <c r="DV116" s="28"/>
      <c r="DW116" s="28"/>
      <c r="DX116" s="28"/>
      <c r="DY116" s="28"/>
      <c r="DZ116" s="28"/>
      <c r="EA116" s="28"/>
      <c r="EB116" s="28"/>
      <c r="EC116" s="28"/>
      <c r="ED116" s="28"/>
      <c r="EE116" s="28"/>
      <c r="EF116" s="28"/>
      <c r="EG116" s="28"/>
      <c r="EH116" s="28"/>
      <c r="EI116" s="28"/>
      <c r="EJ116" s="28"/>
      <c r="EK116" s="28"/>
      <c r="EL116" s="28"/>
      <c r="EM116" s="28"/>
      <c r="EN116" s="28"/>
      <c r="EO116" s="28"/>
      <c r="EP116" s="28"/>
      <c r="EQ116" s="28"/>
      <c r="ER116" s="28"/>
      <c r="ES116" s="28"/>
      <c r="ET116" s="28"/>
      <c r="EU116" s="28"/>
      <c r="EV116" s="28"/>
      <c r="EW116" s="28"/>
      <c r="EX116" s="28"/>
    </row>
    <row r="117" spans="2:154" x14ac:dyDescent="0.3">
      <c r="B117" s="141">
        <f>House!K23</f>
        <v>0</v>
      </c>
      <c r="C117" s="142"/>
      <c r="D117" s="142"/>
      <c r="E117" s="143"/>
      <c r="K117" s="36"/>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28"/>
      <c r="DQ117" s="28"/>
      <c r="DR117" s="28"/>
      <c r="DS117" s="28"/>
      <c r="DT117" s="28"/>
      <c r="DU117" s="28"/>
      <c r="DV117" s="28"/>
      <c r="DW117" s="28"/>
      <c r="DX117" s="28"/>
      <c r="DY117" s="28"/>
      <c r="DZ117" s="28"/>
      <c r="EA117" s="28"/>
      <c r="EB117" s="28"/>
      <c r="EC117" s="28"/>
      <c r="ED117" s="28"/>
      <c r="EE117" s="28"/>
      <c r="EF117" s="28"/>
      <c r="EG117" s="28"/>
      <c r="EH117" s="28"/>
      <c r="EI117" s="28"/>
      <c r="EJ117" s="28"/>
      <c r="EK117" s="28"/>
      <c r="EL117" s="28"/>
      <c r="EM117" s="28"/>
      <c r="EN117" s="28"/>
      <c r="EO117" s="28"/>
      <c r="EP117" s="28"/>
      <c r="EQ117" s="28"/>
      <c r="ER117" s="28"/>
      <c r="ES117" s="28"/>
      <c r="ET117" s="28"/>
      <c r="EU117" s="28"/>
      <c r="EV117" s="28"/>
      <c r="EW117" s="28"/>
      <c r="EX117" s="28"/>
    </row>
    <row r="118" spans="2:154" x14ac:dyDescent="0.3">
      <c r="B118" s="138">
        <f>House!K24</f>
        <v>0</v>
      </c>
      <c r="C118" s="139"/>
      <c r="D118" s="139"/>
      <c r="E118" s="140"/>
      <c r="K118" s="36"/>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28"/>
      <c r="DQ118" s="28"/>
      <c r="DR118" s="28"/>
      <c r="DS118" s="28"/>
      <c r="DT118" s="28"/>
      <c r="DU118" s="28"/>
      <c r="DV118" s="28"/>
      <c r="DW118" s="28"/>
      <c r="DX118" s="28"/>
      <c r="DY118" s="28"/>
      <c r="DZ118" s="28"/>
      <c r="EA118" s="28"/>
      <c r="EB118" s="28"/>
      <c r="EC118" s="28"/>
      <c r="ED118" s="28"/>
      <c r="EE118" s="28"/>
      <c r="EF118" s="28"/>
      <c r="EG118" s="28"/>
      <c r="EH118" s="28"/>
      <c r="EI118" s="28"/>
      <c r="EJ118" s="28"/>
      <c r="EK118" s="28"/>
      <c r="EL118" s="28"/>
      <c r="EM118" s="28"/>
      <c r="EN118" s="28"/>
      <c r="EO118" s="28"/>
      <c r="EP118" s="28"/>
      <c r="EQ118" s="28"/>
      <c r="ER118" s="28"/>
      <c r="ES118" s="28"/>
      <c r="ET118" s="28"/>
      <c r="EU118" s="28"/>
      <c r="EV118" s="28"/>
      <c r="EW118" s="28"/>
      <c r="EX118" s="28"/>
    </row>
    <row r="119" spans="2:154" x14ac:dyDescent="0.3">
      <c r="B119" s="141">
        <f>House!K25</f>
        <v>0</v>
      </c>
      <c r="C119" s="142"/>
      <c r="D119" s="142"/>
      <c r="E119" s="143"/>
      <c r="K119" s="36"/>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28"/>
      <c r="DQ119" s="28"/>
      <c r="DR119" s="28"/>
      <c r="DS119" s="28"/>
      <c r="DT119" s="28"/>
      <c r="DU119" s="28"/>
      <c r="DV119" s="28"/>
      <c r="DW119" s="28"/>
      <c r="DX119" s="28"/>
      <c r="DY119" s="28"/>
      <c r="DZ119" s="28"/>
      <c r="EA119" s="28"/>
      <c r="EB119" s="28"/>
      <c r="EC119" s="28"/>
      <c r="ED119" s="28"/>
      <c r="EE119" s="28"/>
      <c r="EF119" s="28"/>
      <c r="EG119" s="28"/>
      <c r="EH119" s="28"/>
      <c r="EI119" s="28"/>
      <c r="EJ119" s="28"/>
      <c r="EK119" s="28"/>
      <c r="EL119" s="28"/>
      <c r="EM119" s="28"/>
      <c r="EN119" s="28"/>
      <c r="EO119" s="28"/>
      <c r="EP119" s="28"/>
      <c r="EQ119" s="28"/>
      <c r="ER119" s="28"/>
      <c r="ES119" s="28"/>
      <c r="ET119" s="28"/>
      <c r="EU119" s="28"/>
      <c r="EV119" s="28"/>
      <c r="EW119" s="28"/>
      <c r="EX119" s="28"/>
    </row>
    <row r="120" spans="2:154" x14ac:dyDescent="0.3">
      <c r="B120" s="135">
        <f>House!K26</f>
        <v>0</v>
      </c>
      <c r="C120" s="136"/>
      <c r="D120" s="136"/>
      <c r="E120" s="137"/>
      <c r="K120" s="36"/>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28"/>
      <c r="DQ120" s="28"/>
      <c r="DR120" s="28"/>
      <c r="DS120" s="28"/>
      <c r="DT120" s="28"/>
      <c r="DU120" s="28"/>
      <c r="DV120" s="28"/>
      <c r="DW120" s="28"/>
      <c r="DX120" s="28"/>
      <c r="DY120" s="28"/>
      <c r="DZ120" s="28"/>
      <c r="EA120" s="28"/>
      <c r="EB120" s="28"/>
      <c r="EC120" s="28"/>
      <c r="ED120" s="28"/>
      <c r="EE120" s="28"/>
      <c r="EF120" s="28"/>
      <c r="EG120" s="28"/>
      <c r="EH120" s="28"/>
      <c r="EI120" s="28"/>
      <c r="EJ120" s="28"/>
      <c r="EK120" s="28"/>
      <c r="EL120" s="28"/>
      <c r="EM120" s="28"/>
      <c r="EN120" s="28"/>
      <c r="EO120" s="28"/>
      <c r="EP120" s="28"/>
      <c r="EQ120" s="28"/>
      <c r="ER120" s="28"/>
      <c r="ES120" s="28"/>
      <c r="ET120" s="28"/>
      <c r="EU120" s="28"/>
      <c r="EV120" s="28"/>
      <c r="EW120" s="28"/>
      <c r="EX120" s="28"/>
    </row>
    <row r="121" spans="2:154" x14ac:dyDescent="0.3">
      <c r="K121" s="36"/>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28"/>
      <c r="DQ121" s="28"/>
      <c r="DR121" s="28"/>
      <c r="DS121" s="28"/>
      <c r="DT121" s="28"/>
      <c r="DU121" s="28"/>
      <c r="DV121" s="28"/>
      <c r="DW121" s="28"/>
      <c r="DX121" s="28"/>
      <c r="DY121" s="28"/>
      <c r="DZ121" s="28"/>
      <c r="EA121" s="28"/>
      <c r="EB121" s="28"/>
      <c r="EC121" s="28"/>
      <c r="ED121" s="28"/>
      <c r="EE121" s="28"/>
      <c r="EF121" s="28"/>
      <c r="EG121" s="28"/>
      <c r="EH121" s="28"/>
      <c r="EI121" s="28"/>
      <c r="EJ121" s="28"/>
      <c r="EK121" s="28"/>
      <c r="EL121" s="28"/>
      <c r="EM121" s="28"/>
      <c r="EN121" s="28"/>
      <c r="EO121" s="28"/>
      <c r="EP121" s="28"/>
      <c r="EQ121" s="28"/>
      <c r="ER121" s="28"/>
      <c r="ES121" s="28"/>
      <c r="ET121" s="28"/>
      <c r="EU121" s="28"/>
      <c r="EV121" s="28"/>
      <c r="EW121" s="28"/>
      <c r="EX121" s="28"/>
    </row>
    <row r="122" spans="2:154" ht="14.5" thickBot="1" x14ac:dyDescent="0.35">
      <c r="B122" s="59"/>
      <c r="C122" s="59"/>
      <c r="D122" s="60"/>
      <c r="E122" s="60"/>
      <c r="F122" s="59"/>
      <c r="G122" s="59"/>
      <c r="H122" s="59"/>
      <c r="I122" s="59"/>
      <c r="J122" s="59"/>
      <c r="K122" s="59"/>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28"/>
      <c r="DQ122" s="28"/>
      <c r="DR122" s="28"/>
      <c r="DS122" s="28"/>
      <c r="DT122" s="28"/>
      <c r="DU122" s="28"/>
      <c r="DV122" s="28"/>
      <c r="DW122" s="28"/>
      <c r="DX122" s="28"/>
      <c r="DY122" s="28"/>
      <c r="DZ122" s="28"/>
      <c r="EA122" s="28"/>
      <c r="EB122" s="28"/>
      <c r="EC122" s="28"/>
      <c r="ED122" s="28"/>
      <c r="EE122" s="28"/>
      <c r="EF122" s="28"/>
      <c r="EG122" s="28"/>
      <c r="EH122" s="28"/>
      <c r="EI122" s="28"/>
      <c r="EJ122" s="28"/>
      <c r="EK122" s="28"/>
      <c r="EL122" s="28"/>
      <c r="EM122" s="28"/>
      <c r="EN122" s="28"/>
      <c r="EO122" s="28"/>
      <c r="EP122" s="28"/>
      <c r="EQ122" s="28"/>
      <c r="ER122" s="28"/>
      <c r="ES122" s="28"/>
      <c r="ET122" s="28"/>
      <c r="EU122" s="28"/>
      <c r="EV122" s="28"/>
      <c r="EW122" s="28"/>
      <c r="EX122" s="28"/>
    </row>
    <row r="123" spans="2:154" ht="14" customHeight="1" x14ac:dyDescent="0.3">
      <c r="B123" s="163">
        <f>House!N1</f>
        <v>5</v>
      </c>
      <c r="C123" s="163"/>
      <c r="D123" s="163"/>
      <c r="E123" s="163"/>
      <c r="F123" s="163"/>
      <c r="G123" s="163"/>
      <c r="H123" s="163"/>
      <c r="I123" s="163"/>
      <c r="J123" s="163"/>
      <c r="K123" s="163"/>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28"/>
      <c r="DQ123" s="28"/>
      <c r="DR123" s="28"/>
      <c r="DS123" s="28"/>
      <c r="DT123" s="28"/>
      <c r="DU123" s="28"/>
      <c r="DV123" s="28"/>
      <c r="DW123" s="28"/>
      <c r="DX123" s="28"/>
      <c r="DY123" s="28"/>
      <c r="DZ123" s="28"/>
      <c r="EA123" s="28"/>
      <c r="EB123" s="28"/>
      <c r="EC123" s="28"/>
      <c r="ED123" s="28"/>
      <c r="EE123" s="28"/>
      <c r="EF123" s="28"/>
      <c r="EG123" s="28"/>
      <c r="EH123" s="28"/>
      <c r="EI123" s="28"/>
      <c r="EJ123" s="28"/>
      <c r="EK123" s="28"/>
      <c r="EL123" s="28"/>
      <c r="EM123" s="28"/>
      <c r="EN123" s="28"/>
      <c r="EO123" s="28"/>
      <c r="EP123" s="28"/>
      <c r="EQ123" s="28"/>
      <c r="ER123" s="28"/>
      <c r="ES123" s="28"/>
      <c r="ET123" s="28"/>
      <c r="EU123" s="28"/>
      <c r="EV123" s="28"/>
      <c r="EW123" s="28"/>
      <c r="EX123" s="28"/>
    </row>
    <row r="124" spans="2:154" ht="14" customHeight="1" x14ac:dyDescent="0.3">
      <c r="B124" s="114"/>
      <c r="C124" s="114"/>
      <c r="D124" s="114"/>
      <c r="E124" s="114"/>
      <c r="F124" s="114"/>
      <c r="G124" s="114"/>
      <c r="H124" s="114"/>
      <c r="I124" s="114"/>
      <c r="J124" s="114"/>
      <c r="K124" s="114"/>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28"/>
      <c r="DQ124" s="28"/>
      <c r="DR124" s="28"/>
      <c r="DS124" s="28"/>
      <c r="DT124" s="28"/>
      <c r="DU124" s="28"/>
      <c r="DV124" s="28"/>
      <c r="DW124" s="28"/>
      <c r="DX124" s="28"/>
      <c r="DY124" s="28"/>
      <c r="DZ124" s="28"/>
      <c r="EA124" s="28"/>
      <c r="EB124" s="28"/>
      <c r="EC124" s="28"/>
      <c r="ED124" s="28"/>
      <c r="EE124" s="28"/>
      <c r="EF124" s="28"/>
      <c r="EG124" s="28"/>
      <c r="EH124" s="28"/>
      <c r="EI124" s="28"/>
      <c r="EJ124" s="28"/>
      <c r="EK124" s="28"/>
      <c r="EL124" s="28"/>
      <c r="EM124" s="28"/>
      <c r="EN124" s="28"/>
      <c r="EO124" s="28"/>
      <c r="EP124" s="28"/>
      <c r="EQ124" s="28"/>
      <c r="ER124" s="28"/>
      <c r="ES124" s="28"/>
      <c r="ET124" s="28"/>
      <c r="EU124" s="28"/>
      <c r="EV124" s="28"/>
      <c r="EW124" s="28"/>
      <c r="EX124" s="28"/>
    </row>
    <row r="125" spans="2:154" x14ac:dyDescent="0.3">
      <c r="K125" s="36"/>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28"/>
      <c r="DQ125" s="28"/>
      <c r="DR125" s="28"/>
      <c r="DS125" s="28"/>
      <c r="DT125" s="28"/>
      <c r="DU125" s="28"/>
      <c r="DV125" s="28"/>
      <c r="DW125" s="28"/>
      <c r="DX125" s="28"/>
      <c r="DY125" s="28"/>
      <c r="DZ125" s="28"/>
      <c r="EA125" s="28"/>
      <c r="EB125" s="28"/>
      <c r="EC125" s="28"/>
      <c r="ED125" s="28"/>
      <c r="EE125" s="28"/>
      <c r="EF125" s="28"/>
      <c r="EG125" s="28"/>
      <c r="EH125" s="28"/>
      <c r="EI125" s="28"/>
      <c r="EJ125" s="28"/>
      <c r="EK125" s="28"/>
      <c r="EL125" s="28"/>
      <c r="EM125" s="28"/>
      <c r="EN125" s="28"/>
      <c r="EO125" s="28"/>
      <c r="EP125" s="28"/>
      <c r="EQ125" s="28"/>
      <c r="ER125" s="28"/>
      <c r="ES125" s="28"/>
      <c r="ET125" s="28"/>
      <c r="EU125" s="28"/>
      <c r="EV125" s="28"/>
      <c r="EW125" s="28"/>
      <c r="EX125" s="28"/>
    </row>
    <row r="126" spans="2:154" ht="14.5" thickBot="1" x14ac:dyDescent="0.35">
      <c r="B126" s="107" t="s">
        <v>2</v>
      </c>
      <c r="C126" s="108"/>
      <c r="D126" s="108"/>
      <c r="E126" s="109"/>
      <c r="K126" s="36"/>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28"/>
      <c r="DQ126" s="28"/>
      <c r="DR126" s="28"/>
      <c r="DS126" s="28"/>
      <c r="DT126" s="28"/>
      <c r="DU126" s="28"/>
      <c r="DV126" s="28"/>
      <c r="DW126" s="28"/>
      <c r="DX126" s="28"/>
      <c r="DY126" s="28"/>
      <c r="DZ126" s="28"/>
      <c r="EA126" s="28"/>
      <c r="EB126" s="28"/>
      <c r="EC126" s="28"/>
      <c r="ED126" s="28"/>
      <c r="EE126" s="28"/>
      <c r="EF126" s="28"/>
      <c r="EG126" s="28"/>
      <c r="EH126" s="28"/>
      <c r="EI126" s="28"/>
      <c r="EJ126" s="28"/>
      <c r="EK126" s="28"/>
      <c r="EL126" s="28"/>
      <c r="EM126" s="28"/>
      <c r="EN126" s="28"/>
      <c r="EO126" s="28"/>
      <c r="EP126" s="28"/>
      <c r="EQ126" s="28"/>
      <c r="ER126" s="28"/>
      <c r="ES126" s="28"/>
      <c r="ET126" s="28"/>
      <c r="EU126" s="28"/>
      <c r="EV126" s="28"/>
      <c r="EW126" s="28"/>
      <c r="EX126" s="28"/>
    </row>
    <row r="127" spans="2:154" x14ac:dyDescent="0.3">
      <c r="B127" s="164" t="s">
        <v>3</v>
      </c>
      <c r="C127" s="165"/>
      <c r="D127" s="166">
        <f>House!O3</f>
        <v>0</v>
      </c>
      <c r="E127" s="167"/>
      <c r="K127" s="36"/>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28"/>
      <c r="DQ127" s="28"/>
      <c r="DR127" s="28"/>
      <c r="DS127" s="28"/>
      <c r="DT127" s="28"/>
      <c r="DU127" s="28"/>
      <c r="DV127" s="28"/>
      <c r="DW127" s="28"/>
      <c r="DX127" s="28"/>
      <c r="DY127" s="28"/>
      <c r="DZ127" s="28"/>
      <c r="EA127" s="28"/>
      <c r="EB127" s="28"/>
      <c r="EC127" s="28"/>
      <c r="ED127" s="28"/>
      <c r="EE127" s="28"/>
      <c r="EF127" s="28"/>
      <c r="EG127" s="28"/>
      <c r="EH127" s="28"/>
      <c r="EI127" s="28"/>
      <c r="EJ127" s="28"/>
      <c r="EK127" s="28"/>
      <c r="EL127" s="28"/>
      <c r="EM127" s="28"/>
      <c r="EN127" s="28"/>
      <c r="EO127" s="28"/>
      <c r="EP127" s="28"/>
      <c r="EQ127" s="28"/>
      <c r="ER127" s="28"/>
      <c r="ES127" s="28"/>
      <c r="ET127" s="28"/>
      <c r="EU127" s="28"/>
      <c r="EV127" s="28"/>
      <c r="EW127" s="28"/>
      <c r="EX127" s="28"/>
    </row>
    <row r="128" spans="2:154" x14ac:dyDescent="0.3">
      <c r="B128" s="159" t="s">
        <v>4</v>
      </c>
      <c r="C128" s="160"/>
      <c r="D128" s="150">
        <f>House!O4</f>
        <v>0</v>
      </c>
      <c r="E128" s="151"/>
      <c r="K128" s="36"/>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28"/>
      <c r="DQ128" s="28"/>
      <c r="DR128" s="28"/>
      <c r="DS128" s="28"/>
      <c r="DT128" s="28"/>
      <c r="DU128" s="28"/>
      <c r="DV128" s="28"/>
      <c r="DW128" s="28"/>
      <c r="DX128" s="28"/>
      <c r="DY128" s="28"/>
      <c r="DZ128" s="28"/>
      <c r="EA128" s="28"/>
      <c r="EB128" s="28"/>
      <c r="EC128" s="28"/>
      <c r="ED128" s="28"/>
      <c r="EE128" s="28"/>
      <c r="EF128" s="28"/>
      <c r="EG128" s="28"/>
      <c r="EH128" s="28"/>
      <c r="EI128" s="28"/>
      <c r="EJ128" s="28"/>
      <c r="EK128" s="28"/>
      <c r="EL128" s="28"/>
      <c r="EM128" s="28"/>
      <c r="EN128" s="28"/>
      <c r="EO128" s="28"/>
      <c r="EP128" s="28"/>
      <c r="EQ128" s="28"/>
      <c r="ER128" s="28"/>
      <c r="ES128" s="28"/>
      <c r="ET128" s="28"/>
      <c r="EU128" s="28"/>
      <c r="EV128" s="28"/>
      <c r="EW128" s="28"/>
      <c r="EX128" s="28"/>
    </row>
    <row r="129" spans="2:154" x14ac:dyDescent="0.3">
      <c r="B129" s="157" t="s">
        <v>5</v>
      </c>
      <c r="C129" s="158"/>
      <c r="D129" s="146">
        <f>House!O5</f>
        <v>0</v>
      </c>
      <c r="E129" s="147"/>
      <c r="K129" s="36"/>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28"/>
      <c r="DQ129" s="28"/>
      <c r="DR129" s="28"/>
      <c r="DS129" s="28"/>
      <c r="DT129" s="28"/>
      <c r="DU129" s="28"/>
      <c r="DV129" s="28"/>
      <c r="DW129" s="28"/>
      <c r="DX129" s="28"/>
      <c r="DY129" s="28"/>
      <c r="DZ129" s="28"/>
      <c r="EA129" s="28"/>
      <c r="EB129" s="28"/>
      <c r="EC129" s="28"/>
      <c r="ED129" s="28"/>
      <c r="EE129" s="28"/>
      <c r="EF129" s="28"/>
      <c r="EG129" s="28"/>
      <c r="EH129" s="28"/>
      <c r="EI129" s="28"/>
      <c r="EJ129" s="28"/>
      <c r="EK129" s="28"/>
      <c r="EL129" s="28"/>
      <c r="EM129" s="28"/>
      <c r="EN129" s="28"/>
      <c r="EO129" s="28"/>
      <c r="EP129" s="28"/>
      <c r="EQ129" s="28"/>
      <c r="ER129" s="28"/>
      <c r="ES129" s="28"/>
      <c r="ET129" s="28"/>
      <c r="EU129" s="28"/>
      <c r="EV129" s="28"/>
      <c r="EW129" s="28"/>
      <c r="EX129" s="28"/>
    </row>
    <row r="130" spans="2:154" x14ac:dyDescent="0.3">
      <c r="B130" s="159" t="s">
        <v>6</v>
      </c>
      <c r="C130" s="160"/>
      <c r="D130" s="150">
        <f>House!O6</f>
        <v>0</v>
      </c>
      <c r="E130" s="151"/>
      <c r="K130" s="36"/>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28"/>
      <c r="DQ130" s="28"/>
      <c r="DR130" s="28"/>
      <c r="DS130" s="28"/>
      <c r="DT130" s="28"/>
      <c r="DU130" s="28"/>
      <c r="DV130" s="28"/>
      <c r="DW130" s="28"/>
      <c r="DX130" s="28"/>
      <c r="DY130" s="28"/>
      <c r="DZ130" s="28"/>
      <c r="EA130" s="28"/>
      <c r="EB130" s="28"/>
      <c r="EC130" s="28"/>
      <c r="ED130" s="28"/>
      <c r="EE130" s="28"/>
      <c r="EF130" s="28"/>
      <c r="EG130" s="28"/>
      <c r="EH130" s="28"/>
      <c r="EI130" s="28"/>
      <c r="EJ130" s="28"/>
      <c r="EK130" s="28"/>
      <c r="EL130" s="28"/>
      <c r="EM130" s="28"/>
      <c r="EN130" s="28"/>
      <c r="EO130" s="28"/>
      <c r="EP130" s="28"/>
      <c r="EQ130" s="28"/>
      <c r="ER130" s="28"/>
      <c r="ES130" s="28"/>
      <c r="ET130" s="28"/>
      <c r="EU130" s="28"/>
      <c r="EV130" s="28"/>
      <c r="EW130" s="28"/>
      <c r="EX130" s="28"/>
    </row>
    <row r="131" spans="2:154" x14ac:dyDescent="0.3">
      <c r="B131" s="157" t="s">
        <v>7</v>
      </c>
      <c r="C131" s="158"/>
      <c r="D131" s="146">
        <f>House!O7</f>
        <v>0</v>
      </c>
      <c r="E131" s="147"/>
      <c r="K131" s="36"/>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28"/>
      <c r="DQ131" s="28"/>
      <c r="DR131" s="28"/>
      <c r="DS131" s="28"/>
      <c r="DT131" s="28"/>
      <c r="DU131" s="28"/>
      <c r="DV131" s="28"/>
      <c r="DW131" s="28"/>
      <c r="DX131" s="28"/>
      <c r="DY131" s="28"/>
      <c r="DZ131" s="28"/>
      <c r="EA131" s="28"/>
      <c r="EB131" s="28"/>
      <c r="EC131" s="28"/>
      <c r="ED131" s="28"/>
      <c r="EE131" s="28"/>
      <c r="EF131" s="28"/>
      <c r="EG131" s="28"/>
      <c r="EH131" s="28"/>
      <c r="EI131" s="28"/>
      <c r="EJ131" s="28"/>
      <c r="EK131" s="28"/>
      <c r="EL131" s="28"/>
      <c r="EM131" s="28"/>
      <c r="EN131" s="28"/>
      <c r="EO131" s="28"/>
      <c r="EP131" s="28"/>
      <c r="EQ131" s="28"/>
      <c r="ER131" s="28"/>
      <c r="ES131" s="28"/>
      <c r="ET131" s="28"/>
      <c r="EU131" s="28"/>
      <c r="EV131" s="28"/>
      <c r="EW131" s="28"/>
      <c r="EX131" s="28"/>
    </row>
    <row r="132" spans="2:154" x14ac:dyDescent="0.3">
      <c r="B132" s="159" t="s">
        <v>8</v>
      </c>
      <c r="C132" s="160"/>
      <c r="D132" s="150">
        <f>House!O8</f>
        <v>0</v>
      </c>
      <c r="E132" s="151"/>
      <c r="K132" s="36"/>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28"/>
      <c r="DQ132" s="28"/>
      <c r="DR132" s="28"/>
      <c r="DS132" s="28"/>
      <c r="DT132" s="28"/>
      <c r="DU132" s="28"/>
      <c r="DV132" s="28"/>
      <c r="DW132" s="28"/>
      <c r="DX132" s="28"/>
      <c r="DY132" s="28"/>
      <c r="DZ132" s="28"/>
      <c r="EA132" s="28"/>
      <c r="EB132" s="28"/>
      <c r="EC132" s="28"/>
      <c r="ED132" s="28"/>
      <c r="EE132" s="28"/>
      <c r="EF132" s="28"/>
      <c r="EG132" s="28"/>
      <c r="EH132" s="28"/>
      <c r="EI132" s="28"/>
      <c r="EJ132" s="28"/>
      <c r="EK132" s="28"/>
      <c r="EL132" s="28"/>
      <c r="EM132" s="28"/>
      <c r="EN132" s="28"/>
      <c r="EO132" s="28"/>
      <c r="EP132" s="28"/>
      <c r="EQ132" s="28"/>
      <c r="ER132" s="28"/>
      <c r="ES132" s="28"/>
      <c r="ET132" s="28"/>
      <c r="EU132" s="28"/>
      <c r="EV132" s="28"/>
      <c r="EW132" s="28"/>
      <c r="EX132" s="28"/>
    </row>
    <row r="133" spans="2:154" x14ac:dyDescent="0.3">
      <c r="B133" s="161" t="s">
        <v>9</v>
      </c>
      <c r="C133" s="162"/>
      <c r="D133" s="154">
        <f>House!O9</f>
        <v>0</v>
      </c>
      <c r="E133" s="155"/>
      <c r="K133" s="36"/>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28"/>
      <c r="DQ133" s="28"/>
      <c r="DR133" s="28"/>
      <c r="DS133" s="28"/>
      <c r="DT133" s="28"/>
      <c r="DU133" s="28"/>
      <c r="DV133" s="28"/>
      <c r="DW133" s="28"/>
      <c r="DX133" s="28"/>
      <c r="DY133" s="28"/>
      <c r="DZ133" s="28"/>
      <c r="EA133" s="28"/>
      <c r="EB133" s="28"/>
      <c r="EC133" s="28"/>
      <c r="ED133" s="28"/>
      <c r="EE133" s="28"/>
      <c r="EF133" s="28"/>
      <c r="EG133" s="28"/>
      <c r="EH133" s="28"/>
      <c r="EI133" s="28"/>
      <c r="EJ133" s="28"/>
      <c r="EK133" s="28"/>
      <c r="EL133" s="28"/>
      <c r="EM133" s="28"/>
      <c r="EN133" s="28"/>
      <c r="EO133" s="28"/>
      <c r="EP133" s="28"/>
      <c r="EQ133" s="28"/>
      <c r="ER133" s="28"/>
      <c r="ES133" s="28"/>
      <c r="ET133" s="28"/>
      <c r="EU133" s="28"/>
      <c r="EV133" s="28"/>
      <c r="EW133" s="28"/>
      <c r="EX133" s="28"/>
    </row>
    <row r="134" spans="2:154" x14ac:dyDescent="0.3">
      <c r="K134" s="36"/>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28"/>
      <c r="DQ134" s="28"/>
      <c r="DR134" s="28"/>
      <c r="DS134" s="28"/>
      <c r="DT134" s="28"/>
      <c r="DU134" s="28"/>
      <c r="DV134" s="28"/>
      <c r="DW134" s="28"/>
      <c r="DX134" s="28"/>
      <c r="DY134" s="28"/>
      <c r="DZ134" s="28"/>
      <c r="EA134" s="28"/>
      <c r="EB134" s="28"/>
      <c r="EC134" s="28"/>
      <c r="ED134" s="28"/>
      <c r="EE134" s="28"/>
      <c r="EF134" s="28"/>
      <c r="EG134" s="28"/>
      <c r="EH134" s="28"/>
      <c r="EI134" s="28"/>
      <c r="EJ134" s="28"/>
      <c r="EK134" s="28"/>
      <c r="EL134" s="28"/>
      <c r="EM134" s="28"/>
      <c r="EN134" s="28"/>
      <c r="EO134" s="28"/>
      <c r="EP134" s="28"/>
      <c r="EQ134" s="28"/>
      <c r="ER134" s="28"/>
      <c r="ES134" s="28"/>
      <c r="ET134" s="28"/>
      <c r="EU134" s="28"/>
      <c r="EV134" s="28"/>
      <c r="EW134" s="28"/>
      <c r="EX134" s="28"/>
    </row>
    <row r="135" spans="2:154" ht="14.5" thickBot="1" x14ac:dyDescent="0.35">
      <c r="B135" s="123" t="s">
        <v>4</v>
      </c>
      <c r="C135" s="115"/>
      <c r="D135" s="115"/>
      <c r="E135" s="116"/>
      <c r="K135" s="36"/>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28"/>
      <c r="DQ135" s="28"/>
      <c r="DR135" s="28"/>
      <c r="DS135" s="28"/>
      <c r="DT135" s="28"/>
      <c r="DU135" s="28"/>
      <c r="DV135" s="28"/>
      <c r="DW135" s="28"/>
      <c r="DX135" s="28"/>
      <c r="DY135" s="28"/>
      <c r="DZ135" s="28"/>
      <c r="EA135" s="28"/>
      <c r="EB135" s="28"/>
      <c r="EC135" s="28"/>
      <c r="ED135" s="28"/>
      <c r="EE135" s="28"/>
      <c r="EF135" s="28"/>
      <c r="EG135" s="28"/>
      <c r="EH135" s="28"/>
      <c r="EI135" s="28"/>
      <c r="EJ135" s="28"/>
      <c r="EK135" s="28"/>
      <c r="EL135" s="28"/>
      <c r="EM135" s="28"/>
      <c r="EN135" s="28"/>
      <c r="EO135" s="28"/>
      <c r="EP135" s="28"/>
      <c r="EQ135" s="28"/>
      <c r="ER135" s="28"/>
      <c r="ES135" s="28"/>
      <c r="ET135" s="28"/>
      <c r="EU135" s="28"/>
      <c r="EV135" s="28"/>
      <c r="EW135" s="28"/>
      <c r="EX135" s="28"/>
    </row>
    <row r="136" spans="2:154" x14ac:dyDescent="0.3">
      <c r="B136" s="148" t="s">
        <v>10</v>
      </c>
      <c r="C136" s="149"/>
      <c r="D136" s="156">
        <f>House!O12</f>
        <v>0</v>
      </c>
      <c r="E136" s="151"/>
      <c r="K136" s="36"/>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28"/>
      <c r="DQ136" s="28"/>
      <c r="DR136" s="28"/>
      <c r="DS136" s="28"/>
      <c r="DT136" s="28"/>
      <c r="DU136" s="28"/>
      <c r="DV136" s="28"/>
      <c r="DW136" s="28"/>
      <c r="DX136" s="28"/>
      <c r="DY136" s="28"/>
      <c r="DZ136" s="28"/>
      <c r="EA136" s="28"/>
      <c r="EB136" s="28"/>
      <c r="EC136" s="28"/>
      <c r="ED136" s="28"/>
      <c r="EE136" s="28"/>
      <c r="EF136" s="28"/>
      <c r="EG136" s="28"/>
      <c r="EH136" s="28"/>
      <c r="EI136" s="28"/>
      <c r="EJ136" s="28"/>
      <c r="EK136" s="28"/>
      <c r="EL136" s="28"/>
      <c r="EM136" s="28"/>
      <c r="EN136" s="28"/>
      <c r="EO136" s="28"/>
      <c r="EP136" s="28"/>
      <c r="EQ136" s="28"/>
      <c r="ER136" s="28"/>
      <c r="ES136" s="28"/>
      <c r="ET136" s="28"/>
      <c r="EU136" s="28"/>
      <c r="EV136" s="28"/>
      <c r="EW136" s="28"/>
      <c r="EX136" s="28"/>
    </row>
    <row r="137" spans="2:154" x14ac:dyDescent="0.3">
      <c r="B137" s="144" t="s">
        <v>11</v>
      </c>
      <c r="C137" s="145"/>
      <c r="D137" s="146">
        <f>House!O13</f>
        <v>0</v>
      </c>
      <c r="E137" s="147"/>
      <c r="K137" s="36"/>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28"/>
      <c r="DQ137" s="28"/>
      <c r="DR137" s="28"/>
      <c r="DS137" s="28"/>
      <c r="DT137" s="28"/>
      <c r="DU137" s="28"/>
      <c r="DV137" s="28"/>
      <c r="DW137" s="28"/>
      <c r="DX137" s="28"/>
      <c r="DY137" s="28"/>
      <c r="DZ137" s="28"/>
      <c r="EA137" s="28"/>
      <c r="EB137" s="28"/>
      <c r="EC137" s="28"/>
      <c r="ED137" s="28"/>
      <c r="EE137" s="28"/>
      <c r="EF137" s="28"/>
      <c r="EG137" s="28"/>
      <c r="EH137" s="28"/>
      <c r="EI137" s="28"/>
      <c r="EJ137" s="28"/>
      <c r="EK137" s="28"/>
      <c r="EL137" s="28"/>
      <c r="EM137" s="28"/>
      <c r="EN137" s="28"/>
      <c r="EO137" s="28"/>
      <c r="EP137" s="28"/>
      <c r="EQ137" s="28"/>
      <c r="ER137" s="28"/>
      <c r="ES137" s="28"/>
      <c r="ET137" s="28"/>
      <c r="EU137" s="28"/>
      <c r="EV137" s="28"/>
      <c r="EW137" s="28"/>
      <c r="EX137" s="28"/>
    </row>
    <row r="138" spans="2:154" x14ac:dyDescent="0.3">
      <c r="B138" s="148" t="s">
        <v>12</v>
      </c>
      <c r="C138" s="149"/>
      <c r="D138" s="150">
        <f>House!O14</f>
        <v>0</v>
      </c>
      <c r="E138" s="151"/>
      <c r="K138" s="36"/>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28"/>
      <c r="DQ138" s="28"/>
      <c r="DR138" s="28"/>
      <c r="DS138" s="28"/>
      <c r="DT138" s="28"/>
      <c r="DU138" s="28"/>
      <c r="DV138" s="28"/>
      <c r="DW138" s="28"/>
      <c r="DX138" s="28"/>
      <c r="DY138" s="28"/>
      <c r="DZ138" s="28"/>
      <c r="EA138" s="28"/>
      <c r="EB138" s="28"/>
      <c r="EC138" s="28"/>
      <c r="ED138" s="28"/>
      <c r="EE138" s="28"/>
      <c r="EF138" s="28"/>
      <c r="EG138" s="28"/>
      <c r="EH138" s="28"/>
      <c r="EI138" s="28"/>
      <c r="EJ138" s="28"/>
      <c r="EK138" s="28"/>
      <c r="EL138" s="28"/>
      <c r="EM138" s="28"/>
      <c r="EN138" s="28"/>
      <c r="EO138" s="28"/>
      <c r="EP138" s="28"/>
      <c r="EQ138" s="28"/>
      <c r="ER138" s="28"/>
      <c r="ES138" s="28"/>
      <c r="ET138" s="28"/>
      <c r="EU138" s="28"/>
      <c r="EV138" s="28"/>
      <c r="EW138" s="28"/>
      <c r="EX138" s="28"/>
    </row>
    <row r="139" spans="2:154" x14ac:dyDescent="0.3">
      <c r="B139" s="144" t="s">
        <v>13</v>
      </c>
      <c r="C139" s="145"/>
      <c r="D139" s="146">
        <f>House!O15</f>
        <v>0</v>
      </c>
      <c r="E139" s="147"/>
      <c r="K139" s="36"/>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28"/>
      <c r="DQ139" s="28"/>
      <c r="DR139" s="28"/>
      <c r="DS139" s="28"/>
      <c r="DT139" s="28"/>
      <c r="DU139" s="28"/>
      <c r="DV139" s="28"/>
      <c r="DW139" s="28"/>
      <c r="DX139" s="28"/>
      <c r="DY139" s="28"/>
      <c r="DZ139" s="28"/>
      <c r="EA139" s="28"/>
      <c r="EB139" s="28"/>
      <c r="EC139" s="28"/>
      <c r="ED139" s="28"/>
      <c r="EE139" s="28"/>
      <c r="EF139" s="28"/>
      <c r="EG139" s="28"/>
      <c r="EH139" s="28"/>
      <c r="EI139" s="28"/>
      <c r="EJ139" s="28"/>
      <c r="EK139" s="28"/>
      <c r="EL139" s="28"/>
      <c r="EM139" s="28"/>
      <c r="EN139" s="28"/>
      <c r="EO139" s="28"/>
      <c r="EP139" s="28"/>
      <c r="EQ139" s="28"/>
      <c r="ER139" s="28"/>
      <c r="ES139" s="28"/>
      <c r="ET139" s="28"/>
      <c r="EU139" s="28"/>
      <c r="EV139" s="28"/>
      <c r="EW139" s="28"/>
      <c r="EX139" s="28"/>
    </row>
    <row r="140" spans="2:154" x14ac:dyDescent="0.3">
      <c r="B140" s="148" t="s">
        <v>14</v>
      </c>
      <c r="C140" s="149"/>
      <c r="D140" s="150">
        <f>House!O16</f>
        <v>0</v>
      </c>
      <c r="E140" s="151"/>
      <c r="K140" s="36"/>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28"/>
      <c r="DQ140" s="28"/>
      <c r="DR140" s="28"/>
      <c r="DS140" s="28"/>
      <c r="DT140" s="28"/>
      <c r="DU140" s="28"/>
      <c r="DV140" s="28"/>
      <c r="DW140" s="28"/>
      <c r="DX140" s="28"/>
      <c r="DY140" s="28"/>
      <c r="DZ140" s="28"/>
      <c r="EA140" s="28"/>
      <c r="EB140" s="28"/>
      <c r="EC140" s="28"/>
      <c r="ED140" s="28"/>
      <c r="EE140" s="28"/>
      <c r="EF140" s="28"/>
      <c r="EG140" s="28"/>
      <c r="EH140" s="28"/>
      <c r="EI140" s="28"/>
      <c r="EJ140" s="28"/>
      <c r="EK140" s="28"/>
      <c r="EL140" s="28"/>
      <c r="EM140" s="28"/>
      <c r="EN140" s="28"/>
      <c r="EO140" s="28"/>
      <c r="EP140" s="28"/>
      <c r="EQ140" s="28"/>
      <c r="ER140" s="28"/>
      <c r="ES140" s="28"/>
      <c r="ET140" s="28"/>
      <c r="EU140" s="28"/>
      <c r="EV140" s="28"/>
      <c r="EW140" s="28"/>
      <c r="EX140" s="28"/>
    </row>
    <row r="141" spans="2:154" x14ac:dyDescent="0.3">
      <c r="B141" s="144" t="s">
        <v>16</v>
      </c>
      <c r="C141" s="145"/>
      <c r="D141" s="146">
        <f>House!O17</f>
        <v>0</v>
      </c>
      <c r="E141" s="147"/>
      <c r="K141" s="36"/>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28"/>
      <c r="DQ141" s="28"/>
      <c r="DR141" s="28"/>
      <c r="DS141" s="28"/>
      <c r="DT141" s="28"/>
      <c r="DU141" s="28"/>
      <c r="DV141" s="28"/>
      <c r="DW141" s="28"/>
      <c r="DX141" s="28"/>
      <c r="DY141" s="28"/>
      <c r="DZ141" s="28"/>
      <c r="EA141" s="28"/>
      <c r="EB141" s="28"/>
      <c r="EC141" s="28"/>
      <c r="ED141" s="28"/>
      <c r="EE141" s="28"/>
      <c r="EF141" s="28"/>
      <c r="EG141" s="28"/>
      <c r="EH141" s="28"/>
      <c r="EI141" s="28"/>
      <c r="EJ141" s="28"/>
      <c r="EK141" s="28"/>
      <c r="EL141" s="28"/>
      <c r="EM141" s="28"/>
      <c r="EN141" s="28"/>
      <c r="EO141" s="28"/>
      <c r="EP141" s="28"/>
      <c r="EQ141" s="28"/>
      <c r="ER141" s="28"/>
      <c r="ES141" s="28"/>
      <c r="ET141" s="28"/>
      <c r="EU141" s="28"/>
      <c r="EV141" s="28"/>
      <c r="EW141" s="28"/>
      <c r="EX141" s="28"/>
    </row>
    <row r="142" spans="2:154" x14ac:dyDescent="0.3">
      <c r="B142" s="148" t="s">
        <v>17</v>
      </c>
      <c r="C142" s="149"/>
      <c r="D142" s="150">
        <f>House!O18</f>
        <v>0</v>
      </c>
      <c r="E142" s="151"/>
      <c r="K142" s="36"/>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28"/>
      <c r="DQ142" s="28"/>
      <c r="DR142" s="28"/>
      <c r="DS142" s="28"/>
      <c r="DT142" s="28"/>
      <c r="DU142" s="28"/>
      <c r="DV142" s="28"/>
      <c r="DW142" s="28"/>
      <c r="DX142" s="28"/>
      <c r="DY142" s="28"/>
      <c r="DZ142" s="28"/>
      <c r="EA142" s="28"/>
      <c r="EB142" s="28"/>
      <c r="EC142" s="28"/>
      <c r="ED142" s="28"/>
      <c r="EE142" s="28"/>
      <c r="EF142" s="28"/>
      <c r="EG142" s="28"/>
      <c r="EH142" s="28"/>
      <c r="EI142" s="28"/>
      <c r="EJ142" s="28"/>
      <c r="EK142" s="28"/>
      <c r="EL142" s="28"/>
      <c r="EM142" s="28"/>
      <c r="EN142" s="28"/>
      <c r="EO142" s="28"/>
      <c r="EP142" s="28"/>
      <c r="EQ142" s="28"/>
      <c r="ER142" s="28"/>
      <c r="ES142" s="28"/>
      <c r="ET142" s="28"/>
      <c r="EU142" s="28"/>
      <c r="EV142" s="28"/>
      <c r="EW142" s="28"/>
      <c r="EX142" s="28"/>
    </row>
    <row r="143" spans="2:154" x14ac:dyDescent="0.3">
      <c r="B143" s="152" t="s">
        <v>18</v>
      </c>
      <c r="C143" s="153"/>
      <c r="D143" s="154">
        <f>House!O19</f>
        <v>0</v>
      </c>
      <c r="E143" s="155"/>
      <c r="K143" s="36"/>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28"/>
      <c r="DQ143" s="28"/>
      <c r="DR143" s="28"/>
      <c r="DS143" s="28"/>
      <c r="DT143" s="28"/>
      <c r="DU143" s="28"/>
      <c r="DV143" s="28"/>
      <c r="DW143" s="28"/>
      <c r="DX143" s="28"/>
      <c r="DY143" s="28"/>
      <c r="DZ143" s="28"/>
      <c r="EA143" s="28"/>
      <c r="EB143" s="28"/>
      <c r="EC143" s="28"/>
      <c r="ED143" s="28"/>
      <c r="EE143" s="28"/>
      <c r="EF143" s="28"/>
      <c r="EG143" s="28"/>
      <c r="EH143" s="28"/>
      <c r="EI143" s="28"/>
      <c r="EJ143" s="28"/>
      <c r="EK143" s="28"/>
      <c r="EL143" s="28"/>
      <c r="EM143" s="28"/>
      <c r="EN143" s="28"/>
      <c r="EO143" s="28"/>
      <c r="EP143" s="28"/>
      <c r="EQ143" s="28"/>
      <c r="ER143" s="28"/>
      <c r="ES143" s="28"/>
      <c r="ET143" s="28"/>
      <c r="EU143" s="28"/>
      <c r="EV143" s="28"/>
      <c r="EW143" s="28"/>
      <c r="EX143" s="28"/>
    </row>
    <row r="144" spans="2:154" x14ac:dyDescent="0.3">
      <c r="K144" s="36"/>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28"/>
      <c r="DQ144" s="28"/>
      <c r="DR144" s="28"/>
      <c r="DS144" s="28"/>
      <c r="DT144" s="28"/>
      <c r="DU144" s="28"/>
      <c r="DV144" s="28"/>
      <c r="DW144" s="28"/>
      <c r="DX144" s="28"/>
      <c r="DY144" s="28"/>
      <c r="DZ144" s="28"/>
      <c r="EA144" s="28"/>
      <c r="EB144" s="28"/>
      <c r="EC144" s="28"/>
      <c r="ED144" s="28"/>
      <c r="EE144" s="28"/>
      <c r="EF144" s="28"/>
      <c r="EG144" s="28"/>
      <c r="EH144" s="28"/>
      <c r="EI144" s="28"/>
      <c r="EJ144" s="28"/>
      <c r="EK144" s="28"/>
      <c r="EL144" s="28"/>
      <c r="EM144" s="28"/>
      <c r="EN144" s="28"/>
      <c r="EO144" s="28"/>
      <c r="EP144" s="28"/>
      <c r="EQ144" s="28"/>
      <c r="ER144" s="28"/>
      <c r="ES144" s="28"/>
      <c r="ET144" s="28"/>
      <c r="EU144" s="28"/>
      <c r="EV144" s="28"/>
      <c r="EW144" s="28"/>
      <c r="EX144" s="28"/>
    </row>
    <row r="145" spans="1:154" ht="14.5" thickBot="1" x14ac:dyDescent="0.35">
      <c r="B145" s="123" t="s">
        <v>19</v>
      </c>
      <c r="C145" s="115"/>
      <c r="D145" s="115"/>
      <c r="E145" s="116"/>
      <c r="K145" s="36"/>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28"/>
      <c r="DQ145" s="28"/>
      <c r="DR145" s="28"/>
      <c r="DS145" s="28"/>
      <c r="DT145" s="28"/>
      <c r="DU145" s="28"/>
      <c r="DV145" s="28"/>
      <c r="DW145" s="28"/>
      <c r="DX145" s="28"/>
      <c r="DY145" s="28"/>
      <c r="DZ145" s="28"/>
      <c r="EA145" s="28"/>
      <c r="EB145" s="28"/>
      <c r="EC145" s="28"/>
      <c r="ED145" s="28"/>
      <c r="EE145" s="28"/>
      <c r="EF145" s="28"/>
      <c r="EG145" s="28"/>
      <c r="EH145" s="28"/>
      <c r="EI145" s="28"/>
      <c r="EJ145" s="28"/>
      <c r="EK145" s="28"/>
      <c r="EL145" s="28"/>
      <c r="EM145" s="28"/>
      <c r="EN145" s="28"/>
      <c r="EO145" s="28"/>
      <c r="EP145" s="28"/>
      <c r="EQ145" s="28"/>
      <c r="ER145" s="28"/>
      <c r="ES145" s="28"/>
      <c r="ET145" s="28"/>
      <c r="EU145" s="28"/>
      <c r="EV145" s="28"/>
      <c r="EW145" s="28"/>
      <c r="EX145" s="28"/>
    </row>
    <row r="146" spans="1:154" x14ac:dyDescent="0.3">
      <c r="B146" s="138">
        <f>House!N22</f>
        <v>0</v>
      </c>
      <c r="C146" s="139"/>
      <c r="D146" s="139"/>
      <c r="E146" s="140"/>
      <c r="K146" s="36"/>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28"/>
      <c r="DQ146" s="28"/>
      <c r="DR146" s="28"/>
      <c r="DS146" s="28"/>
      <c r="DT146" s="28"/>
      <c r="DU146" s="28"/>
      <c r="DV146" s="28"/>
      <c r="DW146" s="28"/>
      <c r="DX146" s="28"/>
      <c r="DY146" s="28"/>
      <c r="DZ146" s="28"/>
      <c r="EA146" s="28"/>
      <c r="EB146" s="28"/>
      <c r="EC146" s="28"/>
      <c r="ED146" s="28"/>
      <c r="EE146" s="28"/>
      <c r="EF146" s="28"/>
      <c r="EG146" s="28"/>
      <c r="EH146" s="28"/>
      <c r="EI146" s="28"/>
      <c r="EJ146" s="28"/>
      <c r="EK146" s="28"/>
      <c r="EL146" s="28"/>
      <c r="EM146" s="28"/>
      <c r="EN146" s="28"/>
      <c r="EO146" s="28"/>
      <c r="EP146" s="28"/>
      <c r="EQ146" s="28"/>
      <c r="ER146" s="28"/>
      <c r="ES146" s="28"/>
      <c r="ET146" s="28"/>
      <c r="EU146" s="28"/>
      <c r="EV146" s="28"/>
      <c r="EW146" s="28"/>
      <c r="EX146" s="28"/>
    </row>
    <row r="147" spans="1:154" x14ac:dyDescent="0.3">
      <c r="B147" s="141">
        <f>House!N23</f>
        <v>0</v>
      </c>
      <c r="C147" s="142"/>
      <c r="D147" s="142"/>
      <c r="E147" s="143"/>
      <c r="K147" s="36"/>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28"/>
      <c r="DQ147" s="28"/>
      <c r="DR147" s="28"/>
      <c r="DS147" s="28"/>
      <c r="DT147" s="28"/>
      <c r="DU147" s="28"/>
      <c r="DV147" s="28"/>
      <c r="DW147" s="28"/>
      <c r="DX147" s="28"/>
      <c r="DY147" s="28"/>
      <c r="DZ147" s="28"/>
      <c r="EA147" s="28"/>
      <c r="EB147" s="28"/>
      <c r="EC147" s="28"/>
      <c r="ED147" s="28"/>
      <c r="EE147" s="28"/>
      <c r="EF147" s="28"/>
      <c r="EG147" s="28"/>
      <c r="EH147" s="28"/>
      <c r="EI147" s="28"/>
      <c r="EJ147" s="28"/>
      <c r="EK147" s="28"/>
      <c r="EL147" s="28"/>
      <c r="EM147" s="28"/>
      <c r="EN147" s="28"/>
      <c r="EO147" s="28"/>
      <c r="EP147" s="28"/>
      <c r="EQ147" s="28"/>
      <c r="ER147" s="28"/>
      <c r="ES147" s="28"/>
      <c r="ET147" s="28"/>
      <c r="EU147" s="28"/>
      <c r="EV147" s="28"/>
      <c r="EW147" s="28"/>
      <c r="EX147" s="28"/>
    </row>
    <row r="148" spans="1:154" x14ac:dyDescent="0.3">
      <c r="B148" s="138">
        <f>House!N24</f>
        <v>0</v>
      </c>
      <c r="C148" s="139"/>
      <c r="D148" s="139"/>
      <c r="E148" s="140"/>
      <c r="K148" s="36"/>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28"/>
      <c r="DQ148" s="28"/>
      <c r="DR148" s="28"/>
      <c r="DS148" s="28"/>
      <c r="DT148" s="28"/>
      <c r="DU148" s="28"/>
      <c r="DV148" s="28"/>
      <c r="DW148" s="28"/>
      <c r="DX148" s="28"/>
      <c r="DY148" s="28"/>
      <c r="DZ148" s="28"/>
      <c r="EA148" s="28"/>
      <c r="EB148" s="28"/>
      <c r="EC148" s="28"/>
      <c r="ED148" s="28"/>
      <c r="EE148" s="28"/>
      <c r="EF148" s="28"/>
      <c r="EG148" s="28"/>
      <c r="EH148" s="28"/>
      <c r="EI148" s="28"/>
      <c r="EJ148" s="28"/>
      <c r="EK148" s="28"/>
      <c r="EL148" s="28"/>
      <c r="EM148" s="28"/>
      <c r="EN148" s="28"/>
      <c r="EO148" s="28"/>
      <c r="EP148" s="28"/>
      <c r="EQ148" s="28"/>
      <c r="ER148" s="28"/>
      <c r="ES148" s="28"/>
      <c r="ET148" s="28"/>
      <c r="EU148" s="28"/>
      <c r="EV148" s="28"/>
      <c r="EW148" s="28"/>
      <c r="EX148" s="28"/>
    </row>
    <row r="149" spans="1:154" x14ac:dyDescent="0.3">
      <c r="B149" s="141">
        <f>House!N25</f>
        <v>0</v>
      </c>
      <c r="C149" s="142"/>
      <c r="D149" s="142"/>
      <c r="E149" s="143"/>
      <c r="K149" s="36"/>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28"/>
      <c r="DQ149" s="28"/>
      <c r="DR149" s="28"/>
      <c r="DS149" s="28"/>
      <c r="DT149" s="28"/>
      <c r="DU149" s="28"/>
      <c r="DV149" s="28"/>
      <c r="DW149" s="28"/>
      <c r="DX149" s="28"/>
      <c r="DY149" s="28"/>
      <c r="DZ149" s="28"/>
      <c r="EA149" s="28"/>
      <c r="EB149" s="28"/>
      <c r="EC149" s="28"/>
      <c r="ED149" s="28"/>
      <c r="EE149" s="28"/>
      <c r="EF149" s="28"/>
      <c r="EG149" s="28"/>
      <c r="EH149" s="28"/>
      <c r="EI149" s="28"/>
      <c r="EJ149" s="28"/>
      <c r="EK149" s="28"/>
      <c r="EL149" s="28"/>
      <c r="EM149" s="28"/>
      <c r="EN149" s="28"/>
      <c r="EO149" s="28"/>
      <c r="EP149" s="28"/>
      <c r="EQ149" s="28"/>
      <c r="ER149" s="28"/>
      <c r="ES149" s="28"/>
      <c r="ET149" s="28"/>
      <c r="EU149" s="28"/>
      <c r="EV149" s="28"/>
      <c r="EW149" s="28"/>
      <c r="EX149" s="28"/>
    </row>
    <row r="150" spans="1:154" x14ac:dyDescent="0.3">
      <c r="B150" s="135">
        <f>House!N26</f>
        <v>0</v>
      </c>
      <c r="C150" s="136"/>
      <c r="D150" s="136"/>
      <c r="E150" s="137"/>
      <c r="K150" s="36"/>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28"/>
      <c r="DQ150" s="28"/>
      <c r="DR150" s="28"/>
      <c r="DS150" s="28"/>
      <c r="DT150" s="28"/>
      <c r="DU150" s="28"/>
      <c r="DV150" s="28"/>
      <c r="DW150" s="28"/>
      <c r="DX150" s="28"/>
      <c r="DY150" s="28"/>
      <c r="DZ150" s="28"/>
      <c r="EA150" s="28"/>
      <c r="EB150" s="28"/>
      <c r="EC150" s="28"/>
      <c r="ED150" s="28"/>
      <c r="EE150" s="28"/>
      <c r="EF150" s="28"/>
      <c r="EG150" s="28"/>
      <c r="EH150" s="28"/>
      <c r="EI150" s="28"/>
      <c r="EJ150" s="28"/>
      <c r="EK150" s="28"/>
      <c r="EL150" s="28"/>
      <c r="EM150" s="28"/>
      <c r="EN150" s="28"/>
      <c r="EO150" s="28"/>
      <c r="EP150" s="28"/>
      <c r="EQ150" s="28"/>
      <c r="ER150" s="28"/>
      <c r="ES150" s="28"/>
      <c r="ET150" s="28"/>
      <c r="EU150" s="28"/>
      <c r="EV150" s="28"/>
      <c r="EW150" s="28"/>
      <c r="EX150" s="28"/>
    </row>
    <row r="151" spans="1:154" x14ac:dyDescent="0.3">
      <c r="K151" s="36"/>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28"/>
      <c r="DQ151" s="28"/>
      <c r="DR151" s="28"/>
      <c r="DS151" s="28"/>
      <c r="DT151" s="28"/>
      <c r="DU151" s="28"/>
      <c r="DV151" s="28"/>
      <c r="DW151" s="28"/>
      <c r="DX151" s="28"/>
      <c r="DY151" s="28"/>
      <c r="DZ151" s="28"/>
      <c r="EA151" s="28"/>
      <c r="EB151" s="28"/>
      <c r="EC151" s="28"/>
      <c r="ED151" s="28"/>
      <c r="EE151" s="28"/>
      <c r="EF151" s="28"/>
      <c r="EG151" s="28"/>
      <c r="EH151" s="28"/>
      <c r="EI151" s="28"/>
      <c r="EJ151" s="28"/>
      <c r="EK151" s="28"/>
      <c r="EL151" s="28"/>
      <c r="EM151" s="28"/>
      <c r="EN151" s="28"/>
      <c r="EO151" s="28"/>
      <c r="EP151" s="28"/>
      <c r="EQ151" s="28"/>
      <c r="ER151" s="28"/>
      <c r="ES151" s="28"/>
      <c r="ET151" s="28"/>
      <c r="EU151" s="28"/>
      <c r="EV151" s="28"/>
      <c r="EW151" s="28"/>
      <c r="EX151" s="28"/>
    </row>
    <row r="152" spans="1:154" ht="14.5" thickBot="1" x14ac:dyDescent="0.35">
      <c r="B152" s="59"/>
      <c r="C152" s="59"/>
      <c r="D152" s="60"/>
      <c r="E152" s="60"/>
      <c r="F152" s="59"/>
      <c r="G152" s="59"/>
      <c r="H152" s="59"/>
      <c r="I152" s="59"/>
      <c r="J152" s="59"/>
      <c r="K152" s="59"/>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28"/>
      <c r="DQ152" s="28"/>
      <c r="DR152" s="28"/>
      <c r="DS152" s="28"/>
      <c r="DT152" s="28"/>
      <c r="DU152" s="28"/>
      <c r="DV152" s="28"/>
      <c r="DW152" s="28"/>
      <c r="DX152" s="28"/>
      <c r="DY152" s="28"/>
      <c r="DZ152" s="28"/>
      <c r="EA152" s="28"/>
      <c r="EB152" s="28"/>
      <c r="EC152" s="28"/>
      <c r="ED152" s="28"/>
      <c r="EE152" s="28"/>
      <c r="EF152" s="28"/>
      <c r="EG152" s="28"/>
      <c r="EH152" s="28"/>
      <c r="EI152" s="28"/>
      <c r="EJ152" s="28"/>
      <c r="EK152" s="28"/>
      <c r="EL152" s="28"/>
      <c r="EM152" s="28"/>
      <c r="EN152" s="28"/>
      <c r="EO152" s="28"/>
      <c r="EP152" s="28"/>
      <c r="EQ152" s="28"/>
      <c r="ER152" s="28"/>
      <c r="ES152" s="28"/>
      <c r="ET152" s="28"/>
      <c r="EU152" s="28"/>
      <c r="EV152" s="28"/>
      <c r="EW152" s="28"/>
      <c r="EX152" s="28"/>
    </row>
    <row r="153" spans="1:154" x14ac:dyDescent="0.3">
      <c r="A153" s="30"/>
      <c r="B153" s="30"/>
      <c r="C153" s="30"/>
      <c r="D153" s="30"/>
      <c r="E153" s="30"/>
      <c r="F153" s="30"/>
      <c r="G153" s="30"/>
      <c r="H153" s="30"/>
      <c r="I153" s="30"/>
      <c r="J153" s="30"/>
      <c r="K153" s="30"/>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28"/>
      <c r="DQ153" s="28"/>
      <c r="DR153" s="28"/>
      <c r="DS153" s="28"/>
      <c r="DT153" s="28"/>
      <c r="DU153" s="28"/>
      <c r="DV153" s="28"/>
      <c r="DW153" s="28"/>
      <c r="DX153" s="28"/>
      <c r="DY153" s="28"/>
      <c r="DZ153" s="28"/>
      <c r="EA153" s="28"/>
      <c r="EB153" s="28"/>
      <c r="EC153" s="28"/>
      <c r="ED153" s="28"/>
      <c r="EE153" s="28"/>
      <c r="EF153" s="28"/>
      <c r="EG153" s="28"/>
      <c r="EH153" s="28"/>
      <c r="EI153" s="28"/>
      <c r="EJ153" s="28"/>
      <c r="EK153" s="28"/>
      <c r="EL153" s="28"/>
      <c r="EM153" s="28"/>
      <c r="EN153" s="28"/>
      <c r="EO153" s="28"/>
      <c r="EP153" s="28"/>
      <c r="EQ153" s="28"/>
      <c r="ER153" s="28"/>
      <c r="ES153" s="28"/>
      <c r="ET153" s="28"/>
      <c r="EU153" s="28"/>
      <c r="EV153" s="28"/>
      <c r="EW153" s="28"/>
      <c r="EX153" s="28"/>
    </row>
    <row r="154" spans="1:154" x14ac:dyDescent="0.3">
      <c r="A154" s="34"/>
      <c r="D154" s="34"/>
      <c r="L154" s="36"/>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28"/>
      <c r="DQ154" s="28"/>
      <c r="DR154" s="28"/>
      <c r="DS154" s="28"/>
      <c r="DT154" s="28"/>
      <c r="DU154" s="28"/>
      <c r="DV154" s="28"/>
      <c r="DW154" s="28"/>
      <c r="DX154" s="28"/>
      <c r="DY154" s="28"/>
      <c r="DZ154" s="28"/>
      <c r="EA154" s="28"/>
      <c r="EB154" s="28"/>
      <c r="EC154" s="28"/>
      <c r="ED154" s="28"/>
      <c r="EE154" s="28"/>
      <c r="EF154" s="28"/>
      <c r="EG154" s="28"/>
      <c r="EH154" s="28"/>
      <c r="EI154" s="28"/>
      <c r="EJ154" s="28"/>
      <c r="EK154" s="28"/>
      <c r="EL154" s="28"/>
      <c r="EM154" s="28"/>
      <c r="EN154" s="28"/>
      <c r="EO154" s="28"/>
      <c r="EP154" s="28"/>
      <c r="EQ154" s="28"/>
      <c r="ER154" s="28"/>
      <c r="ES154" s="28"/>
      <c r="ET154" s="28"/>
      <c r="EU154" s="28"/>
      <c r="EV154" s="28"/>
      <c r="EW154" s="28"/>
      <c r="EX154" s="28"/>
    </row>
    <row r="155" spans="1:154" x14ac:dyDescent="0.3">
      <c r="A155" s="34"/>
      <c r="D155" s="34"/>
      <c r="L155" s="36"/>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28"/>
      <c r="DQ155" s="28"/>
      <c r="DR155" s="28"/>
      <c r="DS155" s="28"/>
      <c r="DT155" s="28"/>
      <c r="DU155" s="28"/>
      <c r="DV155" s="28"/>
      <c r="DW155" s="28"/>
      <c r="DX155" s="28"/>
      <c r="DY155" s="28"/>
      <c r="DZ155" s="28"/>
      <c r="EA155" s="28"/>
      <c r="EB155" s="28"/>
      <c r="EC155" s="28"/>
      <c r="ED155" s="28"/>
      <c r="EE155" s="28"/>
      <c r="EF155" s="28"/>
      <c r="EG155" s="28"/>
      <c r="EH155" s="28"/>
      <c r="EI155" s="28"/>
      <c r="EJ155" s="28"/>
      <c r="EK155" s="28"/>
      <c r="EL155" s="28"/>
      <c r="EM155" s="28"/>
      <c r="EN155" s="28"/>
      <c r="EO155" s="28"/>
      <c r="EP155" s="28"/>
      <c r="EQ155" s="28"/>
      <c r="ER155" s="28"/>
      <c r="ES155" s="28"/>
      <c r="ET155" s="28"/>
      <c r="EU155" s="28"/>
      <c r="EV155" s="28"/>
      <c r="EW155" s="28"/>
      <c r="EX155" s="28"/>
    </row>
    <row r="156" spans="1:154" x14ac:dyDescent="0.3">
      <c r="A156" s="34"/>
      <c r="D156" s="34"/>
      <c r="L156" s="36"/>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28"/>
      <c r="DQ156" s="28"/>
      <c r="DR156" s="28"/>
      <c r="DS156" s="28"/>
      <c r="DT156" s="28"/>
      <c r="DU156" s="28"/>
      <c r="DV156" s="28"/>
      <c r="DW156" s="28"/>
      <c r="DX156" s="28"/>
      <c r="DY156" s="28"/>
      <c r="DZ156" s="28"/>
      <c r="EA156" s="28"/>
      <c r="EB156" s="28"/>
      <c r="EC156" s="28"/>
      <c r="ED156" s="28"/>
      <c r="EE156" s="28"/>
      <c r="EF156" s="28"/>
      <c r="EG156" s="28"/>
      <c r="EH156" s="28"/>
      <c r="EI156" s="28"/>
      <c r="EJ156" s="28"/>
      <c r="EK156" s="28"/>
      <c r="EL156" s="28"/>
      <c r="EM156" s="28"/>
      <c r="EN156" s="28"/>
      <c r="EO156" s="28"/>
      <c r="EP156" s="28"/>
      <c r="EQ156" s="28"/>
      <c r="ER156" s="28"/>
      <c r="ES156" s="28"/>
      <c r="ET156" s="28"/>
      <c r="EU156" s="28"/>
      <c r="EV156" s="28"/>
      <c r="EW156" s="28"/>
      <c r="EX156" s="28"/>
    </row>
    <row r="157" spans="1:154" x14ac:dyDescent="0.3">
      <c r="A157" s="34"/>
      <c r="D157" s="34"/>
      <c r="L157" s="36"/>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28"/>
      <c r="DQ157" s="28"/>
      <c r="DR157" s="28"/>
      <c r="DS157" s="28"/>
      <c r="DT157" s="28"/>
      <c r="DU157" s="28"/>
      <c r="DV157" s="28"/>
      <c r="DW157" s="28"/>
      <c r="DX157" s="28"/>
      <c r="DY157" s="28"/>
      <c r="DZ157" s="28"/>
      <c r="EA157" s="28"/>
      <c r="EB157" s="28"/>
      <c r="EC157" s="28"/>
      <c r="ED157" s="28"/>
      <c r="EE157" s="28"/>
      <c r="EF157" s="28"/>
      <c r="EG157" s="28"/>
      <c r="EH157" s="28"/>
      <c r="EI157" s="28"/>
      <c r="EJ157" s="28"/>
      <c r="EK157" s="28"/>
      <c r="EL157" s="28"/>
      <c r="EM157" s="28"/>
      <c r="EN157" s="28"/>
      <c r="EO157" s="28"/>
      <c r="EP157" s="28"/>
      <c r="EQ157" s="28"/>
      <c r="ER157" s="28"/>
      <c r="ES157" s="28"/>
      <c r="ET157" s="28"/>
      <c r="EU157" s="28"/>
      <c r="EV157" s="28"/>
      <c r="EW157" s="28"/>
      <c r="EX157" s="28"/>
    </row>
    <row r="158" spans="1:154" x14ac:dyDescent="0.3">
      <c r="A158" s="34"/>
      <c r="D158" s="34"/>
      <c r="L158" s="36"/>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28"/>
      <c r="DQ158" s="28"/>
      <c r="DR158" s="28"/>
      <c r="DS158" s="28"/>
      <c r="DT158" s="28"/>
      <c r="DU158" s="28"/>
      <c r="DV158" s="28"/>
      <c r="DW158" s="28"/>
      <c r="DX158" s="28"/>
      <c r="DY158" s="28"/>
      <c r="DZ158" s="28"/>
      <c r="EA158" s="28"/>
      <c r="EB158" s="28"/>
      <c r="EC158" s="28"/>
      <c r="ED158" s="28"/>
      <c r="EE158" s="28"/>
      <c r="EF158" s="28"/>
      <c r="EG158" s="28"/>
      <c r="EH158" s="28"/>
      <c r="EI158" s="28"/>
      <c r="EJ158" s="28"/>
      <c r="EK158" s="28"/>
      <c r="EL158" s="28"/>
      <c r="EM158" s="28"/>
      <c r="EN158" s="28"/>
      <c r="EO158" s="28"/>
      <c r="EP158" s="28"/>
      <c r="EQ158" s="28"/>
      <c r="ER158" s="28"/>
      <c r="ES158" s="28"/>
      <c r="ET158" s="28"/>
      <c r="EU158" s="28"/>
      <c r="EV158" s="28"/>
      <c r="EW158" s="28"/>
      <c r="EX158" s="28"/>
    </row>
    <row r="159" spans="1:154" x14ac:dyDescent="0.3">
      <c r="A159" s="34"/>
      <c r="D159" s="34"/>
      <c r="L159" s="36"/>
      <c r="Q159" s="28"/>
      <c r="R159" s="28"/>
      <c r="S159" s="28"/>
      <c r="T159" s="28"/>
      <c r="U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28"/>
      <c r="DQ159" s="28"/>
      <c r="DR159" s="28"/>
      <c r="DS159" s="28"/>
      <c r="DT159" s="28"/>
      <c r="DU159" s="28"/>
      <c r="DV159" s="28"/>
      <c r="DW159" s="28"/>
      <c r="DX159" s="28"/>
      <c r="DY159" s="28"/>
      <c r="DZ159" s="28"/>
      <c r="EA159" s="28"/>
      <c r="EB159" s="28"/>
      <c r="EC159" s="28"/>
      <c r="ED159" s="28"/>
      <c r="EE159" s="28"/>
      <c r="EF159" s="28"/>
      <c r="EG159" s="28"/>
      <c r="EH159" s="28"/>
      <c r="EI159" s="28"/>
      <c r="EJ159" s="28"/>
      <c r="EK159" s="28"/>
      <c r="EL159" s="28"/>
      <c r="EM159" s="28"/>
      <c r="EN159" s="28"/>
      <c r="EO159" s="28"/>
      <c r="EP159" s="28"/>
      <c r="EQ159" s="28"/>
      <c r="ER159" s="28"/>
      <c r="ES159" s="28"/>
      <c r="ET159" s="28"/>
      <c r="EU159" s="28"/>
      <c r="EV159" s="28"/>
      <c r="EW159" s="28"/>
      <c r="EX159" s="28"/>
    </row>
    <row r="160" spans="1:154" x14ac:dyDescent="0.3">
      <c r="A160" s="34"/>
      <c r="D160" s="34"/>
      <c r="L160" s="36"/>
      <c r="Q160" s="28"/>
      <c r="R160" s="28"/>
      <c r="S160" s="28"/>
      <c r="T160" s="28"/>
      <c r="U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28"/>
      <c r="DQ160" s="28"/>
      <c r="DR160" s="28"/>
      <c r="DS160" s="28"/>
      <c r="DT160" s="28"/>
      <c r="DU160" s="28"/>
      <c r="DV160" s="28"/>
      <c r="DW160" s="28"/>
      <c r="DX160" s="28"/>
      <c r="DY160" s="28"/>
      <c r="DZ160" s="28"/>
      <c r="EA160" s="28"/>
      <c r="EB160" s="28"/>
      <c r="EC160" s="28"/>
      <c r="ED160" s="28"/>
      <c r="EE160" s="28"/>
      <c r="EF160" s="28"/>
      <c r="EG160" s="28"/>
      <c r="EH160" s="28"/>
      <c r="EI160" s="28"/>
      <c r="EJ160" s="28"/>
      <c r="EK160" s="28"/>
      <c r="EL160" s="28"/>
      <c r="EM160" s="28"/>
      <c r="EN160" s="28"/>
      <c r="EO160" s="28"/>
      <c r="EP160" s="28"/>
      <c r="EQ160" s="28"/>
      <c r="ER160" s="28"/>
      <c r="ES160" s="28"/>
      <c r="ET160" s="28"/>
      <c r="EU160" s="28"/>
      <c r="EV160" s="28"/>
      <c r="EW160" s="28"/>
      <c r="EX160" s="28"/>
    </row>
    <row r="161" spans="1:154" x14ac:dyDescent="0.3">
      <c r="A161" s="34"/>
      <c r="D161" s="34"/>
      <c r="L161" s="36"/>
      <c r="Q161" s="28"/>
      <c r="R161" s="28"/>
      <c r="S161" s="28"/>
      <c r="T161" s="28"/>
      <c r="U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28"/>
      <c r="DQ161" s="28"/>
      <c r="DR161" s="28"/>
      <c r="DS161" s="28"/>
      <c r="DT161" s="28"/>
      <c r="DU161" s="28"/>
      <c r="DV161" s="28"/>
      <c r="DW161" s="28"/>
      <c r="DX161" s="28"/>
      <c r="DY161" s="28"/>
      <c r="DZ161" s="28"/>
      <c r="EA161" s="28"/>
      <c r="EB161" s="28"/>
      <c r="EC161" s="28"/>
      <c r="ED161" s="28"/>
      <c r="EE161" s="28"/>
      <c r="EF161" s="28"/>
      <c r="EG161" s="28"/>
      <c r="EH161" s="28"/>
      <c r="EI161" s="28"/>
      <c r="EJ161" s="28"/>
      <c r="EK161" s="28"/>
      <c r="EL161" s="28"/>
      <c r="EM161" s="28"/>
      <c r="EN161" s="28"/>
      <c r="EO161" s="28"/>
      <c r="EP161" s="28"/>
      <c r="EQ161" s="28"/>
      <c r="ER161" s="28"/>
      <c r="ES161" s="28"/>
      <c r="ET161" s="28"/>
      <c r="EU161" s="28"/>
      <c r="EV161" s="28"/>
      <c r="EW161" s="28"/>
      <c r="EX161" s="28"/>
    </row>
    <row r="162" spans="1:154" x14ac:dyDescent="0.3">
      <c r="A162" s="34"/>
      <c r="D162" s="34"/>
      <c r="L162" s="36"/>
      <c r="Q162" s="28"/>
      <c r="R162" s="28"/>
      <c r="S162" s="28"/>
      <c r="T162" s="28"/>
      <c r="U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28"/>
      <c r="DQ162" s="28"/>
      <c r="DR162" s="28"/>
      <c r="DS162" s="28"/>
      <c r="DT162" s="28"/>
      <c r="DU162" s="28"/>
      <c r="DV162" s="28"/>
      <c r="DW162" s="28"/>
      <c r="DX162" s="28"/>
      <c r="DY162" s="28"/>
      <c r="DZ162" s="28"/>
      <c r="EA162" s="28"/>
      <c r="EB162" s="28"/>
      <c r="EC162" s="28"/>
      <c r="ED162" s="28"/>
      <c r="EE162" s="28"/>
      <c r="EF162" s="28"/>
      <c r="EG162" s="28"/>
      <c r="EH162" s="28"/>
      <c r="EI162" s="28"/>
      <c r="EJ162" s="28"/>
      <c r="EK162" s="28"/>
      <c r="EL162" s="28"/>
      <c r="EM162" s="28"/>
      <c r="EN162" s="28"/>
      <c r="EO162" s="28"/>
      <c r="EP162" s="28"/>
      <c r="EQ162" s="28"/>
      <c r="ER162" s="28"/>
      <c r="ES162" s="28"/>
      <c r="ET162" s="28"/>
      <c r="EU162" s="28"/>
      <c r="EV162" s="28"/>
      <c r="EW162" s="28"/>
      <c r="EX162" s="28"/>
    </row>
    <row r="163" spans="1:154" x14ac:dyDescent="0.3">
      <c r="A163" s="34"/>
      <c r="D163" s="34"/>
      <c r="L163" s="36"/>
      <c r="Q163" s="28"/>
      <c r="R163" s="28"/>
      <c r="S163" s="28"/>
      <c r="T163" s="28"/>
      <c r="U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28"/>
      <c r="DQ163" s="28"/>
      <c r="DR163" s="28"/>
      <c r="DS163" s="28"/>
      <c r="DT163" s="28"/>
      <c r="DU163" s="28"/>
      <c r="DV163" s="28"/>
      <c r="DW163" s="28"/>
      <c r="DX163" s="28"/>
      <c r="DY163" s="28"/>
      <c r="DZ163" s="28"/>
      <c r="EA163" s="28"/>
      <c r="EB163" s="28"/>
      <c r="EC163" s="28"/>
      <c r="ED163" s="28"/>
      <c r="EE163" s="28"/>
      <c r="EF163" s="28"/>
      <c r="EG163" s="28"/>
      <c r="EH163" s="28"/>
      <c r="EI163" s="28"/>
      <c r="EJ163" s="28"/>
      <c r="EK163" s="28"/>
      <c r="EL163" s="28"/>
      <c r="EM163" s="28"/>
      <c r="EN163" s="28"/>
      <c r="EO163" s="28"/>
      <c r="EP163" s="28"/>
      <c r="EQ163" s="28"/>
      <c r="ER163" s="28"/>
      <c r="ES163" s="28"/>
      <c r="ET163" s="28"/>
      <c r="EU163" s="28"/>
      <c r="EV163" s="28"/>
      <c r="EW163" s="28"/>
      <c r="EX163" s="28"/>
    </row>
    <row r="164" spans="1:154" x14ac:dyDescent="0.3">
      <c r="A164" s="34"/>
      <c r="D164" s="34"/>
      <c r="L164" s="36"/>
      <c r="Q164" s="28"/>
      <c r="R164" s="28"/>
      <c r="S164" s="28"/>
      <c r="T164" s="28"/>
      <c r="U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row>
    <row r="165" spans="1:154" x14ac:dyDescent="0.3">
      <c r="A165" s="34"/>
      <c r="D165" s="34"/>
      <c r="L165" s="36"/>
      <c r="Q165" s="28"/>
      <c r="R165" s="28"/>
      <c r="S165" s="28"/>
      <c r="T165" s="28"/>
      <c r="U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row>
    <row r="166" spans="1:154" x14ac:dyDescent="0.3">
      <c r="A166" s="34"/>
      <c r="D166" s="34"/>
      <c r="L166" s="36"/>
      <c r="R166" s="34"/>
      <c r="U166" s="34"/>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row>
    <row r="167" spans="1:154" x14ac:dyDescent="0.3">
      <c r="A167" s="34"/>
      <c r="D167" s="34"/>
      <c r="L167" s="36"/>
      <c r="R167" s="34"/>
      <c r="U167" s="34"/>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row>
    <row r="168" spans="1:154" x14ac:dyDescent="0.3">
      <c r="A168" s="34"/>
      <c r="D168" s="34"/>
      <c r="L168" s="36"/>
      <c r="R168" s="34"/>
      <c r="U168" s="34"/>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row>
    <row r="169" spans="1:154" x14ac:dyDescent="0.3">
      <c r="A169" s="34"/>
      <c r="D169" s="34"/>
      <c r="L169" s="36"/>
      <c r="R169" s="34"/>
      <c r="U169" s="34"/>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row>
    <row r="170" spans="1:154" x14ac:dyDescent="0.3">
      <c r="A170" s="34"/>
      <c r="L170" s="36"/>
      <c r="R170" s="34"/>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row>
    <row r="171" spans="1:154" x14ac:dyDescent="0.3">
      <c r="A171" s="34"/>
      <c r="L171" s="36"/>
      <c r="R171" s="34"/>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row>
    <row r="172" spans="1:154" x14ac:dyDescent="0.3">
      <c r="A172" s="34"/>
      <c r="L172" s="36"/>
      <c r="R172" s="34"/>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row>
    <row r="173" spans="1:154" x14ac:dyDescent="0.3">
      <c r="A173" s="34"/>
      <c r="L173" s="36"/>
      <c r="R173" s="34"/>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28"/>
      <c r="DQ173" s="28"/>
      <c r="DR173" s="28"/>
      <c r="DS173" s="28"/>
      <c r="DT173" s="28"/>
      <c r="DU173" s="28"/>
      <c r="DV173" s="28"/>
      <c r="DW173" s="28"/>
      <c r="DX173" s="28"/>
      <c r="DY173" s="28"/>
      <c r="DZ173" s="28"/>
      <c r="EA173" s="28"/>
      <c r="EB173" s="28"/>
      <c r="EC173" s="28"/>
      <c r="ED173" s="28"/>
      <c r="EE173" s="28"/>
      <c r="EF173" s="28"/>
      <c r="EG173" s="28"/>
      <c r="EH173" s="28"/>
      <c r="EI173" s="28"/>
      <c r="EJ173" s="28"/>
      <c r="EK173" s="28"/>
      <c r="EL173" s="28"/>
      <c r="EM173" s="28"/>
      <c r="EN173" s="28"/>
      <c r="EO173" s="28"/>
      <c r="EP173" s="28"/>
      <c r="EQ173" s="28"/>
      <c r="ER173" s="28"/>
      <c r="ES173" s="28"/>
      <c r="ET173" s="28"/>
      <c r="EU173" s="28"/>
      <c r="EV173" s="28"/>
      <c r="EW173" s="28"/>
      <c r="EX173" s="28"/>
    </row>
    <row r="174" spans="1:154" x14ac:dyDescent="0.3">
      <c r="A174" s="34"/>
      <c r="L174" s="36"/>
      <c r="R174" s="34"/>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28"/>
      <c r="DQ174" s="28"/>
      <c r="DR174" s="28"/>
      <c r="DS174" s="28"/>
      <c r="DT174" s="28"/>
      <c r="DU174" s="28"/>
      <c r="DV174" s="28"/>
      <c r="DW174" s="28"/>
      <c r="DX174" s="28"/>
      <c r="DY174" s="28"/>
      <c r="DZ174" s="28"/>
      <c r="EA174" s="28"/>
      <c r="EB174" s="28"/>
      <c r="EC174" s="28"/>
      <c r="ED174" s="28"/>
      <c r="EE174" s="28"/>
      <c r="EF174" s="28"/>
      <c r="EG174" s="28"/>
      <c r="EH174" s="28"/>
      <c r="EI174" s="28"/>
      <c r="EJ174" s="28"/>
      <c r="EK174" s="28"/>
      <c r="EL174" s="28"/>
      <c r="EM174" s="28"/>
      <c r="EN174" s="28"/>
      <c r="EO174" s="28"/>
      <c r="EP174" s="28"/>
      <c r="EQ174" s="28"/>
      <c r="ER174" s="28"/>
      <c r="ES174" s="28"/>
      <c r="ET174" s="28"/>
      <c r="EU174" s="28"/>
      <c r="EV174" s="28"/>
      <c r="EW174" s="28"/>
      <c r="EX174" s="28"/>
    </row>
    <row r="175" spans="1:154" x14ac:dyDescent="0.3">
      <c r="A175" s="34"/>
      <c r="L175" s="36"/>
      <c r="R175" s="34"/>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28"/>
      <c r="DQ175" s="28"/>
      <c r="DR175" s="28"/>
      <c r="DS175" s="28"/>
      <c r="DT175" s="28"/>
      <c r="DU175" s="28"/>
      <c r="DV175" s="28"/>
      <c r="DW175" s="28"/>
      <c r="DX175" s="28"/>
      <c r="DY175" s="28"/>
      <c r="DZ175" s="28"/>
      <c r="EA175" s="28"/>
      <c r="EB175" s="28"/>
      <c r="EC175" s="28"/>
      <c r="ED175" s="28"/>
      <c r="EE175" s="28"/>
      <c r="EF175" s="28"/>
      <c r="EG175" s="28"/>
      <c r="EH175" s="28"/>
      <c r="EI175" s="28"/>
      <c r="EJ175" s="28"/>
      <c r="EK175" s="28"/>
      <c r="EL175" s="28"/>
      <c r="EM175" s="28"/>
      <c r="EN175" s="28"/>
      <c r="EO175" s="28"/>
      <c r="EP175" s="28"/>
      <c r="EQ175" s="28"/>
      <c r="ER175" s="28"/>
      <c r="ES175" s="28"/>
      <c r="ET175" s="28"/>
      <c r="EU175" s="28"/>
      <c r="EV175" s="28"/>
      <c r="EW175" s="28"/>
      <c r="EX175" s="28"/>
    </row>
    <row r="176" spans="1:154" x14ac:dyDescent="0.3">
      <c r="A176" s="34"/>
      <c r="L176" s="36"/>
      <c r="R176" s="34"/>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28"/>
      <c r="DQ176" s="28"/>
      <c r="DR176" s="28"/>
      <c r="DS176" s="28"/>
      <c r="DT176" s="28"/>
      <c r="DU176" s="28"/>
      <c r="DV176" s="28"/>
      <c r="DW176" s="28"/>
      <c r="DX176" s="28"/>
      <c r="DY176" s="28"/>
      <c r="DZ176" s="28"/>
      <c r="EA176" s="28"/>
      <c r="EB176" s="28"/>
      <c r="EC176" s="28"/>
      <c r="ED176" s="28"/>
      <c r="EE176" s="28"/>
      <c r="EF176" s="28"/>
      <c r="EG176" s="28"/>
      <c r="EH176" s="28"/>
      <c r="EI176" s="28"/>
      <c r="EJ176" s="28"/>
      <c r="EK176" s="28"/>
      <c r="EL176" s="28"/>
      <c r="EM176" s="28"/>
      <c r="EN176" s="28"/>
      <c r="EO176" s="28"/>
      <c r="EP176" s="28"/>
      <c r="EQ176" s="28"/>
      <c r="ER176" s="28"/>
      <c r="ES176" s="28"/>
      <c r="ET176" s="28"/>
      <c r="EU176" s="28"/>
      <c r="EV176" s="28"/>
      <c r="EW176" s="28"/>
      <c r="EX176" s="28"/>
    </row>
    <row r="177" spans="1:154" x14ac:dyDescent="0.3">
      <c r="A177" s="34"/>
      <c r="L177" s="36"/>
      <c r="R177" s="34"/>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28"/>
      <c r="DQ177" s="28"/>
      <c r="DR177" s="28"/>
      <c r="DS177" s="28"/>
      <c r="DT177" s="28"/>
      <c r="DU177" s="28"/>
      <c r="DV177" s="28"/>
      <c r="DW177" s="28"/>
      <c r="DX177" s="28"/>
      <c r="DY177" s="28"/>
      <c r="DZ177" s="28"/>
      <c r="EA177" s="28"/>
      <c r="EB177" s="28"/>
      <c r="EC177" s="28"/>
      <c r="ED177" s="28"/>
      <c r="EE177" s="28"/>
      <c r="EF177" s="28"/>
      <c r="EG177" s="28"/>
      <c r="EH177" s="28"/>
      <c r="EI177" s="28"/>
      <c r="EJ177" s="28"/>
      <c r="EK177" s="28"/>
      <c r="EL177" s="28"/>
      <c r="EM177" s="28"/>
      <c r="EN177" s="28"/>
      <c r="EO177" s="28"/>
      <c r="EP177" s="28"/>
      <c r="EQ177" s="28"/>
      <c r="ER177" s="28"/>
      <c r="ES177" s="28"/>
      <c r="ET177" s="28"/>
      <c r="EU177" s="28"/>
      <c r="EV177" s="28"/>
      <c r="EW177" s="28"/>
      <c r="EX177" s="28"/>
    </row>
    <row r="178" spans="1:154" x14ac:dyDescent="0.3">
      <c r="A178" s="34"/>
      <c r="L178" s="36"/>
      <c r="R178" s="34"/>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28"/>
      <c r="DQ178" s="28"/>
      <c r="DR178" s="28"/>
      <c r="DS178" s="28"/>
      <c r="DT178" s="28"/>
      <c r="DU178" s="28"/>
      <c r="DV178" s="28"/>
      <c r="DW178" s="28"/>
      <c r="DX178" s="28"/>
      <c r="DY178" s="28"/>
      <c r="DZ178" s="28"/>
      <c r="EA178" s="28"/>
      <c r="EB178" s="28"/>
      <c r="EC178" s="28"/>
      <c r="ED178" s="28"/>
      <c r="EE178" s="28"/>
      <c r="EF178" s="28"/>
      <c r="EG178" s="28"/>
      <c r="EH178" s="28"/>
      <c r="EI178" s="28"/>
      <c r="EJ178" s="28"/>
      <c r="EK178" s="28"/>
      <c r="EL178" s="28"/>
      <c r="EM178" s="28"/>
      <c r="EN178" s="28"/>
      <c r="EO178" s="28"/>
      <c r="EP178" s="28"/>
      <c r="EQ178" s="28"/>
      <c r="ER178" s="28"/>
      <c r="ES178" s="28"/>
      <c r="ET178" s="28"/>
      <c r="EU178" s="28"/>
      <c r="EV178" s="28"/>
      <c r="EW178" s="28"/>
      <c r="EX178" s="28"/>
    </row>
    <row r="179" spans="1:154" x14ac:dyDescent="0.3">
      <c r="A179" s="34"/>
      <c r="L179" s="36"/>
      <c r="R179" s="34"/>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28"/>
      <c r="DQ179" s="28"/>
      <c r="DR179" s="28"/>
      <c r="DS179" s="28"/>
      <c r="DT179" s="28"/>
      <c r="DU179" s="28"/>
      <c r="DV179" s="28"/>
      <c r="DW179" s="28"/>
      <c r="DX179" s="28"/>
      <c r="DY179" s="28"/>
      <c r="DZ179" s="28"/>
      <c r="EA179" s="28"/>
      <c r="EB179" s="28"/>
      <c r="EC179" s="28"/>
      <c r="ED179" s="28"/>
      <c r="EE179" s="28"/>
      <c r="EF179" s="28"/>
      <c r="EG179" s="28"/>
      <c r="EH179" s="28"/>
      <c r="EI179" s="28"/>
      <c r="EJ179" s="28"/>
      <c r="EK179" s="28"/>
      <c r="EL179" s="28"/>
      <c r="EM179" s="28"/>
      <c r="EN179" s="28"/>
      <c r="EO179" s="28"/>
      <c r="EP179" s="28"/>
      <c r="EQ179" s="28"/>
      <c r="ER179" s="28"/>
      <c r="ES179" s="28"/>
      <c r="ET179" s="28"/>
      <c r="EU179" s="28"/>
      <c r="EV179" s="28"/>
      <c r="EW179" s="28"/>
      <c r="EX179" s="28"/>
    </row>
    <row r="180" spans="1:154" x14ac:dyDescent="0.3">
      <c r="A180" s="34"/>
      <c r="L180" s="36"/>
      <c r="R180" s="34"/>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28"/>
      <c r="DQ180" s="28"/>
      <c r="DR180" s="28"/>
      <c r="DS180" s="28"/>
      <c r="DT180" s="28"/>
      <c r="DU180" s="28"/>
      <c r="DV180" s="28"/>
      <c r="DW180" s="28"/>
      <c r="DX180" s="28"/>
      <c r="DY180" s="28"/>
      <c r="DZ180" s="28"/>
      <c r="EA180" s="28"/>
      <c r="EB180" s="28"/>
      <c r="EC180" s="28"/>
      <c r="ED180" s="28"/>
      <c r="EE180" s="28"/>
      <c r="EF180" s="28"/>
      <c r="EG180" s="28"/>
      <c r="EH180" s="28"/>
      <c r="EI180" s="28"/>
      <c r="EJ180" s="28"/>
      <c r="EK180" s="28"/>
      <c r="EL180" s="28"/>
      <c r="EM180" s="28"/>
      <c r="EN180" s="28"/>
      <c r="EO180" s="28"/>
      <c r="EP180" s="28"/>
      <c r="EQ180" s="28"/>
      <c r="ER180" s="28"/>
      <c r="ES180" s="28"/>
      <c r="ET180" s="28"/>
      <c r="EU180" s="28"/>
      <c r="EV180" s="28"/>
      <c r="EW180" s="28"/>
      <c r="EX180" s="28"/>
    </row>
    <row r="181" spans="1:154" x14ac:dyDescent="0.3">
      <c r="A181" s="34"/>
      <c r="L181" s="36"/>
      <c r="R181" s="34"/>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28"/>
      <c r="DQ181" s="28"/>
      <c r="DR181" s="28"/>
      <c r="DS181" s="28"/>
      <c r="DT181" s="28"/>
      <c r="DU181" s="28"/>
      <c r="DV181" s="28"/>
      <c r="DW181" s="28"/>
      <c r="DX181" s="28"/>
      <c r="DY181" s="28"/>
      <c r="DZ181" s="28"/>
      <c r="EA181" s="28"/>
      <c r="EB181" s="28"/>
      <c r="EC181" s="28"/>
      <c r="ED181" s="28"/>
      <c r="EE181" s="28"/>
      <c r="EF181" s="28"/>
      <c r="EG181" s="28"/>
      <c r="EH181" s="28"/>
      <c r="EI181" s="28"/>
      <c r="EJ181" s="28"/>
      <c r="EK181" s="28"/>
      <c r="EL181" s="28"/>
      <c r="EM181" s="28"/>
      <c r="EN181" s="28"/>
      <c r="EO181" s="28"/>
      <c r="EP181" s="28"/>
      <c r="EQ181" s="28"/>
      <c r="ER181" s="28"/>
      <c r="ES181" s="28"/>
      <c r="ET181" s="28"/>
      <c r="EU181" s="28"/>
      <c r="EV181" s="28"/>
      <c r="EW181" s="28"/>
      <c r="EX181" s="28"/>
    </row>
    <row r="182" spans="1:154" x14ac:dyDescent="0.3">
      <c r="A182" s="34"/>
      <c r="L182" s="36"/>
      <c r="R182" s="34"/>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28"/>
      <c r="DQ182" s="28"/>
      <c r="DR182" s="28"/>
      <c r="DS182" s="28"/>
      <c r="DT182" s="28"/>
      <c r="DU182" s="28"/>
      <c r="DV182" s="28"/>
      <c r="DW182" s="28"/>
      <c r="DX182" s="28"/>
      <c r="DY182" s="28"/>
      <c r="DZ182" s="28"/>
      <c r="EA182" s="28"/>
      <c r="EB182" s="28"/>
      <c r="EC182" s="28"/>
      <c r="ED182" s="28"/>
      <c r="EE182" s="28"/>
      <c r="EF182" s="28"/>
      <c r="EG182" s="28"/>
      <c r="EH182" s="28"/>
      <c r="EI182" s="28"/>
      <c r="EJ182" s="28"/>
      <c r="EK182" s="28"/>
      <c r="EL182" s="28"/>
      <c r="EM182" s="28"/>
      <c r="EN182" s="28"/>
      <c r="EO182" s="28"/>
      <c r="EP182" s="28"/>
      <c r="EQ182" s="28"/>
      <c r="ER182" s="28"/>
      <c r="ES182" s="28"/>
      <c r="ET182" s="28"/>
      <c r="EU182" s="28"/>
      <c r="EV182" s="28"/>
      <c r="EW182" s="28"/>
      <c r="EX182" s="28"/>
    </row>
    <row r="183" spans="1:154" x14ac:dyDescent="0.3">
      <c r="A183" s="34"/>
      <c r="L183" s="36"/>
      <c r="R183" s="34"/>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28"/>
      <c r="DQ183" s="28"/>
      <c r="DR183" s="28"/>
      <c r="DS183" s="28"/>
      <c r="DT183" s="28"/>
      <c r="DU183" s="28"/>
      <c r="DV183" s="28"/>
      <c r="DW183" s="28"/>
      <c r="DX183" s="28"/>
      <c r="DY183" s="28"/>
      <c r="DZ183" s="28"/>
      <c r="EA183" s="28"/>
      <c r="EB183" s="28"/>
      <c r="EC183" s="28"/>
      <c r="ED183" s="28"/>
      <c r="EE183" s="28"/>
      <c r="EF183" s="28"/>
      <c r="EG183" s="28"/>
      <c r="EH183" s="28"/>
      <c r="EI183" s="28"/>
      <c r="EJ183" s="28"/>
      <c r="EK183" s="28"/>
      <c r="EL183" s="28"/>
      <c r="EM183" s="28"/>
      <c r="EN183" s="28"/>
      <c r="EO183" s="28"/>
      <c r="EP183" s="28"/>
      <c r="EQ183" s="28"/>
      <c r="ER183" s="28"/>
      <c r="ES183" s="28"/>
      <c r="ET183" s="28"/>
      <c r="EU183" s="28"/>
      <c r="EV183" s="28"/>
      <c r="EW183" s="28"/>
      <c r="EX183" s="28"/>
    </row>
    <row r="184" spans="1:154" x14ac:dyDescent="0.3">
      <c r="A184" s="34"/>
      <c r="L184" s="36"/>
      <c r="R184" s="34"/>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28"/>
      <c r="DQ184" s="28"/>
      <c r="DR184" s="28"/>
      <c r="DS184" s="28"/>
      <c r="DT184" s="28"/>
      <c r="DU184" s="28"/>
      <c r="DV184" s="28"/>
      <c r="DW184" s="28"/>
      <c r="DX184" s="28"/>
      <c r="DY184" s="28"/>
      <c r="DZ184" s="28"/>
      <c r="EA184" s="28"/>
      <c r="EB184" s="28"/>
      <c r="EC184" s="28"/>
      <c r="ED184" s="28"/>
      <c r="EE184" s="28"/>
      <c r="EF184" s="28"/>
      <c r="EG184" s="28"/>
      <c r="EH184" s="28"/>
      <c r="EI184" s="28"/>
      <c r="EJ184" s="28"/>
      <c r="EK184" s="28"/>
      <c r="EL184" s="28"/>
      <c r="EM184" s="28"/>
      <c r="EN184" s="28"/>
      <c r="EO184" s="28"/>
      <c r="EP184" s="28"/>
      <c r="EQ184" s="28"/>
      <c r="ER184" s="28"/>
      <c r="ES184" s="28"/>
      <c r="ET184" s="28"/>
      <c r="EU184" s="28"/>
      <c r="EV184" s="28"/>
      <c r="EW184" s="28"/>
      <c r="EX184" s="28"/>
    </row>
    <row r="185" spans="1:154" x14ac:dyDescent="0.3">
      <c r="A185" s="34"/>
      <c r="L185" s="36"/>
      <c r="R185" s="34"/>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28"/>
      <c r="DQ185" s="28"/>
      <c r="DR185" s="28"/>
      <c r="DS185" s="28"/>
      <c r="DT185" s="28"/>
      <c r="DU185" s="28"/>
      <c r="DV185" s="28"/>
      <c r="DW185" s="28"/>
      <c r="DX185" s="28"/>
      <c r="DY185" s="28"/>
      <c r="DZ185" s="28"/>
      <c r="EA185" s="28"/>
      <c r="EB185" s="28"/>
      <c r="EC185" s="28"/>
      <c r="ED185" s="28"/>
      <c r="EE185" s="28"/>
      <c r="EF185" s="28"/>
      <c r="EG185" s="28"/>
      <c r="EH185" s="28"/>
      <c r="EI185" s="28"/>
      <c r="EJ185" s="28"/>
      <c r="EK185" s="28"/>
      <c r="EL185" s="28"/>
      <c r="EM185" s="28"/>
      <c r="EN185" s="28"/>
      <c r="EO185" s="28"/>
      <c r="EP185" s="28"/>
      <c r="EQ185" s="28"/>
      <c r="ER185" s="28"/>
      <c r="ES185" s="28"/>
      <c r="ET185" s="28"/>
      <c r="EU185" s="28"/>
      <c r="EV185" s="28"/>
      <c r="EW185" s="28"/>
      <c r="EX185" s="28"/>
    </row>
    <row r="186" spans="1:154" x14ac:dyDescent="0.3">
      <c r="A186" s="34"/>
      <c r="L186" s="36"/>
      <c r="R186" s="34"/>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28"/>
      <c r="DQ186" s="28"/>
      <c r="DR186" s="28"/>
      <c r="DS186" s="28"/>
      <c r="DT186" s="28"/>
      <c r="DU186" s="28"/>
      <c r="DV186" s="28"/>
      <c r="DW186" s="28"/>
      <c r="DX186" s="28"/>
      <c r="DY186" s="28"/>
      <c r="DZ186" s="28"/>
      <c r="EA186" s="28"/>
      <c r="EB186" s="28"/>
      <c r="EC186" s="28"/>
      <c r="ED186" s="28"/>
      <c r="EE186" s="28"/>
      <c r="EF186" s="28"/>
      <c r="EG186" s="28"/>
      <c r="EH186" s="28"/>
      <c r="EI186" s="28"/>
      <c r="EJ186" s="28"/>
      <c r="EK186" s="28"/>
      <c r="EL186" s="28"/>
      <c r="EM186" s="28"/>
      <c r="EN186" s="28"/>
      <c r="EO186" s="28"/>
      <c r="EP186" s="28"/>
      <c r="EQ186" s="28"/>
      <c r="ER186" s="28"/>
      <c r="ES186" s="28"/>
      <c r="ET186" s="28"/>
      <c r="EU186" s="28"/>
      <c r="EV186" s="28"/>
      <c r="EW186" s="28"/>
      <c r="EX186" s="28"/>
    </row>
    <row r="187" spans="1:154" x14ac:dyDescent="0.3">
      <c r="A187" s="34"/>
      <c r="L187" s="36"/>
      <c r="R187" s="34"/>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28"/>
      <c r="DQ187" s="28"/>
      <c r="DR187" s="28"/>
      <c r="DS187" s="28"/>
      <c r="DT187" s="28"/>
      <c r="DU187" s="28"/>
      <c r="DV187" s="28"/>
      <c r="DW187" s="28"/>
      <c r="DX187" s="28"/>
      <c r="DY187" s="28"/>
      <c r="DZ187" s="28"/>
      <c r="EA187" s="28"/>
      <c r="EB187" s="28"/>
      <c r="EC187" s="28"/>
      <c r="ED187" s="28"/>
      <c r="EE187" s="28"/>
      <c r="EF187" s="28"/>
      <c r="EG187" s="28"/>
      <c r="EH187" s="28"/>
      <c r="EI187" s="28"/>
      <c r="EJ187" s="28"/>
      <c r="EK187" s="28"/>
      <c r="EL187" s="28"/>
      <c r="EM187" s="28"/>
      <c r="EN187" s="28"/>
      <c r="EO187" s="28"/>
      <c r="EP187" s="28"/>
      <c r="EQ187" s="28"/>
      <c r="ER187" s="28"/>
      <c r="ES187" s="28"/>
      <c r="ET187" s="28"/>
      <c r="EU187" s="28"/>
      <c r="EV187" s="28"/>
      <c r="EW187" s="28"/>
      <c r="EX187" s="28"/>
    </row>
    <row r="188" spans="1:154" x14ac:dyDescent="0.3">
      <c r="A188" s="34"/>
      <c r="L188" s="36"/>
      <c r="R188" s="34"/>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28"/>
      <c r="DQ188" s="28"/>
      <c r="DR188" s="28"/>
      <c r="DS188" s="28"/>
      <c r="DT188" s="28"/>
      <c r="DU188" s="28"/>
      <c r="DV188" s="28"/>
      <c r="DW188" s="28"/>
      <c r="DX188" s="28"/>
      <c r="DY188" s="28"/>
      <c r="DZ188" s="28"/>
      <c r="EA188" s="28"/>
      <c r="EB188" s="28"/>
      <c r="EC188" s="28"/>
      <c r="ED188" s="28"/>
      <c r="EE188" s="28"/>
      <c r="EF188" s="28"/>
      <c r="EG188" s="28"/>
      <c r="EH188" s="28"/>
      <c r="EI188" s="28"/>
      <c r="EJ188" s="28"/>
      <c r="EK188" s="28"/>
      <c r="EL188" s="28"/>
      <c r="EM188" s="28"/>
      <c r="EN188" s="28"/>
      <c r="EO188" s="28"/>
      <c r="EP188" s="28"/>
      <c r="EQ188" s="28"/>
      <c r="ER188" s="28"/>
      <c r="ES188" s="28"/>
      <c r="ET188" s="28"/>
      <c r="EU188" s="28"/>
      <c r="EV188" s="28"/>
      <c r="EW188" s="28"/>
      <c r="EX188" s="28"/>
    </row>
    <row r="189" spans="1:154" x14ac:dyDescent="0.3">
      <c r="A189" s="34"/>
      <c r="L189" s="36"/>
      <c r="R189" s="34"/>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28"/>
      <c r="DQ189" s="28"/>
      <c r="DR189" s="28"/>
      <c r="DS189" s="28"/>
      <c r="DT189" s="28"/>
      <c r="DU189" s="28"/>
      <c r="DV189" s="28"/>
      <c r="DW189" s="28"/>
      <c r="DX189" s="28"/>
      <c r="DY189" s="28"/>
      <c r="DZ189" s="28"/>
      <c r="EA189" s="28"/>
      <c r="EB189" s="28"/>
      <c r="EC189" s="28"/>
      <c r="ED189" s="28"/>
      <c r="EE189" s="28"/>
      <c r="EF189" s="28"/>
      <c r="EG189" s="28"/>
      <c r="EH189" s="28"/>
      <c r="EI189" s="28"/>
      <c r="EJ189" s="28"/>
      <c r="EK189" s="28"/>
      <c r="EL189" s="28"/>
      <c r="EM189" s="28"/>
      <c r="EN189" s="28"/>
      <c r="EO189" s="28"/>
      <c r="EP189" s="28"/>
      <c r="EQ189" s="28"/>
      <c r="ER189" s="28"/>
      <c r="ES189" s="28"/>
      <c r="ET189" s="28"/>
      <c r="EU189" s="28"/>
      <c r="EV189" s="28"/>
      <c r="EW189" s="28"/>
      <c r="EX189" s="28"/>
    </row>
    <row r="190" spans="1:154" x14ac:dyDescent="0.3">
      <c r="A190" s="34"/>
      <c r="L190" s="36"/>
      <c r="R190" s="34"/>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28"/>
      <c r="DQ190" s="28"/>
      <c r="DR190" s="28"/>
      <c r="DS190" s="28"/>
      <c r="DT190" s="28"/>
      <c r="DU190" s="28"/>
      <c r="DV190" s="28"/>
      <c r="DW190" s="28"/>
      <c r="DX190" s="28"/>
      <c r="DY190" s="28"/>
      <c r="DZ190" s="28"/>
      <c r="EA190" s="28"/>
      <c r="EB190" s="28"/>
      <c r="EC190" s="28"/>
      <c r="ED190" s="28"/>
      <c r="EE190" s="28"/>
      <c r="EF190" s="28"/>
      <c r="EG190" s="28"/>
      <c r="EH190" s="28"/>
      <c r="EI190" s="28"/>
      <c r="EJ190" s="28"/>
      <c r="EK190" s="28"/>
      <c r="EL190" s="28"/>
      <c r="EM190" s="28"/>
      <c r="EN190" s="28"/>
      <c r="EO190" s="28"/>
      <c r="EP190" s="28"/>
      <c r="EQ190" s="28"/>
      <c r="ER190" s="28"/>
      <c r="ES190" s="28"/>
      <c r="ET190" s="28"/>
      <c r="EU190" s="28"/>
      <c r="EV190" s="28"/>
      <c r="EW190" s="28"/>
      <c r="EX190" s="28"/>
    </row>
    <row r="191" spans="1:154" x14ac:dyDescent="0.3">
      <c r="A191" s="34"/>
      <c r="L191" s="36"/>
      <c r="R191" s="34"/>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28"/>
      <c r="DQ191" s="28"/>
      <c r="DR191" s="28"/>
      <c r="DS191" s="28"/>
      <c r="DT191" s="28"/>
      <c r="DU191" s="28"/>
      <c r="DV191" s="28"/>
      <c r="DW191" s="28"/>
      <c r="DX191" s="28"/>
      <c r="DY191" s="28"/>
      <c r="DZ191" s="28"/>
      <c r="EA191" s="28"/>
      <c r="EB191" s="28"/>
      <c r="EC191" s="28"/>
      <c r="ED191" s="28"/>
      <c r="EE191" s="28"/>
      <c r="EF191" s="28"/>
      <c r="EG191" s="28"/>
      <c r="EH191" s="28"/>
      <c r="EI191" s="28"/>
      <c r="EJ191" s="28"/>
      <c r="EK191" s="28"/>
      <c r="EL191" s="28"/>
      <c r="EM191" s="28"/>
      <c r="EN191" s="28"/>
      <c r="EO191" s="28"/>
      <c r="EP191" s="28"/>
      <c r="EQ191" s="28"/>
      <c r="ER191" s="28"/>
      <c r="ES191" s="28"/>
      <c r="ET191" s="28"/>
      <c r="EU191" s="28"/>
      <c r="EV191" s="28"/>
      <c r="EW191" s="28"/>
      <c r="EX191" s="28"/>
    </row>
    <row r="192" spans="1:154" x14ac:dyDescent="0.3">
      <c r="A192" s="34"/>
      <c r="L192" s="36"/>
      <c r="R192" s="34"/>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28"/>
      <c r="DQ192" s="28"/>
      <c r="DR192" s="28"/>
      <c r="DS192" s="28"/>
      <c r="DT192" s="28"/>
      <c r="DU192" s="28"/>
      <c r="DV192" s="28"/>
      <c r="DW192" s="28"/>
      <c r="DX192" s="28"/>
      <c r="DY192" s="28"/>
      <c r="DZ192" s="28"/>
      <c r="EA192" s="28"/>
      <c r="EB192" s="28"/>
      <c r="EC192" s="28"/>
      <c r="ED192" s="28"/>
      <c r="EE192" s="28"/>
      <c r="EF192" s="28"/>
      <c r="EG192" s="28"/>
      <c r="EH192" s="28"/>
      <c r="EI192" s="28"/>
      <c r="EJ192" s="28"/>
      <c r="EK192" s="28"/>
      <c r="EL192" s="28"/>
      <c r="EM192" s="28"/>
      <c r="EN192" s="28"/>
      <c r="EO192" s="28"/>
      <c r="EP192" s="28"/>
      <c r="EQ192" s="28"/>
      <c r="ER192" s="28"/>
      <c r="ES192" s="28"/>
      <c r="ET192" s="28"/>
      <c r="EU192" s="28"/>
      <c r="EV192" s="28"/>
      <c r="EW192" s="28"/>
      <c r="EX192" s="28"/>
    </row>
    <row r="193" spans="1:154" x14ac:dyDescent="0.3">
      <c r="A193" s="34"/>
      <c r="L193" s="36"/>
      <c r="R193" s="34"/>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28"/>
      <c r="DQ193" s="28"/>
      <c r="DR193" s="28"/>
      <c r="DS193" s="28"/>
      <c r="DT193" s="28"/>
      <c r="DU193" s="28"/>
      <c r="DV193" s="28"/>
      <c r="DW193" s="28"/>
      <c r="DX193" s="28"/>
      <c r="DY193" s="28"/>
      <c r="DZ193" s="28"/>
      <c r="EA193" s="28"/>
      <c r="EB193" s="28"/>
      <c r="EC193" s="28"/>
      <c r="ED193" s="28"/>
      <c r="EE193" s="28"/>
      <c r="EF193" s="28"/>
      <c r="EG193" s="28"/>
      <c r="EH193" s="28"/>
      <c r="EI193" s="28"/>
      <c r="EJ193" s="28"/>
      <c r="EK193" s="28"/>
      <c r="EL193" s="28"/>
      <c r="EM193" s="28"/>
      <c r="EN193" s="28"/>
      <c r="EO193" s="28"/>
      <c r="EP193" s="28"/>
      <c r="EQ193" s="28"/>
      <c r="ER193" s="28"/>
      <c r="ES193" s="28"/>
      <c r="ET193" s="28"/>
      <c r="EU193" s="28"/>
      <c r="EV193" s="28"/>
      <c r="EW193" s="28"/>
      <c r="EX193" s="28"/>
    </row>
    <row r="194" spans="1:154" x14ac:dyDescent="0.3">
      <c r="A194" s="34"/>
      <c r="L194" s="36"/>
      <c r="R194" s="34"/>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28"/>
      <c r="DQ194" s="28"/>
      <c r="DR194" s="28"/>
      <c r="DS194" s="28"/>
      <c r="DT194" s="28"/>
      <c r="DU194" s="28"/>
      <c r="DV194" s="28"/>
      <c r="DW194" s="28"/>
      <c r="DX194" s="28"/>
      <c r="DY194" s="28"/>
      <c r="DZ194" s="28"/>
      <c r="EA194" s="28"/>
      <c r="EB194" s="28"/>
      <c r="EC194" s="28"/>
      <c r="ED194" s="28"/>
      <c r="EE194" s="28"/>
      <c r="EF194" s="28"/>
      <c r="EG194" s="28"/>
      <c r="EH194" s="28"/>
      <c r="EI194" s="28"/>
      <c r="EJ194" s="28"/>
      <c r="EK194" s="28"/>
      <c r="EL194" s="28"/>
      <c r="EM194" s="28"/>
      <c r="EN194" s="28"/>
      <c r="EO194" s="28"/>
      <c r="EP194" s="28"/>
      <c r="EQ194" s="28"/>
      <c r="ER194" s="28"/>
      <c r="ES194" s="28"/>
      <c r="ET194" s="28"/>
      <c r="EU194" s="28"/>
      <c r="EV194" s="28"/>
      <c r="EW194" s="28"/>
      <c r="EX194" s="28"/>
    </row>
    <row r="195" spans="1:154" x14ac:dyDescent="0.3">
      <c r="A195" s="34"/>
      <c r="L195" s="36"/>
      <c r="R195" s="34"/>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28"/>
      <c r="DQ195" s="28"/>
      <c r="DR195" s="28"/>
      <c r="DS195" s="28"/>
      <c r="DT195" s="28"/>
      <c r="DU195" s="28"/>
      <c r="DV195" s="28"/>
      <c r="DW195" s="28"/>
      <c r="DX195" s="28"/>
      <c r="DY195" s="28"/>
      <c r="DZ195" s="28"/>
      <c r="EA195" s="28"/>
      <c r="EB195" s="28"/>
      <c r="EC195" s="28"/>
      <c r="ED195" s="28"/>
      <c r="EE195" s="28"/>
      <c r="EF195" s="28"/>
      <c r="EG195" s="28"/>
      <c r="EH195" s="28"/>
      <c r="EI195" s="28"/>
      <c r="EJ195" s="28"/>
      <c r="EK195" s="28"/>
      <c r="EL195" s="28"/>
      <c r="EM195" s="28"/>
      <c r="EN195" s="28"/>
      <c r="EO195" s="28"/>
      <c r="EP195" s="28"/>
      <c r="EQ195" s="28"/>
      <c r="ER195" s="28"/>
      <c r="ES195" s="28"/>
      <c r="ET195" s="28"/>
      <c r="EU195" s="28"/>
      <c r="EV195" s="28"/>
      <c r="EW195" s="28"/>
      <c r="EX195" s="28"/>
    </row>
    <row r="196" spans="1:154" x14ac:dyDescent="0.3">
      <c r="A196" s="34"/>
      <c r="L196" s="36"/>
      <c r="R196" s="34"/>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28"/>
      <c r="DQ196" s="28"/>
      <c r="DR196" s="28"/>
      <c r="DS196" s="28"/>
      <c r="DT196" s="28"/>
      <c r="DU196" s="28"/>
      <c r="DV196" s="28"/>
      <c r="DW196" s="28"/>
      <c r="DX196" s="28"/>
      <c r="DY196" s="28"/>
      <c r="DZ196" s="28"/>
      <c r="EA196" s="28"/>
      <c r="EB196" s="28"/>
      <c r="EC196" s="28"/>
      <c r="ED196" s="28"/>
      <c r="EE196" s="28"/>
      <c r="EF196" s="28"/>
      <c r="EG196" s="28"/>
      <c r="EH196" s="28"/>
      <c r="EI196" s="28"/>
      <c r="EJ196" s="28"/>
      <c r="EK196" s="28"/>
      <c r="EL196" s="28"/>
      <c r="EM196" s="28"/>
      <c r="EN196" s="28"/>
      <c r="EO196" s="28"/>
      <c r="EP196" s="28"/>
      <c r="EQ196" s="28"/>
      <c r="ER196" s="28"/>
      <c r="ES196" s="28"/>
      <c r="ET196" s="28"/>
      <c r="EU196" s="28"/>
      <c r="EV196" s="28"/>
      <c r="EW196" s="28"/>
      <c r="EX196" s="28"/>
    </row>
    <row r="197" spans="1:154" x14ac:dyDescent="0.3">
      <c r="A197" s="34"/>
      <c r="L197" s="36"/>
      <c r="R197" s="34"/>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28"/>
      <c r="DQ197" s="28"/>
      <c r="DR197" s="28"/>
      <c r="DS197" s="28"/>
      <c r="DT197" s="28"/>
      <c r="DU197" s="28"/>
      <c r="DV197" s="28"/>
      <c r="DW197" s="28"/>
      <c r="DX197" s="28"/>
      <c r="DY197" s="28"/>
      <c r="DZ197" s="28"/>
      <c r="EA197" s="28"/>
      <c r="EB197" s="28"/>
      <c r="EC197" s="28"/>
      <c r="ED197" s="28"/>
      <c r="EE197" s="28"/>
      <c r="EF197" s="28"/>
      <c r="EG197" s="28"/>
      <c r="EH197" s="28"/>
      <c r="EI197" s="28"/>
      <c r="EJ197" s="28"/>
      <c r="EK197" s="28"/>
      <c r="EL197" s="28"/>
      <c r="EM197" s="28"/>
      <c r="EN197" s="28"/>
      <c r="EO197" s="28"/>
      <c r="EP197" s="28"/>
      <c r="EQ197" s="28"/>
      <c r="ER197" s="28"/>
      <c r="ES197" s="28"/>
      <c r="ET197" s="28"/>
      <c r="EU197" s="28"/>
      <c r="EV197" s="28"/>
      <c r="EW197" s="28"/>
      <c r="EX197" s="28"/>
    </row>
    <row r="198" spans="1:154" x14ac:dyDescent="0.3">
      <c r="A198" s="34"/>
      <c r="L198" s="36"/>
      <c r="R198" s="34"/>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28"/>
      <c r="DQ198" s="28"/>
      <c r="DR198" s="28"/>
      <c r="DS198" s="28"/>
      <c r="DT198" s="28"/>
      <c r="DU198" s="28"/>
      <c r="DV198" s="28"/>
      <c r="DW198" s="28"/>
      <c r="DX198" s="28"/>
      <c r="DY198" s="28"/>
      <c r="DZ198" s="28"/>
      <c r="EA198" s="28"/>
      <c r="EB198" s="28"/>
      <c r="EC198" s="28"/>
      <c r="ED198" s="28"/>
      <c r="EE198" s="28"/>
      <c r="EF198" s="28"/>
      <c r="EG198" s="28"/>
      <c r="EH198" s="28"/>
      <c r="EI198" s="28"/>
      <c r="EJ198" s="28"/>
      <c r="EK198" s="28"/>
      <c r="EL198" s="28"/>
      <c r="EM198" s="28"/>
      <c r="EN198" s="28"/>
      <c r="EO198" s="28"/>
      <c r="EP198" s="28"/>
      <c r="EQ198" s="28"/>
      <c r="ER198" s="28"/>
      <c r="ES198" s="28"/>
      <c r="ET198" s="28"/>
      <c r="EU198" s="28"/>
      <c r="EV198" s="28"/>
      <c r="EW198" s="28"/>
      <c r="EX198" s="28"/>
    </row>
    <row r="199" spans="1:154" x14ac:dyDescent="0.3">
      <c r="A199" s="34"/>
      <c r="L199" s="36"/>
      <c r="R199" s="34"/>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28"/>
      <c r="DQ199" s="28"/>
      <c r="DR199" s="28"/>
      <c r="DS199" s="28"/>
      <c r="DT199" s="28"/>
      <c r="DU199" s="28"/>
      <c r="DV199" s="28"/>
      <c r="DW199" s="28"/>
      <c r="DX199" s="28"/>
      <c r="DY199" s="28"/>
      <c r="DZ199" s="28"/>
      <c r="EA199" s="28"/>
      <c r="EB199" s="28"/>
      <c r="EC199" s="28"/>
      <c r="ED199" s="28"/>
      <c r="EE199" s="28"/>
      <c r="EF199" s="28"/>
      <c r="EG199" s="28"/>
      <c r="EH199" s="28"/>
      <c r="EI199" s="28"/>
      <c r="EJ199" s="28"/>
      <c r="EK199" s="28"/>
      <c r="EL199" s="28"/>
      <c r="EM199" s="28"/>
      <c r="EN199" s="28"/>
      <c r="EO199" s="28"/>
      <c r="EP199" s="28"/>
      <c r="EQ199" s="28"/>
      <c r="ER199" s="28"/>
      <c r="ES199" s="28"/>
      <c r="ET199" s="28"/>
      <c r="EU199" s="28"/>
      <c r="EV199" s="28"/>
      <c r="EW199" s="28"/>
      <c r="EX199" s="28"/>
    </row>
    <row r="200" spans="1:154" x14ac:dyDescent="0.3">
      <c r="A200" s="34"/>
      <c r="L200" s="36"/>
      <c r="R200" s="34"/>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28"/>
      <c r="DQ200" s="28"/>
      <c r="DR200" s="28"/>
      <c r="DS200" s="28"/>
      <c r="DT200" s="28"/>
      <c r="DU200" s="28"/>
      <c r="DV200" s="28"/>
      <c r="DW200" s="28"/>
      <c r="DX200" s="28"/>
      <c r="DY200" s="28"/>
      <c r="DZ200" s="28"/>
      <c r="EA200" s="28"/>
      <c r="EB200" s="28"/>
      <c r="EC200" s="28"/>
      <c r="ED200" s="28"/>
      <c r="EE200" s="28"/>
      <c r="EF200" s="28"/>
      <c r="EG200" s="28"/>
      <c r="EH200" s="28"/>
      <c r="EI200" s="28"/>
      <c r="EJ200" s="28"/>
      <c r="EK200" s="28"/>
      <c r="EL200" s="28"/>
      <c r="EM200" s="28"/>
      <c r="EN200" s="28"/>
      <c r="EO200" s="28"/>
      <c r="EP200" s="28"/>
      <c r="EQ200" s="28"/>
      <c r="ER200" s="28"/>
      <c r="ES200" s="28"/>
      <c r="ET200" s="28"/>
      <c r="EU200" s="28"/>
      <c r="EV200" s="28"/>
      <c r="EW200" s="28"/>
      <c r="EX200" s="28"/>
    </row>
    <row r="201" spans="1:154" x14ac:dyDescent="0.3">
      <c r="A201" s="34"/>
      <c r="L201" s="36"/>
      <c r="R201" s="34"/>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28"/>
      <c r="DQ201" s="28"/>
      <c r="DR201" s="28"/>
      <c r="DS201" s="28"/>
      <c r="DT201" s="28"/>
      <c r="DU201" s="28"/>
      <c r="DV201" s="28"/>
      <c r="DW201" s="28"/>
      <c r="DX201" s="28"/>
      <c r="DY201" s="28"/>
      <c r="DZ201" s="28"/>
      <c r="EA201" s="28"/>
      <c r="EB201" s="28"/>
      <c r="EC201" s="28"/>
      <c r="ED201" s="28"/>
      <c r="EE201" s="28"/>
      <c r="EF201" s="28"/>
      <c r="EG201" s="28"/>
      <c r="EH201" s="28"/>
      <c r="EI201" s="28"/>
      <c r="EJ201" s="28"/>
      <c r="EK201" s="28"/>
      <c r="EL201" s="28"/>
      <c r="EM201" s="28"/>
      <c r="EN201" s="28"/>
      <c r="EO201" s="28"/>
      <c r="EP201" s="28"/>
      <c r="EQ201" s="28"/>
      <c r="ER201" s="28"/>
      <c r="ES201" s="28"/>
      <c r="ET201" s="28"/>
      <c r="EU201" s="28"/>
      <c r="EV201" s="28"/>
      <c r="EW201" s="28"/>
      <c r="EX201" s="28"/>
    </row>
    <row r="202" spans="1:154" x14ac:dyDescent="0.3">
      <c r="A202" s="34"/>
      <c r="L202" s="36"/>
      <c r="R202" s="34"/>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28"/>
      <c r="DQ202" s="28"/>
      <c r="DR202" s="28"/>
      <c r="DS202" s="28"/>
      <c r="DT202" s="28"/>
      <c r="DU202" s="28"/>
      <c r="DV202" s="28"/>
      <c r="DW202" s="28"/>
      <c r="DX202" s="28"/>
      <c r="DY202" s="28"/>
      <c r="DZ202" s="28"/>
      <c r="EA202" s="28"/>
      <c r="EB202" s="28"/>
      <c r="EC202" s="28"/>
      <c r="ED202" s="28"/>
      <c r="EE202" s="28"/>
      <c r="EF202" s="28"/>
      <c r="EG202" s="28"/>
      <c r="EH202" s="28"/>
      <c r="EI202" s="28"/>
      <c r="EJ202" s="28"/>
      <c r="EK202" s="28"/>
      <c r="EL202" s="28"/>
      <c r="EM202" s="28"/>
      <c r="EN202" s="28"/>
      <c r="EO202" s="28"/>
      <c r="EP202" s="28"/>
      <c r="EQ202" s="28"/>
      <c r="ER202" s="28"/>
      <c r="ES202" s="28"/>
      <c r="ET202" s="28"/>
      <c r="EU202" s="28"/>
      <c r="EV202" s="28"/>
      <c r="EW202" s="28"/>
      <c r="EX202" s="28"/>
    </row>
    <row r="203" spans="1:154" x14ac:dyDescent="0.3">
      <c r="A203" s="34"/>
      <c r="L203" s="36"/>
      <c r="R203" s="34"/>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28"/>
      <c r="DQ203" s="28"/>
      <c r="DR203" s="28"/>
      <c r="DS203" s="28"/>
      <c r="DT203" s="28"/>
      <c r="DU203" s="28"/>
      <c r="DV203" s="28"/>
      <c r="DW203" s="28"/>
      <c r="DX203" s="28"/>
      <c r="DY203" s="28"/>
      <c r="DZ203" s="28"/>
      <c r="EA203" s="28"/>
      <c r="EB203" s="28"/>
      <c r="EC203" s="28"/>
      <c r="ED203" s="28"/>
      <c r="EE203" s="28"/>
      <c r="EF203" s="28"/>
      <c r="EG203" s="28"/>
      <c r="EH203" s="28"/>
      <c r="EI203" s="28"/>
      <c r="EJ203" s="28"/>
      <c r="EK203" s="28"/>
      <c r="EL203" s="28"/>
      <c r="EM203" s="28"/>
      <c r="EN203" s="28"/>
      <c r="EO203" s="28"/>
      <c r="EP203" s="28"/>
      <c r="EQ203" s="28"/>
      <c r="ER203" s="28"/>
      <c r="ES203" s="28"/>
      <c r="ET203" s="28"/>
      <c r="EU203" s="28"/>
      <c r="EV203" s="28"/>
      <c r="EW203" s="28"/>
      <c r="EX203" s="28"/>
    </row>
    <row r="204" spans="1:154" x14ac:dyDescent="0.3">
      <c r="A204" s="34"/>
      <c r="L204" s="36"/>
      <c r="R204" s="34"/>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28"/>
      <c r="DQ204" s="28"/>
      <c r="DR204" s="28"/>
      <c r="DS204" s="28"/>
      <c r="DT204" s="28"/>
      <c r="DU204" s="28"/>
      <c r="DV204" s="28"/>
      <c r="DW204" s="28"/>
      <c r="DX204" s="28"/>
      <c r="DY204" s="28"/>
      <c r="DZ204" s="28"/>
      <c r="EA204" s="28"/>
      <c r="EB204" s="28"/>
      <c r="EC204" s="28"/>
      <c r="ED204" s="28"/>
      <c r="EE204" s="28"/>
      <c r="EF204" s="28"/>
      <c r="EG204" s="28"/>
      <c r="EH204" s="28"/>
      <c r="EI204" s="28"/>
      <c r="EJ204" s="28"/>
      <c r="EK204" s="28"/>
      <c r="EL204" s="28"/>
      <c r="EM204" s="28"/>
      <c r="EN204" s="28"/>
      <c r="EO204" s="28"/>
      <c r="EP204" s="28"/>
      <c r="EQ204" s="28"/>
      <c r="ER204" s="28"/>
      <c r="ES204" s="28"/>
      <c r="ET204" s="28"/>
      <c r="EU204" s="28"/>
      <c r="EV204" s="28"/>
      <c r="EW204" s="28"/>
      <c r="EX204" s="28"/>
    </row>
    <row r="205" spans="1:154" x14ac:dyDescent="0.3">
      <c r="A205" s="34"/>
      <c r="L205" s="36"/>
      <c r="R205" s="34"/>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28"/>
      <c r="DQ205" s="28"/>
      <c r="DR205" s="28"/>
      <c r="DS205" s="28"/>
      <c r="DT205" s="28"/>
      <c r="DU205" s="28"/>
      <c r="DV205" s="28"/>
      <c r="DW205" s="28"/>
      <c r="DX205" s="28"/>
      <c r="DY205" s="28"/>
      <c r="DZ205" s="28"/>
      <c r="EA205" s="28"/>
      <c r="EB205" s="28"/>
      <c r="EC205" s="28"/>
      <c r="ED205" s="28"/>
      <c r="EE205" s="28"/>
      <c r="EF205" s="28"/>
      <c r="EG205" s="28"/>
      <c r="EH205" s="28"/>
      <c r="EI205" s="28"/>
      <c r="EJ205" s="28"/>
      <c r="EK205" s="28"/>
      <c r="EL205" s="28"/>
      <c r="EM205" s="28"/>
      <c r="EN205" s="28"/>
      <c r="EO205" s="28"/>
      <c r="EP205" s="28"/>
      <c r="EQ205" s="28"/>
      <c r="ER205" s="28"/>
      <c r="ES205" s="28"/>
      <c r="ET205" s="28"/>
      <c r="EU205" s="28"/>
      <c r="EV205" s="28"/>
      <c r="EW205" s="28"/>
      <c r="EX205" s="28"/>
    </row>
    <row r="206" spans="1:154" x14ac:dyDescent="0.3">
      <c r="A206" s="34"/>
      <c r="L206" s="36"/>
      <c r="R206" s="34"/>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28"/>
      <c r="DQ206" s="28"/>
      <c r="DR206" s="28"/>
      <c r="DS206" s="28"/>
      <c r="DT206" s="28"/>
      <c r="DU206" s="28"/>
      <c r="DV206" s="28"/>
      <c r="DW206" s="28"/>
      <c r="DX206" s="28"/>
      <c r="DY206" s="28"/>
      <c r="DZ206" s="28"/>
      <c r="EA206" s="28"/>
      <c r="EB206" s="28"/>
      <c r="EC206" s="28"/>
      <c r="ED206" s="28"/>
      <c r="EE206" s="28"/>
      <c r="EF206" s="28"/>
      <c r="EG206" s="28"/>
      <c r="EH206" s="28"/>
      <c r="EI206" s="28"/>
      <c r="EJ206" s="28"/>
      <c r="EK206" s="28"/>
      <c r="EL206" s="28"/>
      <c r="EM206" s="28"/>
      <c r="EN206" s="28"/>
      <c r="EO206" s="28"/>
      <c r="EP206" s="28"/>
      <c r="EQ206" s="28"/>
      <c r="ER206" s="28"/>
      <c r="ES206" s="28"/>
      <c r="ET206" s="28"/>
      <c r="EU206" s="28"/>
      <c r="EV206" s="28"/>
      <c r="EW206" s="28"/>
      <c r="EX206" s="28"/>
    </row>
    <row r="207" spans="1:154" x14ac:dyDescent="0.3">
      <c r="A207" s="34"/>
      <c r="L207" s="36"/>
      <c r="R207" s="34"/>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28"/>
      <c r="DQ207" s="28"/>
      <c r="DR207" s="28"/>
      <c r="DS207" s="28"/>
      <c r="DT207" s="28"/>
      <c r="DU207" s="28"/>
      <c r="DV207" s="28"/>
      <c r="DW207" s="28"/>
      <c r="DX207" s="28"/>
      <c r="DY207" s="28"/>
      <c r="DZ207" s="28"/>
      <c r="EA207" s="28"/>
      <c r="EB207" s="28"/>
      <c r="EC207" s="28"/>
      <c r="ED207" s="28"/>
      <c r="EE207" s="28"/>
      <c r="EF207" s="28"/>
      <c r="EG207" s="28"/>
      <c r="EH207" s="28"/>
      <c r="EI207" s="28"/>
      <c r="EJ207" s="28"/>
      <c r="EK207" s="28"/>
      <c r="EL207" s="28"/>
      <c r="EM207" s="28"/>
      <c r="EN207" s="28"/>
      <c r="EO207" s="28"/>
      <c r="EP207" s="28"/>
      <c r="EQ207" s="28"/>
      <c r="ER207" s="28"/>
      <c r="ES207" s="28"/>
      <c r="ET207" s="28"/>
      <c r="EU207" s="28"/>
      <c r="EV207" s="28"/>
      <c r="EW207" s="28"/>
      <c r="EX207" s="28"/>
    </row>
    <row r="208" spans="1:154" x14ac:dyDescent="0.3">
      <c r="A208" s="34"/>
      <c r="L208" s="36"/>
      <c r="R208" s="34"/>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28"/>
      <c r="DQ208" s="28"/>
      <c r="DR208" s="28"/>
      <c r="DS208" s="28"/>
      <c r="DT208" s="28"/>
      <c r="DU208" s="28"/>
      <c r="DV208" s="28"/>
      <c r="DW208" s="28"/>
      <c r="DX208" s="28"/>
      <c r="DY208" s="28"/>
      <c r="DZ208" s="28"/>
      <c r="EA208" s="28"/>
      <c r="EB208" s="28"/>
      <c r="EC208" s="28"/>
      <c r="ED208" s="28"/>
      <c r="EE208" s="28"/>
      <c r="EF208" s="28"/>
      <c r="EG208" s="28"/>
      <c r="EH208" s="28"/>
      <c r="EI208" s="28"/>
      <c r="EJ208" s="28"/>
      <c r="EK208" s="28"/>
      <c r="EL208" s="28"/>
      <c r="EM208" s="28"/>
      <c r="EN208" s="28"/>
      <c r="EO208" s="28"/>
      <c r="EP208" s="28"/>
      <c r="EQ208" s="28"/>
      <c r="ER208" s="28"/>
      <c r="ES208" s="28"/>
      <c r="ET208" s="28"/>
      <c r="EU208" s="28"/>
      <c r="EV208" s="28"/>
      <c r="EW208" s="28"/>
      <c r="EX208" s="28"/>
    </row>
    <row r="209" spans="1:154" x14ac:dyDescent="0.3">
      <c r="A209" s="34"/>
      <c r="L209" s="36"/>
      <c r="R209" s="34"/>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28"/>
      <c r="DQ209" s="28"/>
      <c r="DR209" s="28"/>
      <c r="DS209" s="28"/>
      <c r="DT209" s="28"/>
      <c r="DU209" s="28"/>
      <c r="DV209" s="28"/>
      <c r="DW209" s="28"/>
      <c r="DX209" s="28"/>
      <c r="DY209" s="28"/>
      <c r="DZ209" s="28"/>
      <c r="EA209" s="28"/>
      <c r="EB209" s="28"/>
      <c r="EC209" s="28"/>
      <c r="ED209" s="28"/>
      <c r="EE209" s="28"/>
      <c r="EF209" s="28"/>
      <c r="EG209" s="28"/>
      <c r="EH209" s="28"/>
      <c r="EI209" s="28"/>
      <c r="EJ209" s="28"/>
      <c r="EK209" s="28"/>
      <c r="EL209" s="28"/>
      <c r="EM209" s="28"/>
      <c r="EN209" s="28"/>
      <c r="EO209" s="28"/>
      <c r="EP209" s="28"/>
      <c r="EQ209" s="28"/>
      <c r="ER209" s="28"/>
      <c r="ES209" s="28"/>
      <c r="ET209" s="28"/>
      <c r="EU209" s="28"/>
      <c r="EV209" s="28"/>
      <c r="EW209" s="28"/>
      <c r="EX209" s="28"/>
    </row>
    <row r="210" spans="1:154" x14ac:dyDescent="0.3">
      <c r="A210" s="34"/>
      <c r="L210" s="36"/>
      <c r="R210" s="34"/>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28"/>
      <c r="DQ210" s="28"/>
      <c r="DR210" s="28"/>
      <c r="DS210" s="28"/>
      <c r="DT210" s="28"/>
      <c r="DU210" s="28"/>
      <c r="DV210" s="28"/>
      <c r="DW210" s="28"/>
      <c r="DX210" s="28"/>
      <c r="DY210" s="28"/>
      <c r="DZ210" s="28"/>
      <c r="EA210" s="28"/>
      <c r="EB210" s="28"/>
      <c r="EC210" s="28"/>
      <c r="ED210" s="28"/>
      <c r="EE210" s="28"/>
      <c r="EF210" s="28"/>
      <c r="EG210" s="28"/>
      <c r="EH210" s="28"/>
      <c r="EI210" s="28"/>
      <c r="EJ210" s="28"/>
      <c r="EK210" s="28"/>
      <c r="EL210" s="28"/>
      <c r="EM210" s="28"/>
      <c r="EN210" s="28"/>
      <c r="EO210" s="28"/>
      <c r="EP210" s="28"/>
      <c r="EQ210" s="28"/>
      <c r="ER210" s="28"/>
      <c r="ES210" s="28"/>
      <c r="ET210" s="28"/>
      <c r="EU210" s="28"/>
      <c r="EV210" s="28"/>
      <c r="EW210" s="28"/>
      <c r="EX210" s="28"/>
    </row>
    <row r="211" spans="1:154" x14ac:dyDescent="0.3">
      <c r="A211" s="34"/>
      <c r="L211" s="36"/>
      <c r="R211" s="34"/>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28"/>
      <c r="DQ211" s="28"/>
      <c r="DR211" s="28"/>
      <c r="DS211" s="28"/>
      <c r="DT211" s="28"/>
      <c r="DU211" s="28"/>
      <c r="DV211" s="28"/>
      <c r="DW211" s="28"/>
      <c r="DX211" s="28"/>
      <c r="DY211" s="28"/>
      <c r="DZ211" s="28"/>
      <c r="EA211" s="28"/>
      <c r="EB211" s="28"/>
      <c r="EC211" s="28"/>
      <c r="ED211" s="28"/>
      <c r="EE211" s="28"/>
      <c r="EF211" s="28"/>
      <c r="EG211" s="28"/>
      <c r="EH211" s="28"/>
      <c r="EI211" s="28"/>
      <c r="EJ211" s="28"/>
      <c r="EK211" s="28"/>
      <c r="EL211" s="28"/>
      <c r="EM211" s="28"/>
      <c r="EN211" s="28"/>
      <c r="EO211" s="28"/>
      <c r="EP211" s="28"/>
      <c r="EQ211" s="28"/>
      <c r="ER211" s="28"/>
      <c r="ES211" s="28"/>
      <c r="ET211" s="28"/>
      <c r="EU211" s="28"/>
      <c r="EV211" s="28"/>
      <c r="EW211" s="28"/>
      <c r="EX211" s="28"/>
    </row>
    <row r="212" spans="1:154" x14ac:dyDescent="0.3">
      <c r="A212" s="34"/>
      <c r="L212" s="36"/>
      <c r="R212" s="34"/>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28"/>
      <c r="DQ212" s="28"/>
      <c r="DR212" s="28"/>
      <c r="DS212" s="28"/>
      <c r="DT212" s="28"/>
      <c r="DU212" s="28"/>
      <c r="DV212" s="28"/>
      <c r="DW212" s="28"/>
      <c r="DX212" s="28"/>
      <c r="DY212" s="28"/>
      <c r="DZ212" s="28"/>
      <c r="EA212" s="28"/>
      <c r="EB212" s="28"/>
      <c r="EC212" s="28"/>
      <c r="ED212" s="28"/>
      <c r="EE212" s="28"/>
      <c r="EF212" s="28"/>
      <c r="EG212" s="28"/>
      <c r="EH212" s="28"/>
      <c r="EI212" s="28"/>
      <c r="EJ212" s="28"/>
      <c r="EK212" s="28"/>
      <c r="EL212" s="28"/>
      <c r="EM212" s="28"/>
      <c r="EN212" s="28"/>
      <c r="EO212" s="28"/>
      <c r="EP212" s="28"/>
      <c r="EQ212" s="28"/>
      <c r="ER212" s="28"/>
      <c r="ES212" s="28"/>
      <c r="ET212" s="28"/>
      <c r="EU212" s="28"/>
      <c r="EV212" s="28"/>
      <c r="EW212" s="28"/>
      <c r="EX212" s="28"/>
    </row>
    <row r="213" spans="1:154" x14ac:dyDescent="0.3">
      <c r="A213" s="34"/>
      <c r="L213" s="36"/>
      <c r="R213" s="34"/>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28"/>
      <c r="DQ213" s="28"/>
      <c r="DR213" s="28"/>
      <c r="DS213" s="28"/>
      <c r="DT213" s="28"/>
      <c r="DU213" s="28"/>
      <c r="DV213" s="28"/>
      <c r="DW213" s="28"/>
      <c r="DX213" s="28"/>
      <c r="DY213" s="28"/>
      <c r="DZ213" s="28"/>
      <c r="EA213" s="28"/>
      <c r="EB213" s="28"/>
      <c r="EC213" s="28"/>
      <c r="ED213" s="28"/>
      <c r="EE213" s="28"/>
      <c r="EF213" s="28"/>
      <c r="EG213" s="28"/>
      <c r="EH213" s="28"/>
      <c r="EI213" s="28"/>
      <c r="EJ213" s="28"/>
      <c r="EK213" s="28"/>
      <c r="EL213" s="28"/>
      <c r="EM213" s="28"/>
      <c r="EN213" s="28"/>
      <c r="EO213" s="28"/>
      <c r="EP213" s="28"/>
      <c r="EQ213" s="28"/>
      <c r="ER213" s="28"/>
      <c r="ES213" s="28"/>
      <c r="ET213" s="28"/>
      <c r="EU213" s="28"/>
      <c r="EV213" s="28"/>
      <c r="EW213" s="28"/>
      <c r="EX213" s="28"/>
    </row>
    <row r="214" spans="1:154" x14ac:dyDescent="0.3">
      <c r="A214" s="34"/>
      <c r="L214" s="36"/>
      <c r="R214" s="34"/>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28"/>
      <c r="DQ214" s="28"/>
      <c r="DR214" s="28"/>
      <c r="DS214" s="28"/>
      <c r="DT214" s="28"/>
      <c r="DU214" s="28"/>
      <c r="DV214" s="28"/>
      <c r="DW214" s="28"/>
      <c r="DX214" s="28"/>
      <c r="DY214" s="28"/>
      <c r="DZ214" s="28"/>
      <c r="EA214" s="28"/>
      <c r="EB214" s="28"/>
      <c r="EC214" s="28"/>
      <c r="ED214" s="28"/>
      <c r="EE214" s="28"/>
      <c r="EF214" s="28"/>
      <c r="EG214" s="28"/>
      <c r="EH214" s="28"/>
      <c r="EI214" s="28"/>
      <c r="EJ214" s="28"/>
      <c r="EK214" s="28"/>
      <c r="EL214" s="28"/>
      <c r="EM214" s="28"/>
      <c r="EN214" s="28"/>
      <c r="EO214" s="28"/>
      <c r="EP214" s="28"/>
      <c r="EQ214" s="28"/>
      <c r="ER214" s="28"/>
      <c r="ES214" s="28"/>
      <c r="ET214" s="28"/>
      <c r="EU214" s="28"/>
      <c r="EV214" s="28"/>
      <c r="EW214" s="28"/>
      <c r="EX214" s="28"/>
    </row>
    <row r="215" spans="1:154" x14ac:dyDescent="0.3">
      <c r="A215" s="34"/>
      <c r="L215" s="36"/>
      <c r="R215" s="34"/>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28"/>
      <c r="DQ215" s="28"/>
      <c r="DR215" s="28"/>
      <c r="DS215" s="28"/>
      <c r="DT215" s="28"/>
      <c r="DU215" s="28"/>
      <c r="DV215" s="28"/>
      <c r="DW215" s="28"/>
      <c r="DX215" s="28"/>
      <c r="DY215" s="28"/>
      <c r="DZ215" s="28"/>
      <c r="EA215" s="28"/>
      <c r="EB215" s="28"/>
      <c r="EC215" s="28"/>
      <c r="ED215" s="28"/>
      <c r="EE215" s="28"/>
      <c r="EF215" s="28"/>
      <c r="EG215" s="28"/>
      <c r="EH215" s="28"/>
      <c r="EI215" s="28"/>
      <c r="EJ215" s="28"/>
      <c r="EK215" s="28"/>
      <c r="EL215" s="28"/>
      <c r="EM215" s="28"/>
      <c r="EN215" s="28"/>
      <c r="EO215" s="28"/>
      <c r="EP215" s="28"/>
      <c r="EQ215" s="28"/>
      <c r="ER215" s="28"/>
      <c r="ES215" s="28"/>
      <c r="ET215" s="28"/>
      <c r="EU215" s="28"/>
      <c r="EV215" s="28"/>
      <c r="EW215" s="28"/>
      <c r="EX215" s="28"/>
    </row>
    <row r="216" spans="1:154" x14ac:dyDescent="0.3">
      <c r="A216" s="34"/>
      <c r="L216" s="36"/>
      <c r="R216" s="34"/>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28"/>
      <c r="DQ216" s="28"/>
      <c r="DR216" s="28"/>
      <c r="DS216" s="28"/>
      <c r="DT216" s="28"/>
      <c r="DU216" s="28"/>
      <c r="DV216" s="28"/>
      <c r="DW216" s="28"/>
      <c r="DX216" s="28"/>
      <c r="DY216" s="28"/>
      <c r="DZ216" s="28"/>
      <c r="EA216" s="28"/>
      <c r="EB216" s="28"/>
      <c r="EC216" s="28"/>
      <c r="ED216" s="28"/>
      <c r="EE216" s="28"/>
      <c r="EF216" s="28"/>
      <c r="EG216" s="28"/>
      <c r="EH216" s="28"/>
      <c r="EI216" s="28"/>
      <c r="EJ216" s="28"/>
      <c r="EK216" s="28"/>
      <c r="EL216" s="28"/>
      <c r="EM216" s="28"/>
      <c r="EN216" s="28"/>
      <c r="EO216" s="28"/>
      <c r="EP216" s="28"/>
      <c r="EQ216" s="28"/>
      <c r="ER216" s="28"/>
      <c r="ES216" s="28"/>
      <c r="ET216" s="28"/>
      <c r="EU216" s="28"/>
      <c r="EV216" s="28"/>
      <c r="EW216" s="28"/>
      <c r="EX216" s="28"/>
    </row>
    <row r="217" spans="1:154" x14ac:dyDescent="0.3">
      <c r="A217" s="34"/>
      <c r="L217" s="36"/>
      <c r="R217" s="34"/>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28"/>
      <c r="DQ217" s="28"/>
      <c r="DR217" s="28"/>
      <c r="DS217" s="28"/>
      <c r="DT217" s="28"/>
      <c r="DU217" s="28"/>
      <c r="DV217" s="28"/>
      <c r="DW217" s="28"/>
      <c r="DX217" s="28"/>
      <c r="DY217" s="28"/>
      <c r="DZ217" s="28"/>
      <c r="EA217" s="28"/>
      <c r="EB217" s="28"/>
      <c r="EC217" s="28"/>
      <c r="ED217" s="28"/>
      <c r="EE217" s="28"/>
      <c r="EF217" s="28"/>
      <c r="EG217" s="28"/>
      <c r="EH217" s="28"/>
      <c r="EI217" s="28"/>
      <c r="EJ217" s="28"/>
      <c r="EK217" s="28"/>
      <c r="EL217" s="28"/>
      <c r="EM217" s="28"/>
      <c r="EN217" s="28"/>
      <c r="EO217" s="28"/>
      <c r="EP217" s="28"/>
      <c r="EQ217" s="28"/>
      <c r="ER217" s="28"/>
      <c r="ES217" s="28"/>
      <c r="ET217" s="28"/>
      <c r="EU217" s="28"/>
      <c r="EV217" s="28"/>
      <c r="EW217" s="28"/>
      <c r="EX217" s="28"/>
    </row>
    <row r="218" spans="1:154" x14ac:dyDescent="0.3">
      <c r="A218" s="34"/>
      <c r="L218" s="36"/>
      <c r="R218" s="34"/>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28"/>
      <c r="DQ218" s="28"/>
      <c r="DR218" s="28"/>
      <c r="DS218" s="28"/>
      <c r="DT218" s="28"/>
      <c r="DU218" s="28"/>
      <c r="DV218" s="28"/>
      <c r="DW218" s="28"/>
      <c r="DX218" s="28"/>
      <c r="DY218" s="28"/>
      <c r="DZ218" s="28"/>
      <c r="EA218" s="28"/>
      <c r="EB218" s="28"/>
      <c r="EC218" s="28"/>
      <c r="ED218" s="28"/>
      <c r="EE218" s="28"/>
      <c r="EF218" s="28"/>
      <c r="EG218" s="28"/>
      <c r="EH218" s="28"/>
      <c r="EI218" s="28"/>
      <c r="EJ218" s="28"/>
      <c r="EK218" s="28"/>
      <c r="EL218" s="28"/>
      <c r="EM218" s="28"/>
      <c r="EN218" s="28"/>
      <c r="EO218" s="28"/>
      <c r="EP218" s="28"/>
      <c r="EQ218" s="28"/>
      <c r="ER218" s="28"/>
      <c r="ES218" s="28"/>
      <c r="ET218" s="28"/>
      <c r="EU218" s="28"/>
      <c r="EV218" s="28"/>
      <c r="EW218" s="28"/>
      <c r="EX218" s="28"/>
    </row>
    <row r="219" spans="1:154" x14ac:dyDescent="0.3">
      <c r="A219" s="34"/>
      <c r="L219" s="36"/>
      <c r="R219" s="34"/>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28"/>
      <c r="DQ219" s="28"/>
      <c r="DR219" s="28"/>
      <c r="DS219" s="28"/>
      <c r="DT219" s="28"/>
      <c r="DU219" s="28"/>
      <c r="DV219" s="28"/>
      <c r="DW219" s="28"/>
      <c r="DX219" s="28"/>
      <c r="DY219" s="28"/>
      <c r="DZ219" s="28"/>
      <c r="EA219" s="28"/>
      <c r="EB219" s="28"/>
      <c r="EC219" s="28"/>
      <c r="ED219" s="28"/>
      <c r="EE219" s="28"/>
      <c r="EF219" s="28"/>
      <c r="EG219" s="28"/>
      <c r="EH219" s="28"/>
      <c r="EI219" s="28"/>
      <c r="EJ219" s="28"/>
      <c r="EK219" s="28"/>
      <c r="EL219" s="28"/>
      <c r="EM219" s="28"/>
      <c r="EN219" s="28"/>
      <c r="EO219" s="28"/>
      <c r="EP219" s="28"/>
      <c r="EQ219" s="28"/>
      <c r="ER219" s="28"/>
      <c r="ES219" s="28"/>
      <c r="ET219" s="28"/>
      <c r="EU219" s="28"/>
      <c r="EV219" s="28"/>
      <c r="EW219" s="28"/>
      <c r="EX219" s="28"/>
    </row>
    <row r="220" spans="1:154" x14ac:dyDescent="0.3">
      <c r="A220" s="34"/>
      <c r="L220" s="36"/>
      <c r="R220" s="34"/>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28"/>
      <c r="DQ220" s="28"/>
      <c r="DR220" s="28"/>
      <c r="DS220" s="28"/>
      <c r="DT220" s="28"/>
      <c r="DU220" s="28"/>
      <c r="DV220" s="28"/>
      <c r="DW220" s="28"/>
      <c r="DX220" s="28"/>
      <c r="DY220" s="28"/>
      <c r="DZ220" s="28"/>
      <c r="EA220" s="28"/>
      <c r="EB220" s="28"/>
      <c r="EC220" s="28"/>
      <c r="ED220" s="28"/>
      <c r="EE220" s="28"/>
      <c r="EF220" s="28"/>
      <c r="EG220" s="28"/>
      <c r="EH220" s="28"/>
      <c r="EI220" s="28"/>
      <c r="EJ220" s="28"/>
      <c r="EK220" s="28"/>
      <c r="EL220" s="28"/>
      <c r="EM220" s="28"/>
      <c r="EN220" s="28"/>
      <c r="EO220" s="28"/>
      <c r="EP220" s="28"/>
      <c r="EQ220" s="28"/>
      <c r="ER220" s="28"/>
      <c r="ES220" s="28"/>
      <c r="ET220" s="28"/>
      <c r="EU220" s="28"/>
      <c r="EV220" s="28"/>
      <c r="EW220" s="28"/>
      <c r="EX220" s="28"/>
    </row>
    <row r="221" spans="1:154" x14ac:dyDescent="0.3">
      <c r="A221" s="34"/>
      <c r="L221" s="36"/>
      <c r="R221" s="34"/>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28"/>
      <c r="DQ221" s="28"/>
      <c r="DR221" s="28"/>
      <c r="DS221" s="28"/>
      <c r="DT221" s="28"/>
      <c r="DU221" s="28"/>
      <c r="DV221" s="28"/>
      <c r="DW221" s="28"/>
      <c r="DX221" s="28"/>
      <c r="DY221" s="28"/>
      <c r="DZ221" s="28"/>
      <c r="EA221" s="28"/>
      <c r="EB221" s="28"/>
      <c r="EC221" s="28"/>
      <c r="ED221" s="28"/>
      <c r="EE221" s="28"/>
      <c r="EF221" s="28"/>
      <c r="EG221" s="28"/>
      <c r="EH221" s="28"/>
      <c r="EI221" s="28"/>
      <c r="EJ221" s="28"/>
      <c r="EK221" s="28"/>
      <c r="EL221" s="28"/>
      <c r="EM221" s="28"/>
      <c r="EN221" s="28"/>
      <c r="EO221" s="28"/>
      <c r="EP221" s="28"/>
      <c r="EQ221" s="28"/>
      <c r="ER221" s="28"/>
      <c r="ES221" s="28"/>
      <c r="ET221" s="28"/>
      <c r="EU221" s="28"/>
      <c r="EV221" s="28"/>
      <c r="EW221" s="28"/>
      <c r="EX221" s="28"/>
    </row>
    <row r="222" spans="1:154" x14ac:dyDescent="0.3">
      <c r="A222" s="34"/>
      <c r="L222" s="36"/>
      <c r="R222" s="34"/>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28"/>
      <c r="DQ222" s="28"/>
      <c r="DR222" s="28"/>
      <c r="DS222" s="28"/>
      <c r="DT222" s="28"/>
      <c r="DU222" s="28"/>
      <c r="DV222" s="28"/>
      <c r="DW222" s="28"/>
      <c r="DX222" s="28"/>
      <c r="DY222" s="28"/>
      <c r="DZ222" s="28"/>
      <c r="EA222" s="28"/>
      <c r="EB222" s="28"/>
      <c r="EC222" s="28"/>
      <c r="ED222" s="28"/>
      <c r="EE222" s="28"/>
      <c r="EF222" s="28"/>
      <c r="EG222" s="28"/>
      <c r="EH222" s="28"/>
      <c r="EI222" s="28"/>
      <c r="EJ222" s="28"/>
      <c r="EK222" s="28"/>
      <c r="EL222" s="28"/>
      <c r="EM222" s="28"/>
      <c r="EN222" s="28"/>
      <c r="EO222" s="28"/>
      <c r="EP222" s="28"/>
      <c r="EQ222" s="28"/>
      <c r="ER222" s="28"/>
      <c r="ES222" s="28"/>
      <c r="ET222" s="28"/>
      <c r="EU222" s="28"/>
      <c r="EV222" s="28"/>
      <c r="EW222" s="28"/>
      <c r="EX222" s="28"/>
    </row>
    <row r="223" spans="1:154" x14ac:dyDescent="0.3">
      <c r="A223" s="34"/>
      <c r="L223" s="36"/>
      <c r="R223" s="34"/>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28"/>
      <c r="DQ223" s="28"/>
      <c r="DR223" s="28"/>
      <c r="DS223" s="28"/>
      <c r="DT223" s="28"/>
      <c r="DU223" s="28"/>
      <c r="DV223" s="28"/>
      <c r="DW223" s="28"/>
      <c r="DX223" s="28"/>
      <c r="DY223" s="28"/>
      <c r="DZ223" s="28"/>
      <c r="EA223" s="28"/>
      <c r="EB223" s="28"/>
      <c r="EC223" s="28"/>
      <c r="ED223" s="28"/>
      <c r="EE223" s="28"/>
      <c r="EF223" s="28"/>
      <c r="EG223" s="28"/>
      <c r="EH223" s="28"/>
      <c r="EI223" s="28"/>
      <c r="EJ223" s="28"/>
      <c r="EK223" s="28"/>
      <c r="EL223" s="28"/>
      <c r="EM223" s="28"/>
      <c r="EN223" s="28"/>
      <c r="EO223" s="28"/>
      <c r="EP223" s="28"/>
      <c r="EQ223" s="28"/>
      <c r="ER223" s="28"/>
      <c r="ES223" s="28"/>
      <c r="ET223" s="28"/>
      <c r="EU223" s="28"/>
      <c r="EV223" s="28"/>
      <c r="EW223" s="28"/>
      <c r="EX223" s="28"/>
    </row>
    <row r="224" spans="1:154" x14ac:dyDescent="0.3">
      <c r="A224" s="34"/>
      <c r="L224" s="36"/>
      <c r="R224" s="34"/>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28"/>
      <c r="DQ224" s="28"/>
      <c r="DR224" s="28"/>
      <c r="DS224" s="28"/>
      <c r="DT224" s="28"/>
      <c r="DU224" s="28"/>
      <c r="DV224" s="28"/>
      <c r="DW224" s="28"/>
      <c r="DX224" s="28"/>
      <c r="DY224" s="28"/>
      <c r="DZ224" s="28"/>
      <c r="EA224" s="28"/>
      <c r="EB224" s="28"/>
      <c r="EC224" s="28"/>
      <c r="ED224" s="28"/>
      <c r="EE224" s="28"/>
      <c r="EF224" s="28"/>
      <c r="EG224" s="28"/>
      <c r="EH224" s="28"/>
      <c r="EI224" s="28"/>
      <c r="EJ224" s="28"/>
      <c r="EK224" s="28"/>
      <c r="EL224" s="28"/>
      <c r="EM224" s="28"/>
      <c r="EN224" s="28"/>
      <c r="EO224" s="28"/>
      <c r="EP224" s="28"/>
      <c r="EQ224" s="28"/>
      <c r="ER224" s="28"/>
      <c r="ES224" s="28"/>
      <c r="ET224" s="28"/>
      <c r="EU224" s="28"/>
      <c r="EV224" s="28"/>
      <c r="EW224" s="28"/>
      <c r="EX224" s="28"/>
    </row>
    <row r="225" spans="1:31" x14ac:dyDescent="0.3">
      <c r="A225" s="34"/>
      <c r="L225" s="36"/>
      <c r="R225" s="34"/>
      <c r="AC225" s="28"/>
      <c r="AD225" s="28"/>
      <c r="AE225" s="28"/>
    </row>
    <row r="226" spans="1:31" x14ac:dyDescent="0.3">
      <c r="A226" s="34"/>
      <c r="L226" s="36"/>
      <c r="R226" s="34"/>
      <c r="AC226" s="28"/>
      <c r="AD226" s="28"/>
      <c r="AE226" s="28"/>
    </row>
    <row r="227" spans="1:31" x14ac:dyDescent="0.3">
      <c r="A227" s="34"/>
      <c r="L227" s="36"/>
      <c r="R227" s="34"/>
      <c r="AC227" s="28"/>
      <c r="AD227" s="28"/>
      <c r="AE227" s="28"/>
    </row>
    <row r="228" spans="1:31" x14ac:dyDescent="0.3">
      <c r="A228" s="34"/>
      <c r="L228" s="36"/>
      <c r="R228" s="34"/>
      <c r="AC228" s="28"/>
      <c r="AD228" s="28"/>
      <c r="AE228" s="28"/>
    </row>
    <row r="229" spans="1:31" x14ac:dyDescent="0.3">
      <c r="A229" s="34"/>
      <c r="L229" s="36"/>
      <c r="R229" s="34"/>
      <c r="AC229" s="28"/>
      <c r="AD229" s="28"/>
      <c r="AE229" s="28"/>
    </row>
    <row r="230" spans="1:31" x14ac:dyDescent="0.3">
      <c r="A230" s="34"/>
      <c r="L230" s="36"/>
      <c r="R230" s="34"/>
      <c r="AC230" s="28"/>
      <c r="AD230" s="28"/>
      <c r="AE230" s="28"/>
    </row>
    <row r="231" spans="1:31" x14ac:dyDescent="0.3">
      <c r="A231" s="34"/>
      <c r="L231" s="36"/>
      <c r="R231" s="34"/>
      <c r="AC231" s="28"/>
      <c r="AD231" s="28"/>
      <c r="AE231" s="28"/>
    </row>
    <row r="232" spans="1:31" x14ac:dyDescent="0.3">
      <c r="A232" s="34"/>
      <c r="L232" s="36"/>
      <c r="R232" s="34"/>
      <c r="AC232" s="28"/>
      <c r="AD232" s="28"/>
      <c r="AE232" s="28"/>
    </row>
    <row r="233" spans="1:31" x14ac:dyDescent="0.3">
      <c r="A233" s="34"/>
      <c r="L233" s="36"/>
      <c r="R233" s="34"/>
      <c r="AC233" s="28"/>
      <c r="AD233" s="28"/>
      <c r="AE233" s="28"/>
    </row>
    <row r="234" spans="1:31" x14ac:dyDescent="0.3">
      <c r="A234" s="34"/>
      <c r="L234" s="36"/>
      <c r="R234" s="34"/>
      <c r="AC234" s="28"/>
      <c r="AD234" s="28"/>
      <c r="AE234" s="28"/>
    </row>
    <row r="235" spans="1:31" x14ac:dyDescent="0.3">
      <c r="A235" s="34"/>
      <c r="L235" s="36"/>
      <c r="R235" s="34"/>
      <c r="AC235" s="28"/>
      <c r="AD235" s="28"/>
      <c r="AE235" s="28"/>
    </row>
    <row r="236" spans="1:31" x14ac:dyDescent="0.3">
      <c r="A236" s="34"/>
      <c r="L236" s="36"/>
      <c r="R236" s="34"/>
      <c r="AC236" s="28"/>
      <c r="AD236" s="28"/>
      <c r="AE236" s="28"/>
    </row>
    <row r="237" spans="1:31" x14ac:dyDescent="0.3">
      <c r="A237" s="34"/>
      <c r="L237" s="36"/>
      <c r="R237" s="34"/>
      <c r="AC237" s="28"/>
      <c r="AD237" s="28"/>
      <c r="AE237" s="28"/>
    </row>
    <row r="238" spans="1:31" x14ac:dyDescent="0.3">
      <c r="A238" s="34"/>
      <c r="L238" s="36"/>
      <c r="R238" s="34"/>
      <c r="AC238" s="28"/>
      <c r="AD238" s="28"/>
      <c r="AE238" s="28"/>
    </row>
    <row r="239" spans="1:31" x14ac:dyDescent="0.3">
      <c r="A239" s="34"/>
      <c r="L239" s="36"/>
      <c r="R239" s="34"/>
      <c r="AC239" s="28"/>
      <c r="AD239" s="28"/>
      <c r="AE239" s="28"/>
    </row>
    <row r="240" spans="1:31" x14ac:dyDescent="0.3">
      <c r="A240" s="34"/>
      <c r="L240" s="36"/>
      <c r="R240" s="34"/>
      <c r="AC240" s="28"/>
      <c r="AD240" s="28"/>
      <c r="AE240" s="28"/>
    </row>
    <row r="241" spans="1:31" x14ac:dyDescent="0.3">
      <c r="A241" s="34"/>
      <c r="L241" s="36"/>
      <c r="R241" s="34"/>
      <c r="AC241" s="28"/>
      <c r="AD241" s="28"/>
      <c r="AE241" s="28"/>
    </row>
    <row r="242" spans="1:31" x14ac:dyDescent="0.3">
      <c r="A242" s="34"/>
      <c r="L242" s="36"/>
      <c r="R242" s="34"/>
      <c r="AC242" s="28"/>
      <c r="AD242" s="28"/>
      <c r="AE242" s="28"/>
    </row>
    <row r="243" spans="1:31" x14ac:dyDescent="0.3">
      <c r="A243" s="34"/>
      <c r="L243" s="36"/>
      <c r="R243" s="34"/>
      <c r="AC243" s="28"/>
      <c r="AD243" s="28"/>
      <c r="AE243" s="28"/>
    </row>
    <row r="244" spans="1:31" x14ac:dyDescent="0.3">
      <c r="A244" s="34"/>
      <c r="L244" s="36"/>
      <c r="R244" s="34"/>
      <c r="AC244" s="28"/>
      <c r="AD244" s="28"/>
      <c r="AE244" s="28"/>
    </row>
    <row r="245" spans="1:31" x14ac:dyDescent="0.3">
      <c r="A245" s="34"/>
      <c r="L245" s="36"/>
      <c r="R245" s="34"/>
      <c r="AC245" s="28"/>
      <c r="AD245" s="28"/>
      <c r="AE245" s="28"/>
    </row>
    <row r="246" spans="1:31" x14ac:dyDescent="0.3">
      <c r="A246" s="34"/>
      <c r="L246" s="36"/>
      <c r="R246" s="34"/>
      <c r="AC246" s="28"/>
      <c r="AD246" s="28"/>
      <c r="AE246" s="28"/>
    </row>
    <row r="247" spans="1:31" x14ac:dyDescent="0.3">
      <c r="A247" s="34"/>
      <c r="L247" s="36"/>
      <c r="R247" s="34"/>
      <c r="AC247" s="28"/>
      <c r="AD247" s="28"/>
      <c r="AE247" s="28"/>
    </row>
    <row r="248" spans="1:31" x14ac:dyDescent="0.3">
      <c r="A248" s="34"/>
      <c r="L248" s="36"/>
      <c r="R248" s="34"/>
      <c r="AC248" s="28"/>
      <c r="AD248" s="28"/>
      <c r="AE248" s="28"/>
    </row>
    <row r="249" spans="1:31" x14ac:dyDescent="0.3">
      <c r="A249" s="34"/>
      <c r="L249" s="36"/>
      <c r="R249" s="34"/>
      <c r="AC249" s="28"/>
      <c r="AD249" s="28"/>
      <c r="AE249" s="28"/>
    </row>
    <row r="250" spans="1:31" x14ac:dyDescent="0.3">
      <c r="A250" s="34"/>
      <c r="L250" s="36"/>
      <c r="R250" s="34"/>
      <c r="AC250" s="28"/>
      <c r="AD250" s="28"/>
      <c r="AE250" s="28"/>
    </row>
    <row r="251" spans="1:31" x14ac:dyDescent="0.3">
      <c r="A251" s="34"/>
      <c r="L251" s="36"/>
      <c r="R251" s="34"/>
      <c r="AC251" s="28"/>
      <c r="AD251" s="28"/>
      <c r="AE251" s="28"/>
    </row>
    <row r="252" spans="1:31" x14ac:dyDescent="0.3">
      <c r="A252" s="34"/>
      <c r="L252" s="36"/>
      <c r="R252" s="34"/>
      <c r="AC252" s="28"/>
      <c r="AD252" s="28"/>
      <c r="AE252" s="28"/>
    </row>
    <row r="253" spans="1:31" x14ac:dyDescent="0.3">
      <c r="A253" s="34"/>
      <c r="L253" s="36"/>
      <c r="R253" s="34"/>
      <c r="AC253" s="28"/>
      <c r="AD253" s="28"/>
      <c r="AE253" s="28"/>
    </row>
    <row r="254" spans="1:31" x14ac:dyDescent="0.3">
      <c r="A254" s="34"/>
      <c r="L254" s="36"/>
      <c r="R254" s="34"/>
      <c r="AC254" s="28"/>
      <c r="AD254" s="28"/>
      <c r="AE254" s="28"/>
    </row>
    <row r="255" spans="1:31" x14ac:dyDescent="0.3">
      <c r="A255" s="34"/>
      <c r="L255" s="36"/>
      <c r="R255" s="34"/>
      <c r="AC255" s="28"/>
      <c r="AD255" s="28"/>
      <c r="AE255" s="28"/>
    </row>
    <row r="256" spans="1:31" x14ac:dyDescent="0.3">
      <c r="A256" s="34"/>
      <c r="L256" s="36"/>
      <c r="R256" s="34"/>
      <c r="AC256" s="28"/>
      <c r="AD256" s="28"/>
      <c r="AE256" s="28"/>
    </row>
    <row r="257" spans="1:31" x14ac:dyDescent="0.3">
      <c r="A257" s="34"/>
      <c r="L257" s="36"/>
      <c r="R257" s="34"/>
      <c r="AC257" s="28"/>
      <c r="AD257" s="28"/>
      <c r="AE257" s="28"/>
    </row>
    <row r="258" spans="1:31" x14ac:dyDescent="0.3">
      <c r="A258" s="34"/>
      <c r="L258" s="36"/>
      <c r="R258" s="34"/>
      <c r="AC258" s="28"/>
      <c r="AD258" s="28"/>
      <c r="AE258" s="28"/>
    </row>
    <row r="259" spans="1:31" x14ac:dyDescent="0.3">
      <c r="A259" s="34"/>
      <c r="L259" s="36"/>
      <c r="R259" s="34"/>
      <c r="AC259" s="28"/>
      <c r="AD259" s="28"/>
      <c r="AE259" s="28"/>
    </row>
    <row r="260" spans="1:31" x14ac:dyDescent="0.3">
      <c r="A260" s="34"/>
      <c r="L260" s="36"/>
      <c r="R260" s="34"/>
      <c r="AC260" s="28"/>
      <c r="AD260" s="28"/>
      <c r="AE260" s="28"/>
    </row>
    <row r="261" spans="1:31" x14ac:dyDescent="0.3">
      <c r="A261" s="34"/>
      <c r="L261" s="36"/>
      <c r="R261" s="34"/>
      <c r="AC261" s="28"/>
      <c r="AD261" s="28"/>
      <c r="AE261" s="28"/>
    </row>
    <row r="262" spans="1:31" x14ac:dyDescent="0.3">
      <c r="A262" s="34"/>
      <c r="L262" s="36"/>
      <c r="R262" s="34"/>
      <c r="AC262" s="28"/>
      <c r="AD262" s="28"/>
      <c r="AE262" s="28"/>
    </row>
    <row r="263" spans="1:31" x14ac:dyDescent="0.3">
      <c r="A263" s="34"/>
      <c r="L263" s="36"/>
      <c r="R263" s="34"/>
      <c r="AC263" s="28"/>
      <c r="AD263" s="28"/>
      <c r="AE263" s="28"/>
    </row>
    <row r="264" spans="1:31" x14ac:dyDescent="0.3">
      <c r="A264" s="34"/>
      <c r="L264" s="36"/>
      <c r="R264" s="34"/>
      <c r="AC264" s="28"/>
      <c r="AD264" s="28"/>
      <c r="AE264" s="28"/>
    </row>
    <row r="265" spans="1:31" x14ac:dyDescent="0.3">
      <c r="A265" s="34"/>
      <c r="L265" s="36"/>
      <c r="R265" s="34"/>
      <c r="AC265" s="28"/>
      <c r="AD265" s="28"/>
      <c r="AE265" s="28"/>
    </row>
    <row r="266" spans="1:31" x14ac:dyDescent="0.3">
      <c r="A266" s="34"/>
      <c r="L266" s="36"/>
      <c r="R266" s="34"/>
      <c r="AC266" s="28"/>
      <c r="AD266" s="28"/>
      <c r="AE266" s="28"/>
    </row>
    <row r="267" spans="1:31" x14ac:dyDescent="0.3">
      <c r="A267" s="34"/>
      <c r="L267" s="36"/>
      <c r="R267" s="34"/>
      <c r="AC267" s="28"/>
      <c r="AD267" s="28"/>
      <c r="AE267" s="28"/>
    </row>
    <row r="268" spans="1:31" x14ac:dyDescent="0.3">
      <c r="A268" s="34"/>
      <c r="L268" s="36"/>
      <c r="R268" s="34"/>
      <c r="AC268" s="28"/>
      <c r="AD268" s="28"/>
      <c r="AE268" s="28"/>
    </row>
    <row r="269" spans="1:31" x14ac:dyDescent="0.3">
      <c r="A269" s="34"/>
      <c r="L269" s="36"/>
      <c r="R269" s="34"/>
      <c r="AC269" s="28"/>
      <c r="AD269" s="28"/>
      <c r="AE269" s="28"/>
    </row>
    <row r="270" spans="1:31" x14ac:dyDescent="0.3">
      <c r="A270" s="34"/>
      <c r="L270" s="36"/>
      <c r="R270" s="34"/>
      <c r="AC270" s="28"/>
      <c r="AD270" s="28"/>
      <c r="AE270" s="28"/>
    </row>
    <row r="271" spans="1:31" x14ac:dyDescent="0.3">
      <c r="A271" s="34"/>
      <c r="L271" s="36"/>
      <c r="R271" s="34"/>
      <c r="AC271" s="28"/>
      <c r="AD271" s="28"/>
      <c r="AE271" s="28"/>
    </row>
    <row r="272" spans="1:31" x14ac:dyDescent="0.3">
      <c r="A272" s="34"/>
      <c r="L272" s="36"/>
      <c r="R272" s="34"/>
      <c r="AC272" s="28"/>
      <c r="AD272" s="28"/>
      <c r="AE272" s="28"/>
    </row>
    <row r="273" spans="1:31" x14ac:dyDescent="0.3">
      <c r="A273" s="34"/>
      <c r="L273" s="36"/>
      <c r="R273" s="34"/>
      <c r="AC273" s="28"/>
      <c r="AD273" s="28"/>
      <c r="AE273" s="28"/>
    </row>
    <row r="274" spans="1:31" x14ac:dyDescent="0.3">
      <c r="A274" s="34"/>
      <c r="L274" s="36"/>
      <c r="R274" s="34"/>
      <c r="AC274" s="28"/>
      <c r="AD274" s="28"/>
      <c r="AE274" s="28"/>
    </row>
    <row r="275" spans="1:31" x14ac:dyDescent="0.3">
      <c r="A275" s="34"/>
      <c r="L275" s="36"/>
      <c r="R275" s="34"/>
      <c r="AC275" s="28"/>
      <c r="AD275" s="28"/>
      <c r="AE275" s="28"/>
    </row>
    <row r="276" spans="1:31" x14ac:dyDescent="0.3">
      <c r="A276" s="34"/>
      <c r="L276" s="36"/>
      <c r="R276" s="34"/>
      <c r="AC276" s="28"/>
      <c r="AD276" s="28"/>
      <c r="AE276" s="28"/>
    </row>
    <row r="277" spans="1:31" x14ac:dyDescent="0.3">
      <c r="A277" s="34"/>
      <c r="L277" s="36"/>
      <c r="R277" s="34"/>
      <c r="AC277" s="28"/>
      <c r="AD277" s="28"/>
      <c r="AE277" s="28"/>
    </row>
    <row r="278" spans="1:31" x14ac:dyDescent="0.3">
      <c r="A278" s="34"/>
      <c r="L278" s="36"/>
      <c r="R278" s="34"/>
      <c r="AC278" s="28"/>
      <c r="AD278" s="28"/>
      <c r="AE278" s="28"/>
    </row>
    <row r="279" spans="1:31" x14ac:dyDescent="0.3">
      <c r="A279" s="34"/>
      <c r="L279" s="36"/>
      <c r="R279" s="34"/>
      <c r="AC279" s="28"/>
      <c r="AD279" s="28"/>
      <c r="AE279" s="28"/>
    </row>
    <row r="280" spans="1:31" x14ac:dyDescent="0.3">
      <c r="A280" s="34"/>
      <c r="L280" s="36"/>
      <c r="R280" s="34"/>
      <c r="AC280" s="28"/>
      <c r="AD280" s="28"/>
      <c r="AE280" s="28"/>
    </row>
    <row r="281" spans="1:31" x14ac:dyDescent="0.3">
      <c r="A281" s="34"/>
      <c r="L281" s="36"/>
      <c r="R281" s="34"/>
      <c r="AC281" s="28"/>
      <c r="AD281" s="28"/>
      <c r="AE281" s="28"/>
    </row>
    <row r="282" spans="1:31" x14ac:dyDescent="0.3">
      <c r="A282" s="34"/>
      <c r="L282" s="36"/>
      <c r="R282" s="34"/>
      <c r="AC282" s="28"/>
      <c r="AD282" s="28"/>
      <c r="AE282" s="28"/>
    </row>
    <row r="283" spans="1:31" x14ac:dyDescent="0.3">
      <c r="A283" s="34"/>
      <c r="L283" s="36"/>
      <c r="R283" s="34"/>
      <c r="AC283" s="28"/>
      <c r="AD283" s="28"/>
      <c r="AE283" s="28"/>
    </row>
    <row r="284" spans="1:31" x14ac:dyDescent="0.3">
      <c r="A284" s="34"/>
      <c r="L284" s="36"/>
      <c r="R284" s="34"/>
      <c r="AC284" s="28"/>
      <c r="AD284" s="28"/>
      <c r="AE284" s="28"/>
    </row>
    <row r="285" spans="1:31" x14ac:dyDescent="0.3">
      <c r="A285" s="34"/>
      <c r="L285" s="36"/>
      <c r="R285" s="34"/>
      <c r="AC285" s="28"/>
      <c r="AD285" s="28"/>
      <c r="AE285" s="28"/>
    </row>
    <row r="286" spans="1:31" x14ac:dyDescent="0.3">
      <c r="A286" s="34"/>
      <c r="L286" s="36"/>
      <c r="R286" s="34"/>
      <c r="AC286" s="28"/>
      <c r="AD286" s="28"/>
      <c r="AE286" s="28"/>
    </row>
    <row r="287" spans="1:31" x14ac:dyDescent="0.3">
      <c r="A287" s="34"/>
      <c r="L287" s="36"/>
      <c r="R287" s="34"/>
      <c r="AC287" s="28"/>
      <c r="AD287" s="28"/>
      <c r="AE287" s="28"/>
    </row>
    <row r="288" spans="1:31" x14ac:dyDescent="0.3">
      <c r="A288" s="34"/>
      <c r="L288" s="36"/>
      <c r="R288" s="34"/>
      <c r="AC288" s="28"/>
      <c r="AD288" s="28"/>
      <c r="AE288" s="28"/>
    </row>
    <row r="289" spans="1:31" x14ac:dyDescent="0.3">
      <c r="A289" s="34"/>
      <c r="L289" s="36"/>
      <c r="R289" s="34"/>
      <c r="AC289" s="28"/>
      <c r="AD289" s="28"/>
      <c r="AE289" s="28"/>
    </row>
    <row r="290" spans="1:31" x14ac:dyDescent="0.3">
      <c r="A290" s="34"/>
      <c r="L290" s="36"/>
      <c r="R290" s="34"/>
      <c r="AC290" s="28"/>
      <c r="AD290" s="28"/>
      <c r="AE290" s="28"/>
    </row>
    <row r="291" spans="1:31" x14ac:dyDescent="0.3">
      <c r="A291" s="34"/>
      <c r="L291" s="36"/>
      <c r="R291" s="34"/>
      <c r="AC291" s="28"/>
      <c r="AD291" s="28"/>
      <c r="AE291" s="28"/>
    </row>
    <row r="292" spans="1:31" x14ac:dyDescent="0.3">
      <c r="A292" s="34"/>
      <c r="L292" s="36"/>
      <c r="R292" s="34"/>
      <c r="AC292" s="28"/>
      <c r="AD292" s="28"/>
      <c r="AE292" s="28"/>
    </row>
    <row r="293" spans="1:31" x14ac:dyDescent="0.3">
      <c r="A293" s="34"/>
      <c r="L293" s="36"/>
      <c r="R293" s="34"/>
      <c r="AC293" s="28"/>
      <c r="AD293" s="28"/>
      <c r="AE293" s="28"/>
    </row>
    <row r="294" spans="1:31" x14ac:dyDescent="0.3">
      <c r="A294" s="34"/>
      <c r="L294" s="36"/>
      <c r="R294" s="34"/>
      <c r="AC294" s="28"/>
      <c r="AD294" s="28"/>
      <c r="AE294" s="28"/>
    </row>
    <row r="295" spans="1:31" x14ac:dyDescent="0.3">
      <c r="A295" s="34"/>
      <c r="L295" s="36"/>
      <c r="R295" s="34"/>
      <c r="AC295" s="28"/>
      <c r="AD295" s="28"/>
      <c r="AE295" s="28"/>
    </row>
    <row r="296" spans="1:31" x14ac:dyDescent="0.3">
      <c r="A296" s="34"/>
      <c r="L296" s="36"/>
      <c r="R296" s="34"/>
      <c r="AC296" s="28"/>
      <c r="AD296" s="28"/>
      <c r="AE296" s="28"/>
    </row>
    <row r="297" spans="1:31" x14ac:dyDescent="0.3">
      <c r="A297" s="34"/>
      <c r="L297" s="36"/>
      <c r="R297" s="34"/>
      <c r="AC297" s="28"/>
      <c r="AD297" s="28"/>
      <c r="AE297" s="28"/>
    </row>
    <row r="298" spans="1:31" x14ac:dyDescent="0.3">
      <c r="A298" s="34"/>
      <c r="L298" s="36"/>
      <c r="R298" s="34"/>
      <c r="AC298" s="28"/>
      <c r="AD298" s="28"/>
      <c r="AE298" s="28"/>
    </row>
    <row r="299" spans="1:31" x14ac:dyDescent="0.3">
      <c r="A299" s="34"/>
      <c r="L299" s="36"/>
      <c r="R299" s="34"/>
      <c r="AC299" s="28"/>
      <c r="AD299" s="28"/>
      <c r="AE299" s="28"/>
    </row>
    <row r="300" spans="1:31" x14ac:dyDescent="0.3">
      <c r="A300" s="34"/>
      <c r="L300" s="36"/>
      <c r="R300" s="34"/>
      <c r="AC300" s="28"/>
      <c r="AD300" s="28"/>
      <c r="AE300" s="28"/>
    </row>
    <row r="301" spans="1:31" x14ac:dyDescent="0.3">
      <c r="A301" s="34"/>
      <c r="L301" s="36"/>
      <c r="R301" s="34"/>
      <c r="AC301" s="28"/>
      <c r="AD301" s="28"/>
      <c r="AE301" s="28"/>
    </row>
    <row r="302" spans="1:31" x14ac:dyDescent="0.3">
      <c r="A302" s="34"/>
      <c r="L302" s="36"/>
      <c r="R302" s="34"/>
      <c r="AC302" s="28"/>
      <c r="AD302" s="28"/>
      <c r="AE302" s="28"/>
    </row>
    <row r="303" spans="1:31" x14ac:dyDescent="0.3">
      <c r="A303" s="34"/>
      <c r="L303" s="36"/>
      <c r="R303" s="34"/>
      <c r="AC303" s="28"/>
      <c r="AD303" s="28"/>
      <c r="AE303" s="28"/>
    </row>
    <row r="304" spans="1:31" x14ac:dyDescent="0.3">
      <c r="A304" s="34"/>
      <c r="L304" s="36"/>
      <c r="R304" s="34"/>
      <c r="AC304" s="28"/>
      <c r="AD304" s="28"/>
      <c r="AE304" s="28"/>
    </row>
    <row r="305" spans="1:31" x14ac:dyDescent="0.3">
      <c r="A305" s="34"/>
      <c r="L305" s="36"/>
      <c r="R305" s="34"/>
      <c r="AC305" s="28"/>
      <c r="AD305" s="28"/>
      <c r="AE305" s="28"/>
    </row>
    <row r="306" spans="1:31" x14ac:dyDescent="0.3">
      <c r="A306" s="34"/>
      <c r="L306" s="36"/>
      <c r="R306" s="34"/>
      <c r="AC306" s="28"/>
      <c r="AD306" s="28"/>
      <c r="AE306" s="28"/>
    </row>
    <row r="307" spans="1:31" x14ac:dyDescent="0.3">
      <c r="A307" s="34"/>
      <c r="L307" s="36"/>
      <c r="R307" s="34"/>
      <c r="AC307" s="28"/>
      <c r="AD307" s="28"/>
      <c r="AE307" s="28"/>
    </row>
    <row r="308" spans="1:31" x14ac:dyDescent="0.3">
      <c r="A308" s="34"/>
      <c r="L308" s="36"/>
      <c r="R308" s="34"/>
      <c r="AC308" s="28"/>
      <c r="AD308" s="28"/>
      <c r="AE308" s="28"/>
    </row>
    <row r="309" spans="1:31" x14ac:dyDescent="0.3">
      <c r="A309" s="34"/>
      <c r="L309" s="36"/>
      <c r="R309" s="34"/>
      <c r="AC309" s="28"/>
      <c r="AD309" s="28"/>
      <c r="AE309" s="28"/>
    </row>
    <row r="310" spans="1:31" x14ac:dyDescent="0.3">
      <c r="A310" s="34"/>
      <c r="L310" s="36"/>
      <c r="R310" s="34"/>
      <c r="AC310" s="28"/>
      <c r="AD310" s="28"/>
      <c r="AE310" s="28"/>
    </row>
    <row r="311" spans="1:31" x14ac:dyDescent="0.3">
      <c r="A311" s="34"/>
      <c r="L311" s="36"/>
      <c r="R311" s="34"/>
      <c r="AC311" s="28"/>
      <c r="AD311" s="28"/>
      <c r="AE311" s="28"/>
    </row>
    <row r="312" spans="1:31" x14ac:dyDescent="0.3">
      <c r="A312" s="34"/>
      <c r="L312" s="36"/>
      <c r="R312" s="34"/>
      <c r="AC312" s="28"/>
      <c r="AD312" s="28"/>
      <c r="AE312" s="28"/>
    </row>
    <row r="313" spans="1:31" x14ac:dyDescent="0.3">
      <c r="A313" s="34"/>
      <c r="L313" s="36"/>
      <c r="R313" s="34"/>
      <c r="AC313" s="28"/>
      <c r="AD313" s="28"/>
      <c r="AE313" s="28"/>
    </row>
    <row r="314" spans="1:31" x14ac:dyDescent="0.3">
      <c r="A314" s="34"/>
      <c r="L314" s="36"/>
      <c r="R314" s="34"/>
      <c r="AC314" s="28"/>
      <c r="AD314" s="28"/>
      <c r="AE314" s="28"/>
    </row>
    <row r="315" spans="1:31" x14ac:dyDescent="0.3">
      <c r="A315" s="34"/>
      <c r="L315" s="36"/>
      <c r="R315" s="34"/>
      <c r="AC315" s="28"/>
      <c r="AD315" s="28"/>
      <c r="AE315" s="28"/>
    </row>
    <row r="316" spans="1:31" x14ac:dyDescent="0.3">
      <c r="A316" s="34"/>
      <c r="L316" s="36"/>
      <c r="R316" s="34"/>
      <c r="AC316" s="28"/>
      <c r="AD316" s="28"/>
      <c r="AE316" s="28"/>
    </row>
    <row r="317" spans="1:31" x14ac:dyDescent="0.3">
      <c r="A317" s="34"/>
      <c r="L317" s="36"/>
      <c r="R317" s="34"/>
      <c r="AC317" s="28"/>
      <c r="AD317" s="28"/>
      <c r="AE317" s="28"/>
    </row>
    <row r="318" spans="1:31" x14ac:dyDescent="0.3">
      <c r="A318" s="34"/>
      <c r="L318" s="36"/>
      <c r="R318" s="34"/>
      <c r="AC318" s="28"/>
      <c r="AD318" s="28"/>
      <c r="AE318" s="28"/>
    </row>
    <row r="319" spans="1:31" x14ac:dyDescent="0.3">
      <c r="A319" s="34"/>
      <c r="L319" s="36"/>
      <c r="R319" s="34"/>
      <c r="AC319" s="28"/>
      <c r="AD319" s="28"/>
      <c r="AE319" s="28"/>
    </row>
    <row r="320" spans="1:31" x14ac:dyDescent="0.3">
      <c r="A320" s="34"/>
      <c r="L320" s="36"/>
      <c r="R320" s="34"/>
      <c r="AC320" s="28"/>
      <c r="AD320" s="28"/>
      <c r="AE320" s="28"/>
    </row>
    <row r="321" spans="1:31" x14ac:dyDescent="0.3">
      <c r="A321" s="34"/>
      <c r="L321" s="36"/>
      <c r="R321" s="34"/>
      <c r="AC321" s="28"/>
      <c r="AD321" s="28"/>
      <c r="AE321" s="28"/>
    </row>
    <row r="322" spans="1:31" x14ac:dyDescent="0.3">
      <c r="A322" s="34"/>
      <c r="L322" s="36"/>
      <c r="R322" s="34"/>
      <c r="AC322" s="28"/>
      <c r="AD322" s="28"/>
      <c r="AE322" s="28"/>
    </row>
    <row r="323" spans="1:31" x14ac:dyDescent="0.3">
      <c r="A323" s="34"/>
      <c r="L323" s="36"/>
      <c r="R323" s="34"/>
      <c r="AC323" s="28"/>
      <c r="AD323" s="28"/>
      <c r="AE323" s="28"/>
    </row>
    <row r="324" spans="1:31" x14ac:dyDescent="0.3">
      <c r="A324" s="34"/>
      <c r="L324" s="36"/>
      <c r="R324" s="34"/>
      <c r="AC324" s="28"/>
      <c r="AD324" s="28"/>
      <c r="AE324" s="28"/>
    </row>
    <row r="325" spans="1:31" x14ac:dyDescent="0.3">
      <c r="A325" s="34"/>
      <c r="L325" s="36"/>
      <c r="R325" s="34"/>
      <c r="AC325" s="28"/>
      <c r="AD325" s="28"/>
      <c r="AE325" s="28"/>
    </row>
    <row r="326" spans="1:31" x14ac:dyDescent="0.3">
      <c r="A326" s="34"/>
      <c r="L326" s="36"/>
      <c r="R326" s="34"/>
      <c r="AC326" s="28"/>
      <c r="AD326" s="28"/>
      <c r="AE326" s="28"/>
    </row>
    <row r="327" spans="1:31" x14ac:dyDescent="0.3">
      <c r="A327" s="34"/>
      <c r="L327" s="36"/>
      <c r="R327" s="34"/>
      <c r="AC327" s="28"/>
      <c r="AD327" s="28"/>
      <c r="AE327" s="28"/>
    </row>
    <row r="328" spans="1:31" x14ac:dyDescent="0.3">
      <c r="A328" s="34"/>
      <c r="L328" s="36"/>
      <c r="R328" s="34"/>
      <c r="AC328" s="28"/>
      <c r="AD328" s="28"/>
      <c r="AE328" s="28"/>
    </row>
    <row r="329" spans="1:31" x14ac:dyDescent="0.3">
      <c r="A329" s="34"/>
      <c r="L329" s="36"/>
      <c r="R329" s="34"/>
      <c r="AC329" s="28"/>
      <c r="AD329" s="28"/>
      <c r="AE329" s="28"/>
    </row>
    <row r="330" spans="1:31" x14ac:dyDescent="0.3">
      <c r="A330" s="34"/>
      <c r="L330" s="36"/>
      <c r="R330" s="34"/>
      <c r="AC330" s="28"/>
      <c r="AD330" s="28"/>
      <c r="AE330" s="28"/>
    </row>
    <row r="331" spans="1:31" x14ac:dyDescent="0.3">
      <c r="A331" s="34"/>
      <c r="L331" s="36"/>
      <c r="R331" s="34"/>
      <c r="AC331" s="28"/>
      <c r="AD331" s="28"/>
      <c r="AE331" s="28"/>
    </row>
    <row r="332" spans="1:31" x14ac:dyDescent="0.3">
      <c r="A332" s="34"/>
      <c r="L332" s="36"/>
      <c r="R332" s="34"/>
      <c r="AC332" s="28"/>
      <c r="AD332" s="28"/>
      <c r="AE332" s="28"/>
    </row>
    <row r="333" spans="1:31" x14ac:dyDescent="0.3">
      <c r="A333" s="34"/>
      <c r="L333" s="36"/>
      <c r="R333" s="34"/>
      <c r="AC333" s="28"/>
      <c r="AD333" s="28"/>
      <c r="AE333" s="28"/>
    </row>
    <row r="334" spans="1:31" x14ac:dyDescent="0.3">
      <c r="A334" s="34"/>
      <c r="L334" s="36"/>
      <c r="R334" s="34"/>
      <c r="AC334" s="28"/>
      <c r="AD334" s="28"/>
      <c r="AE334" s="28"/>
    </row>
    <row r="335" spans="1:31" x14ac:dyDescent="0.3">
      <c r="A335" s="34"/>
      <c r="L335" s="36"/>
      <c r="R335" s="34"/>
      <c r="AC335" s="28"/>
      <c r="AD335" s="28"/>
      <c r="AE335" s="28"/>
    </row>
    <row r="336" spans="1:31" x14ac:dyDescent="0.3">
      <c r="A336" s="34"/>
      <c r="L336" s="36"/>
      <c r="R336" s="34"/>
      <c r="AC336" s="28"/>
      <c r="AD336" s="28"/>
      <c r="AE336" s="28"/>
    </row>
    <row r="337" spans="1:31" x14ac:dyDescent="0.3">
      <c r="A337" s="34"/>
      <c r="L337" s="36"/>
      <c r="R337" s="34"/>
      <c r="AC337" s="28"/>
      <c r="AD337" s="28"/>
      <c r="AE337" s="28"/>
    </row>
    <row r="338" spans="1:31" x14ac:dyDescent="0.3">
      <c r="A338" s="34"/>
      <c r="L338" s="36"/>
      <c r="R338" s="34"/>
      <c r="AC338" s="28"/>
      <c r="AD338" s="28"/>
      <c r="AE338" s="28"/>
    </row>
    <row r="339" spans="1:31" x14ac:dyDescent="0.3">
      <c r="A339" s="34"/>
      <c r="L339" s="36"/>
      <c r="R339" s="34"/>
      <c r="AC339" s="28"/>
      <c r="AD339" s="28"/>
      <c r="AE339" s="28"/>
    </row>
    <row r="340" spans="1:31" x14ac:dyDescent="0.3">
      <c r="A340" s="34"/>
      <c r="L340" s="36"/>
      <c r="R340" s="34"/>
      <c r="AC340" s="28"/>
      <c r="AD340" s="28"/>
      <c r="AE340" s="28"/>
    </row>
    <row r="341" spans="1:31" x14ac:dyDescent="0.3">
      <c r="A341" s="34"/>
      <c r="L341" s="36"/>
      <c r="R341" s="34"/>
      <c r="AC341" s="28"/>
      <c r="AD341" s="28"/>
      <c r="AE341" s="28"/>
    </row>
    <row r="342" spans="1:31" x14ac:dyDescent="0.3">
      <c r="A342" s="34"/>
      <c r="L342" s="36"/>
      <c r="R342" s="34"/>
      <c r="AC342" s="28"/>
      <c r="AD342" s="28"/>
      <c r="AE342" s="28"/>
    </row>
    <row r="343" spans="1:31" x14ac:dyDescent="0.3">
      <c r="A343" s="34"/>
      <c r="L343" s="36"/>
      <c r="R343" s="34"/>
      <c r="AC343" s="28"/>
      <c r="AD343" s="28"/>
      <c r="AE343" s="28"/>
    </row>
    <row r="344" spans="1:31" x14ac:dyDescent="0.3">
      <c r="A344" s="34"/>
      <c r="L344" s="36"/>
      <c r="R344" s="34"/>
      <c r="AC344" s="28"/>
      <c r="AD344" s="28"/>
      <c r="AE344" s="28"/>
    </row>
    <row r="345" spans="1:31" x14ac:dyDescent="0.3">
      <c r="A345" s="34"/>
      <c r="L345" s="36"/>
      <c r="R345" s="34"/>
      <c r="AC345" s="28"/>
      <c r="AD345" s="28"/>
      <c r="AE345" s="28"/>
    </row>
    <row r="346" spans="1:31" x14ac:dyDescent="0.3">
      <c r="A346" s="34"/>
      <c r="L346" s="36"/>
      <c r="R346" s="34"/>
      <c r="AC346" s="28"/>
      <c r="AD346" s="28"/>
      <c r="AE346" s="28"/>
    </row>
    <row r="347" spans="1:31" x14ac:dyDescent="0.3">
      <c r="A347" s="34"/>
      <c r="L347" s="36"/>
      <c r="R347" s="34"/>
      <c r="AC347" s="28"/>
      <c r="AD347" s="28"/>
      <c r="AE347" s="28"/>
    </row>
    <row r="348" spans="1:31" x14ac:dyDescent="0.3">
      <c r="A348" s="34"/>
      <c r="L348" s="36"/>
      <c r="R348" s="34"/>
      <c r="AC348" s="28"/>
      <c r="AD348" s="28"/>
      <c r="AE348" s="28"/>
    </row>
    <row r="349" spans="1:31" x14ac:dyDescent="0.3">
      <c r="A349" s="34"/>
      <c r="L349" s="36"/>
      <c r="R349" s="34"/>
      <c r="AC349" s="28"/>
      <c r="AD349" s="28"/>
      <c r="AE349" s="28"/>
    </row>
    <row r="350" spans="1:31" x14ac:dyDescent="0.3">
      <c r="A350" s="34"/>
      <c r="L350" s="36"/>
      <c r="R350" s="34"/>
      <c r="AC350" s="28"/>
      <c r="AD350" s="28"/>
      <c r="AE350" s="28"/>
    </row>
    <row r="351" spans="1:31" x14ac:dyDescent="0.3">
      <c r="A351" s="34"/>
      <c r="L351" s="36"/>
      <c r="R351" s="34"/>
      <c r="AC351" s="28"/>
      <c r="AD351" s="28"/>
      <c r="AE351" s="28"/>
    </row>
    <row r="352" spans="1:31" x14ac:dyDescent="0.3">
      <c r="A352" s="34"/>
      <c r="L352" s="36"/>
      <c r="R352" s="34"/>
      <c r="AC352" s="28"/>
      <c r="AD352" s="28"/>
      <c r="AE352" s="28"/>
    </row>
    <row r="353" spans="1:31" x14ac:dyDescent="0.3">
      <c r="A353" s="34"/>
      <c r="L353" s="36"/>
      <c r="R353" s="34"/>
      <c r="AC353" s="28"/>
      <c r="AD353" s="28"/>
      <c r="AE353" s="28"/>
    </row>
    <row r="354" spans="1:31" x14ac:dyDescent="0.3">
      <c r="A354" s="34"/>
      <c r="L354" s="36"/>
      <c r="R354" s="34"/>
      <c r="AC354" s="28"/>
      <c r="AD354" s="28"/>
      <c r="AE354" s="28"/>
    </row>
    <row r="355" spans="1:31" x14ac:dyDescent="0.3">
      <c r="A355" s="34"/>
      <c r="L355" s="36"/>
      <c r="R355" s="34"/>
      <c r="AC355" s="28"/>
      <c r="AD355" s="28"/>
      <c r="AE355" s="28"/>
    </row>
    <row r="356" spans="1:31" x14ac:dyDescent="0.3">
      <c r="A356" s="34"/>
      <c r="L356" s="36"/>
      <c r="R356" s="34"/>
      <c r="AC356" s="28"/>
      <c r="AD356" s="28"/>
      <c r="AE356" s="28"/>
    </row>
    <row r="357" spans="1:31" x14ac:dyDescent="0.3">
      <c r="A357" s="34"/>
      <c r="L357" s="36"/>
      <c r="R357" s="34"/>
      <c r="AC357" s="28"/>
      <c r="AD357" s="28"/>
      <c r="AE357" s="28"/>
    </row>
    <row r="358" spans="1:31" x14ac:dyDescent="0.3">
      <c r="A358" s="34"/>
      <c r="L358" s="36"/>
      <c r="R358" s="34"/>
      <c r="AC358" s="28"/>
      <c r="AD358" s="28"/>
      <c r="AE358" s="28"/>
    </row>
    <row r="359" spans="1:31" x14ac:dyDescent="0.3">
      <c r="A359" s="34"/>
      <c r="L359" s="36"/>
      <c r="R359" s="34"/>
      <c r="AC359" s="28"/>
      <c r="AD359" s="28"/>
      <c r="AE359" s="28"/>
    </row>
    <row r="360" spans="1:31" x14ac:dyDescent="0.3">
      <c r="A360" s="34"/>
      <c r="L360" s="36"/>
      <c r="R360" s="34"/>
      <c r="AC360" s="28"/>
      <c r="AD360" s="28"/>
      <c r="AE360" s="28"/>
    </row>
    <row r="361" spans="1:31" x14ac:dyDescent="0.3">
      <c r="A361" s="34"/>
      <c r="L361" s="36"/>
      <c r="R361" s="34"/>
      <c r="AC361" s="28"/>
      <c r="AD361" s="28"/>
      <c r="AE361" s="28"/>
    </row>
    <row r="362" spans="1:31" x14ac:dyDescent="0.3">
      <c r="A362" s="34"/>
      <c r="L362" s="36"/>
      <c r="R362" s="34"/>
      <c r="AC362" s="28"/>
      <c r="AD362" s="28"/>
      <c r="AE362" s="28"/>
    </row>
    <row r="363" spans="1:31" x14ac:dyDescent="0.3">
      <c r="A363" s="34"/>
      <c r="L363" s="36"/>
      <c r="R363" s="34"/>
      <c r="AC363" s="28"/>
      <c r="AD363" s="28"/>
      <c r="AE363" s="28"/>
    </row>
    <row r="364" spans="1:31" x14ac:dyDescent="0.3">
      <c r="A364" s="34"/>
      <c r="L364" s="36"/>
      <c r="R364" s="34"/>
      <c r="AC364" s="28"/>
      <c r="AD364" s="28"/>
      <c r="AE364" s="28"/>
    </row>
    <row r="365" spans="1:31" x14ac:dyDescent="0.3">
      <c r="A365" s="34"/>
      <c r="L365" s="36"/>
      <c r="R365" s="34"/>
      <c r="AC365" s="28"/>
      <c r="AD365" s="28"/>
      <c r="AE365" s="28"/>
    </row>
    <row r="366" spans="1:31" x14ac:dyDescent="0.3">
      <c r="A366" s="34"/>
      <c r="L366" s="36"/>
      <c r="R366" s="34"/>
      <c r="AC366" s="28"/>
      <c r="AD366" s="28"/>
      <c r="AE366" s="28"/>
    </row>
    <row r="367" spans="1:31" x14ac:dyDescent="0.3">
      <c r="A367" s="34"/>
      <c r="L367" s="36"/>
      <c r="R367" s="34"/>
      <c r="AC367" s="28"/>
      <c r="AD367" s="28"/>
      <c r="AE367" s="28"/>
    </row>
    <row r="368" spans="1:31" x14ac:dyDescent="0.3">
      <c r="A368" s="34"/>
      <c r="L368" s="36"/>
      <c r="R368" s="34"/>
      <c r="AC368" s="28"/>
      <c r="AD368" s="28"/>
      <c r="AE368" s="28"/>
    </row>
    <row r="369" spans="1:31" x14ac:dyDescent="0.3">
      <c r="A369" s="34"/>
      <c r="L369" s="36"/>
      <c r="R369" s="34"/>
      <c r="AC369" s="28"/>
      <c r="AD369" s="28"/>
      <c r="AE369" s="28"/>
    </row>
    <row r="370" spans="1:31" x14ac:dyDescent="0.3">
      <c r="A370" s="34"/>
      <c r="L370" s="36"/>
      <c r="R370" s="34"/>
      <c r="AC370" s="28"/>
      <c r="AD370" s="28"/>
      <c r="AE370" s="28"/>
    </row>
    <row r="371" spans="1:31" x14ac:dyDescent="0.3">
      <c r="A371" s="34"/>
      <c r="L371" s="36"/>
      <c r="R371" s="34"/>
      <c r="AC371" s="28"/>
      <c r="AD371" s="28"/>
      <c r="AE371" s="28"/>
    </row>
    <row r="372" spans="1:31" x14ac:dyDescent="0.3">
      <c r="A372" s="34"/>
      <c r="L372" s="36"/>
      <c r="R372" s="34"/>
      <c r="AC372" s="28"/>
      <c r="AD372" s="28"/>
      <c r="AE372" s="28"/>
    </row>
    <row r="373" spans="1:31" x14ac:dyDescent="0.3">
      <c r="A373" s="34"/>
      <c r="L373" s="36"/>
      <c r="R373" s="34"/>
      <c r="AC373" s="28"/>
      <c r="AD373" s="28"/>
      <c r="AE373" s="28"/>
    </row>
    <row r="374" spans="1:31" x14ac:dyDescent="0.3">
      <c r="A374" s="34"/>
      <c r="L374" s="36"/>
      <c r="R374" s="34"/>
      <c r="AC374" s="28"/>
      <c r="AD374" s="28"/>
      <c r="AE374" s="28"/>
    </row>
    <row r="375" spans="1:31" x14ac:dyDescent="0.3">
      <c r="A375" s="34"/>
      <c r="L375" s="36"/>
      <c r="R375" s="34"/>
      <c r="AC375" s="28"/>
      <c r="AD375" s="28"/>
      <c r="AE375" s="28"/>
    </row>
    <row r="376" spans="1:31" x14ac:dyDescent="0.3">
      <c r="A376" s="34"/>
      <c r="L376" s="36"/>
      <c r="R376" s="34"/>
      <c r="AC376" s="28"/>
      <c r="AD376" s="28"/>
      <c r="AE376" s="28"/>
    </row>
    <row r="377" spans="1:31" x14ac:dyDescent="0.3">
      <c r="A377" s="34"/>
      <c r="L377" s="36"/>
      <c r="R377" s="34"/>
      <c r="AC377" s="28"/>
      <c r="AD377" s="28"/>
      <c r="AE377" s="28"/>
    </row>
    <row r="378" spans="1:31" x14ac:dyDescent="0.3">
      <c r="A378" s="34"/>
      <c r="L378" s="36"/>
      <c r="R378" s="34"/>
      <c r="AC378" s="28"/>
      <c r="AD378" s="28"/>
      <c r="AE378" s="28"/>
    </row>
    <row r="379" spans="1:31" x14ac:dyDescent="0.3">
      <c r="A379" s="34"/>
      <c r="L379" s="36"/>
      <c r="R379" s="34"/>
      <c r="AC379" s="28"/>
      <c r="AD379" s="28"/>
      <c r="AE379" s="28"/>
    </row>
    <row r="380" spans="1:31" x14ac:dyDescent="0.3">
      <c r="A380" s="34"/>
      <c r="L380" s="36"/>
      <c r="R380" s="34"/>
      <c r="AC380" s="28"/>
      <c r="AD380" s="28"/>
      <c r="AE380" s="28"/>
    </row>
    <row r="381" spans="1:31" x14ac:dyDescent="0.3">
      <c r="A381" s="34"/>
      <c r="L381" s="36"/>
      <c r="R381" s="34"/>
      <c r="AC381" s="28"/>
      <c r="AD381" s="28"/>
      <c r="AE381" s="28"/>
    </row>
    <row r="382" spans="1:31" x14ac:dyDescent="0.3">
      <c r="A382" s="34"/>
      <c r="L382" s="36"/>
      <c r="R382" s="34"/>
      <c r="AC382" s="28"/>
      <c r="AD382" s="28"/>
      <c r="AE382" s="28"/>
    </row>
    <row r="383" spans="1:31" x14ac:dyDescent="0.3">
      <c r="A383" s="34"/>
      <c r="L383" s="36"/>
      <c r="R383" s="34"/>
      <c r="AC383" s="28"/>
      <c r="AD383" s="28"/>
      <c r="AE383" s="28"/>
    </row>
    <row r="384" spans="1:31" x14ac:dyDescent="0.3">
      <c r="A384" s="34"/>
      <c r="L384" s="36"/>
      <c r="R384" s="34"/>
      <c r="AC384" s="28"/>
      <c r="AD384" s="28"/>
      <c r="AE384" s="28"/>
    </row>
    <row r="385" spans="1:31" x14ac:dyDescent="0.3">
      <c r="A385" s="34"/>
      <c r="L385" s="36"/>
      <c r="R385" s="34"/>
      <c r="AC385" s="28"/>
      <c r="AD385" s="28"/>
      <c r="AE385" s="28"/>
    </row>
    <row r="386" spans="1:31" x14ac:dyDescent="0.3">
      <c r="A386" s="34"/>
      <c r="L386" s="36"/>
      <c r="R386" s="34"/>
      <c r="AC386" s="28"/>
      <c r="AD386" s="28"/>
      <c r="AE386" s="28"/>
    </row>
    <row r="387" spans="1:31" x14ac:dyDescent="0.3">
      <c r="A387" s="34"/>
      <c r="L387" s="36"/>
      <c r="R387" s="34"/>
      <c r="AC387" s="28"/>
      <c r="AD387" s="28"/>
      <c r="AE387" s="28"/>
    </row>
    <row r="388" spans="1:31" x14ac:dyDescent="0.3">
      <c r="A388" s="34"/>
      <c r="L388" s="36"/>
      <c r="R388" s="34"/>
      <c r="AC388" s="28"/>
      <c r="AD388" s="28"/>
      <c r="AE388" s="28"/>
    </row>
    <row r="389" spans="1:31" x14ac:dyDescent="0.3">
      <c r="A389" s="34"/>
      <c r="L389" s="36"/>
      <c r="R389" s="34"/>
      <c r="AC389" s="28"/>
      <c r="AD389" s="28"/>
      <c r="AE389" s="28"/>
    </row>
    <row r="390" spans="1:31" x14ac:dyDescent="0.3">
      <c r="A390" s="34"/>
      <c r="L390" s="36"/>
      <c r="R390" s="34"/>
      <c r="AC390" s="28"/>
      <c r="AD390" s="28"/>
      <c r="AE390" s="28"/>
    </row>
    <row r="391" spans="1:31" x14ac:dyDescent="0.3">
      <c r="A391" s="34"/>
      <c r="L391" s="36"/>
      <c r="R391" s="34"/>
      <c r="AC391" s="28"/>
      <c r="AD391" s="28"/>
      <c r="AE391" s="28"/>
    </row>
    <row r="392" spans="1:31" x14ac:dyDescent="0.3">
      <c r="A392" s="34"/>
      <c r="L392" s="36"/>
      <c r="R392" s="34"/>
      <c r="AC392" s="28"/>
      <c r="AD392" s="28"/>
      <c r="AE392" s="28"/>
    </row>
    <row r="393" spans="1:31" x14ac:dyDescent="0.3">
      <c r="A393" s="34"/>
      <c r="L393" s="36"/>
      <c r="R393" s="34"/>
      <c r="AC393" s="28"/>
      <c r="AD393" s="28"/>
      <c r="AE393" s="28"/>
    </row>
    <row r="394" spans="1:31" x14ac:dyDescent="0.3">
      <c r="A394" s="34"/>
      <c r="L394" s="36"/>
      <c r="R394" s="34"/>
      <c r="AC394" s="28"/>
      <c r="AD394" s="28"/>
      <c r="AE394" s="28"/>
    </row>
    <row r="395" spans="1:31" x14ac:dyDescent="0.3">
      <c r="A395" s="34"/>
      <c r="L395" s="36"/>
      <c r="R395" s="34"/>
      <c r="AC395" s="28"/>
      <c r="AD395" s="28"/>
      <c r="AE395" s="28"/>
    </row>
    <row r="396" spans="1:31" x14ac:dyDescent="0.3">
      <c r="A396" s="34"/>
      <c r="L396" s="36"/>
      <c r="R396" s="34"/>
      <c r="AC396" s="28"/>
      <c r="AD396" s="28"/>
      <c r="AE396" s="28"/>
    </row>
    <row r="397" spans="1:31" x14ac:dyDescent="0.3">
      <c r="A397" s="34"/>
      <c r="L397" s="36"/>
      <c r="R397" s="34"/>
      <c r="AC397" s="28"/>
      <c r="AD397" s="28"/>
      <c r="AE397" s="28"/>
    </row>
    <row r="398" spans="1:31" x14ac:dyDescent="0.3">
      <c r="A398" s="34"/>
      <c r="L398" s="36"/>
      <c r="R398" s="34"/>
      <c r="AC398" s="28"/>
      <c r="AD398" s="28"/>
      <c r="AE398" s="28"/>
    </row>
    <row r="399" spans="1:31" x14ac:dyDescent="0.3">
      <c r="A399" s="34"/>
      <c r="L399" s="36"/>
      <c r="R399" s="34"/>
      <c r="AC399" s="28"/>
      <c r="AD399" s="28"/>
      <c r="AE399" s="28"/>
    </row>
    <row r="400" spans="1:31" x14ac:dyDescent="0.3">
      <c r="A400" s="34"/>
      <c r="L400" s="36"/>
      <c r="R400" s="34"/>
      <c r="AC400" s="28"/>
      <c r="AD400" s="28"/>
      <c r="AE400" s="28"/>
    </row>
    <row r="401" spans="1:31" x14ac:dyDescent="0.3">
      <c r="A401" s="34"/>
      <c r="L401" s="36"/>
      <c r="R401" s="34"/>
      <c r="AC401" s="28"/>
      <c r="AD401" s="28"/>
      <c r="AE401" s="28"/>
    </row>
    <row r="402" spans="1:31" x14ac:dyDescent="0.3">
      <c r="A402" s="34"/>
      <c r="L402" s="36"/>
      <c r="R402" s="34"/>
      <c r="AC402" s="28"/>
      <c r="AD402" s="28"/>
      <c r="AE402" s="28"/>
    </row>
    <row r="403" spans="1:31" x14ac:dyDescent="0.3">
      <c r="A403" s="34"/>
      <c r="L403" s="36"/>
      <c r="R403" s="34"/>
      <c r="AC403" s="28"/>
      <c r="AD403" s="28"/>
      <c r="AE403" s="28"/>
    </row>
    <row r="404" spans="1:31" x14ac:dyDescent="0.3">
      <c r="A404" s="34"/>
      <c r="L404" s="36"/>
      <c r="R404" s="34"/>
      <c r="AC404" s="28"/>
      <c r="AD404" s="28"/>
      <c r="AE404" s="28"/>
    </row>
    <row r="405" spans="1:31" x14ac:dyDescent="0.3">
      <c r="A405" s="34"/>
      <c r="L405" s="36"/>
      <c r="R405" s="34"/>
      <c r="AC405" s="28"/>
      <c r="AD405" s="28"/>
      <c r="AE405" s="28"/>
    </row>
    <row r="406" spans="1:31" x14ac:dyDescent="0.3">
      <c r="A406" s="34"/>
      <c r="L406" s="36"/>
      <c r="R406" s="34"/>
      <c r="AC406" s="28"/>
      <c r="AD406" s="28"/>
      <c r="AE406" s="28"/>
    </row>
    <row r="407" spans="1:31" x14ac:dyDescent="0.3">
      <c r="A407" s="34"/>
      <c r="L407" s="36"/>
      <c r="R407" s="34"/>
      <c r="AC407" s="28"/>
      <c r="AD407" s="28"/>
      <c r="AE407" s="28"/>
    </row>
    <row r="408" spans="1:31" x14ac:dyDescent="0.3">
      <c r="A408" s="34"/>
      <c r="L408" s="36"/>
      <c r="R408" s="34"/>
      <c r="AC408" s="28"/>
      <c r="AD408" s="28"/>
      <c r="AE408" s="28"/>
    </row>
    <row r="409" spans="1:31" x14ac:dyDescent="0.3">
      <c r="A409" s="34"/>
      <c r="L409" s="36"/>
      <c r="R409" s="34"/>
      <c r="AC409" s="28"/>
      <c r="AD409" s="28"/>
      <c r="AE409" s="28"/>
    </row>
    <row r="410" spans="1:31" x14ac:dyDescent="0.3">
      <c r="A410" s="34"/>
      <c r="L410" s="36"/>
      <c r="R410" s="34"/>
      <c r="AC410" s="28"/>
      <c r="AD410" s="28"/>
      <c r="AE410" s="28"/>
    </row>
    <row r="411" spans="1:31" x14ac:dyDescent="0.3">
      <c r="A411" s="34"/>
      <c r="L411" s="36"/>
      <c r="R411" s="34"/>
      <c r="AC411" s="28"/>
      <c r="AD411" s="28"/>
      <c r="AE411" s="28"/>
    </row>
    <row r="412" spans="1:31" x14ac:dyDescent="0.3">
      <c r="A412" s="34"/>
      <c r="L412" s="36"/>
      <c r="R412" s="34"/>
      <c r="AC412" s="28"/>
      <c r="AD412" s="28"/>
      <c r="AE412" s="28"/>
    </row>
    <row r="413" spans="1:31" x14ac:dyDescent="0.3">
      <c r="A413" s="34"/>
      <c r="L413" s="36"/>
      <c r="R413" s="34"/>
      <c r="AC413" s="28"/>
      <c r="AD413" s="28"/>
      <c r="AE413" s="28"/>
    </row>
    <row r="414" spans="1:31" x14ac:dyDescent="0.3">
      <c r="A414" s="34"/>
      <c r="L414" s="36"/>
      <c r="R414" s="34"/>
      <c r="AC414" s="28"/>
      <c r="AD414" s="28"/>
      <c r="AE414" s="28"/>
    </row>
    <row r="415" spans="1:31" x14ac:dyDescent="0.3">
      <c r="A415" s="34"/>
      <c r="L415" s="36"/>
      <c r="R415" s="34"/>
      <c r="AC415" s="28"/>
      <c r="AD415" s="28"/>
      <c r="AE415" s="28"/>
    </row>
    <row r="416" spans="1:31" x14ac:dyDescent="0.3">
      <c r="A416" s="34"/>
      <c r="L416" s="36"/>
      <c r="R416" s="34"/>
      <c r="AC416" s="28"/>
      <c r="AD416" s="28"/>
      <c r="AE416" s="28"/>
    </row>
    <row r="417" spans="1:31" x14ac:dyDescent="0.3">
      <c r="A417" s="34"/>
      <c r="L417" s="36"/>
      <c r="R417" s="34"/>
      <c r="AC417" s="28"/>
      <c r="AD417" s="28"/>
      <c r="AE417" s="28"/>
    </row>
    <row r="418" spans="1:31" x14ac:dyDescent="0.3">
      <c r="A418" s="34"/>
      <c r="L418" s="36"/>
      <c r="R418" s="34"/>
      <c r="AC418" s="28"/>
      <c r="AD418" s="28"/>
      <c r="AE418" s="28"/>
    </row>
    <row r="419" spans="1:31" x14ac:dyDescent="0.3">
      <c r="A419" s="34"/>
      <c r="L419" s="36"/>
      <c r="R419" s="34"/>
      <c r="AC419" s="28"/>
      <c r="AD419" s="28"/>
      <c r="AE419" s="28"/>
    </row>
    <row r="420" spans="1:31" x14ac:dyDescent="0.3">
      <c r="A420" s="34"/>
      <c r="L420" s="36"/>
      <c r="R420" s="34"/>
      <c r="AC420" s="28"/>
      <c r="AD420" s="28"/>
      <c r="AE420" s="28"/>
    </row>
    <row r="421" spans="1:31" x14ac:dyDescent="0.3">
      <c r="A421" s="34"/>
      <c r="L421" s="36"/>
      <c r="R421" s="34"/>
      <c r="AC421" s="28"/>
      <c r="AD421" s="28"/>
      <c r="AE421" s="28"/>
    </row>
    <row r="422" spans="1:31" x14ac:dyDescent="0.3">
      <c r="A422" s="34"/>
      <c r="L422" s="36"/>
      <c r="R422" s="34"/>
      <c r="AC422" s="28"/>
      <c r="AD422" s="28"/>
      <c r="AE422" s="28"/>
    </row>
    <row r="423" spans="1:31" x14ac:dyDescent="0.3">
      <c r="A423" s="34"/>
      <c r="L423" s="36"/>
      <c r="R423" s="34"/>
      <c r="AC423" s="28"/>
      <c r="AD423" s="28"/>
      <c r="AE423" s="28"/>
    </row>
    <row r="424" spans="1:31" x14ac:dyDescent="0.3">
      <c r="A424" s="34"/>
      <c r="L424" s="36"/>
      <c r="R424" s="34"/>
      <c r="AC424" s="28"/>
      <c r="AD424" s="28"/>
      <c r="AE424" s="28"/>
    </row>
    <row r="425" spans="1:31" x14ac:dyDescent="0.3">
      <c r="A425" s="34"/>
      <c r="L425" s="36"/>
      <c r="R425" s="34"/>
      <c r="AC425" s="28"/>
      <c r="AD425" s="28"/>
      <c r="AE425" s="28"/>
    </row>
    <row r="426" spans="1:31" x14ac:dyDescent="0.3">
      <c r="A426" s="34"/>
      <c r="L426" s="36"/>
      <c r="R426" s="34"/>
      <c r="AC426" s="28"/>
      <c r="AD426" s="28"/>
      <c r="AE426" s="28"/>
    </row>
    <row r="427" spans="1:31" x14ac:dyDescent="0.3">
      <c r="A427" s="34"/>
      <c r="L427" s="36"/>
      <c r="R427" s="34"/>
      <c r="AC427" s="28"/>
      <c r="AD427" s="28"/>
      <c r="AE427" s="28"/>
    </row>
    <row r="428" spans="1:31" x14ac:dyDescent="0.3">
      <c r="A428" s="34"/>
      <c r="L428" s="36"/>
      <c r="R428" s="34"/>
      <c r="AC428" s="28"/>
      <c r="AD428" s="28"/>
      <c r="AE428" s="28"/>
    </row>
    <row r="429" spans="1:31" x14ac:dyDescent="0.3">
      <c r="A429" s="34"/>
      <c r="L429" s="36"/>
      <c r="R429" s="34"/>
      <c r="AC429" s="28"/>
      <c r="AD429" s="28"/>
      <c r="AE429" s="28"/>
    </row>
    <row r="430" spans="1:31" x14ac:dyDescent="0.3">
      <c r="A430" s="34"/>
      <c r="L430" s="36"/>
      <c r="R430" s="34"/>
      <c r="AC430" s="28"/>
      <c r="AD430" s="28"/>
      <c r="AE430" s="28"/>
    </row>
    <row r="431" spans="1:31" x14ac:dyDescent="0.3">
      <c r="A431" s="34"/>
      <c r="L431" s="36"/>
      <c r="R431" s="34"/>
      <c r="AC431" s="28"/>
      <c r="AD431" s="28"/>
      <c r="AE431" s="28"/>
    </row>
    <row r="432" spans="1:31" x14ac:dyDescent="0.3">
      <c r="A432" s="34"/>
      <c r="L432" s="36"/>
      <c r="R432" s="34"/>
      <c r="AC432" s="28"/>
      <c r="AD432" s="28"/>
      <c r="AE432" s="28"/>
    </row>
    <row r="433" spans="1:31" x14ac:dyDescent="0.3">
      <c r="A433" s="34"/>
      <c r="L433" s="36"/>
      <c r="R433" s="34"/>
      <c r="AC433" s="28"/>
      <c r="AD433" s="28"/>
      <c r="AE433" s="28"/>
    </row>
    <row r="434" spans="1:31" x14ac:dyDescent="0.3">
      <c r="A434" s="34"/>
      <c r="L434" s="36"/>
      <c r="R434" s="34"/>
      <c r="AC434" s="28"/>
      <c r="AD434" s="28"/>
      <c r="AE434" s="28"/>
    </row>
    <row r="435" spans="1:31" x14ac:dyDescent="0.3">
      <c r="A435" s="34"/>
      <c r="L435" s="36"/>
      <c r="R435" s="34"/>
      <c r="AC435" s="28"/>
      <c r="AD435" s="28"/>
      <c r="AE435" s="28"/>
    </row>
    <row r="436" spans="1:31" x14ac:dyDescent="0.3">
      <c r="A436" s="34"/>
      <c r="L436" s="36"/>
      <c r="R436" s="34"/>
      <c r="AC436" s="28"/>
      <c r="AD436" s="28"/>
      <c r="AE436" s="28"/>
    </row>
    <row r="437" spans="1:31" x14ac:dyDescent="0.3">
      <c r="A437" s="34"/>
      <c r="L437" s="36"/>
      <c r="R437" s="34"/>
      <c r="AC437" s="28"/>
      <c r="AD437" s="28"/>
      <c r="AE437" s="28"/>
    </row>
    <row r="438" spans="1:31" x14ac:dyDescent="0.3">
      <c r="A438" s="34"/>
      <c r="L438" s="36"/>
      <c r="R438" s="34"/>
      <c r="AC438" s="28"/>
      <c r="AD438" s="28"/>
      <c r="AE438" s="28"/>
    </row>
    <row r="439" spans="1:31" x14ac:dyDescent="0.3">
      <c r="A439" s="34"/>
      <c r="L439" s="36"/>
      <c r="R439" s="34"/>
      <c r="AC439" s="28"/>
      <c r="AD439" s="28"/>
      <c r="AE439" s="28"/>
    </row>
    <row r="440" spans="1:31" x14ac:dyDescent="0.3">
      <c r="A440" s="34"/>
      <c r="L440" s="36"/>
      <c r="R440" s="34"/>
      <c r="AC440" s="28"/>
      <c r="AD440" s="28"/>
      <c r="AE440" s="28"/>
    </row>
    <row r="441" spans="1:31" x14ac:dyDescent="0.3">
      <c r="A441" s="34"/>
      <c r="L441" s="36"/>
      <c r="R441" s="34"/>
      <c r="AC441" s="28"/>
      <c r="AD441" s="28"/>
      <c r="AE441" s="28"/>
    </row>
    <row r="442" spans="1:31" x14ac:dyDescent="0.3">
      <c r="A442" s="34"/>
      <c r="L442" s="36"/>
      <c r="R442" s="34"/>
      <c r="AC442" s="28"/>
      <c r="AD442" s="28"/>
      <c r="AE442" s="28"/>
    </row>
    <row r="443" spans="1:31" x14ac:dyDescent="0.3">
      <c r="A443" s="34"/>
      <c r="L443" s="36"/>
      <c r="R443" s="34"/>
      <c r="AC443" s="28"/>
      <c r="AD443" s="28"/>
      <c r="AE443" s="28"/>
    </row>
    <row r="444" spans="1:31" x14ac:dyDescent="0.3">
      <c r="A444" s="34"/>
      <c r="L444" s="36"/>
      <c r="R444" s="34"/>
      <c r="AC444" s="28"/>
      <c r="AD444" s="28"/>
      <c r="AE444" s="28"/>
    </row>
    <row r="445" spans="1:31" x14ac:dyDescent="0.3">
      <c r="A445" s="34"/>
      <c r="L445" s="36"/>
      <c r="R445" s="34"/>
      <c r="AC445" s="28"/>
      <c r="AD445" s="28"/>
      <c r="AE445" s="28"/>
    </row>
    <row r="446" spans="1:31" x14ac:dyDescent="0.3">
      <c r="A446" s="34"/>
      <c r="L446" s="36"/>
      <c r="R446" s="34"/>
      <c r="AC446" s="28"/>
      <c r="AD446" s="28"/>
      <c r="AE446" s="28"/>
    </row>
    <row r="447" spans="1:31" x14ac:dyDescent="0.3">
      <c r="A447" s="34"/>
      <c r="L447" s="36"/>
      <c r="R447" s="34"/>
      <c r="AC447" s="28"/>
      <c r="AD447" s="28"/>
      <c r="AE447" s="28"/>
    </row>
    <row r="448" spans="1:31" x14ac:dyDescent="0.3">
      <c r="A448" s="34"/>
      <c r="L448" s="36"/>
      <c r="R448" s="34"/>
      <c r="AC448" s="28"/>
      <c r="AD448" s="28"/>
      <c r="AE448" s="28"/>
    </row>
    <row r="449" spans="1:31" x14ac:dyDescent="0.3">
      <c r="A449" s="34"/>
      <c r="L449" s="36"/>
      <c r="R449" s="34"/>
      <c r="AC449" s="28"/>
      <c r="AD449" s="28"/>
      <c r="AE449" s="28"/>
    </row>
    <row r="450" spans="1:31" x14ac:dyDescent="0.3">
      <c r="A450" s="34"/>
      <c r="L450" s="36"/>
      <c r="R450" s="34"/>
      <c r="AC450" s="28"/>
      <c r="AD450" s="28"/>
      <c r="AE450" s="28"/>
    </row>
    <row r="451" spans="1:31" x14ac:dyDescent="0.3">
      <c r="A451" s="34"/>
      <c r="L451" s="36"/>
      <c r="R451" s="34"/>
      <c r="AC451" s="28"/>
      <c r="AD451" s="28"/>
      <c r="AE451" s="28"/>
    </row>
    <row r="452" spans="1:31" x14ac:dyDescent="0.3">
      <c r="A452" s="34"/>
      <c r="L452" s="36"/>
      <c r="R452" s="34"/>
      <c r="AC452" s="28"/>
      <c r="AD452" s="28"/>
      <c r="AE452" s="28"/>
    </row>
    <row r="453" spans="1:31" x14ac:dyDescent="0.3">
      <c r="A453" s="34"/>
      <c r="L453" s="36"/>
      <c r="R453" s="34"/>
      <c r="AC453" s="28"/>
      <c r="AD453" s="28"/>
      <c r="AE453" s="28"/>
    </row>
    <row r="454" spans="1:31" x14ac:dyDescent="0.3">
      <c r="A454" s="34"/>
      <c r="L454" s="36"/>
      <c r="R454" s="34"/>
      <c r="AC454" s="28"/>
      <c r="AD454" s="28"/>
      <c r="AE454" s="28"/>
    </row>
    <row r="455" spans="1:31" x14ac:dyDescent="0.3">
      <c r="A455" s="34"/>
      <c r="L455" s="36"/>
      <c r="R455" s="34"/>
      <c r="AC455" s="28"/>
      <c r="AD455" s="28"/>
      <c r="AE455" s="28"/>
    </row>
    <row r="456" spans="1:31" x14ac:dyDescent="0.3">
      <c r="A456" s="34"/>
      <c r="L456" s="36"/>
      <c r="R456" s="34"/>
      <c r="AC456" s="28"/>
      <c r="AD456" s="28"/>
      <c r="AE456" s="28"/>
    </row>
    <row r="457" spans="1:31" x14ac:dyDescent="0.3">
      <c r="A457" s="34"/>
      <c r="L457" s="36"/>
      <c r="R457" s="34"/>
      <c r="AC457" s="28"/>
      <c r="AD457" s="28"/>
      <c r="AE457" s="28"/>
    </row>
    <row r="458" spans="1:31" x14ac:dyDescent="0.3">
      <c r="A458" s="34"/>
      <c r="L458" s="36"/>
      <c r="R458" s="34"/>
      <c r="AC458" s="28"/>
      <c r="AD458" s="28"/>
      <c r="AE458" s="28"/>
    </row>
    <row r="459" spans="1:31" x14ac:dyDescent="0.3">
      <c r="A459" s="34"/>
      <c r="L459" s="36"/>
      <c r="R459" s="34"/>
      <c r="AC459" s="28"/>
      <c r="AD459" s="28"/>
      <c r="AE459" s="28"/>
    </row>
    <row r="460" spans="1:31" x14ac:dyDescent="0.3">
      <c r="A460" s="34"/>
      <c r="L460" s="36"/>
      <c r="R460" s="34"/>
      <c r="AC460" s="28"/>
      <c r="AD460" s="28"/>
      <c r="AE460" s="28"/>
    </row>
    <row r="461" spans="1:31" x14ac:dyDescent="0.3">
      <c r="A461" s="34"/>
      <c r="L461" s="36"/>
      <c r="R461" s="34"/>
      <c r="AC461" s="28"/>
      <c r="AD461" s="28"/>
      <c r="AE461" s="28"/>
    </row>
    <row r="462" spans="1:31" x14ac:dyDescent="0.3">
      <c r="A462" s="34"/>
      <c r="L462" s="36"/>
      <c r="R462" s="34"/>
      <c r="AC462" s="28"/>
      <c r="AD462" s="28"/>
      <c r="AE462" s="28"/>
    </row>
    <row r="463" spans="1:31" x14ac:dyDescent="0.3">
      <c r="A463" s="34"/>
      <c r="L463" s="36"/>
      <c r="R463" s="34"/>
      <c r="AC463" s="28"/>
      <c r="AD463" s="28"/>
      <c r="AE463" s="28"/>
    </row>
    <row r="464" spans="1:31" x14ac:dyDescent="0.3">
      <c r="A464" s="34"/>
      <c r="L464" s="36"/>
      <c r="R464" s="34"/>
      <c r="AC464" s="28"/>
      <c r="AD464" s="28"/>
      <c r="AE464" s="28"/>
    </row>
    <row r="465" spans="1:31" x14ac:dyDescent="0.3">
      <c r="A465" s="34"/>
      <c r="L465" s="36"/>
      <c r="R465" s="34"/>
      <c r="AC465" s="28"/>
      <c r="AD465" s="28"/>
      <c r="AE465" s="28"/>
    </row>
    <row r="466" spans="1:31" x14ac:dyDescent="0.3">
      <c r="A466" s="34"/>
      <c r="L466" s="36"/>
      <c r="R466" s="34"/>
      <c r="AC466" s="28"/>
      <c r="AD466" s="28"/>
      <c r="AE466" s="28"/>
    </row>
    <row r="467" spans="1:31" x14ac:dyDescent="0.3">
      <c r="A467" s="34"/>
      <c r="L467" s="36"/>
      <c r="R467" s="34"/>
      <c r="AC467" s="28"/>
      <c r="AD467" s="28"/>
      <c r="AE467" s="28"/>
    </row>
    <row r="468" spans="1:31" x14ac:dyDescent="0.3">
      <c r="A468" s="34"/>
      <c r="L468" s="36"/>
      <c r="R468" s="34"/>
      <c r="AC468" s="28"/>
      <c r="AD468" s="28"/>
      <c r="AE468" s="28"/>
    </row>
    <row r="469" spans="1:31" x14ac:dyDescent="0.3">
      <c r="A469" s="34"/>
      <c r="L469" s="36"/>
      <c r="R469" s="34"/>
      <c r="AC469" s="28"/>
      <c r="AD469" s="28"/>
      <c r="AE469" s="28"/>
    </row>
    <row r="470" spans="1:31" x14ac:dyDescent="0.3">
      <c r="A470" s="34"/>
      <c r="L470" s="36"/>
      <c r="R470" s="34"/>
      <c r="AC470" s="28"/>
      <c r="AD470" s="28"/>
      <c r="AE470" s="28"/>
    </row>
    <row r="471" spans="1:31" x14ac:dyDescent="0.3">
      <c r="A471" s="34"/>
      <c r="L471" s="36"/>
      <c r="R471" s="34"/>
      <c r="AC471" s="28"/>
      <c r="AD471" s="28"/>
      <c r="AE471" s="28"/>
    </row>
    <row r="472" spans="1:31" x14ac:dyDescent="0.3">
      <c r="A472" s="34"/>
      <c r="L472" s="36"/>
      <c r="R472" s="34"/>
      <c r="AC472" s="36"/>
    </row>
    <row r="473" spans="1:31" x14ac:dyDescent="0.3">
      <c r="A473" s="34"/>
      <c r="L473" s="36"/>
      <c r="R473" s="34"/>
      <c r="AC473" s="36"/>
    </row>
    <row r="474" spans="1:31" x14ac:dyDescent="0.3">
      <c r="A474" s="34"/>
      <c r="L474" s="36"/>
      <c r="R474" s="34"/>
      <c r="AC474" s="36"/>
    </row>
    <row r="475" spans="1:31" x14ac:dyDescent="0.3">
      <c r="A475" s="34"/>
      <c r="L475" s="36"/>
      <c r="R475" s="34"/>
      <c r="AC475" s="36"/>
    </row>
    <row r="476" spans="1:31" x14ac:dyDescent="0.3">
      <c r="A476" s="34"/>
      <c r="L476" s="36"/>
      <c r="R476" s="34"/>
      <c r="AC476" s="36"/>
    </row>
    <row r="477" spans="1:31" x14ac:dyDescent="0.3">
      <c r="A477" s="34"/>
      <c r="L477" s="36"/>
      <c r="R477" s="34"/>
      <c r="AC477" s="36"/>
    </row>
    <row r="478" spans="1:31" x14ac:dyDescent="0.3">
      <c r="A478" s="34"/>
      <c r="L478" s="36"/>
      <c r="R478" s="34"/>
      <c r="AC478" s="36"/>
    </row>
    <row r="479" spans="1:31" x14ac:dyDescent="0.3">
      <c r="A479" s="34"/>
      <c r="L479" s="36"/>
      <c r="R479" s="34"/>
      <c r="AC479" s="36"/>
    </row>
    <row r="480" spans="1:31" x14ac:dyDescent="0.3">
      <c r="A480" s="34"/>
      <c r="L480" s="36"/>
      <c r="R480" s="34"/>
      <c r="AC480" s="36"/>
    </row>
    <row r="481" spans="1:29" x14ac:dyDescent="0.3">
      <c r="A481" s="34"/>
      <c r="L481" s="36"/>
      <c r="R481" s="34"/>
      <c r="AC481" s="36"/>
    </row>
    <row r="482" spans="1:29" x14ac:dyDescent="0.3">
      <c r="A482" s="34"/>
      <c r="L482" s="36"/>
      <c r="R482" s="34"/>
      <c r="AC482" s="36"/>
    </row>
    <row r="483" spans="1:29" x14ac:dyDescent="0.3">
      <c r="A483" s="34"/>
      <c r="L483" s="36"/>
      <c r="R483" s="34"/>
      <c r="AC483" s="36"/>
    </row>
    <row r="484" spans="1:29" x14ac:dyDescent="0.3">
      <c r="A484" s="34"/>
      <c r="L484" s="36"/>
      <c r="R484" s="34"/>
      <c r="AC484" s="36"/>
    </row>
    <row r="485" spans="1:29" x14ac:dyDescent="0.3">
      <c r="A485" s="34"/>
      <c r="L485" s="36"/>
      <c r="R485" s="34"/>
      <c r="AC485" s="36"/>
    </row>
    <row r="486" spans="1:29" x14ac:dyDescent="0.3">
      <c r="A486" s="34"/>
      <c r="L486" s="36"/>
      <c r="R486" s="34"/>
      <c r="AC486" s="36"/>
    </row>
    <row r="487" spans="1:29" x14ac:dyDescent="0.3">
      <c r="A487" s="34"/>
      <c r="L487" s="36"/>
      <c r="R487" s="34"/>
      <c r="AC487" s="36"/>
    </row>
    <row r="488" spans="1:29" x14ac:dyDescent="0.3">
      <c r="A488" s="34"/>
      <c r="L488" s="36"/>
      <c r="R488" s="34"/>
      <c r="AC488" s="36"/>
    </row>
    <row r="489" spans="1:29" x14ac:dyDescent="0.3">
      <c r="A489" s="34"/>
      <c r="L489" s="36"/>
      <c r="R489" s="34"/>
      <c r="AC489" s="36"/>
    </row>
    <row r="490" spans="1:29" x14ac:dyDescent="0.3">
      <c r="A490" s="34"/>
      <c r="L490" s="36"/>
      <c r="R490" s="34"/>
      <c r="AC490" s="36"/>
    </row>
    <row r="491" spans="1:29" x14ac:dyDescent="0.3">
      <c r="A491" s="34"/>
      <c r="L491" s="36"/>
      <c r="R491" s="34"/>
      <c r="AC491" s="36"/>
    </row>
    <row r="492" spans="1:29" x14ac:dyDescent="0.3">
      <c r="A492" s="34"/>
      <c r="L492" s="36"/>
      <c r="R492" s="34"/>
      <c r="AC492" s="36"/>
    </row>
    <row r="493" spans="1:29" x14ac:dyDescent="0.3">
      <c r="A493" s="34"/>
      <c r="L493" s="36"/>
      <c r="R493" s="34"/>
      <c r="AC493" s="36"/>
    </row>
    <row r="494" spans="1:29" x14ac:dyDescent="0.3">
      <c r="A494" s="34"/>
      <c r="L494" s="36"/>
      <c r="R494" s="34"/>
      <c r="AC494" s="36"/>
    </row>
    <row r="495" spans="1:29" x14ac:dyDescent="0.3">
      <c r="A495" s="34"/>
      <c r="L495" s="36"/>
      <c r="R495" s="34"/>
      <c r="AC495" s="36"/>
    </row>
    <row r="496" spans="1:29" x14ac:dyDescent="0.3">
      <c r="A496" s="34"/>
      <c r="L496" s="36"/>
      <c r="R496" s="34"/>
      <c r="AC496" s="36"/>
    </row>
    <row r="497" spans="1:29" x14ac:dyDescent="0.3">
      <c r="A497" s="34"/>
      <c r="L497" s="36"/>
      <c r="R497" s="34"/>
      <c r="AC497" s="36"/>
    </row>
    <row r="498" spans="1:29" x14ac:dyDescent="0.3">
      <c r="A498" s="34"/>
      <c r="L498" s="36"/>
      <c r="R498" s="34"/>
      <c r="AC498" s="36"/>
    </row>
    <row r="499" spans="1:29" x14ac:dyDescent="0.3">
      <c r="A499" s="34"/>
      <c r="L499" s="36"/>
      <c r="R499" s="34"/>
      <c r="AC499" s="36"/>
    </row>
    <row r="500" spans="1:29" x14ac:dyDescent="0.3">
      <c r="A500" s="34"/>
      <c r="L500" s="36"/>
      <c r="R500" s="34"/>
      <c r="AC500" s="36"/>
    </row>
    <row r="501" spans="1:29" x14ac:dyDescent="0.3">
      <c r="A501" s="34"/>
      <c r="L501" s="36"/>
      <c r="R501" s="34"/>
      <c r="AC501" s="36"/>
    </row>
    <row r="502" spans="1:29" x14ac:dyDescent="0.3">
      <c r="A502" s="34"/>
      <c r="L502" s="36"/>
      <c r="R502" s="34"/>
      <c r="AC502" s="36"/>
    </row>
    <row r="503" spans="1:29" x14ac:dyDescent="0.3">
      <c r="A503" s="34"/>
      <c r="L503" s="36"/>
      <c r="R503" s="34"/>
      <c r="AC503" s="36"/>
    </row>
    <row r="504" spans="1:29" x14ac:dyDescent="0.3">
      <c r="A504" s="34"/>
      <c r="L504" s="36"/>
      <c r="R504" s="34"/>
      <c r="AC504" s="36"/>
    </row>
    <row r="505" spans="1:29" x14ac:dyDescent="0.3">
      <c r="A505" s="34"/>
      <c r="L505" s="36"/>
      <c r="R505" s="34"/>
      <c r="AC505" s="36"/>
    </row>
    <row r="506" spans="1:29" x14ac:dyDescent="0.3">
      <c r="A506" s="34"/>
      <c r="L506" s="36"/>
      <c r="R506" s="34"/>
      <c r="AC506" s="36"/>
    </row>
    <row r="507" spans="1:29" x14ac:dyDescent="0.3">
      <c r="A507" s="34"/>
      <c r="L507" s="36"/>
      <c r="R507" s="34"/>
      <c r="AC507" s="36"/>
    </row>
    <row r="508" spans="1:29" x14ac:dyDescent="0.3">
      <c r="A508" s="34"/>
      <c r="L508" s="36"/>
      <c r="R508" s="34"/>
      <c r="AC508" s="36"/>
    </row>
    <row r="509" spans="1:29" x14ac:dyDescent="0.3">
      <c r="A509" s="34"/>
      <c r="L509" s="36"/>
      <c r="R509" s="34"/>
      <c r="AC509" s="36"/>
    </row>
    <row r="510" spans="1:29" x14ac:dyDescent="0.3">
      <c r="A510" s="34"/>
      <c r="L510" s="36"/>
      <c r="R510" s="34"/>
      <c r="AC510" s="36"/>
    </row>
    <row r="511" spans="1:29" x14ac:dyDescent="0.3">
      <c r="A511" s="34"/>
      <c r="L511" s="36"/>
      <c r="R511" s="34"/>
      <c r="AC511" s="36"/>
    </row>
    <row r="512" spans="1:29" x14ac:dyDescent="0.3">
      <c r="A512" s="34"/>
      <c r="L512" s="36"/>
      <c r="R512" s="34"/>
      <c r="AC512" s="36"/>
    </row>
    <row r="513" spans="1:29" x14ac:dyDescent="0.3">
      <c r="A513" s="34"/>
      <c r="L513" s="36"/>
      <c r="R513" s="34"/>
      <c r="AC513" s="36"/>
    </row>
    <row r="514" spans="1:29" x14ac:dyDescent="0.3">
      <c r="A514" s="34"/>
      <c r="L514" s="36"/>
      <c r="R514" s="34"/>
      <c r="AC514" s="36"/>
    </row>
    <row r="515" spans="1:29" x14ac:dyDescent="0.3">
      <c r="A515" s="34"/>
      <c r="L515" s="36"/>
      <c r="R515" s="34"/>
      <c r="AC515" s="36"/>
    </row>
    <row r="516" spans="1:29" x14ac:dyDescent="0.3">
      <c r="A516" s="34"/>
      <c r="L516" s="36"/>
      <c r="R516" s="34"/>
      <c r="AC516" s="36"/>
    </row>
    <row r="517" spans="1:29" x14ac:dyDescent="0.3">
      <c r="A517" s="34"/>
      <c r="L517" s="36"/>
      <c r="R517" s="34"/>
      <c r="AC517" s="36"/>
    </row>
    <row r="518" spans="1:29" x14ac:dyDescent="0.3">
      <c r="A518" s="34"/>
      <c r="L518" s="36"/>
      <c r="R518" s="34"/>
      <c r="AC518" s="36"/>
    </row>
    <row r="519" spans="1:29" x14ac:dyDescent="0.3">
      <c r="A519" s="34"/>
      <c r="L519" s="36"/>
      <c r="R519" s="34"/>
      <c r="AC519" s="36"/>
    </row>
    <row r="520" spans="1:29" x14ac:dyDescent="0.3">
      <c r="A520" s="34"/>
      <c r="L520" s="36"/>
      <c r="R520" s="34"/>
      <c r="AC520" s="36"/>
    </row>
    <row r="521" spans="1:29" x14ac:dyDescent="0.3">
      <c r="A521" s="34"/>
      <c r="L521" s="36"/>
      <c r="R521" s="34"/>
      <c r="AC521" s="36"/>
    </row>
    <row r="522" spans="1:29" x14ac:dyDescent="0.3">
      <c r="A522" s="34"/>
      <c r="L522" s="36"/>
      <c r="R522" s="34"/>
      <c r="AC522" s="36"/>
    </row>
    <row r="523" spans="1:29" x14ac:dyDescent="0.3">
      <c r="A523" s="34"/>
      <c r="L523" s="36"/>
      <c r="R523" s="34"/>
      <c r="AC523" s="36"/>
    </row>
    <row r="524" spans="1:29" x14ac:dyDescent="0.3">
      <c r="A524" s="34"/>
      <c r="L524" s="36"/>
      <c r="R524" s="34"/>
      <c r="AC524" s="36"/>
    </row>
    <row r="525" spans="1:29" x14ac:dyDescent="0.3">
      <c r="A525" s="34"/>
      <c r="L525" s="36"/>
      <c r="R525" s="34"/>
      <c r="AC525" s="36"/>
    </row>
    <row r="526" spans="1:29" x14ac:dyDescent="0.3">
      <c r="A526" s="34"/>
      <c r="L526" s="36"/>
      <c r="R526" s="34"/>
      <c r="AC526" s="36"/>
    </row>
    <row r="527" spans="1:29" x14ac:dyDescent="0.3">
      <c r="A527" s="34"/>
      <c r="L527" s="36"/>
      <c r="R527" s="34"/>
      <c r="AC527" s="36"/>
    </row>
    <row r="528" spans="1:29" x14ac:dyDescent="0.3">
      <c r="A528" s="34"/>
      <c r="L528" s="36"/>
      <c r="R528" s="34"/>
      <c r="AC528" s="36"/>
    </row>
    <row r="529" spans="1:29" x14ac:dyDescent="0.3">
      <c r="A529" s="34"/>
      <c r="L529" s="36"/>
      <c r="R529" s="34"/>
      <c r="AC529" s="36"/>
    </row>
    <row r="530" spans="1:29" x14ac:dyDescent="0.3">
      <c r="A530" s="34"/>
      <c r="L530" s="36"/>
      <c r="R530" s="34"/>
      <c r="AC530" s="36"/>
    </row>
    <row r="531" spans="1:29" x14ac:dyDescent="0.3">
      <c r="A531" s="34"/>
      <c r="L531" s="36"/>
      <c r="R531" s="34"/>
      <c r="AC531" s="36"/>
    </row>
    <row r="532" spans="1:29" x14ac:dyDescent="0.3">
      <c r="A532" s="34"/>
      <c r="L532" s="36"/>
      <c r="R532" s="34"/>
      <c r="AC532" s="36"/>
    </row>
    <row r="533" spans="1:29" x14ac:dyDescent="0.3">
      <c r="A533" s="34"/>
      <c r="L533" s="36"/>
      <c r="R533" s="34"/>
      <c r="AC533" s="36"/>
    </row>
    <row r="534" spans="1:29" x14ac:dyDescent="0.3">
      <c r="A534" s="34"/>
      <c r="L534" s="36"/>
      <c r="R534" s="34"/>
      <c r="AC534" s="36"/>
    </row>
    <row r="535" spans="1:29" x14ac:dyDescent="0.3">
      <c r="A535" s="34"/>
      <c r="L535" s="36"/>
      <c r="R535" s="34"/>
      <c r="AC535" s="36"/>
    </row>
    <row r="536" spans="1:29" x14ac:dyDescent="0.3">
      <c r="A536" s="34"/>
      <c r="L536" s="36"/>
      <c r="R536" s="34"/>
      <c r="AC536" s="36"/>
    </row>
    <row r="537" spans="1:29" x14ac:dyDescent="0.3">
      <c r="A537" s="34"/>
      <c r="L537" s="36"/>
      <c r="R537" s="34"/>
      <c r="AC537" s="36"/>
    </row>
    <row r="538" spans="1:29" x14ac:dyDescent="0.3">
      <c r="A538" s="34"/>
      <c r="L538" s="36"/>
      <c r="R538" s="34"/>
      <c r="AC538" s="36"/>
    </row>
    <row r="539" spans="1:29" x14ac:dyDescent="0.3">
      <c r="A539" s="34"/>
      <c r="L539" s="36"/>
      <c r="R539" s="34"/>
      <c r="AC539" s="36"/>
    </row>
    <row r="540" spans="1:29" x14ac:dyDescent="0.3">
      <c r="A540" s="34"/>
      <c r="L540" s="36"/>
      <c r="R540" s="34"/>
      <c r="AC540" s="36"/>
    </row>
    <row r="541" spans="1:29" x14ac:dyDescent="0.3">
      <c r="A541" s="34"/>
      <c r="L541" s="36"/>
      <c r="R541" s="34"/>
      <c r="AC541" s="36"/>
    </row>
    <row r="542" spans="1:29" x14ac:dyDescent="0.3">
      <c r="A542" s="34"/>
      <c r="L542" s="36"/>
      <c r="R542" s="34"/>
      <c r="AC542" s="36"/>
    </row>
    <row r="543" spans="1:29" x14ac:dyDescent="0.3">
      <c r="A543" s="34"/>
      <c r="L543" s="36"/>
      <c r="R543" s="34"/>
      <c r="AC543" s="36"/>
    </row>
    <row r="544" spans="1:29" x14ac:dyDescent="0.3">
      <c r="A544" s="34"/>
      <c r="L544" s="36"/>
      <c r="R544" s="34"/>
      <c r="AC544" s="36"/>
    </row>
    <row r="545" spans="1:29" x14ac:dyDescent="0.3">
      <c r="A545" s="34"/>
      <c r="L545" s="36"/>
      <c r="R545" s="34"/>
      <c r="AC545" s="36"/>
    </row>
    <row r="546" spans="1:29" x14ac:dyDescent="0.3">
      <c r="A546" s="34"/>
      <c r="L546" s="36"/>
      <c r="R546" s="34"/>
      <c r="AC546" s="36"/>
    </row>
    <row r="547" spans="1:29" x14ac:dyDescent="0.3">
      <c r="A547" s="34"/>
      <c r="L547" s="36"/>
      <c r="R547" s="34"/>
      <c r="AC547" s="36"/>
    </row>
    <row r="548" spans="1:29" x14ac:dyDescent="0.3">
      <c r="A548" s="34"/>
      <c r="L548" s="36"/>
      <c r="R548" s="34"/>
      <c r="AC548" s="36"/>
    </row>
    <row r="549" spans="1:29" x14ac:dyDescent="0.3">
      <c r="A549" s="34"/>
      <c r="L549" s="36"/>
      <c r="R549" s="34"/>
      <c r="AC549" s="36"/>
    </row>
    <row r="550" spans="1:29" x14ac:dyDescent="0.3">
      <c r="A550" s="34"/>
      <c r="L550" s="36"/>
      <c r="R550" s="34"/>
      <c r="AC550" s="36"/>
    </row>
    <row r="551" spans="1:29" x14ac:dyDescent="0.3">
      <c r="A551" s="34"/>
      <c r="L551" s="36"/>
      <c r="R551" s="34"/>
      <c r="AC551" s="36"/>
    </row>
    <row r="552" spans="1:29" x14ac:dyDescent="0.3">
      <c r="A552" s="34"/>
      <c r="L552" s="36"/>
      <c r="R552" s="34"/>
      <c r="AC552" s="36"/>
    </row>
    <row r="553" spans="1:29" x14ac:dyDescent="0.3">
      <c r="A553" s="34"/>
      <c r="L553" s="36"/>
      <c r="R553" s="34"/>
      <c r="AC553" s="36"/>
    </row>
    <row r="554" spans="1:29" x14ac:dyDescent="0.3">
      <c r="A554" s="34"/>
      <c r="L554" s="36"/>
      <c r="R554" s="34"/>
      <c r="AC554" s="36"/>
    </row>
    <row r="555" spans="1:29" x14ac:dyDescent="0.3">
      <c r="A555" s="34"/>
      <c r="L555" s="36"/>
      <c r="R555" s="34"/>
      <c r="AC555" s="36"/>
    </row>
    <row r="556" spans="1:29" x14ac:dyDescent="0.3">
      <c r="A556" s="34"/>
      <c r="L556" s="36"/>
      <c r="R556" s="34"/>
      <c r="AC556" s="36"/>
    </row>
    <row r="557" spans="1:29" x14ac:dyDescent="0.3">
      <c r="A557" s="34"/>
      <c r="L557" s="36"/>
      <c r="R557" s="34"/>
      <c r="AC557" s="36"/>
    </row>
    <row r="558" spans="1:29" x14ac:dyDescent="0.3">
      <c r="A558" s="34"/>
      <c r="L558" s="36"/>
      <c r="R558" s="34"/>
      <c r="AC558" s="36"/>
    </row>
    <row r="559" spans="1:29" x14ac:dyDescent="0.3">
      <c r="A559" s="34"/>
      <c r="L559" s="36"/>
      <c r="R559" s="34"/>
      <c r="AC559" s="36"/>
    </row>
    <row r="560" spans="1:29" x14ac:dyDescent="0.3">
      <c r="A560" s="34"/>
      <c r="L560" s="36"/>
      <c r="R560" s="34"/>
      <c r="AC560" s="36"/>
    </row>
    <row r="561" spans="1:29" x14ac:dyDescent="0.3">
      <c r="A561" s="34"/>
      <c r="L561" s="36"/>
      <c r="R561" s="34"/>
      <c r="AC561" s="36"/>
    </row>
    <row r="562" spans="1:29" x14ac:dyDescent="0.3">
      <c r="A562" s="34"/>
      <c r="L562" s="36"/>
      <c r="R562" s="34"/>
      <c r="AC562" s="36"/>
    </row>
    <row r="563" spans="1:29" x14ac:dyDescent="0.3">
      <c r="A563" s="34"/>
      <c r="L563" s="36"/>
      <c r="R563" s="34"/>
      <c r="AC563" s="36"/>
    </row>
    <row r="564" spans="1:29" x14ac:dyDescent="0.3">
      <c r="A564" s="34"/>
      <c r="L564" s="36"/>
      <c r="R564" s="34"/>
      <c r="AC564" s="36"/>
    </row>
    <row r="565" spans="1:29" x14ac:dyDescent="0.3">
      <c r="A565" s="34"/>
      <c r="L565" s="36"/>
      <c r="R565" s="34"/>
      <c r="AC565" s="36"/>
    </row>
    <row r="566" spans="1:29" x14ac:dyDescent="0.3">
      <c r="A566" s="34"/>
      <c r="L566" s="36"/>
      <c r="R566" s="34"/>
      <c r="AC566" s="36"/>
    </row>
    <row r="567" spans="1:29" x14ac:dyDescent="0.3">
      <c r="A567" s="34"/>
      <c r="L567" s="36"/>
      <c r="R567" s="34"/>
      <c r="AC567" s="36"/>
    </row>
    <row r="568" spans="1:29" x14ac:dyDescent="0.3">
      <c r="A568" s="34"/>
      <c r="L568" s="36"/>
      <c r="R568" s="34"/>
      <c r="AC568" s="36"/>
    </row>
    <row r="569" spans="1:29" x14ac:dyDescent="0.3">
      <c r="A569" s="34"/>
      <c r="L569" s="36"/>
      <c r="R569" s="34"/>
      <c r="AC569" s="36"/>
    </row>
    <row r="570" spans="1:29" x14ac:dyDescent="0.3">
      <c r="A570" s="34"/>
      <c r="L570" s="36"/>
      <c r="R570" s="34"/>
      <c r="AC570" s="36"/>
    </row>
    <row r="571" spans="1:29" x14ac:dyDescent="0.3">
      <c r="A571" s="34"/>
      <c r="L571" s="36"/>
      <c r="R571" s="34"/>
      <c r="AC571" s="36"/>
    </row>
    <row r="572" spans="1:29" x14ac:dyDescent="0.3">
      <c r="A572" s="34"/>
      <c r="L572" s="36"/>
      <c r="R572" s="34"/>
      <c r="AC572" s="36"/>
    </row>
    <row r="573" spans="1:29" x14ac:dyDescent="0.3">
      <c r="A573" s="34"/>
      <c r="L573" s="36"/>
      <c r="R573" s="34"/>
      <c r="AC573" s="36"/>
    </row>
    <row r="574" spans="1:29" x14ac:dyDescent="0.3">
      <c r="A574" s="34"/>
      <c r="L574" s="36"/>
      <c r="R574" s="34"/>
      <c r="AC574" s="36"/>
    </row>
    <row r="575" spans="1:29" x14ac:dyDescent="0.3">
      <c r="A575" s="34"/>
      <c r="L575" s="36"/>
      <c r="R575" s="34"/>
      <c r="AC575" s="36"/>
    </row>
    <row r="576" spans="1:29" x14ac:dyDescent="0.3">
      <c r="A576" s="34"/>
      <c r="L576" s="36"/>
      <c r="R576" s="34"/>
      <c r="AC576" s="36"/>
    </row>
    <row r="577" spans="1:29" x14ac:dyDescent="0.3">
      <c r="A577" s="34"/>
      <c r="L577" s="36"/>
      <c r="R577" s="34"/>
      <c r="AC577" s="36"/>
    </row>
    <row r="578" spans="1:29" x14ac:dyDescent="0.3">
      <c r="A578" s="34"/>
      <c r="L578" s="36"/>
      <c r="R578" s="34"/>
      <c r="AC578" s="36"/>
    </row>
    <row r="579" spans="1:29" x14ac:dyDescent="0.3">
      <c r="A579" s="34"/>
      <c r="L579" s="36"/>
      <c r="R579" s="34"/>
      <c r="AC579" s="36"/>
    </row>
    <row r="580" spans="1:29" x14ac:dyDescent="0.3">
      <c r="A580" s="34"/>
      <c r="L580" s="36"/>
      <c r="R580" s="34"/>
      <c r="AC580" s="36"/>
    </row>
    <row r="581" spans="1:29" x14ac:dyDescent="0.3">
      <c r="A581" s="34"/>
      <c r="L581" s="36"/>
      <c r="R581" s="34"/>
      <c r="AC581" s="36"/>
    </row>
    <row r="582" spans="1:29" x14ac:dyDescent="0.3">
      <c r="A582" s="34"/>
      <c r="L582" s="36"/>
      <c r="R582" s="34"/>
      <c r="AC582" s="36"/>
    </row>
    <row r="583" spans="1:29" x14ac:dyDescent="0.3">
      <c r="A583" s="34"/>
      <c r="L583" s="36"/>
      <c r="R583" s="34"/>
      <c r="AC583" s="36"/>
    </row>
    <row r="584" spans="1:29" x14ac:dyDescent="0.3">
      <c r="A584" s="34"/>
      <c r="L584" s="36"/>
      <c r="R584" s="34"/>
      <c r="AC584" s="36"/>
    </row>
    <row r="585" spans="1:29" x14ac:dyDescent="0.3">
      <c r="A585" s="34"/>
      <c r="L585" s="36"/>
      <c r="R585" s="34"/>
      <c r="AC585" s="36"/>
    </row>
    <row r="586" spans="1:29" x14ac:dyDescent="0.3">
      <c r="A586" s="34"/>
      <c r="L586" s="36"/>
      <c r="R586" s="34"/>
      <c r="AC586" s="36"/>
    </row>
    <row r="587" spans="1:29" x14ac:dyDescent="0.3">
      <c r="A587" s="34"/>
      <c r="L587" s="36"/>
      <c r="R587" s="34"/>
      <c r="AC587" s="36"/>
    </row>
    <row r="588" spans="1:29" x14ac:dyDescent="0.3">
      <c r="A588" s="34"/>
      <c r="L588" s="36"/>
      <c r="R588" s="34"/>
      <c r="AC588" s="36"/>
    </row>
    <row r="589" spans="1:29" x14ac:dyDescent="0.3">
      <c r="A589" s="34"/>
      <c r="L589" s="36"/>
      <c r="R589" s="34"/>
      <c r="AC589" s="36"/>
    </row>
    <row r="590" spans="1:29" x14ac:dyDescent="0.3">
      <c r="A590" s="34"/>
      <c r="L590" s="36"/>
      <c r="R590" s="34"/>
      <c r="AC590" s="36"/>
    </row>
    <row r="591" spans="1:29" x14ac:dyDescent="0.3">
      <c r="A591" s="34"/>
      <c r="L591" s="36"/>
      <c r="R591" s="34"/>
      <c r="AC591" s="36"/>
    </row>
    <row r="592" spans="1:29" x14ac:dyDescent="0.3">
      <c r="A592" s="34"/>
      <c r="L592" s="36"/>
      <c r="R592" s="34"/>
      <c r="AC592" s="36"/>
    </row>
    <row r="593" spans="1:29" x14ac:dyDescent="0.3">
      <c r="A593" s="34"/>
      <c r="L593" s="36"/>
      <c r="R593" s="34"/>
      <c r="AC593" s="36"/>
    </row>
    <row r="594" spans="1:29" x14ac:dyDescent="0.3">
      <c r="A594" s="34"/>
      <c r="L594" s="36"/>
      <c r="R594" s="34"/>
      <c r="AC594" s="36"/>
    </row>
    <row r="595" spans="1:29" x14ac:dyDescent="0.3">
      <c r="A595" s="34"/>
      <c r="L595" s="36"/>
      <c r="R595" s="34"/>
      <c r="AC595" s="36"/>
    </row>
    <row r="596" spans="1:29" x14ac:dyDescent="0.3">
      <c r="A596" s="34"/>
      <c r="L596" s="36"/>
      <c r="R596" s="34"/>
      <c r="AC596" s="36"/>
    </row>
    <row r="597" spans="1:29" x14ac:dyDescent="0.3">
      <c r="A597" s="34"/>
      <c r="L597" s="36"/>
      <c r="R597" s="34"/>
      <c r="AC597" s="36"/>
    </row>
    <row r="598" spans="1:29" x14ac:dyDescent="0.3">
      <c r="A598" s="34"/>
      <c r="L598" s="36"/>
      <c r="R598" s="34"/>
      <c r="AC598" s="36"/>
    </row>
    <row r="599" spans="1:29" x14ac:dyDescent="0.3">
      <c r="A599" s="34"/>
      <c r="L599" s="36"/>
      <c r="R599" s="34"/>
      <c r="AC599" s="36"/>
    </row>
    <row r="600" spans="1:29" x14ac:dyDescent="0.3">
      <c r="A600" s="34"/>
      <c r="L600" s="36"/>
      <c r="R600" s="34"/>
      <c r="AC600" s="36"/>
    </row>
    <row r="601" spans="1:29" x14ac:dyDescent="0.3">
      <c r="A601" s="34"/>
      <c r="L601" s="36"/>
      <c r="R601" s="34"/>
      <c r="AC601" s="36"/>
    </row>
    <row r="602" spans="1:29" x14ac:dyDescent="0.3">
      <c r="A602" s="34"/>
      <c r="L602" s="36"/>
      <c r="R602" s="34"/>
      <c r="AC602" s="36"/>
    </row>
    <row r="603" spans="1:29" x14ac:dyDescent="0.3">
      <c r="A603" s="34"/>
      <c r="L603" s="36"/>
      <c r="R603" s="34"/>
      <c r="AC603" s="36"/>
    </row>
    <row r="604" spans="1:29" x14ac:dyDescent="0.3">
      <c r="A604" s="34"/>
      <c r="L604" s="36"/>
      <c r="R604" s="34"/>
      <c r="AC604" s="36"/>
    </row>
    <row r="605" spans="1:29" x14ac:dyDescent="0.3">
      <c r="A605" s="34"/>
      <c r="L605" s="36"/>
      <c r="R605" s="34"/>
      <c r="AC605" s="36"/>
    </row>
    <row r="606" spans="1:29" x14ac:dyDescent="0.3">
      <c r="A606" s="34"/>
      <c r="L606" s="36"/>
      <c r="R606" s="34"/>
      <c r="AC606" s="36"/>
    </row>
    <row r="607" spans="1:29" x14ac:dyDescent="0.3">
      <c r="A607" s="34"/>
      <c r="L607" s="36"/>
      <c r="R607" s="34"/>
      <c r="AC607" s="36"/>
    </row>
    <row r="608" spans="1:29" x14ac:dyDescent="0.3">
      <c r="A608" s="34"/>
      <c r="L608" s="36"/>
      <c r="R608" s="34"/>
      <c r="AC608" s="36"/>
    </row>
    <row r="609" spans="1:29" x14ac:dyDescent="0.3">
      <c r="A609" s="34"/>
      <c r="L609" s="36"/>
      <c r="R609" s="34"/>
      <c r="AC609" s="36"/>
    </row>
    <row r="610" spans="1:29" x14ac:dyDescent="0.3">
      <c r="A610" s="34"/>
      <c r="L610" s="36"/>
      <c r="R610" s="34"/>
      <c r="AC610" s="36"/>
    </row>
    <row r="611" spans="1:29" x14ac:dyDescent="0.3">
      <c r="A611" s="34"/>
      <c r="L611" s="36"/>
      <c r="R611" s="34"/>
      <c r="AC611" s="36"/>
    </row>
    <row r="612" spans="1:29" x14ac:dyDescent="0.3">
      <c r="A612" s="34"/>
      <c r="L612" s="36"/>
      <c r="R612" s="34"/>
      <c r="AC612" s="36"/>
    </row>
    <row r="613" spans="1:29" x14ac:dyDescent="0.3">
      <c r="A613" s="34"/>
      <c r="L613" s="36"/>
      <c r="R613" s="34"/>
      <c r="AC613" s="36"/>
    </row>
    <row r="614" spans="1:29" x14ac:dyDescent="0.3">
      <c r="A614" s="34"/>
      <c r="L614" s="36"/>
      <c r="R614" s="34"/>
      <c r="AC614" s="36"/>
    </row>
    <row r="615" spans="1:29" x14ac:dyDescent="0.3">
      <c r="A615" s="34"/>
      <c r="L615" s="36"/>
      <c r="R615" s="34"/>
      <c r="AC615" s="36"/>
    </row>
    <row r="616" spans="1:29" x14ac:dyDescent="0.3">
      <c r="A616" s="34"/>
      <c r="L616" s="36"/>
      <c r="R616" s="34"/>
      <c r="AC616" s="36"/>
    </row>
    <row r="617" spans="1:29" x14ac:dyDescent="0.3">
      <c r="A617" s="34"/>
      <c r="L617" s="36"/>
      <c r="R617" s="34"/>
      <c r="AC617" s="36"/>
    </row>
    <row r="618" spans="1:29" x14ac:dyDescent="0.3">
      <c r="A618" s="34"/>
      <c r="L618" s="36"/>
      <c r="R618" s="34"/>
      <c r="AC618" s="36"/>
    </row>
    <row r="619" spans="1:29" x14ac:dyDescent="0.3">
      <c r="A619" s="34"/>
      <c r="L619" s="36"/>
      <c r="R619" s="34"/>
      <c r="AC619" s="36"/>
    </row>
    <row r="620" spans="1:29" x14ac:dyDescent="0.3">
      <c r="A620" s="34"/>
      <c r="L620" s="36"/>
      <c r="R620" s="34"/>
      <c r="AC620" s="36"/>
    </row>
    <row r="621" spans="1:29" x14ac:dyDescent="0.3">
      <c r="A621" s="34"/>
      <c r="L621" s="36"/>
      <c r="R621" s="34"/>
      <c r="AC621" s="36"/>
    </row>
    <row r="622" spans="1:29" x14ac:dyDescent="0.3">
      <c r="A622" s="34"/>
      <c r="L622" s="36"/>
      <c r="R622" s="34"/>
      <c r="AC622" s="36"/>
    </row>
    <row r="623" spans="1:29" x14ac:dyDescent="0.3">
      <c r="A623" s="34"/>
      <c r="L623" s="36"/>
      <c r="R623" s="34"/>
      <c r="AC623" s="36"/>
    </row>
    <row r="624" spans="1:29" x14ac:dyDescent="0.3">
      <c r="A624" s="34"/>
      <c r="L624" s="36"/>
      <c r="R624" s="34"/>
      <c r="AC624" s="36"/>
    </row>
    <row r="625" spans="1:29" x14ac:dyDescent="0.3">
      <c r="A625" s="34"/>
      <c r="L625" s="36"/>
      <c r="R625" s="34"/>
      <c r="AC625" s="36"/>
    </row>
    <row r="626" spans="1:29" x14ac:dyDescent="0.3">
      <c r="A626" s="34"/>
      <c r="L626" s="36"/>
      <c r="R626" s="34"/>
      <c r="AC626" s="36"/>
    </row>
    <row r="627" spans="1:29" x14ac:dyDescent="0.3">
      <c r="A627" s="34"/>
      <c r="L627" s="36"/>
      <c r="R627" s="34"/>
      <c r="AC627" s="36"/>
    </row>
    <row r="628" spans="1:29" x14ac:dyDescent="0.3">
      <c r="A628" s="34"/>
      <c r="L628" s="36"/>
      <c r="R628" s="34"/>
      <c r="AC628" s="36"/>
    </row>
    <row r="629" spans="1:29" x14ac:dyDescent="0.3">
      <c r="A629" s="34"/>
      <c r="L629" s="36"/>
      <c r="R629" s="34"/>
      <c r="AC629" s="36"/>
    </row>
    <row r="630" spans="1:29" x14ac:dyDescent="0.3">
      <c r="A630" s="34"/>
      <c r="L630" s="36"/>
      <c r="R630" s="34"/>
      <c r="AC630" s="36"/>
    </row>
    <row r="631" spans="1:29" x14ac:dyDescent="0.3">
      <c r="A631" s="34"/>
      <c r="L631" s="36"/>
      <c r="R631" s="34"/>
      <c r="AC631" s="36"/>
    </row>
    <row r="632" spans="1:29" x14ac:dyDescent="0.3">
      <c r="A632" s="34"/>
      <c r="L632" s="36"/>
      <c r="R632" s="34"/>
      <c r="AC632" s="36"/>
    </row>
    <row r="633" spans="1:29" x14ac:dyDescent="0.3">
      <c r="A633" s="34"/>
      <c r="L633" s="36"/>
      <c r="R633" s="34"/>
      <c r="AC633" s="36"/>
    </row>
    <row r="634" spans="1:29" x14ac:dyDescent="0.3">
      <c r="A634" s="34"/>
      <c r="L634" s="36"/>
      <c r="R634" s="34"/>
      <c r="AC634" s="36"/>
    </row>
    <row r="635" spans="1:29" x14ac:dyDescent="0.3">
      <c r="A635" s="34"/>
      <c r="L635" s="36"/>
      <c r="R635" s="34"/>
      <c r="AC635" s="36"/>
    </row>
    <row r="636" spans="1:29" x14ac:dyDescent="0.3">
      <c r="A636" s="34"/>
      <c r="L636" s="36"/>
      <c r="R636" s="34"/>
      <c r="AC636" s="36"/>
    </row>
    <row r="637" spans="1:29" x14ac:dyDescent="0.3">
      <c r="A637" s="34"/>
      <c r="L637" s="36"/>
      <c r="R637" s="34"/>
      <c r="AC637" s="36"/>
    </row>
    <row r="638" spans="1:29" x14ac:dyDescent="0.3">
      <c r="A638" s="34"/>
      <c r="L638" s="36"/>
      <c r="R638" s="34"/>
      <c r="AC638" s="36"/>
    </row>
    <row r="639" spans="1:29" x14ac:dyDescent="0.3">
      <c r="A639" s="34"/>
      <c r="L639" s="36"/>
      <c r="R639" s="34"/>
      <c r="AC639" s="36"/>
    </row>
    <row r="640" spans="1:29" x14ac:dyDescent="0.3">
      <c r="A640" s="34"/>
      <c r="L640" s="36"/>
      <c r="R640" s="34"/>
      <c r="AC640" s="36"/>
    </row>
    <row r="641" spans="1:29" x14ac:dyDescent="0.3">
      <c r="A641" s="34"/>
      <c r="L641" s="36"/>
      <c r="R641" s="34"/>
      <c r="AC641" s="36"/>
    </row>
    <row r="642" spans="1:29" x14ac:dyDescent="0.3">
      <c r="A642" s="34"/>
      <c r="L642" s="36"/>
      <c r="R642" s="34"/>
      <c r="AC642" s="36"/>
    </row>
    <row r="643" spans="1:29" x14ac:dyDescent="0.3">
      <c r="A643" s="34"/>
      <c r="L643" s="36"/>
      <c r="R643" s="34"/>
      <c r="AC643" s="36"/>
    </row>
    <row r="644" spans="1:29" x14ac:dyDescent="0.3">
      <c r="A644" s="34"/>
      <c r="L644" s="36"/>
      <c r="R644" s="34"/>
      <c r="AC644" s="36"/>
    </row>
    <row r="645" spans="1:29" x14ac:dyDescent="0.3">
      <c r="A645" s="34"/>
      <c r="L645" s="36"/>
      <c r="R645" s="34"/>
      <c r="AC645" s="36"/>
    </row>
    <row r="646" spans="1:29" x14ac:dyDescent="0.3">
      <c r="A646" s="34"/>
      <c r="L646" s="36"/>
      <c r="R646" s="34"/>
      <c r="AC646" s="36"/>
    </row>
    <row r="647" spans="1:29" x14ac:dyDescent="0.3">
      <c r="A647" s="34"/>
      <c r="L647" s="36"/>
      <c r="R647" s="34"/>
      <c r="AC647" s="36"/>
    </row>
    <row r="648" spans="1:29" x14ac:dyDescent="0.3">
      <c r="A648" s="34"/>
      <c r="L648" s="36"/>
      <c r="R648" s="34"/>
      <c r="AC648" s="36"/>
    </row>
    <row r="649" spans="1:29" x14ac:dyDescent="0.3">
      <c r="A649" s="34"/>
      <c r="L649" s="36"/>
      <c r="R649" s="34"/>
      <c r="AC649" s="36"/>
    </row>
    <row r="650" spans="1:29" x14ac:dyDescent="0.3">
      <c r="A650" s="34"/>
      <c r="L650" s="36"/>
      <c r="R650" s="34"/>
      <c r="AC650" s="36"/>
    </row>
    <row r="651" spans="1:29" x14ac:dyDescent="0.3">
      <c r="A651" s="34"/>
      <c r="L651" s="36"/>
      <c r="R651" s="34"/>
      <c r="AC651" s="36"/>
    </row>
    <row r="652" spans="1:29" x14ac:dyDescent="0.3">
      <c r="A652" s="34"/>
      <c r="L652" s="36"/>
      <c r="R652" s="34"/>
      <c r="AC652" s="36"/>
    </row>
    <row r="653" spans="1:29" x14ac:dyDescent="0.3">
      <c r="A653" s="34"/>
      <c r="L653" s="36"/>
      <c r="R653" s="34"/>
      <c r="AC653" s="36"/>
    </row>
    <row r="654" spans="1:29" x14ac:dyDescent="0.3">
      <c r="A654" s="34"/>
      <c r="L654" s="36"/>
      <c r="R654" s="34"/>
      <c r="AC654" s="36"/>
    </row>
    <row r="655" spans="1:29" x14ac:dyDescent="0.3">
      <c r="A655" s="34"/>
      <c r="L655" s="36"/>
      <c r="R655" s="34"/>
      <c r="AC655" s="36"/>
    </row>
    <row r="656" spans="1:29" x14ac:dyDescent="0.3">
      <c r="A656" s="34"/>
      <c r="L656" s="36"/>
      <c r="R656" s="34"/>
      <c r="AC656" s="36"/>
    </row>
    <row r="657" spans="1:29" x14ac:dyDescent="0.3">
      <c r="A657" s="34"/>
      <c r="L657" s="36"/>
      <c r="R657" s="34"/>
      <c r="AC657" s="36"/>
    </row>
    <row r="658" spans="1:29" x14ac:dyDescent="0.3">
      <c r="A658" s="34"/>
      <c r="L658" s="36"/>
      <c r="R658" s="34"/>
      <c r="AC658" s="36"/>
    </row>
    <row r="659" spans="1:29" x14ac:dyDescent="0.3">
      <c r="A659" s="34"/>
      <c r="L659" s="36"/>
      <c r="R659" s="34"/>
      <c r="AC659" s="36"/>
    </row>
    <row r="660" spans="1:29" x14ac:dyDescent="0.3">
      <c r="A660" s="34"/>
      <c r="L660" s="36"/>
      <c r="R660" s="34"/>
      <c r="AC660" s="36"/>
    </row>
    <row r="661" spans="1:29" x14ac:dyDescent="0.3">
      <c r="A661" s="34"/>
      <c r="L661" s="36"/>
      <c r="R661" s="34"/>
      <c r="AC661" s="36"/>
    </row>
    <row r="662" spans="1:29" x14ac:dyDescent="0.3">
      <c r="A662" s="34"/>
      <c r="L662" s="36"/>
      <c r="R662" s="34"/>
      <c r="AC662" s="36"/>
    </row>
    <row r="663" spans="1:29" x14ac:dyDescent="0.3">
      <c r="A663" s="34"/>
      <c r="L663" s="36"/>
      <c r="R663" s="34"/>
      <c r="AC663" s="36"/>
    </row>
    <row r="664" spans="1:29" x14ac:dyDescent="0.3">
      <c r="A664" s="34"/>
      <c r="L664" s="36"/>
      <c r="R664" s="34"/>
      <c r="AC664" s="36"/>
    </row>
    <row r="665" spans="1:29" x14ac:dyDescent="0.3">
      <c r="A665" s="34"/>
      <c r="L665" s="36"/>
      <c r="R665" s="34"/>
      <c r="AC665" s="36"/>
    </row>
    <row r="666" spans="1:29" x14ac:dyDescent="0.3">
      <c r="A666" s="34"/>
      <c r="L666" s="36"/>
      <c r="R666" s="34"/>
      <c r="AC666" s="36"/>
    </row>
    <row r="667" spans="1:29" x14ac:dyDescent="0.3">
      <c r="A667" s="34"/>
      <c r="L667" s="36"/>
      <c r="R667" s="34"/>
      <c r="AC667" s="36"/>
    </row>
    <row r="668" spans="1:29" x14ac:dyDescent="0.3">
      <c r="A668" s="34"/>
      <c r="L668" s="36"/>
      <c r="R668" s="34"/>
      <c r="AC668" s="36"/>
    </row>
    <row r="669" spans="1:29" x14ac:dyDescent="0.3">
      <c r="A669" s="34"/>
      <c r="L669" s="36"/>
      <c r="R669" s="34"/>
      <c r="AC669" s="36"/>
    </row>
    <row r="670" spans="1:29" x14ac:dyDescent="0.3">
      <c r="A670" s="34"/>
      <c r="L670" s="36"/>
      <c r="R670" s="34"/>
      <c r="AC670" s="36"/>
    </row>
    <row r="671" spans="1:29" x14ac:dyDescent="0.3">
      <c r="A671" s="34"/>
      <c r="L671" s="36"/>
      <c r="R671" s="34"/>
      <c r="AC671" s="36"/>
    </row>
    <row r="672" spans="1:29" x14ac:dyDescent="0.3">
      <c r="A672" s="34"/>
      <c r="L672" s="36"/>
      <c r="R672" s="34"/>
      <c r="AC672" s="36"/>
    </row>
    <row r="673" spans="1:29" x14ac:dyDescent="0.3">
      <c r="A673" s="34"/>
      <c r="L673" s="36"/>
      <c r="R673" s="34"/>
      <c r="AC673" s="36"/>
    </row>
    <row r="674" spans="1:29" x14ac:dyDescent="0.3">
      <c r="A674" s="34"/>
      <c r="L674" s="36"/>
      <c r="R674" s="34"/>
      <c r="AC674" s="36"/>
    </row>
    <row r="675" spans="1:29" x14ac:dyDescent="0.3">
      <c r="A675" s="34"/>
      <c r="L675" s="36"/>
      <c r="R675" s="34"/>
      <c r="AC675" s="36"/>
    </row>
    <row r="676" spans="1:29" x14ac:dyDescent="0.3">
      <c r="A676" s="34"/>
      <c r="L676" s="36"/>
      <c r="R676" s="34"/>
      <c r="AC676" s="36"/>
    </row>
    <row r="677" spans="1:29" x14ac:dyDescent="0.3">
      <c r="A677" s="34"/>
      <c r="L677" s="36"/>
      <c r="R677" s="34"/>
      <c r="AC677" s="36"/>
    </row>
    <row r="678" spans="1:29" x14ac:dyDescent="0.3">
      <c r="A678" s="34"/>
      <c r="L678" s="36"/>
      <c r="R678" s="34"/>
      <c r="AC678" s="36"/>
    </row>
    <row r="679" spans="1:29" x14ac:dyDescent="0.3">
      <c r="A679" s="34"/>
      <c r="L679" s="36"/>
      <c r="R679" s="34"/>
      <c r="AC679" s="36"/>
    </row>
    <row r="680" spans="1:29" x14ac:dyDescent="0.3">
      <c r="A680" s="34"/>
      <c r="L680" s="36"/>
      <c r="R680" s="34"/>
      <c r="AC680" s="36"/>
    </row>
    <row r="681" spans="1:29" x14ac:dyDescent="0.3">
      <c r="A681" s="34"/>
      <c r="L681" s="36"/>
      <c r="R681" s="34"/>
      <c r="AC681" s="36"/>
    </row>
    <row r="682" spans="1:29" x14ac:dyDescent="0.3">
      <c r="A682" s="34"/>
      <c r="L682" s="36"/>
      <c r="R682" s="34"/>
      <c r="AC682" s="36"/>
    </row>
    <row r="683" spans="1:29" x14ac:dyDescent="0.3">
      <c r="A683" s="34"/>
      <c r="L683" s="36"/>
      <c r="R683" s="34"/>
      <c r="AC683" s="36"/>
    </row>
    <row r="684" spans="1:29" x14ac:dyDescent="0.3">
      <c r="A684" s="34"/>
      <c r="L684" s="36"/>
      <c r="R684" s="34"/>
      <c r="AC684" s="36"/>
    </row>
    <row r="685" spans="1:29" x14ac:dyDescent="0.3">
      <c r="A685" s="34"/>
      <c r="L685" s="36"/>
      <c r="R685" s="34"/>
      <c r="AC685" s="36"/>
    </row>
    <row r="686" spans="1:29" x14ac:dyDescent="0.3">
      <c r="A686" s="34"/>
      <c r="L686" s="36"/>
      <c r="R686" s="34"/>
      <c r="AC686" s="36"/>
    </row>
    <row r="687" spans="1:29" x14ac:dyDescent="0.3">
      <c r="A687" s="34"/>
      <c r="L687" s="36"/>
      <c r="R687" s="34"/>
      <c r="AC687" s="36"/>
    </row>
    <row r="688" spans="1:29" x14ac:dyDescent="0.3">
      <c r="A688" s="34"/>
      <c r="L688" s="36"/>
      <c r="R688" s="34"/>
      <c r="AC688" s="36"/>
    </row>
    <row r="689" spans="1:29" x14ac:dyDescent="0.3">
      <c r="A689" s="34"/>
      <c r="L689" s="36"/>
      <c r="R689" s="34"/>
      <c r="AC689" s="36"/>
    </row>
    <row r="690" spans="1:29" x14ac:dyDescent="0.3">
      <c r="A690" s="34"/>
      <c r="L690" s="36"/>
      <c r="R690" s="34"/>
      <c r="AC690" s="36"/>
    </row>
    <row r="691" spans="1:29" x14ac:dyDescent="0.3">
      <c r="A691" s="34"/>
      <c r="L691" s="36"/>
      <c r="R691" s="34"/>
      <c r="AC691" s="36"/>
    </row>
    <row r="692" spans="1:29" x14ac:dyDescent="0.3">
      <c r="A692" s="34"/>
      <c r="L692" s="36"/>
      <c r="R692" s="34"/>
      <c r="AC692" s="36"/>
    </row>
    <row r="693" spans="1:29" x14ac:dyDescent="0.3">
      <c r="A693" s="34"/>
      <c r="L693" s="36"/>
      <c r="R693" s="34"/>
      <c r="AC693" s="36"/>
    </row>
    <row r="694" spans="1:29" x14ac:dyDescent="0.3">
      <c r="A694" s="34"/>
      <c r="L694" s="36"/>
      <c r="R694" s="34"/>
      <c r="AC694" s="36"/>
    </row>
    <row r="695" spans="1:29" x14ac:dyDescent="0.3">
      <c r="A695" s="34"/>
      <c r="L695" s="36"/>
      <c r="R695" s="34"/>
      <c r="AC695" s="36"/>
    </row>
    <row r="696" spans="1:29" x14ac:dyDescent="0.3">
      <c r="A696" s="34"/>
      <c r="L696" s="36"/>
      <c r="R696" s="34"/>
      <c r="AC696" s="36"/>
    </row>
    <row r="697" spans="1:29" x14ac:dyDescent="0.3">
      <c r="A697" s="34"/>
      <c r="L697" s="36"/>
      <c r="R697" s="34"/>
      <c r="AC697" s="36"/>
    </row>
    <row r="698" spans="1:29" x14ac:dyDescent="0.3">
      <c r="A698" s="34"/>
      <c r="L698" s="36"/>
      <c r="R698" s="34"/>
      <c r="AC698" s="36"/>
    </row>
    <row r="699" spans="1:29" x14ac:dyDescent="0.3">
      <c r="A699" s="34"/>
      <c r="L699" s="36"/>
      <c r="R699" s="34"/>
      <c r="AC699" s="36"/>
    </row>
    <row r="700" spans="1:29" x14ac:dyDescent="0.3">
      <c r="A700" s="34"/>
      <c r="L700" s="36"/>
      <c r="R700" s="34"/>
      <c r="AC700" s="36"/>
    </row>
    <row r="701" spans="1:29" x14ac:dyDescent="0.3">
      <c r="A701" s="34"/>
      <c r="L701" s="36"/>
      <c r="R701" s="34"/>
      <c r="AC701" s="36"/>
    </row>
    <row r="702" spans="1:29" x14ac:dyDescent="0.3">
      <c r="A702" s="34"/>
      <c r="L702" s="36"/>
      <c r="R702" s="34"/>
      <c r="AC702" s="36"/>
    </row>
    <row r="703" spans="1:29" x14ac:dyDescent="0.3">
      <c r="A703" s="34"/>
      <c r="L703" s="36"/>
      <c r="R703" s="34"/>
      <c r="AC703" s="36"/>
    </row>
    <row r="704" spans="1:29" x14ac:dyDescent="0.3">
      <c r="A704" s="34"/>
      <c r="L704" s="36"/>
      <c r="R704" s="34"/>
      <c r="AC704" s="36"/>
    </row>
    <row r="705" spans="1:29" x14ac:dyDescent="0.3">
      <c r="A705" s="34"/>
      <c r="L705" s="36"/>
      <c r="R705" s="34"/>
      <c r="AC705" s="36"/>
    </row>
    <row r="706" spans="1:29" x14ac:dyDescent="0.3">
      <c r="A706" s="34"/>
      <c r="L706" s="36"/>
      <c r="R706" s="34"/>
      <c r="AC706" s="36"/>
    </row>
    <row r="707" spans="1:29" x14ac:dyDescent="0.3">
      <c r="A707" s="34"/>
      <c r="L707" s="36"/>
      <c r="R707" s="34"/>
      <c r="AC707" s="36"/>
    </row>
    <row r="708" spans="1:29" x14ac:dyDescent="0.3">
      <c r="A708" s="34"/>
      <c r="L708" s="36"/>
      <c r="R708" s="34"/>
      <c r="AC708" s="36"/>
    </row>
    <row r="709" spans="1:29" x14ac:dyDescent="0.3">
      <c r="A709" s="34"/>
      <c r="L709" s="36"/>
      <c r="R709" s="34"/>
      <c r="AC709" s="36"/>
    </row>
    <row r="710" spans="1:29" x14ac:dyDescent="0.3">
      <c r="A710" s="34"/>
      <c r="L710" s="36"/>
      <c r="R710" s="34"/>
      <c r="AC710" s="36"/>
    </row>
    <row r="711" spans="1:29" x14ac:dyDescent="0.3">
      <c r="A711" s="34"/>
      <c r="L711" s="36"/>
      <c r="R711" s="34"/>
      <c r="AC711" s="36"/>
    </row>
    <row r="712" spans="1:29" x14ac:dyDescent="0.3">
      <c r="A712" s="34"/>
      <c r="L712" s="36"/>
      <c r="R712" s="34"/>
      <c r="AC712" s="36"/>
    </row>
    <row r="713" spans="1:29" x14ac:dyDescent="0.3">
      <c r="A713" s="34"/>
      <c r="L713" s="36"/>
      <c r="R713" s="34"/>
      <c r="AC713" s="36"/>
    </row>
    <row r="714" spans="1:29" x14ac:dyDescent="0.3">
      <c r="A714" s="34"/>
      <c r="L714" s="36"/>
      <c r="R714" s="34"/>
      <c r="AC714" s="36"/>
    </row>
    <row r="715" spans="1:29" x14ac:dyDescent="0.3">
      <c r="A715" s="34"/>
      <c r="L715" s="36"/>
      <c r="R715" s="34"/>
      <c r="AC715" s="36"/>
    </row>
    <row r="716" spans="1:29" x14ac:dyDescent="0.3">
      <c r="A716" s="34"/>
      <c r="L716" s="36"/>
      <c r="R716" s="34"/>
      <c r="AC716" s="36"/>
    </row>
    <row r="717" spans="1:29" x14ac:dyDescent="0.3">
      <c r="A717" s="34"/>
      <c r="L717" s="36"/>
      <c r="R717" s="34"/>
      <c r="AC717" s="36"/>
    </row>
    <row r="718" spans="1:29" x14ac:dyDescent="0.3">
      <c r="A718" s="34"/>
      <c r="L718" s="36"/>
      <c r="R718" s="34"/>
      <c r="AC718" s="36"/>
    </row>
    <row r="719" spans="1:29" x14ac:dyDescent="0.3">
      <c r="A719" s="34"/>
      <c r="L719" s="36"/>
      <c r="R719" s="34"/>
      <c r="AC719" s="36"/>
    </row>
    <row r="720" spans="1:29" x14ac:dyDescent="0.3">
      <c r="A720" s="34"/>
      <c r="L720" s="36"/>
      <c r="R720" s="34"/>
      <c r="AC720" s="36"/>
    </row>
    <row r="721" spans="1:29" x14ac:dyDescent="0.3">
      <c r="A721" s="34"/>
      <c r="L721" s="36"/>
      <c r="R721" s="34"/>
      <c r="AC721" s="36"/>
    </row>
    <row r="722" spans="1:29" x14ac:dyDescent="0.3">
      <c r="A722" s="34"/>
      <c r="L722" s="36"/>
      <c r="R722" s="34"/>
      <c r="AC722" s="36"/>
    </row>
    <row r="723" spans="1:29" x14ac:dyDescent="0.3">
      <c r="A723" s="34"/>
      <c r="L723" s="36"/>
      <c r="R723" s="34"/>
      <c r="AC723" s="36"/>
    </row>
    <row r="724" spans="1:29" x14ac:dyDescent="0.3">
      <c r="A724" s="34"/>
      <c r="L724" s="36"/>
      <c r="R724" s="34"/>
      <c r="AC724" s="36"/>
    </row>
    <row r="725" spans="1:29" x14ac:dyDescent="0.3">
      <c r="A725" s="34"/>
      <c r="L725" s="36"/>
      <c r="R725" s="34"/>
      <c r="AC725" s="36"/>
    </row>
    <row r="726" spans="1:29" x14ac:dyDescent="0.3">
      <c r="A726" s="34"/>
      <c r="L726" s="36"/>
      <c r="R726" s="34"/>
      <c r="AC726" s="36"/>
    </row>
    <row r="727" spans="1:29" x14ac:dyDescent="0.3">
      <c r="A727" s="34"/>
      <c r="L727" s="36"/>
      <c r="R727" s="34"/>
      <c r="AC727" s="36"/>
    </row>
    <row r="728" spans="1:29" x14ac:dyDescent="0.3">
      <c r="A728" s="34"/>
      <c r="L728" s="36"/>
      <c r="R728" s="34"/>
      <c r="AC728" s="36"/>
    </row>
    <row r="729" spans="1:29" x14ac:dyDescent="0.3">
      <c r="A729" s="34"/>
      <c r="L729" s="36"/>
      <c r="R729" s="34"/>
      <c r="AC729" s="36"/>
    </row>
    <row r="730" spans="1:29" x14ac:dyDescent="0.3">
      <c r="A730" s="34"/>
      <c r="L730" s="36"/>
      <c r="R730" s="34"/>
      <c r="AC730" s="36"/>
    </row>
    <row r="731" spans="1:29" x14ac:dyDescent="0.3">
      <c r="A731" s="34"/>
      <c r="L731" s="36"/>
      <c r="R731" s="34"/>
      <c r="AC731" s="36"/>
    </row>
    <row r="732" spans="1:29" x14ac:dyDescent="0.3">
      <c r="A732" s="34"/>
      <c r="L732" s="36"/>
      <c r="R732" s="34"/>
      <c r="AC732" s="36"/>
    </row>
    <row r="733" spans="1:29" x14ac:dyDescent="0.3">
      <c r="A733" s="34"/>
      <c r="L733" s="36"/>
      <c r="R733" s="34"/>
      <c r="AC733" s="36"/>
    </row>
    <row r="734" spans="1:29" x14ac:dyDescent="0.3">
      <c r="A734" s="34"/>
      <c r="L734" s="36"/>
      <c r="R734" s="34"/>
      <c r="AC734" s="36"/>
    </row>
    <row r="735" spans="1:29" x14ac:dyDescent="0.3">
      <c r="A735" s="34"/>
      <c r="L735" s="36"/>
      <c r="R735" s="34"/>
      <c r="AC735" s="36"/>
    </row>
    <row r="736" spans="1:29" x14ac:dyDescent="0.3">
      <c r="A736" s="34"/>
      <c r="L736" s="36"/>
      <c r="R736" s="34"/>
      <c r="AC736" s="36"/>
    </row>
    <row r="737" spans="1:29" x14ac:dyDescent="0.3">
      <c r="A737" s="34"/>
      <c r="L737" s="36"/>
      <c r="R737" s="34"/>
      <c r="AC737" s="36"/>
    </row>
    <row r="738" spans="1:29" x14ac:dyDescent="0.3">
      <c r="A738" s="34"/>
      <c r="L738" s="36"/>
      <c r="R738" s="34"/>
      <c r="AC738" s="36"/>
    </row>
    <row r="739" spans="1:29" x14ac:dyDescent="0.3">
      <c r="A739" s="34"/>
      <c r="L739" s="36"/>
      <c r="R739" s="34"/>
      <c r="AC739" s="36"/>
    </row>
    <row r="740" spans="1:29" x14ac:dyDescent="0.3">
      <c r="A740" s="34"/>
      <c r="L740" s="36"/>
      <c r="R740" s="34"/>
      <c r="AC740" s="36"/>
    </row>
    <row r="741" spans="1:29" x14ac:dyDescent="0.3">
      <c r="A741" s="34"/>
      <c r="L741" s="36"/>
      <c r="R741" s="34"/>
      <c r="AC741" s="36"/>
    </row>
    <row r="742" spans="1:29" x14ac:dyDescent="0.3">
      <c r="A742" s="34"/>
      <c r="L742" s="36"/>
      <c r="R742" s="34"/>
      <c r="AC742" s="36"/>
    </row>
    <row r="743" spans="1:29" x14ac:dyDescent="0.3">
      <c r="A743" s="34"/>
      <c r="L743" s="36"/>
      <c r="R743" s="34"/>
      <c r="AC743" s="36"/>
    </row>
    <row r="744" spans="1:29" x14ac:dyDescent="0.3">
      <c r="A744" s="34"/>
      <c r="L744" s="36"/>
      <c r="R744" s="34"/>
      <c r="AC744" s="36"/>
    </row>
    <row r="745" spans="1:29" x14ac:dyDescent="0.3">
      <c r="A745" s="34"/>
      <c r="L745" s="36"/>
      <c r="R745" s="34"/>
      <c r="AC745" s="36"/>
    </row>
    <row r="746" spans="1:29" x14ac:dyDescent="0.3">
      <c r="A746" s="34"/>
      <c r="L746" s="36"/>
      <c r="R746" s="34"/>
      <c r="AC746" s="36"/>
    </row>
    <row r="747" spans="1:29" x14ac:dyDescent="0.3">
      <c r="A747" s="34"/>
      <c r="L747" s="36"/>
      <c r="R747" s="34"/>
      <c r="AC747" s="36"/>
    </row>
    <row r="748" spans="1:29" x14ac:dyDescent="0.3">
      <c r="A748" s="34"/>
      <c r="L748" s="36"/>
      <c r="R748" s="34"/>
      <c r="AC748" s="36"/>
    </row>
    <row r="749" spans="1:29" x14ac:dyDescent="0.3">
      <c r="A749" s="34"/>
      <c r="L749" s="36"/>
      <c r="R749" s="34"/>
      <c r="AC749" s="36"/>
    </row>
    <row r="750" spans="1:29" x14ac:dyDescent="0.3">
      <c r="A750" s="34"/>
      <c r="L750" s="36"/>
      <c r="R750" s="34"/>
      <c r="AC750" s="36"/>
    </row>
    <row r="751" spans="1:29" x14ac:dyDescent="0.3">
      <c r="A751" s="34"/>
      <c r="L751" s="36"/>
      <c r="R751" s="34"/>
      <c r="AC751" s="36"/>
    </row>
    <row r="752" spans="1:29" x14ac:dyDescent="0.3">
      <c r="A752" s="34"/>
      <c r="L752" s="36"/>
      <c r="R752" s="34"/>
      <c r="AC752" s="36"/>
    </row>
    <row r="753" spans="1:29" x14ac:dyDescent="0.3">
      <c r="A753" s="34"/>
      <c r="L753" s="36"/>
      <c r="R753" s="34"/>
      <c r="AC753" s="36"/>
    </row>
    <row r="754" spans="1:29" x14ac:dyDescent="0.3">
      <c r="A754" s="34"/>
      <c r="L754" s="36"/>
      <c r="R754" s="34"/>
      <c r="AC754" s="36"/>
    </row>
    <row r="755" spans="1:29" x14ac:dyDescent="0.3">
      <c r="A755" s="34"/>
      <c r="L755" s="36"/>
      <c r="R755" s="34"/>
      <c r="AC755" s="36"/>
    </row>
    <row r="756" spans="1:29" x14ac:dyDescent="0.3">
      <c r="A756" s="34"/>
      <c r="L756" s="36"/>
      <c r="R756" s="34"/>
      <c r="AC756" s="36"/>
    </row>
    <row r="757" spans="1:29" x14ac:dyDescent="0.3">
      <c r="A757" s="34"/>
      <c r="L757" s="36"/>
      <c r="R757" s="34"/>
      <c r="AC757" s="36"/>
    </row>
    <row r="758" spans="1:29" x14ac:dyDescent="0.3">
      <c r="A758" s="34"/>
      <c r="L758" s="36"/>
      <c r="R758" s="34"/>
      <c r="AC758" s="36"/>
    </row>
    <row r="759" spans="1:29" x14ac:dyDescent="0.3">
      <c r="A759" s="34"/>
      <c r="L759" s="36"/>
      <c r="R759" s="34"/>
      <c r="AC759" s="36"/>
    </row>
    <row r="760" spans="1:29" x14ac:dyDescent="0.3">
      <c r="A760" s="34"/>
      <c r="L760" s="36"/>
      <c r="R760" s="34"/>
      <c r="AC760" s="36"/>
    </row>
    <row r="761" spans="1:29" x14ac:dyDescent="0.3">
      <c r="A761" s="34"/>
      <c r="L761" s="36"/>
      <c r="R761" s="34"/>
      <c r="AC761" s="36"/>
    </row>
    <row r="762" spans="1:29" x14ac:dyDescent="0.3">
      <c r="A762" s="34"/>
      <c r="L762" s="36"/>
      <c r="R762" s="34"/>
      <c r="AC762" s="36"/>
    </row>
    <row r="763" spans="1:29" x14ac:dyDescent="0.3">
      <c r="A763" s="34"/>
      <c r="L763" s="36"/>
      <c r="R763" s="34"/>
      <c r="AC763" s="36"/>
    </row>
    <row r="764" spans="1:29" x14ac:dyDescent="0.3">
      <c r="A764" s="34"/>
      <c r="L764" s="36"/>
      <c r="R764" s="34"/>
      <c r="AC764" s="36"/>
    </row>
    <row r="765" spans="1:29" x14ac:dyDescent="0.3">
      <c r="A765" s="34"/>
      <c r="L765" s="36"/>
      <c r="R765" s="34"/>
      <c r="AC765" s="36"/>
    </row>
    <row r="766" spans="1:29" x14ac:dyDescent="0.3">
      <c r="A766" s="34"/>
      <c r="L766" s="36"/>
      <c r="R766" s="34"/>
      <c r="AC766" s="36"/>
    </row>
    <row r="767" spans="1:29" x14ac:dyDescent="0.3">
      <c r="A767" s="34"/>
      <c r="L767" s="36"/>
      <c r="R767" s="34"/>
      <c r="AC767" s="36"/>
    </row>
    <row r="768" spans="1:29" x14ac:dyDescent="0.3">
      <c r="A768" s="34"/>
      <c r="L768" s="36"/>
      <c r="R768" s="34"/>
      <c r="AC768" s="36"/>
    </row>
    <row r="769" spans="1:29" x14ac:dyDescent="0.3">
      <c r="A769" s="34"/>
      <c r="L769" s="36"/>
      <c r="R769" s="34"/>
      <c r="AC769" s="36"/>
    </row>
    <row r="770" spans="1:29" x14ac:dyDescent="0.3">
      <c r="A770" s="34"/>
      <c r="L770" s="36"/>
      <c r="R770" s="34"/>
      <c r="AC770" s="36"/>
    </row>
    <row r="771" spans="1:29" x14ac:dyDescent="0.3">
      <c r="A771" s="34"/>
      <c r="L771" s="36"/>
      <c r="R771" s="34"/>
      <c r="AC771" s="36"/>
    </row>
    <row r="772" spans="1:29" x14ac:dyDescent="0.3">
      <c r="A772" s="34"/>
      <c r="L772" s="36"/>
      <c r="R772" s="34"/>
      <c r="AC772" s="36"/>
    </row>
    <row r="773" spans="1:29" x14ac:dyDescent="0.3">
      <c r="A773" s="34"/>
      <c r="L773" s="36"/>
      <c r="R773" s="34"/>
      <c r="AC773" s="36"/>
    </row>
    <row r="774" spans="1:29" x14ac:dyDescent="0.3">
      <c r="A774" s="34"/>
      <c r="L774" s="36"/>
      <c r="R774" s="34"/>
      <c r="AC774" s="36"/>
    </row>
    <row r="775" spans="1:29" x14ac:dyDescent="0.3">
      <c r="A775" s="34"/>
      <c r="L775" s="36"/>
      <c r="R775" s="34"/>
      <c r="AC775" s="36"/>
    </row>
    <row r="776" spans="1:29" x14ac:dyDescent="0.3">
      <c r="A776" s="34"/>
      <c r="L776" s="36"/>
      <c r="R776" s="34"/>
      <c r="AC776" s="36"/>
    </row>
    <row r="777" spans="1:29" x14ac:dyDescent="0.3">
      <c r="A777" s="34"/>
      <c r="L777" s="36"/>
      <c r="R777" s="34"/>
      <c r="AC777" s="36"/>
    </row>
    <row r="778" spans="1:29" x14ac:dyDescent="0.3">
      <c r="A778" s="34"/>
      <c r="L778" s="36"/>
      <c r="R778" s="34"/>
      <c r="AC778" s="36"/>
    </row>
    <row r="779" spans="1:29" x14ac:dyDescent="0.3">
      <c r="A779" s="34"/>
      <c r="L779" s="36"/>
      <c r="R779" s="34"/>
      <c r="AC779" s="36"/>
    </row>
    <row r="780" spans="1:29" x14ac:dyDescent="0.3">
      <c r="A780" s="34"/>
      <c r="L780" s="36"/>
      <c r="R780" s="34"/>
      <c r="AC780" s="36"/>
    </row>
    <row r="781" spans="1:29" x14ac:dyDescent="0.3">
      <c r="A781" s="34"/>
      <c r="L781" s="36"/>
      <c r="R781" s="34"/>
      <c r="AC781" s="36"/>
    </row>
    <row r="782" spans="1:29" x14ac:dyDescent="0.3">
      <c r="A782" s="34"/>
      <c r="L782" s="36"/>
      <c r="R782" s="34"/>
      <c r="AC782" s="36"/>
    </row>
    <row r="783" spans="1:29" x14ac:dyDescent="0.3">
      <c r="A783" s="34"/>
      <c r="L783" s="36"/>
      <c r="R783" s="34"/>
      <c r="AC783" s="36"/>
    </row>
    <row r="784" spans="1:29" x14ac:dyDescent="0.3">
      <c r="A784" s="34"/>
      <c r="L784" s="36"/>
      <c r="R784" s="34"/>
      <c r="AC784" s="36"/>
    </row>
    <row r="785" spans="1:29" x14ac:dyDescent="0.3">
      <c r="A785" s="34"/>
      <c r="L785" s="36"/>
      <c r="R785" s="34"/>
      <c r="AC785" s="36"/>
    </row>
    <row r="786" spans="1:29" x14ac:dyDescent="0.3">
      <c r="A786" s="34"/>
      <c r="L786" s="36"/>
      <c r="R786" s="34"/>
      <c r="AC786" s="36"/>
    </row>
    <row r="787" spans="1:29" x14ac:dyDescent="0.3">
      <c r="A787" s="34"/>
      <c r="L787" s="36"/>
      <c r="R787" s="34"/>
      <c r="AC787" s="36"/>
    </row>
    <row r="788" spans="1:29" x14ac:dyDescent="0.3">
      <c r="A788" s="34"/>
      <c r="L788" s="36"/>
      <c r="R788" s="34"/>
      <c r="AC788" s="36"/>
    </row>
    <row r="789" spans="1:29" x14ac:dyDescent="0.3">
      <c r="A789" s="34"/>
      <c r="L789" s="36"/>
      <c r="R789" s="34"/>
      <c r="AC789" s="36"/>
    </row>
    <row r="790" spans="1:29" x14ac:dyDescent="0.3">
      <c r="A790" s="34"/>
      <c r="L790" s="36"/>
      <c r="R790" s="34"/>
      <c r="AC790" s="36"/>
    </row>
    <row r="791" spans="1:29" x14ac:dyDescent="0.3">
      <c r="A791" s="34"/>
      <c r="L791" s="36"/>
      <c r="R791" s="34"/>
      <c r="AC791" s="36"/>
    </row>
    <row r="792" spans="1:29" x14ac:dyDescent="0.3">
      <c r="A792" s="34"/>
      <c r="L792" s="36"/>
      <c r="R792" s="34"/>
      <c r="AC792" s="36"/>
    </row>
    <row r="793" spans="1:29" x14ac:dyDescent="0.3">
      <c r="A793" s="34"/>
      <c r="L793" s="36"/>
      <c r="R793" s="34"/>
      <c r="AC793" s="36"/>
    </row>
    <row r="794" spans="1:29" x14ac:dyDescent="0.3">
      <c r="A794" s="34"/>
      <c r="L794" s="36"/>
      <c r="R794" s="34"/>
      <c r="AC794" s="36"/>
    </row>
    <row r="795" spans="1:29" x14ac:dyDescent="0.3">
      <c r="A795" s="34"/>
      <c r="L795" s="36"/>
      <c r="R795" s="34"/>
      <c r="AC795" s="36"/>
    </row>
    <row r="796" spans="1:29" x14ac:dyDescent="0.3">
      <c r="A796" s="34"/>
      <c r="L796" s="36"/>
      <c r="R796" s="34"/>
      <c r="AC796" s="36"/>
    </row>
    <row r="797" spans="1:29" x14ac:dyDescent="0.3">
      <c r="A797" s="34"/>
      <c r="L797" s="36"/>
      <c r="R797" s="34"/>
      <c r="AC797" s="36"/>
    </row>
    <row r="798" spans="1:29" x14ac:dyDescent="0.3">
      <c r="A798" s="34"/>
      <c r="L798" s="36"/>
      <c r="R798" s="34"/>
      <c r="AC798" s="36"/>
    </row>
    <row r="799" spans="1:29" x14ac:dyDescent="0.3">
      <c r="A799" s="34"/>
      <c r="L799" s="36"/>
      <c r="R799" s="34"/>
      <c r="AC799" s="36"/>
    </row>
    <row r="800" spans="1:29" x14ac:dyDescent="0.3">
      <c r="A800" s="34"/>
      <c r="L800" s="36"/>
      <c r="R800" s="34"/>
      <c r="AC800" s="36"/>
    </row>
    <row r="801" spans="1:29" x14ac:dyDescent="0.3">
      <c r="A801" s="34"/>
      <c r="L801" s="36"/>
      <c r="R801" s="34"/>
      <c r="AC801" s="36"/>
    </row>
    <row r="802" spans="1:29" x14ac:dyDescent="0.3">
      <c r="A802" s="34"/>
      <c r="L802" s="36"/>
      <c r="R802" s="34"/>
      <c r="AC802" s="36"/>
    </row>
    <row r="803" spans="1:29" x14ac:dyDescent="0.3">
      <c r="A803" s="34"/>
      <c r="L803" s="36"/>
      <c r="R803" s="34"/>
      <c r="AC803" s="36"/>
    </row>
    <row r="804" spans="1:29" x14ac:dyDescent="0.3">
      <c r="A804" s="34"/>
      <c r="L804" s="36"/>
      <c r="R804" s="34"/>
      <c r="AC804" s="36"/>
    </row>
    <row r="805" spans="1:29" x14ac:dyDescent="0.3">
      <c r="A805" s="34"/>
      <c r="L805" s="36"/>
      <c r="R805" s="34"/>
      <c r="AC805" s="36"/>
    </row>
    <row r="806" spans="1:29" x14ac:dyDescent="0.3">
      <c r="A806" s="34"/>
      <c r="L806" s="36"/>
      <c r="R806" s="34"/>
      <c r="AC806" s="36"/>
    </row>
    <row r="807" spans="1:29" x14ac:dyDescent="0.3">
      <c r="A807" s="34"/>
      <c r="L807" s="36"/>
      <c r="R807" s="34"/>
      <c r="AC807" s="36"/>
    </row>
    <row r="808" spans="1:29" x14ac:dyDescent="0.3">
      <c r="A808" s="34"/>
      <c r="L808" s="36"/>
      <c r="R808" s="34"/>
      <c r="AC808" s="36"/>
    </row>
    <row r="809" spans="1:29" x14ac:dyDescent="0.3">
      <c r="A809" s="34"/>
      <c r="L809" s="36"/>
      <c r="R809" s="34"/>
      <c r="AC809" s="36"/>
    </row>
    <row r="810" spans="1:29" x14ac:dyDescent="0.3">
      <c r="A810" s="34"/>
      <c r="L810" s="36"/>
      <c r="R810" s="34"/>
      <c r="AC810" s="36"/>
    </row>
    <row r="811" spans="1:29" x14ac:dyDescent="0.3">
      <c r="A811" s="34"/>
      <c r="L811" s="36"/>
      <c r="R811" s="34"/>
      <c r="AC811" s="36"/>
    </row>
    <row r="812" spans="1:29" x14ac:dyDescent="0.3">
      <c r="A812" s="34"/>
      <c r="L812" s="36"/>
      <c r="R812" s="34"/>
      <c r="AC812" s="36"/>
    </row>
    <row r="813" spans="1:29" x14ac:dyDescent="0.3">
      <c r="A813" s="34"/>
      <c r="L813" s="36"/>
      <c r="R813" s="34"/>
      <c r="AC813" s="36"/>
    </row>
    <row r="814" spans="1:29" x14ac:dyDescent="0.3">
      <c r="A814" s="34"/>
      <c r="L814" s="36"/>
      <c r="R814" s="34"/>
      <c r="AC814" s="36"/>
    </row>
    <row r="815" spans="1:29" x14ac:dyDescent="0.3">
      <c r="A815" s="34"/>
      <c r="L815" s="36"/>
      <c r="R815" s="34"/>
      <c r="AC815" s="36"/>
    </row>
    <row r="816" spans="1:29" x14ac:dyDescent="0.3">
      <c r="A816" s="34"/>
      <c r="L816" s="36"/>
      <c r="R816" s="34"/>
      <c r="AC816" s="36"/>
    </row>
    <row r="817" spans="1:29" x14ac:dyDescent="0.3">
      <c r="A817" s="34"/>
      <c r="L817" s="36"/>
      <c r="R817" s="34"/>
      <c r="AC817" s="36"/>
    </row>
    <row r="818" spans="1:29" x14ac:dyDescent="0.3">
      <c r="A818" s="34"/>
      <c r="L818" s="36"/>
      <c r="R818" s="34"/>
      <c r="AC818" s="36"/>
    </row>
    <row r="819" spans="1:29" x14ac:dyDescent="0.3">
      <c r="A819" s="34"/>
      <c r="L819" s="36"/>
      <c r="R819" s="34"/>
      <c r="AC819" s="36"/>
    </row>
    <row r="820" spans="1:29" x14ac:dyDescent="0.3">
      <c r="A820" s="34"/>
      <c r="L820" s="36"/>
      <c r="R820" s="34"/>
      <c r="AC820" s="36"/>
    </row>
    <row r="821" spans="1:29" x14ac:dyDescent="0.3">
      <c r="A821" s="34"/>
      <c r="L821" s="36"/>
      <c r="R821" s="34"/>
      <c r="AC821" s="36"/>
    </row>
    <row r="822" spans="1:29" x14ac:dyDescent="0.3">
      <c r="A822" s="34"/>
      <c r="L822" s="36"/>
      <c r="R822" s="34"/>
      <c r="AC822" s="36"/>
    </row>
    <row r="823" spans="1:29" x14ac:dyDescent="0.3">
      <c r="A823" s="34"/>
      <c r="L823" s="36"/>
      <c r="R823" s="34"/>
      <c r="AC823" s="36"/>
    </row>
    <row r="824" spans="1:29" x14ac:dyDescent="0.3">
      <c r="A824" s="34"/>
      <c r="L824" s="36"/>
      <c r="R824" s="34"/>
      <c r="AC824" s="36"/>
    </row>
    <row r="825" spans="1:29" x14ac:dyDescent="0.3">
      <c r="A825" s="34"/>
      <c r="L825" s="36"/>
      <c r="R825" s="34"/>
      <c r="AC825" s="36"/>
    </row>
    <row r="826" spans="1:29" x14ac:dyDescent="0.3">
      <c r="A826" s="34"/>
      <c r="L826" s="36"/>
      <c r="R826" s="34"/>
      <c r="AC826" s="36"/>
    </row>
    <row r="827" spans="1:29" x14ac:dyDescent="0.3">
      <c r="A827" s="34"/>
      <c r="L827" s="36"/>
      <c r="R827" s="34"/>
      <c r="AC827" s="36"/>
    </row>
    <row r="828" spans="1:29" x14ac:dyDescent="0.3">
      <c r="A828" s="34"/>
      <c r="L828" s="36"/>
      <c r="R828" s="34"/>
      <c r="AC828" s="36"/>
    </row>
    <row r="829" spans="1:29" x14ac:dyDescent="0.3">
      <c r="A829" s="34"/>
      <c r="L829" s="36"/>
      <c r="R829" s="34"/>
      <c r="AC829" s="36"/>
    </row>
    <row r="830" spans="1:29" x14ac:dyDescent="0.3">
      <c r="A830" s="34"/>
      <c r="L830" s="36"/>
      <c r="R830" s="34"/>
      <c r="AC830" s="36"/>
    </row>
    <row r="831" spans="1:29" x14ac:dyDescent="0.3">
      <c r="A831" s="34"/>
      <c r="L831" s="36"/>
      <c r="R831" s="34"/>
      <c r="AC831" s="36"/>
    </row>
    <row r="832" spans="1:29" x14ac:dyDescent="0.3">
      <c r="A832" s="34"/>
      <c r="L832" s="36"/>
      <c r="R832" s="34"/>
      <c r="AC832" s="36"/>
    </row>
    <row r="833" spans="1:29" x14ac:dyDescent="0.3">
      <c r="A833" s="34"/>
      <c r="L833" s="36"/>
      <c r="R833" s="34"/>
      <c r="AC833" s="36"/>
    </row>
    <row r="834" spans="1:29" x14ac:dyDescent="0.3">
      <c r="A834" s="34"/>
      <c r="L834" s="36"/>
      <c r="R834" s="34"/>
      <c r="AC834" s="36"/>
    </row>
    <row r="835" spans="1:29" x14ac:dyDescent="0.3">
      <c r="A835" s="34"/>
      <c r="L835" s="36"/>
      <c r="R835" s="34"/>
      <c r="AC835" s="36"/>
    </row>
    <row r="836" spans="1:29" x14ac:dyDescent="0.3">
      <c r="A836" s="34"/>
      <c r="L836" s="36"/>
      <c r="R836" s="34"/>
      <c r="AC836" s="36"/>
    </row>
    <row r="837" spans="1:29" x14ac:dyDescent="0.3">
      <c r="A837" s="34"/>
      <c r="L837" s="36"/>
      <c r="R837" s="34"/>
      <c r="AC837" s="36"/>
    </row>
    <row r="838" spans="1:29" x14ac:dyDescent="0.3">
      <c r="A838" s="34"/>
      <c r="L838" s="36"/>
      <c r="R838" s="34"/>
      <c r="AC838" s="36"/>
    </row>
    <row r="839" spans="1:29" x14ac:dyDescent="0.3">
      <c r="A839" s="34"/>
      <c r="L839" s="36"/>
      <c r="R839" s="34"/>
      <c r="AC839" s="36"/>
    </row>
    <row r="840" spans="1:29" x14ac:dyDescent="0.3">
      <c r="A840" s="34"/>
      <c r="L840" s="36"/>
      <c r="R840" s="34"/>
      <c r="AC840" s="36"/>
    </row>
    <row r="841" spans="1:29" x14ac:dyDescent="0.3">
      <c r="A841" s="34"/>
      <c r="L841" s="36"/>
      <c r="R841" s="34"/>
      <c r="AC841" s="36"/>
    </row>
    <row r="842" spans="1:29" x14ac:dyDescent="0.3">
      <c r="A842" s="34"/>
      <c r="L842" s="36"/>
      <c r="R842" s="34"/>
      <c r="AC842" s="36"/>
    </row>
    <row r="843" spans="1:29" x14ac:dyDescent="0.3">
      <c r="A843" s="34"/>
      <c r="L843" s="36"/>
      <c r="R843" s="34"/>
      <c r="AC843" s="36"/>
    </row>
    <row r="844" spans="1:29" x14ac:dyDescent="0.3">
      <c r="A844" s="34"/>
      <c r="L844" s="36"/>
      <c r="R844" s="34"/>
      <c r="AC844" s="36"/>
    </row>
    <row r="845" spans="1:29" x14ac:dyDescent="0.3">
      <c r="A845" s="34"/>
      <c r="L845" s="36"/>
      <c r="R845" s="34"/>
      <c r="AC845" s="36"/>
    </row>
    <row r="846" spans="1:29" x14ac:dyDescent="0.3">
      <c r="A846" s="34"/>
      <c r="L846" s="36"/>
      <c r="R846" s="34"/>
      <c r="AC846" s="36"/>
    </row>
    <row r="847" spans="1:29" x14ac:dyDescent="0.3">
      <c r="A847" s="34"/>
      <c r="L847" s="36"/>
      <c r="R847" s="34"/>
      <c r="AC847" s="36"/>
    </row>
    <row r="848" spans="1:29" x14ac:dyDescent="0.3">
      <c r="A848" s="34"/>
      <c r="L848" s="36"/>
      <c r="R848" s="34"/>
      <c r="AC848" s="36"/>
    </row>
    <row r="849" spans="1:29" x14ac:dyDescent="0.3">
      <c r="A849" s="34"/>
      <c r="L849" s="36"/>
      <c r="R849" s="34"/>
      <c r="AC849" s="36"/>
    </row>
    <row r="850" spans="1:29" x14ac:dyDescent="0.3">
      <c r="A850" s="34"/>
      <c r="L850" s="36"/>
      <c r="R850" s="34"/>
      <c r="AC850" s="36"/>
    </row>
    <row r="851" spans="1:29" x14ac:dyDescent="0.3">
      <c r="A851" s="34"/>
      <c r="L851" s="36"/>
      <c r="R851" s="34"/>
      <c r="AC851" s="36"/>
    </row>
    <row r="852" spans="1:29" x14ac:dyDescent="0.3">
      <c r="A852" s="34"/>
      <c r="L852" s="36"/>
      <c r="R852" s="34"/>
      <c r="AC852" s="36"/>
    </row>
    <row r="853" spans="1:29" x14ac:dyDescent="0.3">
      <c r="A853" s="34"/>
      <c r="L853" s="36"/>
      <c r="R853" s="34"/>
      <c r="AC853" s="36"/>
    </row>
    <row r="854" spans="1:29" x14ac:dyDescent="0.3">
      <c r="A854" s="34"/>
      <c r="L854" s="36"/>
      <c r="R854" s="34"/>
      <c r="AC854" s="36"/>
    </row>
    <row r="855" spans="1:29" x14ac:dyDescent="0.3">
      <c r="A855" s="34"/>
      <c r="L855" s="36"/>
      <c r="R855" s="34"/>
      <c r="AC855" s="36"/>
    </row>
    <row r="856" spans="1:29" x14ac:dyDescent="0.3">
      <c r="A856" s="34"/>
      <c r="L856" s="36"/>
      <c r="R856" s="34"/>
      <c r="AC856" s="36"/>
    </row>
    <row r="857" spans="1:29" x14ac:dyDescent="0.3">
      <c r="A857" s="34"/>
      <c r="L857" s="36"/>
      <c r="R857" s="34"/>
      <c r="AC857" s="36"/>
    </row>
    <row r="858" spans="1:29" x14ac:dyDescent="0.3">
      <c r="A858" s="34"/>
      <c r="L858" s="36"/>
      <c r="R858" s="34"/>
      <c r="AC858" s="36"/>
    </row>
    <row r="859" spans="1:29" x14ac:dyDescent="0.3">
      <c r="A859" s="34"/>
      <c r="L859" s="36"/>
      <c r="R859" s="34"/>
      <c r="AC859" s="36"/>
    </row>
    <row r="860" spans="1:29" x14ac:dyDescent="0.3">
      <c r="A860" s="34"/>
      <c r="L860" s="36"/>
      <c r="R860" s="34"/>
      <c r="AC860" s="36"/>
    </row>
    <row r="861" spans="1:29" x14ac:dyDescent="0.3">
      <c r="A861" s="34"/>
      <c r="L861" s="36"/>
      <c r="R861" s="34"/>
      <c r="AC861" s="36"/>
    </row>
    <row r="862" spans="1:29" x14ac:dyDescent="0.3">
      <c r="A862" s="34"/>
      <c r="L862" s="36"/>
      <c r="R862" s="34"/>
      <c r="AC862" s="36"/>
    </row>
    <row r="863" spans="1:29" x14ac:dyDescent="0.3">
      <c r="A863" s="34"/>
      <c r="L863" s="36"/>
      <c r="R863" s="34"/>
      <c r="AC863" s="36"/>
    </row>
    <row r="864" spans="1:29" x14ac:dyDescent="0.3">
      <c r="A864" s="34"/>
      <c r="L864" s="36"/>
      <c r="R864" s="34"/>
      <c r="AC864" s="36"/>
    </row>
    <row r="865" spans="1:29" x14ac:dyDescent="0.3">
      <c r="A865" s="34"/>
      <c r="L865" s="36"/>
      <c r="R865" s="34"/>
      <c r="AC865" s="36"/>
    </row>
    <row r="866" spans="1:29" x14ac:dyDescent="0.3">
      <c r="A866" s="34"/>
      <c r="L866" s="36"/>
      <c r="R866" s="34"/>
      <c r="AC866" s="36"/>
    </row>
    <row r="867" spans="1:29" x14ac:dyDescent="0.3">
      <c r="A867" s="34"/>
      <c r="L867" s="36"/>
      <c r="R867" s="34"/>
      <c r="AC867" s="36"/>
    </row>
    <row r="868" spans="1:29" x14ac:dyDescent="0.3">
      <c r="A868" s="34"/>
      <c r="L868" s="36"/>
      <c r="R868" s="34"/>
      <c r="AC868" s="36"/>
    </row>
    <row r="869" spans="1:29" x14ac:dyDescent="0.3">
      <c r="A869" s="34"/>
      <c r="L869" s="36"/>
      <c r="R869" s="34"/>
      <c r="AC869" s="36"/>
    </row>
    <row r="870" spans="1:29" x14ac:dyDescent="0.3">
      <c r="A870" s="34"/>
      <c r="L870" s="36"/>
      <c r="R870" s="34"/>
      <c r="AC870" s="36"/>
    </row>
    <row r="871" spans="1:29" x14ac:dyDescent="0.3">
      <c r="A871" s="34"/>
      <c r="L871" s="36"/>
      <c r="R871" s="34"/>
      <c r="AC871" s="36"/>
    </row>
    <row r="872" spans="1:29" x14ac:dyDescent="0.3">
      <c r="A872" s="34"/>
      <c r="L872" s="36"/>
      <c r="R872" s="34"/>
      <c r="AC872" s="36"/>
    </row>
    <row r="873" spans="1:29" x14ac:dyDescent="0.3">
      <c r="A873" s="34"/>
      <c r="L873" s="36"/>
      <c r="R873" s="34"/>
      <c r="AC873" s="36"/>
    </row>
    <row r="874" spans="1:29" x14ac:dyDescent="0.3">
      <c r="A874" s="34"/>
      <c r="L874" s="36"/>
      <c r="R874" s="34"/>
      <c r="AC874" s="36"/>
    </row>
    <row r="875" spans="1:29" x14ac:dyDescent="0.3">
      <c r="A875" s="34"/>
      <c r="L875" s="36"/>
      <c r="R875" s="34"/>
      <c r="AC875" s="36"/>
    </row>
    <row r="876" spans="1:29" x14ac:dyDescent="0.3">
      <c r="A876" s="34"/>
      <c r="L876" s="36"/>
      <c r="R876" s="34"/>
      <c r="AC876" s="36"/>
    </row>
    <row r="877" spans="1:29" x14ac:dyDescent="0.3">
      <c r="A877" s="34"/>
      <c r="L877" s="36"/>
      <c r="R877" s="34"/>
      <c r="AC877" s="36"/>
    </row>
    <row r="878" spans="1:29" x14ac:dyDescent="0.3">
      <c r="A878" s="34"/>
      <c r="L878" s="36"/>
      <c r="R878" s="34"/>
      <c r="AC878" s="36"/>
    </row>
    <row r="879" spans="1:29" x14ac:dyDescent="0.3">
      <c r="A879" s="34"/>
      <c r="L879" s="36"/>
      <c r="R879" s="34"/>
      <c r="AC879" s="36"/>
    </row>
    <row r="880" spans="1:29" x14ac:dyDescent="0.3">
      <c r="A880" s="34"/>
      <c r="L880" s="36"/>
      <c r="R880" s="34"/>
      <c r="AC880" s="36"/>
    </row>
    <row r="881" spans="1:29" x14ac:dyDescent="0.3">
      <c r="A881" s="34"/>
      <c r="L881" s="36"/>
      <c r="R881" s="34"/>
      <c r="AC881" s="36"/>
    </row>
    <row r="882" spans="1:29" x14ac:dyDescent="0.3">
      <c r="A882" s="34"/>
      <c r="L882" s="36"/>
      <c r="R882" s="34"/>
      <c r="AC882" s="36"/>
    </row>
    <row r="883" spans="1:29" x14ac:dyDescent="0.3">
      <c r="A883" s="34"/>
      <c r="L883" s="36"/>
      <c r="R883" s="34"/>
      <c r="AC883" s="36"/>
    </row>
    <row r="884" spans="1:29" x14ac:dyDescent="0.3">
      <c r="A884" s="34"/>
      <c r="L884" s="36"/>
      <c r="R884" s="34"/>
      <c r="AC884" s="36"/>
    </row>
    <row r="885" spans="1:29" x14ac:dyDescent="0.3">
      <c r="A885" s="34"/>
      <c r="L885" s="36"/>
      <c r="R885" s="34"/>
      <c r="AC885" s="36"/>
    </row>
    <row r="886" spans="1:29" x14ac:dyDescent="0.3">
      <c r="A886" s="34"/>
      <c r="L886" s="36"/>
      <c r="R886" s="34"/>
      <c r="AC886" s="36"/>
    </row>
    <row r="887" spans="1:29" x14ac:dyDescent="0.3">
      <c r="A887" s="34"/>
      <c r="L887" s="36"/>
      <c r="R887" s="34"/>
      <c r="AC887" s="36"/>
    </row>
    <row r="888" spans="1:29" x14ac:dyDescent="0.3">
      <c r="A888" s="34"/>
      <c r="L888" s="36"/>
      <c r="R888" s="34"/>
      <c r="AC888" s="36"/>
    </row>
    <row r="889" spans="1:29" x14ac:dyDescent="0.3">
      <c r="A889" s="34"/>
      <c r="L889" s="36"/>
      <c r="R889" s="34"/>
      <c r="AC889" s="36"/>
    </row>
    <row r="890" spans="1:29" x14ac:dyDescent="0.3">
      <c r="A890" s="34"/>
      <c r="L890" s="36"/>
      <c r="R890" s="34"/>
      <c r="AC890" s="36"/>
    </row>
    <row r="891" spans="1:29" x14ac:dyDescent="0.3">
      <c r="A891" s="34"/>
      <c r="L891" s="36"/>
      <c r="R891" s="34"/>
      <c r="AC891" s="36"/>
    </row>
    <row r="892" spans="1:29" x14ac:dyDescent="0.3">
      <c r="A892" s="34"/>
      <c r="L892" s="36"/>
      <c r="R892" s="34"/>
      <c r="AC892" s="36"/>
    </row>
    <row r="893" spans="1:29" x14ac:dyDescent="0.3">
      <c r="A893" s="34"/>
      <c r="L893" s="36"/>
      <c r="R893" s="34"/>
      <c r="AC893" s="36"/>
    </row>
    <row r="894" spans="1:29" x14ac:dyDescent="0.3">
      <c r="A894" s="34"/>
      <c r="L894" s="36"/>
      <c r="R894" s="34"/>
      <c r="AC894" s="36"/>
    </row>
    <row r="895" spans="1:29" x14ac:dyDescent="0.3">
      <c r="A895" s="34"/>
      <c r="L895" s="36"/>
      <c r="R895" s="34"/>
      <c r="AC895" s="36"/>
    </row>
    <row r="896" spans="1:29" x14ac:dyDescent="0.3">
      <c r="A896" s="34"/>
      <c r="L896" s="36"/>
      <c r="R896" s="34"/>
      <c r="AC896" s="36"/>
    </row>
    <row r="897" spans="1:29" x14ac:dyDescent="0.3">
      <c r="A897" s="34"/>
      <c r="L897" s="36"/>
      <c r="R897" s="34"/>
      <c r="AC897" s="36"/>
    </row>
    <row r="898" spans="1:29" x14ac:dyDescent="0.3">
      <c r="A898" s="34"/>
      <c r="L898" s="36"/>
      <c r="R898" s="34"/>
      <c r="AC898" s="36"/>
    </row>
    <row r="899" spans="1:29" x14ac:dyDescent="0.3">
      <c r="A899" s="34"/>
      <c r="L899" s="36"/>
      <c r="R899" s="34"/>
      <c r="AC899" s="36"/>
    </row>
    <row r="900" spans="1:29" x14ac:dyDescent="0.3">
      <c r="A900" s="34"/>
      <c r="L900" s="36"/>
      <c r="R900" s="34"/>
      <c r="AC900" s="36"/>
    </row>
    <row r="901" spans="1:29" x14ac:dyDescent="0.3">
      <c r="A901" s="34"/>
      <c r="L901" s="36"/>
      <c r="R901" s="34"/>
      <c r="AC901" s="36"/>
    </row>
    <row r="902" spans="1:29" x14ac:dyDescent="0.3">
      <c r="A902" s="34"/>
      <c r="L902" s="36"/>
      <c r="R902" s="34"/>
      <c r="AC902" s="36"/>
    </row>
    <row r="903" spans="1:29" x14ac:dyDescent="0.3">
      <c r="A903" s="34"/>
      <c r="L903" s="36"/>
      <c r="R903" s="34"/>
      <c r="AC903" s="36"/>
    </row>
    <row r="904" spans="1:29" x14ac:dyDescent="0.3">
      <c r="A904" s="34"/>
      <c r="L904" s="36"/>
      <c r="R904" s="34"/>
      <c r="AC904" s="36"/>
    </row>
    <row r="905" spans="1:29" x14ac:dyDescent="0.3">
      <c r="A905" s="34"/>
      <c r="L905" s="36"/>
      <c r="R905" s="34"/>
      <c r="AC905" s="36"/>
    </row>
    <row r="906" spans="1:29" x14ac:dyDescent="0.3">
      <c r="A906" s="34"/>
      <c r="L906" s="36"/>
      <c r="R906" s="34"/>
      <c r="AC906" s="36"/>
    </row>
    <row r="907" spans="1:29" x14ac:dyDescent="0.3">
      <c r="A907" s="34"/>
      <c r="L907" s="36"/>
      <c r="R907" s="34"/>
      <c r="AC907" s="36"/>
    </row>
    <row r="908" spans="1:29" x14ac:dyDescent="0.3">
      <c r="A908" s="34"/>
      <c r="L908" s="36"/>
      <c r="R908" s="34"/>
      <c r="AC908" s="36"/>
    </row>
    <row r="909" spans="1:29" x14ac:dyDescent="0.3">
      <c r="A909" s="34"/>
      <c r="L909" s="36"/>
      <c r="R909" s="34"/>
      <c r="AC909" s="36"/>
    </row>
    <row r="910" spans="1:29" x14ac:dyDescent="0.3">
      <c r="A910" s="34"/>
      <c r="L910" s="36"/>
      <c r="R910" s="34"/>
      <c r="AC910" s="36"/>
    </row>
    <row r="911" spans="1:29" x14ac:dyDescent="0.3">
      <c r="A911" s="34"/>
      <c r="L911" s="36"/>
      <c r="R911" s="34"/>
      <c r="AC911" s="36"/>
    </row>
    <row r="912" spans="1:29" x14ac:dyDescent="0.3">
      <c r="A912" s="34"/>
      <c r="L912" s="36"/>
      <c r="R912" s="34"/>
      <c r="AC912" s="36"/>
    </row>
    <row r="913" spans="1:29" x14ac:dyDescent="0.3">
      <c r="A913" s="34"/>
      <c r="L913" s="36"/>
      <c r="R913" s="34"/>
      <c r="AC913" s="36"/>
    </row>
    <row r="914" spans="1:29" x14ac:dyDescent="0.3">
      <c r="A914" s="34"/>
      <c r="L914" s="36"/>
      <c r="R914" s="34"/>
      <c r="AC914" s="36"/>
    </row>
    <row r="915" spans="1:29" x14ac:dyDescent="0.3">
      <c r="A915" s="34"/>
      <c r="L915" s="36"/>
      <c r="R915" s="34"/>
      <c r="AC915" s="36"/>
    </row>
    <row r="916" spans="1:29" x14ac:dyDescent="0.3">
      <c r="A916" s="34"/>
      <c r="L916" s="36"/>
      <c r="R916" s="34"/>
      <c r="AC916" s="36"/>
    </row>
    <row r="917" spans="1:29" x14ac:dyDescent="0.3">
      <c r="A917" s="34"/>
      <c r="L917" s="36"/>
      <c r="R917" s="34"/>
      <c r="AC917" s="36"/>
    </row>
    <row r="918" spans="1:29" x14ac:dyDescent="0.3">
      <c r="A918" s="34"/>
      <c r="L918" s="36"/>
      <c r="R918" s="34"/>
      <c r="AC918" s="36"/>
    </row>
    <row r="919" spans="1:29" x14ac:dyDescent="0.3">
      <c r="A919" s="34"/>
      <c r="L919" s="36"/>
      <c r="R919" s="34"/>
      <c r="AC919" s="36"/>
    </row>
    <row r="920" spans="1:29" x14ac:dyDescent="0.3">
      <c r="A920" s="34"/>
      <c r="L920" s="36"/>
      <c r="R920" s="34"/>
      <c r="AC920" s="36"/>
    </row>
    <row r="921" spans="1:29" x14ac:dyDescent="0.3">
      <c r="A921" s="34"/>
      <c r="L921" s="36"/>
      <c r="R921" s="34"/>
      <c r="AC921" s="36"/>
    </row>
    <row r="922" spans="1:29" x14ac:dyDescent="0.3">
      <c r="A922" s="34"/>
      <c r="L922" s="36"/>
      <c r="R922" s="34"/>
      <c r="AC922" s="36"/>
    </row>
    <row r="923" spans="1:29" x14ac:dyDescent="0.3">
      <c r="A923" s="34"/>
      <c r="L923" s="36"/>
      <c r="R923" s="34"/>
      <c r="AC923" s="36"/>
    </row>
    <row r="924" spans="1:29" x14ac:dyDescent="0.3">
      <c r="A924" s="34"/>
      <c r="L924" s="36"/>
      <c r="R924" s="34"/>
      <c r="AC924" s="36"/>
    </row>
    <row r="925" spans="1:29" x14ac:dyDescent="0.3">
      <c r="A925" s="34"/>
      <c r="L925" s="36"/>
      <c r="R925" s="34"/>
      <c r="AC925" s="36"/>
    </row>
    <row r="926" spans="1:29" x14ac:dyDescent="0.3">
      <c r="A926" s="34"/>
      <c r="L926" s="36"/>
      <c r="R926" s="34"/>
      <c r="AC926" s="36"/>
    </row>
    <row r="927" spans="1:29" x14ac:dyDescent="0.3">
      <c r="A927" s="34"/>
      <c r="L927" s="36"/>
      <c r="R927" s="34"/>
      <c r="AC927" s="36"/>
    </row>
    <row r="928" spans="1:29" x14ac:dyDescent="0.3">
      <c r="A928" s="34"/>
      <c r="L928" s="36"/>
      <c r="R928" s="34"/>
      <c r="AC928" s="36"/>
    </row>
    <row r="929" spans="1:29" x14ac:dyDescent="0.3">
      <c r="A929" s="34"/>
      <c r="L929" s="36"/>
      <c r="R929" s="34"/>
      <c r="AC929" s="36"/>
    </row>
    <row r="930" spans="1:29" x14ac:dyDescent="0.3">
      <c r="A930" s="34"/>
      <c r="L930" s="36"/>
      <c r="R930" s="34"/>
      <c r="AC930" s="36"/>
    </row>
    <row r="931" spans="1:29" x14ac:dyDescent="0.3">
      <c r="A931" s="34"/>
      <c r="L931" s="36"/>
      <c r="R931" s="34"/>
      <c r="AC931" s="36"/>
    </row>
    <row r="932" spans="1:29" x14ac:dyDescent="0.3">
      <c r="A932" s="34"/>
      <c r="L932" s="36"/>
      <c r="R932" s="34"/>
      <c r="AC932" s="36"/>
    </row>
    <row r="933" spans="1:29" x14ac:dyDescent="0.3">
      <c r="A933" s="34"/>
      <c r="L933" s="36"/>
      <c r="R933" s="34"/>
      <c r="AC933" s="36"/>
    </row>
    <row r="934" spans="1:29" x14ac:dyDescent="0.3">
      <c r="A934" s="34"/>
      <c r="L934" s="36"/>
      <c r="R934" s="34"/>
      <c r="AC934" s="36"/>
    </row>
    <row r="935" spans="1:29" x14ac:dyDescent="0.3">
      <c r="A935" s="34"/>
      <c r="L935" s="36"/>
      <c r="R935" s="34"/>
      <c r="AC935" s="36"/>
    </row>
    <row r="936" spans="1:29" x14ac:dyDescent="0.3">
      <c r="A936" s="34"/>
      <c r="L936" s="36"/>
      <c r="R936" s="34"/>
      <c r="AC936" s="36"/>
    </row>
    <row r="937" spans="1:29" x14ac:dyDescent="0.3">
      <c r="A937" s="34"/>
      <c r="L937" s="36"/>
      <c r="R937" s="34"/>
      <c r="AC937" s="36"/>
    </row>
    <row r="938" spans="1:29" x14ac:dyDescent="0.3">
      <c r="A938" s="34"/>
      <c r="L938" s="36"/>
      <c r="R938" s="34"/>
      <c r="AC938" s="36"/>
    </row>
    <row r="939" spans="1:29" x14ac:dyDescent="0.3">
      <c r="A939" s="34"/>
      <c r="L939" s="36"/>
      <c r="R939" s="34"/>
      <c r="AC939" s="36"/>
    </row>
    <row r="940" spans="1:29" x14ac:dyDescent="0.3">
      <c r="A940" s="34"/>
      <c r="L940" s="36"/>
      <c r="R940" s="34"/>
      <c r="AC940" s="36"/>
    </row>
    <row r="941" spans="1:29" x14ac:dyDescent="0.3">
      <c r="A941" s="34"/>
      <c r="L941" s="36"/>
      <c r="R941" s="34"/>
      <c r="AC941" s="36"/>
    </row>
    <row r="942" spans="1:29" x14ac:dyDescent="0.3">
      <c r="A942" s="34"/>
      <c r="L942" s="36"/>
      <c r="R942" s="34"/>
      <c r="AC942" s="36"/>
    </row>
    <row r="943" spans="1:29" x14ac:dyDescent="0.3">
      <c r="A943" s="34"/>
      <c r="L943" s="36"/>
      <c r="R943" s="34"/>
      <c r="AC943" s="36"/>
    </row>
    <row r="944" spans="1:29" x14ac:dyDescent="0.3">
      <c r="A944" s="34"/>
      <c r="L944" s="36"/>
      <c r="R944" s="34"/>
      <c r="AC944" s="36"/>
    </row>
    <row r="945" spans="1:29" x14ac:dyDescent="0.3">
      <c r="A945" s="34"/>
      <c r="L945" s="36"/>
      <c r="R945" s="34"/>
      <c r="AC945" s="36"/>
    </row>
    <row r="946" spans="1:29" x14ac:dyDescent="0.3">
      <c r="A946" s="34"/>
      <c r="L946" s="36"/>
      <c r="R946" s="34"/>
      <c r="AC946" s="36"/>
    </row>
    <row r="947" spans="1:29" x14ac:dyDescent="0.3">
      <c r="A947" s="34"/>
      <c r="L947" s="36"/>
      <c r="R947" s="34"/>
      <c r="AC947" s="36"/>
    </row>
    <row r="948" spans="1:29" x14ac:dyDescent="0.3">
      <c r="A948" s="34"/>
      <c r="L948" s="36"/>
      <c r="R948" s="34"/>
      <c r="AC948" s="36"/>
    </row>
    <row r="949" spans="1:29" x14ac:dyDescent="0.3">
      <c r="A949" s="34"/>
      <c r="L949" s="36"/>
      <c r="R949" s="34"/>
      <c r="AC949" s="36"/>
    </row>
    <row r="950" spans="1:29" x14ac:dyDescent="0.3">
      <c r="A950" s="34"/>
      <c r="L950" s="36"/>
      <c r="R950" s="34"/>
      <c r="AC950" s="36"/>
    </row>
    <row r="951" spans="1:29" x14ac:dyDescent="0.3">
      <c r="A951" s="34"/>
      <c r="L951" s="36"/>
      <c r="R951" s="34"/>
      <c r="AC951" s="36"/>
    </row>
    <row r="952" spans="1:29" x14ac:dyDescent="0.3">
      <c r="A952" s="34"/>
      <c r="L952" s="36"/>
      <c r="R952" s="34"/>
      <c r="AC952" s="36"/>
    </row>
    <row r="953" spans="1:29" x14ac:dyDescent="0.3">
      <c r="A953" s="34"/>
      <c r="L953" s="36"/>
      <c r="R953" s="34"/>
      <c r="AC953" s="36"/>
    </row>
    <row r="954" spans="1:29" x14ac:dyDescent="0.3">
      <c r="A954" s="34"/>
      <c r="L954" s="36"/>
      <c r="R954" s="34"/>
      <c r="AC954" s="36"/>
    </row>
    <row r="955" spans="1:29" x14ac:dyDescent="0.3">
      <c r="A955" s="34"/>
      <c r="L955" s="36"/>
      <c r="R955" s="34"/>
      <c r="AC955" s="36"/>
    </row>
    <row r="956" spans="1:29" x14ac:dyDescent="0.3">
      <c r="A956" s="34"/>
      <c r="L956" s="36"/>
      <c r="R956" s="34"/>
      <c r="AC956" s="36"/>
    </row>
    <row r="957" spans="1:29" x14ac:dyDescent="0.3">
      <c r="A957" s="34"/>
      <c r="L957" s="36"/>
      <c r="R957" s="34"/>
      <c r="AC957" s="36"/>
    </row>
    <row r="958" spans="1:29" x14ac:dyDescent="0.3">
      <c r="A958" s="34"/>
      <c r="L958" s="36"/>
      <c r="R958" s="34"/>
      <c r="AC958" s="36"/>
    </row>
    <row r="959" spans="1:29" x14ac:dyDescent="0.3">
      <c r="A959" s="34"/>
      <c r="L959" s="36"/>
      <c r="R959" s="34"/>
      <c r="AC959" s="36"/>
    </row>
    <row r="960" spans="1:29" x14ac:dyDescent="0.3">
      <c r="A960" s="34"/>
      <c r="L960" s="36"/>
      <c r="R960" s="34"/>
      <c r="AC960" s="36"/>
    </row>
    <row r="961" spans="1:29" x14ac:dyDescent="0.3">
      <c r="A961" s="34"/>
      <c r="L961" s="36"/>
      <c r="R961" s="34"/>
      <c r="AC961" s="36"/>
    </row>
    <row r="962" spans="1:29" x14ac:dyDescent="0.3">
      <c r="A962" s="34"/>
      <c r="L962" s="36"/>
      <c r="R962" s="34"/>
      <c r="AC962" s="36"/>
    </row>
    <row r="963" spans="1:29" x14ac:dyDescent="0.3">
      <c r="A963" s="34"/>
      <c r="L963" s="36"/>
      <c r="R963" s="34"/>
      <c r="AC963" s="36"/>
    </row>
    <row r="964" spans="1:29" x14ac:dyDescent="0.3">
      <c r="A964" s="34"/>
      <c r="L964" s="36"/>
      <c r="R964" s="34"/>
      <c r="AC964" s="36"/>
    </row>
    <row r="965" spans="1:29" x14ac:dyDescent="0.3">
      <c r="A965" s="34"/>
      <c r="L965" s="36"/>
      <c r="R965" s="34"/>
      <c r="AC965" s="36"/>
    </row>
    <row r="966" spans="1:29" x14ac:dyDescent="0.3">
      <c r="A966" s="34"/>
      <c r="L966" s="36"/>
      <c r="R966" s="34"/>
      <c r="AC966" s="36"/>
    </row>
    <row r="967" spans="1:29" x14ac:dyDescent="0.3">
      <c r="A967" s="34"/>
      <c r="L967" s="36"/>
      <c r="R967" s="34"/>
      <c r="AC967" s="36"/>
    </row>
    <row r="968" spans="1:29" x14ac:dyDescent="0.3">
      <c r="A968" s="34"/>
      <c r="L968" s="36"/>
      <c r="R968" s="34"/>
      <c r="AC968" s="36"/>
    </row>
    <row r="969" spans="1:29" x14ac:dyDescent="0.3">
      <c r="A969" s="34"/>
      <c r="L969" s="36"/>
      <c r="R969" s="34"/>
      <c r="AC969" s="36"/>
    </row>
    <row r="970" spans="1:29" x14ac:dyDescent="0.3">
      <c r="A970" s="34"/>
      <c r="L970" s="36"/>
      <c r="R970" s="34"/>
      <c r="AC970" s="36"/>
    </row>
    <row r="971" spans="1:29" x14ac:dyDescent="0.3">
      <c r="A971" s="34"/>
      <c r="L971" s="36"/>
      <c r="R971" s="34"/>
      <c r="AC971" s="36"/>
    </row>
    <row r="972" spans="1:29" x14ac:dyDescent="0.3">
      <c r="A972" s="34"/>
      <c r="L972" s="36"/>
      <c r="R972" s="34"/>
      <c r="AC972" s="36"/>
    </row>
    <row r="973" spans="1:29" x14ac:dyDescent="0.3">
      <c r="A973" s="34"/>
      <c r="L973" s="36"/>
      <c r="R973" s="34"/>
      <c r="AC973" s="36"/>
    </row>
    <row r="974" spans="1:29" x14ac:dyDescent="0.3">
      <c r="A974" s="34"/>
      <c r="L974" s="36"/>
      <c r="R974" s="34"/>
      <c r="AC974" s="36"/>
    </row>
    <row r="975" spans="1:29" x14ac:dyDescent="0.3">
      <c r="A975" s="34"/>
      <c r="L975" s="36"/>
      <c r="R975" s="34"/>
      <c r="AC975" s="36"/>
    </row>
    <row r="976" spans="1:29" x14ac:dyDescent="0.3">
      <c r="A976" s="34"/>
      <c r="L976" s="36"/>
      <c r="R976" s="34"/>
      <c r="AC976" s="36"/>
    </row>
    <row r="977" spans="1:29" x14ac:dyDescent="0.3">
      <c r="A977" s="34"/>
      <c r="L977" s="36"/>
      <c r="R977" s="34"/>
      <c r="AC977" s="36"/>
    </row>
    <row r="978" spans="1:29" x14ac:dyDescent="0.3">
      <c r="A978" s="34"/>
      <c r="L978" s="36"/>
      <c r="R978" s="34"/>
      <c r="AC978" s="36"/>
    </row>
    <row r="979" spans="1:29" x14ac:dyDescent="0.3">
      <c r="A979" s="34"/>
      <c r="L979" s="36"/>
      <c r="R979" s="34"/>
      <c r="AC979" s="36"/>
    </row>
    <row r="980" spans="1:29" x14ac:dyDescent="0.3">
      <c r="A980" s="34"/>
      <c r="L980" s="36"/>
      <c r="R980" s="34"/>
      <c r="AC980" s="36"/>
    </row>
    <row r="981" spans="1:29" x14ac:dyDescent="0.3">
      <c r="A981" s="34"/>
      <c r="L981" s="36"/>
      <c r="R981" s="34"/>
      <c r="AC981" s="36"/>
    </row>
    <row r="982" spans="1:29" x14ac:dyDescent="0.3">
      <c r="A982" s="34"/>
      <c r="L982" s="36"/>
      <c r="R982" s="34"/>
      <c r="AC982" s="36"/>
    </row>
    <row r="983" spans="1:29" x14ac:dyDescent="0.3">
      <c r="A983" s="34"/>
      <c r="L983" s="36"/>
      <c r="R983" s="34"/>
      <c r="AC983" s="36"/>
    </row>
    <row r="984" spans="1:29" x14ac:dyDescent="0.3">
      <c r="A984" s="34"/>
      <c r="L984" s="36"/>
      <c r="R984" s="34"/>
      <c r="AC984" s="36"/>
    </row>
    <row r="985" spans="1:29" x14ac:dyDescent="0.3">
      <c r="A985" s="34"/>
      <c r="L985" s="36"/>
      <c r="R985" s="34"/>
      <c r="AC985" s="36"/>
    </row>
    <row r="986" spans="1:29" x14ac:dyDescent="0.3">
      <c r="A986" s="34"/>
      <c r="L986" s="36"/>
      <c r="R986" s="34"/>
      <c r="AC986" s="36"/>
    </row>
    <row r="987" spans="1:29" x14ac:dyDescent="0.3">
      <c r="A987" s="34"/>
      <c r="L987" s="36"/>
      <c r="R987" s="34"/>
      <c r="AC987" s="36"/>
    </row>
    <row r="988" spans="1:29" x14ac:dyDescent="0.3">
      <c r="A988" s="34"/>
      <c r="L988" s="36"/>
      <c r="R988" s="34"/>
      <c r="AC988" s="36"/>
    </row>
    <row r="989" spans="1:29" x14ac:dyDescent="0.3">
      <c r="A989" s="34"/>
      <c r="L989" s="36"/>
      <c r="R989" s="34"/>
      <c r="AC989" s="36"/>
    </row>
    <row r="990" spans="1:29" x14ac:dyDescent="0.3">
      <c r="A990" s="34"/>
      <c r="L990" s="36"/>
      <c r="R990" s="34"/>
      <c r="AC990" s="36"/>
    </row>
    <row r="991" spans="1:29" x14ac:dyDescent="0.3">
      <c r="A991" s="34"/>
      <c r="L991" s="36"/>
      <c r="R991" s="34"/>
      <c r="AC991" s="36"/>
    </row>
    <row r="992" spans="1:29" x14ac:dyDescent="0.3">
      <c r="A992" s="34"/>
      <c r="L992" s="36"/>
      <c r="R992" s="34"/>
      <c r="AC992" s="36"/>
    </row>
    <row r="993" spans="1:29" x14ac:dyDescent="0.3">
      <c r="A993" s="34"/>
      <c r="L993" s="36"/>
      <c r="R993" s="34"/>
      <c r="AC993" s="36"/>
    </row>
    <row r="994" spans="1:29" x14ac:dyDescent="0.3">
      <c r="A994" s="34"/>
      <c r="L994" s="36"/>
      <c r="R994" s="34"/>
      <c r="AC994" s="36"/>
    </row>
    <row r="995" spans="1:29" x14ac:dyDescent="0.3">
      <c r="A995" s="34"/>
      <c r="L995" s="36"/>
      <c r="R995" s="34"/>
      <c r="AC995" s="36"/>
    </row>
    <row r="996" spans="1:29" x14ac:dyDescent="0.3">
      <c r="A996" s="34"/>
      <c r="L996" s="36"/>
      <c r="R996" s="34"/>
      <c r="AC996" s="36"/>
    </row>
    <row r="997" spans="1:29" x14ac:dyDescent="0.3">
      <c r="A997" s="34"/>
      <c r="L997" s="36"/>
      <c r="R997" s="34"/>
      <c r="AC997" s="36"/>
    </row>
    <row r="998" spans="1:29" x14ac:dyDescent="0.3">
      <c r="A998" s="34"/>
      <c r="L998" s="36"/>
      <c r="R998" s="34"/>
      <c r="AC998" s="36"/>
    </row>
    <row r="999" spans="1:29" x14ac:dyDescent="0.3">
      <c r="A999" s="34"/>
      <c r="L999" s="36"/>
      <c r="R999" s="34"/>
      <c r="AC999" s="36"/>
    </row>
    <row r="1000" spans="1:29" x14ac:dyDescent="0.3">
      <c r="A1000" s="34"/>
      <c r="L1000" s="36"/>
      <c r="R1000" s="34"/>
      <c r="AC1000" s="36"/>
    </row>
    <row r="1001" spans="1:29" x14ac:dyDescent="0.3">
      <c r="A1001" s="34"/>
      <c r="L1001" s="36"/>
      <c r="R1001" s="34"/>
      <c r="AC1001" s="36"/>
    </row>
    <row r="1002" spans="1:29" x14ac:dyDescent="0.3">
      <c r="A1002" s="34"/>
      <c r="L1002" s="36"/>
      <c r="R1002" s="34"/>
      <c r="AC1002" s="36"/>
    </row>
    <row r="1003" spans="1:29" x14ac:dyDescent="0.3">
      <c r="A1003" s="34"/>
      <c r="L1003" s="36"/>
      <c r="R1003" s="34"/>
      <c r="AC1003" s="36"/>
    </row>
    <row r="1004" spans="1:29" x14ac:dyDescent="0.3">
      <c r="A1004" s="34"/>
      <c r="L1004" s="36"/>
      <c r="R1004" s="34"/>
      <c r="AC1004" s="36"/>
    </row>
    <row r="1005" spans="1:29" x14ac:dyDescent="0.3">
      <c r="A1005" s="34"/>
      <c r="L1005" s="36"/>
      <c r="R1005" s="34"/>
      <c r="AC1005" s="36"/>
    </row>
    <row r="1006" spans="1:29" x14ac:dyDescent="0.3">
      <c r="A1006" s="34"/>
      <c r="L1006" s="36"/>
      <c r="R1006" s="34"/>
      <c r="AC1006" s="36"/>
    </row>
    <row r="1007" spans="1:29" x14ac:dyDescent="0.3">
      <c r="A1007" s="34"/>
      <c r="L1007" s="36"/>
      <c r="R1007" s="34"/>
      <c r="AC1007" s="36"/>
    </row>
    <row r="1008" spans="1:29" x14ac:dyDescent="0.3">
      <c r="A1008" s="34"/>
      <c r="L1008" s="36"/>
      <c r="R1008" s="34"/>
      <c r="AC1008" s="36"/>
    </row>
    <row r="1009" spans="1:29" x14ac:dyDescent="0.3">
      <c r="A1009" s="34"/>
      <c r="L1009" s="36"/>
      <c r="R1009" s="34"/>
      <c r="AC1009" s="36"/>
    </row>
    <row r="1010" spans="1:29" x14ac:dyDescent="0.3">
      <c r="A1010" s="34"/>
      <c r="L1010" s="36"/>
      <c r="R1010" s="34"/>
      <c r="AC1010" s="36"/>
    </row>
    <row r="1011" spans="1:29" x14ac:dyDescent="0.3">
      <c r="A1011" s="34"/>
      <c r="L1011" s="36"/>
      <c r="R1011" s="34"/>
      <c r="AC1011" s="36"/>
    </row>
    <row r="1012" spans="1:29" x14ac:dyDescent="0.3">
      <c r="A1012" s="34"/>
      <c r="L1012" s="36"/>
      <c r="R1012" s="34"/>
      <c r="AC1012" s="36"/>
    </row>
    <row r="1013" spans="1:29" x14ac:dyDescent="0.3">
      <c r="A1013" s="34"/>
      <c r="L1013" s="36"/>
      <c r="R1013" s="34"/>
      <c r="AC1013" s="36"/>
    </row>
    <row r="1014" spans="1:29" x14ac:dyDescent="0.3">
      <c r="A1014" s="34"/>
      <c r="L1014" s="36"/>
      <c r="R1014" s="34"/>
      <c r="AC1014" s="36"/>
    </row>
    <row r="1015" spans="1:29" x14ac:dyDescent="0.3">
      <c r="A1015" s="34"/>
      <c r="L1015" s="36"/>
      <c r="R1015" s="34"/>
      <c r="AC1015" s="36"/>
    </row>
    <row r="1016" spans="1:29" x14ac:dyDescent="0.3">
      <c r="A1016" s="34"/>
      <c r="L1016" s="36"/>
      <c r="R1016" s="34"/>
      <c r="AC1016" s="36"/>
    </row>
    <row r="1017" spans="1:29" x14ac:dyDescent="0.3">
      <c r="A1017" s="34"/>
      <c r="L1017" s="36"/>
      <c r="R1017" s="34"/>
      <c r="AC1017" s="36"/>
    </row>
    <row r="1018" spans="1:29" x14ac:dyDescent="0.3">
      <c r="A1018" s="34"/>
      <c r="L1018" s="36"/>
      <c r="R1018" s="34"/>
      <c r="AC1018" s="36"/>
    </row>
    <row r="1019" spans="1:29" x14ac:dyDescent="0.3">
      <c r="A1019" s="34"/>
      <c r="L1019" s="36"/>
      <c r="R1019" s="34"/>
      <c r="AC1019" s="36"/>
    </row>
    <row r="1020" spans="1:29" x14ac:dyDescent="0.3">
      <c r="A1020" s="34"/>
      <c r="L1020" s="36"/>
      <c r="R1020" s="34"/>
      <c r="AC1020" s="36"/>
    </row>
    <row r="1021" spans="1:29" x14ac:dyDescent="0.3">
      <c r="A1021" s="34"/>
      <c r="L1021" s="36"/>
      <c r="R1021" s="34"/>
      <c r="AC1021" s="36"/>
    </row>
    <row r="1022" spans="1:29" x14ac:dyDescent="0.3">
      <c r="A1022" s="34"/>
      <c r="L1022" s="36"/>
      <c r="R1022" s="34"/>
      <c r="AC1022" s="36"/>
    </row>
    <row r="1023" spans="1:29" x14ac:dyDescent="0.3">
      <c r="A1023" s="34"/>
      <c r="L1023" s="36"/>
      <c r="R1023" s="34"/>
      <c r="AC1023" s="36"/>
    </row>
    <row r="1024" spans="1:29" x14ac:dyDescent="0.3">
      <c r="A1024" s="34"/>
      <c r="L1024" s="36"/>
      <c r="R1024" s="34"/>
      <c r="AC1024" s="36"/>
    </row>
    <row r="1025" spans="1:29" x14ac:dyDescent="0.3">
      <c r="A1025" s="34"/>
      <c r="L1025" s="36"/>
      <c r="R1025" s="34"/>
      <c r="AC1025" s="36"/>
    </row>
    <row r="1026" spans="1:29" x14ac:dyDescent="0.3">
      <c r="A1026" s="34"/>
      <c r="L1026" s="36"/>
      <c r="R1026" s="34"/>
      <c r="AC1026" s="36"/>
    </row>
    <row r="1027" spans="1:29" x14ac:dyDescent="0.3">
      <c r="A1027" s="34"/>
      <c r="L1027" s="36"/>
      <c r="R1027" s="34"/>
      <c r="AC1027" s="36"/>
    </row>
    <row r="1028" spans="1:29" x14ac:dyDescent="0.3">
      <c r="A1028" s="34"/>
      <c r="L1028" s="36"/>
      <c r="R1028" s="34"/>
      <c r="AC1028" s="36"/>
    </row>
    <row r="1029" spans="1:29" x14ac:dyDescent="0.3">
      <c r="A1029" s="34"/>
      <c r="L1029" s="36"/>
      <c r="R1029" s="34"/>
      <c r="AC1029" s="36"/>
    </row>
    <row r="1030" spans="1:29" x14ac:dyDescent="0.3">
      <c r="A1030" s="34"/>
      <c r="L1030" s="36"/>
      <c r="R1030" s="34"/>
      <c r="AC1030" s="36"/>
    </row>
    <row r="1031" spans="1:29" x14ac:dyDescent="0.3">
      <c r="A1031" s="34"/>
      <c r="L1031" s="36"/>
      <c r="R1031" s="34"/>
      <c r="AC1031" s="36"/>
    </row>
    <row r="1032" spans="1:29" x14ac:dyDescent="0.3">
      <c r="A1032" s="34"/>
      <c r="L1032" s="36"/>
      <c r="R1032" s="34"/>
      <c r="AC1032" s="36"/>
    </row>
    <row r="1033" spans="1:29" x14ac:dyDescent="0.3">
      <c r="A1033" s="34"/>
      <c r="L1033" s="36"/>
      <c r="R1033" s="34"/>
      <c r="AC1033" s="36"/>
    </row>
    <row r="1034" spans="1:29" x14ac:dyDescent="0.3">
      <c r="A1034" s="34"/>
      <c r="L1034" s="36"/>
      <c r="R1034" s="34"/>
      <c r="AC1034" s="36"/>
    </row>
    <row r="1035" spans="1:29" x14ac:dyDescent="0.3">
      <c r="A1035" s="34"/>
      <c r="L1035" s="36"/>
      <c r="R1035" s="34"/>
      <c r="AC1035" s="36"/>
    </row>
    <row r="1036" spans="1:29" x14ac:dyDescent="0.3">
      <c r="A1036" s="34"/>
      <c r="L1036" s="36"/>
      <c r="R1036" s="34"/>
      <c r="AC1036" s="36"/>
    </row>
    <row r="1037" spans="1:29" x14ac:dyDescent="0.3">
      <c r="A1037" s="34"/>
      <c r="L1037" s="36"/>
      <c r="R1037" s="34"/>
      <c r="AC1037" s="36"/>
    </row>
    <row r="1038" spans="1:29" x14ac:dyDescent="0.3">
      <c r="A1038" s="34"/>
      <c r="L1038" s="36"/>
      <c r="R1038" s="34"/>
      <c r="AC1038" s="36"/>
    </row>
    <row r="1039" spans="1:29" x14ac:dyDescent="0.3">
      <c r="A1039" s="34"/>
      <c r="L1039" s="36"/>
      <c r="R1039" s="34"/>
      <c r="AC1039" s="36"/>
    </row>
    <row r="1040" spans="1:29" x14ac:dyDescent="0.3">
      <c r="A1040" s="34"/>
      <c r="L1040" s="36"/>
      <c r="R1040" s="34"/>
      <c r="AC1040" s="36"/>
    </row>
    <row r="1041" spans="1:29" x14ac:dyDescent="0.3">
      <c r="A1041" s="34"/>
      <c r="L1041" s="36"/>
      <c r="R1041" s="34"/>
      <c r="AC1041" s="36"/>
    </row>
    <row r="1042" spans="1:29" x14ac:dyDescent="0.3">
      <c r="A1042" s="34"/>
      <c r="L1042" s="36"/>
      <c r="R1042" s="34"/>
      <c r="AC1042" s="36"/>
    </row>
    <row r="1043" spans="1:29" x14ac:dyDescent="0.3">
      <c r="A1043" s="34"/>
      <c r="L1043" s="36"/>
      <c r="R1043" s="34"/>
      <c r="AC1043" s="36"/>
    </row>
    <row r="1044" spans="1:29" x14ac:dyDescent="0.3">
      <c r="A1044" s="34"/>
      <c r="L1044" s="36"/>
      <c r="R1044" s="34"/>
      <c r="AC1044" s="36"/>
    </row>
    <row r="1045" spans="1:29" x14ac:dyDescent="0.3">
      <c r="A1045" s="34"/>
      <c r="L1045" s="36"/>
      <c r="R1045" s="34"/>
      <c r="AC1045" s="36"/>
    </row>
    <row r="1046" spans="1:29" x14ac:dyDescent="0.3">
      <c r="A1046" s="34"/>
      <c r="L1046" s="36"/>
      <c r="R1046" s="34"/>
      <c r="AC1046" s="36"/>
    </row>
    <row r="1047" spans="1:29" x14ac:dyDescent="0.3">
      <c r="A1047" s="34"/>
      <c r="L1047" s="36"/>
      <c r="R1047" s="34"/>
      <c r="AC1047" s="36"/>
    </row>
    <row r="1048" spans="1:29" x14ac:dyDescent="0.3">
      <c r="A1048" s="34"/>
      <c r="L1048" s="36"/>
      <c r="R1048" s="34"/>
      <c r="AC1048" s="36"/>
    </row>
    <row r="1049" spans="1:29" x14ac:dyDescent="0.3">
      <c r="A1049" s="34"/>
      <c r="L1049" s="36"/>
      <c r="R1049" s="34"/>
      <c r="AC1049" s="36"/>
    </row>
    <row r="1050" spans="1:29" x14ac:dyDescent="0.3">
      <c r="A1050" s="34"/>
      <c r="L1050" s="36"/>
      <c r="R1050" s="34"/>
      <c r="AC1050" s="36"/>
    </row>
    <row r="1051" spans="1:29" x14ac:dyDescent="0.3">
      <c r="A1051" s="34"/>
      <c r="L1051" s="36"/>
      <c r="R1051" s="34"/>
      <c r="AC1051" s="36"/>
    </row>
    <row r="1052" spans="1:29" x14ac:dyDescent="0.3">
      <c r="A1052" s="34"/>
      <c r="L1052" s="36"/>
      <c r="R1052" s="34"/>
      <c r="AC1052" s="36"/>
    </row>
    <row r="1053" spans="1:29" x14ac:dyDescent="0.3">
      <c r="A1053" s="34"/>
      <c r="L1053" s="36"/>
      <c r="R1053" s="34"/>
      <c r="AC1053" s="36"/>
    </row>
    <row r="1054" spans="1:29" x14ac:dyDescent="0.3">
      <c r="A1054" s="34"/>
      <c r="L1054" s="36"/>
      <c r="R1054" s="34"/>
      <c r="AC1054" s="36"/>
    </row>
    <row r="1055" spans="1:29" x14ac:dyDescent="0.3">
      <c r="A1055" s="34"/>
      <c r="L1055" s="36"/>
      <c r="R1055" s="34"/>
      <c r="AC1055" s="36"/>
    </row>
    <row r="1056" spans="1:29" x14ac:dyDescent="0.3">
      <c r="A1056" s="34"/>
      <c r="L1056" s="36"/>
      <c r="R1056" s="34"/>
      <c r="AC1056" s="36"/>
    </row>
    <row r="1057" spans="1:29" x14ac:dyDescent="0.3">
      <c r="A1057" s="34"/>
      <c r="L1057" s="36"/>
      <c r="R1057" s="34"/>
      <c r="AC1057" s="36"/>
    </row>
    <row r="1058" spans="1:29" x14ac:dyDescent="0.3">
      <c r="A1058" s="34"/>
      <c r="L1058" s="36"/>
      <c r="R1058" s="34"/>
      <c r="AC1058" s="36"/>
    </row>
    <row r="1059" spans="1:29" x14ac:dyDescent="0.3">
      <c r="A1059" s="34"/>
      <c r="L1059" s="36"/>
      <c r="R1059" s="34"/>
      <c r="AC1059" s="36"/>
    </row>
    <row r="1060" spans="1:29" x14ac:dyDescent="0.3">
      <c r="A1060" s="34"/>
      <c r="L1060" s="36"/>
      <c r="R1060" s="34"/>
      <c r="AC1060" s="36"/>
    </row>
    <row r="1061" spans="1:29" x14ac:dyDescent="0.3">
      <c r="A1061" s="34"/>
      <c r="L1061" s="36"/>
      <c r="R1061" s="34"/>
      <c r="AC1061" s="36"/>
    </row>
    <row r="1062" spans="1:29" x14ac:dyDescent="0.3">
      <c r="A1062" s="34"/>
      <c r="L1062" s="36"/>
      <c r="R1062" s="34"/>
      <c r="AC1062" s="36"/>
    </row>
    <row r="1063" spans="1:29" x14ac:dyDescent="0.3">
      <c r="A1063" s="34"/>
      <c r="L1063" s="36"/>
      <c r="R1063" s="34"/>
      <c r="AC1063" s="36"/>
    </row>
    <row r="1064" spans="1:29" x14ac:dyDescent="0.3">
      <c r="A1064" s="34"/>
      <c r="L1064" s="36"/>
      <c r="R1064" s="34"/>
      <c r="AC1064" s="36"/>
    </row>
    <row r="1065" spans="1:29" x14ac:dyDescent="0.3">
      <c r="A1065" s="34"/>
      <c r="L1065" s="36"/>
      <c r="R1065" s="34"/>
      <c r="AC1065" s="36"/>
    </row>
    <row r="1066" spans="1:29" x14ac:dyDescent="0.3">
      <c r="A1066" s="34"/>
      <c r="L1066" s="36"/>
      <c r="R1066" s="34"/>
      <c r="AC1066" s="36"/>
    </row>
    <row r="1067" spans="1:29" x14ac:dyDescent="0.3">
      <c r="A1067" s="34"/>
      <c r="L1067" s="36"/>
      <c r="R1067" s="34"/>
      <c r="AC1067" s="36"/>
    </row>
    <row r="1068" spans="1:29" x14ac:dyDescent="0.3">
      <c r="A1068" s="34"/>
      <c r="L1068" s="36"/>
      <c r="R1068" s="34"/>
      <c r="AC1068" s="36"/>
    </row>
    <row r="1069" spans="1:29" x14ac:dyDescent="0.3">
      <c r="A1069" s="34"/>
      <c r="L1069" s="36"/>
      <c r="R1069" s="34"/>
      <c r="AC1069" s="36"/>
    </row>
    <row r="1070" spans="1:29" x14ac:dyDescent="0.3">
      <c r="A1070" s="34"/>
      <c r="L1070" s="36"/>
      <c r="R1070" s="34"/>
      <c r="AC1070" s="36"/>
    </row>
    <row r="1071" spans="1:29" x14ac:dyDescent="0.3">
      <c r="A1071" s="34"/>
      <c r="L1071" s="36"/>
      <c r="R1071" s="34"/>
      <c r="AC1071" s="36"/>
    </row>
    <row r="1072" spans="1:29" x14ac:dyDescent="0.3">
      <c r="A1072" s="34"/>
      <c r="L1072" s="36"/>
      <c r="R1072" s="34"/>
      <c r="AC1072" s="36"/>
    </row>
    <row r="1073" spans="1:29" x14ac:dyDescent="0.3">
      <c r="A1073" s="34"/>
      <c r="L1073" s="36"/>
      <c r="R1073" s="34"/>
      <c r="AC1073" s="36"/>
    </row>
    <row r="1074" spans="1:29" x14ac:dyDescent="0.3">
      <c r="A1074" s="34"/>
      <c r="L1074" s="36"/>
      <c r="R1074" s="34"/>
      <c r="AC1074" s="36"/>
    </row>
    <row r="1075" spans="1:29" x14ac:dyDescent="0.3">
      <c r="A1075" s="34"/>
      <c r="L1075" s="36"/>
      <c r="R1075" s="34"/>
      <c r="AC1075" s="36"/>
    </row>
    <row r="1076" spans="1:29" x14ac:dyDescent="0.3">
      <c r="A1076" s="34"/>
      <c r="L1076" s="36"/>
      <c r="R1076" s="34"/>
      <c r="AC1076" s="36"/>
    </row>
    <row r="1077" spans="1:29" x14ac:dyDescent="0.3">
      <c r="A1077" s="34"/>
      <c r="L1077" s="36"/>
      <c r="R1077" s="34"/>
      <c r="AC1077" s="36"/>
    </row>
    <row r="1078" spans="1:29" x14ac:dyDescent="0.3">
      <c r="A1078" s="34"/>
      <c r="L1078" s="36"/>
      <c r="R1078" s="34"/>
      <c r="AC1078" s="36"/>
    </row>
    <row r="1079" spans="1:29" x14ac:dyDescent="0.3">
      <c r="A1079" s="34"/>
      <c r="L1079" s="36"/>
      <c r="R1079" s="34"/>
      <c r="AC1079" s="36"/>
    </row>
    <row r="1080" spans="1:29" x14ac:dyDescent="0.3">
      <c r="A1080" s="34"/>
      <c r="L1080" s="36"/>
      <c r="R1080" s="34"/>
      <c r="AC1080" s="36"/>
    </row>
    <row r="1081" spans="1:29" x14ac:dyDescent="0.3">
      <c r="A1081" s="34"/>
      <c r="L1081" s="36"/>
      <c r="R1081" s="34"/>
      <c r="AC1081" s="36"/>
    </row>
    <row r="1082" spans="1:29" x14ac:dyDescent="0.3">
      <c r="A1082" s="34"/>
      <c r="L1082" s="36"/>
      <c r="R1082" s="34"/>
      <c r="AC1082" s="36"/>
    </row>
    <row r="1083" spans="1:29" x14ac:dyDescent="0.3">
      <c r="A1083" s="34"/>
      <c r="L1083" s="36"/>
      <c r="R1083" s="34"/>
      <c r="AC1083" s="36"/>
    </row>
    <row r="1084" spans="1:29" x14ac:dyDescent="0.3">
      <c r="A1084" s="34"/>
      <c r="L1084" s="36"/>
      <c r="R1084" s="34"/>
      <c r="AC1084" s="36"/>
    </row>
    <row r="1085" spans="1:29" x14ac:dyDescent="0.3">
      <c r="A1085" s="34"/>
      <c r="L1085" s="36"/>
      <c r="R1085" s="34"/>
      <c r="AC1085" s="36"/>
    </row>
    <row r="1086" spans="1:29" x14ac:dyDescent="0.3">
      <c r="A1086" s="34"/>
      <c r="L1086" s="36"/>
      <c r="R1086" s="34"/>
      <c r="AC1086" s="36"/>
    </row>
    <row r="1087" spans="1:29" x14ac:dyDescent="0.3">
      <c r="A1087" s="34"/>
      <c r="L1087" s="36"/>
      <c r="R1087" s="34"/>
      <c r="AC1087" s="36"/>
    </row>
    <row r="1088" spans="1:29" x14ac:dyDescent="0.3">
      <c r="A1088" s="34"/>
      <c r="L1088" s="36"/>
      <c r="R1088" s="34"/>
      <c r="AC1088" s="36"/>
    </row>
    <row r="1089" spans="1:29" x14ac:dyDescent="0.3">
      <c r="A1089" s="34"/>
      <c r="L1089" s="36"/>
      <c r="R1089" s="34"/>
      <c r="AC1089" s="36"/>
    </row>
    <row r="1090" spans="1:29" x14ac:dyDescent="0.3">
      <c r="A1090" s="34"/>
      <c r="L1090" s="36"/>
      <c r="R1090" s="34"/>
      <c r="AC1090" s="36"/>
    </row>
    <row r="1091" spans="1:29" x14ac:dyDescent="0.3">
      <c r="A1091" s="34"/>
      <c r="L1091" s="36"/>
      <c r="R1091" s="34"/>
      <c r="AC1091" s="36"/>
    </row>
    <row r="1092" spans="1:29" x14ac:dyDescent="0.3">
      <c r="A1092" s="34"/>
      <c r="L1092" s="36"/>
      <c r="R1092" s="34"/>
      <c r="AC1092" s="36"/>
    </row>
    <row r="1093" spans="1:29" x14ac:dyDescent="0.3">
      <c r="A1093" s="34"/>
      <c r="L1093" s="36"/>
      <c r="R1093" s="34"/>
      <c r="AC1093" s="36"/>
    </row>
    <row r="1094" spans="1:29" x14ac:dyDescent="0.3">
      <c r="A1094" s="34"/>
      <c r="L1094" s="36"/>
      <c r="R1094" s="34"/>
      <c r="AC1094" s="36"/>
    </row>
    <row r="1095" spans="1:29" x14ac:dyDescent="0.3">
      <c r="A1095" s="34"/>
      <c r="L1095" s="36"/>
      <c r="R1095" s="34"/>
      <c r="AC1095" s="36"/>
    </row>
    <row r="1096" spans="1:29" x14ac:dyDescent="0.3">
      <c r="A1096" s="34"/>
      <c r="L1096" s="36"/>
      <c r="R1096" s="34"/>
      <c r="AC1096" s="36"/>
    </row>
    <row r="1097" spans="1:29" x14ac:dyDescent="0.3">
      <c r="A1097" s="34"/>
      <c r="L1097" s="36"/>
      <c r="R1097" s="34"/>
      <c r="AC1097" s="36"/>
    </row>
    <row r="1098" spans="1:29" x14ac:dyDescent="0.3">
      <c r="A1098" s="34"/>
      <c r="L1098" s="36"/>
      <c r="R1098" s="34"/>
      <c r="AC1098" s="36"/>
    </row>
    <row r="1099" spans="1:29" x14ac:dyDescent="0.3">
      <c r="A1099" s="34"/>
      <c r="L1099" s="36"/>
      <c r="R1099" s="34"/>
      <c r="AC1099" s="36"/>
    </row>
    <row r="1100" spans="1:29" x14ac:dyDescent="0.3">
      <c r="A1100" s="34"/>
      <c r="L1100" s="36"/>
      <c r="R1100" s="34"/>
      <c r="AC1100" s="36"/>
    </row>
    <row r="1101" spans="1:29" x14ac:dyDescent="0.3">
      <c r="A1101" s="34"/>
      <c r="L1101" s="36"/>
      <c r="R1101" s="34"/>
      <c r="AC1101" s="36"/>
    </row>
    <row r="1102" spans="1:29" x14ac:dyDescent="0.3">
      <c r="A1102" s="34"/>
      <c r="L1102" s="36"/>
      <c r="R1102" s="34"/>
      <c r="AC1102" s="36"/>
    </row>
    <row r="1103" spans="1:29" x14ac:dyDescent="0.3">
      <c r="A1103" s="34"/>
      <c r="L1103" s="36"/>
      <c r="R1103" s="34"/>
      <c r="AC1103" s="36"/>
    </row>
    <row r="1104" spans="1:29" x14ac:dyDescent="0.3">
      <c r="A1104" s="34"/>
      <c r="L1104" s="36"/>
      <c r="R1104" s="34"/>
      <c r="AC1104" s="36"/>
    </row>
    <row r="1105" spans="1:29" x14ac:dyDescent="0.3">
      <c r="A1105" s="34"/>
      <c r="L1105" s="36"/>
      <c r="R1105" s="34"/>
      <c r="AC1105" s="36"/>
    </row>
    <row r="1106" spans="1:29" x14ac:dyDescent="0.3">
      <c r="A1106" s="34"/>
      <c r="L1106" s="36"/>
      <c r="R1106" s="34"/>
      <c r="AC1106" s="36"/>
    </row>
    <row r="1107" spans="1:29" x14ac:dyDescent="0.3">
      <c r="A1107" s="34"/>
      <c r="L1107" s="36"/>
      <c r="R1107" s="34"/>
      <c r="AC1107" s="36"/>
    </row>
    <row r="1108" spans="1:29" x14ac:dyDescent="0.3">
      <c r="A1108" s="34"/>
      <c r="L1108" s="36"/>
      <c r="R1108" s="34"/>
      <c r="AC1108" s="36"/>
    </row>
    <row r="1109" spans="1:29" x14ac:dyDescent="0.3">
      <c r="A1109" s="34"/>
      <c r="L1109" s="36"/>
      <c r="R1109" s="34"/>
      <c r="AC1109" s="36"/>
    </row>
    <row r="1110" spans="1:29" x14ac:dyDescent="0.3">
      <c r="A1110" s="34"/>
      <c r="L1110" s="36"/>
      <c r="R1110" s="34"/>
      <c r="AC1110" s="36"/>
    </row>
    <row r="1111" spans="1:29" x14ac:dyDescent="0.3">
      <c r="A1111" s="34"/>
      <c r="L1111" s="36"/>
      <c r="R1111" s="34"/>
      <c r="AC1111" s="36"/>
    </row>
    <row r="1112" spans="1:29" x14ac:dyDescent="0.3">
      <c r="A1112" s="34"/>
      <c r="L1112" s="36"/>
      <c r="R1112" s="34"/>
      <c r="AC1112" s="36"/>
    </row>
    <row r="1113" spans="1:29" x14ac:dyDescent="0.3">
      <c r="A1113" s="34"/>
      <c r="L1113" s="36"/>
      <c r="R1113" s="34"/>
      <c r="AC1113" s="36"/>
    </row>
    <row r="1114" spans="1:29" x14ac:dyDescent="0.3">
      <c r="A1114" s="34"/>
      <c r="L1114" s="36"/>
      <c r="R1114" s="34"/>
      <c r="AC1114" s="36"/>
    </row>
    <row r="1115" spans="1:29" x14ac:dyDescent="0.3">
      <c r="A1115" s="34"/>
      <c r="L1115" s="36"/>
      <c r="R1115" s="34"/>
      <c r="AC1115" s="36"/>
    </row>
    <row r="1116" spans="1:29" x14ac:dyDescent="0.3">
      <c r="A1116" s="34"/>
      <c r="L1116" s="36"/>
      <c r="R1116" s="34"/>
      <c r="AC1116" s="36"/>
    </row>
    <row r="1117" spans="1:29" x14ac:dyDescent="0.3">
      <c r="A1117" s="34"/>
      <c r="L1117" s="36"/>
      <c r="R1117" s="34"/>
      <c r="AC1117" s="36"/>
    </row>
    <row r="1118" spans="1:29" x14ac:dyDescent="0.3">
      <c r="A1118" s="34"/>
      <c r="L1118" s="36"/>
      <c r="R1118" s="34"/>
      <c r="AC1118" s="36"/>
    </row>
    <row r="1119" spans="1:29" x14ac:dyDescent="0.3">
      <c r="A1119" s="34"/>
      <c r="L1119" s="36"/>
      <c r="R1119" s="34"/>
      <c r="AC1119" s="36"/>
    </row>
    <row r="1120" spans="1:29" x14ac:dyDescent="0.3">
      <c r="A1120" s="34"/>
      <c r="L1120" s="36"/>
      <c r="R1120" s="34"/>
      <c r="AC1120" s="36"/>
    </row>
    <row r="1121" spans="1:29" x14ac:dyDescent="0.3">
      <c r="A1121" s="34"/>
      <c r="L1121" s="36"/>
      <c r="R1121" s="34"/>
      <c r="AC1121" s="36"/>
    </row>
    <row r="1122" spans="1:29" x14ac:dyDescent="0.3">
      <c r="A1122" s="34"/>
      <c r="L1122" s="36"/>
      <c r="R1122" s="34"/>
      <c r="AC1122" s="36"/>
    </row>
    <row r="1123" spans="1:29" x14ac:dyDescent="0.3">
      <c r="A1123" s="34"/>
      <c r="L1123" s="36"/>
      <c r="R1123" s="34"/>
      <c r="AC1123" s="36"/>
    </row>
    <row r="1124" spans="1:29" x14ac:dyDescent="0.3">
      <c r="A1124" s="34"/>
      <c r="L1124" s="36"/>
      <c r="R1124" s="34"/>
      <c r="AC1124" s="36"/>
    </row>
    <row r="1125" spans="1:29" x14ac:dyDescent="0.3">
      <c r="A1125" s="34"/>
      <c r="L1125" s="36"/>
      <c r="R1125" s="34"/>
      <c r="AC1125" s="36"/>
    </row>
    <row r="1126" spans="1:29" x14ac:dyDescent="0.3">
      <c r="A1126" s="34"/>
      <c r="L1126" s="36"/>
      <c r="R1126" s="34"/>
      <c r="AC1126" s="36"/>
    </row>
    <row r="1127" spans="1:29" x14ac:dyDescent="0.3">
      <c r="A1127" s="34"/>
      <c r="L1127" s="36"/>
      <c r="R1127" s="34"/>
      <c r="AC1127" s="36"/>
    </row>
    <row r="1128" spans="1:29" x14ac:dyDescent="0.3">
      <c r="A1128" s="34"/>
      <c r="L1128" s="36"/>
      <c r="R1128" s="34"/>
      <c r="AC1128" s="36"/>
    </row>
    <row r="1129" spans="1:29" x14ac:dyDescent="0.3">
      <c r="A1129" s="34"/>
      <c r="L1129" s="36"/>
      <c r="R1129" s="34"/>
      <c r="AC1129" s="36"/>
    </row>
    <row r="1130" spans="1:29" x14ac:dyDescent="0.3">
      <c r="A1130" s="34"/>
      <c r="L1130" s="36"/>
      <c r="R1130" s="34"/>
      <c r="AC1130" s="36"/>
    </row>
    <row r="1131" spans="1:29" x14ac:dyDescent="0.3">
      <c r="A1131" s="34"/>
      <c r="L1131" s="36"/>
      <c r="R1131" s="34"/>
      <c r="AC1131" s="36"/>
    </row>
    <row r="1132" spans="1:29" x14ac:dyDescent="0.3">
      <c r="A1132" s="34"/>
      <c r="L1132" s="36"/>
      <c r="R1132" s="34"/>
      <c r="AC1132" s="36"/>
    </row>
    <row r="1133" spans="1:29" x14ac:dyDescent="0.3">
      <c r="A1133" s="34"/>
      <c r="L1133" s="36"/>
      <c r="R1133" s="34"/>
      <c r="AC1133" s="36"/>
    </row>
    <row r="1134" spans="1:29" x14ac:dyDescent="0.3">
      <c r="A1134" s="34"/>
      <c r="L1134" s="36"/>
      <c r="R1134" s="34"/>
      <c r="AC1134" s="36"/>
    </row>
    <row r="1135" spans="1:29" x14ac:dyDescent="0.3">
      <c r="A1135" s="34"/>
      <c r="L1135" s="36"/>
      <c r="R1135" s="34"/>
      <c r="AC1135" s="36"/>
    </row>
    <row r="1136" spans="1:29" x14ac:dyDescent="0.3">
      <c r="A1136" s="34"/>
      <c r="L1136" s="36"/>
      <c r="R1136" s="34"/>
      <c r="AC1136" s="36"/>
    </row>
    <row r="1137" spans="1:29" x14ac:dyDescent="0.3">
      <c r="A1137" s="34"/>
      <c r="L1137" s="36"/>
      <c r="R1137" s="34"/>
      <c r="AC1137" s="36"/>
    </row>
    <row r="1138" spans="1:29" x14ac:dyDescent="0.3">
      <c r="A1138" s="34"/>
      <c r="L1138" s="36"/>
      <c r="R1138" s="34"/>
      <c r="AC1138" s="36"/>
    </row>
    <row r="1139" spans="1:29" x14ac:dyDescent="0.3">
      <c r="A1139" s="34"/>
      <c r="L1139" s="36"/>
      <c r="R1139" s="34"/>
      <c r="AC1139" s="36"/>
    </row>
    <row r="1140" spans="1:29" x14ac:dyDescent="0.3">
      <c r="A1140" s="34"/>
      <c r="L1140" s="36"/>
      <c r="R1140" s="34"/>
      <c r="AC1140" s="36"/>
    </row>
    <row r="1141" spans="1:29" x14ac:dyDescent="0.3">
      <c r="A1141" s="34"/>
      <c r="L1141" s="36"/>
      <c r="R1141" s="34"/>
      <c r="AC1141" s="36"/>
    </row>
    <row r="1142" spans="1:29" x14ac:dyDescent="0.3">
      <c r="A1142" s="34"/>
      <c r="L1142" s="36"/>
      <c r="R1142" s="34"/>
      <c r="AC1142" s="36"/>
    </row>
    <row r="1143" spans="1:29" x14ac:dyDescent="0.3">
      <c r="A1143" s="34"/>
      <c r="L1143" s="36"/>
      <c r="R1143" s="34"/>
      <c r="AC1143" s="36"/>
    </row>
    <row r="1144" spans="1:29" x14ac:dyDescent="0.3">
      <c r="A1144" s="34"/>
      <c r="L1144" s="36"/>
      <c r="R1144" s="34"/>
      <c r="AC1144" s="36"/>
    </row>
    <row r="1145" spans="1:29" x14ac:dyDescent="0.3">
      <c r="A1145" s="34"/>
      <c r="L1145" s="36"/>
      <c r="R1145" s="34"/>
      <c r="AC1145" s="36"/>
    </row>
    <row r="1146" spans="1:29" x14ac:dyDescent="0.3">
      <c r="A1146" s="34"/>
      <c r="L1146" s="36"/>
      <c r="R1146" s="34"/>
      <c r="AC1146" s="36"/>
    </row>
    <row r="1147" spans="1:29" x14ac:dyDescent="0.3">
      <c r="A1147" s="34"/>
      <c r="L1147" s="36"/>
      <c r="R1147" s="34"/>
      <c r="AC1147" s="36"/>
    </row>
    <row r="1148" spans="1:29" x14ac:dyDescent="0.3">
      <c r="A1148" s="34"/>
      <c r="L1148" s="36"/>
      <c r="R1148" s="34"/>
      <c r="AC1148" s="36"/>
    </row>
    <row r="1149" spans="1:29" x14ac:dyDescent="0.3">
      <c r="A1149" s="34"/>
      <c r="L1149" s="36"/>
      <c r="R1149" s="34"/>
      <c r="AC1149" s="36"/>
    </row>
    <row r="1150" spans="1:29" x14ac:dyDescent="0.3">
      <c r="A1150" s="34"/>
      <c r="L1150" s="36"/>
      <c r="R1150" s="34"/>
      <c r="AC1150" s="36"/>
    </row>
    <row r="1151" spans="1:29" x14ac:dyDescent="0.3">
      <c r="A1151" s="34"/>
      <c r="L1151" s="36"/>
      <c r="R1151" s="34"/>
      <c r="AC1151" s="36"/>
    </row>
    <row r="1152" spans="1:29" x14ac:dyDescent="0.3">
      <c r="A1152" s="34"/>
      <c r="L1152" s="36"/>
      <c r="R1152" s="34"/>
      <c r="AC1152" s="36"/>
    </row>
    <row r="1153" spans="1:29" x14ac:dyDescent="0.3">
      <c r="A1153" s="34"/>
      <c r="L1153" s="36"/>
      <c r="R1153" s="34"/>
      <c r="AC1153" s="36"/>
    </row>
    <row r="1154" spans="1:29" x14ac:dyDescent="0.3">
      <c r="A1154" s="34"/>
      <c r="L1154" s="36"/>
      <c r="R1154" s="34"/>
      <c r="AC1154" s="36"/>
    </row>
    <row r="1155" spans="1:29" x14ac:dyDescent="0.3">
      <c r="A1155" s="34"/>
      <c r="L1155" s="36"/>
      <c r="R1155" s="34"/>
      <c r="AC1155" s="36"/>
    </row>
    <row r="1156" spans="1:29" x14ac:dyDescent="0.3">
      <c r="A1156" s="34"/>
      <c r="L1156" s="36"/>
      <c r="R1156" s="34"/>
      <c r="AC1156" s="36"/>
    </row>
    <row r="1157" spans="1:29" x14ac:dyDescent="0.3">
      <c r="A1157" s="34"/>
      <c r="L1157" s="36"/>
      <c r="R1157" s="34"/>
      <c r="AC1157" s="36"/>
    </row>
    <row r="1158" spans="1:29" x14ac:dyDescent="0.3">
      <c r="A1158" s="34"/>
      <c r="L1158" s="36"/>
      <c r="R1158" s="34"/>
      <c r="AC1158" s="36"/>
    </row>
    <row r="1159" spans="1:29" x14ac:dyDescent="0.3">
      <c r="A1159" s="34"/>
      <c r="L1159" s="36"/>
      <c r="R1159" s="34"/>
      <c r="AC1159" s="36"/>
    </row>
    <row r="1160" spans="1:29" x14ac:dyDescent="0.3">
      <c r="A1160" s="34"/>
      <c r="L1160" s="36"/>
      <c r="R1160" s="34"/>
      <c r="AC1160" s="36"/>
    </row>
    <row r="1161" spans="1:29" x14ac:dyDescent="0.3">
      <c r="A1161" s="34"/>
      <c r="L1161" s="36"/>
      <c r="R1161" s="34"/>
      <c r="AC1161" s="36"/>
    </row>
    <row r="1162" spans="1:29" x14ac:dyDescent="0.3">
      <c r="A1162" s="34"/>
      <c r="L1162" s="36"/>
      <c r="R1162" s="34"/>
      <c r="AC1162" s="36"/>
    </row>
    <row r="1163" spans="1:29" x14ac:dyDescent="0.3">
      <c r="A1163" s="34"/>
      <c r="L1163" s="36"/>
      <c r="R1163" s="34"/>
      <c r="AC1163" s="36"/>
    </row>
    <row r="1164" spans="1:29" x14ac:dyDescent="0.3">
      <c r="A1164" s="34"/>
      <c r="L1164" s="36"/>
      <c r="R1164" s="34"/>
      <c r="AC1164" s="36"/>
    </row>
    <row r="1165" spans="1:29" x14ac:dyDescent="0.3">
      <c r="A1165" s="34"/>
      <c r="L1165" s="36"/>
      <c r="R1165" s="34"/>
      <c r="AC1165" s="36"/>
    </row>
    <row r="1166" spans="1:29" x14ac:dyDescent="0.3">
      <c r="A1166" s="34"/>
      <c r="L1166" s="36"/>
      <c r="R1166" s="34"/>
      <c r="AC1166" s="36"/>
    </row>
    <row r="1167" spans="1:29" x14ac:dyDescent="0.3">
      <c r="A1167" s="34"/>
      <c r="L1167" s="36"/>
      <c r="R1167" s="34"/>
      <c r="AC1167" s="36"/>
    </row>
    <row r="1168" spans="1:29" x14ac:dyDescent="0.3">
      <c r="A1168" s="34"/>
      <c r="L1168" s="36"/>
      <c r="R1168" s="34"/>
      <c r="AC1168" s="36"/>
    </row>
    <row r="1169" spans="1:29" x14ac:dyDescent="0.3">
      <c r="A1169" s="34"/>
      <c r="L1169" s="36"/>
      <c r="R1169" s="34"/>
      <c r="AC1169" s="36"/>
    </row>
    <row r="1170" spans="1:29" x14ac:dyDescent="0.3">
      <c r="A1170" s="34"/>
      <c r="L1170" s="36"/>
      <c r="R1170" s="34"/>
      <c r="AC1170" s="36"/>
    </row>
    <row r="1171" spans="1:29" x14ac:dyDescent="0.3">
      <c r="A1171" s="34"/>
      <c r="L1171" s="36"/>
      <c r="R1171" s="34"/>
      <c r="AC1171" s="36"/>
    </row>
    <row r="1172" spans="1:29" x14ac:dyDescent="0.3">
      <c r="A1172" s="34"/>
      <c r="L1172" s="36"/>
      <c r="R1172" s="34"/>
      <c r="AC1172" s="36"/>
    </row>
    <row r="1173" spans="1:29" x14ac:dyDescent="0.3">
      <c r="A1173" s="34"/>
      <c r="L1173" s="36"/>
      <c r="R1173" s="34"/>
      <c r="AC1173" s="36"/>
    </row>
    <row r="1174" spans="1:29" x14ac:dyDescent="0.3">
      <c r="A1174" s="34"/>
      <c r="L1174" s="36"/>
      <c r="R1174" s="34"/>
      <c r="AC1174" s="36"/>
    </row>
    <row r="1175" spans="1:29" x14ac:dyDescent="0.3">
      <c r="A1175" s="34"/>
      <c r="L1175" s="36"/>
      <c r="R1175" s="34"/>
      <c r="AC1175" s="36"/>
    </row>
    <row r="1176" spans="1:29" x14ac:dyDescent="0.3">
      <c r="A1176" s="34"/>
      <c r="L1176" s="36"/>
      <c r="R1176" s="34"/>
      <c r="AC1176" s="36"/>
    </row>
    <row r="1177" spans="1:29" x14ac:dyDescent="0.3">
      <c r="A1177" s="34"/>
      <c r="L1177" s="36"/>
      <c r="R1177" s="34"/>
      <c r="AC1177" s="36"/>
    </row>
    <row r="1178" spans="1:29" x14ac:dyDescent="0.3">
      <c r="A1178" s="34"/>
      <c r="L1178" s="36"/>
      <c r="R1178" s="34"/>
      <c r="AC1178" s="36"/>
    </row>
    <row r="1179" spans="1:29" x14ac:dyDescent="0.3">
      <c r="A1179" s="34"/>
      <c r="L1179" s="36"/>
      <c r="R1179" s="34"/>
      <c r="AC1179" s="36"/>
    </row>
    <row r="1180" spans="1:29" x14ac:dyDescent="0.3">
      <c r="A1180" s="34"/>
      <c r="L1180" s="36"/>
      <c r="R1180" s="34"/>
      <c r="AC1180" s="36"/>
    </row>
    <row r="1181" spans="1:29" x14ac:dyDescent="0.3">
      <c r="A1181" s="34"/>
      <c r="L1181" s="36"/>
      <c r="R1181" s="34"/>
      <c r="AC1181" s="36"/>
    </row>
    <row r="1182" spans="1:29" x14ac:dyDescent="0.3">
      <c r="A1182" s="34"/>
      <c r="L1182" s="36"/>
      <c r="R1182" s="34"/>
      <c r="AC1182" s="36"/>
    </row>
    <row r="1183" spans="1:29" x14ac:dyDescent="0.3">
      <c r="A1183" s="34"/>
      <c r="L1183" s="36"/>
      <c r="R1183" s="34"/>
      <c r="AC1183" s="36"/>
    </row>
    <row r="1184" spans="1:29" x14ac:dyDescent="0.3">
      <c r="A1184" s="34"/>
      <c r="L1184" s="36"/>
      <c r="R1184" s="34"/>
      <c r="AC1184" s="36"/>
    </row>
    <row r="1185" spans="1:29" x14ac:dyDescent="0.3">
      <c r="A1185" s="34"/>
      <c r="L1185" s="36"/>
      <c r="R1185" s="34"/>
      <c r="AC1185" s="36"/>
    </row>
    <row r="1186" spans="1:29" x14ac:dyDescent="0.3">
      <c r="A1186" s="34"/>
      <c r="L1186" s="36"/>
      <c r="R1186" s="34"/>
      <c r="AC1186" s="36"/>
    </row>
    <row r="1187" spans="1:29" x14ac:dyDescent="0.3">
      <c r="A1187" s="34"/>
      <c r="L1187" s="36"/>
      <c r="R1187" s="34"/>
      <c r="AC1187" s="36"/>
    </row>
    <row r="1188" spans="1:29" x14ac:dyDescent="0.3">
      <c r="A1188" s="34"/>
      <c r="L1188" s="36"/>
      <c r="R1188" s="34"/>
      <c r="AC1188" s="36"/>
    </row>
    <row r="1189" spans="1:29" x14ac:dyDescent="0.3">
      <c r="A1189" s="34"/>
      <c r="L1189" s="36"/>
      <c r="R1189" s="34"/>
      <c r="AC1189" s="36"/>
    </row>
    <row r="1190" spans="1:29" x14ac:dyDescent="0.3">
      <c r="A1190" s="34"/>
      <c r="L1190" s="36"/>
      <c r="R1190" s="34"/>
      <c r="AC1190" s="36"/>
    </row>
    <row r="1191" spans="1:29" x14ac:dyDescent="0.3">
      <c r="A1191" s="34"/>
      <c r="L1191" s="36"/>
      <c r="R1191" s="34"/>
      <c r="AC1191" s="36"/>
    </row>
    <row r="1192" spans="1:29" x14ac:dyDescent="0.3">
      <c r="A1192" s="34"/>
      <c r="L1192" s="36"/>
      <c r="R1192" s="34"/>
      <c r="AC1192" s="36"/>
    </row>
    <row r="1193" spans="1:29" x14ac:dyDescent="0.3">
      <c r="A1193" s="34"/>
      <c r="L1193" s="36"/>
      <c r="R1193" s="34"/>
      <c r="AC1193" s="36"/>
    </row>
    <row r="1194" spans="1:29" x14ac:dyDescent="0.3">
      <c r="A1194" s="34"/>
      <c r="L1194" s="36"/>
      <c r="R1194" s="34"/>
      <c r="AC1194" s="36"/>
    </row>
    <row r="1195" spans="1:29" x14ac:dyDescent="0.3">
      <c r="A1195" s="34"/>
      <c r="L1195" s="36"/>
      <c r="R1195" s="34"/>
      <c r="AC1195" s="36"/>
    </row>
    <row r="1196" spans="1:29" x14ac:dyDescent="0.3">
      <c r="A1196" s="34"/>
      <c r="L1196" s="36"/>
      <c r="R1196" s="34"/>
      <c r="AC1196" s="36"/>
    </row>
    <row r="1197" spans="1:29" x14ac:dyDescent="0.3">
      <c r="A1197" s="34"/>
      <c r="L1197" s="36"/>
      <c r="R1197" s="34"/>
      <c r="AC1197" s="36"/>
    </row>
    <row r="1198" spans="1:29" x14ac:dyDescent="0.3">
      <c r="A1198" s="34"/>
      <c r="L1198" s="36"/>
      <c r="R1198" s="34"/>
      <c r="AC1198" s="36"/>
    </row>
    <row r="1199" spans="1:29" x14ac:dyDescent="0.3">
      <c r="A1199" s="34"/>
      <c r="L1199" s="36"/>
      <c r="R1199" s="34"/>
      <c r="AC1199" s="36"/>
    </row>
    <row r="1200" spans="1:29" x14ac:dyDescent="0.3">
      <c r="A1200" s="34"/>
      <c r="L1200" s="36"/>
      <c r="R1200" s="34"/>
      <c r="AC1200" s="36"/>
    </row>
    <row r="1201" spans="1:29" x14ac:dyDescent="0.3">
      <c r="A1201" s="34"/>
      <c r="L1201" s="36"/>
      <c r="R1201" s="34"/>
      <c r="AC1201" s="36"/>
    </row>
    <row r="1202" spans="1:29" x14ac:dyDescent="0.3">
      <c r="A1202" s="34"/>
      <c r="L1202" s="36"/>
      <c r="R1202" s="34"/>
      <c r="AC1202" s="36"/>
    </row>
    <row r="1203" spans="1:29" x14ac:dyDescent="0.3">
      <c r="A1203" s="34"/>
      <c r="L1203" s="36"/>
      <c r="R1203" s="34"/>
      <c r="AC1203" s="36"/>
    </row>
    <row r="1204" spans="1:29" x14ac:dyDescent="0.3">
      <c r="A1204" s="34"/>
      <c r="L1204" s="36"/>
      <c r="R1204" s="34"/>
      <c r="AC1204" s="36"/>
    </row>
    <row r="1205" spans="1:29" x14ac:dyDescent="0.3">
      <c r="A1205" s="34"/>
      <c r="L1205" s="36"/>
      <c r="R1205" s="34"/>
      <c r="AC1205" s="36"/>
    </row>
    <row r="1206" spans="1:29" x14ac:dyDescent="0.3">
      <c r="A1206" s="34"/>
      <c r="L1206" s="36"/>
      <c r="R1206" s="34"/>
      <c r="AC1206" s="36"/>
    </row>
    <row r="1207" spans="1:29" x14ac:dyDescent="0.3">
      <c r="A1207" s="34"/>
      <c r="L1207" s="36"/>
      <c r="R1207" s="34"/>
      <c r="AC1207" s="36"/>
    </row>
    <row r="1208" spans="1:29" x14ac:dyDescent="0.3">
      <c r="A1208" s="34"/>
      <c r="L1208" s="36"/>
      <c r="R1208" s="34"/>
      <c r="AC1208" s="36"/>
    </row>
    <row r="1209" spans="1:29" x14ac:dyDescent="0.3">
      <c r="A1209" s="34"/>
      <c r="L1209" s="36"/>
      <c r="R1209" s="34"/>
      <c r="AC1209" s="36"/>
    </row>
    <row r="1210" spans="1:29" x14ac:dyDescent="0.3">
      <c r="A1210" s="34"/>
      <c r="L1210" s="36"/>
      <c r="R1210" s="34"/>
      <c r="AC1210" s="36"/>
    </row>
    <row r="1211" spans="1:29" x14ac:dyDescent="0.3">
      <c r="A1211" s="34"/>
      <c r="L1211" s="36"/>
      <c r="R1211" s="34"/>
      <c r="AC1211" s="36"/>
    </row>
    <row r="1212" spans="1:29" x14ac:dyDescent="0.3">
      <c r="A1212" s="34"/>
      <c r="L1212" s="36"/>
      <c r="R1212" s="34"/>
      <c r="AC1212" s="36"/>
    </row>
    <row r="1213" spans="1:29" x14ac:dyDescent="0.3">
      <c r="A1213" s="34"/>
      <c r="L1213" s="36"/>
      <c r="R1213" s="34"/>
      <c r="AC1213" s="36"/>
    </row>
    <row r="1214" spans="1:29" x14ac:dyDescent="0.3">
      <c r="A1214" s="34"/>
      <c r="L1214" s="36"/>
      <c r="R1214" s="34"/>
      <c r="AC1214" s="36"/>
    </row>
    <row r="1215" spans="1:29" x14ac:dyDescent="0.3">
      <c r="A1215" s="34"/>
      <c r="L1215" s="36"/>
      <c r="R1215" s="34"/>
      <c r="AC1215" s="36"/>
    </row>
    <row r="1216" spans="1:29" x14ac:dyDescent="0.3">
      <c r="A1216" s="34"/>
      <c r="L1216" s="36"/>
      <c r="R1216" s="34"/>
      <c r="AC1216" s="36"/>
    </row>
    <row r="1217" spans="1:29" x14ac:dyDescent="0.3">
      <c r="A1217" s="34"/>
      <c r="L1217" s="36"/>
      <c r="R1217" s="34"/>
      <c r="AC1217" s="36"/>
    </row>
    <row r="1218" spans="1:29" x14ac:dyDescent="0.3">
      <c r="A1218" s="34"/>
      <c r="L1218" s="36"/>
      <c r="R1218" s="34"/>
      <c r="AC1218" s="36"/>
    </row>
    <row r="1219" spans="1:29" x14ac:dyDescent="0.3">
      <c r="A1219" s="34"/>
      <c r="L1219" s="36"/>
      <c r="R1219" s="34"/>
      <c r="AC1219" s="36"/>
    </row>
    <row r="1220" spans="1:29" x14ac:dyDescent="0.3">
      <c r="A1220" s="34"/>
      <c r="L1220" s="36"/>
      <c r="R1220" s="34"/>
      <c r="AC1220" s="36"/>
    </row>
    <row r="1221" spans="1:29" x14ac:dyDescent="0.3">
      <c r="A1221" s="34"/>
      <c r="L1221" s="36"/>
      <c r="R1221" s="34"/>
      <c r="AC1221" s="36"/>
    </row>
    <row r="1222" spans="1:29" x14ac:dyDescent="0.3">
      <c r="A1222" s="34"/>
      <c r="L1222" s="36"/>
      <c r="R1222" s="34"/>
      <c r="AC1222" s="36"/>
    </row>
    <row r="1223" spans="1:29" x14ac:dyDescent="0.3">
      <c r="A1223" s="34"/>
      <c r="L1223" s="36"/>
      <c r="R1223" s="34"/>
      <c r="AC1223" s="36"/>
    </row>
    <row r="1224" spans="1:29" x14ac:dyDescent="0.3">
      <c r="A1224" s="34"/>
      <c r="L1224" s="36"/>
      <c r="R1224" s="34"/>
      <c r="AC1224" s="36"/>
    </row>
    <row r="1225" spans="1:29" x14ac:dyDescent="0.3">
      <c r="A1225" s="34"/>
      <c r="L1225" s="36"/>
      <c r="R1225" s="34"/>
      <c r="AC1225" s="36"/>
    </row>
    <row r="1226" spans="1:29" x14ac:dyDescent="0.3">
      <c r="A1226" s="34"/>
      <c r="L1226" s="36"/>
      <c r="R1226" s="34"/>
      <c r="AC1226" s="36"/>
    </row>
    <row r="1227" spans="1:29" x14ac:dyDescent="0.3">
      <c r="A1227" s="34"/>
      <c r="L1227" s="36"/>
      <c r="R1227" s="34"/>
      <c r="AC1227" s="36"/>
    </row>
    <row r="1228" spans="1:29" x14ac:dyDescent="0.3">
      <c r="A1228" s="34"/>
      <c r="L1228" s="36"/>
      <c r="R1228" s="34"/>
      <c r="AC1228" s="36"/>
    </row>
    <row r="1229" spans="1:29" x14ac:dyDescent="0.3">
      <c r="A1229" s="34"/>
      <c r="L1229" s="36"/>
      <c r="R1229" s="34"/>
      <c r="AC1229" s="36"/>
    </row>
    <row r="1230" spans="1:29" x14ac:dyDescent="0.3">
      <c r="A1230" s="34"/>
      <c r="L1230" s="36"/>
      <c r="R1230" s="34"/>
      <c r="AC1230" s="36"/>
    </row>
    <row r="1231" spans="1:29" x14ac:dyDescent="0.3">
      <c r="A1231" s="34"/>
      <c r="L1231" s="36"/>
      <c r="R1231" s="34"/>
      <c r="AC1231" s="36"/>
    </row>
    <row r="1232" spans="1:29" x14ac:dyDescent="0.3">
      <c r="A1232" s="34"/>
      <c r="L1232" s="36"/>
      <c r="R1232" s="34"/>
      <c r="AC1232" s="36"/>
    </row>
    <row r="1233" spans="1:29" x14ac:dyDescent="0.3">
      <c r="A1233" s="34"/>
      <c r="L1233" s="36"/>
      <c r="R1233" s="34"/>
      <c r="AC1233" s="36"/>
    </row>
    <row r="1234" spans="1:29" x14ac:dyDescent="0.3">
      <c r="A1234" s="34"/>
      <c r="L1234" s="36"/>
      <c r="R1234" s="34"/>
      <c r="AC1234" s="36"/>
    </row>
    <row r="1235" spans="1:29" x14ac:dyDescent="0.3">
      <c r="A1235" s="34"/>
      <c r="L1235" s="36"/>
      <c r="R1235" s="34"/>
      <c r="AC1235" s="36"/>
    </row>
    <row r="1236" spans="1:29" x14ac:dyDescent="0.3">
      <c r="A1236" s="34"/>
      <c r="L1236" s="36"/>
      <c r="R1236" s="34"/>
      <c r="AC1236" s="36"/>
    </row>
    <row r="1237" spans="1:29" x14ac:dyDescent="0.3">
      <c r="A1237" s="34"/>
      <c r="L1237" s="36"/>
      <c r="R1237" s="34"/>
      <c r="AC1237" s="36"/>
    </row>
    <row r="1238" spans="1:29" x14ac:dyDescent="0.3">
      <c r="A1238" s="34"/>
      <c r="L1238" s="36"/>
      <c r="R1238" s="34"/>
      <c r="AC1238" s="36"/>
    </row>
    <row r="1239" spans="1:29" x14ac:dyDescent="0.3">
      <c r="A1239" s="34"/>
      <c r="L1239" s="36"/>
      <c r="R1239" s="34"/>
      <c r="AC1239" s="36"/>
    </row>
    <row r="1240" spans="1:29" x14ac:dyDescent="0.3">
      <c r="A1240" s="34"/>
      <c r="L1240" s="36"/>
      <c r="R1240" s="34"/>
      <c r="AC1240" s="36"/>
    </row>
    <row r="1241" spans="1:29" x14ac:dyDescent="0.3">
      <c r="A1241" s="34"/>
      <c r="L1241" s="36"/>
      <c r="R1241" s="34"/>
      <c r="AC1241" s="36"/>
    </row>
    <row r="1242" spans="1:29" x14ac:dyDescent="0.3">
      <c r="A1242" s="34"/>
      <c r="L1242" s="36"/>
      <c r="R1242" s="34"/>
      <c r="AC1242" s="36"/>
    </row>
    <row r="1243" spans="1:29" x14ac:dyDescent="0.3">
      <c r="A1243" s="34"/>
      <c r="L1243" s="36"/>
      <c r="R1243" s="34"/>
      <c r="AC1243" s="36"/>
    </row>
    <row r="1244" spans="1:29" x14ac:dyDescent="0.3">
      <c r="A1244" s="34"/>
      <c r="L1244" s="36"/>
      <c r="R1244" s="34"/>
      <c r="AC1244" s="36"/>
    </row>
    <row r="1245" spans="1:29" x14ac:dyDescent="0.3">
      <c r="A1245" s="34"/>
      <c r="L1245" s="36"/>
      <c r="R1245" s="34"/>
      <c r="AC1245" s="36"/>
    </row>
    <row r="1246" spans="1:29" x14ac:dyDescent="0.3">
      <c r="A1246" s="34"/>
      <c r="L1246" s="36"/>
      <c r="R1246" s="34"/>
      <c r="AC1246" s="36"/>
    </row>
    <row r="1247" spans="1:29" x14ac:dyDescent="0.3">
      <c r="A1247" s="34"/>
      <c r="L1247" s="36"/>
      <c r="R1247" s="34"/>
      <c r="AC1247" s="36"/>
    </row>
    <row r="1248" spans="1:29" x14ac:dyDescent="0.3">
      <c r="A1248" s="34"/>
      <c r="L1248" s="36"/>
      <c r="R1248" s="34"/>
      <c r="AC1248" s="36"/>
    </row>
    <row r="1249" spans="1:29" x14ac:dyDescent="0.3">
      <c r="A1249" s="34"/>
      <c r="L1249" s="36"/>
      <c r="R1249" s="34"/>
      <c r="AC1249" s="36"/>
    </row>
    <row r="1250" spans="1:29" x14ac:dyDescent="0.3">
      <c r="A1250" s="34"/>
      <c r="L1250" s="36"/>
      <c r="R1250" s="34"/>
      <c r="AC1250" s="36"/>
    </row>
    <row r="1251" spans="1:29" x14ac:dyDescent="0.3">
      <c r="A1251" s="34"/>
      <c r="L1251" s="36"/>
      <c r="R1251" s="34"/>
      <c r="AC1251" s="36"/>
    </row>
    <row r="1252" spans="1:29" x14ac:dyDescent="0.3">
      <c r="A1252" s="34"/>
      <c r="L1252" s="36"/>
      <c r="R1252" s="34"/>
      <c r="AC1252" s="36"/>
    </row>
    <row r="1253" spans="1:29" x14ac:dyDescent="0.3">
      <c r="A1253" s="34"/>
      <c r="L1253" s="36"/>
      <c r="R1253" s="34"/>
      <c r="AC1253" s="36"/>
    </row>
    <row r="1254" spans="1:29" x14ac:dyDescent="0.3">
      <c r="A1254" s="34"/>
      <c r="L1254" s="36"/>
      <c r="R1254" s="34"/>
      <c r="AC1254" s="36"/>
    </row>
    <row r="1255" spans="1:29" x14ac:dyDescent="0.3">
      <c r="A1255" s="34"/>
      <c r="L1255" s="36"/>
      <c r="R1255" s="34"/>
      <c r="AC1255" s="36"/>
    </row>
    <row r="1256" spans="1:29" x14ac:dyDescent="0.3">
      <c r="A1256" s="34"/>
      <c r="L1256" s="36"/>
      <c r="R1256" s="34"/>
      <c r="AC1256" s="36"/>
    </row>
    <row r="1257" spans="1:29" x14ac:dyDescent="0.3">
      <c r="A1257" s="34"/>
      <c r="L1257" s="36"/>
      <c r="R1257" s="34"/>
      <c r="AC1257" s="36"/>
    </row>
    <row r="1258" spans="1:29" x14ac:dyDescent="0.3">
      <c r="A1258" s="34"/>
      <c r="L1258" s="36"/>
      <c r="R1258" s="34"/>
      <c r="AC1258" s="36"/>
    </row>
    <row r="1259" spans="1:29" x14ac:dyDescent="0.3">
      <c r="A1259" s="34"/>
      <c r="L1259" s="36"/>
      <c r="R1259" s="34"/>
      <c r="AC1259" s="36"/>
    </row>
    <row r="1260" spans="1:29" x14ac:dyDescent="0.3">
      <c r="A1260" s="34"/>
      <c r="L1260" s="36"/>
      <c r="R1260" s="34"/>
      <c r="AC1260" s="36"/>
    </row>
    <row r="1261" spans="1:29" x14ac:dyDescent="0.3">
      <c r="A1261" s="34"/>
      <c r="L1261" s="36"/>
      <c r="R1261" s="34"/>
      <c r="AC1261" s="36"/>
    </row>
    <row r="1262" spans="1:29" x14ac:dyDescent="0.3">
      <c r="A1262" s="34"/>
      <c r="L1262" s="36"/>
      <c r="R1262" s="34"/>
      <c r="AC1262" s="36"/>
    </row>
    <row r="1263" spans="1:29" x14ac:dyDescent="0.3">
      <c r="A1263" s="34"/>
      <c r="L1263" s="36"/>
      <c r="R1263" s="34"/>
      <c r="AC1263" s="36"/>
    </row>
    <row r="1264" spans="1:29" x14ac:dyDescent="0.3">
      <c r="A1264" s="34"/>
      <c r="L1264" s="36"/>
      <c r="R1264" s="34"/>
      <c r="AC1264" s="36"/>
    </row>
    <row r="1265" spans="1:29" x14ac:dyDescent="0.3">
      <c r="A1265" s="34"/>
      <c r="L1265" s="36"/>
      <c r="R1265" s="34"/>
      <c r="AC1265" s="36"/>
    </row>
    <row r="1266" spans="1:29" x14ac:dyDescent="0.3">
      <c r="A1266" s="34"/>
      <c r="L1266" s="36"/>
      <c r="R1266" s="34"/>
      <c r="AC1266" s="36"/>
    </row>
    <row r="1267" spans="1:29" x14ac:dyDescent="0.3">
      <c r="A1267" s="34"/>
      <c r="L1267" s="36"/>
      <c r="R1267" s="34"/>
      <c r="AC1267" s="36"/>
    </row>
    <row r="1268" spans="1:29" x14ac:dyDescent="0.3">
      <c r="A1268" s="34"/>
      <c r="L1268" s="36"/>
      <c r="R1268" s="34"/>
      <c r="AC1268" s="36"/>
    </row>
    <row r="1269" spans="1:29" x14ac:dyDescent="0.3">
      <c r="A1269" s="34"/>
      <c r="L1269" s="36"/>
      <c r="R1269" s="34"/>
      <c r="AC1269" s="36"/>
    </row>
    <row r="1270" spans="1:29" x14ac:dyDescent="0.3">
      <c r="A1270" s="34"/>
      <c r="L1270" s="36"/>
      <c r="R1270" s="34"/>
      <c r="AC1270" s="36"/>
    </row>
    <row r="1271" spans="1:29" x14ac:dyDescent="0.3">
      <c r="A1271" s="34"/>
      <c r="L1271" s="36"/>
      <c r="R1271" s="34"/>
      <c r="AC1271" s="36"/>
    </row>
    <row r="1272" spans="1:29" x14ac:dyDescent="0.3">
      <c r="A1272" s="34"/>
      <c r="L1272" s="36"/>
      <c r="R1272" s="34"/>
      <c r="AC1272" s="36"/>
    </row>
    <row r="1273" spans="1:29" x14ac:dyDescent="0.3">
      <c r="A1273" s="34"/>
      <c r="L1273" s="36"/>
      <c r="R1273" s="34"/>
      <c r="AC1273" s="36"/>
    </row>
    <row r="1274" spans="1:29" x14ac:dyDescent="0.3">
      <c r="A1274" s="34"/>
      <c r="L1274" s="36"/>
      <c r="R1274" s="34"/>
      <c r="AC1274" s="36"/>
    </row>
    <row r="1275" spans="1:29" x14ac:dyDescent="0.3">
      <c r="A1275" s="34"/>
      <c r="L1275" s="36"/>
      <c r="R1275" s="34"/>
      <c r="AC1275" s="36"/>
    </row>
    <row r="1276" spans="1:29" x14ac:dyDescent="0.3">
      <c r="A1276" s="34"/>
      <c r="L1276" s="36"/>
      <c r="R1276" s="34"/>
      <c r="AC1276" s="36"/>
    </row>
    <row r="1277" spans="1:29" x14ac:dyDescent="0.3">
      <c r="A1277" s="34"/>
      <c r="L1277" s="36"/>
      <c r="R1277" s="34"/>
      <c r="AC1277" s="36"/>
    </row>
    <row r="1278" spans="1:29" x14ac:dyDescent="0.3">
      <c r="A1278" s="34"/>
      <c r="L1278" s="36"/>
      <c r="R1278" s="34"/>
      <c r="AC1278" s="36"/>
    </row>
    <row r="1279" spans="1:29" x14ac:dyDescent="0.3">
      <c r="A1279" s="34"/>
      <c r="L1279" s="36"/>
      <c r="R1279" s="34"/>
      <c r="AC1279" s="36"/>
    </row>
    <row r="1280" spans="1:29" x14ac:dyDescent="0.3">
      <c r="A1280" s="34"/>
      <c r="L1280" s="36"/>
      <c r="R1280" s="34"/>
      <c r="AC1280" s="36"/>
    </row>
    <row r="1281" spans="1:29" x14ac:dyDescent="0.3">
      <c r="A1281" s="34"/>
      <c r="L1281" s="36"/>
      <c r="R1281" s="34"/>
      <c r="AC1281" s="36"/>
    </row>
    <row r="1282" spans="1:29" x14ac:dyDescent="0.3">
      <c r="A1282" s="34"/>
      <c r="L1282" s="36"/>
      <c r="R1282" s="34"/>
      <c r="AC1282" s="36"/>
    </row>
    <row r="1283" spans="1:29" x14ac:dyDescent="0.3">
      <c r="A1283" s="34"/>
      <c r="L1283" s="36"/>
      <c r="R1283" s="34"/>
      <c r="AC1283" s="36"/>
    </row>
    <row r="1284" spans="1:29" x14ac:dyDescent="0.3">
      <c r="A1284" s="34"/>
      <c r="L1284" s="36"/>
      <c r="R1284" s="34"/>
      <c r="AC1284" s="36"/>
    </row>
    <row r="1285" spans="1:29" x14ac:dyDescent="0.3">
      <c r="A1285" s="34"/>
      <c r="L1285" s="36"/>
      <c r="R1285" s="34"/>
      <c r="AC1285" s="36"/>
    </row>
    <row r="1286" spans="1:29" x14ac:dyDescent="0.3">
      <c r="A1286" s="34"/>
      <c r="L1286" s="36"/>
      <c r="R1286" s="34"/>
      <c r="AC1286" s="36"/>
    </row>
    <row r="1287" spans="1:29" x14ac:dyDescent="0.3">
      <c r="A1287" s="34"/>
      <c r="L1287" s="36"/>
      <c r="R1287" s="34"/>
      <c r="AC1287" s="36"/>
    </row>
    <row r="1288" spans="1:29" x14ac:dyDescent="0.3">
      <c r="A1288" s="34"/>
      <c r="L1288" s="36"/>
      <c r="R1288" s="34"/>
      <c r="AC1288" s="36"/>
    </row>
    <row r="1289" spans="1:29" x14ac:dyDescent="0.3">
      <c r="A1289" s="34"/>
      <c r="L1289" s="36"/>
      <c r="R1289" s="34"/>
      <c r="AC1289" s="36"/>
    </row>
    <row r="1290" spans="1:29" x14ac:dyDescent="0.3">
      <c r="A1290" s="34"/>
      <c r="L1290" s="36"/>
      <c r="R1290" s="34"/>
      <c r="AC1290" s="36"/>
    </row>
    <row r="1291" spans="1:29" x14ac:dyDescent="0.3">
      <c r="A1291" s="34"/>
      <c r="L1291" s="36"/>
      <c r="R1291" s="34"/>
      <c r="AC1291" s="36"/>
    </row>
    <row r="1292" spans="1:29" x14ac:dyDescent="0.3">
      <c r="A1292" s="34"/>
      <c r="L1292" s="36"/>
      <c r="R1292" s="34"/>
      <c r="AC1292" s="36"/>
    </row>
    <row r="1293" spans="1:29" x14ac:dyDescent="0.3">
      <c r="A1293" s="34"/>
      <c r="L1293" s="36"/>
      <c r="R1293" s="34"/>
      <c r="AC1293" s="36"/>
    </row>
    <row r="1294" spans="1:29" x14ac:dyDescent="0.3">
      <c r="A1294" s="34"/>
      <c r="L1294" s="36"/>
      <c r="R1294" s="34"/>
      <c r="AC1294" s="36"/>
    </row>
    <row r="1295" spans="1:29" x14ac:dyDescent="0.3">
      <c r="A1295" s="34"/>
      <c r="L1295" s="36"/>
      <c r="R1295" s="34"/>
      <c r="AC1295" s="36"/>
    </row>
    <row r="1296" spans="1:29" x14ac:dyDescent="0.3">
      <c r="A1296" s="34"/>
      <c r="L1296" s="36"/>
      <c r="R1296" s="34"/>
      <c r="AC1296" s="36"/>
    </row>
    <row r="1297" spans="1:29" x14ac:dyDescent="0.3">
      <c r="A1297" s="34"/>
      <c r="L1297" s="36"/>
      <c r="R1297" s="34"/>
      <c r="AC1297" s="36"/>
    </row>
    <row r="1298" spans="1:29" x14ac:dyDescent="0.3">
      <c r="A1298" s="34"/>
      <c r="L1298" s="36"/>
      <c r="R1298" s="34"/>
      <c r="AC1298" s="36"/>
    </row>
    <row r="1299" spans="1:29" x14ac:dyDescent="0.3">
      <c r="A1299" s="34"/>
      <c r="L1299" s="36"/>
      <c r="R1299" s="34"/>
      <c r="AC1299" s="36"/>
    </row>
    <row r="1300" spans="1:29" x14ac:dyDescent="0.3">
      <c r="A1300" s="34"/>
      <c r="L1300" s="36"/>
      <c r="R1300" s="34"/>
      <c r="AC1300" s="36"/>
    </row>
    <row r="1301" spans="1:29" x14ac:dyDescent="0.3">
      <c r="A1301" s="34"/>
      <c r="L1301" s="36"/>
      <c r="R1301" s="34"/>
      <c r="AC1301" s="36"/>
    </row>
    <row r="1302" spans="1:29" x14ac:dyDescent="0.3">
      <c r="A1302" s="34"/>
      <c r="L1302" s="36"/>
      <c r="R1302" s="34"/>
      <c r="AC1302" s="36"/>
    </row>
    <row r="1303" spans="1:29" x14ac:dyDescent="0.3">
      <c r="A1303" s="34"/>
      <c r="L1303" s="36"/>
      <c r="R1303" s="34"/>
      <c r="AC1303" s="36"/>
    </row>
    <row r="1304" spans="1:29" x14ac:dyDescent="0.3">
      <c r="A1304" s="34"/>
      <c r="L1304" s="36"/>
      <c r="R1304" s="34"/>
      <c r="AC1304" s="36"/>
    </row>
    <row r="1305" spans="1:29" x14ac:dyDescent="0.3">
      <c r="A1305" s="34"/>
      <c r="L1305" s="36"/>
      <c r="R1305" s="34"/>
      <c r="AC1305" s="36"/>
    </row>
    <row r="1306" spans="1:29" x14ac:dyDescent="0.3">
      <c r="A1306" s="34"/>
      <c r="L1306" s="36"/>
      <c r="R1306" s="34"/>
      <c r="AC1306" s="36"/>
    </row>
    <row r="1307" spans="1:29" x14ac:dyDescent="0.3">
      <c r="A1307" s="34"/>
      <c r="L1307" s="36"/>
      <c r="R1307" s="34"/>
      <c r="AC1307" s="36"/>
    </row>
    <row r="1308" spans="1:29" x14ac:dyDescent="0.3">
      <c r="A1308" s="34"/>
      <c r="L1308" s="36"/>
      <c r="R1308" s="34"/>
      <c r="AC1308" s="36"/>
    </row>
    <row r="1309" spans="1:29" x14ac:dyDescent="0.3">
      <c r="A1309" s="34"/>
      <c r="L1309" s="36"/>
      <c r="R1309" s="34"/>
      <c r="AC1309" s="36"/>
    </row>
    <row r="1310" spans="1:29" x14ac:dyDescent="0.3">
      <c r="A1310" s="34"/>
      <c r="L1310" s="36"/>
      <c r="R1310" s="34"/>
      <c r="AC1310" s="36"/>
    </row>
    <row r="1311" spans="1:29" x14ac:dyDescent="0.3">
      <c r="A1311" s="34"/>
      <c r="L1311" s="36"/>
      <c r="R1311" s="34"/>
      <c r="AC1311" s="36"/>
    </row>
    <row r="1312" spans="1:29" x14ac:dyDescent="0.3">
      <c r="A1312" s="34"/>
      <c r="L1312" s="36"/>
      <c r="R1312" s="34"/>
      <c r="AC1312" s="36"/>
    </row>
    <row r="1313" spans="1:29" x14ac:dyDescent="0.3">
      <c r="A1313" s="34"/>
      <c r="L1313" s="36"/>
      <c r="R1313" s="34"/>
      <c r="AC1313" s="36"/>
    </row>
    <row r="1314" spans="1:29" x14ac:dyDescent="0.3">
      <c r="A1314" s="34"/>
      <c r="L1314" s="36"/>
      <c r="R1314" s="34"/>
      <c r="AC1314" s="36"/>
    </row>
    <row r="1315" spans="1:29" x14ac:dyDescent="0.3">
      <c r="A1315" s="34"/>
      <c r="L1315" s="36"/>
      <c r="R1315" s="34"/>
      <c r="AC1315" s="36"/>
    </row>
    <row r="1316" spans="1:29" x14ac:dyDescent="0.3">
      <c r="A1316" s="34"/>
      <c r="L1316" s="36"/>
      <c r="R1316" s="34"/>
      <c r="AC1316" s="36"/>
    </row>
    <row r="1317" spans="1:29" x14ac:dyDescent="0.3">
      <c r="A1317" s="34"/>
      <c r="L1317" s="36"/>
      <c r="R1317" s="34"/>
      <c r="AC1317" s="36"/>
    </row>
    <row r="1318" spans="1:29" x14ac:dyDescent="0.3">
      <c r="A1318" s="34"/>
      <c r="L1318" s="36"/>
      <c r="R1318" s="34"/>
      <c r="AC1318" s="36"/>
    </row>
    <row r="1319" spans="1:29" x14ac:dyDescent="0.3">
      <c r="A1319" s="34"/>
      <c r="L1319" s="36"/>
      <c r="R1319" s="34"/>
      <c r="AC1319" s="36"/>
    </row>
    <row r="1320" spans="1:29" x14ac:dyDescent="0.3">
      <c r="A1320" s="34"/>
      <c r="L1320" s="36"/>
      <c r="R1320" s="34"/>
      <c r="AC1320" s="36"/>
    </row>
    <row r="1321" spans="1:29" x14ac:dyDescent="0.3">
      <c r="A1321" s="34"/>
      <c r="L1321" s="36"/>
      <c r="R1321" s="34"/>
      <c r="AC1321" s="36"/>
    </row>
    <row r="1322" spans="1:29" x14ac:dyDescent="0.3">
      <c r="A1322" s="34"/>
      <c r="L1322" s="36"/>
      <c r="R1322" s="34"/>
      <c r="AC1322" s="36"/>
    </row>
    <row r="1323" spans="1:29" x14ac:dyDescent="0.3">
      <c r="A1323" s="34"/>
      <c r="L1323" s="36"/>
      <c r="R1323" s="34"/>
      <c r="AC1323" s="36"/>
    </row>
    <row r="1324" spans="1:29" x14ac:dyDescent="0.3">
      <c r="A1324" s="34"/>
      <c r="L1324" s="36"/>
      <c r="R1324" s="34"/>
      <c r="AC1324" s="36"/>
    </row>
    <row r="1325" spans="1:29" x14ac:dyDescent="0.3">
      <c r="A1325" s="34"/>
      <c r="L1325" s="36"/>
      <c r="R1325" s="34"/>
      <c r="AC1325" s="36"/>
    </row>
    <row r="1326" spans="1:29" x14ac:dyDescent="0.3">
      <c r="A1326" s="34"/>
      <c r="L1326" s="36"/>
      <c r="R1326" s="34"/>
      <c r="AC1326" s="36"/>
    </row>
    <row r="1327" spans="1:29" x14ac:dyDescent="0.3">
      <c r="A1327" s="34"/>
      <c r="L1327" s="36"/>
      <c r="R1327" s="34"/>
      <c r="AC1327" s="36"/>
    </row>
    <row r="1328" spans="1:29" x14ac:dyDescent="0.3">
      <c r="A1328" s="34"/>
      <c r="L1328" s="36"/>
      <c r="R1328" s="34"/>
      <c r="AC1328" s="36"/>
    </row>
    <row r="1329" spans="1:29" x14ac:dyDescent="0.3">
      <c r="A1329" s="34"/>
      <c r="L1329" s="36"/>
      <c r="R1329" s="34"/>
      <c r="AC1329" s="36"/>
    </row>
    <row r="1330" spans="1:29" x14ac:dyDescent="0.3">
      <c r="A1330" s="34"/>
      <c r="L1330" s="36"/>
      <c r="R1330" s="34"/>
      <c r="AC1330" s="36"/>
    </row>
    <row r="1331" spans="1:29" x14ac:dyDescent="0.3">
      <c r="A1331" s="34"/>
      <c r="L1331" s="36"/>
      <c r="R1331" s="34"/>
      <c r="AC1331" s="36"/>
    </row>
    <row r="1332" spans="1:29" x14ac:dyDescent="0.3">
      <c r="A1332" s="34"/>
      <c r="L1332" s="36"/>
      <c r="R1332" s="34"/>
      <c r="AC1332" s="36"/>
    </row>
    <row r="1333" spans="1:29" x14ac:dyDescent="0.3">
      <c r="A1333" s="34"/>
      <c r="L1333" s="36"/>
      <c r="R1333" s="34"/>
      <c r="AC1333" s="36"/>
    </row>
    <row r="1334" spans="1:29" x14ac:dyDescent="0.3">
      <c r="A1334" s="34"/>
      <c r="L1334" s="36"/>
      <c r="R1334" s="34"/>
      <c r="AC1334" s="36"/>
    </row>
    <row r="1335" spans="1:29" x14ac:dyDescent="0.3">
      <c r="A1335" s="34"/>
      <c r="L1335" s="36"/>
      <c r="R1335" s="34"/>
      <c r="AC1335" s="36"/>
    </row>
    <row r="1336" spans="1:29" x14ac:dyDescent="0.3">
      <c r="A1336" s="34"/>
      <c r="L1336" s="36"/>
      <c r="R1336" s="34"/>
      <c r="AC1336" s="36"/>
    </row>
    <row r="1337" spans="1:29" x14ac:dyDescent="0.3">
      <c r="A1337" s="34"/>
      <c r="L1337" s="36"/>
      <c r="R1337" s="34"/>
      <c r="AC1337" s="36"/>
    </row>
    <row r="1338" spans="1:29" x14ac:dyDescent="0.3">
      <c r="A1338" s="34"/>
      <c r="L1338" s="36"/>
      <c r="R1338" s="34"/>
      <c r="AC1338" s="36"/>
    </row>
    <row r="1339" spans="1:29" x14ac:dyDescent="0.3">
      <c r="A1339" s="34"/>
      <c r="L1339" s="36"/>
      <c r="R1339" s="34"/>
      <c r="AC1339" s="36"/>
    </row>
    <row r="1340" spans="1:29" x14ac:dyDescent="0.3">
      <c r="A1340" s="34"/>
      <c r="L1340" s="36"/>
      <c r="R1340" s="34"/>
      <c r="AC1340" s="36"/>
    </row>
    <row r="1341" spans="1:29" x14ac:dyDescent="0.3">
      <c r="A1341" s="34"/>
      <c r="L1341" s="36"/>
      <c r="R1341" s="34"/>
      <c r="AC1341" s="36"/>
    </row>
    <row r="1342" spans="1:29" x14ac:dyDescent="0.3">
      <c r="A1342" s="34"/>
      <c r="L1342" s="36"/>
      <c r="R1342" s="34"/>
      <c r="AC1342" s="36"/>
    </row>
    <row r="1343" spans="1:29" x14ac:dyDescent="0.3">
      <c r="A1343" s="34"/>
      <c r="L1343" s="36"/>
      <c r="R1343" s="34"/>
      <c r="AC1343" s="36"/>
    </row>
    <row r="1344" spans="1:29" x14ac:dyDescent="0.3">
      <c r="A1344" s="34"/>
      <c r="L1344" s="36"/>
      <c r="R1344" s="34"/>
      <c r="AC1344" s="36"/>
    </row>
    <row r="1345" spans="1:29" x14ac:dyDescent="0.3">
      <c r="A1345" s="34"/>
      <c r="L1345" s="36"/>
      <c r="R1345" s="34"/>
      <c r="AC1345" s="36"/>
    </row>
    <row r="1346" spans="1:29" x14ac:dyDescent="0.3">
      <c r="A1346" s="34"/>
      <c r="L1346" s="36"/>
      <c r="R1346" s="34"/>
      <c r="AC1346" s="36"/>
    </row>
    <row r="1347" spans="1:29" x14ac:dyDescent="0.3">
      <c r="A1347" s="34"/>
      <c r="L1347" s="36"/>
      <c r="R1347" s="34"/>
      <c r="AC1347" s="36"/>
    </row>
    <row r="1348" spans="1:29" x14ac:dyDescent="0.3">
      <c r="A1348" s="34"/>
      <c r="L1348" s="36"/>
      <c r="R1348" s="34"/>
      <c r="AC1348" s="36"/>
    </row>
    <row r="1349" spans="1:29" x14ac:dyDescent="0.3">
      <c r="A1349" s="34"/>
      <c r="L1349" s="36"/>
      <c r="R1349" s="34"/>
      <c r="AC1349" s="36"/>
    </row>
    <row r="1350" spans="1:29" x14ac:dyDescent="0.3">
      <c r="A1350" s="34"/>
      <c r="L1350" s="36"/>
      <c r="R1350" s="34"/>
      <c r="AC1350" s="36"/>
    </row>
    <row r="1351" spans="1:29" x14ac:dyDescent="0.3">
      <c r="A1351" s="34"/>
      <c r="L1351" s="36"/>
      <c r="R1351" s="34"/>
      <c r="AC1351" s="36"/>
    </row>
    <row r="1352" spans="1:29" x14ac:dyDescent="0.3">
      <c r="A1352" s="34"/>
      <c r="L1352" s="36"/>
      <c r="R1352" s="34"/>
      <c r="AC1352" s="36"/>
    </row>
    <row r="1353" spans="1:29" x14ac:dyDescent="0.3">
      <c r="A1353" s="34"/>
      <c r="L1353" s="36"/>
      <c r="R1353" s="34"/>
      <c r="AC1353" s="36"/>
    </row>
    <row r="1354" spans="1:29" x14ac:dyDescent="0.3">
      <c r="A1354" s="34"/>
      <c r="L1354" s="36"/>
      <c r="R1354" s="34"/>
      <c r="AC1354" s="36"/>
    </row>
    <row r="1355" spans="1:29" x14ac:dyDescent="0.3">
      <c r="A1355" s="34"/>
      <c r="L1355" s="36"/>
      <c r="R1355" s="34"/>
      <c r="AC1355" s="36"/>
    </row>
    <row r="1356" spans="1:29" x14ac:dyDescent="0.3">
      <c r="A1356" s="34"/>
      <c r="L1356" s="36"/>
      <c r="R1356" s="34"/>
      <c r="AC1356" s="36"/>
    </row>
    <row r="1357" spans="1:29" x14ac:dyDescent="0.3">
      <c r="A1357" s="34"/>
      <c r="L1357" s="36"/>
      <c r="R1357" s="34"/>
      <c r="AC1357" s="36"/>
    </row>
    <row r="1358" spans="1:29" x14ac:dyDescent="0.3">
      <c r="A1358" s="34"/>
      <c r="L1358" s="36"/>
      <c r="R1358" s="34"/>
      <c r="AC1358" s="36"/>
    </row>
    <row r="1359" spans="1:29" x14ac:dyDescent="0.3">
      <c r="A1359" s="34"/>
      <c r="L1359" s="36"/>
      <c r="R1359" s="34"/>
      <c r="AC1359" s="36"/>
    </row>
    <row r="1360" spans="1:29" x14ac:dyDescent="0.3">
      <c r="A1360" s="34"/>
      <c r="L1360" s="36"/>
      <c r="R1360" s="34"/>
      <c r="AC1360" s="36"/>
    </row>
    <row r="1361" spans="1:29" x14ac:dyDescent="0.3">
      <c r="A1361" s="34"/>
      <c r="L1361" s="36"/>
      <c r="R1361" s="34"/>
      <c r="AC1361" s="36"/>
    </row>
    <row r="1362" spans="1:29" x14ac:dyDescent="0.3">
      <c r="A1362" s="34"/>
      <c r="L1362" s="36"/>
      <c r="R1362" s="34"/>
      <c r="AC1362" s="36"/>
    </row>
    <row r="1363" spans="1:29" x14ac:dyDescent="0.3">
      <c r="A1363" s="34"/>
      <c r="L1363" s="36"/>
      <c r="R1363" s="34"/>
      <c r="AC1363" s="36"/>
    </row>
    <row r="1364" spans="1:29" x14ac:dyDescent="0.3">
      <c r="A1364" s="34"/>
      <c r="L1364" s="36"/>
      <c r="R1364" s="34"/>
      <c r="AC1364" s="36"/>
    </row>
    <row r="1365" spans="1:29" x14ac:dyDescent="0.3">
      <c r="A1365" s="34"/>
      <c r="L1365" s="36"/>
      <c r="R1365" s="34"/>
      <c r="AC1365" s="36"/>
    </row>
    <row r="1366" spans="1:29" x14ac:dyDescent="0.3">
      <c r="A1366" s="34"/>
      <c r="L1366" s="36"/>
      <c r="R1366" s="34"/>
      <c r="AC1366" s="36"/>
    </row>
    <row r="1367" spans="1:29" x14ac:dyDescent="0.3">
      <c r="A1367" s="34"/>
      <c r="L1367" s="36"/>
      <c r="R1367" s="34"/>
      <c r="AC1367" s="36"/>
    </row>
    <row r="1368" spans="1:29" x14ac:dyDescent="0.3">
      <c r="A1368" s="34"/>
      <c r="L1368" s="36"/>
      <c r="R1368" s="34"/>
      <c r="AC1368" s="36"/>
    </row>
    <row r="1369" spans="1:29" x14ac:dyDescent="0.3">
      <c r="A1369" s="34"/>
      <c r="L1369" s="36"/>
      <c r="R1369" s="34"/>
      <c r="AC1369" s="36"/>
    </row>
    <row r="1370" spans="1:29" x14ac:dyDescent="0.3">
      <c r="A1370" s="34"/>
      <c r="L1370" s="36"/>
      <c r="R1370" s="34"/>
      <c r="AC1370" s="36"/>
    </row>
    <row r="1371" spans="1:29" x14ac:dyDescent="0.3">
      <c r="A1371" s="34"/>
      <c r="L1371" s="36"/>
      <c r="R1371" s="34"/>
      <c r="AC1371" s="36"/>
    </row>
    <row r="1372" spans="1:29" x14ac:dyDescent="0.3">
      <c r="A1372" s="34"/>
      <c r="L1372" s="36"/>
      <c r="R1372" s="34"/>
      <c r="AC1372" s="36"/>
    </row>
    <row r="1373" spans="1:29" x14ac:dyDescent="0.3">
      <c r="A1373" s="34"/>
      <c r="L1373" s="36"/>
      <c r="R1373" s="34"/>
      <c r="AC1373" s="36"/>
    </row>
    <row r="1374" spans="1:29" x14ac:dyDescent="0.3">
      <c r="A1374" s="34"/>
      <c r="L1374" s="36"/>
      <c r="R1374" s="34"/>
      <c r="AC1374" s="36"/>
    </row>
    <row r="1375" spans="1:29" x14ac:dyDescent="0.3">
      <c r="A1375" s="34"/>
      <c r="L1375" s="36"/>
      <c r="R1375" s="34"/>
      <c r="AC1375" s="36"/>
    </row>
    <row r="1376" spans="1:29" x14ac:dyDescent="0.3">
      <c r="A1376" s="34"/>
      <c r="L1376" s="36"/>
      <c r="R1376" s="34"/>
      <c r="AC1376" s="36"/>
    </row>
    <row r="1377" spans="1:29" x14ac:dyDescent="0.3">
      <c r="A1377" s="34"/>
      <c r="L1377" s="36"/>
      <c r="R1377" s="34"/>
      <c r="AC1377" s="36"/>
    </row>
    <row r="1378" spans="1:29" x14ac:dyDescent="0.3">
      <c r="A1378" s="34"/>
      <c r="L1378" s="36"/>
      <c r="R1378" s="34"/>
      <c r="AC1378" s="36"/>
    </row>
    <row r="1379" spans="1:29" x14ac:dyDescent="0.3">
      <c r="A1379" s="34"/>
      <c r="L1379" s="36"/>
      <c r="R1379" s="34"/>
      <c r="AC1379" s="36"/>
    </row>
    <row r="1380" spans="1:29" x14ac:dyDescent="0.3">
      <c r="A1380" s="34"/>
      <c r="L1380" s="36"/>
      <c r="R1380" s="34"/>
      <c r="AC1380" s="36"/>
    </row>
    <row r="1381" spans="1:29" x14ac:dyDescent="0.3">
      <c r="A1381" s="34"/>
      <c r="L1381" s="36"/>
      <c r="R1381" s="34"/>
      <c r="AC1381" s="36"/>
    </row>
    <row r="1382" spans="1:29" x14ac:dyDescent="0.3">
      <c r="A1382" s="34"/>
      <c r="L1382" s="36"/>
      <c r="R1382" s="34"/>
      <c r="AC1382" s="36"/>
    </row>
    <row r="1383" spans="1:29" x14ac:dyDescent="0.3">
      <c r="A1383" s="34"/>
      <c r="L1383" s="36"/>
      <c r="R1383" s="34"/>
      <c r="AC1383" s="36"/>
    </row>
    <row r="1384" spans="1:29" x14ac:dyDescent="0.3">
      <c r="A1384" s="34"/>
      <c r="L1384" s="36"/>
      <c r="R1384" s="34"/>
      <c r="AC1384" s="36"/>
    </row>
    <row r="1385" spans="1:29" x14ac:dyDescent="0.3">
      <c r="A1385" s="34"/>
      <c r="L1385" s="36"/>
      <c r="R1385" s="34"/>
      <c r="AC1385" s="36"/>
    </row>
    <row r="1386" spans="1:29" x14ac:dyDescent="0.3">
      <c r="A1386" s="34"/>
      <c r="L1386" s="36"/>
      <c r="R1386" s="34"/>
      <c r="AC1386" s="36"/>
    </row>
    <row r="1387" spans="1:29" x14ac:dyDescent="0.3">
      <c r="A1387" s="34"/>
      <c r="L1387" s="36"/>
      <c r="R1387" s="34"/>
      <c r="AC1387" s="36"/>
    </row>
    <row r="1388" spans="1:29" x14ac:dyDescent="0.3">
      <c r="A1388" s="34"/>
      <c r="L1388" s="36"/>
      <c r="R1388" s="34"/>
      <c r="AC1388" s="36"/>
    </row>
    <row r="1389" spans="1:29" x14ac:dyDescent="0.3">
      <c r="A1389" s="34"/>
      <c r="L1389" s="36"/>
      <c r="R1389" s="34"/>
      <c r="AC1389" s="36"/>
    </row>
    <row r="1390" spans="1:29" x14ac:dyDescent="0.3">
      <c r="A1390" s="34"/>
      <c r="L1390" s="36"/>
      <c r="R1390" s="34"/>
      <c r="AC1390" s="36"/>
    </row>
    <row r="1391" spans="1:29" x14ac:dyDescent="0.3">
      <c r="A1391" s="34"/>
      <c r="L1391" s="36"/>
      <c r="R1391" s="34"/>
      <c r="AC1391" s="36"/>
    </row>
    <row r="1392" spans="1:29" x14ac:dyDescent="0.3">
      <c r="A1392" s="34"/>
      <c r="L1392" s="36"/>
      <c r="R1392" s="34"/>
      <c r="AC1392" s="36"/>
    </row>
    <row r="1393" spans="1:29" x14ac:dyDescent="0.3">
      <c r="A1393" s="34"/>
      <c r="L1393" s="36"/>
      <c r="R1393" s="34"/>
      <c r="AC1393" s="36"/>
    </row>
    <row r="1394" spans="1:29" x14ac:dyDescent="0.3">
      <c r="A1394" s="34"/>
      <c r="L1394" s="36"/>
      <c r="R1394" s="34"/>
      <c r="AC1394" s="36"/>
    </row>
    <row r="1395" spans="1:29" x14ac:dyDescent="0.3">
      <c r="A1395" s="34"/>
      <c r="L1395" s="36"/>
      <c r="R1395" s="34"/>
      <c r="AC1395" s="36"/>
    </row>
    <row r="1396" spans="1:29" x14ac:dyDescent="0.3">
      <c r="A1396" s="34"/>
      <c r="L1396" s="36"/>
      <c r="R1396" s="34"/>
      <c r="AC1396" s="36"/>
    </row>
    <row r="1397" spans="1:29" x14ac:dyDescent="0.3">
      <c r="A1397" s="34"/>
      <c r="L1397" s="36"/>
      <c r="R1397" s="34"/>
      <c r="AC1397" s="36"/>
    </row>
    <row r="1398" spans="1:29" x14ac:dyDescent="0.3">
      <c r="A1398" s="34"/>
      <c r="L1398" s="36"/>
      <c r="R1398" s="34"/>
      <c r="AC1398" s="36"/>
    </row>
    <row r="1399" spans="1:29" x14ac:dyDescent="0.3">
      <c r="A1399" s="34"/>
      <c r="L1399" s="36"/>
      <c r="R1399" s="34"/>
      <c r="AC1399" s="36"/>
    </row>
    <row r="1400" spans="1:29" x14ac:dyDescent="0.3">
      <c r="A1400" s="34"/>
      <c r="L1400" s="36"/>
      <c r="R1400" s="34"/>
      <c r="AC1400" s="36"/>
    </row>
    <row r="1401" spans="1:29" x14ac:dyDescent="0.3">
      <c r="A1401" s="34"/>
      <c r="L1401" s="36"/>
      <c r="R1401" s="34"/>
      <c r="AC1401" s="36"/>
    </row>
    <row r="1402" spans="1:29" x14ac:dyDescent="0.3">
      <c r="A1402" s="34"/>
      <c r="L1402" s="36"/>
      <c r="R1402" s="34"/>
      <c r="AC1402" s="36"/>
    </row>
    <row r="1403" spans="1:29" x14ac:dyDescent="0.3">
      <c r="A1403" s="34"/>
      <c r="L1403" s="36"/>
      <c r="R1403" s="34"/>
      <c r="AC1403" s="36"/>
    </row>
    <row r="1404" spans="1:29" x14ac:dyDescent="0.3">
      <c r="A1404" s="34"/>
      <c r="L1404" s="36"/>
      <c r="R1404" s="34"/>
      <c r="AC1404" s="36"/>
    </row>
    <row r="1405" spans="1:29" x14ac:dyDescent="0.3">
      <c r="A1405" s="34"/>
      <c r="L1405" s="36"/>
      <c r="R1405" s="34"/>
      <c r="AC1405" s="36"/>
    </row>
    <row r="1406" spans="1:29" x14ac:dyDescent="0.3">
      <c r="A1406" s="34"/>
      <c r="L1406" s="36"/>
      <c r="R1406" s="34"/>
      <c r="AC1406" s="36"/>
    </row>
    <row r="1407" spans="1:29" x14ac:dyDescent="0.3">
      <c r="A1407" s="34"/>
      <c r="L1407" s="36"/>
      <c r="R1407" s="34"/>
      <c r="AC1407" s="36"/>
    </row>
    <row r="1408" spans="1:29" x14ac:dyDescent="0.3">
      <c r="A1408" s="34"/>
      <c r="L1408" s="36"/>
      <c r="R1408" s="34"/>
      <c r="AC1408" s="36"/>
    </row>
    <row r="1409" spans="1:29" x14ac:dyDescent="0.3">
      <c r="A1409" s="34"/>
      <c r="L1409" s="36"/>
      <c r="R1409" s="34"/>
      <c r="AC1409" s="36"/>
    </row>
    <row r="1410" spans="1:29" x14ac:dyDescent="0.3">
      <c r="A1410" s="34"/>
      <c r="L1410" s="36"/>
      <c r="R1410" s="34"/>
      <c r="AC1410" s="36"/>
    </row>
    <row r="1411" spans="1:29" x14ac:dyDescent="0.3">
      <c r="A1411" s="34"/>
      <c r="L1411" s="36"/>
      <c r="R1411" s="34"/>
      <c r="AC1411" s="36"/>
    </row>
    <row r="1412" spans="1:29" x14ac:dyDescent="0.3">
      <c r="A1412" s="34"/>
      <c r="L1412" s="36"/>
      <c r="R1412" s="34"/>
      <c r="AC1412" s="36"/>
    </row>
    <row r="1413" spans="1:29" x14ac:dyDescent="0.3">
      <c r="A1413" s="34"/>
      <c r="L1413" s="36"/>
      <c r="R1413" s="34"/>
      <c r="AC1413" s="36"/>
    </row>
    <row r="1414" spans="1:29" x14ac:dyDescent="0.3">
      <c r="A1414" s="34"/>
      <c r="L1414" s="36"/>
      <c r="R1414" s="34"/>
      <c r="AC1414" s="36"/>
    </row>
    <row r="1415" spans="1:29" x14ac:dyDescent="0.3">
      <c r="A1415" s="34"/>
      <c r="L1415" s="36"/>
      <c r="R1415" s="34"/>
      <c r="AC1415" s="36"/>
    </row>
    <row r="1416" spans="1:29" x14ac:dyDescent="0.3">
      <c r="A1416" s="34"/>
      <c r="L1416" s="36"/>
      <c r="R1416" s="34"/>
      <c r="AC1416" s="36"/>
    </row>
    <row r="1417" spans="1:29" x14ac:dyDescent="0.3">
      <c r="A1417" s="34"/>
      <c r="L1417" s="36"/>
      <c r="R1417" s="34"/>
      <c r="AC1417" s="36"/>
    </row>
    <row r="1418" spans="1:29" x14ac:dyDescent="0.3">
      <c r="A1418" s="34"/>
      <c r="L1418" s="36"/>
      <c r="R1418" s="34"/>
      <c r="AC1418" s="36"/>
    </row>
    <row r="1419" spans="1:29" x14ac:dyDescent="0.3">
      <c r="A1419" s="34"/>
      <c r="L1419" s="36"/>
      <c r="R1419" s="34"/>
      <c r="AC1419" s="36"/>
    </row>
    <row r="1420" spans="1:29" x14ac:dyDescent="0.3">
      <c r="A1420" s="34"/>
      <c r="L1420" s="36"/>
      <c r="R1420" s="34"/>
      <c r="AC1420" s="36"/>
    </row>
    <row r="1421" spans="1:29" x14ac:dyDescent="0.3">
      <c r="A1421" s="34"/>
      <c r="L1421" s="36"/>
      <c r="R1421" s="34"/>
      <c r="AC1421" s="36"/>
    </row>
    <row r="1422" spans="1:29" x14ac:dyDescent="0.3">
      <c r="A1422" s="34"/>
      <c r="L1422" s="36"/>
      <c r="R1422" s="34"/>
      <c r="AC1422" s="36"/>
    </row>
    <row r="1423" spans="1:29" x14ac:dyDescent="0.3">
      <c r="A1423" s="34"/>
      <c r="L1423" s="36"/>
      <c r="R1423" s="34"/>
      <c r="AC1423" s="36"/>
    </row>
    <row r="1424" spans="1:29" x14ac:dyDescent="0.3">
      <c r="A1424" s="34"/>
      <c r="L1424" s="36"/>
      <c r="R1424" s="34"/>
      <c r="AC1424" s="36"/>
    </row>
    <row r="1425" spans="1:29" x14ac:dyDescent="0.3">
      <c r="A1425" s="34"/>
      <c r="L1425" s="36"/>
      <c r="R1425" s="34"/>
      <c r="AC1425" s="36"/>
    </row>
    <row r="1426" spans="1:29" x14ac:dyDescent="0.3">
      <c r="A1426" s="34"/>
      <c r="L1426" s="36"/>
      <c r="R1426" s="34"/>
      <c r="AC1426" s="36"/>
    </row>
    <row r="1427" spans="1:29" x14ac:dyDescent="0.3">
      <c r="A1427" s="34"/>
      <c r="L1427" s="36"/>
      <c r="R1427" s="34"/>
      <c r="AC1427" s="36"/>
    </row>
    <row r="1428" spans="1:29" x14ac:dyDescent="0.3">
      <c r="A1428" s="34"/>
      <c r="L1428" s="36"/>
      <c r="R1428" s="34"/>
      <c r="AC1428" s="36"/>
    </row>
    <row r="1429" spans="1:29" x14ac:dyDescent="0.3">
      <c r="A1429" s="34"/>
      <c r="L1429" s="36"/>
      <c r="R1429" s="34"/>
      <c r="AC1429" s="36"/>
    </row>
    <row r="1430" spans="1:29" x14ac:dyDescent="0.3">
      <c r="A1430" s="34"/>
      <c r="L1430" s="36"/>
      <c r="R1430" s="34"/>
      <c r="AC1430" s="36"/>
    </row>
    <row r="1431" spans="1:29" x14ac:dyDescent="0.3">
      <c r="A1431" s="34"/>
      <c r="L1431" s="36"/>
      <c r="R1431" s="34"/>
      <c r="AC1431" s="36"/>
    </row>
    <row r="1432" spans="1:29" x14ac:dyDescent="0.3">
      <c r="A1432" s="34"/>
      <c r="L1432" s="36"/>
      <c r="R1432" s="34"/>
      <c r="AC1432" s="36"/>
    </row>
    <row r="1433" spans="1:29" x14ac:dyDescent="0.3">
      <c r="A1433" s="34"/>
      <c r="L1433" s="36"/>
      <c r="R1433" s="34"/>
      <c r="AC1433" s="36"/>
    </row>
    <row r="1434" spans="1:29" x14ac:dyDescent="0.3">
      <c r="A1434" s="34"/>
      <c r="L1434" s="36"/>
      <c r="R1434" s="34"/>
      <c r="AC1434" s="36"/>
    </row>
    <row r="1435" spans="1:29" x14ac:dyDescent="0.3">
      <c r="A1435" s="34"/>
      <c r="L1435" s="36"/>
      <c r="R1435" s="34"/>
      <c r="AC1435" s="36"/>
    </row>
    <row r="1436" spans="1:29" x14ac:dyDescent="0.3">
      <c r="A1436" s="34"/>
      <c r="L1436" s="36"/>
      <c r="R1436" s="34"/>
      <c r="AC1436" s="36"/>
    </row>
    <row r="1437" spans="1:29" x14ac:dyDescent="0.3">
      <c r="A1437" s="34"/>
      <c r="L1437" s="36"/>
      <c r="R1437" s="34"/>
      <c r="AC1437" s="36"/>
    </row>
    <row r="1438" spans="1:29" x14ac:dyDescent="0.3">
      <c r="A1438" s="34"/>
      <c r="L1438" s="36"/>
      <c r="R1438" s="34"/>
      <c r="AC1438" s="36"/>
    </row>
    <row r="1439" spans="1:29" x14ac:dyDescent="0.3">
      <c r="A1439" s="34"/>
      <c r="L1439" s="36"/>
      <c r="R1439" s="34"/>
      <c r="AC1439" s="36"/>
    </row>
    <row r="1440" spans="1:29" x14ac:dyDescent="0.3">
      <c r="A1440" s="34"/>
      <c r="L1440" s="36"/>
      <c r="R1440" s="34"/>
      <c r="AC1440" s="36"/>
    </row>
    <row r="1441" spans="1:29" x14ac:dyDescent="0.3">
      <c r="A1441" s="34"/>
      <c r="L1441" s="36"/>
      <c r="R1441" s="34"/>
      <c r="AC1441" s="36"/>
    </row>
    <row r="1442" spans="1:29" x14ac:dyDescent="0.3">
      <c r="A1442" s="34"/>
      <c r="L1442" s="36"/>
      <c r="R1442" s="34"/>
      <c r="AC1442" s="36"/>
    </row>
    <row r="1443" spans="1:29" x14ac:dyDescent="0.3">
      <c r="A1443" s="34"/>
      <c r="L1443" s="36"/>
      <c r="R1443" s="34"/>
      <c r="AC1443" s="36"/>
    </row>
    <row r="1444" spans="1:29" x14ac:dyDescent="0.3">
      <c r="A1444" s="34"/>
      <c r="L1444" s="36"/>
      <c r="R1444" s="34"/>
      <c r="AC1444" s="36"/>
    </row>
    <row r="1445" spans="1:29" x14ac:dyDescent="0.3">
      <c r="A1445" s="34"/>
      <c r="L1445" s="36"/>
      <c r="R1445" s="34"/>
      <c r="AC1445" s="36"/>
    </row>
    <row r="1446" spans="1:29" x14ac:dyDescent="0.3">
      <c r="A1446" s="34"/>
      <c r="L1446" s="36"/>
      <c r="R1446" s="34"/>
      <c r="AC1446" s="36"/>
    </row>
    <row r="1447" spans="1:29" x14ac:dyDescent="0.3">
      <c r="A1447" s="34"/>
      <c r="L1447" s="36"/>
      <c r="R1447" s="34"/>
      <c r="AC1447" s="36"/>
    </row>
    <row r="1448" spans="1:29" x14ac:dyDescent="0.3">
      <c r="A1448" s="34"/>
      <c r="L1448" s="36"/>
      <c r="R1448" s="34"/>
      <c r="AC1448" s="36"/>
    </row>
    <row r="1449" spans="1:29" x14ac:dyDescent="0.3">
      <c r="A1449" s="34"/>
      <c r="L1449" s="36"/>
      <c r="R1449" s="34"/>
      <c r="AC1449" s="36"/>
    </row>
    <row r="1450" spans="1:29" x14ac:dyDescent="0.3">
      <c r="A1450" s="34"/>
      <c r="L1450" s="36"/>
      <c r="R1450" s="34"/>
      <c r="AC1450" s="36"/>
    </row>
    <row r="1451" spans="1:29" x14ac:dyDescent="0.3">
      <c r="A1451" s="34"/>
      <c r="L1451" s="36"/>
      <c r="R1451" s="34"/>
      <c r="AC1451" s="36"/>
    </row>
    <row r="1452" spans="1:29" x14ac:dyDescent="0.3">
      <c r="A1452" s="34"/>
      <c r="L1452" s="36"/>
      <c r="R1452" s="34"/>
      <c r="AC1452" s="36"/>
    </row>
    <row r="1453" spans="1:29" x14ac:dyDescent="0.3">
      <c r="A1453" s="34"/>
      <c r="L1453" s="36"/>
      <c r="R1453" s="34"/>
      <c r="AC1453" s="36"/>
    </row>
    <row r="1454" spans="1:29" x14ac:dyDescent="0.3">
      <c r="A1454" s="34"/>
      <c r="L1454" s="36"/>
      <c r="R1454" s="34"/>
      <c r="AC1454" s="36"/>
    </row>
    <row r="1455" spans="1:29" x14ac:dyDescent="0.3">
      <c r="A1455" s="34"/>
      <c r="L1455" s="36"/>
      <c r="R1455" s="34"/>
      <c r="AC1455" s="36"/>
    </row>
    <row r="1456" spans="1:29" x14ac:dyDescent="0.3">
      <c r="A1456" s="34"/>
      <c r="L1456" s="36"/>
      <c r="R1456" s="34"/>
      <c r="AC1456" s="36"/>
    </row>
    <row r="1457" spans="1:29" x14ac:dyDescent="0.3">
      <c r="A1457" s="34"/>
      <c r="L1457" s="36"/>
      <c r="R1457" s="34"/>
      <c r="AC1457" s="36"/>
    </row>
    <row r="1458" spans="1:29" x14ac:dyDescent="0.3">
      <c r="A1458" s="34"/>
      <c r="L1458" s="36"/>
      <c r="R1458" s="34"/>
      <c r="AC1458" s="36"/>
    </row>
    <row r="1459" spans="1:29" x14ac:dyDescent="0.3">
      <c r="A1459" s="34"/>
      <c r="L1459" s="36"/>
      <c r="R1459" s="34"/>
      <c r="AC1459" s="36"/>
    </row>
    <row r="1460" spans="1:29" x14ac:dyDescent="0.3">
      <c r="A1460" s="34"/>
      <c r="L1460" s="36"/>
      <c r="R1460" s="34"/>
      <c r="AC1460" s="36"/>
    </row>
    <row r="1461" spans="1:29" x14ac:dyDescent="0.3">
      <c r="A1461" s="34"/>
      <c r="L1461" s="36"/>
      <c r="R1461" s="34"/>
      <c r="AC1461" s="36"/>
    </row>
    <row r="1462" spans="1:29" x14ac:dyDescent="0.3">
      <c r="A1462" s="34"/>
      <c r="L1462" s="36"/>
      <c r="R1462" s="34"/>
      <c r="AC1462" s="36"/>
    </row>
    <row r="1463" spans="1:29" x14ac:dyDescent="0.3">
      <c r="A1463" s="34"/>
      <c r="L1463" s="36"/>
      <c r="R1463" s="34"/>
      <c r="AC1463" s="36"/>
    </row>
    <row r="1464" spans="1:29" x14ac:dyDescent="0.3">
      <c r="A1464" s="34"/>
      <c r="L1464" s="36"/>
      <c r="R1464" s="34"/>
      <c r="AC1464" s="36"/>
    </row>
    <row r="1465" spans="1:29" x14ac:dyDescent="0.3">
      <c r="A1465" s="34"/>
      <c r="L1465" s="36"/>
      <c r="R1465" s="34"/>
      <c r="AC1465" s="36"/>
    </row>
    <row r="1466" spans="1:29" x14ac:dyDescent="0.3">
      <c r="A1466" s="34"/>
      <c r="L1466" s="36"/>
      <c r="R1466" s="34"/>
      <c r="AC1466" s="36"/>
    </row>
    <row r="1467" spans="1:29" x14ac:dyDescent="0.3">
      <c r="A1467" s="34"/>
      <c r="L1467" s="36"/>
      <c r="R1467" s="34"/>
      <c r="AC1467" s="36"/>
    </row>
    <row r="1468" spans="1:29" x14ac:dyDescent="0.3">
      <c r="A1468" s="34"/>
      <c r="L1468" s="36"/>
      <c r="R1468" s="34"/>
      <c r="AC1468" s="36"/>
    </row>
    <row r="1469" spans="1:29" x14ac:dyDescent="0.3">
      <c r="A1469" s="34"/>
      <c r="L1469" s="36"/>
      <c r="R1469" s="34"/>
      <c r="AC1469" s="36"/>
    </row>
    <row r="1470" spans="1:29" x14ac:dyDescent="0.3">
      <c r="A1470" s="34"/>
      <c r="L1470" s="36"/>
      <c r="R1470" s="34"/>
      <c r="AC1470" s="36"/>
    </row>
    <row r="1471" spans="1:29" x14ac:dyDescent="0.3">
      <c r="A1471" s="34"/>
      <c r="L1471" s="36"/>
      <c r="R1471" s="34"/>
      <c r="AC1471" s="36"/>
    </row>
    <row r="1472" spans="1:29" x14ac:dyDescent="0.3">
      <c r="A1472" s="34"/>
      <c r="L1472" s="36"/>
      <c r="R1472" s="34"/>
      <c r="AC1472" s="36"/>
    </row>
    <row r="1473" spans="1:29" x14ac:dyDescent="0.3">
      <c r="A1473" s="34"/>
      <c r="L1473" s="36"/>
      <c r="R1473" s="34"/>
      <c r="AC1473" s="36"/>
    </row>
    <row r="1474" spans="1:29" x14ac:dyDescent="0.3">
      <c r="A1474" s="34"/>
      <c r="L1474" s="36"/>
      <c r="R1474" s="34"/>
      <c r="AC1474" s="36"/>
    </row>
    <row r="1475" spans="1:29" x14ac:dyDescent="0.3">
      <c r="A1475" s="34"/>
      <c r="L1475" s="36"/>
      <c r="R1475" s="34"/>
      <c r="AC1475" s="36"/>
    </row>
    <row r="1476" spans="1:29" x14ac:dyDescent="0.3">
      <c r="A1476" s="34"/>
      <c r="L1476" s="36"/>
      <c r="R1476" s="34"/>
      <c r="AC1476" s="36"/>
    </row>
    <row r="1477" spans="1:29" x14ac:dyDescent="0.3">
      <c r="A1477" s="34"/>
      <c r="L1477" s="36"/>
      <c r="R1477" s="34"/>
      <c r="AC1477" s="36"/>
    </row>
    <row r="1478" spans="1:29" x14ac:dyDescent="0.3">
      <c r="A1478" s="34"/>
      <c r="L1478" s="36"/>
      <c r="R1478" s="34"/>
      <c r="AC1478" s="36"/>
    </row>
    <row r="1479" spans="1:29" x14ac:dyDescent="0.3">
      <c r="A1479" s="34"/>
      <c r="L1479" s="36"/>
      <c r="R1479" s="34"/>
      <c r="AC1479" s="36"/>
    </row>
    <row r="1480" spans="1:29" x14ac:dyDescent="0.3">
      <c r="A1480" s="34"/>
      <c r="L1480" s="36"/>
      <c r="R1480" s="34"/>
      <c r="AC1480" s="36"/>
    </row>
    <row r="1481" spans="1:29" x14ac:dyDescent="0.3">
      <c r="A1481" s="34"/>
      <c r="L1481" s="36"/>
      <c r="R1481" s="34"/>
      <c r="AC1481" s="36"/>
    </row>
    <row r="1482" spans="1:29" x14ac:dyDescent="0.3">
      <c r="A1482" s="34"/>
      <c r="L1482" s="36"/>
      <c r="R1482" s="34"/>
      <c r="AC1482" s="36"/>
    </row>
    <row r="1483" spans="1:29" x14ac:dyDescent="0.3">
      <c r="A1483" s="34"/>
      <c r="L1483" s="36"/>
      <c r="R1483" s="34"/>
      <c r="AC1483" s="36"/>
    </row>
    <row r="1484" spans="1:29" x14ac:dyDescent="0.3">
      <c r="A1484" s="34"/>
      <c r="L1484" s="36"/>
      <c r="R1484" s="34"/>
      <c r="AC1484" s="36"/>
    </row>
    <row r="1485" spans="1:29" x14ac:dyDescent="0.3">
      <c r="A1485" s="34"/>
      <c r="L1485" s="36"/>
      <c r="R1485" s="34"/>
      <c r="AC1485" s="36"/>
    </row>
    <row r="1486" spans="1:29" x14ac:dyDescent="0.3">
      <c r="A1486" s="34"/>
      <c r="L1486" s="36"/>
      <c r="R1486" s="34"/>
      <c r="AC1486" s="36"/>
    </row>
    <row r="1487" spans="1:29" x14ac:dyDescent="0.3">
      <c r="A1487" s="34"/>
      <c r="L1487" s="36"/>
      <c r="R1487" s="34"/>
      <c r="AC1487" s="36"/>
    </row>
    <row r="1488" spans="1:29" x14ac:dyDescent="0.3">
      <c r="A1488" s="34"/>
      <c r="L1488" s="36"/>
      <c r="R1488" s="34"/>
      <c r="AC1488" s="36"/>
    </row>
    <row r="1489" spans="1:29" x14ac:dyDescent="0.3">
      <c r="A1489" s="34"/>
      <c r="L1489" s="36"/>
      <c r="R1489" s="34"/>
      <c r="AC1489" s="36"/>
    </row>
    <row r="1490" spans="1:29" x14ac:dyDescent="0.3">
      <c r="A1490" s="34"/>
      <c r="L1490" s="36"/>
      <c r="R1490" s="34"/>
      <c r="AC1490" s="36"/>
    </row>
    <row r="1491" spans="1:29" x14ac:dyDescent="0.3">
      <c r="A1491" s="34"/>
      <c r="L1491" s="36"/>
      <c r="R1491" s="34"/>
      <c r="AC1491" s="36"/>
    </row>
    <row r="1492" spans="1:29" x14ac:dyDescent="0.3">
      <c r="A1492" s="34"/>
      <c r="L1492" s="36"/>
      <c r="R1492" s="34"/>
      <c r="AC1492" s="36"/>
    </row>
    <row r="1493" spans="1:29" x14ac:dyDescent="0.3">
      <c r="A1493" s="34"/>
      <c r="L1493" s="36"/>
      <c r="R1493" s="34"/>
      <c r="AC1493" s="36"/>
    </row>
    <row r="1494" spans="1:29" x14ac:dyDescent="0.3">
      <c r="A1494" s="34"/>
      <c r="L1494" s="36"/>
      <c r="R1494" s="34"/>
      <c r="AC1494" s="36"/>
    </row>
    <row r="1495" spans="1:29" x14ac:dyDescent="0.3">
      <c r="A1495" s="34"/>
      <c r="L1495" s="36"/>
      <c r="R1495" s="34"/>
      <c r="AC1495" s="36"/>
    </row>
    <row r="1496" spans="1:29" x14ac:dyDescent="0.3">
      <c r="A1496" s="34"/>
      <c r="L1496" s="36"/>
      <c r="R1496" s="34"/>
      <c r="AC1496" s="36"/>
    </row>
    <row r="1497" spans="1:29" x14ac:dyDescent="0.3">
      <c r="A1497" s="34"/>
      <c r="L1497" s="36"/>
      <c r="R1497" s="34"/>
      <c r="AC1497" s="36"/>
    </row>
    <row r="1498" spans="1:29" x14ac:dyDescent="0.3">
      <c r="A1498" s="34"/>
      <c r="L1498" s="36"/>
      <c r="R1498" s="34"/>
      <c r="AC1498" s="36"/>
    </row>
    <row r="1499" spans="1:29" x14ac:dyDescent="0.3">
      <c r="A1499" s="34"/>
      <c r="L1499" s="36"/>
      <c r="R1499" s="34"/>
      <c r="AC1499" s="36"/>
    </row>
    <row r="1500" spans="1:29" x14ac:dyDescent="0.3">
      <c r="A1500" s="34"/>
      <c r="L1500" s="36"/>
      <c r="R1500" s="34"/>
      <c r="AC1500" s="36"/>
    </row>
    <row r="1501" spans="1:29" x14ac:dyDescent="0.3">
      <c r="A1501" s="34"/>
      <c r="L1501" s="36"/>
      <c r="R1501" s="34"/>
      <c r="AC1501" s="36"/>
    </row>
    <row r="1502" spans="1:29" x14ac:dyDescent="0.3">
      <c r="A1502" s="34"/>
      <c r="L1502" s="36"/>
      <c r="R1502" s="34"/>
      <c r="AC1502" s="36"/>
    </row>
    <row r="1503" spans="1:29" x14ac:dyDescent="0.3">
      <c r="A1503" s="34"/>
      <c r="L1503" s="36"/>
      <c r="R1503" s="34"/>
      <c r="AC1503" s="36"/>
    </row>
    <row r="1504" spans="1:29" x14ac:dyDescent="0.3">
      <c r="A1504" s="34"/>
      <c r="L1504" s="36"/>
      <c r="R1504" s="34"/>
      <c r="AC1504" s="36"/>
    </row>
    <row r="1505" spans="1:29" x14ac:dyDescent="0.3">
      <c r="A1505" s="34"/>
      <c r="L1505" s="36"/>
      <c r="R1505" s="34"/>
      <c r="AC1505" s="36"/>
    </row>
    <row r="1506" spans="1:29" x14ac:dyDescent="0.3">
      <c r="A1506" s="34"/>
      <c r="L1506" s="36"/>
      <c r="R1506" s="34"/>
      <c r="AC1506" s="36"/>
    </row>
    <row r="1507" spans="1:29" x14ac:dyDescent="0.3">
      <c r="A1507" s="34"/>
      <c r="L1507" s="36"/>
      <c r="R1507" s="34"/>
      <c r="AC1507" s="36"/>
    </row>
    <row r="1508" spans="1:29" x14ac:dyDescent="0.3">
      <c r="A1508" s="34"/>
      <c r="L1508" s="36"/>
      <c r="R1508" s="34"/>
      <c r="AC1508" s="36"/>
    </row>
    <row r="1509" spans="1:29" x14ac:dyDescent="0.3">
      <c r="A1509" s="34"/>
      <c r="L1509" s="36"/>
      <c r="R1509" s="34"/>
      <c r="AC1509" s="36"/>
    </row>
    <row r="1510" spans="1:29" x14ac:dyDescent="0.3">
      <c r="A1510" s="34"/>
      <c r="L1510" s="36"/>
      <c r="R1510" s="34"/>
      <c r="AC1510" s="36"/>
    </row>
    <row r="1511" spans="1:29" x14ac:dyDescent="0.3">
      <c r="A1511" s="34"/>
      <c r="L1511" s="36"/>
      <c r="R1511" s="34"/>
      <c r="AC1511" s="36"/>
    </row>
    <row r="1512" spans="1:29" x14ac:dyDescent="0.3">
      <c r="A1512" s="34"/>
      <c r="L1512" s="36"/>
      <c r="R1512" s="34"/>
      <c r="AC1512" s="36"/>
    </row>
    <row r="1513" spans="1:29" x14ac:dyDescent="0.3">
      <c r="A1513" s="34"/>
      <c r="L1513" s="36"/>
      <c r="R1513" s="34"/>
      <c r="AC1513" s="36"/>
    </row>
    <row r="1514" spans="1:29" x14ac:dyDescent="0.3">
      <c r="A1514" s="34"/>
      <c r="L1514" s="36"/>
      <c r="R1514" s="34"/>
      <c r="AC1514" s="36"/>
    </row>
    <row r="1515" spans="1:29" x14ac:dyDescent="0.3">
      <c r="A1515" s="34"/>
      <c r="L1515" s="36"/>
      <c r="R1515" s="34"/>
      <c r="AC1515" s="36"/>
    </row>
    <row r="1516" spans="1:29" x14ac:dyDescent="0.3">
      <c r="A1516" s="34"/>
      <c r="L1516" s="36"/>
      <c r="R1516" s="34"/>
      <c r="AC1516" s="36"/>
    </row>
    <row r="1517" spans="1:29" x14ac:dyDescent="0.3">
      <c r="A1517" s="34"/>
      <c r="L1517" s="36"/>
      <c r="R1517" s="34"/>
      <c r="AC1517" s="36"/>
    </row>
    <row r="1518" spans="1:29" x14ac:dyDescent="0.3">
      <c r="A1518" s="34"/>
      <c r="L1518" s="36"/>
      <c r="R1518" s="34"/>
      <c r="AC1518" s="36"/>
    </row>
    <row r="1519" spans="1:29" x14ac:dyDescent="0.3">
      <c r="A1519" s="34"/>
      <c r="L1519" s="36"/>
      <c r="R1519" s="34"/>
      <c r="AC1519" s="36"/>
    </row>
    <row r="1520" spans="1:29" x14ac:dyDescent="0.3">
      <c r="A1520" s="34"/>
      <c r="L1520" s="36"/>
      <c r="R1520" s="34"/>
      <c r="AC1520" s="36"/>
    </row>
    <row r="1521" spans="1:29" x14ac:dyDescent="0.3">
      <c r="A1521" s="34"/>
      <c r="L1521" s="36"/>
      <c r="R1521" s="34"/>
      <c r="AC1521" s="36"/>
    </row>
    <row r="1522" spans="1:29" x14ac:dyDescent="0.3">
      <c r="A1522" s="34"/>
      <c r="L1522" s="36"/>
      <c r="R1522" s="34"/>
      <c r="AC1522" s="36"/>
    </row>
    <row r="1523" spans="1:29" x14ac:dyDescent="0.3">
      <c r="A1523" s="34"/>
      <c r="L1523" s="36"/>
      <c r="R1523" s="34"/>
      <c r="AC1523" s="36"/>
    </row>
    <row r="1524" spans="1:29" x14ac:dyDescent="0.3">
      <c r="A1524" s="34"/>
      <c r="L1524" s="36"/>
      <c r="R1524" s="34"/>
      <c r="AC1524" s="36"/>
    </row>
    <row r="1525" spans="1:29" x14ac:dyDescent="0.3">
      <c r="A1525" s="34"/>
      <c r="L1525" s="36"/>
      <c r="R1525" s="34"/>
      <c r="AC1525" s="36"/>
    </row>
    <row r="1526" spans="1:29" x14ac:dyDescent="0.3">
      <c r="A1526" s="34"/>
      <c r="L1526" s="36"/>
      <c r="R1526" s="34"/>
      <c r="AC1526" s="36"/>
    </row>
    <row r="1527" spans="1:29" x14ac:dyDescent="0.3">
      <c r="A1527" s="34"/>
      <c r="L1527" s="36"/>
      <c r="R1527" s="34"/>
      <c r="AC1527" s="36"/>
    </row>
    <row r="1528" spans="1:29" x14ac:dyDescent="0.3">
      <c r="A1528" s="34"/>
      <c r="L1528" s="36"/>
      <c r="R1528" s="34"/>
      <c r="AC1528" s="36"/>
    </row>
    <row r="1529" spans="1:29" x14ac:dyDescent="0.3">
      <c r="A1529" s="34"/>
      <c r="L1529" s="36"/>
      <c r="R1529" s="34"/>
      <c r="AC1529" s="36"/>
    </row>
    <row r="1530" spans="1:29" x14ac:dyDescent="0.3">
      <c r="A1530" s="34"/>
      <c r="L1530" s="36"/>
      <c r="R1530" s="34"/>
      <c r="AC1530" s="36"/>
    </row>
    <row r="1531" spans="1:29" x14ac:dyDescent="0.3">
      <c r="A1531" s="34"/>
      <c r="L1531" s="36"/>
      <c r="R1531" s="34"/>
      <c r="AC1531" s="36"/>
    </row>
    <row r="1532" spans="1:29" x14ac:dyDescent="0.3">
      <c r="A1532" s="34"/>
      <c r="L1532" s="36"/>
      <c r="R1532" s="34"/>
      <c r="AC1532" s="36"/>
    </row>
    <row r="1533" spans="1:29" x14ac:dyDescent="0.3">
      <c r="A1533" s="34"/>
      <c r="L1533" s="36"/>
      <c r="R1533" s="34"/>
      <c r="AC1533" s="36"/>
    </row>
    <row r="1534" spans="1:29" x14ac:dyDescent="0.3">
      <c r="A1534" s="34"/>
      <c r="L1534" s="36"/>
      <c r="R1534" s="34"/>
      <c r="AC1534" s="36"/>
    </row>
    <row r="1535" spans="1:29" x14ac:dyDescent="0.3">
      <c r="A1535" s="34"/>
      <c r="L1535" s="36"/>
      <c r="R1535" s="34"/>
      <c r="AC1535" s="36"/>
    </row>
    <row r="1536" spans="1:29" x14ac:dyDescent="0.3">
      <c r="A1536" s="34"/>
      <c r="L1536" s="36"/>
      <c r="R1536" s="34"/>
      <c r="AC1536" s="36"/>
    </row>
    <row r="1537" spans="1:29" x14ac:dyDescent="0.3">
      <c r="A1537" s="34"/>
      <c r="L1537" s="36"/>
      <c r="R1537" s="34"/>
      <c r="AC1537" s="36"/>
    </row>
    <row r="1538" spans="1:29" x14ac:dyDescent="0.3">
      <c r="A1538" s="34"/>
      <c r="L1538" s="36"/>
      <c r="R1538" s="34"/>
      <c r="AC1538" s="36"/>
    </row>
    <row r="1539" spans="1:29" x14ac:dyDescent="0.3">
      <c r="A1539" s="34"/>
      <c r="L1539" s="36"/>
      <c r="R1539" s="34"/>
      <c r="AC1539" s="36"/>
    </row>
    <row r="1540" spans="1:29" x14ac:dyDescent="0.3">
      <c r="A1540" s="34"/>
      <c r="L1540" s="36"/>
      <c r="R1540" s="34"/>
      <c r="AC1540" s="36"/>
    </row>
    <row r="1541" spans="1:29" x14ac:dyDescent="0.3">
      <c r="A1541" s="34"/>
      <c r="L1541" s="36"/>
      <c r="R1541" s="34"/>
      <c r="AC1541" s="36"/>
    </row>
    <row r="1542" spans="1:29" x14ac:dyDescent="0.3">
      <c r="A1542" s="34"/>
      <c r="L1542" s="36"/>
      <c r="R1542" s="34"/>
      <c r="AC1542" s="36"/>
    </row>
    <row r="1543" spans="1:29" x14ac:dyDescent="0.3">
      <c r="A1543" s="34"/>
      <c r="L1543" s="36"/>
      <c r="R1543" s="34"/>
      <c r="AC1543" s="36"/>
    </row>
    <row r="1544" spans="1:29" x14ac:dyDescent="0.3">
      <c r="A1544" s="34"/>
      <c r="L1544" s="36"/>
      <c r="R1544" s="34"/>
      <c r="AC1544" s="36"/>
    </row>
    <row r="1545" spans="1:29" x14ac:dyDescent="0.3">
      <c r="A1545" s="34"/>
      <c r="L1545" s="36"/>
      <c r="R1545" s="34"/>
      <c r="AC1545" s="36"/>
    </row>
    <row r="1546" spans="1:29" x14ac:dyDescent="0.3">
      <c r="A1546" s="34"/>
      <c r="L1546" s="36"/>
      <c r="R1546" s="34"/>
      <c r="AC1546" s="36"/>
    </row>
    <row r="1547" spans="1:29" x14ac:dyDescent="0.3">
      <c r="A1547" s="34"/>
      <c r="L1547" s="36"/>
      <c r="R1547" s="34"/>
      <c r="AC1547" s="36"/>
    </row>
    <row r="1548" spans="1:29" x14ac:dyDescent="0.3">
      <c r="A1548" s="34"/>
      <c r="L1548" s="36"/>
      <c r="R1548" s="34"/>
      <c r="AC1548" s="36"/>
    </row>
    <row r="1549" spans="1:29" x14ac:dyDescent="0.3">
      <c r="A1549" s="34"/>
      <c r="L1549" s="36"/>
      <c r="R1549" s="34"/>
      <c r="AC1549" s="36"/>
    </row>
    <row r="1550" spans="1:29" x14ac:dyDescent="0.3">
      <c r="A1550" s="34"/>
      <c r="L1550" s="36"/>
      <c r="R1550" s="34"/>
      <c r="AC1550" s="36"/>
    </row>
    <row r="1551" spans="1:29" x14ac:dyDescent="0.3">
      <c r="A1551" s="34"/>
      <c r="L1551" s="36"/>
      <c r="R1551" s="34"/>
      <c r="AC1551" s="36"/>
    </row>
    <row r="1552" spans="1:29" x14ac:dyDescent="0.3">
      <c r="A1552" s="34"/>
      <c r="L1552" s="36"/>
      <c r="R1552" s="34"/>
      <c r="AC1552" s="36"/>
    </row>
    <row r="1553" spans="1:29" x14ac:dyDescent="0.3">
      <c r="A1553" s="34"/>
      <c r="L1553" s="36"/>
      <c r="R1553" s="34"/>
      <c r="AC1553" s="36"/>
    </row>
    <row r="1554" spans="1:29" x14ac:dyDescent="0.3">
      <c r="A1554" s="34"/>
      <c r="L1554" s="36"/>
      <c r="R1554" s="34"/>
      <c r="AC1554" s="36"/>
    </row>
    <row r="1555" spans="1:29" x14ac:dyDescent="0.3">
      <c r="A1555" s="34"/>
      <c r="L1555" s="36"/>
      <c r="R1555" s="34"/>
      <c r="AC1555" s="36"/>
    </row>
    <row r="1556" spans="1:29" x14ac:dyDescent="0.3">
      <c r="A1556" s="34"/>
      <c r="L1556" s="36"/>
      <c r="R1556" s="34"/>
      <c r="AC1556" s="36"/>
    </row>
    <row r="1557" spans="1:29" x14ac:dyDescent="0.3">
      <c r="A1557" s="34"/>
      <c r="L1557" s="36"/>
      <c r="R1557" s="34"/>
      <c r="AC1557" s="36"/>
    </row>
    <row r="1558" spans="1:29" x14ac:dyDescent="0.3">
      <c r="A1558" s="34"/>
      <c r="L1558" s="36"/>
      <c r="R1558" s="34"/>
      <c r="AC1558" s="36"/>
    </row>
    <row r="1559" spans="1:29" x14ac:dyDescent="0.3">
      <c r="A1559" s="34"/>
      <c r="L1559" s="36"/>
      <c r="R1559" s="34"/>
      <c r="AC1559" s="36"/>
    </row>
    <row r="1560" spans="1:29" x14ac:dyDescent="0.3">
      <c r="A1560" s="34"/>
      <c r="L1560" s="36"/>
      <c r="R1560" s="34"/>
      <c r="AC1560" s="36"/>
    </row>
    <row r="1561" spans="1:29" x14ac:dyDescent="0.3">
      <c r="A1561" s="34"/>
      <c r="L1561" s="36"/>
      <c r="R1561" s="34"/>
      <c r="AC1561" s="36"/>
    </row>
    <row r="1562" spans="1:29" x14ac:dyDescent="0.3">
      <c r="A1562" s="34"/>
      <c r="L1562" s="36"/>
      <c r="R1562" s="34"/>
      <c r="AC1562" s="36"/>
    </row>
    <row r="1563" spans="1:29" x14ac:dyDescent="0.3">
      <c r="A1563" s="34"/>
      <c r="L1563" s="36"/>
      <c r="R1563" s="34"/>
      <c r="AC1563" s="36"/>
    </row>
    <row r="1564" spans="1:29" x14ac:dyDescent="0.3">
      <c r="A1564" s="34"/>
      <c r="L1564" s="36"/>
      <c r="R1564" s="34"/>
      <c r="AC1564" s="36"/>
    </row>
    <row r="1565" spans="1:29" x14ac:dyDescent="0.3">
      <c r="A1565" s="34"/>
      <c r="L1565" s="36"/>
      <c r="R1565" s="34"/>
      <c r="AC1565" s="36"/>
    </row>
    <row r="1566" spans="1:29" x14ac:dyDescent="0.3">
      <c r="A1566" s="34"/>
      <c r="L1566" s="36"/>
      <c r="R1566" s="34"/>
      <c r="AC1566" s="36"/>
    </row>
    <row r="1567" spans="1:29" x14ac:dyDescent="0.3">
      <c r="A1567" s="34"/>
      <c r="L1567" s="36"/>
      <c r="R1567" s="34"/>
      <c r="AC1567" s="36"/>
    </row>
    <row r="1568" spans="1:29" x14ac:dyDescent="0.3">
      <c r="A1568" s="34"/>
      <c r="L1568" s="36"/>
      <c r="R1568" s="34"/>
      <c r="AC1568" s="36"/>
    </row>
    <row r="1569" spans="1:29" x14ac:dyDescent="0.3">
      <c r="A1569" s="34"/>
      <c r="L1569" s="36"/>
      <c r="R1569" s="34"/>
      <c r="AC1569" s="36"/>
    </row>
    <row r="1570" spans="1:29" x14ac:dyDescent="0.3">
      <c r="A1570" s="34"/>
      <c r="L1570" s="36"/>
      <c r="R1570" s="34"/>
      <c r="AC1570" s="36"/>
    </row>
    <row r="1571" spans="1:29" x14ac:dyDescent="0.3">
      <c r="A1571" s="34"/>
      <c r="L1571" s="36"/>
      <c r="R1571" s="34"/>
      <c r="AC1571" s="36"/>
    </row>
    <row r="1572" spans="1:29" x14ac:dyDescent="0.3">
      <c r="A1572" s="34"/>
      <c r="L1572" s="36"/>
      <c r="R1572" s="34"/>
      <c r="AC1572" s="36"/>
    </row>
    <row r="1573" spans="1:29" x14ac:dyDescent="0.3">
      <c r="A1573" s="34"/>
      <c r="L1573" s="36"/>
      <c r="R1573" s="34"/>
      <c r="AC1573" s="36"/>
    </row>
    <row r="1574" spans="1:29" x14ac:dyDescent="0.3">
      <c r="A1574" s="34"/>
      <c r="L1574" s="36"/>
      <c r="R1574" s="34"/>
      <c r="AC1574" s="36"/>
    </row>
    <row r="1575" spans="1:29" x14ac:dyDescent="0.3">
      <c r="A1575" s="34"/>
      <c r="L1575" s="36"/>
      <c r="R1575" s="34"/>
      <c r="AC1575" s="36"/>
    </row>
    <row r="1576" spans="1:29" x14ac:dyDescent="0.3">
      <c r="A1576" s="34"/>
      <c r="L1576" s="36"/>
      <c r="R1576" s="34"/>
      <c r="AC1576" s="36"/>
    </row>
    <row r="1577" spans="1:29" x14ac:dyDescent="0.3">
      <c r="A1577" s="34"/>
      <c r="L1577" s="36"/>
      <c r="R1577" s="34"/>
      <c r="AC1577" s="36"/>
    </row>
    <row r="1578" spans="1:29" x14ac:dyDescent="0.3">
      <c r="A1578" s="34"/>
      <c r="L1578" s="36"/>
      <c r="R1578" s="34"/>
      <c r="AC1578" s="36"/>
    </row>
    <row r="1579" spans="1:29" x14ac:dyDescent="0.3">
      <c r="A1579" s="34"/>
      <c r="L1579" s="36"/>
      <c r="R1579" s="34"/>
      <c r="AC1579" s="36"/>
    </row>
    <row r="1580" spans="1:29" x14ac:dyDescent="0.3">
      <c r="A1580" s="34"/>
      <c r="L1580" s="36"/>
      <c r="R1580" s="34"/>
      <c r="AC1580" s="36"/>
    </row>
    <row r="1581" spans="1:29" x14ac:dyDescent="0.3">
      <c r="A1581" s="34"/>
      <c r="L1581" s="36"/>
      <c r="R1581" s="34"/>
      <c r="AC1581" s="36"/>
    </row>
    <row r="1582" spans="1:29" x14ac:dyDescent="0.3">
      <c r="A1582" s="34"/>
      <c r="L1582" s="36"/>
      <c r="R1582" s="34"/>
      <c r="AC1582" s="36"/>
    </row>
    <row r="1583" spans="1:29" x14ac:dyDescent="0.3">
      <c r="A1583" s="34"/>
      <c r="L1583" s="36"/>
      <c r="R1583" s="34"/>
      <c r="AC1583" s="36"/>
    </row>
    <row r="1584" spans="1:29" x14ac:dyDescent="0.3">
      <c r="A1584" s="34"/>
      <c r="L1584" s="36"/>
      <c r="R1584" s="34"/>
      <c r="AC1584" s="36"/>
    </row>
    <row r="1585" spans="1:29" x14ac:dyDescent="0.3">
      <c r="A1585" s="34"/>
      <c r="L1585" s="36"/>
      <c r="R1585" s="34"/>
      <c r="AC1585" s="36"/>
    </row>
    <row r="1586" spans="1:29" x14ac:dyDescent="0.3">
      <c r="A1586" s="34"/>
      <c r="L1586" s="36"/>
      <c r="R1586" s="34"/>
      <c r="AC1586" s="36"/>
    </row>
    <row r="1587" spans="1:29" x14ac:dyDescent="0.3">
      <c r="A1587" s="34"/>
      <c r="L1587" s="36"/>
      <c r="R1587" s="34"/>
      <c r="AC1587" s="36"/>
    </row>
    <row r="1588" spans="1:29" x14ac:dyDescent="0.3">
      <c r="A1588" s="34"/>
      <c r="L1588" s="36"/>
      <c r="R1588" s="34"/>
      <c r="AC1588" s="36"/>
    </row>
    <row r="1589" spans="1:29" x14ac:dyDescent="0.3">
      <c r="A1589" s="34"/>
      <c r="L1589" s="36"/>
      <c r="R1589" s="34"/>
      <c r="AC1589" s="36"/>
    </row>
    <row r="1590" spans="1:29" x14ac:dyDescent="0.3">
      <c r="A1590" s="34"/>
      <c r="L1590" s="36"/>
      <c r="R1590" s="34"/>
      <c r="AC1590" s="36"/>
    </row>
    <row r="1591" spans="1:29" x14ac:dyDescent="0.3">
      <c r="A1591" s="34"/>
      <c r="L1591" s="36"/>
      <c r="R1591" s="34"/>
      <c r="AC1591" s="36"/>
    </row>
    <row r="1592" spans="1:29" x14ac:dyDescent="0.3">
      <c r="A1592" s="34"/>
      <c r="L1592" s="36"/>
      <c r="R1592" s="34"/>
      <c r="AC1592" s="36"/>
    </row>
    <row r="1593" spans="1:29" x14ac:dyDescent="0.3">
      <c r="A1593" s="34"/>
      <c r="L1593" s="36"/>
      <c r="R1593" s="34"/>
      <c r="AC1593" s="36"/>
    </row>
    <row r="1594" spans="1:29" x14ac:dyDescent="0.3">
      <c r="A1594" s="34"/>
      <c r="L1594" s="36"/>
      <c r="R1594" s="34"/>
      <c r="AC1594" s="36"/>
    </row>
    <row r="1595" spans="1:29" x14ac:dyDescent="0.3">
      <c r="A1595" s="34"/>
      <c r="L1595" s="36"/>
      <c r="R1595" s="34"/>
      <c r="AC1595" s="36"/>
    </row>
    <row r="1596" spans="1:29" x14ac:dyDescent="0.3">
      <c r="A1596" s="34"/>
      <c r="L1596" s="36"/>
      <c r="R1596" s="34"/>
      <c r="AC1596" s="36"/>
    </row>
    <row r="1597" spans="1:29" x14ac:dyDescent="0.3">
      <c r="A1597" s="34"/>
      <c r="L1597" s="36"/>
      <c r="R1597" s="34"/>
      <c r="AC1597" s="36"/>
    </row>
    <row r="1598" spans="1:29" x14ac:dyDescent="0.3">
      <c r="A1598" s="34"/>
      <c r="L1598" s="36"/>
      <c r="R1598" s="34"/>
      <c r="AC1598" s="36"/>
    </row>
    <row r="1599" spans="1:29" x14ac:dyDescent="0.3">
      <c r="A1599" s="34"/>
      <c r="L1599" s="36"/>
      <c r="R1599" s="34"/>
      <c r="AC1599" s="36"/>
    </row>
    <row r="1600" spans="1:29" x14ac:dyDescent="0.3">
      <c r="A1600" s="34"/>
      <c r="L1600" s="36"/>
      <c r="R1600" s="34"/>
      <c r="AC1600" s="36"/>
    </row>
    <row r="1601" spans="1:29" x14ac:dyDescent="0.3">
      <c r="A1601" s="34"/>
      <c r="L1601" s="36"/>
      <c r="R1601" s="34"/>
      <c r="AC1601" s="36"/>
    </row>
    <row r="1602" spans="1:29" x14ac:dyDescent="0.3">
      <c r="A1602" s="34"/>
      <c r="L1602" s="36"/>
      <c r="R1602" s="34"/>
      <c r="AC1602" s="36"/>
    </row>
    <row r="1603" spans="1:29" x14ac:dyDescent="0.3">
      <c r="A1603" s="34"/>
      <c r="L1603" s="36"/>
      <c r="R1603" s="34"/>
      <c r="AC1603" s="36"/>
    </row>
    <row r="1604" spans="1:29" x14ac:dyDescent="0.3">
      <c r="A1604" s="34"/>
      <c r="L1604" s="36"/>
      <c r="R1604" s="34"/>
      <c r="AC1604" s="36"/>
    </row>
    <row r="1605" spans="1:29" x14ac:dyDescent="0.3">
      <c r="A1605" s="34"/>
      <c r="L1605" s="36"/>
      <c r="R1605" s="34"/>
      <c r="AC1605" s="36"/>
    </row>
    <row r="1606" spans="1:29" x14ac:dyDescent="0.3">
      <c r="A1606" s="34"/>
      <c r="L1606" s="36"/>
      <c r="R1606" s="34"/>
      <c r="AC1606" s="36"/>
    </row>
    <row r="1607" spans="1:29" x14ac:dyDescent="0.3">
      <c r="A1607" s="34"/>
      <c r="L1607" s="36"/>
      <c r="R1607" s="34"/>
      <c r="AC1607" s="36"/>
    </row>
    <row r="1608" spans="1:29" x14ac:dyDescent="0.3">
      <c r="A1608" s="34"/>
      <c r="L1608" s="36"/>
      <c r="R1608" s="34"/>
      <c r="AC1608" s="36"/>
    </row>
    <row r="1609" spans="1:29" x14ac:dyDescent="0.3">
      <c r="A1609" s="34"/>
      <c r="L1609" s="36"/>
      <c r="R1609" s="34"/>
      <c r="AC1609" s="36"/>
    </row>
    <row r="1610" spans="1:29" x14ac:dyDescent="0.3">
      <c r="A1610" s="34"/>
      <c r="L1610" s="36"/>
      <c r="R1610" s="34"/>
      <c r="AC1610" s="36"/>
    </row>
    <row r="1611" spans="1:29" x14ac:dyDescent="0.3">
      <c r="A1611" s="34"/>
      <c r="L1611" s="36"/>
      <c r="R1611" s="34"/>
      <c r="AC1611" s="36"/>
    </row>
    <row r="1612" spans="1:29" x14ac:dyDescent="0.3">
      <c r="A1612" s="34"/>
      <c r="L1612" s="36"/>
      <c r="R1612" s="34"/>
      <c r="AC1612" s="36"/>
    </row>
    <row r="1613" spans="1:29" x14ac:dyDescent="0.3">
      <c r="A1613" s="34"/>
      <c r="L1613" s="36"/>
      <c r="R1613" s="34"/>
      <c r="AC1613" s="36"/>
    </row>
    <row r="1614" spans="1:29" x14ac:dyDescent="0.3">
      <c r="A1614" s="34"/>
      <c r="L1614" s="36"/>
      <c r="R1614" s="34"/>
      <c r="AC1614" s="36"/>
    </row>
    <row r="1615" spans="1:29" x14ac:dyDescent="0.3">
      <c r="A1615" s="34"/>
      <c r="L1615" s="36"/>
      <c r="R1615" s="34"/>
      <c r="AC1615" s="36"/>
    </row>
    <row r="1616" spans="1:29" x14ac:dyDescent="0.3">
      <c r="A1616" s="34"/>
      <c r="L1616" s="36"/>
      <c r="R1616" s="34"/>
      <c r="AC1616" s="36"/>
    </row>
    <row r="1617" spans="1:29" x14ac:dyDescent="0.3">
      <c r="A1617" s="34"/>
      <c r="L1617" s="36"/>
      <c r="R1617" s="34"/>
      <c r="AC1617" s="36"/>
    </row>
    <row r="1618" spans="1:29" x14ac:dyDescent="0.3">
      <c r="A1618" s="34"/>
      <c r="L1618" s="36"/>
      <c r="R1618" s="34"/>
      <c r="AC1618" s="36"/>
    </row>
    <row r="1619" spans="1:29" x14ac:dyDescent="0.3">
      <c r="A1619" s="34"/>
      <c r="L1619" s="36"/>
      <c r="R1619" s="34"/>
      <c r="AC1619" s="36"/>
    </row>
    <row r="1620" spans="1:29" x14ac:dyDescent="0.3">
      <c r="A1620" s="34"/>
      <c r="L1620" s="36"/>
      <c r="R1620" s="34"/>
      <c r="AC1620" s="36"/>
    </row>
    <row r="1621" spans="1:29" x14ac:dyDescent="0.3">
      <c r="A1621" s="34"/>
      <c r="L1621" s="36"/>
      <c r="R1621" s="34"/>
      <c r="AC1621" s="36"/>
    </row>
    <row r="1622" spans="1:29" x14ac:dyDescent="0.3">
      <c r="A1622" s="34"/>
      <c r="L1622" s="36"/>
      <c r="R1622" s="34"/>
      <c r="AC1622" s="36"/>
    </row>
    <row r="1623" spans="1:29" x14ac:dyDescent="0.3">
      <c r="A1623" s="34"/>
      <c r="L1623" s="36"/>
      <c r="R1623" s="34"/>
      <c r="AC1623" s="36"/>
    </row>
    <row r="1624" spans="1:29" x14ac:dyDescent="0.3">
      <c r="A1624" s="34"/>
      <c r="L1624" s="36"/>
      <c r="R1624" s="34"/>
      <c r="AC1624" s="36"/>
    </row>
    <row r="1625" spans="1:29" x14ac:dyDescent="0.3">
      <c r="A1625" s="34"/>
      <c r="L1625" s="36"/>
      <c r="R1625" s="34"/>
      <c r="AC1625" s="36"/>
    </row>
    <row r="1626" spans="1:29" x14ac:dyDescent="0.3">
      <c r="A1626" s="34"/>
      <c r="L1626" s="36"/>
      <c r="R1626" s="34"/>
      <c r="AC1626" s="36"/>
    </row>
    <row r="1627" spans="1:29" x14ac:dyDescent="0.3">
      <c r="A1627" s="34"/>
      <c r="L1627" s="36"/>
      <c r="R1627" s="34"/>
      <c r="AC1627" s="36"/>
    </row>
    <row r="1628" spans="1:29" x14ac:dyDescent="0.3">
      <c r="A1628" s="34"/>
      <c r="L1628" s="36"/>
      <c r="R1628" s="34"/>
      <c r="AC1628" s="36"/>
    </row>
    <row r="1629" spans="1:29" x14ac:dyDescent="0.3">
      <c r="A1629" s="34"/>
      <c r="L1629" s="36"/>
      <c r="R1629" s="34"/>
      <c r="AC1629" s="36"/>
    </row>
    <row r="1630" spans="1:29" x14ac:dyDescent="0.3">
      <c r="A1630" s="34"/>
      <c r="L1630" s="36"/>
      <c r="R1630" s="34"/>
      <c r="AC1630" s="36"/>
    </row>
    <row r="1631" spans="1:29" x14ac:dyDescent="0.3">
      <c r="A1631" s="34"/>
      <c r="L1631" s="36"/>
      <c r="R1631" s="34"/>
      <c r="AC1631" s="36"/>
    </row>
    <row r="1632" spans="1:29" x14ac:dyDescent="0.3">
      <c r="A1632" s="34"/>
      <c r="L1632" s="36"/>
      <c r="R1632" s="34"/>
      <c r="AC1632" s="36"/>
    </row>
    <row r="1633" spans="1:29" x14ac:dyDescent="0.3">
      <c r="A1633" s="34"/>
      <c r="L1633" s="36"/>
      <c r="R1633" s="34"/>
      <c r="AC1633" s="36"/>
    </row>
    <row r="1634" spans="1:29" x14ac:dyDescent="0.3">
      <c r="A1634" s="34"/>
      <c r="L1634" s="36"/>
      <c r="R1634" s="34"/>
      <c r="AC1634" s="36"/>
    </row>
    <row r="1635" spans="1:29" x14ac:dyDescent="0.3">
      <c r="A1635" s="34"/>
      <c r="L1635" s="36"/>
      <c r="R1635" s="34"/>
      <c r="AC1635" s="36"/>
    </row>
    <row r="1636" spans="1:29" x14ac:dyDescent="0.3">
      <c r="A1636" s="34"/>
      <c r="L1636" s="36"/>
      <c r="R1636" s="34"/>
      <c r="AC1636" s="36"/>
    </row>
    <row r="1637" spans="1:29" x14ac:dyDescent="0.3">
      <c r="A1637" s="34"/>
      <c r="L1637" s="36"/>
      <c r="R1637" s="34"/>
      <c r="AC1637" s="36"/>
    </row>
    <row r="1638" spans="1:29" x14ac:dyDescent="0.3">
      <c r="A1638" s="34"/>
      <c r="L1638" s="36"/>
      <c r="R1638" s="34"/>
      <c r="AC1638" s="36"/>
    </row>
    <row r="1639" spans="1:29" x14ac:dyDescent="0.3">
      <c r="L1639" s="36"/>
      <c r="R1639" s="34"/>
      <c r="AC1639" s="36"/>
    </row>
    <row r="1640" spans="1:29" x14ac:dyDescent="0.3">
      <c r="L1640" s="36"/>
      <c r="R1640" s="34"/>
      <c r="AC1640" s="36"/>
    </row>
    <row r="1641" spans="1:29" x14ac:dyDescent="0.3">
      <c r="L1641" s="36"/>
      <c r="R1641" s="34"/>
      <c r="AC1641" s="36"/>
    </row>
    <row r="1642" spans="1:29" x14ac:dyDescent="0.3">
      <c r="L1642" s="36"/>
      <c r="R1642" s="34"/>
      <c r="AC1642" s="36"/>
    </row>
    <row r="1643" spans="1:29" x14ac:dyDescent="0.3">
      <c r="L1643" s="36"/>
      <c r="R1643" s="34"/>
      <c r="AC1643" s="36"/>
    </row>
    <row r="1644" spans="1:29" x14ac:dyDescent="0.3">
      <c r="L1644" s="36"/>
      <c r="R1644" s="34"/>
      <c r="AC1644" s="36"/>
    </row>
    <row r="1645" spans="1:29" x14ac:dyDescent="0.3">
      <c r="L1645" s="36"/>
      <c r="R1645" s="34"/>
      <c r="AC1645" s="36"/>
    </row>
    <row r="1646" spans="1:29" x14ac:dyDescent="0.3">
      <c r="L1646" s="36"/>
      <c r="R1646" s="34"/>
      <c r="AC1646" s="36"/>
    </row>
    <row r="1647" spans="1:29" x14ac:dyDescent="0.3">
      <c r="L1647" s="36"/>
      <c r="R1647" s="34"/>
      <c r="AC1647" s="36"/>
    </row>
    <row r="1648" spans="1:29" x14ac:dyDescent="0.3">
      <c r="L1648" s="36"/>
      <c r="R1648" s="34"/>
      <c r="AC1648" s="36"/>
    </row>
    <row r="1649" spans="12:29" x14ac:dyDescent="0.3">
      <c r="L1649" s="36"/>
      <c r="R1649" s="34"/>
      <c r="AC1649" s="36"/>
    </row>
    <row r="1650" spans="12:29" x14ac:dyDescent="0.3">
      <c r="L1650" s="36"/>
      <c r="R1650" s="34"/>
      <c r="AC1650" s="36"/>
    </row>
    <row r="1651" spans="12:29" x14ac:dyDescent="0.3">
      <c r="L1651" s="36"/>
      <c r="R1651" s="34"/>
      <c r="AC1651" s="36"/>
    </row>
    <row r="1652" spans="12:29" x14ac:dyDescent="0.3">
      <c r="L1652" s="36"/>
      <c r="R1652" s="34"/>
      <c r="AC1652" s="36"/>
    </row>
    <row r="1653" spans="12:29" x14ac:dyDescent="0.3">
      <c r="L1653" s="36"/>
      <c r="R1653" s="34"/>
      <c r="AC1653" s="36"/>
    </row>
    <row r="1654" spans="12:29" x14ac:dyDescent="0.3">
      <c r="L1654" s="36"/>
      <c r="R1654" s="34"/>
      <c r="AC1654" s="36"/>
    </row>
    <row r="1655" spans="12:29" x14ac:dyDescent="0.3">
      <c r="L1655" s="36"/>
      <c r="R1655" s="34"/>
      <c r="AC1655" s="36"/>
    </row>
    <row r="1656" spans="12:29" x14ac:dyDescent="0.3">
      <c r="L1656" s="36"/>
      <c r="R1656" s="34"/>
      <c r="AC1656" s="36"/>
    </row>
    <row r="1657" spans="12:29" x14ac:dyDescent="0.3">
      <c r="L1657" s="36"/>
      <c r="R1657" s="34"/>
      <c r="AC1657" s="36"/>
    </row>
    <row r="1658" spans="12:29" x14ac:dyDescent="0.3">
      <c r="L1658" s="36"/>
      <c r="R1658" s="34"/>
      <c r="AC1658" s="36"/>
    </row>
    <row r="1659" spans="12:29" x14ac:dyDescent="0.3">
      <c r="L1659" s="36"/>
      <c r="R1659" s="34"/>
      <c r="AC1659" s="36"/>
    </row>
    <row r="1660" spans="12:29" x14ac:dyDescent="0.3">
      <c r="L1660" s="36"/>
      <c r="R1660" s="34"/>
      <c r="AC1660" s="36"/>
    </row>
    <row r="1661" spans="12:29" x14ac:dyDescent="0.3">
      <c r="L1661" s="36"/>
      <c r="R1661" s="34"/>
      <c r="AC1661" s="36"/>
    </row>
    <row r="1662" spans="12:29" x14ac:dyDescent="0.3">
      <c r="L1662" s="36"/>
      <c r="R1662" s="34"/>
      <c r="AC1662" s="36"/>
    </row>
    <row r="1663" spans="12:29" x14ac:dyDescent="0.3">
      <c r="L1663" s="36"/>
      <c r="R1663" s="34"/>
      <c r="AC1663" s="36"/>
    </row>
    <row r="1664" spans="12:29" x14ac:dyDescent="0.3">
      <c r="L1664" s="36"/>
      <c r="R1664" s="34"/>
      <c r="AC1664" s="36"/>
    </row>
    <row r="1665" spans="12:29" x14ac:dyDescent="0.3">
      <c r="L1665" s="36"/>
      <c r="R1665" s="34"/>
      <c r="AC1665" s="36"/>
    </row>
    <row r="1666" spans="12:29" x14ac:dyDescent="0.3">
      <c r="L1666" s="36"/>
      <c r="R1666" s="34"/>
      <c r="AC1666" s="36"/>
    </row>
    <row r="1667" spans="12:29" x14ac:dyDescent="0.3">
      <c r="L1667" s="36"/>
      <c r="R1667" s="34"/>
      <c r="AC1667" s="36"/>
    </row>
    <row r="1668" spans="12:29" x14ac:dyDescent="0.3">
      <c r="L1668" s="36"/>
      <c r="R1668" s="34"/>
      <c r="AC1668" s="36"/>
    </row>
    <row r="1669" spans="12:29" x14ac:dyDescent="0.3">
      <c r="L1669" s="36"/>
      <c r="R1669" s="34"/>
      <c r="AC1669" s="36"/>
    </row>
    <row r="1670" spans="12:29" x14ac:dyDescent="0.3">
      <c r="L1670" s="36"/>
      <c r="R1670" s="34"/>
      <c r="AC1670" s="36"/>
    </row>
    <row r="1671" spans="12:29" x14ac:dyDescent="0.3">
      <c r="L1671" s="36"/>
      <c r="R1671" s="34"/>
      <c r="AC1671" s="36"/>
    </row>
    <row r="1672" spans="12:29" x14ac:dyDescent="0.3">
      <c r="L1672" s="36"/>
      <c r="R1672" s="34"/>
      <c r="AC1672" s="36"/>
    </row>
    <row r="1673" spans="12:29" x14ac:dyDescent="0.3">
      <c r="L1673" s="36"/>
      <c r="R1673" s="34"/>
      <c r="AC1673" s="36"/>
    </row>
    <row r="1674" spans="12:29" x14ac:dyDescent="0.3">
      <c r="L1674" s="36"/>
      <c r="R1674" s="34"/>
      <c r="AC1674" s="36"/>
    </row>
    <row r="1675" spans="12:29" x14ac:dyDescent="0.3">
      <c r="L1675" s="36"/>
      <c r="R1675" s="34"/>
      <c r="AC1675" s="36"/>
    </row>
    <row r="1676" spans="12:29" x14ac:dyDescent="0.3">
      <c r="L1676" s="36"/>
      <c r="R1676" s="34"/>
      <c r="AC1676" s="36"/>
    </row>
    <row r="1677" spans="12:29" x14ac:dyDescent="0.3">
      <c r="L1677" s="36"/>
      <c r="R1677" s="34"/>
      <c r="AC1677" s="36"/>
    </row>
    <row r="1678" spans="12:29" x14ac:dyDescent="0.3">
      <c r="L1678" s="36"/>
      <c r="R1678" s="34"/>
      <c r="AC1678" s="36"/>
    </row>
    <row r="1679" spans="12:29" x14ac:dyDescent="0.3">
      <c r="L1679" s="36"/>
      <c r="R1679" s="34"/>
      <c r="AC1679" s="36"/>
    </row>
    <row r="1680" spans="12:29" x14ac:dyDescent="0.3">
      <c r="L1680" s="36"/>
      <c r="R1680" s="34"/>
      <c r="AC1680" s="36"/>
    </row>
    <row r="1681" spans="12:29" x14ac:dyDescent="0.3">
      <c r="L1681" s="36"/>
      <c r="R1681" s="34"/>
      <c r="AC1681" s="36"/>
    </row>
    <row r="1682" spans="12:29" x14ac:dyDescent="0.3">
      <c r="L1682" s="36"/>
      <c r="R1682" s="34"/>
      <c r="AC1682" s="36"/>
    </row>
    <row r="1683" spans="12:29" x14ac:dyDescent="0.3">
      <c r="L1683" s="36"/>
      <c r="R1683" s="34"/>
      <c r="AC1683" s="36"/>
    </row>
    <row r="1684" spans="12:29" x14ac:dyDescent="0.3">
      <c r="L1684" s="36"/>
      <c r="R1684" s="34"/>
      <c r="AC1684" s="36"/>
    </row>
    <row r="1685" spans="12:29" x14ac:dyDescent="0.3">
      <c r="L1685" s="36"/>
      <c r="R1685" s="34"/>
      <c r="AC1685" s="36"/>
    </row>
    <row r="1686" spans="12:29" x14ac:dyDescent="0.3">
      <c r="L1686" s="36"/>
      <c r="R1686" s="34"/>
      <c r="AC1686" s="36"/>
    </row>
    <row r="1687" spans="12:29" x14ac:dyDescent="0.3">
      <c r="L1687" s="36"/>
      <c r="R1687" s="34"/>
      <c r="AC1687" s="36"/>
    </row>
    <row r="1688" spans="12:29" x14ac:dyDescent="0.3">
      <c r="L1688" s="36"/>
      <c r="R1688" s="34"/>
      <c r="AC1688" s="36"/>
    </row>
    <row r="1689" spans="12:29" x14ac:dyDescent="0.3">
      <c r="L1689" s="36"/>
      <c r="R1689" s="34"/>
      <c r="AC1689" s="36"/>
    </row>
    <row r="1690" spans="12:29" x14ac:dyDescent="0.3">
      <c r="L1690" s="36"/>
      <c r="R1690" s="34"/>
      <c r="AC1690" s="36"/>
    </row>
    <row r="1691" spans="12:29" x14ac:dyDescent="0.3">
      <c r="L1691" s="36"/>
      <c r="R1691" s="34"/>
      <c r="AC1691" s="36"/>
    </row>
    <row r="1692" spans="12:29" x14ac:dyDescent="0.3">
      <c r="L1692" s="36"/>
      <c r="R1692" s="34"/>
      <c r="AC1692" s="36"/>
    </row>
    <row r="1693" spans="12:29" x14ac:dyDescent="0.3">
      <c r="L1693" s="36"/>
      <c r="R1693" s="34"/>
      <c r="AC1693" s="36"/>
    </row>
    <row r="1694" spans="12:29" x14ac:dyDescent="0.3">
      <c r="L1694" s="36"/>
      <c r="R1694" s="34"/>
      <c r="AC1694" s="36"/>
    </row>
    <row r="1695" spans="12:29" x14ac:dyDescent="0.3">
      <c r="L1695" s="36"/>
      <c r="R1695" s="34"/>
      <c r="AC1695" s="36"/>
    </row>
    <row r="1696" spans="12:29" x14ac:dyDescent="0.3">
      <c r="L1696" s="36"/>
      <c r="R1696" s="34"/>
      <c r="AC1696" s="36"/>
    </row>
    <row r="1697" spans="12:29" x14ac:dyDescent="0.3">
      <c r="L1697" s="36"/>
      <c r="R1697" s="34"/>
      <c r="AC1697" s="36"/>
    </row>
    <row r="1698" spans="12:29" x14ac:dyDescent="0.3">
      <c r="L1698" s="36"/>
      <c r="R1698" s="34"/>
      <c r="AC1698" s="36"/>
    </row>
    <row r="1699" spans="12:29" x14ac:dyDescent="0.3">
      <c r="L1699" s="36"/>
      <c r="R1699" s="34"/>
      <c r="AC1699" s="36"/>
    </row>
    <row r="1700" spans="12:29" x14ac:dyDescent="0.3">
      <c r="L1700" s="36"/>
      <c r="R1700" s="34"/>
      <c r="AC1700" s="36"/>
    </row>
    <row r="1701" spans="12:29" x14ac:dyDescent="0.3">
      <c r="L1701" s="36"/>
      <c r="R1701" s="34"/>
      <c r="AC1701" s="36"/>
    </row>
    <row r="1702" spans="12:29" x14ac:dyDescent="0.3">
      <c r="L1702" s="36"/>
      <c r="R1702" s="34"/>
      <c r="AC1702" s="36"/>
    </row>
    <row r="1703" spans="12:29" x14ac:dyDescent="0.3">
      <c r="L1703" s="36"/>
      <c r="R1703" s="34"/>
      <c r="AC1703" s="36"/>
    </row>
    <row r="1704" spans="12:29" x14ac:dyDescent="0.3">
      <c r="L1704" s="36"/>
      <c r="R1704" s="34"/>
      <c r="AC1704" s="36"/>
    </row>
    <row r="1705" spans="12:29" x14ac:dyDescent="0.3">
      <c r="L1705" s="36"/>
      <c r="R1705" s="34"/>
      <c r="AC1705" s="36"/>
    </row>
    <row r="1706" spans="12:29" x14ac:dyDescent="0.3">
      <c r="L1706" s="36"/>
      <c r="R1706" s="34"/>
      <c r="AC1706" s="36"/>
    </row>
    <row r="1707" spans="12:29" x14ac:dyDescent="0.3">
      <c r="L1707" s="36"/>
      <c r="R1707" s="34"/>
      <c r="AC1707" s="36"/>
    </row>
    <row r="1708" spans="12:29" x14ac:dyDescent="0.3">
      <c r="L1708" s="36"/>
      <c r="R1708" s="34"/>
      <c r="AC1708" s="36"/>
    </row>
    <row r="1709" spans="12:29" x14ac:dyDescent="0.3">
      <c r="L1709" s="36"/>
      <c r="R1709" s="34"/>
      <c r="AC1709" s="36"/>
    </row>
    <row r="1710" spans="12:29" x14ac:dyDescent="0.3">
      <c r="L1710" s="36"/>
      <c r="R1710" s="34"/>
      <c r="AC1710" s="36"/>
    </row>
    <row r="1711" spans="12:29" x14ac:dyDescent="0.3">
      <c r="L1711" s="36"/>
      <c r="R1711" s="34"/>
      <c r="AC1711" s="36"/>
    </row>
    <row r="1712" spans="12:29" x14ac:dyDescent="0.3">
      <c r="L1712" s="36"/>
      <c r="R1712" s="34"/>
      <c r="AC1712" s="36"/>
    </row>
    <row r="1713" spans="12:29" x14ac:dyDescent="0.3">
      <c r="L1713" s="36"/>
      <c r="R1713" s="34"/>
      <c r="AC1713" s="36"/>
    </row>
    <row r="1714" spans="12:29" x14ac:dyDescent="0.3">
      <c r="L1714" s="36"/>
      <c r="R1714" s="34"/>
      <c r="AC1714" s="36"/>
    </row>
    <row r="1715" spans="12:29" x14ac:dyDescent="0.3">
      <c r="L1715" s="36"/>
      <c r="R1715" s="34"/>
      <c r="AC1715" s="36"/>
    </row>
    <row r="1716" spans="12:29" x14ac:dyDescent="0.3">
      <c r="L1716" s="36"/>
      <c r="R1716" s="34"/>
      <c r="AC1716" s="36"/>
    </row>
    <row r="1717" spans="12:29" x14ac:dyDescent="0.3">
      <c r="L1717" s="36"/>
      <c r="R1717" s="34"/>
      <c r="AC1717" s="36"/>
    </row>
    <row r="1718" spans="12:29" x14ac:dyDescent="0.3">
      <c r="L1718" s="36"/>
      <c r="R1718" s="34"/>
      <c r="AC1718" s="36"/>
    </row>
    <row r="1719" spans="12:29" x14ac:dyDescent="0.3">
      <c r="L1719" s="36"/>
      <c r="R1719" s="34"/>
      <c r="AC1719" s="36"/>
    </row>
    <row r="1720" spans="12:29" x14ac:dyDescent="0.3">
      <c r="L1720" s="36"/>
      <c r="R1720" s="34"/>
      <c r="AC1720" s="36"/>
    </row>
    <row r="1721" spans="12:29" x14ac:dyDescent="0.3">
      <c r="L1721" s="36"/>
      <c r="R1721" s="34"/>
      <c r="AC1721" s="36"/>
    </row>
    <row r="1722" spans="12:29" x14ac:dyDescent="0.3">
      <c r="L1722" s="36"/>
      <c r="R1722" s="34"/>
      <c r="AC1722" s="36"/>
    </row>
    <row r="1723" spans="12:29" x14ac:dyDescent="0.3">
      <c r="L1723" s="36"/>
      <c r="R1723" s="34"/>
      <c r="AC1723" s="36"/>
    </row>
    <row r="1724" spans="12:29" x14ac:dyDescent="0.3">
      <c r="L1724" s="36"/>
      <c r="R1724" s="34"/>
      <c r="AC1724" s="36"/>
    </row>
    <row r="1725" spans="12:29" x14ac:dyDescent="0.3">
      <c r="L1725" s="36"/>
      <c r="R1725" s="34"/>
      <c r="AC1725" s="36"/>
    </row>
    <row r="1726" spans="12:29" x14ac:dyDescent="0.3">
      <c r="L1726" s="36"/>
      <c r="R1726" s="34"/>
      <c r="AC1726" s="36"/>
    </row>
    <row r="1727" spans="12:29" x14ac:dyDescent="0.3">
      <c r="L1727" s="36"/>
      <c r="R1727" s="34"/>
      <c r="AC1727" s="36"/>
    </row>
    <row r="1728" spans="12:29" x14ac:dyDescent="0.3">
      <c r="L1728" s="36"/>
      <c r="R1728" s="34"/>
      <c r="AC1728" s="36"/>
    </row>
    <row r="1729" spans="12:29" x14ac:dyDescent="0.3">
      <c r="L1729" s="36"/>
      <c r="R1729" s="34"/>
      <c r="AC1729" s="36"/>
    </row>
    <row r="1730" spans="12:29" x14ac:dyDescent="0.3">
      <c r="L1730" s="36"/>
      <c r="R1730" s="34"/>
      <c r="AC1730" s="36"/>
    </row>
    <row r="1731" spans="12:29" x14ac:dyDescent="0.3">
      <c r="L1731" s="36"/>
      <c r="R1731" s="34"/>
      <c r="AC1731" s="36"/>
    </row>
    <row r="1732" spans="12:29" x14ac:dyDescent="0.3">
      <c r="L1732" s="36"/>
      <c r="R1732" s="34"/>
      <c r="AC1732" s="36"/>
    </row>
    <row r="1733" spans="12:29" x14ac:dyDescent="0.3">
      <c r="L1733" s="36"/>
      <c r="R1733" s="34"/>
      <c r="AC1733" s="36"/>
    </row>
    <row r="1734" spans="12:29" x14ac:dyDescent="0.3">
      <c r="L1734" s="36"/>
      <c r="R1734" s="34"/>
      <c r="AC1734" s="36"/>
    </row>
    <row r="1735" spans="12:29" x14ac:dyDescent="0.3">
      <c r="L1735" s="36"/>
      <c r="R1735" s="34"/>
      <c r="AC1735" s="36"/>
    </row>
    <row r="1736" spans="12:29" x14ac:dyDescent="0.3">
      <c r="L1736" s="36"/>
      <c r="R1736" s="34"/>
      <c r="AC1736" s="36"/>
    </row>
    <row r="1737" spans="12:29" x14ac:dyDescent="0.3">
      <c r="L1737" s="36"/>
      <c r="R1737" s="34"/>
      <c r="AC1737" s="36"/>
    </row>
    <row r="1738" spans="12:29" x14ac:dyDescent="0.3">
      <c r="L1738" s="36"/>
      <c r="R1738" s="34"/>
      <c r="AC1738" s="36"/>
    </row>
    <row r="1739" spans="12:29" x14ac:dyDescent="0.3">
      <c r="L1739" s="36"/>
      <c r="R1739" s="34"/>
      <c r="AC1739" s="36"/>
    </row>
    <row r="1740" spans="12:29" x14ac:dyDescent="0.3">
      <c r="L1740" s="36"/>
      <c r="R1740" s="34"/>
      <c r="AC1740" s="36"/>
    </row>
    <row r="1741" spans="12:29" x14ac:dyDescent="0.3">
      <c r="L1741" s="36"/>
      <c r="R1741" s="34"/>
      <c r="AC1741" s="36"/>
    </row>
    <row r="1742" spans="12:29" x14ac:dyDescent="0.3">
      <c r="L1742" s="36"/>
      <c r="R1742" s="34"/>
      <c r="AC1742" s="36"/>
    </row>
    <row r="1743" spans="12:29" x14ac:dyDescent="0.3">
      <c r="L1743" s="36"/>
      <c r="R1743" s="34"/>
      <c r="AC1743" s="36"/>
    </row>
    <row r="1744" spans="12:29" x14ac:dyDescent="0.3">
      <c r="L1744" s="36"/>
      <c r="R1744" s="34"/>
      <c r="AC1744" s="36"/>
    </row>
    <row r="1745" spans="12:29" x14ac:dyDescent="0.3">
      <c r="L1745" s="36"/>
      <c r="R1745" s="34"/>
      <c r="AC1745" s="36"/>
    </row>
    <row r="1746" spans="12:29" x14ac:dyDescent="0.3">
      <c r="L1746" s="36"/>
      <c r="R1746" s="34"/>
      <c r="AC1746" s="36"/>
    </row>
    <row r="1747" spans="12:29" x14ac:dyDescent="0.3">
      <c r="L1747" s="36"/>
      <c r="R1747" s="34"/>
      <c r="AC1747" s="36"/>
    </row>
    <row r="1748" spans="12:29" x14ac:dyDescent="0.3">
      <c r="L1748" s="36"/>
      <c r="R1748" s="34"/>
      <c r="AC1748" s="36"/>
    </row>
    <row r="1749" spans="12:29" x14ac:dyDescent="0.3">
      <c r="L1749" s="36"/>
      <c r="R1749" s="34"/>
      <c r="AC1749" s="36"/>
    </row>
    <row r="1750" spans="12:29" x14ac:dyDescent="0.3">
      <c r="L1750" s="36"/>
      <c r="R1750" s="34"/>
      <c r="AC1750" s="36"/>
    </row>
    <row r="1751" spans="12:29" x14ac:dyDescent="0.3">
      <c r="L1751" s="36"/>
      <c r="R1751" s="34"/>
      <c r="AC1751" s="36"/>
    </row>
    <row r="1752" spans="12:29" x14ac:dyDescent="0.3">
      <c r="L1752" s="36"/>
      <c r="R1752" s="34"/>
      <c r="AC1752" s="36"/>
    </row>
    <row r="1753" spans="12:29" x14ac:dyDescent="0.3">
      <c r="L1753" s="36"/>
      <c r="R1753" s="34"/>
      <c r="AC1753" s="36"/>
    </row>
    <row r="1754" spans="12:29" x14ac:dyDescent="0.3">
      <c r="L1754" s="36"/>
      <c r="R1754" s="34"/>
      <c r="AC1754" s="36"/>
    </row>
    <row r="1755" spans="12:29" x14ac:dyDescent="0.3">
      <c r="L1755" s="36"/>
      <c r="R1755" s="34"/>
      <c r="AC1755" s="36"/>
    </row>
    <row r="1756" spans="12:29" x14ac:dyDescent="0.3">
      <c r="L1756" s="36"/>
      <c r="R1756" s="34"/>
      <c r="AC1756" s="36"/>
    </row>
    <row r="1757" spans="12:29" x14ac:dyDescent="0.3">
      <c r="L1757" s="36"/>
      <c r="R1757" s="34"/>
      <c r="AC1757" s="36"/>
    </row>
    <row r="1758" spans="12:29" x14ac:dyDescent="0.3">
      <c r="L1758" s="36"/>
      <c r="R1758" s="34"/>
      <c r="AC1758" s="36"/>
    </row>
    <row r="1759" spans="12:29" x14ac:dyDescent="0.3">
      <c r="L1759" s="36"/>
      <c r="R1759" s="34"/>
      <c r="AC1759" s="36"/>
    </row>
    <row r="1760" spans="12:29" x14ac:dyDescent="0.3">
      <c r="L1760" s="36"/>
      <c r="R1760" s="34"/>
      <c r="AC1760" s="36"/>
    </row>
    <row r="1761" spans="12:29" x14ac:dyDescent="0.3">
      <c r="L1761" s="36"/>
      <c r="R1761" s="34"/>
      <c r="AC1761" s="36"/>
    </row>
    <row r="1762" spans="12:29" x14ac:dyDescent="0.3">
      <c r="L1762" s="36"/>
      <c r="R1762" s="34"/>
      <c r="AC1762" s="36"/>
    </row>
    <row r="1763" spans="12:29" x14ac:dyDescent="0.3">
      <c r="L1763" s="36"/>
      <c r="R1763" s="34"/>
      <c r="AC1763" s="36"/>
    </row>
    <row r="1764" spans="12:29" x14ac:dyDescent="0.3">
      <c r="L1764" s="36"/>
      <c r="R1764" s="34"/>
      <c r="AC1764" s="36"/>
    </row>
    <row r="1765" spans="12:29" x14ac:dyDescent="0.3">
      <c r="L1765" s="36"/>
      <c r="R1765" s="34"/>
      <c r="AC1765" s="36"/>
    </row>
    <row r="1766" spans="12:29" x14ac:dyDescent="0.3">
      <c r="L1766" s="36"/>
      <c r="R1766" s="34"/>
      <c r="AC1766" s="36"/>
    </row>
    <row r="1767" spans="12:29" x14ac:dyDescent="0.3">
      <c r="L1767" s="36"/>
      <c r="R1767" s="34"/>
      <c r="AC1767" s="36"/>
    </row>
    <row r="1768" spans="12:29" x14ac:dyDescent="0.3">
      <c r="L1768" s="36"/>
      <c r="R1768" s="34"/>
      <c r="AC1768" s="36"/>
    </row>
    <row r="1769" spans="12:29" x14ac:dyDescent="0.3">
      <c r="L1769" s="36"/>
      <c r="R1769" s="34"/>
      <c r="AC1769" s="36"/>
    </row>
    <row r="1770" spans="12:29" x14ac:dyDescent="0.3">
      <c r="L1770" s="36"/>
      <c r="R1770" s="34"/>
      <c r="AC1770" s="36"/>
    </row>
    <row r="1771" spans="12:29" x14ac:dyDescent="0.3">
      <c r="L1771" s="36"/>
      <c r="R1771" s="34"/>
      <c r="AC1771" s="36"/>
    </row>
    <row r="1772" spans="12:29" x14ac:dyDescent="0.3">
      <c r="L1772" s="36"/>
      <c r="R1772" s="34"/>
      <c r="AC1772" s="36"/>
    </row>
    <row r="1773" spans="12:29" x14ac:dyDescent="0.3">
      <c r="L1773" s="36"/>
      <c r="R1773" s="34"/>
      <c r="AC1773" s="36"/>
    </row>
    <row r="1774" spans="12:29" x14ac:dyDescent="0.3">
      <c r="L1774" s="36"/>
      <c r="R1774" s="34"/>
      <c r="AC1774" s="36"/>
    </row>
    <row r="1775" spans="12:29" x14ac:dyDescent="0.3">
      <c r="L1775" s="36"/>
      <c r="R1775" s="34"/>
      <c r="AC1775" s="36"/>
    </row>
    <row r="1776" spans="12:29" x14ac:dyDescent="0.3">
      <c r="L1776" s="36"/>
      <c r="R1776" s="34"/>
      <c r="AC1776" s="36"/>
    </row>
    <row r="1777" spans="12:29" x14ac:dyDescent="0.3">
      <c r="L1777" s="36"/>
      <c r="R1777" s="34"/>
      <c r="AC1777" s="36"/>
    </row>
    <row r="1778" spans="12:29" x14ac:dyDescent="0.3">
      <c r="L1778" s="36"/>
      <c r="R1778" s="34"/>
      <c r="AC1778" s="36"/>
    </row>
    <row r="1779" spans="12:29" x14ac:dyDescent="0.3">
      <c r="L1779" s="36"/>
      <c r="R1779" s="34"/>
      <c r="AC1779" s="36"/>
    </row>
    <row r="1780" spans="12:29" x14ac:dyDescent="0.3">
      <c r="L1780" s="36"/>
      <c r="R1780" s="34"/>
      <c r="AC1780" s="36"/>
    </row>
    <row r="1781" spans="12:29" x14ac:dyDescent="0.3">
      <c r="L1781" s="36"/>
      <c r="R1781" s="34"/>
      <c r="AC1781" s="36"/>
    </row>
    <row r="1782" spans="12:29" x14ac:dyDescent="0.3">
      <c r="L1782" s="36"/>
      <c r="R1782" s="34"/>
      <c r="AC1782" s="36"/>
    </row>
    <row r="1783" spans="12:29" x14ac:dyDescent="0.3">
      <c r="L1783" s="36"/>
      <c r="R1783" s="34"/>
      <c r="AC1783" s="36"/>
    </row>
    <row r="1784" spans="12:29" x14ac:dyDescent="0.3">
      <c r="L1784" s="36"/>
      <c r="R1784" s="34"/>
      <c r="AC1784" s="36"/>
    </row>
    <row r="1785" spans="12:29" x14ac:dyDescent="0.3">
      <c r="L1785" s="36"/>
      <c r="R1785" s="34"/>
      <c r="AC1785" s="36"/>
    </row>
    <row r="1786" spans="12:29" x14ac:dyDescent="0.3">
      <c r="L1786" s="36"/>
      <c r="R1786" s="34"/>
      <c r="AC1786" s="36"/>
    </row>
    <row r="1787" spans="12:29" x14ac:dyDescent="0.3">
      <c r="L1787" s="36"/>
      <c r="R1787" s="34"/>
      <c r="AC1787" s="36"/>
    </row>
    <row r="1788" spans="12:29" x14ac:dyDescent="0.3">
      <c r="L1788" s="36"/>
      <c r="R1788" s="34"/>
      <c r="AC1788" s="36"/>
    </row>
    <row r="1789" spans="12:29" x14ac:dyDescent="0.3">
      <c r="L1789" s="36"/>
      <c r="R1789" s="34"/>
      <c r="AC1789" s="36"/>
    </row>
    <row r="1790" spans="12:29" x14ac:dyDescent="0.3">
      <c r="L1790" s="36"/>
      <c r="R1790" s="34"/>
      <c r="AC1790" s="36"/>
    </row>
    <row r="1791" spans="12:29" x14ac:dyDescent="0.3">
      <c r="L1791" s="36"/>
      <c r="R1791" s="34"/>
      <c r="AC1791" s="36"/>
    </row>
    <row r="1792" spans="12:29" x14ac:dyDescent="0.3">
      <c r="L1792" s="36"/>
      <c r="R1792" s="34"/>
      <c r="AC1792" s="36"/>
    </row>
    <row r="1793" spans="12:29" x14ac:dyDescent="0.3">
      <c r="L1793" s="36"/>
      <c r="R1793" s="34"/>
      <c r="AC1793" s="36"/>
    </row>
    <row r="1794" spans="12:29" x14ac:dyDescent="0.3">
      <c r="L1794" s="36"/>
      <c r="R1794" s="34"/>
      <c r="AC1794" s="36"/>
    </row>
    <row r="1795" spans="12:29" x14ac:dyDescent="0.3">
      <c r="L1795" s="36"/>
      <c r="R1795" s="34"/>
      <c r="AC1795" s="36"/>
    </row>
    <row r="1796" spans="12:29" x14ac:dyDescent="0.3">
      <c r="L1796" s="36"/>
      <c r="R1796" s="34"/>
      <c r="AC1796" s="36"/>
    </row>
    <row r="1797" spans="12:29" x14ac:dyDescent="0.3">
      <c r="L1797" s="36"/>
      <c r="R1797" s="34"/>
      <c r="AC1797" s="36"/>
    </row>
    <row r="1798" spans="12:29" x14ac:dyDescent="0.3">
      <c r="L1798" s="36"/>
      <c r="R1798" s="34"/>
      <c r="AC1798" s="36"/>
    </row>
    <row r="1799" spans="12:29" x14ac:dyDescent="0.3">
      <c r="L1799" s="36"/>
      <c r="R1799" s="34"/>
      <c r="AC1799" s="36"/>
    </row>
    <row r="1800" spans="12:29" x14ac:dyDescent="0.3">
      <c r="L1800" s="36"/>
      <c r="R1800" s="34"/>
      <c r="AC1800" s="36"/>
    </row>
    <row r="1801" spans="12:29" x14ac:dyDescent="0.3">
      <c r="L1801" s="36"/>
      <c r="R1801" s="34"/>
      <c r="AC1801" s="36"/>
    </row>
    <row r="1802" spans="12:29" x14ac:dyDescent="0.3">
      <c r="L1802" s="36"/>
      <c r="R1802" s="34"/>
      <c r="AC1802" s="36"/>
    </row>
    <row r="1803" spans="12:29" x14ac:dyDescent="0.3">
      <c r="L1803" s="36"/>
      <c r="R1803" s="34"/>
      <c r="AC1803" s="36"/>
    </row>
    <row r="1804" spans="12:29" x14ac:dyDescent="0.3">
      <c r="L1804" s="36"/>
      <c r="R1804" s="34"/>
      <c r="AC1804" s="36"/>
    </row>
    <row r="1805" spans="12:29" x14ac:dyDescent="0.3">
      <c r="L1805" s="36"/>
      <c r="R1805" s="34"/>
      <c r="AC1805" s="36"/>
    </row>
    <row r="1806" spans="12:29" x14ac:dyDescent="0.3">
      <c r="L1806" s="36"/>
      <c r="R1806" s="34"/>
      <c r="AC1806" s="36"/>
    </row>
    <row r="1807" spans="12:29" x14ac:dyDescent="0.3">
      <c r="L1807" s="36"/>
      <c r="R1807" s="34"/>
      <c r="AC1807" s="36"/>
    </row>
    <row r="1808" spans="12:29" x14ac:dyDescent="0.3">
      <c r="L1808" s="36"/>
      <c r="R1808" s="34"/>
      <c r="AC1808" s="36"/>
    </row>
    <row r="1809" spans="12:29" x14ac:dyDescent="0.3">
      <c r="L1809" s="36"/>
      <c r="R1809" s="34"/>
      <c r="AC1809" s="36"/>
    </row>
    <row r="1810" spans="12:29" x14ac:dyDescent="0.3">
      <c r="L1810" s="36"/>
      <c r="R1810" s="34"/>
      <c r="AC1810" s="36"/>
    </row>
    <row r="1811" spans="12:29" x14ac:dyDescent="0.3">
      <c r="L1811" s="36"/>
      <c r="R1811" s="34"/>
      <c r="AC1811" s="36"/>
    </row>
    <row r="1812" spans="12:29" x14ac:dyDescent="0.3">
      <c r="L1812" s="36"/>
      <c r="R1812" s="34"/>
      <c r="AC1812" s="36"/>
    </row>
    <row r="1813" spans="12:29" x14ac:dyDescent="0.3">
      <c r="L1813" s="36"/>
      <c r="R1813" s="34"/>
      <c r="AC1813" s="36"/>
    </row>
    <row r="1814" spans="12:29" x14ac:dyDescent="0.3">
      <c r="L1814" s="36"/>
      <c r="R1814" s="34"/>
      <c r="AC1814" s="36"/>
    </row>
    <row r="1815" spans="12:29" x14ac:dyDescent="0.3">
      <c r="L1815" s="36"/>
      <c r="R1815" s="34"/>
      <c r="AC1815" s="36"/>
    </row>
    <row r="1816" spans="12:29" x14ac:dyDescent="0.3">
      <c r="L1816" s="36"/>
      <c r="R1816" s="34"/>
      <c r="AC1816" s="36"/>
    </row>
    <row r="1817" spans="12:29" x14ac:dyDescent="0.3">
      <c r="L1817" s="36"/>
      <c r="R1817" s="34"/>
      <c r="AC1817" s="36"/>
    </row>
    <row r="1818" spans="12:29" x14ac:dyDescent="0.3">
      <c r="L1818" s="36"/>
      <c r="R1818" s="34"/>
      <c r="AC1818" s="36"/>
    </row>
    <row r="1819" spans="12:29" x14ac:dyDescent="0.3">
      <c r="L1819" s="36"/>
      <c r="R1819" s="34"/>
      <c r="AC1819" s="36"/>
    </row>
    <row r="1820" spans="12:29" x14ac:dyDescent="0.3">
      <c r="L1820" s="36"/>
      <c r="R1820" s="34"/>
      <c r="AC1820" s="36"/>
    </row>
    <row r="1821" spans="12:29" x14ac:dyDescent="0.3">
      <c r="L1821" s="36"/>
      <c r="R1821" s="34"/>
      <c r="AC1821" s="36"/>
    </row>
    <row r="1822" spans="12:29" x14ac:dyDescent="0.3">
      <c r="L1822" s="36"/>
      <c r="R1822" s="34"/>
      <c r="AC1822" s="36"/>
    </row>
    <row r="1823" spans="12:29" x14ac:dyDescent="0.3">
      <c r="L1823" s="36"/>
      <c r="R1823" s="34"/>
      <c r="AC1823" s="36"/>
    </row>
    <row r="1824" spans="12:29" x14ac:dyDescent="0.3">
      <c r="L1824" s="36"/>
      <c r="R1824" s="34"/>
      <c r="AC1824" s="36"/>
    </row>
    <row r="1825" spans="12:29" x14ac:dyDescent="0.3">
      <c r="L1825" s="36"/>
      <c r="R1825" s="34"/>
      <c r="AC1825" s="36"/>
    </row>
    <row r="1826" spans="12:29" x14ac:dyDescent="0.3">
      <c r="L1826" s="36"/>
      <c r="R1826" s="34"/>
      <c r="AC1826" s="36"/>
    </row>
    <row r="1827" spans="12:29" x14ac:dyDescent="0.3">
      <c r="L1827" s="36"/>
      <c r="R1827" s="34"/>
      <c r="AC1827" s="36"/>
    </row>
    <row r="1828" spans="12:29" x14ac:dyDescent="0.3">
      <c r="L1828" s="36"/>
      <c r="R1828" s="34"/>
      <c r="AC1828" s="36"/>
    </row>
    <row r="1829" spans="12:29" x14ac:dyDescent="0.3">
      <c r="L1829" s="36"/>
      <c r="R1829" s="34"/>
      <c r="AC1829" s="36"/>
    </row>
    <row r="1830" spans="12:29" x14ac:dyDescent="0.3">
      <c r="L1830" s="36"/>
      <c r="R1830" s="34"/>
      <c r="AC1830" s="36"/>
    </row>
    <row r="1831" spans="12:29" x14ac:dyDescent="0.3">
      <c r="L1831" s="36"/>
      <c r="R1831" s="34"/>
      <c r="AC1831" s="36"/>
    </row>
    <row r="1832" spans="12:29" x14ac:dyDescent="0.3">
      <c r="L1832" s="36"/>
      <c r="R1832" s="34"/>
      <c r="AC1832" s="36"/>
    </row>
    <row r="1833" spans="12:29" x14ac:dyDescent="0.3">
      <c r="L1833" s="36"/>
      <c r="R1833" s="34"/>
      <c r="AC1833" s="36"/>
    </row>
    <row r="1834" spans="12:29" x14ac:dyDescent="0.3">
      <c r="L1834" s="36"/>
      <c r="R1834" s="34"/>
      <c r="AC1834" s="36"/>
    </row>
    <row r="1835" spans="12:29" x14ac:dyDescent="0.3">
      <c r="L1835" s="36"/>
      <c r="R1835" s="34"/>
      <c r="AC1835" s="36"/>
    </row>
    <row r="1836" spans="12:29" x14ac:dyDescent="0.3">
      <c r="L1836" s="36"/>
      <c r="R1836" s="34"/>
      <c r="AC1836" s="36"/>
    </row>
    <row r="1837" spans="12:29" x14ac:dyDescent="0.3">
      <c r="L1837" s="36"/>
      <c r="R1837" s="34"/>
      <c r="AC1837" s="36"/>
    </row>
    <row r="1838" spans="12:29" x14ac:dyDescent="0.3">
      <c r="L1838" s="36"/>
      <c r="R1838" s="34"/>
      <c r="AC1838" s="36"/>
    </row>
    <row r="1839" spans="12:29" x14ac:dyDescent="0.3">
      <c r="L1839" s="36"/>
      <c r="R1839" s="34"/>
      <c r="AC1839" s="36"/>
    </row>
    <row r="1840" spans="12:29" x14ac:dyDescent="0.3">
      <c r="L1840" s="36"/>
      <c r="R1840" s="34"/>
      <c r="AC1840" s="36"/>
    </row>
    <row r="1841" spans="12:29" x14ac:dyDescent="0.3">
      <c r="L1841" s="36"/>
      <c r="R1841" s="34"/>
      <c r="AC1841" s="36"/>
    </row>
    <row r="1842" spans="12:29" x14ac:dyDescent="0.3">
      <c r="L1842" s="36"/>
      <c r="R1842" s="34"/>
      <c r="AC1842" s="36"/>
    </row>
    <row r="1843" spans="12:29" x14ac:dyDescent="0.3">
      <c r="L1843" s="36"/>
      <c r="R1843" s="34"/>
      <c r="AC1843" s="36"/>
    </row>
    <row r="1844" spans="12:29" x14ac:dyDescent="0.3">
      <c r="L1844" s="36"/>
      <c r="R1844" s="34"/>
      <c r="AC1844" s="36"/>
    </row>
    <row r="1845" spans="12:29" x14ac:dyDescent="0.3">
      <c r="L1845" s="36"/>
      <c r="R1845" s="34"/>
      <c r="AC1845" s="36"/>
    </row>
    <row r="1846" spans="12:29" x14ac:dyDescent="0.3">
      <c r="L1846" s="36"/>
      <c r="R1846" s="34"/>
      <c r="AC1846" s="36"/>
    </row>
    <row r="1847" spans="12:29" x14ac:dyDescent="0.3">
      <c r="L1847" s="36"/>
      <c r="R1847" s="34"/>
      <c r="AC1847" s="36"/>
    </row>
    <row r="1848" spans="12:29" x14ac:dyDescent="0.3">
      <c r="L1848" s="36"/>
      <c r="R1848" s="34"/>
      <c r="AC1848" s="36"/>
    </row>
    <row r="1849" spans="12:29" x14ac:dyDescent="0.3">
      <c r="L1849" s="36"/>
      <c r="R1849" s="34"/>
      <c r="AC1849" s="36"/>
    </row>
    <row r="1850" spans="12:29" x14ac:dyDescent="0.3">
      <c r="L1850" s="36"/>
      <c r="R1850" s="34"/>
      <c r="AC1850" s="36"/>
    </row>
    <row r="1851" spans="12:29" x14ac:dyDescent="0.3">
      <c r="L1851" s="36"/>
      <c r="R1851" s="34"/>
      <c r="AC1851" s="36"/>
    </row>
    <row r="1852" spans="12:29" x14ac:dyDescent="0.3">
      <c r="L1852" s="36"/>
      <c r="R1852" s="34"/>
      <c r="AC1852" s="36"/>
    </row>
    <row r="1853" spans="12:29" x14ac:dyDescent="0.3">
      <c r="L1853" s="36"/>
      <c r="R1853" s="34"/>
      <c r="AC1853" s="36"/>
    </row>
    <row r="1854" spans="12:29" x14ac:dyDescent="0.3">
      <c r="L1854" s="36"/>
      <c r="R1854" s="34"/>
      <c r="AC1854" s="36"/>
    </row>
    <row r="1855" spans="12:29" x14ac:dyDescent="0.3">
      <c r="L1855" s="36"/>
      <c r="R1855" s="34"/>
      <c r="AC1855" s="36"/>
    </row>
    <row r="1856" spans="12:29" x14ac:dyDescent="0.3">
      <c r="L1856" s="36"/>
      <c r="R1856" s="34"/>
      <c r="AC1856" s="36"/>
    </row>
    <row r="1857" spans="12:29" x14ac:dyDescent="0.3">
      <c r="L1857" s="36"/>
      <c r="R1857" s="34"/>
      <c r="AC1857" s="36"/>
    </row>
    <row r="1858" spans="12:29" x14ac:dyDescent="0.3">
      <c r="L1858" s="36"/>
      <c r="R1858" s="34"/>
      <c r="AC1858" s="36"/>
    </row>
    <row r="1859" spans="12:29" x14ac:dyDescent="0.3">
      <c r="L1859" s="36"/>
      <c r="R1859" s="34"/>
      <c r="AC1859" s="36"/>
    </row>
    <row r="1860" spans="12:29" x14ac:dyDescent="0.3">
      <c r="L1860" s="36"/>
      <c r="R1860" s="34"/>
      <c r="AC1860" s="36"/>
    </row>
    <row r="1861" spans="12:29" x14ac:dyDescent="0.3">
      <c r="L1861" s="36"/>
      <c r="R1861" s="34"/>
      <c r="AC1861" s="36"/>
    </row>
    <row r="1862" spans="12:29" x14ac:dyDescent="0.3">
      <c r="L1862" s="36"/>
      <c r="R1862" s="34"/>
      <c r="AC1862" s="36"/>
    </row>
    <row r="1863" spans="12:29" x14ac:dyDescent="0.3">
      <c r="L1863" s="36"/>
      <c r="R1863" s="34"/>
      <c r="AC1863" s="36"/>
    </row>
    <row r="1864" spans="12:29" x14ac:dyDescent="0.3">
      <c r="L1864" s="36"/>
      <c r="R1864" s="34"/>
      <c r="AC1864" s="36"/>
    </row>
    <row r="1865" spans="12:29" x14ac:dyDescent="0.3">
      <c r="L1865" s="36"/>
      <c r="R1865" s="34"/>
      <c r="AC1865" s="36"/>
    </row>
    <row r="1866" spans="12:29" x14ac:dyDescent="0.3">
      <c r="L1866" s="36"/>
      <c r="R1866" s="34"/>
      <c r="AC1866" s="36"/>
    </row>
    <row r="1867" spans="12:29" x14ac:dyDescent="0.3">
      <c r="L1867" s="36"/>
      <c r="R1867" s="34"/>
      <c r="AC1867" s="36"/>
    </row>
    <row r="1868" spans="12:29" x14ac:dyDescent="0.3">
      <c r="L1868" s="36"/>
      <c r="R1868" s="34"/>
      <c r="AC1868" s="36"/>
    </row>
    <row r="1869" spans="12:29" x14ac:dyDescent="0.3">
      <c r="L1869" s="36"/>
      <c r="R1869" s="34"/>
      <c r="AC1869" s="36"/>
    </row>
    <row r="1870" spans="12:29" x14ac:dyDescent="0.3">
      <c r="L1870" s="36"/>
      <c r="R1870" s="34"/>
      <c r="AC1870" s="36"/>
    </row>
    <row r="1871" spans="12:29" x14ac:dyDescent="0.3">
      <c r="L1871" s="36"/>
      <c r="R1871" s="34"/>
      <c r="AC1871" s="36"/>
    </row>
    <row r="1872" spans="12:29" x14ac:dyDescent="0.3">
      <c r="L1872" s="36"/>
      <c r="R1872" s="34"/>
      <c r="AC1872" s="36"/>
    </row>
    <row r="1873" spans="12:29" x14ac:dyDescent="0.3">
      <c r="L1873" s="36"/>
      <c r="R1873" s="34"/>
      <c r="AC1873" s="36"/>
    </row>
    <row r="1874" spans="12:29" x14ac:dyDescent="0.3">
      <c r="L1874" s="36"/>
      <c r="R1874" s="34"/>
      <c r="AC1874" s="36"/>
    </row>
    <row r="1875" spans="12:29" x14ac:dyDescent="0.3">
      <c r="L1875" s="36"/>
      <c r="R1875" s="34"/>
      <c r="AC1875" s="36"/>
    </row>
    <row r="1876" spans="12:29" x14ac:dyDescent="0.3">
      <c r="L1876" s="36"/>
      <c r="R1876" s="34"/>
      <c r="AC1876" s="36"/>
    </row>
    <row r="1877" spans="12:29" x14ac:dyDescent="0.3">
      <c r="L1877" s="36"/>
      <c r="R1877" s="34"/>
      <c r="AC1877" s="36"/>
    </row>
    <row r="1878" spans="12:29" x14ac:dyDescent="0.3">
      <c r="L1878" s="36"/>
      <c r="R1878" s="34"/>
      <c r="AC1878" s="36"/>
    </row>
    <row r="1879" spans="12:29" x14ac:dyDescent="0.3">
      <c r="L1879" s="36"/>
      <c r="R1879" s="34"/>
      <c r="AC1879" s="36"/>
    </row>
    <row r="1880" spans="12:29" x14ac:dyDescent="0.3">
      <c r="L1880" s="36"/>
      <c r="R1880" s="34"/>
      <c r="AC1880" s="36"/>
    </row>
    <row r="1881" spans="12:29" x14ac:dyDescent="0.3">
      <c r="L1881" s="36"/>
      <c r="R1881" s="34"/>
      <c r="AC1881" s="36"/>
    </row>
    <row r="1882" spans="12:29" x14ac:dyDescent="0.3">
      <c r="L1882" s="36"/>
      <c r="R1882" s="34"/>
      <c r="AC1882" s="36"/>
    </row>
    <row r="1883" spans="12:29" x14ac:dyDescent="0.3">
      <c r="L1883" s="36"/>
      <c r="R1883" s="34"/>
      <c r="AC1883" s="36"/>
    </row>
    <row r="1884" spans="12:29" x14ac:dyDescent="0.3">
      <c r="L1884" s="36"/>
      <c r="R1884" s="34"/>
      <c r="AC1884" s="36"/>
    </row>
    <row r="1885" spans="12:29" x14ac:dyDescent="0.3">
      <c r="L1885" s="36"/>
      <c r="R1885" s="34"/>
      <c r="AC1885" s="36"/>
    </row>
    <row r="1886" spans="12:29" x14ac:dyDescent="0.3">
      <c r="L1886" s="36"/>
      <c r="R1886" s="34"/>
      <c r="AC1886" s="36"/>
    </row>
    <row r="1887" spans="12:29" x14ac:dyDescent="0.3">
      <c r="L1887" s="36"/>
      <c r="R1887" s="34"/>
      <c r="AC1887" s="36"/>
    </row>
    <row r="1888" spans="12:29" x14ac:dyDescent="0.3">
      <c r="L1888" s="36"/>
      <c r="R1888" s="34"/>
      <c r="AC1888" s="36"/>
    </row>
    <row r="1889" spans="12:29" x14ac:dyDescent="0.3">
      <c r="L1889" s="36"/>
      <c r="R1889" s="34"/>
      <c r="AC1889" s="36"/>
    </row>
    <row r="1890" spans="12:29" x14ac:dyDescent="0.3">
      <c r="L1890" s="36"/>
      <c r="R1890" s="34"/>
      <c r="AC1890" s="36"/>
    </row>
    <row r="1891" spans="12:29" x14ac:dyDescent="0.3">
      <c r="L1891" s="36"/>
      <c r="R1891" s="34"/>
      <c r="AC1891" s="36"/>
    </row>
    <row r="1892" spans="12:29" x14ac:dyDescent="0.3">
      <c r="L1892" s="36"/>
      <c r="R1892" s="34"/>
      <c r="AC1892" s="36"/>
    </row>
    <row r="1893" spans="12:29" x14ac:dyDescent="0.3">
      <c r="L1893" s="36"/>
      <c r="R1893" s="34"/>
      <c r="AC1893" s="36"/>
    </row>
    <row r="1894" spans="12:29" x14ac:dyDescent="0.3">
      <c r="L1894" s="36"/>
      <c r="R1894" s="34"/>
      <c r="AC1894" s="36"/>
    </row>
    <row r="1895" spans="12:29" x14ac:dyDescent="0.3">
      <c r="L1895" s="36"/>
      <c r="R1895" s="34"/>
      <c r="AC1895" s="36"/>
    </row>
    <row r="1896" spans="12:29" x14ac:dyDescent="0.3">
      <c r="L1896" s="36"/>
      <c r="R1896" s="34"/>
      <c r="AC1896" s="36"/>
    </row>
    <row r="1897" spans="12:29" x14ac:dyDescent="0.3">
      <c r="L1897" s="36"/>
      <c r="R1897" s="34"/>
      <c r="AC1897" s="36"/>
    </row>
    <row r="1898" spans="12:29" x14ac:dyDescent="0.3">
      <c r="L1898" s="36"/>
      <c r="R1898" s="34"/>
      <c r="AC1898" s="36"/>
    </row>
    <row r="1899" spans="12:29" x14ac:dyDescent="0.3">
      <c r="L1899" s="36"/>
      <c r="R1899" s="34"/>
      <c r="AC1899" s="36"/>
    </row>
    <row r="1900" spans="12:29" x14ac:dyDescent="0.3">
      <c r="L1900" s="36"/>
      <c r="R1900" s="34"/>
      <c r="AC1900" s="36"/>
    </row>
    <row r="1901" spans="12:29" x14ac:dyDescent="0.3">
      <c r="L1901" s="36"/>
      <c r="R1901" s="34"/>
      <c r="AC1901" s="36"/>
    </row>
    <row r="1902" spans="12:29" x14ac:dyDescent="0.3">
      <c r="L1902" s="36"/>
      <c r="R1902" s="34"/>
      <c r="AC1902" s="36"/>
    </row>
    <row r="1903" spans="12:29" x14ac:dyDescent="0.3">
      <c r="L1903" s="36"/>
      <c r="R1903" s="34"/>
      <c r="AC1903" s="36"/>
    </row>
    <row r="1904" spans="12:29" x14ac:dyDescent="0.3">
      <c r="L1904" s="36"/>
      <c r="R1904" s="34"/>
      <c r="AC1904" s="36"/>
    </row>
    <row r="1905" spans="12:29" x14ac:dyDescent="0.3">
      <c r="L1905" s="36"/>
      <c r="R1905" s="34"/>
      <c r="AC1905" s="36"/>
    </row>
    <row r="1906" spans="12:29" x14ac:dyDescent="0.3">
      <c r="L1906" s="36"/>
      <c r="R1906" s="34"/>
      <c r="AC1906" s="36"/>
    </row>
    <row r="1907" spans="12:29" x14ac:dyDescent="0.3">
      <c r="L1907" s="36"/>
      <c r="R1907" s="34"/>
      <c r="AC1907" s="36"/>
    </row>
    <row r="1908" spans="12:29" x14ac:dyDescent="0.3">
      <c r="L1908" s="36"/>
      <c r="R1908" s="34"/>
      <c r="AC1908" s="36"/>
    </row>
    <row r="1909" spans="12:29" x14ac:dyDescent="0.3">
      <c r="L1909" s="36"/>
      <c r="R1909" s="34"/>
      <c r="AC1909" s="36"/>
    </row>
    <row r="1910" spans="12:29" x14ac:dyDescent="0.3">
      <c r="L1910" s="36"/>
      <c r="R1910" s="34"/>
      <c r="AC1910" s="36"/>
    </row>
    <row r="1911" spans="12:29" x14ac:dyDescent="0.3">
      <c r="L1911" s="36"/>
      <c r="R1911" s="34"/>
      <c r="AC1911" s="36"/>
    </row>
    <row r="1912" spans="12:29" x14ac:dyDescent="0.3">
      <c r="L1912" s="36"/>
      <c r="R1912" s="34"/>
      <c r="AC1912" s="36"/>
    </row>
    <row r="1913" spans="12:29" x14ac:dyDescent="0.3">
      <c r="L1913" s="36"/>
      <c r="R1913" s="34"/>
      <c r="AC1913" s="36"/>
    </row>
    <row r="1914" spans="12:29" x14ac:dyDescent="0.3">
      <c r="L1914" s="36"/>
      <c r="R1914" s="34"/>
      <c r="AC1914" s="36"/>
    </row>
    <row r="1915" spans="12:29" x14ac:dyDescent="0.3">
      <c r="L1915" s="36"/>
      <c r="R1915" s="34"/>
      <c r="AC1915" s="36"/>
    </row>
    <row r="1916" spans="12:29" x14ac:dyDescent="0.3">
      <c r="L1916" s="36"/>
      <c r="R1916" s="34"/>
      <c r="AC1916" s="36"/>
    </row>
    <row r="1917" spans="12:29" x14ac:dyDescent="0.3">
      <c r="L1917" s="36"/>
      <c r="R1917" s="34"/>
      <c r="AC1917" s="36"/>
    </row>
    <row r="1918" spans="12:29" x14ac:dyDescent="0.3">
      <c r="L1918" s="36"/>
      <c r="R1918" s="34"/>
      <c r="AC1918" s="36"/>
    </row>
    <row r="1919" spans="12:29" x14ac:dyDescent="0.3">
      <c r="L1919" s="36"/>
      <c r="R1919" s="34"/>
      <c r="AC1919" s="36"/>
    </row>
    <row r="1920" spans="12:29" x14ac:dyDescent="0.3">
      <c r="L1920" s="36"/>
      <c r="R1920" s="34"/>
      <c r="AC1920" s="36"/>
    </row>
    <row r="1921" spans="12:29" x14ac:dyDescent="0.3">
      <c r="L1921" s="36"/>
      <c r="R1921" s="34"/>
      <c r="AC1921" s="36"/>
    </row>
    <row r="1922" spans="12:29" x14ac:dyDescent="0.3">
      <c r="L1922" s="36"/>
      <c r="R1922" s="34"/>
      <c r="AC1922" s="36"/>
    </row>
    <row r="1923" spans="12:29" x14ac:dyDescent="0.3">
      <c r="L1923" s="36"/>
      <c r="R1923" s="34"/>
      <c r="AC1923" s="36"/>
    </row>
    <row r="1924" spans="12:29" x14ac:dyDescent="0.3">
      <c r="L1924" s="36"/>
      <c r="R1924" s="34"/>
      <c r="AC1924" s="36"/>
    </row>
    <row r="1925" spans="12:29" x14ac:dyDescent="0.3">
      <c r="L1925" s="36"/>
      <c r="R1925" s="34"/>
      <c r="AC1925" s="36"/>
    </row>
    <row r="1926" spans="12:29" x14ac:dyDescent="0.3">
      <c r="L1926" s="36"/>
      <c r="R1926" s="34"/>
      <c r="AC1926" s="36"/>
    </row>
    <row r="1927" spans="12:29" x14ac:dyDescent="0.3">
      <c r="L1927" s="36"/>
      <c r="R1927" s="34"/>
      <c r="AC1927" s="36"/>
    </row>
    <row r="1928" spans="12:29" x14ac:dyDescent="0.3">
      <c r="L1928" s="36"/>
      <c r="R1928" s="34"/>
      <c r="AC1928" s="36"/>
    </row>
    <row r="1929" spans="12:29" x14ac:dyDescent="0.3">
      <c r="L1929" s="36"/>
      <c r="R1929" s="34"/>
      <c r="AC1929" s="36"/>
    </row>
    <row r="1930" spans="12:29" x14ac:dyDescent="0.3">
      <c r="L1930" s="36"/>
      <c r="R1930" s="34"/>
      <c r="AC1930" s="36"/>
    </row>
    <row r="1931" spans="12:29" x14ac:dyDescent="0.3">
      <c r="L1931" s="36"/>
      <c r="R1931" s="34"/>
      <c r="AC1931" s="36"/>
    </row>
    <row r="1932" spans="12:29" x14ac:dyDescent="0.3">
      <c r="L1932" s="36"/>
      <c r="R1932" s="34"/>
      <c r="AC1932" s="36"/>
    </row>
    <row r="1933" spans="12:29" x14ac:dyDescent="0.3">
      <c r="L1933" s="36"/>
      <c r="R1933" s="34"/>
      <c r="AC1933" s="36"/>
    </row>
    <row r="1934" spans="12:29" x14ac:dyDescent="0.3">
      <c r="L1934" s="36"/>
      <c r="R1934" s="34"/>
      <c r="AC1934" s="36"/>
    </row>
    <row r="1935" spans="12:29" x14ac:dyDescent="0.3">
      <c r="L1935" s="36"/>
      <c r="R1935" s="34"/>
      <c r="AC1935" s="36"/>
    </row>
    <row r="1936" spans="12:29" x14ac:dyDescent="0.3">
      <c r="L1936" s="36"/>
      <c r="R1936" s="34"/>
      <c r="AC1936" s="36"/>
    </row>
    <row r="1937" spans="12:29" x14ac:dyDescent="0.3">
      <c r="L1937" s="36"/>
      <c r="R1937" s="34"/>
      <c r="AC1937" s="36"/>
    </row>
    <row r="1938" spans="12:29" x14ac:dyDescent="0.3">
      <c r="L1938" s="36"/>
      <c r="R1938" s="34"/>
      <c r="AC1938" s="36"/>
    </row>
    <row r="1939" spans="12:29" x14ac:dyDescent="0.3">
      <c r="L1939" s="36"/>
      <c r="R1939" s="34"/>
      <c r="AC1939" s="36"/>
    </row>
    <row r="1940" spans="12:29" x14ac:dyDescent="0.3">
      <c r="L1940" s="36"/>
      <c r="R1940" s="34"/>
      <c r="AC1940" s="36"/>
    </row>
    <row r="1941" spans="12:29" x14ac:dyDescent="0.3">
      <c r="L1941" s="36"/>
      <c r="R1941" s="34"/>
      <c r="AC1941" s="36"/>
    </row>
    <row r="1942" spans="12:29" x14ac:dyDescent="0.3">
      <c r="L1942" s="36"/>
      <c r="R1942" s="34"/>
      <c r="AC1942" s="36"/>
    </row>
    <row r="1943" spans="12:29" x14ac:dyDescent="0.3">
      <c r="L1943" s="36"/>
      <c r="R1943" s="34"/>
      <c r="AC1943" s="36"/>
    </row>
    <row r="1944" spans="12:29" x14ac:dyDescent="0.3">
      <c r="L1944" s="36"/>
      <c r="R1944" s="34"/>
      <c r="AC1944" s="36"/>
    </row>
    <row r="1945" spans="12:29" x14ac:dyDescent="0.3">
      <c r="L1945" s="36"/>
      <c r="R1945" s="34"/>
      <c r="AC1945" s="36"/>
    </row>
    <row r="1946" spans="12:29" x14ac:dyDescent="0.3">
      <c r="L1946" s="36"/>
      <c r="R1946" s="34"/>
      <c r="AC1946" s="36"/>
    </row>
    <row r="1947" spans="12:29" x14ac:dyDescent="0.3">
      <c r="L1947" s="36"/>
      <c r="R1947" s="34"/>
      <c r="AC1947" s="36"/>
    </row>
    <row r="1948" spans="12:29" x14ac:dyDescent="0.3">
      <c r="L1948" s="36"/>
      <c r="R1948" s="34"/>
      <c r="AC1948" s="36"/>
    </row>
    <row r="1949" spans="12:29" x14ac:dyDescent="0.3">
      <c r="L1949" s="36"/>
      <c r="R1949" s="34"/>
      <c r="AC1949" s="36"/>
    </row>
    <row r="1950" spans="12:29" x14ac:dyDescent="0.3">
      <c r="L1950" s="36"/>
      <c r="R1950" s="34"/>
      <c r="AC1950" s="36"/>
    </row>
    <row r="1951" spans="12:29" x14ac:dyDescent="0.3">
      <c r="L1951" s="36"/>
      <c r="R1951" s="34"/>
      <c r="AC1951" s="36"/>
    </row>
    <row r="1952" spans="12:29" x14ac:dyDescent="0.3">
      <c r="L1952" s="36"/>
      <c r="R1952" s="34"/>
      <c r="AC1952" s="36"/>
    </row>
    <row r="1953" spans="12:29" x14ac:dyDescent="0.3">
      <c r="L1953" s="36"/>
      <c r="R1953" s="34"/>
      <c r="AC1953" s="36"/>
    </row>
    <row r="1954" spans="12:29" x14ac:dyDescent="0.3">
      <c r="L1954" s="36"/>
      <c r="R1954" s="34"/>
      <c r="AC1954" s="36"/>
    </row>
    <row r="1955" spans="12:29" x14ac:dyDescent="0.3">
      <c r="L1955" s="36"/>
      <c r="R1955" s="34"/>
      <c r="AC1955" s="36"/>
    </row>
    <row r="1956" spans="12:29" x14ac:dyDescent="0.3">
      <c r="L1956" s="36"/>
      <c r="R1956" s="34"/>
      <c r="AC1956" s="36"/>
    </row>
    <row r="1957" spans="12:29" x14ac:dyDescent="0.3">
      <c r="L1957" s="36"/>
      <c r="R1957" s="34"/>
      <c r="AC1957" s="36"/>
    </row>
    <row r="1958" spans="12:29" x14ac:dyDescent="0.3">
      <c r="L1958" s="36"/>
      <c r="R1958" s="34"/>
      <c r="AC1958" s="36"/>
    </row>
    <row r="1959" spans="12:29" x14ac:dyDescent="0.3">
      <c r="L1959" s="36"/>
      <c r="R1959" s="34"/>
      <c r="AC1959" s="36"/>
    </row>
    <row r="1960" spans="12:29" x14ac:dyDescent="0.3">
      <c r="L1960" s="36"/>
      <c r="R1960" s="34"/>
      <c r="AC1960" s="36"/>
    </row>
    <row r="1961" spans="12:29" x14ac:dyDescent="0.3">
      <c r="L1961" s="36"/>
      <c r="R1961" s="34"/>
      <c r="AC1961" s="36"/>
    </row>
    <row r="1962" spans="12:29" x14ac:dyDescent="0.3">
      <c r="L1962" s="36"/>
      <c r="R1962" s="34"/>
      <c r="AC1962" s="36"/>
    </row>
    <row r="1963" spans="12:29" x14ac:dyDescent="0.3">
      <c r="L1963" s="36"/>
      <c r="R1963" s="34"/>
      <c r="AC1963" s="36"/>
    </row>
    <row r="1964" spans="12:29" x14ac:dyDescent="0.3">
      <c r="L1964" s="36"/>
      <c r="R1964" s="34"/>
      <c r="AC1964" s="36"/>
    </row>
    <row r="1965" spans="12:29" x14ac:dyDescent="0.3">
      <c r="L1965" s="36"/>
      <c r="R1965" s="34"/>
      <c r="AC1965" s="36"/>
    </row>
    <row r="1966" spans="12:29" x14ac:dyDescent="0.3">
      <c r="L1966" s="36"/>
      <c r="R1966" s="34"/>
      <c r="AC1966" s="36"/>
    </row>
    <row r="1967" spans="12:29" x14ac:dyDescent="0.3">
      <c r="L1967" s="36"/>
      <c r="R1967" s="34"/>
      <c r="AC1967" s="36"/>
    </row>
    <row r="1968" spans="12:29" x14ac:dyDescent="0.3">
      <c r="L1968" s="36"/>
      <c r="R1968" s="34"/>
      <c r="AC1968" s="36"/>
    </row>
    <row r="1969" spans="12:29" x14ac:dyDescent="0.3">
      <c r="L1969" s="36"/>
      <c r="R1969" s="34"/>
      <c r="AC1969" s="36"/>
    </row>
    <row r="1970" spans="12:29" x14ac:dyDescent="0.3">
      <c r="L1970" s="36"/>
      <c r="R1970" s="34"/>
      <c r="AC1970" s="36"/>
    </row>
    <row r="1971" spans="12:29" x14ac:dyDescent="0.3">
      <c r="L1971" s="36"/>
      <c r="R1971" s="34"/>
      <c r="AC1971" s="36"/>
    </row>
    <row r="1972" spans="12:29" x14ac:dyDescent="0.3">
      <c r="L1972" s="36"/>
      <c r="R1972" s="34"/>
      <c r="AC1972" s="36"/>
    </row>
    <row r="1973" spans="12:29" x14ac:dyDescent="0.3">
      <c r="L1973" s="36"/>
      <c r="R1973" s="34"/>
      <c r="AC1973" s="36"/>
    </row>
    <row r="1974" spans="12:29" x14ac:dyDescent="0.3">
      <c r="L1974" s="36"/>
      <c r="R1974" s="34"/>
      <c r="AC1974" s="36"/>
    </row>
    <row r="1975" spans="12:29" x14ac:dyDescent="0.3">
      <c r="L1975" s="36"/>
      <c r="R1975" s="34"/>
      <c r="AC1975" s="36"/>
    </row>
    <row r="1976" spans="12:29" x14ac:dyDescent="0.3">
      <c r="L1976" s="36"/>
      <c r="R1976" s="34"/>
      <c r="AC1976" s="36"/>
    </row>
    <row r="1977" spans="12:29" x14ac:dyDescent="0.3">
      <c r="L1977" s="36"/>
      <c r="R1977" s="34"/>
      <c r="AC1977" s="36"/>
    </row>
    <row r="1978" spans="12:29" x14ac:dyDescent="0.3">
      <c r="L1978" s="36"/>
      <c r="R1978" s="34"/>
      <c r="AC1978" s="36"/>
    </row>
    <row r="1979" spans="12:29" x14ac:dyDescent="0.3">
      <c r="L1979" s="36"/>
      <c r="R1979" s="34"/>
      <c r="AC1979" s="36"/>
    </row>
    <row r="1980" spans="12:29" x14ac:dyDescent="0.3">
      <c r="L1980" s="36"/>
      <c r="R1980" s="34"/>
      <c r="AC1980" s="36"/>
    </row>
    <row r="1981" spans="12:29" x14ac:dyDescent="0.3">
      <c r="L1981" s="36"/>
      <c r="R1981" s="34"/>
      <c r="AC1981" s="36"/>
    </row>
    <row r="1982" spans="12:29" x14ac:dyDescent="0.3">
      <c r="L1982" s="36"/>
      <c r="R1982" s="34"/>
      <c r="AC1982" s="36"/>
    </row>
    <row r="1983" spans="12:29" x14ac:dyDescent="0.3">
      <c r="L1983" s="36"/>
      <c r="R1983" s="34"/>
      <c r="AC1983" s="36"/>
    </row>
    <row r="1984" spans="12:29" x14ac:dyDescent="0.3">
      <c r="L1984" s="36"/>
      <c r="R1984" s="34"/>
      <c r="AC1984" s="36"/>
    </row>
    <row r="1985" spans="12:29" x14ac:dyDescent="0.3">
      <c r="L1985" s="36"/>
      <c r="R1985" s="34"/>
      <c r="AC1985" s="36"/>
    </row>
    <row r="1986" spans="12:29" x14ac:dyDescent="0.3">
      <c r="L1986" s="36"/>
      <c r="R1986" s="34"/>
      <c r="AC1986" s="36"/>
    </row>
    <row r="1987" spans="12:29" x14ac:dyDescent="0.3">
      <c r="L1987" s="36"/>
      <c r="R1987" s="34"/>
      <c r="AC1987" s="36"/>
    </row>
    <row r="1988" spans="12:29" x14ac:dyDescent="0.3">
      <c r="L1988" s="36"/>
      <c r="R1988" s="34"/>
      <c r="AC1988" s="36"/>
    </row>
    <row r="1989" spans="12:29" x14ac:dyDescent="0.3">
      <c r="L1989" s="36"/>
      <c r="R1989" s="34"/>
      <c r="AC1989" s="36"/>
    </row>
    <row r="1990" spans="12:29" x14ac:dyDescent="0.3">
      <c r="L1990" s="36"/>
      <c r="R1990" s="34"/>
      <c r="AC1990" s="36"/>
    </row>
    <row r="1991" spans="12:29" x14ac:dyDescent="0.3">
      <c r="L1991" s="36"/>
      <c r="R1991" s="34"/>
      <c r="AC1991" s="36"/>
    </row>
    <row r="1992" spans="12:29" x14ac:dyDescent="0.3">
      <c r="L1992" s="36"/>
      <c r="R1992" s="34"/>
      <c r="AC1992" s="36"/>
    </row>
    <row r="1993" spans="12:29" x14ac:dyDescent="0.3">
      <c r="L1993" s="36"/>
      <c r="R1993" s="34"/>
      <c r="AC1993" s="36"/>
    </row>
    <row r="1994" spans="12:29" x14ac:dyDescent="0.3">
      <c r="L1994" s="36"/>
      <c r="R1994" s="34"/>
      <c r="AC1994" s="36"/>
    </row>
    <row r="1995" spans="12:29" x14ac:dyDescent="0.3">
      <c r="L1995" s="36"/>
      <c r="R1995" s="34"/>
      <c r="AC1995" s="36"/>
    </row>
    <row r="1996" spans="12:29" x14ac:dyDescent="0.3">
      <c r="L1996" s="36"/>
      <c r="R1996" s="34"/>
      <c r="AC1996" s="36"/>
    </row>
    <row r="1997" spans="12:29" x14ac:dyDescent="0.3">
      <c r="L1997" s="36"/>
      <c r="R1997" s="34"/>
      <c r="AC1997" s="36"/>
    </row>
    <row r="1998" spans="12:29" x14ac:dyDescent="0.3">
      <c r="L1998" s="36"/>
      <c r="R1998" s="34"/>
      <c r="AC1998" s="36"/>
    </row>
    <row r="1999" spans="12:29" x14ac:dyDescent="0.3">
      <c r="L1999" s="36"/>
      <c r="R1999" s="34"/>
      <c r="AC1999" s="36"/>
    </row>
    <row r="2000" spans="12:29" x14ac:dyDescent="0.3">
      <c r="L2000" s="36"/>
      <c r="R2000" s="34"/>
      <c r="AC2000" s="36"/>
    </row>
    <row r="2001" spans="12:29" x14ac:dyDescent="0.3">
      <c r="L2001" s="36"/>
      <c r="R2001" s="34"/>
      <c r="AC2001" s="36"/>
    </row>
    <row r="2002" spans="12:29" x14ac:dyDescent="0.3">
      <c r="L2002" s="36"/>
      <c r="R2002" s="34"/>
      <c r="AC2002" s="36"/>
    </row>
    <row r="2003" spans="12:29" x14ac:dyDescent="0.3">
      <c r="L2003" s="36"/>
      <c r="R2003" s="34"/>
      <c r="AC2003" s="36"/>
    </row>
    <row r="2004" spans="12:29" x14ac:dyDescent="0.3">
      <c r="L2004" s="36"/>
      <c r="R2004" s="34"/>
      <c r="AC2004" s="36"/>
    </row>
    <row r="2005" spans="12:29" x14ac:dyDescent="0.3">
      <c r="L2005" s="36"/>
      <c r="R2005" s="34"/>
      <c r="AC2005" s="36"/>
    </row>
    <row r="2006" spans="12:29" x14ac:dyDescent="0.3">
      <c r="L2006" s="36"/>
      <c r="R2006" s="34"/>
      <c r="AC2006" s="36"/>
    </row>
    <row r="2007" spans="12:29" x14ac:dyDescent="0.3">
      <c r="L2007" s="36"/>
      <c r="R2007" s="34"/>
      <c r="AC2007" s="36"/>
    </row>
    <row r="2008" spans="12:29" x14ac:dyDescent="0.3">
      <c r="L2008" s="36"/>
      <c r="R2008" s="34"/>
      <c r="AC2008" s="36"/>
    </row>
    <row r="2009" spans="12:29" x14ac:dyDescent="0.3">
      <c r="L2009" s="36"/>
      <c r="R2009" s="34"/>
      <c r="AC2009" s="36"/>
    </row>
    <row r="2010" spans="12:29" x14ac:dyDescent="0.3">
      <c r="L2010" s="36"/>
      <c r="R2010" s="34"/>
      <c r="AC2010" s="36"/>
    </row>
    <row r="2011" spans="12:29" x14ac:dyDescent="0.3">
      <c r="L2011" s="36"/>
      <c r="R2011" s="34"/>
      <c r="AC2011" s="36"/>
    </row>
    <row r="2012" spans="12:29" x14ac:dyDescent="0.3">
      <c r="L2012" s="36"/>
      <c r="R2012" s="34"/>
      <c r="AC2012" s="36"/>
    </row>
    <row r="2013" spans="12:29" x14ac:dyDescent="0.3">
      <c r="L2013" s="36"/>
      <c r="R2013" s="34"/>
      <c r="AC2013" s="36"/>
    </row>
    <row r="2014" spans="12:29" x14ac:dyDescent="0.3">
      <c r="L2014" s="36"/>
      <c r="R2014" s="34"/>
      <c r="AC2014" s="36"/>
    </row>
    <row r="2015" spans="12:29" x14ac:dyDescent="0.3">
      <c r="L2015" s="36"/>
      <c r="R2015" s="34"/>
      <c r="AC2015" s="36"/>
    </row>
    <row r="2016" spans="12:29" x14ac:dyDescent="0.3">
      <c r="L2016" s="36"/>
      <c r="R2016" s="34"/>
      <c r="AC2016" s="36"/>
    </row>
    <row r="2017" spans="12:29" x14ac:dyDescent="0.3">
      <c r="L2017" s="36"/>
      <c r="R2017" s="34"/>
      <c r="AC2017" s="36"/>
    </row>
    <row r="2018" spans="12:29" x14ac:dyDescent="0.3">
      <c r="L2018" s="36"/>
      <c r="R2018" s="34"/>
      <c r="AC2018" s="36"/>
    </row>
    <row r="2019" spans="12:29" x14ac:dyDescent="0.3">
      <c r="L2019" s="36"/>
      <c r="R2019" s="34"/>
      <c r="AC2019" s="36"/>
    </row>
    <row r="2020" spans="12:29" x14ac:dyDescent="0.3">
      <c r="L2020" s="36"/>
      <c r="R2020" s="34"/>
      <c r="AC2020" s="36"/>
    </row>
    <row r="2021" spans="12:29" x14ac:dyDescent="0.3">
      <c r="L2021" s="36"/>
      <c r="R2021" s="34"/>
      <c r="AC2021" s="36"/>
    </row>
    <row r="2022" spans="12:29" x14ac:dyDescent="0.3">
      <c r="L2022" s="36"/>
      <c r="R2022" s="34"/>
      <c r="AC2022" s="36"/>
    </row>
    <row r="2023" spans="12:29" x14ac:dyDescent="0.3">
      <c r="L2023" s="36"/>
      <c r="R2023" s="34"/>
      <c r="AC2023" s="36"/>
    </row>
    <row r="2024" spans="12:29" x14ac:dyDescent="0.3">
      <c r="L2024" s="36"/>
      <c r="R2024" s="34"/>
      <c r="AC2024" s="36"/>
    </row>
    <row r="2025" spans="12:29" x14ac:dyDescent="0.3">
      <c r="L2025" s="36"/>
      <c r="R2025" s="34"/>
      <c r="AC2025" s="36"/>
    </row>
    <row r="2026" spans="12:29" x14ac:dyDescent="0.3">
      <c r="L2026" s="36"/>
      <c r="R2026" s="34"/>
      <c r="AC2026" s="36"/>
    </row>
    <row r="2027" spans="12:29" x14ac:dyDescent="0.3">
      <c r="L2027" s="36"/>
      <c r="R2027" s="34"/>
      <c r="AC2027" s="36"/>
    </row>
    <row r="2028" spans="12:29" x14ac:dyDescent="0.3">
      <c r="L2028" s="36"/>
      <c r="R2028" s="34"/>
      <c r="AC2028" s="36"/>
    </row>
    <row r="2029" spans="12:29" x14ac:dyDescent="0.3">
      <c r="L2029" s="36"/>
      <c r="R2029" s="34"/>
      <c r="AC2029" s="36"/>
    </row>
    <row r="2030" spans="12:29" x14ac:dyDescent="0.3">
      <c r="L2030" s="36"/>
      <c r="R2030" s="34"/>
      <c r="AC2030" s="36"/>
    </row>
    <row r="2031" spans="12:29" x14ac:dyDescent="0.3">
      <c r="L2031" s="36"/>
      <c r="R2031" s="34"/>
      <c r="AC2031" s="36"/>
    </row>
    <row r="2032" spans="12:29" x14ac:dyDescent="0.3">
      <c r="L2032" s="36"/>
      <c r="R2032" s="34"/>
      <c r="AC2032" s="36"/>
    </row>
    <row r="2033" spans="12:29" x14ac:dyDescent="0.3">
      <c r="L2033" s="36"/>
      <c r="R2033" s="34"/>
      <c r="AC2033" s="36"/>
    </row>
    <row r="2034" spans="12:29" x14ac:dyDescent="0.3">
      <c r="L2034" s="36"/>
      <c r="R2034" s="34"/>
      <c r="AC2034" s="36"/>
    </row>
    <row r="2035" spans="12:29" x14ac:dyDescent="0.3">
      <c r="L2035" s="36"/>
      <c r="R2035" s="34"/>
      <c r="AC2035" s="36"/>
    </row>
    <row r="2036" spans="12:29" x14ac:dyDescent="0.3">
      <c r="L2036" s="36"/>
      <c r="R2036" s="34"/>
      <c r="AC2036" s="36"/>
    </row>
    <row r="2037" spans="12:29" x14ac:dyDescent="0.3">
      <c r="L2037" s="36"/>
      <c r="R2037" s="34"/>
      <c r="AC2037" s="36"/>
    </row>
    <row r="2038" spans="12:29" x14ac:dyDescent="0.3">
      <c r="L2038" s="36"/>
      <c r="R2038" s="34"/>
      <c r="AC2038" s="36"/>
    </row>
    <row r="2039" spans="12:29" x14ac:dyDescent="0.3">
      <c r="L2039" s="36"/>
      <c r="R2039" s="34"/>
      <c r="AC2039" s="36"/>
    </row>
    <row r="2040" spans="12:29" x14ac:dyDescent="0.3">
      <c r="L2040" s="36"/>
      <c r="R2040" s="34"/>
      <c r="AC2040" s="36"/>
    </row>
    <row r="2041" spans="12:29" x14ac:dyDescent="0.3">
      <c r="L2041" s="36"/>
      <c r="R2041" s="34"/>
      <c r="AC2041" s="36"/>
    </row>
    <row r="2042" spans="12:29" x14ac:dyDescent="0.3">
      <c r="L2042" s="36"/>
      <c r="R2042" s="34"/>
      <c r="AC2042" s="36"/>
    </row>
    <row r="2043" spans="12:29" x14ac:dyDescent="0.3">
      <c r="L2043" s="36"/>
      <c r="R2043" s="34"/>
      <c r="AC2043" s="36"/>
    </row>
    <row r="2044" spans="12:29" x14ac:dyDescent="0.3">
      <c r="L2044" s="36"/>
      <c r="R2044" s="34"/>
      <c r="AC2044" s="36"/>
    </row>
    <row r="2045" spans="12:29" x14ac:dyDescent="0.3">
      <c r="L2045" s="36"/>
      <c r="R2045" s="34"/>
      <c r="AC2045" s="36"/>
    </row>
    <row r="2046" spans="12:29" x14ac:dyDescent="0.3">
      <c r="L2046" s="36"/>
      <c r="R2046" s="34"/>
      <c r="AC2046" s="36"/>
    </row>
    <row r="2047" spans="12:29" x14ac:dyDescent="0.3">
      <c r="L2047" s="36"/>
      <c r="R2047" s="34"/>
      <c r="AC2047" s="36"/>
    </row>
    <row r="2048" spans="12:29" x14ac:dyDescent="0.3">
      <c r="L2048" s="36"/>
      <c r="R2048" s="34"/>
      <c r="AC2048" s="36"/>
    </row>
    <row r="2049" spans="12:29" x14ac:dyDescent="0.3">
      <c r="L2049" s="36"/>
      <c r="R2049" s="34"/>
      <c r="AC2049" s="36"/>
    </row>
    <row r="2050" spans="12:29" x14ac:dyDescent="0.3">
      <c r="L2050" s="36"/>
      <c r="R2050" s="34"/>
      <c r="AC2050" s="36"/>
    </row>
    <row r="2051" spans="12:29" x14ac:dyDescent="0.3">
      <c r="L2051" s="36"/>
      <c r="R2051" s="34"/>
      <c r="AC2051" s="36"/>
    </row>
    <row r="2052" spans="12:29" x14ac:dyDescent="0.3">
      <c r="L2052" s="36"/>
      <c r="R2052" s="34"/>
      <c r="AC2052" s="36"/>
    </row>
    <row r="2053" spans="12:29" x14ac:dyDescent="0.3">
      <c r="L2053" s="36"/>
      <c r="R2053" s="34"/>
      <c r="AC2053" s="36"/>
    </row>
    <row r="2054" spans="12:29" x14ac:dyDescent="0.3">
      <c r="L2054" s="36"/>
      <c r="R2054" s="34"/>
      <c r="AC2054" s="36"/>
    </row>
    <row r="2055" spans="12:29" x14ac:dyDescent="0.3">
      <c r="L2055" s="36"/>
      <c r="R2055" s="34"/>
      <c r="AC2055" s="36"/>
    </row>
    <row r="2056" spans="12:29" x14ac:dyDescent="0.3">
      <c r="L2056" s="36"/>
      <c r="R2056" s="34"/>
      <c r="AC2056" s="36"/>
    </row>
    <row r="2057" spans="12:29" x14ac:dyDescent="0.3">
      <c r="L2057" s="36"/>
      <c r="R2057" s="34"/>
      <c r="AC2057" s="36"/>
    </row>
    <row r="2058" spans="12:29" x14ac:dyDescent="0.3">
      <c r="L2058" s="36"/>
      <c r="R2058" s="34"/>
      <c r="AC2058" s="36"/>
    </row>
    <row r="2059" spans="12:29" x14ac:dyDescent="0.3">
      <c r="L2059" s="36"/>
      <c r="R2059" s="34"/>
      <c r="AC2059" s="36"/>
    </row>
    <row r="2060" spans="12:29" x14ac:dyDescent="0.3">
      <c r="L2060" s="36"/>
      <c r="R2060" s="34"/>
      <c r="AC2060" s="36"/>
    </row>
    <row r="2061" spans="12:29" x14ac:dyDescent="0.3">
      <c r="L2061" s="36"/>
      <c r="R2061" s="34"/>
      <c r="AC2061" s="36"/>
    </row>
    <row r="2062" spans="12:29" x14ac:dyDescent="0.3">
      <c r="L2062" s="36"/>
      <c r="R2062" s="34"/>
      <c r="AC2062" s="36"/>
    </row>
    <row r="2063" spans="12:29" x14ac:dyDescent="0.3">
      <c r="L2063" s="36"/>
      <c r="R2063" s="34"/>
      <c r="AC2063" s="36"/>
    </row>
    <row r="2064" spans="12:29" x14ac:dyDescent="0.3">
      <c r="L2064" s="36"/>
      <c r="R2064" s="34"/>
      <c r="AC2064" s="36"/>
    </row>
    <row r="2065" spans="12:29" x14ac:dyDescent="0.3">
      <c r="L2065" s="36"/>
      <c r="R2065" s="34"/>
      <c r="AC2065" s="36"/>
    </row>
    <row r="2066" spans="12:29" x14ac:dyDescent="0.3">
      <c r="L2066" s="36"/>
      <c r="R2066" s="34"/>
      <c r="AC2066" s="36"/>
    </row>
    <row r="2067" spans="12:29" x14ac:dyDescent="0.3">
      <c r="L2067" s="36"/>
      <c r="R2067" s="34"/>
      <c r="AC2067" s="36"/>
    </row>
    <row r="2068" spans="12:29" x14ac:dyDescent="0.3">
      <c r="L2068" s="36"/>
      <c r="R2068" s="34"/>
      <c r="AC2068" s="36"/>
    </row>
    <row r="2069" spans="12:29" x14ac:dyDescent="0.3">
      <c r="L2069" s="36"/>
      <c r="R2069" s="34"/>
      <c r="AC2069" s="36"/>
    </row>
    <row r="2070" spans="12:29" x14ac:dyDescent="0.3">
      <c r="L2070" s="36"/>
      <c r="R2070" s="34"/>
      <c r="AC2070" s="36"/>
    </row>
    <row r="2071" spans="12:29" x14ac:dyDescent="0.3">
      <c r="L2071" s="36"/>
      <c r="R2071" s="34"/>
      <c r="AC2071" s="36"/>
    </row>
    <row r="2072" spans="12:29" x14ac:dyDescent="0.3">
      <c r="L2072" s="36"/>
      <c r="R2072" s="34"/>
      <c r="AC2072" s="36"/>
    </row>
    <row r="2073" spans="12:29" x14ac:dyDescent="0.3">
      <c r="L2073" s="36"/>
      <c r="R2073" s="34"/>
      <c r="AC2073" s="36"/>
    </row>
    <row r="2074" spans="12:29" x14ac:dyDescent="0.3">
      <c r="L2074" s="36"/>
      <c r="R2074" s="34"/>
      <c r="AC2074" s="36"/>
    </row>
    <row r="2075" spans="12:29" x14ac:dyDescent="0.3">
      <c r="L2075" s="36"/>
      <c r="R2075" s="34"/>
      <c r="AC2075" s="36"/>
    </row>
    <row r="2076" spans="12:29" x14ac:dyDescent="0.3">
      <c r="L2076" s="36"/>
      <c r="R2076" s="34"/>
      <c r="AC2076" s="36"/>
    </row>
    <row r="2077" spans="12:29" x14ac:dyDescent="0.3">
      <c r="L2077" s="36"/>
      <c r="R2077" s="34"/>
      <c r="AC2077" s="36"/>
    </row>
    <row r="2078" spans="12:29" x14ac:dyDescent="0.3">
      <c r="L2078" s="36"/>
      <c r="R2078" s="34"/>
      <c r="AC2078" s="36"/>
    </row>
    <row r="2079" spans="12:29" x14ac:dyDescent="0.3">
      <c r="L2079" s="36"/>
      <c r="R2079" s="34"/>
      <c r="AC2079" s="36"/>
    </row>
    <row r="2080" spans="12:29" x14ac:dyDescent="0.3">
      <c r="L2080" s="36"/>
      <c r="R2080" s="34"/>
      <c r="AC2080" s="36"/>
    </row>
    <row r="2081" spans="12:29" x14ac:dyDescent="0.3">
      <c r="L2081" s="36"/>
      <c r="R2081" s="34"/>
      <c r="AC2081" s="36"/>
    </row>
    <row r="2082" spans="12:29" x14ac:dyDescent="0.3">
      <c r="L2082" s="36"/>
      <c r="R2082" s="34"/>
      <c r="AC2082" s="36"/>
    </row>
    <row r="2083" spans="12:29" x14ac:dyDescent="0.3">
      <c r="L2083" s="36"/>
      <c r="R2083" s="34"/>
      <c r="AC2083" s="36"/>
    </row>
    <row r="2084" spans="12:29" x14ac:dyDescent="0.3">
      <c r="L2084" s="36"/>
      <c r="R2084" s="34"/>
      <c r="AC2084" s="36"/>
    </row>
    <row r="2085" spans="12:29" x14ac:dyDescent="0.3">
      <c r="L2085" s="36"/>
      <c r="R2085" s="34"/>
      <c r="AC2085" s="36"/>
    </row>
    <row r="2086" spans="12:29" x14ac:dyDescent="0.3">
      <c r="L2086" s="36"/>
      <c r="R2086" s="34"/>
      <c r="AC2086" s="36"/>
    </row>
    <row r="2087" spans="12:29" x14ac:dyDescent="0.3">
      <c r="L2087" s="36"/>
      <c r="R2087" s="34"/>
      <c r="AC2087" s="36"/>
    </row>
    <row r="2088" spans="12:29" x14ac:dyDescent="0.3">
      <c r="L2088" s="36"/>
      <c r="R2088" s="34"/>
      <c r="AC2088" s="36"/>
    </row>
    <row r="2089" spans="12:29" x14ac:dyDescent="0.3">
      <c r="L2089" s="36"/>
      <c r="R2089" s="34"/>
      <c r="AC2089" s="36"/>
    </row>
    <row r="2090" spans="12:29" x14ac:dyDescent="0.3">
      <c r="L2090" s="36"/>
      <c r="R2090" s="34"/>
      <c r="AC2090" s="36"/>
    </row>
    <row r="2091" spans="12:29" x14ac:dyDescent="0.3">
      <c r="L2091" s="36"/>
      <c r="R2091" s="34"/>
      <c r="AC2091" s="36"/>
    </row>
    <row r="2092" spans="12:29" x14ac:dyDescent="0.3">
      <c r="L2092" s="36"/>
      <c r="R2092" s="34"/>
      <c r="AC2092" s="36"/>
    </row>
    <row r="2093" spans="12:29" x14ac:dyDescent="0.3">
      <c r="L2093" s="36"/>
      <c r="R2093" s="34"/>
      <c r="AC2093" s="36"/>
    </row>
    <row r="2094" spans="12:29" x14ac:dyDescent="0.3">
      <c r="L2094" s="36"/>
      <c r="R2094" s="34"/>
      <c r="AC2094" s="36"/>
    </row>
    <row r="2095" spans="12:29" x14ac:dyDescent="0.3">
      <c r="L2095" s="36"/>
      <c r="R2095" s="34"/>
      <c r="AC2095" s="36"/>
    </row>
    <row r="2096" spans="12:29" x14ac:dyDescent="0.3">
      <c r="L2096" s="36"/>
      <c r="R2096" s="34"/>
      <c r="AC2096" s="36"/>
    </row>
    <row r="2097" spans="12:29" x14ac:dyDescent="0.3">
      <c r="L2097" s="36"/>
      <c r="R2097" s="34"/>
      <c r="AC2097" s="36"/>
    </row>
    <row r="2098" spans="12:29" x14ac:dyDescent="0.3">
      <c r="L2098" s="36"/>
      <c r="R2098" s="34"/>
      <c r="AC2098" s="36"/>
    </row>
    <row r="2099" spans="12:29" x14ac:dyDescent="0.3">
      <c r="L2099" s="36"/>
      <c r="R2099" s="34"/>
      <c r="AC2099" s="36"/>
    </row>
    <row r="2100" spans="12:29" x14ac:dyDescent="0.3">
      <c r="L2100" s="36"/>
      <c r="R2100" s="34"/>
      <c r="AC2100" s="36"/>
    </row>
    <row r="2101" spans="12:29" x14ac:dyDescent="0.3">
      <c r="L2101" s="36"/>
      <c r="R2101" s="34"/>
      <c r="AC2101" s="36"/>
    </row>
    <row r="2102" spans="12:29" x14ac:dyDescent="0.3">
      <c r="L2102" s="36"/>
      <c r="R2102" s="34"/>
      <c r="AC2102" s="36"/>
    </row>
    <row r="2103" spans="12:29" x14ac:dyDescent="0.3">
      <c r="L2103" s="36"/>
      <c r="R2103" s="34"/>
      <c r="AC2103" s="36"/>
    </row>
    <row r="2104" spans="12:29" x14ac:dyDescent="0.3">
      <c r="L2104" s="36"/>
      <c r="R2104" s="34"/>
      <c r="AC2104" s="36"/>
    </row>
    <row r="2105" spans="12:29" x14ac:dyDescent="0.3">
      <c r="L2105" s="36"/>
      <c r="R2105" s="34"/>
      <c r="AC2105" s="36"/>
    </row>
    <row r="2106" spans="12:29" x14ac:dyDescent="0.3">
      <c r="L2106" s="36"/>
      <c r="R2106" s="34"/>
      <c r="AC2106" s="36"/>
    </row>
    <row r="2107" spans="12:29" x14ac:dyDescent="0.3">
      <c r="L2107" s="36"/>
      <c r="R2107" s="34"/>
      <c r="AC2107" s="36"/>
    </row>
    <row r="2108" spans="12:29" x14ac:dyDescent="0.3">
      <c r="L2108" s="36"/>
      <c r="R2108" s="34"/>
      <c r="AC2108" s="36"/>
    </row>
    <row r="2109" spans="12:29" x14ac:dyDescent="0.3">
      <c r="L2109" s="36"/>
      <c r="R2109" s="34"/>
      <c r="AC2109" s="36"/>
    </row>
    <row r="2110" spans="12:29" x14ac:dyDescent="0.3">
      <c r="L2110" s="36"/>
      <c r="R2110" s="34"/>
      <c r="AC2110" s="36"/>
    </row>
    <row r="2111" spans="12:29" x14ac:dyDescent="0.3">
      <c r="L2111" s="36"/>
      <c r="R2111" s="34"/>
      <c r="AC2111" s="36"/>
    </row>
    <row r="2112" spans="12:29" x14ac:dyDescent="0.3">
      <c r="L2112" s="36"/>
      <c r="R2112" s="34"/>
      <c r="AC2112" s="36"/>
    </row>
    <row r="2113" spans="12:29" x14ac:dyDescent="0.3">
      <c r="L2113" s="36"/>
      <c r="R2113" s="34"/>
      <c r="AC2113" s="36"/>
    </row>
    <row r="2114" spans="12:29" x14ac:dyDescent="0.3">
      <c r="L2114" s="36"/>
      <c r="R2114" s="34"/>
      <c r="AC2114" s="36"/>
    </row>
    <row r="2115" spans="12:29" x14ac:dyDescent="0.3">
      <c r="L2115" s="36"/>
      <c r="R2115" s="34"/>
      <c r="AC2115" s="36"/>
    </row>
    <row r="2116" spans="12:29" x14ac:dyDescent="0.3">
      <c r="L2116" s="36"/>
      <c r="R2116" s="34"/>
      <c r="AC2116" s="36"/>
    </row>
    <row r="2117" spans="12:29" x14ac:dyDescent="0.3">
      <c r="L2117" s="36"/>
      <c r="R2117" s="34"/>
      <c r="AC2117" s="36"/>
    </row>
    <row r="2118" spans="12:29" x14ac:dyDescent="0.3">
      <c r="L2118" s="36"/>
      <c r="R2118" s="34"/>
      <c r="AC2118" s="36"/>
    </row>
    <row r="2119" spans="12:29" x14ac:dyDescent="0.3">
      <c r="L2119" s="36"/>
      <c r="R2119" s="34"/>
      <c r="AC2119" s="36"/>
    </row>
    <row r="2120" spans="12:29" x14ac:dyDescent="0.3">
      <c r="L2120" s="36"/>
      <c r="R2120" s="34"/>
      <c r="AC2120" s="36"/>
    </row>
    <row r="2121" spans="12:29" x14ac:dyDescent="0.3">
      <c r="L2121" s="36"/>
      <c r="R2121" s="34"/>
      <c r="AC2121" s="36"/>
    </row>
    <row r="2122" spans="12:29" x14ac:dyDescent="0.3">
      <c r="L2122" s="36"/>
      <c r="R2122" s="34"/>
      <c r="AC2122" s="36"/>
    </row>
    <row r="2123" spans="12:29" x14ac:dyDescent="0.3">
      <c r="L2123" s="36"/>
      <c r="R2123" s="34"/>
      <c r="AC2123" s="36"/>
    </row>
    <row r="2124" spans="12:29" x14ac:dyDescent="0.3">
      <c r="L2124" s="36"/>
      <c r="R2124" s="34"/>
      <c r="AC2124" s="36"/>
    </row>
    <row r="2125" spans="12:29" x14ac:dyDescent="0.3">
      <c r="L2125" s="36"/>
      <c r="R2125" s="34"/>
      <c r="AC2125" s="36"/>
    </row>
    <row r="2126" spans="12:29" x14ac:dyDescent="0.3">
      <c r="L2126" s="36"/>
      <c r="R2126" s="34"/>
      <c r="AC2126" s="36"/>
    </row>
    <row r="2127" spans="12:29" x14ac:dyDescent="0.3">
      <c r="L2127" s="36"/>
      <c r="R2127" s="34"/>
      <c r="AC2127" s="36"/>
    </row>
    <row r="2128" spans="12:29" x14ac:dyDescent="0.3">
      <c r="L2128" s="36"/>
      <c r="R2128" s="34"/>
      <c r="AC2128" s="36"/>
    </row>
    <row r="2129" spans="12:29" x14ac:dyDescent="0.3">
      <c r="L2129" s="36"/>
      <c r="R2129" s="34"/>
      <c r="AC2129" s="36"/>
    </row>
    <row r="2130" spans="12:29" x14ac:dyDescent="0.3">
      <c r="L2130" s="36"/>
      <c r="R2130" s="34"/>
      <c r="AC2130" s="36"/>
    </row>
    <row r="2131" spans="12:29" x14ac:dyDescent="0.3">
      <c r="L2131" s="36"/>
      <c r="R2131" s="34"/>
      <c r="AC2131" s="36"/>
    </row>
    <row r="2132" spans="12:29" x14ac:dyDescent="0.3">
      <c r="L2132" s="36"/>
      <c r="R2132" s="34"/>
      <c r="AC2132" s="36"/>
    </row>
    <row r="2133" spans="12:29" x14ac:dyDescent="0.3">
      <c r="L2133" s="36"/>
      <c r="R2133" s="34"/>
      <c r="AC2133" s="36"/>
    </row>
    <row r="2134" spans="12:29" x14ac:dyDescent="0.3">
      <c r="L2134" s="36"/>
      <c r="R2134" s="34"/>
      <c r="AC2134" s="36"/>
    </row>
    <row r="2135" spans="12:29" x14ac:dyDescent="0.3">
      <c r="L2135" s="36"/>
      <c r="R2135" s="34"/>
      <c r="AC2135" s="36"/>
    </row>
    <row r="2136" spans="12:29" x14ac:dyDescent="0.3">
      <c r="L2136" s="36"/>
      <c r="R2136" s="34"/>
      <c r="AC2136" s="36"/>
    </row>
    <row r="2137" spans="12:29" x14ac:dyDescent="0.3">
      <c r="L2137" s="36"/>
      <c r="R2137" s="34"/>
      <c r="AC2137" s="36"/>
    </row>
    <row r="2138" spans="12:29" x14ac:dyDescent="0.3">
      <c r="L2138" s="36"/>
      <c r="R2138" s="34"/>
      <c r="AC2138" s="36"/>
    </row>
    <row r="2139" spans="12:29" x14ac:dyDescent="0.3">
      <c r="L2139" s="36"/>
      <c r="R2139" s="34"/>
      <c r="AC2139" s="36"/>
    </row>
    <row r="2140" spans="12:29" x14ac:dyDescent="0.3">
      <c r="L2140" s="36"/>
      <c r="R2140" s="34"/>
      <c r="AC2140" s="36"/>
    </row>
    <row r="2141" spans="12:29" x14ac:dyDescent="0.3">
      <c r="L2141" s="36"/>
      <c r="R2141" s="34"/>
      <c r="AC2141" s="36"/>
    </row>
    <row r="2142" spans="12:29" x14ac:dyDescent="0.3">
      <c r="L2142" s="36"/>
      <c r="R2142" s="34"/>
      <c r="AC2142" s="36"/>
    </row>
    <row r="2143" spans="12:29" x14ac:dyDescent="0.3">
      <c r="L2143" s="36"/>
      <c r="R2143" s="34"/>
      <c r="AC2143" s="36"/>
    </row>
    <row r="2144" spans="12:29" x14ac:dyDescent="0.3">
      <c r="L2144" s="36"/>
      <c r="R2144" s="34"/>
      <c r="AC2144" s="36"/>
    </row>
    <row r="2145" spans="12:29" x14ac:dyDescent="0.3">
      <c r="L2145" s="36"/>
      <c r="R2145" s="34"/>
      <c r="AC2145" s="36"/>
    </row>
    <row r="2146" spans="12:29" x14ac:dyDescent="0.3">
      <c r="L2146" s="36"/>
      <c r="R2146" s="34"/>
      <c r="AC2146" s="36"/>
    </row>
    <row r="2147" spans="12:29" x14ac:dyDescent="0.3">
      <c r="L2147" s="36"/>
      <c r="R2147" s="34"/>
      <c r="AC2147" s="36"/>
    </row>
    <row r="2148" spans="12:29" x14ac:dyDescent="0.3">
      <c r="L2148" s="36"/>
      <c r="R2148" s="34"/>
      <c r="AC2148" s="36"/>
    </row>
    <row r="2149" spans="12:29" x14ac:dyDescent="0.3">
      <c r="L2149" s="36"/>
      <c r="R2149" s="34"/>
      <c r="AC2149" s="36"/>
    </row>
    <row r="2150" spans="12:29" x14ac:dyDescent="0.3">
      <c r="L2150" s="36"/>
      <c r="R2150" s="34"/>
      <c r="AC2150" s="36"/>
    </row>
    <row r="2151" spans="12:29" x14ac:dyDescent="0.3">
      <c r="L2151" s="36"/>
      <c r="R2151" s="34"/>
      <c r="AC2151" s="36"/>
    </row>
    <row r="2152" spans="12:29" x14ac:dyDescent="0.3">
      <c r="L2152" s="36"/>
      <c r="R2152" s="34"/>
      <c r="AC2152" s="36"/>
    </row>
    <row r="2153" spans="12:29" x14ac:dyDescent="0.3">
      <c r="L2153" s="36"/>
      <c r="R2153" s="34"/>
      <c r="AC2153" s="36"/>
    </row>
    <row r="2154" spans="12:29" x14ac:dyDescent="0.3">
      <c r="L2154" s="36"/>
      <c r="R2154" s="34"/>
      <c r="AC2154" s="36"/>
    </row>
    <row r="2155" spans="12:29" x14ac:dyDescent="0.3">
      <c r="L2155" s="36"/>
      <c r="R2155" s="34"/>
      <c r="AC2155" s="36"/>
    </row>
    <row r="2156" spans="12:29" x14ac:dyDescent="0.3">
      <c r="L2156" s="36"/>
      <c r="R2156" s="34"/>
      <c r="AC2156" s="36"/>
    </row>
    <row r="2157" spans="12:29" x14ac:dyDescent="0.3">
      <c r="L2157" s="36"/>
      <c r="R2157" s="34"/>
      <c r="AC2157" s="36"/>
    </row>
    <row r="2158" spans="12:29" x14ac:dyDescent="0.3">
      <c r="L2158" s="36"/>
      <c r="R2158" s="34"/>
      <c r="AC2158" s="36"/>
    </row>
    <row r="2159" spans="12:29" x14ac:dyDescent="0.3">
      <c r="L2159" s="36"/>
      <c r="R2159" s="34"/>
      <c r="AC2159" s="36"/>
    </row>
    <row r="2160" spans="12:29" x14ac:dyDescent="0.3">
      <c r="L2160" s="36"/>
      <c r="R2160" s="34"/>
      <c r="AC2160" s="36"/>
    </row>
    <row r="2161" spans="12:29" x14ac:dyDescent="0.3">
      <c r="L2161" s="36"/>
      <c r="R2161" s="34"/>
      <c r="AC2161" s="36"/>
    </row>
    <row r="2162" spans="12:29" x14ac:dyDescent="0.3">
      <c r="L2162" s="36"/>
      <c r="R2162" s="34"/>
      <c r="AC2162" s="36"/>
    </row>
    <row r="2163" spans="12:29" x14ac:dyDescent="0.3">
      <c r="L2163" s="36"/>
      <c r="R2163" s="34"/>
      <c r="AC2163" s="36"/>
    </row>
    <row r="2164" spans="12:29" x14ac:dyDescent="0.3">
      <c r="L2164" s="36"/>
      <c r="R2164" s="34"/>
      <c r="AC2164" s="36"/>
    </row>
    <row r="2165" spans="12:29" x14ac:dyDescent="0.3">
      <c r="L2165" s="36"/>
      <c r="R2165" s="34"/>
      <c r="AC2165" s="36"/>
    </row>
    <row r="2166" spans="12:29" x14ac:dyDescent="0.3">
      <c r="L2166" s="36"/>
      <c r="R2166" s="34"/>
      <c r="AC2166" s="36"/>
    </row>
    <row r="2167" spans="12:29" x14ac:dyDescent="0.3">
      <c r="L2167" s="36"/>
      <c r="R2167" s="34"/>
      <c r="AC2167" s="36"/>
    </row>
    <row r="2168" spans="12:29" x14ac:dyDescent="0.3">
      <c r="L2168" s="36"/>
      <c r="R2168" s="34"/>
      <c r="AC2168" s="36"/>
    </row>
    <row r="2169" spans="12:29" x14ac:dyDescent="0.3">
      <c r="L2169" s="36"/>
      <c r="R2169" s="34"/>
      <c r="AC2169" s="36"/>
    </row>
    <row r="2170" spans="12:29" x14ac:dyDescent="0.3">
      <c r="L2170" s="36"/>
      <c r="R2170" s="34"/>
      <c r="AC2170" s="36"/>
    </row>
    <row r="2171" spans="12:29" x14ac:dyDescent="0.3">
      <c r="L2171" s="36"/>
      <c r="R2171" s="34"/>
      <c r="AC2171" s="36"/>
    </row>
    <row r="2172" spans="12:29" x14ac:dyDescent="0.3">
      <c r="L2172" s="36"/>
      <c r="R2172" s="34"/>
      <c r="AC2172" s="36"/>
    </row>
    <row r="2173" spans="12:29" x14ac:dyDescent="0.3">
      <c r="L2173" s="36"/>
      <c r="R2173" s="34"/>
      <c r="AC2173" s="36"/>
    </row>
    <row r="2174" spans="12:29" x14ac:dyDescent="0.3">
      <c r="L2174" s="36"/>
      <c r="R2174" s="34"/>
      <c r="AC2174" s="36"/>
    </row>
    <row r="2175" spans="12:29" x14ac:dyDescent="0.3">
      <c r="L2175" s="36"/>
      <c r="R2175" s="34"/>
      <c r="AC2175" s="36"/>
    </row>
    <row r="2176" spans="12:29" x14ac:dyDescent="0.3">
      <c r="L2176" s="36"/>
      <c r="R2176" s="34"/>
      <c r="AC2176" s="36"/>
    </row>
    <row r="2177" spans="12:29" x14ac:dyDescent="0.3">
      <c r="L2177" s="36"/>
      <c r="R2177" s="34"/>
      <c r="AC2177" s="36"/>
    </row>
    <row r="2178" spans="12:29" x14ac:dyDescent="0.3">
      <c r="L2178" s="36"/>
      <c r="R2178" s="34"/>
      <c r="AC2178" s="36"/>
    </row>
    <row r="2179" spans="12:29" x14ac:dyDescent="0.3">
      <c r="L2179" s="36"/>
      <c r="R2179" s="34"/>
      <c r="AC2179" s="36"/>
    </row>
    <row r="2180" spans="12:29" x14ac:dyDescent="0.3">
      <c r="L2180" s="36"/>
      <c r="R2180" s="34"/>
      <c r="AC2180" s="36"/>
    </row>
    <row r="2181" spans="12:29" x14ac:dyDescent="0.3">
      <c r="L2181" s="36"/>
      <c r="R2181" s="34"/>
      <c r="AC2181" s="36"/>
    </row>
    <row r="2182" spans="12:29" x14ac:dyDescent="0.3">
      <c r="L2182" s="36"/>
      <c r="R2182" s="34"/>
      <c r="AC2182" s="36"/>
    </row>
    <row r="2183" spans="12:29" x14ac:dyDescent="0.3">
      <c r="L2183" s="36"/>
      <c r="R2183" s="34"/>
      <c r="AC2183" s="36"/>
    </row>
    <row r="2184" spans="12:29" x14ac:dyDescent="0.3">
      <c r="L2184" s="36"/>
      <c r="R2184" s="34"/>
      <c r="AC2184" s="36"/>
    </row>
    <row r="2185" spans="12:29" x14ac:dyDescent="0.3">
      <c r="L2185" s="36"/>
      <c r="R2185" s="34"/>
      <c r="AC2185" s="36"/>
    </row>
    <row r="2186" spans="12:29" x14ac:dyDescent="0.3">
      <c r="L2186" s="36"/>
      <c r="R2186" s="34"/>
      <c r="AC2186" s="36"/>
    </row>
    <row r="2187" spans="12:29" x14ac:dyDescent="0.3">
      <c r="L2187" s="36"/>
      <c r="R2187" s="34"/>
      <c r="AC2187" s="36"/>
    </row>
    <row r="2188" spans="12:29" x14ac:dyDescent="0.3">
      <c r="L2188" s="36"/>
      <c r="R2188" s="34"/>
      <c r="AC2188" s="36"/>
    </row>
    <row r="2189" spans="12:29" x14ac:dyDescent="0.3">
      <c r="L2189" s="36"/>
      <c r="R2189" s="34"/>
      <c r="AC2189" s="36"/>
    </row>
    <row r="2190" spans="12:29" x14ac:dyDescent="0.3">
      <c r="L2190" s="36"/>
      <c r="R2190" s="34"/>
      <c r="AC2190" s="36"/>
    </row>
    <row r="2191" spans="12:29" x14ac:dyDescent="0.3">
      <c r="L2191" s="36"/>
      <c r="R2191" s="34"/>
      <c r="AC2191" s="36"/>
    </row>
    <row r="2192" spans="12:29" x14ac:dyDescent="0.3">
      <c r="L2192" s="36"/>
      <c r="R2192" s="34"/>
      <c r="AC2192" s="36"/>
    </row>
    <row r="2193" spans="12:29" x14ac:dyDescent="0.3">
      <c r="L2193" s="36"/>
      <c r="R2193" s="34"/>
      <c r="AC2193" s="36"/>
    </row>
    <row r="2194" spans="12:29" x14ac:dyDescent="0.3">
      <c r="L2194" s="36"/>
      <c r="R2194" s="34"/>
      <c r="AC2194" s="36"/>
    </row>
    <row r="2195" spans="12:29" x14ac:dyDescent="0.3">
      <c r="L2195" s="36"/>
      <c r="R2195" s="34"/>
      <c r="AC2195" s="36"/>
    </row>
    <row r="2196" spans="12:29" x14ac:dyDescent="0.3">
      <c r="L2196" s="36"/>
      <c r="R2196" s="34"/>
      <c r="AC2196" s="36"/>
    </row>
    <row r="2197" spans="12:29" x14ac:dyDescent="0.3">
      <c r="L2197" s="36"/>
      <c r="R2197" s="34"/>
      <c r="AC2197" s="36"/>
    </row>
    <row r="2198" spans="12:29" x14ac:dyDescent="0.3">
      <c r="L2198" s="36"/>
      <c r="R2198" s="34"/>
      <c r="AC2198" s="36"/>
    </row>
    <row r="2199" spans="12:29" x14ac:dyDescent="0.3">
      <c r="L2199" s="36"/>
      <c r="R2199" s="34"/>
      <c r="AC2199" s="36"/>
    </row>
    <row r="2200" spans="12:29" x14ac:dyDescent="0.3">
      <c r="L2200" s="36"/>
      <c r="R2200" s="34"/>
      <c r="AC2200" s="36"/>
    </row>
    <row r="2201" spans="12:29" x14ac:dyDescent="0.3">
      <c r="L2201" s="36"/>
      <c r="R2201" s="34"/>
      <c r="AC2201" s="36"/>
    </row>
    <row r="2202" spans="12:29" x14ac:dyDescent="0.3">
      <c r="L2202" s="36"/>
      <c r="R2202" s="34"/>
      <c r="AC2202" s="36"/>
    </row>
    <row r="2203" spans="12:29" x14ac:dyDescent="0.3">
      <c r="L2203" s="36"/>
      <c r="R2203" s="34"/>
      <c r="AC2203" s="36"/>
    </row>
    <row r="2204" spans="12:29" x14ac:dyDescent="0.3">
      <c r="L2204" s="36"/>
      <c r="R2204" s="34"/>
      <c r="AC2204" s="36"/>
    </row>
    <row r="2205" spans="12:29" x14ac:dyDescent="0.3">
      <c r="L2205" s="36"/>
      <c r="R2205" s="34"/>
      <c r="AC2205" s="36"/>
    </row>
    <row r="2206" spans="12:29" x14ac:dyDescent="0.3">
      <c r="L2206" s="36"/>
      <c r="R2206" s="34"/>
      <c r="AC2206" s="36"/>
    </row>
    <row r="2207" spans="12:29" x14ac:dyDescent="0.3">
      <c r="L2207" s="36"/>
      <c r="R2207" s="34"/>
      <c r="AC2207" s="36"/>
    </row>
    <row r="2208" spans="12:29" x14ac:dyDescent="0.3">
      <c r="L2208" s="36"/>
      <c r="R2208" s="34"/>
      <c r="AC2208" s="36"/>
    </row>
    <row r="2209" spans="12:29" x14ac:dyDescent="0.3">
      <c r="L2209" s="36"/>
      <c r="R2209" s="34"/>
      <c r="AC2209" s="36"/>
    </row>
    <row r="2210" spans="12:29" x14ac:dyDescent="0.3">
      <c r="L2210" s="36"/>
      <c r="R2210" s="34"/>
      <c r="AC2210" s="36"/>
    </row>
    <row r="2211" spans="12:29" x14ac:dyDescent="0.3">
      <c r="L2211" s="36"/>
      <c r="R2211" s="34"/>
      <c r="AC2211" s="36"/>
    </row>
    <row r="2212" spans="12:29" x14ac:dyDescent="0.3">
      <c r="L2212" s="36"/>
      <c r="R2212" s="34"/>
      <c r="AC2212" s="36"/>
    </row>
    <row r="2213" spans="12:29" x14ac:dyDescent="0.3">
      <c r="L2213" s="36"/>
      <c r="R2213" s="34"/>
      <c r="AC2213" s="36"/>
    </row>
    <row r="2214" spans="12:29" x14ac:dyDescent="0.3">
      <c r="L2214" s="36"/>
      <c r="R2214" s="34"/>
      <c r="AC2214" s="36"/>
    </row>
    <row r="2215" spans="12:29" x14ac:dyDescent="0.3">
      <c r="L2215" s="36"/>
      <c r="R2215" s="34"/>
      <c r="AC2215" s="36"/>
    </row>
    <row r="2216" spans="12:29" x14ac:dyDescent="0.3">
      <c r="L2216" s="36"/>
      <c r="R2216" s="34"/>
      <c r="AC2216" s="36"/>
    </row>
    <row r="2217" spans="12:29" x14ac:dyDescent="0.3">
      <c r="L2217" s="36"/>
      <c r="R2217" s="34"/>
      <c r="AC2217" s="36"/>
    </row>
    <row r="2218" spans="12:29" x14ac:dyDescent="0.3">
      <c r="L2218" s="36"/>
      <c r="R2218" s="34"/>
      <c r="AC2218" s="36"/>
    </row>
    <row r="2219" spans="12:29" x14ac:dyDescent="0.3">
      <c r="L2219" s="36"/>
      <c r="R2219" s="34"/>
      <c r="AC2219" s="36"/>
    </row>
    <row r="2220" spans="12:29" x14ac:dyDescent="0.3">
      <c r="L2220" s="36"/>
      <c r="R2220" s="34"/>
      <c r="AC2220" s="36"/>
    </row>
    <row r="2221" spans="12:29" x14ac:dyDescent="0.3">
      <c r="L2221" s="36"/>
      <c r="R2221" s="34"/>
      <c r="AC2221" s="36"/>
    </row>
    <row r="2222" spans="12:29" x14ac:dyDescent="0.3">
      <c r="L2222" s="36"/>
      <c r="R2222" s="34"/>
      <c r="AC2222" s="36"/>
    </row>
    <row r="2223" spans="12:29" x14ac:dyDescent="0.3">
      <c r="L2223" s="36"/>
      <c r="R2223" s="34"/>
      <c r="AC2223" s="36"/>
    </row>
    <row r="2224" spans="12:29" x14ac:dyDescent="0.3">
      <c r="L2224" s="36"/>
      <c r="R2224" s="34"/>
      <c r="AC2224" s="36"/>
    </row>
    <row r="2225" spans="12:29" x14ac:dyDescent="0.3">
      <c r="L2225" s="36"/>
      <c r="R2225" s="34"/>
      <c r="AC2225" s="36"/>
    </row>
    <row r="2226" spans="12:29" x14ac:dyDescent="0.3">
      <c r="L2226" s="36"/>
      <c r="R2226" s="34"/>
      <c r="AC2226" s="36"/>
    </row>
    <row r="2227" spans="12:29" x14ac:dyDescent="0.3">
      <c r="L2227" s="36"/>
      <c r="R2227" s="34"/>
      <c r="AC2227" s="36"/>
    </row>
    <row r="2228" spans="12:29" x14ac:dyDescent="0.3">
      <c r="L2228" s="36"/>
      <c r="R2228" s="34"/>
      <c r="AC2228" s="36"/>
    </row>
    <row r="2229" spans="12:29" x14ac:dyDescent="0.3">
      <c r="L2229" s="36"/>
      <c r="R2229" s="34"/>
      <c r="AC2229" s="36"/>
    </row>
    <row r="2230" spans="12:29" x14ac:dyDescent="0.3">
      <c r="L2230" s="36"/>
      <c r="R2230" s="34"/>
      <c r="AC2230" s="36"/>
    </row>
    <row r="2231" spans="12:29" x14ac:dyDescent="0.3">
      <c r="L2231" s="36"/>
      <c r="R2231" s="34"/>
      <c r="AC2231" s="36"/>
    </row>
    <row r="2232" spans="12:29" x14ac:dyDescent="0.3">
      <c r="L2232" s="36"/>
      <c r="R2232" s="34"/>
      <c r="AC2232" s="36"/>
    </row>
    <row r="2233" spans="12:29" x14ac:dyDescent="0.3">
      <c r="L2233" s="36"/>
      <c r="R2233" s="34"/>
      <c r="AC2233" s="36"/>
    </row>
    <row r="2234" spans="12:29" x14ac:dyDescent="0.3">
      <c r="L2234" s="36"/>
      <c r="R2234" s="34"/>
      <c r="AC2234" s="36"/>
    </row>
    <row r="2235" spans="12:29" x14ac:dyDescent="0.3">
      <c r="L2235" s="36"/>
      <c r="R2235" s="34"/>
      <c r="AC2235" s="36"/>
    </row>
    <row r="2236" spans="12:29" x14ac:dyDescent="0.3">
      <c r="L2236" s="36"/>
      <c r="R2236" s="34"/>
      <c r="AC2236" s="36"/>
    </row>
    <row r="2237" spans="12:29" x14ac:dyDescent="0.3">
      <c r="L2237" s="36"/>
      <c r="R2237" s="34"/>
      <c r="AC2237" s="36"/>
    </row>
    <row r="2238" spans="12:29" x14ac:dyDescent="0.3">
      <c r="L2238" s="36"/>
      <c r="R2238" s="34"/>
      <c r="AC2238" s="36"/>
    </row>
    <row r="2239" spans="12:29" x14ac:dyDescent="0.3">
      <c r="L2239" s="36"/>
      <c r="R2239" s="34"/>
      <c r="AC2239" s="36"/>
    </row>
    <row r="2240" spans="12:29" x14ac:dyDescent="0.3">
      <c r="L2240" s="36"/>
      <c r="R2240" s="34"/>
      <c r="AC2240" s="36"/>
    </row>
    <row r="2241" spans="12:29" x14ac:dyDescent="0.3">
      <c r="L2241" s="36"/>
      <c r="R2241" s="34"/>
      <c r="AC2241" s="36"/>
    </row>
    <row r="2242" spans="12:29" x14ac:dyDescent="0.3">
      <c r="L2242" s="36"/>
      <c r="R2242" s="34"/>
      <c r="AC2242" s="36"/>
    </row>
    <row r="2243" spans="12:29" x14ac:dyDescent="0.3">
      <c r="L2243" s="36"/>
      <c r="R2243" s="34"/>
      <c r="AC2243" s="36"/>
    </row>
    <row r="2244" spans="12:29" x14ac:dyDescent="0.3">
      <c r="L2244" s="36"/>
      <c r="R2244" s="34"/>
      <c r="AC2244" s="36"/>
    </row>
    <row r="2245" spans="12:29" x14ac:dyDescent="0.3">
      <c r="L2245" s="36"/>
      <c r="R2245" s="34"/>
      <c r="AC2245" s="36"/>
    </row>
    <row r="2246" spans="12:29" x14ac:dyDescent="0.3">
      <c r="L2246" s="36"/>
      <c r="R2246" s="34"/>
      <c r="AC2246" s="36"/>
    </row>
    <row r="2247" spans="12:29" x14ac:dyDescent="0.3">
      <c r="L2247" s="36"/>
      <c r="R2247" s="34"/>
      <c r="AC2247" s="36"/>
    </row>
    <row r="2248" spans="12:29" x14ac:dyDescent="0.3">
      <c r="L2248" s="36"/>
      <c r="R2248" s="34"/>
      <c r="AC2248" s="36"/>
    </row>
    <row r="2249" spans="12:29" x14ac:dyDescent="0.3">
      <c r="L2249" s="36"/>
      <c r="R2249" s="34"/>
      <c r="AC2249" s="36"/>
    </row>
    <row r="2250" spans="12:29" x14ac:dyDescent="0.3">
      <c r="L2250" s="36"/>
      <c r="R2250" s="34"/>
      <c r="AC2250" s="36"/>
    </row>
    <row r="2251" spans="12:29" x14ac:dyDescent="0.3">
      <c r="L2251" s="36"/>
      <c r="R2251" s="34"/>
      <c r="AC2251" s="36"/>
    </row>
    <row r="2252" spans="12:29" x14ac:dyDescent="0.3">
      <c r="L2252" s="36"/>
      <c r="R2252" s="34"/>
      <c r="AC2252" s="36"/>
    </row>
    <row r="2253" spans="12:29" x14ac:dyDescent="0.3">
      <c r="L2253" s="36"/>
      <c r="R2253" s="34"/>
      <c r="AC2253" s="36"/>
    </row>
    <row r="2254" spans="12:29" x14ac:dyDescent="0.3">
      <c r="L2254" s="36"/>
      <c r="R2254" s="34"/>
      <c r="AC2254" s="36"/>
    </row>
    <row r="2255" spans="12:29" x14ac:dyDescent="0.3">
      <c r="L2255" s="36"/>
      <c r="R2255" s="34"/>
      <c r="AC2255" s="36"/>
    </row>
    <row r="2256" spans="12:29" x14ac:dyDescent="0.3">
      <c r="L2256" s="36"/>
      <c r="R2256" s="34"/>
      <c r="AC2256" s="36"/>
    </row>
    <row r="2257" spans="12:29" x14ac:dyDescent="0.3">
      <c r="L2257" s="36"/>
      <c r="R2257" s="34"/>
      <c r="AC2257" s="36"/>
    </row>
    <row r="2258" spans="12:29" x14ac:dyDescent="0.3">
      <c r="L2258" s="36"/>
      <c r="R2258" s="34"/>
      <c r="AC2258" s="36"/>
    </row>
    <row r="2259" spans="12:29" x14ac:dyDescent="0.3">
      <c r="L2259" s="36"/>
      <c r="R2259" s="34"/>
      <c r="AC2259" s="36"/>
    </row>
    <row r="2260" spans="12:29" x14ac:dyDescent="0.3">
      <c r="L2260" s="36"/>
      <c r="R2260" s="34"/>
      <c r="AC2260" s="36"/>
    </row>
    <row r="2261" spans="12:29" x14ac:dyDescent="0.3">
      <c r="L2261" s="36"/>
      <c r="R2261" s="34"/>
      <c r="AC2261" s="36"/>
    </row>
    <row r="2262" spans="12:29" x14ac:dyDescent="0.3">
      <c r="L2262" s="36"/>
      <c r="R2262" s="34"/>
      <c r="AC2262" s="36"/>
    </row>
    <row r="2263" spans="12:29" x14ac:dyDescent="0.3">
      <c r="L2263" s="36"/>
      <c r="R2263" s="34"/>
      <c r="AC2263" s="36"/>
    </row>
    <row r="2264" spans="12:29" x14ac:dyDescent="0.3">
      <c r="L2264" s="36"/>
      <c r="R2264" s="34"/>
      <c r="AC2264" s="36"/>
    </row>
    <row r="2265" spans="12:29" x14ac:dyDescent="0.3">
      <c r="L2265" s="36"/>
      <c r="R2265" s="34"/>
      <c r="AC2265" s="36"/>
    </row>
    <row r="2266" spans="12:29" x14ac:dyDescent="0.3">
      <c r="L2266" s="36"/>
      <c r="R2266" s="34"/>
      <c r="AC2266" s="36"/>
    </row>
    <row r="2267" spans="12:29" x14ac:dyDescent="0.3">
      <c r="L2267" s="36"/>
      <c r="R2267" s="34"/>
      <c r="AC2267" s="36"/>
    </row>
    <row r="2268" spans="12:29" x14ac:dyDescent="0.3">
      <c r="L2268" s="36"/>
      <c r="R2268" s="34"/>
      <c r="AC2268" s="36"/>
    </row>
    <row r="2269" spans="12:29" x14ac:dyDescent="0.3">
      <c r="L2269" s="36"/>
      <c r="R2269" s="34"/>
      <c r="AC2269" s="36"/>
    </row>
    <row r="2270" spans="12:29" x14ac:dyDescent="0.3">
      <c r="L2270" s="36"/>
      <c r="R2270" s="34"/>
      <c r="AC2270" s="36"/>
    </row>
    <row r="2271" spans="12:29" x14ac:dyDescent="0.3">
      <c r="L2271" s="36"/>
      <c r="R2271" s="34"/>
      <c r="AC2271" s="36"/>
    </row>
    <row r="2272" spans="12:29" x14ac:dyDescent="0.3">
      <c r="L2272" s="36"/>
      <c r="R2272" s="34"/>
      <c r="AC2272" s="36"/>
    </row>
    <row r="2273" spans="12:29" x14ac:dyDescent="0.3">
      <c r="L2273" s="36"/>
      <c r="R2273" s="34"/>
      <c r="AC2273" s="36"/>
    </row>
    <row r="2274" spans="12:29" x14ac:dyDescent="0.3">
      <c r="L2274" s="36"/>
      <c r="R2274" s="34"/>
      <c r="AC2274" s="36"/>
    </row>
    <row r="2275" spans="12:29" x14ac:dyDescent="0.3">
      <c r="L2275" s="36"/>
      <c r="R2275" s="34"/>
      <c r="AC2275" s="36"/>
    </row>
    <row r="2276" spans="12:29" x14ac:dyDescent="0.3">
      <c r="L2276" s="36"/>
      <c r="R2276" s="34"/>
      <c r="AC2276" s="36"/>
    </row>
    <row r="2277" spans="12:29" x14ac:dyDescent="0.3">
      <c r="L2277" s="36"/>
      <c r="R2277" s="34"/>
      <c r="AC2277" s="36"/>
    </row>
    <row r="2278" spans="12:29" x14ac:dyDescent="0.3">
      <c r="L2278" s="36"/>
      <c r="R2278" s="34"/>
      <c r="AC2278" s="36"/>
    </row>
    <row r="2279" spans="12:29" x14ac:dyDescent="0.3">
      <c r="L2279" s="36"/>
      <c r="R2279" s="34"/>
      <c r="AC2279" s="36"/>
    </row>
    <row r="2280" spans="12:29" x14ac:dyDescent="0.3">
      <c r="L2280" s="36"/>
      <c r="R2280" s="34"/>
      <c r="AC2280" s="36"/>
    </row>
    <row r="2281" spans="12:29" x14ac:dyDescent="0.3">
      <c r="L2281" s="36"/>
      <c r="R2281" s="34"/>
      <c r="AC2281" s="36"/>
    </row>
    <row r="2282" spans="12:29" x14ac:dyDescent="0.3">
      <c r="L2282" s="36"/>
      <c r="R2282" s="34"/>
      <c r="AC2282" s="36"/>
    </row>
    <row r="2283" spans="12:29" x14ac:dyDescent="0.3">
      <c r="L2283" s="36"/>
      <c r="R2283" s="34"/>
      <c r="AC2283" s="36"/>
    </row>
    <row r="2284" spans="12:29" x14ac:dyDescent="0.3">
      <c r="L2284" s="36"/>
      <c r="R2284" s="34"/>
      <c r="AC2284" s="36"/>
    </row>
    <row r="2285" spans="12:29" x14ac:dyDescent="0.3">
      <c r="L2285" s="36"/>
      <c r="R2285" s="34"/>
      <c r="AC2285" s="36"/>
    </row>
    <row r="2286" spans="12:29" x14ac:dyDescent="0.3">
      <c r="L2286" s="36"/>
      <c r="R2286" s="34"/>
      <c r="AC2286" s="36"/>
    </row>
    <row r="2287" spans="12:29" x14ac:dyDescent="0.3">
      <c r="L2287" s="36"/>
      <c r="R2287" s="34"/>
      <c r="AC2287" s="36"/>
    </row>
    <row r="2288" spans="12:29" x14ac:dyDescent="0.3">
      <c r="L2288" s="36"/>
      <c r="R2288" s="34"/>
      <c r="AC2288" s="36"/>
    </row>
    <row r="2289" spans="12:29" x14ac:dyDescent="0.3">
      <c r="L2289" s="36"/>
      <c r="R2289" s="34"/>
      <c r="AC2289" s="36"/>
    </row>
    <row r="2290" spans="12:29" x14ac:dyDescent="0.3">
      <c r="L2290" s="36"/>
      <c r="R2290" s="34"/>
      <c r="AC2290" s="36"/>
    </row>
    <row r="2291" spans="12:29" x14ac:dyDescent="0.3">
      <c r="L2291" s="36"/>
      <c r="R2291" s="34"/>
      <c r="AC2291" s="36"/>
    </row>
    <row r="2292" spans="12:29" x14ac:dyDescent="0.3">
      <c r="L2292" s="36"/>
      <c r="R2292" s="34"/>
      <c r="AC2292" s="36"/>
    </row>
    <row r="2293" spans="12:29" x14ac:dyDescent="0.3">
      <c r="L2293" s="36"/>
      <c r="R2293" s="34"/>
      <c r="AC2293" s="36"/>
    </row>
    <row r="2294" spans="12:29" x14ac:dyDescent="0.3">
      <c r="L2294" s="36"/>
      <c r="R2294" s="34"/>
      <c r="AC2294" s="36"/>
    </row>
    <row r="2295" spans="12:29" x14ac:dyDescent="0.3">
      <c r="L2295" s="36"/>
      <c r="R2295" s="34"/>
      <c r="AC2295" s="36"/>
    </row>
    <row r="2296" spans="12:29" x14ac:dyDescent="0.3">
      <c r="L2296" s="36"/>
      <c r="R2296" s="34"/>
      <c r="AC2296" s="36"/>
    </row>
    <row r="2297" spans="12:29" x14ac:dyDescent="0.3">
      <c r="L2297" s="36"/>
      <c r="R2297" s="34"/>
      <c r="AC2297" s="36"/>
    </row>
    <row r="2298" spans="12:29" x14ac:dyDescent="0.3">
      <c r="L2298" s="36"/>
      <c r="R2298" s="34"/>
      <c r="AC2298" s="36"/>
    </row>
    <row r="2299" spans="12:29" x14ac:dyDescent="0.3">
      <c r="L2299" s="36"/>
      <c r="R2299" s="34"/>
      <c r="AC2299" s="36"/>
    </row>
    <row r="2300" spans="12:29" x14ac:dyDescent="0.3">
      <c r="L2300" s="36"/>
      <c r="R2300" s="34"/>
      <c r="AC2300" s="36"/>
    </row>
    <row r="2301" spans="12:29" x14ac:dyDescent="0.3">
      <c r="L2301" s="36"/>
      <c r="R2301" s="34"/>
      <c r="AC2301" s="36"/>
    </row>
    <row r="2302" spans="12:29" x14ac:dyDescent="0.3">
      <c r="L2302" s="36"/>
      <c r="R2302" s="34"/>
      <c r="AC2302" s="36"/>
    </row>
    <row r="2303" spans="12:29" x14ac:dyDescent="0.3">
      <c r="L2303" s="36"/>
      <c r="R2303" s="34"/>
      <c r="AC2303" s="36"/>
    </row>
    <row r="2304" spans="12:29" x14ac:dyDescent="0.3">
      <c r="L2304" s="36"/>
      <c r="R2304" s="34"/>
      <c r="AC2304" s="36"/>
    </row>
    <row r="2305" spans="12:29" x14ac:dyDescent="0.3">
      <c r="L2305" s="36"/>
      <c r="R2305" s="34"/>
      <c r="AC2305" s="36"/>
    </row>
    <row r="2306" spans="12:29" x14ac:dyDescent="0.3">
      <c r="L2306" s="36"/>
      <c r="R2306" s="34"/>
      <c r="AC2306" s="36"/>
    </row>
    <row r="2307" spans="12:29" x14ac:dyDescent="0.3">
      <c r="L2307" s="36"/>
      <c r="R2307" s="34"/>
      <c r="AC2307" s="36"/>
    </row>
    <row r="2308" spans="12:29" x14ac:dyDescent="0.3">
      <c r="L2308" s="36"/>
      <c r="R2308" s="34"/>
      <c r="AC2308" s="36"/>
    </row>
    <row r="2309" spans="12:29" x14ac:dyDescent="0.3">
      <c r="L2309" s="36"/>
      <c r="R2309" s="34"/>
      <c r="AC2309" s="36"/>
    </row>
    <row r="2310" spans="12:29" x14ac:dyDescent="0.3">
      <c r="L2310" s="36"/>
      <c r="R2310" s="34"/>
      <c r="AC2310" s="36"/>
    </row>
    <row r="2311" spans="12:29" x14ac:dyDescent="0.3">
      <c r="L2311" s="36"/>
      <c r="R2311" s="34"/>
      <c r="AC2311" s="36"/>
    </row>
    <row r="2312" spans="12:29" x14ac:dyDescent="0.3">
      <c r="L2312" s="36"/>
      <c r="R2312" s="34"/>
      <c r="AC2312" s="36"/>
    </row>
    <row r="2313" spans="12:29" x14ac:dyDescent="0.3">
      <c r="L2313" s="36"/>
      <c r="R2313" s="34"/>
      <c r="AC2313" s="36"/>
    </row>
    <row r="2314" spans="12:29" x14ac:dyDescent="0.3">
      <c r="L2314" s="36"/>
      <c r="R2314" s="34"/>
      <c r="AC2314" s="36"/>
    </row>
    <row r="2315" spans="12:29" x14ac:dyDescent="0.3">
      <c r="L2315" s="36"/>
      <c r="R2315" s="34"/>
      <c r="AC2315" s="36"/>
    </row>
    <row r="2316" spans="12:29" x14ac:dyDescent="0.3">
      <c r="L2316" s="36"/>
      <c r="R2316" s="34"/>
      <c r="AC2316" s="36"/>
    </row>
    <row r="2317" spans="12:29" x14ac:dyDescent="0.3">
      <c r="L2317" s="36"/>
      <c r="R2317" s="34"/>
      <c r="AC2317" s="36"/>
    </row>
    <row r="2318" spans="12:29" x14ac:dyDescent="0.3">
      <c r="L2318" s="36"/>
      <c r="R2318" s="34"/>
      <c r="AC2318" s="36"/>
    </row>
    <row r="2319" spans="12:29" x14ac:dyDescent="0.3">
      <c r="L2319" s="36"/>
      <c r="R2319" s="34"/>
      <c r="AC2319" s="36"/>
    </row>
    <row r="2320" spans="12:29" x14ac:dyDescent="0.3">
      <c r="L2320" s="36"/>
      <c r="R2320" s="34"/>
      <c r="AC2320" s="36"/>
    </row>
    <row r="2321" spans="12:29" x14ac:dyDescent="0.3">
      <c r="L2321" s="36"/>
      <c r="R2321" s="34"/>
      <c r="AC2321" s="36"/>
    </row>
    <row r="2322" spans="12:29" x14ac:dyDescent="0.3">
      <c r="L2322" s="36"/>
      <c r="R2322" s="34"/>
      <c r="AC2322" s="36"/>
    </row>
    <row r="2323" spans="12:29" x14ac:dyDescent="0.3">
      <c r="L2323" s="36"/>
      <c r="R2323" s="34"/>
      <c r="AC2323" s="36"/>
    </row>
    <row r="2324" spans="12:29" x14ac:dyDescent="0.3">
      <c r="L2324" s="36"/>
      <c r="R2324" s="34"/>
      <c r="AC2324" s="36"/>
    </row>
    <row r="2325" spans="12:29" x14ac:dyDescent="0.3">
      <c r="L2325" s="36"/>
      <c r="R2325" s="34"/>
      <c r="AC2325" s="36"/>
    </row>
    <row r="2326" spans="12:29" x14ac:dyDescent="0.3">
      <c r="L2326" s="36"/>
      <c r="R2326" s="34"/>
      <c r="AC2326" s="36"/>
    </row>
    <row r="2327" spans="12:29" x14ac:dyDescent="0.3">
      <c r="L2327" s="36"/>
      <c r="R2327" s="34"/>
      <c r="AC2327" s="36"/>
    </row>
    <row r="2328" spans="12:29" x14ac:dyDescent="0.3">
      <c r="L2328" s="36"/>
      <c r="R2328" s="34"/>
      <c r="AC2328" s="36"/>
    </row>
    <row r="2329" spans="12:29" x14ac:dyDescent="0.3">
      <c r="L2329" s="36"/>
      <c r="R2329" s="34"/>
      <c r="AC2329" s="36"/>
    </row>
    <row r="2330" spans="12:29" x14ac:dyDescent="0.3">
      <c r="L2330" s="36"/>
      <c r="R2330" s="34"/>
      <c r="AC2330" s="36"/>
    </row>
    <row r="2331" spans="12:29" x14ac:dyDescent="0.3">
      <c r="L2331" s="36"/>
      <c r="R2331" s="34"/>
      <c r="AC2331" s="36"/>
    </row>
    <row r="2332" spans="12:29" x14ac:dyDescent="0.3">
      <c r="L2332" s="36"/>
      <c r="R2332" s="34"/>
      <c r="AC2332" s="36"/>
    </row>
    <row r="2333" spans="12:29" x14ac:dyDescent="0.3">
      <c r="L2333" s="36"/>
      <c r="R2333" s="34"/>
      <c r="AC2333" s="36"/>
    </row>
    <row r="2334" spans="12:29" x14ac:dyDescent="0.3">
      <c r="L2334" s="36"/>
      <c r="R2334" s="34"/>
      <c r="AC2334" s="36"/>
    </row>
    <row r="2335" spans="12:29" x14ac:dyDescent="0.3">
      <c r="L2335" s="36"/>
      <c r="R2335" s="34"/>
      <c r="AC2335" s="36"/>
    </row>
    <row r="2336" spans="12:29" x14ac:dyDescent="0.3">
      <c r="L2336" s="36"/>
      <c r="R2336" s="34"/>
      <c r="AC2336" s="36"/>
    </row>
    <row r="2337" spans="12:29" x14ac:dyDescent="0.3">
      <c r="L2337" s="36"/>
      <c r="R2337" s="34"/>
      <c r="AC2337" s="36"/>
    </row>
    <row r="2338" spans="12:29" x14ac:dyDescent="0.3">
      <c r="L2338" s="36"/>
      <c r="R2338" s="34"/>
      <c r="AC2338" s="36"/>
    </row>
    <row r="2339" spans="12:29" x14ac:dyDescent="0.3">
      <c r="L2339" s="36"/>
      <c r="R2339" s="34"/>
      <c r="AC2339" s="36"/>
    </row>
    <row r="2340" spans="12:29" x14ac:dyDescent="0.3">
      <c r="L2340" s="36"/>
      <c r="R2340" s="34"/>
      <c r="AC2340" s="36"/>
    </row>
    <row r="2341" spans="12:29" x14ac:dyDescent="0.3">
      <c r="L2341" s="36"/>
      <c r="R2341" s="34"/>
      <c r="AC2341" s="36"/>
    </row>
    <row r="2342" spans="12:29" x14ac:dyDescent="0.3">
      <c r="L2342" s="36"/>
      <c r="R2342" s="34"/>
      <c r="AC2342" s="36"/>
    </row>
    <row r="2343" spans="12:29" x14ac:dyDescent="0.3">
      <c r="L2343" s="36"/>
      <c r="R2343" s="34"/>
      <c r="AC2343" s="36"/>
    </row>
    <row r="2344" spans="12:29" x14ac:dyDescent="0.3">
      <c r="L2344" s="36"/>
      <c r="R2344" s="34"/>
      <c r="AC2344" s="36"/>
    </row>
    <row r="2345" spans="12:29" x14ac:dyDescent="0.3">
      <c r="L2345" s="36"/>
      <c r="R2345" s="34"/>
      <c r="AC2345" s="36"/>
    </row>
    <row r="2346" spans="12:29" x14ac:dyDescent="0.3">
      <c r="L2346" s="36"/>
      <c r="R2346" s="34"/>
      <c r="AC2346" s="36"/>
    </row>
    <row r="2347" spans="12:29" x14ac:dyDescent="0.3">
      <c r="L2347" s="36"/>
      <c r="R2347" s="34"/>
      <c r="AC2347" s="36"/>
    </row>
    <row r="2348" spans="12:29" x14ac:dyDescent="0.3">
      <c r="L2348" s="36"/>
      <c r="R2348" s="34"/>
      <c r="AC2348" s="36"/>
    </row>
    <row r="2349" spans="12:29" x14ac:dyDescent="0.3">
      <c r="L2349" s="36"/>
      <c r="R2349" s="34"/>
      <c r="AC2349" s="36"/>
    </row>
    <row r="2350" spans="12:29" x14ac:dyDescent="0.3">
      <c r="L2350" s="36"/>
      <c r="R2350" s="34"/>
      <c r="AC2350" s="36"/>
    </row>
    <row r="2351" spans="12:29" x14ac:dyDescent="0.3">
      <c r="L2351" s="36"/>
      <c r="R2351" s="34"/>
      <c r="AC2351" s="36"/>
    </row>
    <row r="2352" spans="12:29" x14ac:dyDescent="0.3">
      <c r="L2352" s="36"/>
      <c r="R2352" s="34"/>
      <c r="AC2352" s="36"/>
    </row>
    <row r="2353" spans="12:29" x14ac:dyDescent="0.3">
      <c r="L2353" s="36"/>
      <c r="R2353" s="34"/>
      <c r="AC2353" s="36"/>
    </row>
    <row r="2354" spans="12:29" x14ac:dyDescent="0.3">
      <c r="L2354" s="36"/>
      <c r="R2354" s="34"/>
      <c r="AC2354" s="36"/>
    </row>
    <row r="2355" spans="12:29" x14ac:dyDescent="0.3">
      <c r="L2355" s="36"/>
      <c r="R2355" s="34"/>
      <c r="AC2355" s="36"/>
    </row>
    <row r="2356" spans="12:29" x14ac:dyDescent="0.3">
      <c r="L2356" s="36"/>
      <c r="R2356" s="34"/>
      <c r="AC2356" s="36"/>
    </row>
    <row r="2357" spans="12:29" x14ac:dyDescent="0.3">
      <c r="L2357" s="36"/>
      <c r="R2357" s="34"/>
      <c r="AC2357" s="36"/>
    </row>
    <row r="2358" spans="12:29" x14ac:dyDescent="0.3">
      <c r="L2358" s="36"/>
      <c r="R2358" s="34"/>
      <c r="AC2358" s="36"/>
    </row>
    <row r="2359" spans="12:29" x14ac:dyDescent="0.3">
      <c r="L2359" s="36"/>
      <c r="R2359" s="34"/>
      <c r="AC2359" s="36"/>
    </row>
    <row r="2360" spans="12:29" x14ac:dyDescent="0.3">
      <c r="L2360" s="36"/>
      <c r="R2360" s="34"/>
      <c r="AC2360" s="36"/>
    </row>
    <row r="2361" spans="12:29" x14ac:dyDescent="0.3">
      <c r="L2361" s="36"/>
      <c r="R2361" s="34"/>
      <c r="AC2361" s="36"/>
    </row>
    <row r="2362" spans="12:29" x14ac:dyDescent="0.3">
      <c r="L2362" s="36"/>
      <c r="R2362" s="34"/>
      <c r="AC2362" s="36"/>
    </row>
    <row r="2363" spans="12:29" x14ac:dyDescent="0.3">
      <c r="L2363" s="36"/>
      <c r="R2363" s="34"/>
      <c r="AC2363" s="36"/>
    </row>
    <row r="2364" spans="12:29" x14ac:dyDescent="0.3">
      <c r="L2364" s="36"/>
      <c r="R2364" s="34"/>
      <c r="AC2364" s="36"/>
    </row>
    <row r="2365" spans="12:29" x14ac:dyDescent="0.3">
      <c r="L2365" s="36"/>
      <c r="R2365" s="34"/>
      <c r="AC2365" s="36"/>
    </row>
    <row r="2366" spans="12:29" x14ac:dyDescent="0.3">
      <c r="L2366" s="36"/>
      <c r="R2366" s="34"/>
      <c r="AC2366" s="36"/>
    </row>
    <row r="2367" spans="12:29" x14ac:dyDescent="0.3">
      <c r="L2367" s="36"/>
      <c r="R2367" s="34"/>
      <c r="AC2367" s="36"/>
    </row>
    <row r="2368" spans="12:29" x14ac:dyDescent="0.3">
      <c r="L2368" s="36"/>
      <c r="R2368" s="34"/>
      <c r="AC2368" s="36"/>
    </row>
    <row r="2369" spans="12:29" x14ac:dyDescent="0.3">
      <c r="L2369" s="36"/>
      <c r="R2369" s="34"/>
      <c r="AC2369" s="36"/>
    </row>
    <row r="2370" spans="12:29" x14ac:dyDescent="0.3">
      <c r="L2370" s="36"/>
      <c r="R2370" s="34"/>
      <c r="AC2370" s="36"/>
    </row>
    <row r="2371" spans="12:29" x14ac:dyDescent="0.3">
      <c r="L2371" s="36"/>
      <c r="R2371" s="34"/>
      <c r="AC2371" s="36"/>
    </row>
    <row r="2372" spans="12:29" x14ac:dyDescent="0.3">
      <c r="L2372" s="36"/>
      <c r="R2372" s="34"/>
      <c r="AC2372" s="36"/>
    </row>
    <row r="2373" spans="12:29" x14ac:dyDescent="0.3">
      <c r="L2373" s="36"/>
      <c r="R2373" s="34"/>
      <c r="AC2373" s="36"/>
    </row>
    <row r="2374" spans="12:29" x14ac:dyDescent="0.3">
      <c r="L2374" s="36"/>
      <c r="R2374" s="34"/>
      <c r="AC2374" s="36"/>
    </row>
    <row r="2375" spans="12:29" x14ac:dyDescent="0.3">
      <c r="L2375" s="36"/>
      <c r="R2375" s="34"/>
      <c r="AC2375" s="36"/>
    </row>
    <row r="2376" spans="12:29" x14ac:dyDescent="0.3">
      <c r="L2376" s="36"/>
      <c r="R2376" s="34"/>
      <c r="AC2376" s="36"/>
    </row>
    <row r="2377" spans="12:29" x14ac:dyDescent="0.3">
      <c r="L2377" s="36"/>
      <c r="R2377" s="34"/>
      <c r="AC2377" s="36"/>
    </row>
    <row r="2378" spans="12:29" x14ac:dyDescent="0.3">
      <c r="L2378" s="36"/>
      <c r="R2378" s="34"/>
      <c r="AC2378" s="36"/>
    </row>
    <row r="2379" spans="12:29" x14ac:dyDescent="0.3">
      <c r="L2379" s="36"/>
      <c r="R2379" s="34"/>
      <c r="AC2379" s="36"/>
    </row>
    <row r="2380" spans="12:29" x14ac:dyDescent="0.3">
      <c r="L2380" s="36"/>
      <c r="R2380" s="34"/>
      <c r="AC2380" s="36"/>
    </row>
    <row r="2381" spans="12:29" x14ac:dyDescent="0.3">
      <c r="L2381" s="36"/>
      <c r="R2381" s="34"/>
      <c r="AC2381" s="36"/>
    </row>
    <row r="2382" spans="12:29" x14ac:dyDescent="0.3">
      <c r="L2382" s="36"/>
      <c r="R2382" s="34"/>
      <c r="AC2382" s="36"/>
    </row>
    <row r="2383" spans="12:29" x14ac:dyDescent="0.3">
      <c r="L2383" s="36"/>
      <c r="R2383" s="34"/>
      <c r="AC2383" s="36"/>
    </row>
    <row r="2384" spans="12:29" x14ac:dyDescent="0.3">
      <c r="L2384" s="36"/>
      <c r="R2384" s="34"/>
      <c r="AC2384" s="36"/>
    </row>
    <row r="2385" spans="12:29" x14ac:dyDescent="0.3">
      <c r="L2385" s="36"/>
      <c r="R2385" s="34"/>
      <c r="AC2385" s="36"/>
    </row>
    <row r="2386" spans="12:29" x14ac:dyDescent="0.3">
      <c r="L2386" s="36"/>
      <c r="R2386" s="34"/>
      <c r="AC2386" s="36"/>
    </row>
    <row r="2387" spans="12:29" x14ac:dyDescent="0.3">
      <c r="L2387" s="36"/>
      <c r="R2387" s="34"/>
      <c r="AC2387" s="36"/>
    </row>
    <row r="2388" spans="12:29" x14ac:dyDescent="0.3">
      <c r="L2388" s="36"/>
      <c r="R2388" s="34"/>
      <c r="AC2388" s="36"/>
    </row>
    <row r="2389" spans="12:29" x14ac:dyDescent="0.3">
      <c r="L2389" s="36"/>
      <c r="R2389" s="34"/>
      <c r="AC2389" s="36"/>
    </row>
    <row r="2390" spans="12:29" x14ac:dyDescent="0.3">
      <c r="L2390" s="36"/>
      <c r="R2390" s="34"/>
      <c r="AC2390" s="36"/>
    </row>
    <row r="2391" spans="12:29" x14ac:dyDescent="0.3">
      <c r="L2391" s="36"/>
      <c r="R2391" s="34"/>
      <c r="AC2391" s="36"/>
    </row>
    <row r="2392" spans="12:29" x14ac:dyDescent="0.3">
      <c r="L2392" s="36"/>
      <c r="R2392" s="34"/>
      <c r="AC2392" s="36"/>
    </row>
    <row r="2393" spans="12:29" x14ac:dyDescent="0.3">
      <c r="L2393" s="36"/>
      <c r="R2393" s="34"/>
      <c r="AC2393" s="36"/>
    </row>
    <row r="2394" spans="12:29" x14ac:dyDescent="0.3">
      <c r="L2394" s="36"/>
      <c r="R2394" s="34"/>
      <c r="AC2394" s="36"/>
    </row>
    <row r="2395" spans="12:29" x14ac:dyDescent="0.3">
      <c r="L2395" s="36"/>
      <c r="R2395" s="34"/>
      <c r="AC2395" s="36"/>
    </row>
    <row r="2396" spans="12:29" x14ac:dyDescent="0.3">
      <c r="L2396" s="36"/>
      <c r="R2396" s="34"/>
      <c r="AC2396" s="36"/>
    </row>
    <row r="2397" spans="12:29" x14ac:dyDescent="0.3">
      <c r="L2397" s="36"/>
      <c r="R2397" s="34"/>
      <c r="AC2397" s="36"/>
    </row>
    <row r="2398" spans="12:29" x14ac:dyDescent="0.3">
      <c r="L2398" s="36"/>
      <c r="R2398" s="34"/>
      <c r="AC2398" s="36"/>
    </row>
    <row r="2399" spans="12:29" x14ac:dyDescent="0.3">
      <c r="L2399" s="36"/>
      <c r="R2399" s="34"/>
      <c r="AC2399" s="36"/>
    </row>
    <row r="2400" spans="12:29" x14ac:dyDescent="0.3">
      <c r="L2400" s="36"/>
      <c r="R2400" s="34"/>
      <c r="AC2400" s="36"/>
    </row>
    <row r="2401" spans="12:29" x14ac:dyDescent="0.3">
      <c r="L2401" s="36"/>
      <c r="R2401" s="34"/>
      <c r="AC2401" s="36"/>
    </row>
    <row r="2402" spans="12:29" x14ac:dyDescent="0.3">
      <c r="L2402" s="36"/>
      <c r="R2402" s="34"/>
      <c r="AC2402" s="36"/>
    </row>
    <row r="2403" spans="12:29" x14ac:dyDescent="0.3">
      <c r="L2403" s="36"/>
      <c r="R2403" s="34"/>
      <c r="AC2403" s="36"/>
    </row>
    <row r="2404" spans="12:29" x14ac:dyDescent="0.3">
      <c r="L2404" s="36"/>
      <c r="R2404" s="34"/>
      <c r="AC2404" s="36"/>
    </row>
    <row r="2405" spans="12:29" x14ac:dyDescent="0.3">
      <c r="L2405" s="36"/>
      <c r="R2405" s="34"/>
      <c r="AC2405" s="36"/>
    </row>
    <row r="2406" spans="12:29" x14ac:dyDescent="0.3">
      <c r="L2406" s="36"/>
      <c r="R2406" s="34"/>
      <c r="AC2406" s="36"/>
    </row>
    <row r="2407" spans="12:29" x14ac:dyDescent="0.3">
      <c r="L2407" s="36"/>
      <c r="R2407" s="34"/>
      <c r="AC2407" s="36"/>
    </row>
    <row r="2408" spans="12:29" x14ac:dyDescent="0.3">
      <c r="L2408" s="36"/>
      <c r="R2408" s="34"/>
      <c r="AC2408" s="36"/>
    </row>
    <row r="2409" spans="12:29" x14ac:dyDescent="0.3">
      <c r="L2409" s="36"/>
      <c r="R2409" s="34"/>
      <c r="AC2409" s="36"/>
    </row>
    <row r="2410" spans="12:29" x14ac:dyDescent="0.3">
      <c r="L2410" s="36"/>
      <c r="R2410" s="34"/>
      <c r="AC2410" s="36"/>
    </row>
    <row r="2411" spans="12:29" x14ac:dyDescent="0.3">
      <c r="L2411" s="36"/>
      <c r="R2411" s="34"/>
      <c r="AC2411" s="36"/>
    </row>
    <row r="2412" spans="12:29" x14ac:dyDescent="0.3">
      <c r="L2412" s="36"/>
      <c r="R2412" s="34"/>
      <c r="AC2412" s="36"/>
    </row>
    <row r="2413" spans="12:29" x14ac:dyDescent="0.3">
      <c r="L2413" s="36"/>
      <c r="R2413" s="34"/>
      <c r="AC2413" s="36"/>
    </row>
    <row r="2414" spans="12:29" x14ac:dyDescent="0.3">
      <c r="L2414" s="36"/>
      <c r="R2414" s="34"/>
      <c r="AC2414" s="36"/>
    </row>
    <row r="2415" spans="12:29" x14ac:dyDescent="0.3">
      <c r="L2415" s="36"/>
      <c r="R2415" s="34"/>
      <c r="AC2415" s="36"/>
    </row>
    <row r="2416" spans="12:29" x14ac:dyDescent="0.3">
      <c r="L2416" s="36"/>
      <c r="R2416" s="34"/>
      <c r="AC2416" s="36"/>
    </row>
    <row r="2417" spans="12:29" x14ac:dyDescent="0.3">
      <c r="L2417" s="36"/>
      <c r="R2417" s="34"/>
      <c r="AC2417" s="36"/>
    </row>
    <row r="2418" spans="12:29" x14ac:dyDescent="0.3">
      <c r="L2418" s="36"/>
      <c r="R2418" s="34"/>
      <c r="AC2418" s="36"/>
    </row>
    <row r="2419" spans="12:29" x14ac:dyDescent="0.3">
      <c r="L2419" s="36"/>
      <c r="R2419" s="34"/>
      <c r="AC2419" s="36"/>
    </row>
    <row r="2420" spans="12:29" x14ac:dyDescent="0.3">
      <c r="L2420" s="36"/>
      <c r="R2420" s="34"/>
      <c r="AC2420" s="36"/>
    </row>
    <row r="2421" spans="12:29" x14ac:dyDescent="0.3">
      <c r="L2421" s="36"/>
      <c r="R2421" s="34"/>
      <c r="AC2421" s="36"/>
    </row>
    <row r="2422" spans="12:29" x14ac:dyDescent="0.3">
      <c r="L2422" s="36"/>
      <c r="R2422" s="34"/>
      <c r="AC2422" s="36"/>
    </row>
    <row r="2423" spans="12:29" x14ac:dyDescent="0.3">
      <c r="L2423" s="36"/>
      <c r="R2423" s="34"/>
      <c r="AC2423" s="36"/>
    </row>
    <row r="2424" spans="12:29" x14ac:dyDescent="0.3">
      <c r="L2424" s="36"/>
      <c r="R2424" s="34"/>
      <c r="AC2424" s="36"/>
    </row>
    <row r="2425" spans="12:29" x14ac:dyDescent="0.3">
      <c r="L2425" s="36"/>
      <c r="R2425" s="34"/>
      <c r="AC2425" s="36"/>
    </row>
    <row r="2426" spans="12:29" x14ac:dyDescent="0.3">
      <c r="L2426" s="36"/>
      <c r="R2426" s="34"/>
      <c r="AC2426" s="36"/>
    </row>
    <row r="2427" spans="12:29" x14ac:dyDescent="0.3">
      <c r="L2427" s="36"/>
      <c r="R2427" s="34"/>
      <c r="AC2427" s="36"/>
    </row>
    <row r="2428" spans="12:29" x14ac:dyDescent="0.3">
      <c r="L2428" s="36"/>
      <c r="R2428" s="34"/>
      <c r="AC2428" s="36"/>
    </row>
    <row r="2429" spans="12:29" x14ac:dyDescent="0.3">
      <c r="L2429" s="36"/>
      <c r="R2429" s="34"/>
      <c r="AC2429" s="36"/>
    </row>
    <row r="2430" spans="12:29" x14ac:dyDescent="0.3">
      <c r="L2430" s="36"/>
      <c r="R2430" s="34"/>
      <c r="AC2430" s="36"/>
    </row>
    <row r="2431" spans="12:29" x14ac:dyDescent="0.3">
      <c r="L2431" s="36"/>
      <c r="R2431" s="34"/>
      <c r="AC2431" s="36"/>
    </row>
    <row r="2432" spans="12:29" x14ac:dyDescent="0.3">
      <c r="L2432" s="36"/>
      <c r="R2432" s="34"/>
      <c r="AC2432" s="36"/>
    </row>
    <row r="2433" spans="12:29" x14ac:dyDescent="0.3">
      <c r="L2433" s="36"/>
      <c r="R2433" s="34"/>
      <c r="AC2433" s="36"/>
    </row>
    <row r="2434" spans="12:29" x14ac:dyDescent="0.3">
      <c r="L2434" s="36"/>
      <c r="R2434" s="34"/>
      <c r="AC2434" s="36"/>
    </row>
    <row r="2435" spans="12:29" x14ac:dyDescent="0.3">
      <c r="L2435" s="36"/>
      <c r="R2435" s="34"/>
      <c r="AC2435" s="36"/>
    </row>
    <row r="2436" spans="12:29" x14ac:dyDescent="0.3">
      <c r="L2436" s="36"/>
      <c r="R2436" s="34"/>
      <c r="AC2436" s="36"/>
    </row>
    <row r="2437" spans="12:29" x14ac:dyDescent="0.3">
      <c r="L2437" s="36"/>
      <c r="R2437" s="34"/>
      <c r="AC2437" s="36"/>
    </row>
    <row r="2438" spans="12:29" x14ac:dyDescent="0.3">
      <c r="L2438" s="36"/>
      <c r="R2438" s="34"/>
      <c r="AC2438" s="36"/>
    </row>
    <row r="2439" spans="12:29" x14ac:dyDescent="0.3">
      <c r="L2439" s="36"/>
      <c r="R2439" s="34"/>
      <c r="AC2439" s="36"/>
    </row>
    <row r="2440" spans="12:29" x14ac:dyDescent="0.3">
      <c r="L2440" s="36"/>
      <c r="R2440" s="34"/>
      <c r="AC2440" s="36"/>
    </row>
    <row r="2441" spans="12:29" x14ac:dyDescent="0.3">
      <c r="L2441" s="36"/>
      <c r="R2441" s="34"/>
      <c r="AC2441" s="36"/>
    </row>
    <row r="2442" spans="12:29" x14ac:dyDescent="0.3">
      <c r="L2442" s="36"/>
      <c r="R2442" s="34"/>
      <c r="AC2442" s="36"/>
    </row>
    <row r="2443" spans="12:29" x14ac:dyDescent="0.3">
      <c r="L2443" s="36"/>
      <c r="R2443" s="34"/>
      <c r="AC2443" s="36"/>
    </row>
    <row r="2444" spans="12:29" x14ac:dyDescent="0.3">
      <c r="L2444" s="36"/>
      <c r="R2444" s="34"/>
      <c r="AC2444" s="36"/>
    </row>
    <row r="2445" spans="12:29" x14ac:dyDescent="0.3">
      <c r="L2445" s="36"/>
      <c r="R2445" s="34"/>
      <c r="AC2445" s="36"/>
    </row>
    <row r="2446" spans="12:29" x14ac:dyDescent="0.3">
      <c r="L2446" s="36"/>
      <c r="R2446" s="34"/>
      <c r="AC2446" s="36"/>
    </row>
    <row r="2447" spans="12:29" x14ac:dyDescent="0.3">
      <c r="L2447" s="36"/>
      <c r="R2447" s="34"/>
      <c r="AC2447" s="36"/>
    </row>
    <row r="2448" spans="12:29" x14ac:dyDescent="0.3">
      <c r="L2448" s="36"/>
      <c r="R2448" s="34"/>
      <c r="AC2448" s="36"/>
    </row>
    <row r="2449" spans="12:29" x14ac:dyDescent="0.3">
      <c r="L2449" s="36"/>
      <c r="R2449" s="34"/>
      <c r="AC2449" s="36"/>
    </row>
    <row r="2450" spans="12:29" x14ac:dyDescent="0.3">
      <c r="L2450" s="36"/>
      <c r="R2450" s="34"/>
      <c r="AC2450" s="36"/>
    </row>
    <row r="2451" spans="12:29" x14ac:dyDescent="0.3">
      <c r="L2451" s="36"/>
      <c r="R2451" s="34"/>
      <c r="AC2451" s="36"/>
    </row>
    <row r="2452" spans="12:29" x14ac:dyDescent="0.3">
      <c r="L2452" s="36"/>
      <c r="R2452" s="34"/>
      <c r="AC2452" s="36"/>
    </row>
    <row r="2453" spans="12:29" x14ac:dyDescent="0.3">
      <c r="L2453" s="36"/>
      <c r="R2453" s="34"/>
      <c r="AC2453" s="36"/>
    </row>
    <row r="2454" spans="12:29" x14ac:dyDescent="0.3">
      <c r="L2454" s="36"/>
      <c r="R2454" s="34"/>
      <c r="AC2454" s="36"/>
    </row>
    <row r="2455" spans="12:29" x14ac:dyDescent="0.3">
      <c r="L2455" s="36"/>
      <c r="R2455" s="34"/>
      <c r="AC2455" s="36"/>
    </row>
    <row r="2456" spans="12:29" x14ac:dyDescent="0.3">
      <c r="L2456" s="36"/>
      <c r="R2456" s="34"/>
      <c r="AC2456" s="36"/>
    </row>
    <row r="2457" spans="12:29" x14ac:dyDescent="0.3">
      <c r="L2457" s="36"/>
      <c r="R2457" s="34"/>
      <c r="AC2457" s="36"/>
    </row>
    <row r="2458" spans="12:29" x14ac:dyDescent="0.3">
      <c r="L2458" s="36"/>
      <c r="R2458" s="34"/>
      <c r="AC2458" s="36"/>
    </row>
    <row r="2459" spans="12:29" x14ac:dyDescent="0.3">
      <c r="L2459" s="36"/>
      <c r="R2459" s="34"/>
      <c r="AC2459" s="36"/>
    </row>
    <row r="2460" spans="12:29" x14ac:dyDescent="0.3">
      <c r="L2460" s="36"/>
      <c r="R2460" s="34"/>
      <c r="AC2460" s="36"/>
    </row>
    <row r="2461" spans="12:29" x14ac:dyDescent="0.3">
      <c r="L2461" s="36"/>
      <c r="R2461" s="34"/>
      <c r="AC2461" s="36"/>
    </row>
    <row r="2462" spans="12:29" x14ac:dyDescent="0.3">
      <c r="L2462" s="36"/>
      <c r="R2462" s="34"/>
      <c r="AC2462" s="36"/>
    </row>
    <row r="2463" spans="12:29" x14ac:dyDescent="0.3">
      <c r="L2463" s="36"/>
      <c r="R2463" s="34"/>
      <c r="AC2463" s="36"/>
    </row>
    <row r="2464" spans="12:29" x14ac:dyDescent="0.3">
      <c r="L2464" s="36"/>
      <c r="R2464" s="34"/>
      <c r="AC2464" s="36"/>
    </row>
    <row r="2465" spans="12:29" x14ac:dyDescent="0.3">
      <c r="L2465" s="36"/>
      <c r="R2465" s="34"/>
      <c r="AC2465" s="36"/>
    </row>
    <row r="2466" spans="12:29" x14ac:dyDescent="0.3">
      <c r="L2466" s="36"/>
      <c r="R2466" s="34"/>
      <c r="AC2466" s="36"/>
    </row>
    <row r="2467" spans="12:29" x14ac:dyDescent="0.3">
      <c r="L2467" s="36"/>
      <c r="R2467" s="34"/>
      <c r="AC2467" s="36"/>
    </row>
    <row r="2468" spans="12:29" x14ac:dyDescent="0.3">
      <c r="L2468" s="36"/>
      <c r="R2468" s="34"/>
      <c r="AC2468" s="36"/>
    </row>
    <row r="2469" spans="12:29" x14ac:dyDescent="0.3">
      <c r="L2469" s="36"/>
      <c r="R2469" s="34"/>
      <c r="AC2469" s="36"/>
    </row>
    <row r="2470" spans="12:29" x14ac:dyDescent="0.3">
      <c r="L2470" s="36"/>
      <c r="R2470" s="34"/>
      <c r="AC2470" s="36"/>
    </row>
    <row r="2471" spans="12:29" x14ac:dyDescent="0.3">
      <c r="L2471" s="36"/>
      <c r="R2471" s="34"/>
      <c r="AC2471" s="36"/>
    </row>
    <row r="2472" spans="12:29" x14ac:dyDescent="0.3">
      <c r="L2472" s="36"/>
      <c r="R2472" s="34"/>
      <c r="AC2472" s="36"/>
    </row>
    <row r="2473" spans="12:29" x14ac:dyDescent="0.3">
      <c r="L2473" s="36"/>
      <c r="R2473" s="34"/>
      <c r="AC2473" s="36"/>
    </row>
    <row r="2474" spans="12:29" x14ac:dyDescent="0.3">
      <c r="L2474" s="36"/>
      <c r="R2474" s="34"/>
      <c r="AC2474" s="36"/>
    </row>
    <row r="2475" spans="12:29" x14ac:dyDescent="0.3">
      <c r="L2475" s="36"/>
      <c r="R2475" s="34"/>
      <c r="AC2475" s="36"/>
    </row>
    <row r="2476" spans="12:29" x14ac:dyDescent="0.3">
      <c r="L2476" s="36"/>
      <c r="R2476" s="34"/>
      <c r="AC2476" s="36"/>
    </row>
    <row r="2477" spans="12:29" x14ac:dyDescent="0.3">
      <c r="L2477" s="36"/>
      <c r="R2477" s="34"/>
      <c r="AC2477" s="36"/>
    </row>
    <row r="2478" spans="12:29" x14ac:dyDescent="0.3">
      <c r="L2478" s="36"/>
      <c r="R2478" s="34"/>
      <c r="AC2478" s="36"/>
    </row>
    <row r="2479" spans="12:29" x14ac:dyDescent="0.3">
      <c r="L2479" s="36"/>
      <c r="R2479" s="34"/>
      <c r="AC2479" s="36"/>
    </row>
    <row r="2480" spans="12:29" x14ac:dyDescent="0.3">
      <c r="L2480" s="36"/>
      <c r="R2480" s="34"/>
      <c r="AC2480" s="36"/>
    </row>
    <row r="2481" spans="12:29" x14ac:dyDescent="0.3">
      <c r="L2481" s="36"/>
      <c r="R2481" s="34"/>
      <c r="AC2481" s="36"/>
    </row>
    <row r="2482" spans="12:29" x14ac:dyDescent="0.3">
      <c r="L2482" s="36"/>
      <c r="R2482" s="34"/>
      <c r="AC2482" s="36"/>
    </row>
    <row r="2483" spans="12:29" x14ac:dyDescent="0.3">
      <c r="L2483" s="36"/>
      <c r="R2483" s="34"/>
      <c r="AC2483" s="36"/>
    </row>
    <row r="2484" spans="12:29" x14ac:dyDescent="0.3">
      <c r="L2484" s="36"/>
      <c r="R2484" s="34"/>
      <c r="AC2484" s="36"/>
    </row>
    <row r="2485" spans="12:29" x14ac:dyDescent="0.3">
      <c r="L2485" s="36"/>
      <c r="R2485" s="34"/>
      <c r="AC2485" s="36"/>
    </row>
    <row r="2486" spans="12:29" x14ac:dyDescent="0.3">
      <c r="L2486" s="36"/>
      <c r="R2486" s="34"/>
      <c r="AC2486" s="36"/>
    </row>
    <row r="2487" spans="12:29" x14ac:dyDescent="0.3">
      <c r="L2487" s="36"/>
      <c r="R2487" s="34"/>
      <c r="AC2487" s="36"/>
    </row>
    <row r="2488" spans="12:29" x14ac:dyDescent="0.3">
      <c r="L2488" s="36"/>
      <c r="R2488" s="34"/>
      <c r="AC2488" s="36"/>
    </row>
    <row r="2489" spans="12:29" x14ac:dyDescent="0.3">
      <c r="L2489" s="36"/>
      <c r="R2489" s="34"/>
      <c r="AC2489" s="36"/>
    </row>
    <row r="2490" spans="12:29" x14ac:dyDescent="0.3">
      <c r="L2490" s="36"/>
      <c r="R2490" s="34"/>
      <c r="AC2490" s="36"/>
    </row>
    <row r="2491" spans="12:29" x14ac:dyDescent="0.3">
      <c r="L2491" s="36"/>
      <c r="R2491" s="34"/>
      <c r="AC2491" s="36"/>
    </row>
    <row r="2492" spans="12:29" x14ac:dyDescent="0.3">
      <c r="L2492" s="36"/>
      <c r="R2492" s="34"/>
      <c r="AC2492" s="36"/>
    </row>
    <row r="2493" spans="12:29" x14ac:dyDescent="0.3">
      <c r="L2493" s="36"/>
      <c r="R2493" s="34"/>
      <c r="AC2493" s="36"/>
    </row>
    <row r="2494" spans="12:29" x14ac:dyDescent="0.3">
      <c r="L2494" s="36"/>
      <c r="R2494" s="34"/>
      <c r="AC2494" s="36"/>
    </row>
    <row r="2495" spans="12:29" x14ac:dyDescent="0.3">
      <c r="L2495" s="36"/>
      <c r="R2495" s="34"/>
      <c r="AC2495" s="36"/>
    </row>
    <row r="2496" spans="12:29" x14ac:dyDescent="0.3">
      <c r="L2496" s="36"/>
      <c r="R2496" s="34"/>
      <c r="AC2496" s="36"/>
    </row>
    <row r="2497" spans="12:29" x14ac:dyDescent="0.3">
      <c r="L2497" s="36"/>
      <c r="R2497" s="34"/>
      <c r="AC2497" s="36"/>
    </row>
    <row r="2498" spans="12:29" x14ac:dyDescent="0.3">
      <c r="L2498" s="36"/>
      <c r="R2498" s="34"/>
      <c r="AC2498" s="36"/>
    </row>
    <row r="2499" spans="12:29" x14ac:dyDescent="0.3">
      <c r="L2499" s="36"/>
      <c r="R2499" s="34"/>
      <c r="AC2499" s="36"/>
    </row>
    <row r="2500" spans="12:29" x14ac:dyDescent="0.3">
      <c r="L2500" s="36"/>
      <c r="R2500" s="34"/>
      <c r="AC2500" s="36"/>
    </row>
    <row r="2501" spans="12:29" x14ac:dyDescent="0.3">
      <c r="L2501" s="36"/>
      <c r="R2501" s="34"/>
      <c r="AC2501" s="36"/>
    </row>
    <row r="2502" spans="12:29" x14ac:dyDescent="0.3">
      <c r="L2502" s="36"/>
      <c r="R2502" s="34"/>
      <c r="AC2502" s="36"/>
    </row>
    <row r="2503" spans="12:29" x14ac:dyDescent="0.3">
      <c r="L2503" s="36"/>
      <c r="R2503" s="34"/>
      <c r="AC2503" s="36"/>
    </row>
    <row r="2504" spans="12:29" x14ac:dyDescent="0.3">
      <c r="L2504" s="36"/>
      <c r="R2504" s="34"/>
      <c r="AC2504" s="36"/>
    </row>
    <row r="2505" spans="12:29" x14ac:dyDescent="0.3">
      <c r="L2505" s="36"/>
      <c r="R2505" s="34"/>
      <c r="AC2505" s="36"/>
    </row>
    <row r="2506" spans="12:29" x14ac:dyDescent="0.3">
      <c r="L2506" s="36"/>
      <c r="R2506" s="34"/>
      <c r="AC2506" s="36"/>
    </row>
    <row r="2507" spans="12:29" x14ac:dyDescent="0.3">
      <c r="L2507" s="36"/>
      <c r="R2507" s="34"/>
      <c r="AC2507" s="36"/>
    </row>
    <row r="2508" spans="12:29" x14ac:dyDescent="0.3">
      <c r="L2508" s="36"/>
      <c r="R2508" s="34"/>
      <c r="AC2508" s="36"/>
    </row>
    <row r="2509" spans="12:29" x14ac:dyDescent="0.3">
      <c r="L2509" s="36"/>
      <c r="R2509" s="34"/>
      <c r="AC2509" s="36"/>
    </row>
    <row r="2510" spans="12:29" x14ac:dyDescent="0.3">
      <c r="L2510" s="36"/>
      <c r="R2510" s="34"/>
      <c r="AC2510" s="36"/>
    </row>
    <row r="2511" spans="12:29" x14ac:dyDescent="0.3">
      <c r="L2511" s="36"/>
      <c r="R2511" s="34"/>
      <c r="AC2511" s="36"/>
    </row>
    <row r="2512" spans="12:29" x14ac:dyDescent="0.3">
      <c r="L2512" s="36"/>
      <c r="R2512" s="34"/>
      <c r="AC2512" s="36"/>
    </row>
    <row r="2513" spans="12:29" x14ac:dyDescent="0.3">
      <c r="L2513" s="36"/>
      <c r="R2513" s="34"/>
      <c r="AC2513" s="36"/>
    </row>
    <row r="2514" spans="12:29" x14ac:dyDescent="0.3">
      <c r="L2514" s="36"/>
      <c r="R2514" s="34"/>
      <c r="AC2514" s="36"/>
    </row>
    <row r="2515" spans="12:29" x14ac:dyDescent="0.3">
      <c r="L2515" s="36"/>
      <c r="R2515" s="34"/>
      <c r="AC2515" s="36"/>
    </row>
    <row r="2516" spans="12:29" x14ac:dyDescent="0.3">
      <c r="L2516" s="36"/>
      <c r="R2516" s="34"/>
      <c r="AC2516" s="36"/>
    </row>
    <row r="2517" spans="12:29" x14ac:dyDescent="0.3">
      <c r="L2517" s="36"/>
      <c r="R2517" s="34"/>
      <c r="AC2517" s="36"/>
    </row>
    <row r="2518" spans="12:29" x14ac:dyDescent="0.3">
      <c r="L2518" s="36"/>
      <c r="R2518" s="34"/>
      <c r="AC2518" s="36"/>
    </row>
    <row r="2519" spans="12:29" x14ac:dyDescent="0.3">
      <c r="L2519" s="36"/>
      <c r="R2519" s="34"/>
      <c r="AC2519" s="36"/>
    </row>
    <row r="2520" spans="12:29" x14ac:dyDescent="0.3">
      <c r="L2520" s="36"/>
      <c r="R2520" s="34"/>
      <c r="AC2520" s="36"/>
    </row>
    <row r="2521" spans="12:29" x14ac:dyDescent="0.3">
      <c r="L2521" s="36"/>
      <c r="R2521" s="34"/>
      <c r="AC2521" s="36"/>
    </row>
    <row r="2522" spans="12:29" x14ac:dyDescent="0.3">
      <c r="L2522" s="36"/>
      <c r="R2522" s="34"/>
      <c r="AC2522" s="36"/>
    </row>
    <row r="2523" spans="12:29" x14ac:dyDescent="0.3">
      <c r="L2523" s="36"/>
      <c r="R2523" s="34"/>
      <c r="AC2523" s="36"/>
    </row>
    <row r="2524" spans="12:29" x14ac:dyDescent="0.3">
      <c r="L2524" s="36"/>
      <c r="R2524" s="34"/>
      <c r="AC2524" s="36"/>
    </row>
    <row r="2525" spans="12:29" x14ac:dyDescent="0.3">
      <c r="L2525" s="36"/>
      <c r="R2525" s="34"/>
      <c r="AC2525" s="36"/>
    </row>
    <row r="2526" spans="12:29" x14ac:dyDescent="0.3">
      <c r="L2526" s="36"/>
      <c r="R2526" s="34"/>
      <c r="AC2526" s="36"/>
    </row>
    <row r="2527" spans="12:29" x14ac:dyDescent="0.3">
      <c r="L2527" s="36"/>
      <c r="R2527" s="34"/>
      <c r="AC2527" s="36"/>
    </row>
    <row r="2528" spans="12:29" x14ac:dyDescent="0.3">
      <c r="L2528" s="36"/>
      <c r="R2528" s="34"/>
      <c r="AC2528" s="36"/>
    </row>
    <row r="2529" spans="12:29" x14ac:dyDescent="0.3">
      <c r="L2529" s="36"/>
      <c r="R2529" s="34"/>
      <c r="AC2529" s="36"/>
    </row>
    <row r="2530" spans="12:29" x14ac:dyDescent="0.3">
      <c r="L2530" s="36"/>
      <c r="R2530" s="34"/>
      <c r="AC2530" s="36"/>
    </row>
    <row r="2531" spans="12:29" x14ac:dyDescent="0.3">
      <c r="L2531" s="36"/>
      <c r="R2531" s="34"/>
      <c r="AC2531" s="36"/>
    </row>
    <row r="2532" spans="12:29" x14ac:dyDescent="0.3">
      <c r="L2532" s="36"/>
      <c r="R2532" s="34"/>
      <c r="AC2532" s="36"/>
    </row>
    <row r="2533" spans="12:29" x14ac:dyDescent="0.3">
      <c r="L2533" s="36"/>
      <c r="R2533" s="34"/>
      <c r="AC2533" s="36"/>
    </row>
    <row r="2534" spans="12:29" x14ac:dyDescent="0.3">
      <c r="L2534" s="36"/>
      <c r="R2534" s="34"/>
      <c r="AC2534" s="36"/>
    </row>
    <row r="2535" spans="12:29" x14ac:dyDescent="0.3">
      <c r="L2535" s="36"/>
      <c r="R2535" s="34"/>
      <c r="AC2535" s="36"/>
    </row>
    <row r="2536" spans="12:29" x14ac:dyDescent="0.3">
      <c r="L2536" s="36"/>
      <c r="R2536" s="34"/>
      <c r="AC2536" s="36"/>
    </row>
    <row r="2537" spans="12:29" x14ac:dyDescent="0.3">
      <c r="L2537" s="36"/>
      <c r="R2537" s="34"/>
      <c r="AC2537" s="36"/>
    </row>
    <row r="2538" spans="12:29" x14ac:dyDescent="0.3">
      <c r="L2538" s="36"/>
      <c r="R2538" s="34"/>
      <c r="AC2538" s="36"/>
    </row>
    <row r="2539" spans="12:29" x14ac:dyDescent="0.3">
      <c r="L2539" s="36"/>
      <c r="R2539" s="34"/>
      <c r="AC2539" s="36"/>
    </row>
    <row r="2540" spans="12:29" x14ac:dyDescent="0.3">
      <c r="L2540" s="36"/>
      <c r="R2540" s="34"/>
      <c r="AC2540" s="36"/>
    </row>
    <row r="2541" spans="12:29" x14ac:dyDescent="0.3">
      <c r="L2541" s="36"/>
      <c r="R2541" s="34"/>
      <c r="AC2541" s="36"/>
    </row>
    <row r="2542" spans="12:29" x14ac:dyDescent="0.3">
      <c r="L2542" s="36"/>
      <c r="R2542" s="34"/>
      <c r="AC2542" s="36"/>
    </row>
    <row r="2543" spans="12:29" x14ac:dyDescent="0.3">
      <c r="L2543" s="36"/>
      <c r="R2543" s="34"/>
      <c r="AC2543" s="36"/>
    </row>
    <row r="2544" spans="12:29" x14ac:dyDescent="0.3">
      <c r="L2544" s="36"/>
      <c r="R2544" s="34"/>
      <c r="AC2544" s="36"/>
    </row>
    <row r="2545" spans="12:29" x14ac:dyDescent="0.3">
      <c r="L2545" s="36"/>
      <c r="R2545" s="34"/>
      <c r="AC2545" s="36"/>
    </row>
    <row r="2546" spans="12:29" x14ac:dyDescent="0.3">
      <c r="L2546" s="36"/>
      <c r="R2546" s="34"/>
      <c r="AC2546" s="36"/>
    </row>
    <row r="2547" spans="12:29" x14ac:dyDescent="0.3">
      <c r="L2547" s="36"/>
      <c r="R2547" s="34"/>
      <c r="AC2547" s="36"/>
    </row>
    <row r="2548" spans="12:29" x14ac:dyDescent="0.3">
      <c r="L2548" s="36"/>
      <c r="R2548" s="34"/>
      <c r="AC2548" s="36"/>
    </row>
    <row r="2549" spans="12:29" x14ac:dyDescent="0.3">
      <c r="L2549" s="36"/>
      <c r="R2549" s="34"/>
      <c r="AC2549" s="36"/>
    </row>
    <row r="2550" spans="12:29" x14ac:dyDescent="0.3">
      <c r="L2550" s="36"/>
      <c r="R2550" s="34"/>
      <c r="AC2550" s="36"/>
    </row>
    <row r="2551" spans="12:29" x14ac:dyDescent="0.3">
      <c r="L2551" s="36"/>
      <c r="R2551" s="34"/>
      <c r="AC2551" s="36"/>
    </row>
    <row r="2552" spans="12:29" x14ac:dyDescent="0.3">
      <c r="L2552" s="36"/>
      <c r="R2552" s="34"/>
      <c r="AC2552" s="36"/>
    </row>
    <row r="2553" spans="12:29" x14ac:dyDescent="0.3">
      <c r="L2553" s="36"/>
      <c r="R2553" s="34"/>
      <c r="AC2553" s="36"/>
    </row>
    <row r="2554" spans="12:29" x14ac:dyDescent="0.3">
      <c r="L2554" s="36"/>
      <c r="R2554" s="34"/>
      <c r="AC2554" s="36"/>
    </row>
    <row r="2555" spans="12:29" x14ac:dyDescent="0.3">
      <c r="L2555" s="36"/>
      <c r="R2555" s="34"/>
      <c r="AC2555" s="36"/>
    </row>
    <row r="2556" spans="12:29" x14ac:dyDescent="0.3">
      <c r="L2556" s="36"/>
      <c r="R2556" s="34"/>
      <c r="AC2556" s="36"/>
    </row>
    <row r="2557" spans="12:29" x14ac:dyDescent="0.3">
      <c r="L2557" s="36"/>
      <c r="R2557" s="34"/>
      <c r="AC2557" s="36"/>
    </row>
    <row r="2558" spans="12:29" x14ac:dyDescent="0.3">
      <c r="L2558" s="36"/>
      <c r="R2558" s="34"/>
      <c r="AC2558" s="36"/>
    </row>
    <row r="2559" spans="12:29" x14ac:dyDescent="0.3">
      <c r="L2559" s="36"/>
      <c r="R2559" s="34"/>
      <c r="AC2559" s="36"/>
    </row>
    <row r="2560" spans="12:29" x14ac:dyDescent="0.3">
      <c r="L2560" s="36"/>
      <c r="R2560" s="34"/>
      <c r="AC2560" s="36"/>
    </row>
    <row r="2561" spans="12:29" x14ac:dyDescent="0.3">
      <c r="L2561" s="36"/>
      <c r="R2561" s="34"/>
      <c r="AC2561" s="36"/>
    </row>
    <row r="2562" spans="12:29" x14ac:dyDescent="0.3">
      <c r="L2562" s="36"/>
      <c r="R2562" s="34"/>
      <c r="AC2562" s="36"/>
    </row>
    <row r="2563" spans="12:29" x14ac:dyDescent="0.3">
      <c r="L2563" s="36"/>
      <c r="R2563" s="34"/>
      <c r="AC2563" s="36"/>
    </row>
    <row r="2564" spans="12:29" x14ac:dyDescent="0.3">
      <c r="L2564" s="36"/>
      <c r="R2564" s="34"/>
      <c r="AC2564" s="36"/>
    </row>
    <row r="2565" spans="12:29" x14ac:dyDescent="0.3">
      <c r="L2565" s="36"/>
      <c r="R2565" s="34"/>
      <c r="AC2565" s="36"/>
    </row>
    <row r="2566" spans="12:29" x14ac:dyDescent="0.3">
      <c r="L2566" s="36"/>
      <c r="R2566" s="34"/>
      <c r="AC2566" s="36"/>
    </row>
    <row r="2567" spans="12:29" x14ac:dyDescent="0.3">
      <c r="L2567" s="36"/>
      <c r="R2567" s="34"/>
      <c r="AC2567" s="36"/>
    </row>
    <row r="2568" spans="12:29" x14ac:dyDescent="0.3">
      <c r="L2568" s="36"/>
      <c r="R2568" s="34"/>
      <c r="AC2568" s="36"/>
    </row>
    <row r="2569" spans="12:29" x14ac:dyDescent="0.3">
      <c r="L2569" s="36"/>
      <c r="R2569" s="34"/>
      <c r="AC2569" s="36"/>
    </row>
    <row r="2570" spans="12:29" x14ac:dyDescent="0.3">
      <c r="L2570" s="36"/>
      <c r="R2570" s="34"/>
      <c r="AC2570" s="36"/>
    </row>
    <row r="2571" spans="12:29" x14ac:dyDescent="0.3">
      <c r="L2571" s="36"/>
      <c r="R2571" s="34"/>
      <c r="AC2571" s="36"/>
    </row>
    <row r="2572" spans="12:29" x14ac:dyDescent="0.3">
      <c r="L2572" s="36"/>
      <c r="R2572" s="34"/>
      <c r="AC2572" s="36"/>
    </row>
    <row r="2573" spans="12:29" x14ac:dyDescent="0.3">
      <c r="L2573" s="36"/>
      <c r="R2573" s="34"/>
      <c r="AC2573" s="36"/>
    </row>
    <row r="2574" spans="12:29" x14ac:dyDescent="0.3">
      <c r="L2574" s="36"/>
      <c r="R2574" s="34"/>
      <c r="AC2574" s="36"/>
    </row>
    <row r="2575" spans="12:29" x14ac:dyDescent="0.3">
      <c r="L2575" s="36"/>
      <c r="R2575" s="34"/>
      <c r="AC2575" s="36"/>
    </row>
    <row r="2576" spans="12:29" x14ac:dyDescent="0.3">
      <c r="L2576" s="36"/>
      <c r="R2576" s="34"/>
      <c r="AC2576" s="36"/>
    </row>
    <row r="2577" spans="12:29" x14ac:dyDescent="0.3">
      <c r="L2577" s="36"/>
      <c r="R2577" s="34"/>
      <c r="AC2577" s="36"/>
    </row>
    <row r="2578" spans="12:29" x14ac:dyDescent="0.3">
      <c r="L2578" s="36"/>
      <c r="R2578" s="34"/>
      <c r="AC2578" s="36"/>
    </row>
    <row r="2579" spans="12:29" x14ac:dyDescent="0.3">
      <c r="L2579" s="36"/>
      <c r="R2579" s="34"/>
      <c r="AC2579" s="36"/>
    </row>
    <row r="2580" spans="12:29" x14ac:dyDescent="0.3">
      <c r="L2580" s="36"/>
      <c r="R2580" s="34"/>
      <c r="AC2580" s="36"/>
    </row>
    <row r="2581" spans="12:29" x14ac:dyDescent="0.3">
      <c r="L2581" s="36"/>
      <c r="R2581" s="34"/>
      <c r="AC2581" s="36"/>
    </row>
    <row r="2582" spans="12:29" x14ac:dyDescent="0.3">
      <c r="L2582" s="36"/>
      <c r="R2582" s="34"/>
      <c r="AC2582" s="36"/>
    </row>
    <row r="2583" spans="12:29" x14ac:dyDescent="0.3">
      <c r="L2583" s="36"/>
      <c r="R2583" s="34"/>
      <c r="AC2583" s="36"/>
    </row>
    <row r="2584" spans="12:29" x14ac:dyDescent="0.3">
      <c r="L2584" s="36"/>
      <c r="R2584" s="34"/>
      <c r="AC2584" s="36"/>
    </row>
    <row r="2585" spans="12:29" x14ac:dyDescent="0.3">
      <c r="L2585" s="36"/>
      <c r="R2585" s="34"/>
      <c r="AC2585" s="36"/>
    </row>
    <row r="2586" spans="12:29" x14ac:dyDescent="0.3">
      <c r="L2586" s="36"/>
      <c r="R2586" s="34"/>
      <c r="AC2586" s="36"/>
    </row>
    <row r="2587" spans="12:29" x14ac:dyDescent="0.3">
      <c r="L2587" s="36"/>
      <c r="R2587" s="34"/>
      <c r="AC2587" s="36"/>
    </row>
    <row r="2588" spans="12:29" x14ac:dyDescent="0.3">
      <c r="L2588" s="36"/>
      <c r="R2588" s="34"/>
      <c r="AC2588" s="36"/>
    </row>
    <row r="2589" spans="12:29" x14ac:dyDescent="0.3">
      <c r="L2589" s="36"/>
      <c r="R2589" s="34"/>
      <c r="AC2589" s="36"/>
    </row>
    <row r="2590" spans="12:29" x14ac:dyDescent="0.3">
      <c r="L2590" s="36"/>
      <c r="R2590" s="34"/>
      <c r="AC2590" s="36"/>
    </row>
    <row r="2591" spans="12:29" x14ac:dyDescent="0.3">
      <c r="L2591" s="36"/>
      <c r="R2591" s="34"/>
      <c r="AC2591" s="36"/>
    </row>
    <row r="2592" spans="12:29" x14ac:dyDescent="0.3">
      <c r="L2592" s="36"/>
      <c r="R2592" s="34"/>
      <c r="AC2592" s="36"/>
    </row>
    <row r="2593" spans="12:29" x14ac:dyDescent="0.3">
      <c r="L2593" s="36"/>
      <c r="R2593" s="34"/>
      <c r="AC2593" s="36"/>
    </row>
    <row r="2594" spans="12:29" x14ac:dyDescent="0.3">
      <c r="L2594" s="36"/>
      <c r="R2594" s="34"/>
      <c r="AC2594" s="36"/>
    </row>
    <row r="2595" spans="12:29" x14ac:dyDescent="0.3">
      <c r="L2595" s="36"/>
      <c r="R2595" s="34"/>
      <c r="AC2595" s="36"/>
    </row>
    <row r="2596" spans="12:29" x14ac:dyDescent="0.3">
      <c r="L2596" s="36"/>
      <c r="R2596" s="34"/>
      <c r="AC2596" s="36"/>
    </row>
    <row r="2597" spans="12:29" x14ac:dyDescent="0.3">
      <c r="L2597" s="36"/>
      <c r="R2597" s="34"/>
      <c r="AC2597" s="36"/>
    </row>
    <row r="2598" spans="12:29" x14ac:dyDescent="0.3">
      <c r="L2598" s="36"/>
      <c r="R2598" s="34"/>
      <c r="AC2598" s="36"/>
    </row>
    <row r="2599" spans="12:29" x14ac:dyDescent="0.3">
      <c r="L2599" s="36"/>
      <c r="R2599" s="34"/>
      <c r="AC2599" s="36"/>
    </row>
    <row r="2600" spans="12:29" x14ac:dyDescent="0.3">
      <c r="L2600" s="36"/>
      <c r="R2600" s="34"/>
      <c r="AC2600" s="36"/>
    </row>
    <row r="2601" spans="12:29" x14ac:dyDescent="0.3">
      <c r="L2601" s="36"/>
      <c r="R2601" s="34"/>
      <c r="AC2601" s="36"/>
    </row>
    <row r="2602" spans="12:29" x14ac:dyDescent="0.3">
      <c r="L2602" s="36"/>
      <c r="R2602" s="34"/>
      <c r="AC2602" s="36"/>
    </row>
    <row r="2603" spans="12:29" x14ac:dyDescent="0.3">
      <c r="L2603" s="36"/>
      <c r="R2603" s="34"/>
      <c r="AC2603" s="36"/>
    </row>
    <row r="2604" spans="12:29" x14ac:dyDescent="0.3">
      <c r="L2604" s="36"/>
      <c r="R2604" s="34"/>
      <c r="AC2604" s="36"/>
    </row>
    <row r="2605" spans="12:29" x14ac:dyDescent="0.3">
      <c r="L2605" s="36"/>
      <c r="R2605" s="34"/>
      <c r="AC2605" s="36"/>
    </row>
    <row r="2606" spans="12:29" x14ac:dyDescent="0.3">
      <c r="L2606" s="36"/>
      <c r="R2606" s="34"/>
      <c r="AC2606" s="36"/>
    </row>
    <row r="2607" spans="12:29" x14ac:dyDescent="0.3">
      <c r="L2607" s="36"/>
      <c r="R2607" s="34"/>
      <c r="AC2607" s="36"/>
    </row>
    <row r="2608" spans="12:29" x14ac:dyDescent="0.3">
      <c r="L2608" s="36"/>
      <c r="R2608" s="34"/>
      <c r="AC2608" s="36"/>
    </row>
    <row r="2609" spans="12:29" x14ac:dyDescent="0.3">
      <c r="L2609" s="36"/>
      <c r="R2609" s="34"/>
      <c r="AC2609" s="36"/>
    </row>
    <row r="2610" spans="12:29" x14ac:dyDescent="0.3">
      <c r="L2610" s="36"/>
      <c r="R2610" s="34"/>
      <c r="AC2610" s="36"/>
    </row>
    <row r="2611" spans="12:29" x14ac:dyDescent="0.3">
      <c r="L2611" s="36"/>
      <c r="R2611" s="34"/>
      <c r="AC2611" s="36"/>
    </row>
    <row r="2612" spans="12:29" x14ac:dyDescent="0.3">
      <c r="L2612" s="36"/>
      <c r="R2612" s="34"/>
      <c r="AC2612" s="36"/>
    </row>
    <row r="2613" spans="12:29" x14ac:dyDescent="0.3">
      <c r="L2613" s="36"/>
      <c r="R2613" s="34"/>
      <c r="AC2613" s="36"/>
    </row>
    <row r="2614" spans="12:29" x14ac:dyDescent="0.3">
      <c r="L2614" s="36"/>
      <c r="R2614" s="34"/>
      <c r="AC2614" s="36"/>
    </row>
    <row r="2615" spans="12:29" x14ac:dyDescent="0.3">
      <c r="L2615" s="36"/>
      <c r="R2615" s="34"/>
      <c r="AC2615" s="36"/>
    </row>
    <row r="2616" spans="12:29" x14ac:dyDescent="0.3">
      <c r="L2616" s="36"/>
      <c r="R2616" s="34"/>
      <c r="AC2616" s="36"/>
    </row>
    <row r="2617" spans="12:29" x14ac:dyDescent="0.3">
      <c r="L2617" s="36"/>
      <c r="R2617" s="34"/>
      <c r="AC2617" s="36"/>
    </row>
    <row r="2618" spans="12:29" x14ac:dyDescent="0.3">
      <c r="L2618" s="36"/>
      <c r="R2618" s="34"/>
      <c r="AC2618" s="36"/>
    </row>
    <row r="2619" spans="12:29" x14ac:dyDescent="0.3">
      <c r="L2619" s="36"/>
      <c r="R2619" s="34"/>
      <c r="AC2619" s="36"/>
    </row>
    <row r="2620" spans="12:29" x14ac:dyDescent="0.3">
      <c r="L2620" s="36"/>
      <c r="R2620" s="34"/>
      <c r="AC2620" s="36"/>
    </row>
    <row r="2621" spans="12:29" x14ac:dyDescent="0.3">
      <c r="L2621" s="36"/>
      <c r="R2621" s="34"/>
      <c r="AC2621" s="36"/>
    </row>
    <row r="2622" spans="12:29" x14ac:dyDescent="0.3">
      <c r="L2622" s="36"/>
      <c r="R2622" s="34"/>
      <c r="AC2622" s="36"/>
    </row>
    <row r="2623" spans="12:29" x14ac:dyDescent="0.3">
      <c r="L2623" s="36"/>
      <c r="R2623" s="34"/>
      <c r="AC2623" s="36"/>
    </row>
    <row r="2624" spans="12:29" x14ac:dyDescent="0.3">
      <c r="L2624" s="36"/>
      <c r="R2624" s="34"/>
      <c r="AC2624" s="36"/>
    </row>
    <row r="2625" spans="12:29" x14ac:dyDescent="0.3">
      <c r="L2625" s="36"/>
      <c r="R2625" s="34"/>
      <c r="AC2625" s="36"/>
    </row>
    <row r="2626" spans="12:29" x14ac:dyDescent="0.3">
      <c r="L2626" s="36"/>
      <c r="R2626" s="34"/>
      <c r="AC2626" s="36"/>
    </row>
    <row r="2627" spans="12:29" x14ac:dyDescent="0.3">
      <c r="L2627" s="36"/>
      <c r="R2627" s="34"/>
      <c r="AC2627" s="36"/>
    </row>
    <row r="2628" spans="12:29" x14ac:dyDescent="0.3">
      <c r="L2628" s="36"/>
      <c r="R2628" s="34"/>
      <c r="AC2628" s="36"/>
    </row>
    <row r="2629" spans="12:29" x14ac:dyDescent="0.3">
      <c r="L2629" s="36"/>
      <c r="R2629" s="34"/>
      <c r="AC2629" s="36"/>
    </row>
    <row r="2630" spans="12:29" x14ac:dyDescent="0.3">
      <c r="L2630" s="36"/>
      <c r="R2630" s="34"/>
      <c r="AC2630" s="36"/>
    </row>
    <row r="2631" spans="12:29" x14ac:dyDescent="0.3">
      <c r="L2631" s="36"/>
      <c r="R2631" s="34"/>
      <c r="AC2631" s="36"/>
    </row>
    <row r="2632" spans="12:29" x14ac:dyDescent="0.3">
      <c r="L2632" s="36"/>
      <c r="R2632" s="34"/>
      <c r="AC2632" s="36"/>
    </row>
    <row r="2633" spans="12:29" x14ac:dyDescent="0.3">
      <c r="L2633" s="36"/>
      <c r="R2633" s="34"/>
      <c r="AC2633" s="36"/>
    </row>
    <row r="2634" spans="12:29" x14ac:dyDescent="0.3">
      <c r="L2634" s="36"/>
      <c r="R2634" s="34"/>
      <c r="AC2634" s="36"/>
    </row>
    <row r="2635" spans="12:29" x14ac:dyDescent="0.3">
      <c r="L2635" s="36"/>
      <c r="R2635" s="34"/>
      <c r="AC2635" s="36"/>
    </row>
    <row r="2636" spans="12:29" x14ac:dyDescent="0.3">
      <c r="L2636" s="36"/>
      <c r="R2636" s="34"/>
      <c r="AC2636" s="36"/>
    </row>
    <row r="2637" spans="12:29" x14ac:dyDescent="0.3">
      <c r="L2637" s="36"/>
      <c r="R2637" s="34"/>
      <c r="AC2637" s="36"/>
    </row>
    <row r="2638" spans="12:29" x14ac:dyDescent="0.3">
      <c r="L2638" s="36"/>
      <c r="R2638" s="34"/>
      <c r="AC2638" s="36"/>
    </row>
    <row r="2639" spans="12:29" x14ac:dyDescent="0.3">
      <c r="L2639" s="36"/>
      <c r="R2639" s="34"/>
      <c r="AC2639" s="36"/>
    </row>
    <row r="2640" spans="12:29" x14ac:dyDescent="0.3">
      <c r="L2640" s="36"/>
      <c r="R2640" s="34"/>
      <c r="AC2640" s="36"/>
    </row>
    <row r="2641" spans="12:29" x14ac:dyDescent="0.3">
      <c r="L2641" s="36"/>
      <c r="R2641" s="34"/>
      <c r="AC2641" s="36"/>
    </row>
    <row r="2642" spans="12:29" x14ac:dyDescent="0.3">
      <c r="L2642" s="36"/>
      <c r="R2642" s="34"/>
      <c r="AC2642" s="36"/>
    </row>
    <row r="2643" spans="12:29" x14ac:dyDescent="0.3">
      <c r="L2643" s="36"/>
      <c r="R2643" s="34"/>
      <c r="AC2643" s="36"/>
    </row>
    <row r="2644" spans="12:29" x14ac:dyDescent="0.3">
      <c r="L2644" s="36"/>
      <c r="R2644" s="34"/>
      <c r="AC2644" s="36"/>
    </row>
    <row r="2645" spans="12:29" x14ac:dyDescent="0.3">
      <c r="L2645" s="36"/>
      <c r="R2645" s="34"/>
      <c r="AC2645" s="36"/>
    </row>
    <row r="2646" spans="12:29" x14ac:dyDescent="0.3">
      <c r="L2646" s="36"/>
      <c r="R2646" s="34"/>
      <c r="AC2646" s="36"/>
    </row>
    <row r="2647" spans="12:29" x14ac:dyDescent="0.3">
      <c r="L2647" s="36"/>
      <c r="R2647" s="34"/>
      <c r="AC2647" s="36"/>
    </row>
    <row r="2648" spans="12:29" x14ac:dyDescent="0.3">
      <c r="L2648" s="36"/>
      <c r="R2648" s="34"/>
      <c r="AC2648" s="36"/>
    </row>
    <row r="2649" spans="12:29" x14ac:dyDescent="0.3">
      <c r="L2649" s="36"/>
      <c r="R2649" s="34"/>
      <c r="AC2649" s="36"/>
    </row>
    <row r="2650" spans="12:29" x14ac:dyDescent="0.3">
      <c r="L2650" s="36"/>
      <c r="R2650" s="34"/>
      <c r="AC2650" s="36"/>
    </row>
    <row r="2651" spans="12:29" x14ac:dyDescent="0.3">
      <c r="L2651" s="36"/>
      <c r="R2651" s="34"/>
      <c r="AC2651" s="36"/>
    </row>
    <row r="2652" spans="12:29" x14ac:dyDescent="0.3">
      <c r="L2652" s="36"/>
      <c r="R2652" s="34"/>
      <c r="AC2652" s="36"/>
    </row>
    <row r="2653" spans="12:29" x14ac:dyDescent="0.3">
      <c r="L2653" s="36"/>
      <c r="R2653" s="34"/>
      <c r="AC2653" s="36"/>
    </row>
    <row r="2654" spans="12:29" x14ac:dyDescent="0.3">
      <c r="L2654" s="36"/>
      <c r="R2654" s="34"/>
      <c r="AC2654" s="36"/>
    </row>
    <row r="2655" spans="12:29" x14ac:dyDescent="0.3">
      <c r="L2655" s="36"/>
      <c r="R2655" s="34"/>
      <c r="AC2655" s="36"/>
    </row>
    <row r="2656" spans="12:29" x14ac:dyDescent="0.3">
      <c r="L2656" s="36"/>
      <c r="R2656" s="34"/>
      <c r="AC2656" s="36"/>
    </row>
    <row r="2657" spans="12:29" x14ac:dyDescent="0.3">
      <c r="L2657" s="36"/>
      <c r="R2657" s="34"/>
      <c r="AC2657" s="36"/>
    </row>
    <row r="2658" spans="12:29" x14ac:dyDescent="0.3">
      <c r="L2658" s="36"/>
      <c r="R2658" s="34"/>
      <c r="AC2658" s="36"/>
    </row>
    <row r="2659" spans="12:29" x14ac:dyDescent="0.3">
      <c r="L2659" s="36"/>
      <c r="R2659" s="34"/>
      <c r="AC2659" s="36"/>
    </row>
    <row r="2660" spans="12:29" x14ac:dyDescent="0.3">
      <c r="L2660" s="36"/>
      <c r="R2660" s="34"/>
      <c r="AC2660" s="36"/>
    </row>
    <row r="2661" spans="12:29" x14ac:dyDescent="0.3">
      <c r="L2661" s="36"/>
      <c r="R2661" s="34"/>
      <c r="AC2661" s="36"/>
    </row>
    <row r="2662" spans="12:29" x14ac:dyDescent="0.3">
      <c r="L2662" s="36"/>
      <c r="R2662" s="34"/>
      <c r="AC2662" s="36"/>
    </row>
    <row r="2663" spans="12:29" x14ac:dyDescent="0.3">
      <c r="L2663" s="36"/>
      <c r="R2663" s="34"/>
      <c r="AC2663" s="36"/>
    </row>
    <row r="2664" spans="12:29" x14ac:dyDescent="0.3">
      <c r="L2664" s="36"/>
      <c r="R2664" s="34"/>
      <c r="AC2664" s="36"/>
    </row>
    <row r="2665" spans="12:29" x14ac:dyDescent="0.3">
      <c r="L2665" s="36"/>
      <c r="R2665" s="34"/>
      <c r="AC2665" s="36"/>
    </row>
    <row r="2666" spans="12:29" x14ac:dyDescent="0.3">
      <c r="L2666" s="36"/>
      <c r="R2666" s="34"/>
      <c r="AC2666" s="36"/>
    </row>
    <row r="2667" spans="12:29" x14ac:dyDescent="0.3">
      <c r="L2667" s="36"/>
      <c r="R2667" s="34"/>
      <c r="AC2667" s="36"/>
    </row>
    <row r="2668" spans="12:29" x14ac:dyDescent="0.3">
      <c r="L2668" s="36"/>
      <c r="R2668" s="34"/>
      <c r="AC2668" s="36"/>
    </row>
    <row r="2669" spans="12:29" x14ac:dyDescent="0.3">
      <c r="L2669" s="36"/>
      <c r="R2669" s="34"/>
      <c r="AC2669" s="36"/>
    </row>
    <row r="2670" spans="12:29" x14ac:dyDescent="0.3">
      <c r="L2670" s="36"/>
      <c r="R2670" s="34"/>
      <c r="AC2670" s="36"/>
    </row>
    <row r="2671" spans="12:29" x14ac:dyDescent="0.3">
      <c r="L2671" s="36"/>
      <c r="R2671" s="34"/>
      <c r="AC2671" s="36"/>
    </row>
    <row r="2672" spans="12:29" x14ac:dyDescent="0.3">
      <c r="L2672" s="36"/>
      <c r="R2672" s="34"/>
      <c r="AC2672" s="36"/>
    </row>
    <row r="2673" spans="12:29" x14ac:dyDescent="0.3">
      <c r="L2673" s="36"/>
      <c r="R2673" s="34"/>
      <c r="AC2673" s="36"/>
    </row>
    <row r="2674" spans="12:29" x14ac:dyDescent="0.3">
      <c r="L2674" s="36"/>
      <c r="R2674" s="34"/>
      <c r="AC2674" s="36"/>
    </row>
    <row r="2675" spans="12:29" x14ac:dyDescent="0.3">
      <c r="L2675" s="36"/>
      <c r="R2675" s="34"/>
      <c r="AC2675" s="36"/>
    </row>
    <row r="2676" spans="12:29" x14ac:dyDescent="0.3">
      <c r="L2676" s="36"/>
      <c r="R2676" s="34"/>
      <c r="AC2676" s="36"/>
    </row>
    <row r="2677" spans="12:29" x14ac:dyDescent="0.3">
      <c r="L2677" s="36"/>
      <c r="R2677" s="34"/>
      <c r="AC2677" s="36"/>
    </row>
    <row r="2678" spans="12:29" x14ac:dyDescent="0.3">
      <c r="L2678" s="36"/>
      <c r="R2678" s="34"/>
      <c r="AC2678" s="36"/>
    </row>
    <row r="2679" spans="12:29" x14ac:dyDescent="0.3">
      <c r="L2679" s="36"/>
      <c r="R2679" s="34"/>
      <c r="AC2679" s="36"/>
    </row>
    <row r="2680" spans="12:29" x14ac:dyDescent="0.3">
      <c r="L2680" s="36"/>
      <c r="R2680" s="34"/>
      <c r="AC2680" s="36"/>
    </row>
    <row r="2681" spans="12:29" x14ac:dyDescent="0.3">
      <c r="L2681" s="36"/>
      <c r="R2681" s="34"/>
      <c r="AC2681" s="36"/>
    </row>
    <row r="2682" spans="12:29" x14ac:dyDescent="0.3">
      <c r="L2682" s="36"/>
      <c r="R2682" s="34"/>
      <c r="AC2682" s="36"/>
    </row>
    <row r="2683" spans="12:29" x14ac:dyDescent="0.3">
      <c r="L2683" s="36"/>
      <c r="R2683" s="34"/>
      <c r="AC2683" s="36"/>
    </row>
    <row r="2684" spans="12:29" x14ac:dyDescent="0.3">
      <c r="L2684" s="36"/>
      <c r="R2684" s="34"/>
      <c r="AC2684" s="36"/>
    </row>
    <row r="2685" spans="12:29" x14ac:dyDescent="0.3">
      <c r="L2685" s="36"/>
      <c r="R2685" s="34"/>
      <c r="AC2685" s="36"/>
    </row>
    <row r="2686" spans="12:29" x14ac:dyDescent="0.3">
      <c r="L2686" s="36"/>
      <c r="R2686" s="34"/>
      <c r="AC2686" s="36"/>
    </row>
    <row r="2687" spans="12:29" x14ac:dyDescent="0.3">
      <c r="L2687" s="36"/>
      <c r="R2687" s="34"/>
      <c r="AC2687" s="36"/>
    </row>
    <row r="2688" spans="12:29" x14ac:dyDescent="0.3">
      <c r="L2688" s="36"/>
      <c r="R2688" s="34"/>
      <c r="AC2688" s="36"/>
    </row>
    <row r="2689" spans="12:29" x14ac:dyDescent="0.3">
      <c r="L2689" s="36"/>
      <c r="R2689" s="34"/>
      <c r="AC2689" s="36"/>
    </row>
    <row r="2690" spans="12:29" x14ac:dyDescent="0.3">
      <c r="L2690" s="36"/>
      <c r="R2690" s="34"/>
      <c r="AC2690" s="36"/>
    </row>
    <row r="2691" spans="12:29" x14ac:dyDescent="0.3">
      <c r="L2691" s="36"/>
      <c r="R2691" s="34"/>
      <c r="AC2691" s="36"/>
    </row>
    <row r="2692" spans="12:29" x14ac:dyDescent="0.3">
      <c r="L2692" s="36"/>
      <c r="R2692" s="34"/>
      <c r="AC2692" s="36"/>
    </row>
    <row r="2693" spans="12:29" x14ac:dyDescent="0.3">
      <c r="L2693" s="36"/>
      <c r="R2693" s="34"/>
      <c r="AC2693" s="36"/>
    </row>
    <row r="2694" spans="12:29" x14ac:dyDescent="0.3">
      <c r="L2694" s="36"/>
      <c r="R2694" s="34"/>
      <c r="AC2694" s="36"/>
    </row>
    <row r="2695" spans="12:29" x14ac:dyDescent="0.3">
      <c r="L2695" s="36"/>
      <c r="R2695" s="34"/>
      <c r="AC2695" s="36"/>
    </row>
    <row r="2696" spans="12:29" x14ac:dyDescent="0.3">
      <c r="L2696" s="36"/>
      <c r="R2696" s="34"/>
      <c r="AC2696" s="36"/>
    </row>
    <row r="2697" spans="12:29" x14ac:dyDescent="0.3">
      <c r="L2697" s="36"/>
      <c r="R2697" s="34"/>
      <c r="AC2697" s="36"/>
    </row>
    <row r="2698" spans="12:29" x14ac:dyDescent="0.3">
      <c r="L2698" s="36"/>
      <c r="R2698" s="34"/>
      <c r="AC2698" s="36"/>
    </row>
    <row r="2699" spans="12:29" x14ac:dyDescent="0.3">
      <c r="L2699" s="36"/>
      <c r="R2699" s="34"/>
      <c r="AC2699" s="36"/>
    </row>
    <row r="2700" spans="12:29" x14ac:dyDescent="0.3">
      <c r="L2700" s="36"/>
      <c r="R2700" s="34"/>
      <c r="AC2700" s="36"/>
    </row>
    <row r="2701" spans="12:29" x14ac:dyDescent="0.3">
      <c r="L2701" s="36"/>
      <c r="R2701" s="34"/>
      <c r="AC2701" s="36"/>
    </row>
    <row r="2702" spans="12:29" x14ac:dyDescent="0.3">
      <c r="L2702" s="36"/>
      <c r="R2702" s="34"/>
      <c r="AC2702" s="36"/>
    </row>
    <row r="2703" spans="12:29" x14ac:dyDescent="0.3">
      <c r="L2703" s="36"/>
      <c r="R2703" s="34"/>
      <c r="AC2703" s="36"/>
    </row>
    <row r="2704" spans="12:29" x14ac:dyDescent="0.3">
      <c r="L2704" s="36"/>
      <c r="R2704" s="34"/>
      <c r="AC2704" s="36"/>
    </row>
    <row r="2705" spans="12:29" x14ac:dyDescent="0.3">
      <c r="L2705" s="36"/>
      <c r="R2705" s="34"/>
      <c r="AC2705" s="36"/>
    </row>
    <row r="2706" spans="12:29" x14ac:dyDescent="0.3">
      <c r="L2706" s="36"/>
      <c r="R2706" s="34"/>
      <c r="AC2706" s="36"/>
    </row>
    <row r="2707" spans="12:29" x14ac:dyDescent="0.3">
      <c r="L2707" s="36"/>
      <c r="R2707" s="34"/>
      <c r="AC2707" s="36"/>
    </row>
    <row r="2708" spans="12:29" x14ac:dyDescent="0.3">
      <c r="L2708" s="36"/>
      <c r="R2708" s="34"/>
      <c r="AC2708" s="36"/>
    </row>
    <row r="2709" spans="12:29" x14ac:dyDescent="0.3">
      <c r="L2709" s="36"/>
      <c r="R2709" s="34"/>
      <c r="AC2709" s="36"/>
    </row>
    <row r="2710" spans="12:29" x14ac:dyDescent="0.3">
      <c r="L2710" s="36"/>
      <c r="R2710" s="34"/>
      <c r="AC2710" s="36"/>
    </row>
    <row r="2711" spans="12:29" x14ac:dyDescent="0.3">
      <c r="L2711" s="36"/>
      <c r="R2711" s="34"/>
      <c r="AC2711" s="36"/>
    </row>
    <row r="2712" spans="12:29" x14ac:dyDescent="0.3">
      <c r="L2712" s="36"/>
      <c r="R2712" s="34"/>
      <c r="AC2712" s="36"/>
    </row>
    <row r="2713" spans="12:29" x14ac:dyDescent="0.3">
      <c r="L2713" s="36"/>
      <c r="R2713" s="34"/>
      <c r="AC2713" s="36"/>
    </row>
    <row r="2714" spans="12:29" x14ac:dyDescent="0.3">
      <c r="L2714" s="36"/>
      <c r="R2714" s="34"/>
      <c r="AC2714" s="36"/>
    </row>
    <row r="2715" spans="12:29" x14ac:dyDescent="0.3">
      <c r="L2715" s="36"/>
      <c r="R2715" s="34"/>
      <c r="AC2715" s="36"/>
    </row>
    <row r="2716" spans="12:29" x14ac:dyDescent="0.3">
      <c r="L2716" s="36"/>
      <c r="R2716" s="34"/>
      <c r="AC2716" s="36"/>
    </row>
    <row r="2717" spans="12:29" x14ac:dyDescent="0.3">
      <c r="L2717" s="36"/>
      <c r="R2717" s="34"/>
      <c r="AC2717" s="36"/>
    </row>
    <row r="2718" spans="12:29" x14ac:dyDescent="0.3">
      <c r="L2718" s="36"/>
      <c r="R2718" s="34"/>
      <c r="AC2718" s="36"/>
    </row>
    <row r="2719" spans="12:29" x14ac:dyDescent="0.3">
      <c r="L2719" s="36"/>
      <c r="R2719" s="34"/>
      <c r="AC2719" s="36"/>
    </row>
    <row r="2720" spans="12:29" x14ac:dyDescent="0.3">
      <c r="L2720" s="36"/>
      <c r="R2720" s="34"/>
      <c r="AC2720" s="36"/>
    </row>
    <row r="2721" spans="12:29" x14ac:dyDescent="0.3">
      <c r="L2721" s="36"/>
      <c r="R2721" s="34"/>
      <c r="AC2721" s="36"/>
    </row>
    <row r="2722" spans="12:29" x14ac:dyDescent="0.3">
      <c r="L2722" s="36"/>
      <c r="R2722" s="34"/>
      <c r="AC2722" s="36"/>
    </row>
    <row r="2723" spans="12:29" x14ac:dyDescent="0.3">
      <c r="L2723" s="36"/>
      <c r="R2723" s="34"/>
      <c r="AC2723" s="36"/>
    </row>
    <row r="2724" spans="12:29" x14ac:dyDescent="0.3">
      <c r="L2724" s="36"/>
      <c r="R2724" s="34"/>
      <c r="AC2724" s="36"/>
    </row>
    <row r="2725" spans="12:29" x14ac:dyDescent="0.3">
      <c r="L2725" s="36"/>
      <c r="R2725" s="34"/>
      <c r="AC2725" s="36"/>
    </row>
    <row r="2726" spans="12:29" x14ac:dyDescent="0.3">
      <c r="L2726" s="36"/>
      <c r="R2726" s="34"/>
      <c r="AC2726" s="36"/>
    </row>
    <row r="2727" spans="12:29" x14ac:dyDescent="0.3">
      <c r="L2727" s="36"/>
      <c r="R2727" s="34"/>
      <c r="AC2727" s="36"/>
    </row>
    <row r="2728" spans="12:29" x14ac:dyDescent="0.3">
      <c r="L2728" s="36"/>
      <c r="R2728" s="34"/>
      <c r="AC2728" s="36"/>
    </row>
    <row r="2729" spans="12:29" x14ac:dyDescent="0.3">
      <c r="L2729" s="36"/>
      <c r="R2729" s="34"/>
      <c r="AC2729" s="36"/>
    </row>
    <row r="2730" spans="12:29" x14ac:dyDescent="0.3">
      <c r="L2730" s="36"/>
      <c r="R2730" s="34"/>
      <c r="AC2730" s="36"/>
    </row>
    <row r="2731" spans="12:29" x14ac:dyDescent="0.3">
      <c r="L2731" s="36"/>
      <c r="R2731" s="34"/>
      <c r="AC2731" s="36"/>
    </row>
    <row r="2732" spans="12:29" x14ac:dyDescent="0.3">
      <c r="L2732" s="36"/>
      <c r="R2732" s="34"/>
      <c r="AC2732" s="36"/>
    </row>
    <row r="2733" spans="12:29" x14ac:dyDescent="0.3">
      <c r="L2733" s="36"/>
      <c r="R2733" s="34"/>
      <c r="AC2733" s="36"/>
    </row>
    <row r="2734" spans="12:29" x14ac:dyDescent="0.3">
      <c r="L2734" s="36"/>
      <c r="R2734" s="34"/>
      <c r="AC2734" s="36"/>
    </row>
    <row r="2735" spans="12:29" x14ac:dyDescent="0.3">
      <c r="L2735" s="36"/>
      <c r="R2735" s="34"/>
      <c r="AC2735" s="36"/>
    </row>
    <row r="2736" spans="12:29" x14ac:dyDescent="0.3">
      <c r="L2736" s="36"/>
      <c r="R2736" s="34"/>
      <c r="AC2736" s="36"/>
    </row>
    <row r="2737" spans="12:29" x14ac:dyDescent="0.3">
      <c r="L2737" s="36"/>
      <c r="R2737" s="34"/>
      <c r="AC2737" s="36"/>
    </row>
    <row r="2738" spans="12:29" x14ac:dyDescent="0.3">
      <c r="L2738" s="36"/>
      <c r="R2738" s="34"/>
      <c r="AC2738" s="36"/>
    </row>
    <row r="2739" spans="12:29" x14ac:dyDescent="0.3">
      <c r="L2739" s="36"/>
      <c r="R2739" s="34"/>
      <c r="AC2739" s="36"/>
    </row>
    <row r="2740" spans="12:29" x14ac:dyDescent="0.3">
      <c r="L2740" s="36"/>
      <c r="R2740" s="34"/>
      <c r="AC2740" s="36"/>
    </row>
    <row r="2741" spans="12:29" x14ac:dyDescent="0.3">
      <c r="L2741" s="36"/>
      <c r="R2741" s="34"/>
      <c r="AC2741" s="36"/>
    </row>
    <row r="2742" spans="12:29" x14ac:dyDescent="0.3">
      <c r="L2742" s="36"/>
      <c r="R2742" s="34"/>
      <c r="AC2742" s="36"/>
    </row>
    <row r="2743" spans="12:29" x14ac:dyDescent="0.3">
      <c r="L2743" s="36"/>
      <c r="R2743" s="34"/>
      <c r="AC2743" s="36"/>
    </row>
    <row r="2744" spans="12:29" x14ac:dyDescent="0.3">
      <c r="L2744" s="36"/>
      <c r="R2744" s="34"/>
      <c r="AC2744" s="36"/>
    </row>
    <row r="2745" spans="12:29" x14ac:dyDescent="0.3">
      <c r="L2745" s="36"/>
      <c r="R2745" s="34"/>
      <c r="AC2745" s="36"/>
    </row>
    <row r="2746" spans="12:29" x14ac:dyDescent="0.3">
      <c r="L2746" s="36"/>
      <c r="R2746" s="34"/>
      <c r="AC2746" s="36"/>
    </row>
    <row r="2747" spans="12:29" x14ac:dyDescent="0.3">
      <c r="L2747" s="36"/>
      <c r="R2747" s="34"/>
      <c r="AC2747" s="36"/>
    </row>
    <row r="2748" spans="12:29" x14ac:dyDescent="0.3">
      <c r="L2748" s="36"/>
      <c r="R2748" s="34"/>
      <c r="AC2748" s="36"/>
    </row>
    <row r="2749" spans="12:29" x14ac:dyDescent="0.3">
      <c r="L2749" s="36"/>
      <c r="R2749" s="34"/>
      <c r="AC2749" s="36"/>
    </row>
    <row r="2750" spans="12:29" x14ac:dyDescent="0.3">
      <c r="L2750" s="36"/>
      <c r="R2750" s="34"/>
      <c r="AC2750" s="36"/>
    </row>
    <row r="2751" spans="12:29" x14ac:dyDescent="0.3">
      <c r="L2751" s="36"/>
      <c r="R2751" s="34"/>
      <c r="AC2751" s="36"/>
    </row>
    <row r="2752" spans="12:29" x14ac:dyDescent="0.3">
      <c r="L2752" s="36"/>
      <c r="R2752" s="34"/>
      <c r="AC2752" s="36"/>
    </row>
    <row r="2753" spans="12:29" x14ac:dyDescent="0.3">
      <c r="L2753" s="36"/>
      <c r="R2753" s="34"/>
      <c r="AC2753" s="36"/>
    </row>
    <row r="2754" spans="12:29" x14ac:dyDescent="0.3">
      <c r="L2754" s="36"/>
      <c r="R2754" s="34"/>
      <c r="AC2754" s="36"/>
    </row>
    <row r="2755" spans="12:29" x14ac:dyDescent="0.3">
      <c r="L2755" s="36"/>
      <c r="R2755" s="34"/>
      <c r="AC2755" s="36"/>
    </row>
    <row r="2756" spans="12:29" x14ac:dyDescent="0.3">
      <c r="L2756" s="36"/>
      <c r="R2756" s="34"/>
      <c r="AC2756" s="36"/>
    </row>
    <row r="2757" spans="12:29" x14ac:dyDescent="0.3">
      <c r="L2757" s="36"/>
      <c r="R2757" s="34"/>
      <c r="AC2757" s="36"/>
    </row>
    <row r="2758" spans="12:29" x14ac:dyDescent="0.3">
      <c r="L2758" s="36"/>
      <c r="R2758" s="34"/>
      <c r="AC2758" s="36"/>
    </row>
    <row r="2759" spans="12:29" x14ac:dyDescent="0.3">
      <c r="L2759" s="36"/>
      <c r="R2759" s="34"/>
      <c r="AC2759" s="36"/>
    </row>
    <row r="2760" spans="12:29" x14ac:dyDescent="0.3">
      <c r="L2760" s="36"/>
      <c r="R2760" s="34"/>
      <c r="AC2760" s="36"/>
    </row>
    <row r="2761" spans="12:29" x14ac:dyDescent="0.3">
      <c r="L2761" s="36"/>
      <c r="R2761" s="34"/>
      <c r="AC2761" s="36"/>
    </row>
    <row r="2762" spans="12:29" x14ac:dyDescent="0.3">
      <c r="L2762" s="36"/>
      <c r="R2762" s="34"/>
      <c r="AC2762" s="36"/>
    </row>
    <row r="2763" spans="12:29" x14ac:dyDescent="0.3">
      <c r="L2763" s="36"/>
      <c r="R2763" s="34"/>
      <c r="AC2763" s="36"/>
    </row>
    <row r="2764" spans="12:29" x14ac:dyDescent="0.3">
      <c r="L2764" s="36"/>
      <c r="R2764" s="34"/>
      <c r="AC2764" s="36"/>
    </row>
    <row r="2765" spans="12:29" x14ac:dyDescent="0.3">
      <c r="L2765" s="36"/>
      <c r="R2765" s="34"/>
      <c r="AC2765" s="36"/>
    </row>
    <row r="2766" spans="12:29" x14ac:dyDescent="0.3">
      <c r="L2766" s="36"/>
      <c r="R2766" s="34"/>
      <c r="AC2766" s="36"/>
    </row>
    <row r="2767" spans="12:29" x14ac:dyDescent="0.3">
      <c r="L2767" s="36"/>
      <c r="R2767" s="34"/>
      <c r="AC2767" s="36"/>
    </row>
    <row r="2768" spans="12:29" x14ac:dyDescent="0.3">
      <c r="L2768" s="36"/>
      <c r="R2768" s="34"/>
      <c r="AC2768" s="36"/>
    </row>
    <row r="2769" spans="12:29" x14ac:dyDescent="0.3">
      <c r="L2769" s="36"/>
      <c r="R2769" s="34"/>
      <c r="AC2769" s="36"/>
    </row>
    <row r="2770" spans="12:29" x14ac:dyDescent="0.3">
      <c r="L2770" s="36"/>
      <c r="R2770" s="34"/>
      <c r="AC2770" s="36"/>
    </row>
    <row r="2771" spans="12:29" x14ac:dyDescent="0.3">
      <c r="L2771" s="36"/>
      <c r="R2771" s="34"/>
      <c r="AC2771" s="36"/>
    </row>
    <row r="2772" spans="12:29" x14ac:dyDescent="0.3">
      <c r="L2772" s="36"/>
      <c r="R2772" s="34"/>
      <c r="AC2772" s="36"/>
    </row>
    <row r="2773" spans="12:29" x14ac:dyDescent="0.3">
      <c r="L2773" s="36"/>
      <c r="R2773" s="34"/>
      <c r="AC2773" s="36"/>
    </row>
    <row r="2774" spans="12:29" x14ac:dyDescent="0.3">
      <c r="L2774" s="36"/>
      <c r="R2774" s="34"/>
      <c r="AC2774" s="36"/>
    </row>
    <row r="2775" spans="12:29" x14ac:dyDescent="0.3">
      <c r="L2775" s="36"/>
      <c r="R2775" s="34"/>
      <c r="AC2775" s="36"/>
    </row>
    <row r="2776" spans="12:29" x14ac:dyDescent="0.3">
      <c r="L2776" s="36"/>
      <c r="R2776" s="34"/>
      <c r="AC2776" s="36"/>
    </row>
    <row r="2777" spans="12:29" x14ac:dyDescent="0.3">
      <c r="L2777" s="36"/>
      <c r="R2777" s="34"/>
      <c r="AC2777" s="36"/>
    </row>
    <row r="2778" spans="12:29" x14ac:dyDescent="0.3">
      <c r="L2778" s="36"/>
      <c r="R2778" s="34"/>
      <c r="AC2778" s="36"/>
    </row>
    <row r="2779" spans="12:29" x14ac:dyDescent="0.3">
      <c r="L2779" s="36"/>
      <c r="R2779" s="34"/>
      <c r="AC2779" s="36"/>
    </row>
    <row r="2780" spans="12:29" x14ac:dyDescent="0.3">
      <c r="L2780" s="36"/>
      <c r="R2780" s="34"/>
      <c r="AC2780" s="36"/>
    </row>
    <row r="2781" spans="12:29" x14ac:dyDescent="0.3">
      <c r="L2781" s="36"/>
      <c r="R2781" s="34"/>
      <c r="AC2781" s="36"/>
    </row>
    <row r="2782" spans="12:29" x14ac:dyDescent="0.3">
      <c r="L2782" s="36"/>
      <c r="R2782" s="34"/>
      <c r="AC2782" s="36"/>
    </row>
    <row r="2783" spans="12:29" x14ac:dyDescent="0.3">
      <c r="L2783" s="36"/>
      <c r="R2783" s="34"/>
      <c r="AC2783" s="36"/>
    </row>
    <row r="2784" spans="12:29" x14ac:dyDescent="0.3">
      <c r="L2784" s="36"/>
      <c r="R2784" s="34"/>
      <c r="AC2784" s="36"/>
    </row>
    <row r="2785" spans="12:29" x14ac:dyDescent="0.3">
      <c r="L2785" s="36"/>
      <c r="R2785" s="34"/>
      <c r="AC2785" s="36"/>
    </row>
    <row r="2786" spans="12:29" x14ac:dyDescent="0.3">
      <c r="L2786" s="36"/>
      <c r="R2786" s="34"/>
      <c r="AC2786" s="36"/>
    </row>
    <row r="2787" spans="12:29" x14ac:dyDescent="0.3">
      <c r="L2787" s="36"/>
      <c r="R2787" s="34"/>
      <c r="AC2787" s="36"/>
    </row>
    <row r="2788" spans="12:29" x14ac:dyDescent="0.3">
      <c r="L2788" s="36"/>
      <c r="R2788" s="34"/>
      <c r="AC2788" s="36"/>
    </row>
    <row r="2789" spans="12:29" x14ac:dyDescent="0.3">
      <c r="L2789" s="36"/>
      <c r="R2789" s="34"/>
      <c r="AC2789" s="36"/>
    </row>
    <row r="2790" spans="12:29" x14ac:dyDescent="0.3">
      <c r="L2790" s="36"/>
      <c r="R2790" s="34"/>
      <c r="AC2790" s="36"/>
    </row>
    <row r="2791" spans="12:29" x14ac:dyDescent="0.3">
      <c r="L2791" s="36"/>
      <c r="R2791" s="34"/>
      <c r="AC2791" s="36"/>
    </row>
    <row r="2792" spans="12:29" x14ac:dyDescent="0.3">
      <c r="L2792" s="36"/>
      <c r="R2792" s="34"/>
      <c r="AC2792" s="36"/>
    </row>
    <row r="2793" spans="12:29" x14ac:dyDescent="0.3">
      <c r="L2793" s="36"/>
      <c r="R2793" s="34"/>
      <c r="AC2793" s="36"/>
    </row>
    <row r="2794" spans="12:29" x14ac:dyDescent="0.3">
      <c r="L2794" s="36"/>
      <c r="R2794" s="34"/>
      <c r="AC2794" s="36"/>
    </row>
    <row r="2795" spans="12:29" x14ac:dyDescent="0.3">
      <c r="L2795" s="36"/>
      <c r="R2795" s="34"/>
      <c r="AC2795" s="36"/>
    </row>
    <row r="2796" spans="12:29" x14ac:dyDescent="0.3">
      <c r="L2796" s="36"/>
      <c r="R2796" s="34"/>
      <c r="AC2796" s="36"/>
    </row>
    <row r="2797" spans="12:29" x14ac:dyDescent="0.3">
      <c r="L2797" s="36"/>
      <c r="R2797" s="34"/>
      <c r="AC2797" s="36"/>
    </row>
    <row r="2798" spans="12:29" x14ac:dyDescent="0.3">
      <c r="L2798" s="36"/>
      <c r="R2798" s="34"/>
      <c r="AC2798" s="36"/>
    </row>
    <row r="2799" spans="12:29" x14ac:dyDescent="0.3">
      <c r="L2799" s="36"/>
      <c r="R2799" s="34"/>
      <c r="AC2799" s="36"/>
    </row>
    <row r="2800" spans="12:29" x14ac:dyDescent="0.3">
      <c r="L2800" s="36"/>
      <c r="R2800" s="34"/>
      <c r="AC2800" s="36"/>
    </row>
    <row r="2801" spans="12:29" x14ac:dyDescent="0.3">
      <c r="L2801" s="36"/>
      <c r="R2801" s="34"/>
      <c r="AC2801" s="36"/>
    </row>
    <row r="2802" spans="12:29" x14ac:dyDescent="0.3">
      <c r="L2802" s="36"/>
      <c r="R2802" s="34"/>
      <c r="AC2802" s="36"/>
    </row>
    <row r="2803" spans="12:29" x14ac:dyDescent="0.3">
      <c r="L2803" s="36"/>
      <c r="R2803" s="34"/>
      <c r="AC2803" s="36"/>
    </row>
    <row r="2804" spans="12:29" x14ac:dyDescent="0.3">
      <c r="L2804" s="36"/>
      <c r="R2804" s="34"/>
      <c r="AC2804" s="36"/>
    </row>
    <row r="2805" spans="12:29" x14ac:dyDescent="0.3">
      <c r="L2805" s="36"/>
      <c r="R2805" s="34"/>
      <c r="AC2805" s="36"/>
    </row>
    <row r="2806" spans="12:29" x14ac:dyDescent="0.3">
      <c r="L2806" s="36"/>
      <c r="R2806" s="34"/>
      <c r="AC2806" s="36"/>
    </row>
    <row r="2807" spans="12:29" x14ac:dyDescent="0.3">
      <c r="L2807" s="36"/>
      <c r="R2807" s="34"/>
      <c r="AC2807" s="36"/>
    </row>
    <row r="2808" spans="12:29" x14ac:dyDescent="0.3">
      <c r="L2808" s="36"/>
      <c r="R2808" s="34"/>
      <c r="AC2808" s="36"/>
    </row>
    <row r="2809" spans="12:29" x14ac:dyDescent="0.3">
      <c r="L2809" s="36"/>
      <c r="R2809" s="34"/>
      <c r="AC2809" s="36"/>
    </row>
    <row r="2810" spans="12:29" x14ac:dyDescent="0.3">
      <c r="L2810" s="36"/>
      <c r="R2810" s="34"/>
      <c r="AC2810" s="36"/>
    </row>
    <row r="2811" spans="12:29" x14ac:dyDescent="0.3">
      <c r="L2811" s="36"/>
      <c r="R2811" s="34"/>
      <c r="AC2811" s="36"/>
    </row>
    <row r="2812" spans="12:29" x14ac:dyDescent="0.3">
      <c r="L2812" s="36"/>
      <c r="R2812" s="34"/>
      <c r="AC2812" s="36"/>
    </row>
    <row r="2813" spans="12:29" x14ac:dyDescent="0.3">
      <c r="L2813" s="36"/>
      <c r="R2813" s="34"/>
      <c r="AC2813" s="36"/>
    </row>
    <row r="2814" spans="12:29" x14ac:dyDescent="0.3">
      <c r="L2814" s="36"/>
      <c r="R2814" s="34"/>
      <c r="AC2814" s="36"/>
    </row>
    <row r="2815" spans="12:29" x14ac:dyDescent="0.3">
      <c r="L2815" s="36"/>
      <c r="R2815" s="34"/>
      <c r="AC2815" s="36"/>
    </row>
    <row r="2816" spans="12:29" x14ac:dyDescent="0.3">
      <c r="L2816" s="36"/>
      <c r="R2816" s="34"/>
      <c r="AC2816" s="36"/>
    </row>
    <row r="2817" spans="12:29" x14ac:dyDescent="0.3">
      <c r="L2817" s="36"/>
      <c r="R2817" s="34"/>
      <c r="AC2817" s="36"/>
    </row>
    <row r="2818" spans="12:29" x14ac:dyDescent="0.3">
      <c r="L2818" s="36"/>
      <c r="R2818" s="34"/>
      <c r="AC2818" s="36"/>
    </row>
    <row r="2819" spans="12:29" x14ac:dyDescent="0.3">
      <c r="L2819" s="36"/>
      <c r="R2819" s="34"/>
      <c r="AC2819" s="36"/>
    </row>
    <row r="2820" spans="12:29" x14ac:dyDescent="0.3">
      <c r="L2820" s="36"/>
      <c r="R2820" s="34"/>
      <c r="AC2820" s="36"/>
    </row>
    <row r="2821" spans="12:29" x14ac:dyDescent="0.3">
      <c r="L2821" s="36"/>
      <c r="R2821" s="34"/>
      <c r="AC2821" s="36"/>
    </row>
    <row r="2822" spans="12:29" x14ac:dyDescent="0.3">
      <c r="L2822" s="36"/>
      <c r="R2822" s="34"/>
      <c r="AC2822" s="36"/>
    </row>
    <row r="2823" spans="12:29" x14ac:dyDescent="0.3">
      <c r="L2823" s="36"/>
      <c r="R2823" s="34"/>
      <c r="AC2823" s="36"/>
    </row>
    <row r="2824" spans="12:29" x14ac:dyDescent="0.3">
      <c r="L2824" s="36"/>
      <c r="R2824" s="34"/>
      <c r="AC2824" s="36"/>
    </row>
    <row r="2825" spans="12:29" x14ac:dyDescent="0.3">
      <c r="L2825" s="36"/>
      <c r="R2825" s="34"/>
      <c r="AC2825" s="36"/>
    </row>
    <row r="2826" spans="12:29" x14ac:dyDescent="0.3">
      <c r="L2826" s="36"/>
      <c r="R2826" s="34"/>
      <c r="AC2826" s="36"/>
    </row>
    <row r="2827" spans="12:29" x14ac:dyDescent="0.3">
      <c r="L2827" s="36"/>
      <c r="R2827" s="34"/>
      <c r="AC2827" s="36"/>
    </row>
    <row r="2828" spans="12:29" x14ac:dyDescent="0.3">
      <c r="L2828" s="36"/>
      <c r="R2828" s="34"/>
      <c r="AC2828" s="36"/>
    </row>
    <row r="2829" spans="12:29" x14ac:dyDescent="0.3">
      <c r="L2829" s="36"/>
      <c r="R2829" s="34"/>
      <c r="AC2829" s="36"/>
    </row>
    <row r="2830" spans="12:29" x14ac:dyDescent="0.3">
      <c r="L2830" s="36"/>
      <c r="R2830" s="34"/>
      <c r="AC2830" s="36"/>
    </row>
    <row r="2831" spans="12:29" x14ac:dyDescent="0.3">
      <c r="L2831" s="36"/>
      <c r="R2831" s="34"/>
      <c r="AC2831" s="36"/>
    </row>
    <row r="2832" spans="12:29" x14ac:dyDescent="0.3">
      <c r="L2832" s="36"/>
      <c r="R2832" s="34"/>
      <c r="AC2832" s="36"/>
    </row>
    <row r="2833" spans="12:29" x14ac:dyDescent="0.3">
      <c r="L2833" s="36"/>
      <c r="R2833" s="34"/>
      <c r="AC2833" s="36"/>
    </row>
    <row r="2834" spans="12:29" x14ac:dyDescent="0.3">
      <c r="L2834" s="36"/>
      <c r="R2834" s="34"/>
      <c r="AC2834" s="36"/>
    </row>
    <row r="2835" spans="12:29" x14ac:dyDescent="0.3">
      <c r="L2835" s="36"/>
      <c r="R2835" s="34"/>
      <c r="AC2835" s="36"/>
    </row>
    <row r="2836" spans="12:29" x14ac:dyDescent="0.3">
      <c r="L2836" s="36"/>
      <c r="R2836" s="34"/>
      <c r="AC2836" s="36"/>
    </row>
    <row r="2837" spans="12:29" x14ac:dyDescent="0.3">
      <c r="L2837" s="36"/>
      <c r="R2837" s="34"/>
      <c r="AC2837" s="36"/>
    </row>
    <row r="2838" spans="12:29" x14ac:dyDescent="0.3">
      <c r="L2838" s="36"/>
      <c r="R2838" s="34"/>
      <c r="AC2838" s="36"/>
    </row>
    <row r="2839" spans="12:29" x14ac:dyDescent="0.3">
      <c r="L2839" s="36"/>
      <c r="R2839" s="34"/>
      <c r="AC2839" s="36"/>
    </row>
    <row r="2840" spans="12:29" x14ac:dyDescent="0.3">
      <c r="L2840" s="36"/>
      <c r="R2840" s="34"/>
      <c r="AC2840" s="36"/>
    </row>
    <row r="2841" spans="12:29" x14ac:dyDescent="0.3">
      <c r="L2841" s="36"/>
      <c r="R2841" s="34"/>
      <c r="AC2841" s="36"/>
    </row>
    <row r="2842" spans="12:29" x14ac:dyDescent="0.3">
      <c r="L2842" s="36"/>
      <c r="R2842" s="34"/>
      <c r="AC2842" s="36"/>
    </row>
    <row r="2843" spans="12:29" x14ac:dyDescent="0.3">
      <c r="L2843" s="36"/>
      <c r="R2843" s="34"/>
      <c r="AC2843" s="36"/>
    </row>
    <row r="2844" spans="12:29" x14ac:dyDescent="0.3">
      <c r="L2844" s="36"/>
      <c r="R2844" s="34"/>
      <c r="AC2844" s="36"/>
    </row>
    <row r="2845" spans="12:29" x14ac:dyDescent="0.3">
      <c r="L2845" s="36"/>
      <c r="R2845" s="34"/>
      <c r="AC2845" s="36"/>
    </row>
    <row r="2846" spans="12:29" x14ac:dyDescent="0.3">
      <c r="L2846" s="36"/>
      <c r="R2846" s="34"/>
      <c r="AC2846" s="36"/>
    </row>
    <row r="2847" spans="12:29" x14ac:dyDescent="0.3">
      <c r="L2847" s="36"/>
      <c r="R2847" s="34"/>
      <c r="AC2847" s="36"/>
    </row>
    <row r="2848" spans="12:29" x14ac:dyDescent="0.3">
      <c r="L2848" s="36"/>
      <c r="R2848" s="34"/>
      <c r="AC2848" s="36"/>
    </row>
    <row r="2849" spans="12:29" x14ac:dyDescent="0.3">
      <c r="L2849" s="36"/>
      <c r="R2849" s="34"/>
      <c r="AC2849" s="36"/>
    </row>
    <row r="2850" spans="12:29" x14ac:dyDescent="0.3">
      <c r="L2850" s="36"/>
      <c r="R2850" s="34"/>
      <c r="AC2850" s="36"/>
    </row>
    <row r="2851" spans="12:29" x14ac:dyDescent="0.3">
      <c r="L2851" s="36"/>
      <c r="R2851" s="34"/>
      <c r="AC2851" s="36"/>
    </row>
    <row r="2852" spans="12:29" x14ac:dyDescent="0.3">
      <c r="L2852" s="36"/>
      <c r="R2852" s="34"/>
      <c r="AC2852" s="36"/>
    </row>
    <row r="2853" spans="12:29" x14ac:dyDescent="0.3">
      <c r="L2853" s="36"/>
      <c r="R2853" s="34"/>
      <c r="AC2853" s="36"/>
    </row>
    <row r="2854" spans="12:29" x14ac:dyDescent="0.3">
      <c r="L2854" s="36"/>
      <c r="R2854" s="34"/>
      <c r="AC2854" s="36"/>
    </row>
    <row r="2855" spans="12:29" x14ac:dyDescent="0.3">
      <c r="L2855" s="36"/>
      <c r="R2855" s="34"/>
      <c r="AC2855" s="36"/>
    </row>
    <row r="2856" spans="12:29" x14ac:dyDescent="0.3">
      <c r="L2856" s="36"/>
      <c r="R2856" s="34"/>
      <c r="AC2856" s="36"/>
    </row>
    <row r="2857" spans="12:29" x14ac:dyDescent="0.3">
      <c r="L2857" s="36"/>
      <c r="R2857" s="34"/>
      <c r="AC2857" s="36"/>
    </row>
    <row r="2858" spans="12:29" x14ac:dyDescent="0.3">
      <c r="L2858" s="36"/>
      <c r="R2858" s="34"/>
      <c r="AC2858" s="36"/>
    </row>
    <row r="2859" spans="12:29" x14ac:dyDescent="0.3">
      <c r="L2859" s="36"/>
      <c r="R2859" s="34"/>
      <c r="AC2859" s="36"/>
    </row>
    <row r="2860" spans="12:29" x14ac:dyDescent="0.3">
      <c r="L2860" s="36"/>
      <c r="R2860" s="34"/>
      <c r="AC2860" s="36"/>
    </row>
    <row r="2861" spans="12:29" x14ac:dyDescent="0.3">
      <c r="L2861" s="36"/>
      <c r="R2861" s="34"/>
      <c r="AC2861" s="36"/>
    </row>
    <row r="2862" spans="12:29" x14ac:dyDescent="0.3">
      <c r="L2862" s="36"/>
      <c r="R2862" s="34"/>
      <c r="AC2862" s="36"/>
    </row>
    <row r="2863" spans="12:29" x14ac:dyDescent="0.3">
      <c r="L2863" s="36"/>
      <c r="R2863" s="34"/>
      <c r="AC2863" s="36"/>
    </row>
    <row r="2864" spans="12:29" x14ac:dyDescent="0.3">
      <c r="L2864" s="36"/>
      <c r="R2864" s="34"/>
      <c r="AC2864" s="36"/>
    </row>
    <row r="2865" spans="12:29" x14ac:dyDescent="0.3">
      <c r="L2865" s="36"/>
      <c r="R2865" s="34"/>
      <c r="AC2865" s="36"/>
    </row>
    <row r="2866" spans="12:29" x14ac:dyDescent="0.3">
      <c r="L2866" s="36"/>
      <c r="R2866" s="34"/>
      <c r="AC2866" s="36"/>
    </row>
    <row r="2867" spans="12:29" x14ac:dyDescent="0.3">
      <c r="L2867" s="36"/>
      <c r="R2867" s="34"/>
      <c r="AC2867" s="36"/>
    </row>
    <row r="2868" spans="12:29" x14ac:dyDescent="0.3">
      <c r="L2868" s="36"/>
      <c r="R2868" s="34"/>
      <c r="AC2868" s="36"/>
    </row>
    <row r="2869" spans="12:29" x14ac:dyDescent="0.3">
      <c r="L2869" s="36"/>
      <c r="R2869" s="34"/>
      <c r="AC2869" s="36"/>
    </row>
    <row r="2870" spans="12:29" x14ac:dyDescent="0.3">
      <c r="L2870" s="36"/>
      <c r="R2870" s="34"/>
      <c r="AC2870" s="36"/>
    </row>
    <row r="2871" spans="12:29" x14ac:dyDescent="0.3">
      <c r="L2871" s="36"/>
      <c r="R2871" s="34"/>
      <c r="AC2871" s="36"/>
    </row>
    <row r="2872" spans="12:29" x14ac:dyDescent="0.3">
      <c r="L2872" s="36"/>
      <c r="R2872" s="34"/>
      <c r="AC2872" s="36"/>
    </row>
    <row r="2873" spans="12:29" x14ac:dyDescent="0.3">
      <c r="L2873" s="36"/>
      <c r="R2873" s="34"/>
      <c r="AC2873" s="36"/>
    </row>
    <row r="2874" spans="12:29" x14ac:dyDescent="0.3">
      <c r="L2874" s="36"/>
      <c r="R2874" s="34"/>
      <c r="AC2874" s="36"/>
    </row>
    <row r="2875" spans="12:29" x14ac:dyDescent="0.3">
      <c r="L2875" s="36"/>
      <c r="R2875" s="34"/>
      <c r="AC2875" s="36"/>
    </row>
    <row r="2876" spans="12:29" x14ac:dyDescent="0.3">
      <c r="L2876" s="36"/>
      <c r="R2876" s="34"/>
      <c r="AC2876" s="36"/>
    </row>
    <row r="2877" spans="12:29" x14ac:dyDescent="0.3">
      <c r="L2877" s="36"/>
      <c r="R2877" s="34"/>
      <c r="AC2877" s="36"/>
    </row>
    <row r="2878" spans="12:29" x14ac:dyDescent="0.3">
      <c r="L2878" s="36"/>
      <c r="R2878" s="34"/>
      <c r="AC2878" s="36"/>
    </row>
    <row r="2879" spans="12:29" x14ac:dyDescent="0.3">
      <c r="L2879" s="36"/>
      <c r="R2879" s="34"/>
      <c r="AC2879" s="36"/>
    </row>
    <row r="2880" spans="12:29" x14ac:dyDescent="0.3">
      <c r="L2880" s="36"/>
      <c r="R2880" s="34"/>
      <c r="AC2880" s="36"/>
    </row>
    <row r="2881" spans="12:29" x14ac:dyDescent="0.3">
      <c r="L2881" s="36"/>
      <c r="R2881" s="34"/>
      <c r="AC2881" s="36"/>
    </row>
    <row r="2882" spans="12:29" x14ac:dyDescent="0.3">
      <c r="L2882" s="36"/>
      <c r="R2882" s="34"/>
      <c r="AC2882" s="36"/>
    </row>
    <row r="2883" spans="12:29" x14ac:dyDescent="0.3">
      <c r="L2883" s="36"/>
      <c r="R2883" s="34"/>
      <c r="AC2883" s="36"/>
    </row>
    <row r="2884" spans="12:29" x14ac:dyDescent="0.3">
      <c r="L2884" s="36"/>
      <c r="R2884" s="34"/>
      <c r="AC2884" s="36"/>
    </row>
    <row r="2885" spans="12:29" x14ac:dyDescent="0.3">
      <c r="L2885" s="36"/>
      <c r="R2885" s="34"/>
      <c r="AC2885" s="36"/>
    </row>
    <row r="2886" spans="12:29" x14ac:dyDescent="0.3">
      <c r="L2886" s="36"/>
      <c r="R2886" s="34"/>
      <c r="AC2886" s="36"/>
    </row>
    <row r="2887" spans="12:29" x14ac:dyDescent="0.3">
      <c r="L2887" s="36"/>
      <c r="R2887" s="34"/>
      <c r="AC2887" s="36"/>
    </row>
    <row r="2888" spans="12:29" x14ac:dyDescent="0.3">
      <c r="L2888" s="36"/>
      <c r="R2888" s="34"/>
      <c r="AC2888" s="36"/>
    </row>
    <row r="2889" spans="12:29" x14ac:dyDescent="0.3">
      <c r="L2889" s="36"/>
      <c r="R2889" s="34"/>
      <c r="AC2889" s="36"/>
    </row>
    <row r="2890" spans="12:29" x14ac:dyDescent="0.3">
      <c r="L2890" s="36"/>
      <c r="R2890" s="34"/>
      <c r="AC2890" s="36"/>
    </row>
    <row r="2891" spans="12:29" x14ac:dyDescent="0.3">
      <c r="L2891" s="36"/>
      <c r="R2891" s="34"/>
      <c r="AC2891" s="36"/>
    </row>
    <row r="2892" spans="12:29" x14ac:dyDescent="0.3">
      <c r="L2892" s="36"/>
      <c r="R2892" s="34"/>
      <c r="AC2892" s="36"/>
    </row>
    <row r="2893" spans="12:29" x14ac:dyDescent="0.3">
      <c r="L2893" s="36"/>
      <c r="R2893" s="34"/>
      <c r="AC2893" s="36"/>
    </row>
    <row r="2894" spans="12:29" x14ac:dyDescent="0.3">
      <c r="L2894" s="36"/>
      <c r="R2894" s="34"/>
      <c r="AC2894" s="36"/>
    </row>
    <row r="2895" spans="12:29" x14ac:dyDescent="0.3">
      <c r="L2895" s="36"/>
      <c r="R2895" s="34"/>
      <c r="AC2895" s="36"/>
    </row>
    <row r="2896" spans="12:29" x14ac:dyDescent="0.3">
      <c r="L2896" s="36"/>
      <c r="R2896" s="34"/>
      <c r="AC2896" s="36"/>
    </row>
    <row r="2897" spans="12:29" x14ac:dyDescent="0.3">
      <c r="L2897" s="36"/>
      <c r="R2897" s="34"/>
      <c r="AC2897" s="36"/>
    </row>
    <row r="2898" spans="12:29" x14ac:dyDescent="0.3">
      <c r="L2898" s="36"/>
      <c r="R2898" s="34"/>
      <c r="AC2898" s="36"/>
    </row>
    <row r="2899" spans="12:29" x14ac:dyDescent="0.3">
      <c r="L2899" s="36"/>
      <c r="R2899" s="34"/>
      <c r="AC2899" s="36"/>
    </row>
    <row r="2900" spans="12:29" x14ac:dyDescent="0.3">
      <c r="L2900" s="36"/>
      <c r="R2900" s="34"/>
      <c r="AC2900" s="36"/>
    </row>
    <row r="2901" spans="12:29" x14ac:dyDescent="0.3">
      <c r="L2901" s="36"/>
      <c r="R2901" s="34"/>
      <c r="AC2901" s="36"/>
    </row>
    <row r="2902" spans="12:29" x14ac:dyDescent="0.3">
      <c r="L2902" s="36"/>
      <c r="R2902" s="34"/>
      <c r="AC2902" s="36"/>
    </row>
    <row r="2903" spans="12:29" x14ac:dyDescent="0.3">
      <c r="L2903" s="36"/>
      <c r="R2903" s="34"/>
      <c r="AC2903" s="36"/>
    </row>
    <row r="2904" spans="12:29" x14ac:dyDescent="0.3">
      <c r="L2904" s="36"/>
      <c r="R2904" s="34"/>
      <c r="AC2904" s="36"/>
    </row>
    <row r="2905" spans="12:29" x14ac:dyDescent="0.3">
      <c r="L2905" s="36"/>
      <c r="R2905" s="34"/>
      <c r="AC2905" s="36"/>
    </row>
    <row r="2906" spans="12:29" x14ac:dyDescent="0.3">
      <c r="L2906" s="36"/>
      <c r="R2906" s="34"/>
      <c r="AC2906" s="36"/>
    </row>
    <row r="2907" spans="12:29" x14ac:dyDescent="0.3">
      <c r="L2907" s="36"/>
      <c r="R2907" s="34"/>
      <c r="AC2907" s="36"/>
    </row>
    <row r="2908" spans="12:29" x14ac:dyDescent="0.3">
      <c r="L2908" s="36"/>
      <c r="R2908" s="34"/>
      <c r="AC2908" s="36"/>
    </row>
    <row r="2909" spans="12:29" x14ac:dyDescent="0.3">
      <c r="L2909" s="36"/>
      <c r="R2909" s="34"/>
      <c r="AC2909" s="36"/>
    </row>
    <row r="2910" spans="12:29" x14ac:dyDescent="0.3">
      <c r="L2910" s="36"/>
      <c r="R2910" s="34"/>
      <c r="AC2910" s="36"/>
    </row>
    <row r="2911" spans="12:29" x14ac:dyDescent="0.3">
      <c r="L2911" s="36"/>
      <c r="R2911" s="34"/>
      <c r="AC2911" s="36"/>
    </row>
    <row r="2912" spans="12:29" x14ac:dyDescent="0.3">
      <c r="L2912" s="36"/>
      <c r="R2912" s="34"/>
      <c r="AC2912" s="36"/>
    </row>
    <row r="2913" spans="12:29" x14ac:dyDescent="0.3">
      <c r="L2913" s="36"/>
      <c r="R2913" s="34"/>
      <c r="AC2913" s="36"/>
    </row>
    <row r="2914" spans="12:29" x14ac:dyDescent="0.3">
      <c r="L2914" s="36"/>
      <c r="R2914" s="34"/>
      <c r="AC2914" s="36"/>
    </row>
    <row r="2915" spans="12:29" x14ac:dyDescent="0.3">
      <c r="L2915" s="36"/>
      <c r="R2915" s="34"/>
      <c r="AC2915" s="36"/>
    </row>
    <row r="2916" spans="12:29" x14ac:dyDescent="0.3">
      <c r="L2916" s="36"/>
      <c r="R2916" s="34"/>
      <c r="AC2916" s="36"/>
    </row>
    <row r="2917" spans="12:29" x14ac:dyDescent="0.3">
      <c r="L2917" s="36"/>
      <c r="R2917" s="34"/>
      <c r="AC2917" s="36"/>
    </row>
    <row r="2918" spans="12:29" x14ac:dyDescent="0.3">
      <c r="L2918" s="36"/>
      <c r="R2918" s="34"/>
      <c r="AC2918" s="36"/>
    </row>
    <row r="2919" spans="12:29" x14ac:dyDescent="0.3">
      <c r="L2919" s="36"/>
      <c r="R2919" s="34"/>
      <c r="AC2919" s="36"/>
    </row>
    <row r="2920" spans="12:29" x14ac:dyDescent="0.3">
      <c r="L2920" s="36"/>
      <c r="R2920" s="34"/>
      <c r="AC2920" s="36"/>
    </row>
    <row r="2921" spans="12:29" x14ac:dyDescent="0.3">
      <c r="L2921" s="36"/>
      <c r="R2921" s="34"/>
      <c r="AC2921" s="36"/>
    </row>
    <row r="2922" spans="12:29" x14ac:dyDescent="0.3">
      <c r="L2922" s="36"/>
      <c r="R2922" s="34"/>
      <c r="AC2922" s="36"/>
    </row>
    <row r="2923" spans="12:29" x14ac:dyDescent="0.3">
      <c r="L2923" s="36"/>
      <c r="R2923" s="34"/>
      <c r="AC2923" s="36"/>
    </row>
    <row r="2924" spans="12:29" x14ac:dyDescent="0.3">
      <c r="L2924" s="36"/>
      <c r="R2924" s="34"/>
      <c r="AC2924" s="36"/>
    </row>
    <row r="2925" spans="12:29" x14ac:dyDescent="0.3">
      <c r="L2925" s="36"/>
      <c r="R2925" s="34"/>
      <c r="AC2925" s="36"/>
    </row>
    <row r="2926" spans="12:29" x14ac:dyDescent="0.3">
      <c r="L2926" s="36"/>
      <c r="R2926" s="34"/>
      <c r="AC2926" s="36"/>
    </row>
    <row r="2927" spans="12:29" x14ac:dyDescent="0.3">
      <c r="L2927" s="36"/>
      <c r="R2927" s="34"/>
      <c r="AC2927" s="36"/>
    </row>
    <row r="2928" spans="12:29" x14ac:dyDescent="0.3">
      <c r="L2928" s="36"/>
      <c r="R2928" s="34"/>
      <c r="AC2928" s="36"/>
    </row>
    <row r="2929" spans="12:29" x14ac:dyDescent="0.3">
      <c r="L2929" s="36"/>
      <c r="R2929" s="34"/>
      <c r="AC2929" s="36"/>
    </row>
    <row r="2930" spans="12:29" x14ac:dyDescent="0.3">
      <c r="L2930" s="36"/>
      <c r="R2930" s="34"/>
      <c r="AC2930" s="36"/>
    </row>
    <row r="2931" spans="12:29" x14ac:dyDescent="0.3">
      <c r="L2931" s="36"/>
      <c r="R2931" s="34"/>
      <c r="AC2931" s="36"/>
    </row>
    <row r="2932" spans="12:29" x14ac:dyDescent="0.3">
      <c r="L2932" s="36"/>
      <c r="R2932" s="34"/>
      <c r="AC2932" s="36"/>
    </row>
    <row r="2933" spans="12:29" x14ac:dyDescent="0.3">
      <c r="L2933" s="36"/>
      <c r="R2933" s="34"/>
      <c r="AC2933" s="36"/>
    </row>
    <row r="2934" spans="12:29" x14ac:dyDescent="0.3">
      <c r="L2934" s="36"/>
      <c r="R2934" s="34"/>
      <c r="AC2934" s="36"/>
    </row>
    <row r="2935" spans="12:29" x14ac:dyDescent="0.3">
      <c r="L2935" s="36"/>
      <c r="R2935" s="34"/>
      <c r="AC2935" s="36"/>
    </row>
    <row r="2936" spans="12:29" x14ac:dyDescent="0.3">
      <c r="L2936" s="36"/>
      <c r="R2936" s="34"/>
      <c r="AC2936" s="36"/>
    </row>
    <row r="2937" spans="12:29" x14ac:dyDescent="0.3">
      <c r="L2937" s="36"/>
      <c r="R2937" s="34"/>
      <c r="AC2937" s="36"/>
    </row>
    <row r="2938" spans="12:29" x14ac:dyDescent="0.3">
      <c r="L2938" s="36"/>
      <c r="R2938" s="34"/>
      <c r="AC2938" s="36"/>
    </row>
    <row r="2939" spans="12:29" x14ac:dyDescent="0.3">
      <c r="L2939" s="36"/>
      <c r="R2939" s="34"/>
      <c r="AC2939" s="36"/>
    </row>
    <row r="2940" spans="12:29" x14ac:dyDescent="0.3">
      <c r="L2940" s="36"/>
      <c r="R2940" s="34"/>
      <c r="AC2940" s="36"/>
    </row>
    <row r="2941" spans="12:29" x14ac:dyDescent="0.3">
      <c r="L2941" s="36"/>
      <c r="R2941" s="34"/>
      <c r="AC2941" s="36"/>
    </row>
    <row r="2942" spans="12:29" x14ac:dyDescent="0.3">
      <c r="L2942" s="36"/>
      <c r="R2942" s="34"/>
      <c r="AC2942" s="36"/>
    </row>
    <row r="2943" spans="12:29" x14ac:dyDescent="0.3">
      <c r="L2943" s="36"/>
      <c r="R2943" s="34"/>
      <c r="AC2943" s="36"/>
    </row>
    <row r="2944" spans="12:29" x14ac:dyDescent="0.3">
      <c r="L2944" s="36"/>
      <c r="R2944" s="34"/>
      <c r="AC2944" s="36"/>
    </row>
    <row r="2945" spans="12:29" x14ac:dyDescent="0.3">
      <c r="L2945" s="36"/>
      <c r="R2945" s="34"/>
      <c r="AC2945" s="36"/>
    </row>
    <row r="2946" spans="12:29" x14ac:dyDescent="0.3">
      <c r="L2946" s="36"/>
      <c r="R2946" s="34"/>
      <c r="AC2946" s="36"/>
    </row>
    <row r="2947" spans="12:29" x14ac:dyDescent="0.3">
      <c r="L2947" s="36"/>
      <c r="R2947" s="34"/>
      <c r="AC2947" s="36"/>
    </row>
    <row r="2948" spans="12:29" x14ac:dyDescent="0.3">
      <c r="L2948" s="36"/>
      <c r="R2948" s="34"/>
      <c r="AC2948" s="36"/>
    </row>
    <row r="2949" spans="12:29" x14ac:dyDescent="0.3">
      <c r="L2949" s="36"/>
      <c r="R2949" s="34"/>
      <c r="AC2949" s="36"/>
    </row>
    <row r="2950" spans="12:29" x14ac:dyDescent="0.3">
      <c r="L2950" s="36"/>
      <c r="R2950" s="34"/>
      <c r="AC2950" s="36"/>
    </row>
    <row r="2951" spans="12:29" x14ac:dyDescent="0.3">
      <c r="L2951" s="36"/>
      <c r="R2951" s="34"/>
      <c r="AC2951" s="36"/>
    </row>
    <row r="2952" spans="12:29" x14ac:dyDescent="0.3">
      <c r="L2952" s="36"/>
      <c r="R2952" s="34"/>
      <c r="AC2952" s="36"/>
    </row>
    <row r="2953" spans="12:29" x14ac:dyDescent="0.3">
      <c r="L2953" s="36"/>
      <c r="R2953" s="34"/>
      <c r="AC2953" s="36"/>
    </row>
    <row r="2954" spans="12:29" x14ac:dyDescent="0.3">
      <c r="L2954" s="36"/>
      <c r="R2954" s="34"/>
      <c r="AC2954" s="36"/>
    </row>
    <row r="2955" spans="12:29" x14ac:dyDescent="0.3">
      <c r="L2955" s="36"/>
      <c r="R2955" s="34"/>
      <c r="AC2955" s="36"/>
    </row>
    <row r="2956" spans="12:29" x14ac:dyDescent="0.3">
      <c r="L2956" s="36"/>
      <c r="R2956" s="34"/>
      <c r="AC2956" s="36"/>
    </row>
    <row r="2957" spans="12:29" x14ac:dyDescent="0.3">
      <c r="L2957" s="36"/>
      <c r="R2957" s="34"/>
      <c r="AC2957" s="36"/>
    </row>
    <row r="2958" spans="12:29" x14ac:dyDescent="0.3">
      <c r="L2958" s="36"/>
      <c r="R2958" s="34"/>
      <c r="AC2958" s="36"/>
    </row>
    <row r="2959" spans="12:29" x14ac:dyDescent="0.3">
      <c r="L2959" s="36"/>
      <c r="R2959" s="34"/>
      <c r="AC2959" s="36"/>
    </row>
    <row r="2960" spans="12:29" x14ac:dyDescent="0.3">
      <c r="L2960" s="36"/>
      <c r="R2960" s="34"/>
      <c r="AC2960" s="36"/>
    </row>
    <row r="2961" spans="12:29" x14ac:dyDescent="0.3">
      <c r="L2961" s="36"/>
      <c r="R2961" s="34"/>
      <c r="AC2961" s="36"/>
    </row>
    <row r="2962" spans="12:29" x14ac:dyDescent="0.3">
      <c r="L2962" s="36"/>
      <c r="R2962" s="34"/>
      <c r="AC2962" s="36"/>
    </row>
    <row r="2963" spans="12:29" x14ac:dyDescent="0.3">
      <c r="L2963" s="36"/>
      <c r="R2963" s="34"/>
      <c r="AC2963" s="36"/>
    </row>
    <row r="2964" spans="12:29" x14ac:dyDescent="0.3">
      <c r="L2964" s="36"/>
      <c r="R2964" s="34"/>
      <c r="AC2964" s="36"/>
    </row>
    <row r="2965" spans="12:29" x14ac:dyDescent="0.3">
      <c r="L2965" s="36"/>
      <c r="R2965" s="34"/>
      <c r="AC2965" s="36"/>
    </row>
    <row r="2966" spans="12:29" x14ac:dyDescent="0.3">
      <c r="L2966" s="36"/>
      <c r="R2966" s="34"/>
      <c r="AC2966" s="36"/>
    </row>
    <row r="2967" spans="12:29" x14ac:dyDescent="0.3">
      <c r="L2967" s="36"/>
      <c r="R2967" s="34"/>
      <c r="AC2967" s="36"/>
    </row>
    <row r="2968" spans="12:29" x14ac:dyDescent="0.3">
      <c r="L2968" s="36"/>
      <c r="R2968" s="34"/>
      <c r="AC2968" s="36"/>
    </row>
    <row r="2969" spans="12:29" x14ac:dyDescent="0.3">
      <c r="L2969" s="36"/>
      <c r="R2969" s="34"/>
      <c r="AC2969" s="36"/>
    </row>
    <row r="2970" spans="12:29" x14ac:dyDescent="0.3">
      <c r="L2970" s="36"/>
      <c r="R2970" s="34"/>
      <c r="AC2970" s="36"/>
    </row>
    <row r="2971" spans="12:29" x14ac:dyDescent="0.3">
      <c r="L2971" s="36"/>
      <c r="R2971" s="34"/>
      <c r="AC2971" s="36"/>
    </row>
    <row r="2972" spans="12:29" x14ac:dyDescent="0.3">
      <c r="L2972" s="36"/>
      <c r="R2972" s="34"/>
      <c r="AC2972" s="36"/>
    </row>
    <row r="2973" spans="12:29" x14ac:dyDescent="0.3">
      <c r="L2973" s="36"/>
      <c r="R2973" s="34"/>
      <c r="AC2973" s="36"/>
    </row>
    <row r="2974" spans="12:29" x14ac:dyDescent="0.3">
      <c r="L2974" s="36"/>
      <c r="R2974" s="34"/>
      <c r="AC2974" s="36"/>
    </row>
    <row r="2975" spans="12:29" x14ac:dyDescent="0.3">
      <c r="L2975" s="36"/>
      <c r="R2975" s="34"/>
      <c r="AC2975" s="36"/>
    </row>
    <row r="2976" spans="12:29" x14ac:dyDescent="0.3">
      <c r="L2976" s="36"/>
      <c r="R2976" s="34"/>
      <c r="AC2976" s="36"/>
    </row>
    <row r="2977" spans="12:29" x14ac:dyDescent="0.3">
      <c r="L2977" s="36"/>
      <c r="R2977" s="34"/>
      <c r="AC2977" s="36"/>
    </row>
    <row r="2978" spans="12:29" x14ac:dyDescent="0.3">
      <c r="L2978" s="36"/>
      <c r="R2978" s="34"/>
      <c r="AC2978" s="36"/>
    </row>
    <row r="2979" spans="12:29" x14ac:dyDescent="0.3">
      <c r="L2979" s="36"/>
      <c r="R2979" s="34"/>
      <c r="AC2979" s="36"/>
    </row>
    <row r="2980" spans="12:29" x14ac:dyDescent="0.3">
      <c r="L2980" s="36"/>
      <c r="R2980" s="34"/>
      <c r="AC2980" s="36"/>
    </row>
    <row r="2981" spans="12:29" x14ac:dyDescent="0.3">
      <c r="L2981" s="36"/>
      <c r="R2981" s="34"/>
      <c r="AC2981" s="36"/>
    </row>
    <row r="2982" spans="12:29" x14ac:dyDescent="0.3">
      <c r="L2982" s="36"/>
      <c r="R2982" s="34"/>
      <c r="AC2982" s="36"/>
    </row>
    <row r="2983" spans="12:29" x14ac:dyDescent="0.3">
      <c r="L2983" s="36"/>
      <c r="R2983" s="34"/>
      <c r="AC2983" s="36"/>
    </row>
    <row r="2984" spans="12:29" x14ac:dyDescent="0.3">
      <c r="L2984" s="36"/>
      <c r="R2984" s="34"/>
      <c r="AC2984" s="36"/>
    </row>
    <row r="2985" spans="12:29" x14ac:dyDescent="0.3">
      <c r="L2985" s="36"/>
      <c r="R2985" s="34"/>
      <c r="AC2985" s="36"/>
    </row>
    <row r="2986" spans="12:29" x14ac:dyDescent="0.3">
      <c r="L2986" s="36"/>
      <c r="R2986" s="34"/>
      <c r="AC2986" s="36"/>
    </row>
    <row r="2987" spans="12:29" x14ac:dyDescent="0.3">
      <c r="L2987" s="36"/>
      <c r="R2987" s="34"/>
      <c r="AC2987" s="36"/>
    </row>
    <row r="2988" spans="12:29" x14ac:dyDescent="0.3">
      <c r="L2988" s="36"/>
      <c r="R2988" s="34"/>
      <c r="AC2988" s="36"/>
    </row>
    <row r="2989" spans="12:29" x14ac:dyDescent="0.3">
      <c r="L2989" s="36"/>
      <c r="R2989" s="34"/>
      <c r="AC2989" s="36"/>
    </row>
    <row r="2990" spans="12:29" x14ac:dyDescent="0.3">
      <c r="L2990" s="36"/>
      <c r="R2990" s="34"/>
      <c r="AC2990" s="36"/>
    </row>
    <row r="2991" spans="12:29" x14ac:dyDescent="0.3">
      <c r="L2991" s="36"/>
      <c r="R2991" s="34"/>
      <c r="AC2991" s="36"/>
    </row>
    <row r="2992" spans="12:29" x14ac:dyDescent="0.3">
      <c r="L2992" s="36"/>
      <c r="R2992" s="34"/>
      <c r="AC2992" s="36"/>
    </row>
    <row r="2993" spans="12:29" x14ac:dyDescent="0.3">
      <c r="L2993" s="36"/>
      <c r="R2993" s="34"/>
      <c r="AC2993" s="36"/>
    </row>
    <row r="2994" spans="12:29" x14ac:dyDescent="0.3">
      <c r="L2994" s="36"/>
      <c r="R2994" s="34"/>
      <c r="AC2994" s="36"/>
    </row>
    <row r="2995" spans="12:29" x14ac:dyDescent="0.3">
      <c r="L2995" s="36"/>
      <c r="R2995" s="34"/>
      <c r="AC2995" s="36"/>
    </row>
    <row r="2996" spans="12:29" x14ac:dyDescent="0.3">
      <c r="L2996" s="36"/>
      <c r="R2996" s="34"/>
      <c r="AC2996" s="36"/>
    </row>
    <row r="2997" spans="12:29" x14ac:dyDescent="0.3">
      <c r="L2997" s="36"/>
      <c r="R2997" s="34"/>
      <c r="AC2997" s="36"/>
    </row>
    <row r="2998" spans="12:29" x14ac:dyDescent="0.3">
      <c r="L2998" s="36"/>
      <c r="R2998" s="34"/>
      <c r="AC2998" s="36"/>
    </row>
    <row r="2999" spans="12:29" x14ac:dyDescent="0.3">
      <c r="L2999" s="36"/>
      <c r="R2999" s="34"/>
      <c r="AC2999" s="36"/>
    </row>
    <row r="3000" spans="12:29" x14ac:dyDescent="0.3">
      <c r="L3000" s="36"/>
      <c r="R3000" s="34"/>
      <c r="AC3000" s="36"/>
    </row>
    <row r="3001" spans="12:29" x14ac:dyDescent="0.3">
      <c r="L3001" s="36"/>
      <c r="R3001" s="34"/>
      <c r="AC3001" s="36"/>
    </row>
    <row r="3002" spans="12:29" x14ac:dyDescent="0.3">
      <c r="L3002" s="36"/>
      <c r="R3002" s="34"/>
      <c r="AC3002" s="36"/>
    </row>
    <row r="3003" spans="12:29" x14ac:dyDescent="0.3">
      <c r="L3003" s="36"/>
      <c r="R3003" s="34"/>
      <c r="AC3003" s="36"/>
    </row>
    <row r="3004" spans="12:29" x14ac:dyDescent="0.3">
      <c r="L3004" s="36"/>
      <c r="R3004" s="34"/>
      <c r="AC3004" s="36"/>
    </row>
    <row r="3005" spans="12:29" x14ac:dyDescent="0.3">
      <c r="L3005" s="36"/>
      <c r="R3005" s="34"/>
      <c r="AC3005" s="36"/>
    </row>
    <row r="3006" spans="12:29" x14ac:dyDescent="0.3">
      <c r="L3006" s="36"/>
      <c r="R3006" s="34"/>
      <c r="AC3006" s="36"/>
    </row>
    <row r="3007" spans="12:29" x14ac:dyDescent="0.3">
      <c r="L3007" s="36"/>
      <c r="R3007" s="34"/>
      <c r="AC3007" s="36"/>
    </row>
    <row r="3008" spans="12:29" x14ac:dyDescent="0.3">
      <c r="L3008" s="36"/>
      <c r="R3008" s="34"/>
      <c r="AC3008" s="36"/>
    </row>
    <row r="3009" spans="12:29" x14ac:dyDescent="0.3">
      <c r="L3009" s="36"/>
      <c r="R3009" s="34"/>
      <c r="AC3009" s="36"/>
    </row>
    <row r="3010" spans="12:29" x14ac:dyDescent="0.3">
      <c r="L3010" s="36"/>
      <c r="R3010" s="34"/>
      <c r="AC3010" s="36"/>
    </row>
    <row r="3011" spans="12:29" x14ac:dyDescent="0.3">
      <c r="L3011" s="36"/>
      <c r="R3011" s="34"/>
      <c r="AC3011" s="36"/>
    </row>
    <row r="3012" spans="12:29" x14ac:dyDescent="0.3">
      <c r="L3012" s="36"/>
      <c r="R3012" s="34"/>
      <c r="AC3012" s="36"/>
    </row>
    <row r="3013" spans="12:29" x14ac:dyDescent="0.3">
      <c r="L3013" s="36"/>
      <c r="R3013" s="34"/>
      <c r="AC3013" s="36"/>
    </row>
    <row r="3014" spans="12:29" x14ac:dyDescent="0.3">
      <c r="L3014" s="36"/>
      <c r="R3014" s="34"/>
      <c r="AC3014" s="36"/>
    </row>
    <row r="3015" spans="12:29" x14ac:dyDescent="0.3">
      <c r="L3015" s="36"/>
      <c r="R3015" s="34"/>
      <c r="AC3015" s="36"/>
    </row>
    <row r="3016" spans="12:29" x14ac:dyDescent="0.3">
      <c r="L3016" s="36"/>
      <c r="R3016" s="34"/>
      <c r="AC3016" s="36"/>
    </row>
    <row r="3017" spans="12:29" x14ac:dyDescent="0.3">
      <c r="L3017" s="36"/>
      <c r="R3017" s="34"/>
      <c r="AC3017" s="36"/>
    </row>
    <row r="3018" spans="12:29" x14ac:dyDescent="0.3">
      <c r="L3018" s="36"/>
      <c r="R3018" s="34"/>
      <c r="AC3018" s="36"/>
    </row>
    <row r="3019" spans="12:29" x14ac:dyDescent="0.3">
      <c r="L3019" s="36"/>
      <c r="R3019" s="34"/>
      <c r="AC3019" s="36"/>
    </row>
    <row r="3020" spans="12:29" x14ac:dyDescent="0.3">
      <c r="L3020" s="36"/>
      <c r="R3020" s="34"/>
      <c r="AC3020" s="36"/>
    </row>
    <row r="3021" spans="12:29" x14ac:dyDescent="0.3">
      <c r="L3021" s="36"/>
      <c r="R3021" s="34"/>
      <c r="AC3021" s="36"/>
    </row>
    <row r="3022" spans="12:29" x14ac:dyDescent="0.3">
      <c r="L3022" s="36"/>
      <c r="R3022" s="34"/>
      <c r="AC3022" s="36"/>
    </row>
    <row r="3023" spans="12:29" x14ac:dyDescent="0.3">
      <c r="L3023" s="36"/>
      <c r="R3023" s="34"/>
      <c r="AC3023" s="36"/>
    </row>
    <row r="3024" spans="12:29" x14ac:dyDescent="0.3">
      <c r="L3024" s="36"/>
      <c r="R3024" s="34"/>
      <c r="AC3024" s="36"/>
    </row>
    <row r="3025" spans="12:29" x14ac:dyDescent="0.3">
      <c r="L3025" s="36"/>
      <c r="R3025" s="34"/>
      <c r="AC3025" s="36"/>
    </row>
    <row r="3026" spans="12:29" x14ac:dyDescent="0.3">
      <c r="L3026" s="36"/>
      <c r="R3026" s="34"/>
      <c r="AC3026" s="36"/>
    </row>
    <row r="3027" spans="12:29" x14ac:dyDescent="0.3">
      <c r="L3027" s="36"/>
      <c r="R3027" s="34"/>
      <c r="AC3027" s="36"/>
    </row>
    <row r="3028" spans="12:29" x14ac:dyDescent="0.3">
      <c r="L3028" s="36"/>
      <c r="R3028" s="34"/>
      <c r="AC3028" s="36"/>
    </row>
    <row r="3029" spans="12:29" x14ac:dyDescent="0.3">
      <c r="L3029" s="36"/>
      <c r="R3029" s="34"/>
      <c r="AC3029" s="36"/>
    </row>
    <row r="3030" spans="12:29" x14ac:dyDescent="0.3">
      <c r="L3030" s="36"/>
      <c r="R3030" s="34"/>
      <c r="AC3030" s="36"/>
    </row>
    <row r="3031" spans="12:29" x14ac:dyDescent="0.3">
      <c r="L3031" s="36"/>
      <c r="R3031" s="34"/>
      <c r="AC3031" s="36"/>
    </row>
    <row r="3032" spans="12:29" x14ac:dyDescent="0.3">
      <c r="L3032" s="36"/>
      <c r="R3032" s="34"/>
      <c r="AC3032" s="36"/>
    </row>
    <row r="3033" spans="12:29" x14ac:dyDescent="0.3">
      <c r="L3033" s="36"/>
      <c r="R3033" s="34"/>
      <c r="AC3033" s="36"/>
    </row>
    <row r="3034" spans="12:29" x14ac:dyDescent="0.3">
      <c r="L3034" s="36"/>
      <c r="R3034" s="34"/>
      <c r="AC3034" s="36"/>
    </row>
    <row r="3035" spans="12:29" x14ac:dyDescent="0.3">
      <c r="L3035" s="36"/>
      <c r="R3035" s="34"/>
      <c r="AC3035" s="36"/>
    </row>
    <row r="3036" spans="12:29" x14ac:dyDescent="0.3">
      <c r="L3036" s="36"/>
      <c r="R3036" s="34"/>
      <c r="AC3036" s="36"/>
    </row>
    <row r="3037" spans="12:29" x14ac:dyDescent="0.3">
      <c r="L3037" s="36"/>
      <c r="R3037" s="34"/>
      <c r="AC3037" s="36"/>
    </row>
    <row r="3038" spans="12:29" x14ac:dyDescent="0.3">
      <c r="L3038" s="36"/>
      <c r="R3038" s="34"/>
      <c r="AC3038" s="36"/>
    </row>
    <row r="3039" spans="12:29" x14ac:dyDescent="0.3">
      <c r="L3039" s="36"/>
      <c r="R3039" s="34"/>
      <c r="AC3039" s="36"/>
    </row>
    <row r="3040" spans="12:29" x14ac:dyDescent="0.3">
      <c r="L3040" s="36"/>
      <c r="R3040" s="34"/>
      <c r="AC3040" s="36"/>
    </row>
    <row r="3041" spans="12:29" x14ac:dyDescent="0.3">
      <c r="L3041" s="36"/>
      <c r="R3041" s="34"/>
      <c r="AC3041" s="36"/>
    </row>
    <row r="3042" spans="12:29" x14ac:dyDescent="0.3">
      <c r="L3042" s="36"/>
      <c r="R3042" s="34"/>
      <c r="AC3042" s="36"/>
    </row>
    <row r="3043" spans="12:29" x14ac:dyDescent="0.3">
      <c r="L3043" s="36"/>
      <c r="R3043" s="34"/>
      <c r="AC3043" s="36"/>
    </row>
    <row r="3044" spans="12:29" x14ac:dyDescent="0.3">
      <c r="L3044" s="36"/>
      <c r="R3044" s="34"/>
      <c r="AC3044" s="36"/>
    </row>
    <row r="3045" spans="12:29" x14ac:dyDescent="0.3">
      <c r="L3045" s="36"/>
      <c r="R3045" s="34"/>
      <c r="AC3045" s="36"/>
    </row>
    <row r="3046" spans="12:29" x14ac:dyDescent="0.3">
      <c r="L3046" s="36"/>
      <c r="R3046" s="34"/>
      <c r="AC3046" s="36"/>
    </row>
    <row r="3047" spans="12:29" x14ac:dyDescent="0.3">
      <c r="L3047" s="36"/>
      <c r="R3047" s="34"/>
      <c r="AC3047" s="36"/>
    </row>
    <row r="3048" spans="12:29" x14ac:dyDescent="0.3">
      <c r="L3048" s="36"/>
      <c r="R3048" s="34"/>
      <c r="AC3048" s="36"/>
    </row>
    <row r="3049" spans="12:29" x14ac:dyDescent="0.3">
      <c r="L3049" s="36"/>
      <c r="R3049" s="34"/>
      <c r="AC3049" s="36"/>
    </row>
    <row r="3050" spans="12:29" x14ac:dyDescent="0.3">
      <c r="L3050" s="36"/>
      <c r="R3050" s="34"/>
      <c r="AC3050" s="36"/>
    </row>
    <row r="3051" spans="12:29" x14ac:dyDescent="0.3">
      <c r="L3051" s="36"/>
      <c r="R3051" s="34"/>
      <c r="AC3051" s="36"/>
    </row>
    <row r="3052" spans="12:29" x14ac:dyDescent="0.3">
      <c r="L3052" s="36"/>
      <c r="R3052" s="34"/>
      <c r="AC3052" s="36"/>
    </row>
    <row r="3053" spans="12:29" x14ac:dyDescent="0.3">
      <c r="L3053" s="36"/>
      <c r="R3053" s="34"/>
      <c r="AC3053" s="36"/>
    </row>
    <row r="3054" spans="12:29" x14ac:dyDescent="0.3">
      <c r="L3054" s="36"/>
      <c r="R3054" s="34"/>
      <c r="AC3054" s="36"/>
    </row>
    <row r="3055" spans="12:29" x14ac:dyDescent="0.3">
      <c r="L3055" s="36"/>
      <c r="R3055" s="34"/>
      <c r="AC3055" s="36"/>
    </row>
    <row r="3056" spans="12:29" x14ac:dyDescent="0.3">
      <c r="L3056" s="36"/>
      <c r="R3056" s="34"/>
      <c r="AC3056" s="36"/>
    </row>
    <row r="3057" spans="12:29" x14ac:dyDescent="0.3">
      <c r="L3057" s="36"/>
      <c r="R3057" s="34"/>
      <c r="AC3057" s="36"/>
    </row>
    <row r="3058" spans="12:29" x14ac:dyDescent="0.3">
      <c r="L3058" s="36"/>
      <c r="R3058" s="34"/>
      <c r="AC3058" s="36"/>
    </row>
    <row r="3059" spans="12:29" x14ac:dyDescent="0.3">
      <c r="L3059" s="36"/>
      <c r="R3059" s="34"/>
      <c r="AC3059" s="36"/>
    </row>
    <row r="3060" spans="12:29" x14ac:dyDescent="0.3">
      <c r="L3060" s="36"/>
      <c r="R3060" s="34"/>
      <c r="AC3060" s="36"/>
    </row>
    <row r="3061" spans="12:29" x14ac:dyDescent="0.3">
      <c r="L3061" s="36"/>
      <c r="R3061" s="34"/>
      <c r="AC3061" s="36"/>
    </row>
    <row r="3062" spans="12:29" x14ac:dyDescent="0.3">
      <c r="L3062" s="36"/>
      <c r="R3062" s="34"/>
      <c r="AC3062" s="36"/>
    </row>
    <row r="3063" spans="12:29" x14ac:dyDescent="0.3">
      <c r="L3063" s="36"/>
      <c r="R3063" s="34"/>
      <c r="AC3063" s="36"/>
    </row>
    <row r="3064" spans="12:29" x14ac:dyDescent="0.3">
      <c r="L3064" s="36"/>
      <c r="R3064" s="34"/>
      <c r="AC3064" s="36"/>
    </row>
    <row r="3065" spans="12:29" x14ac:dyDescent="0.3">
      <c r="L3065" s="36"/>
      <c r="R3065" s="34"/>
      <c r="AC3065" s="36"/>
    </row>
    <row r="3066" spans="12:29" x14ac:dyDescent="0.3">
      <c r="L3066" s="36"/>
      <c r="R3066" s="34"/>
      <c r="AC3066" s="36"/>
    </row>
    <row r="3067" spans="12:29" x14ac:dyDescent="0.3">
      <c r="L3067" s="36"/>
      <c r="R3067" s="34"/>
      <c r="AC3067" s="36"/>
    </row>
    <row r="3068" spans="12:29" x14ac:dyDescent="0.3">
      <c r="L3068" s="36"/>
      <c r="R3068" s="34"/>
      <c r="AC3068" s="36"/>
    </row>
    <row r="3069" spans="12:29" x14ac:dyDescent="0.3">
      <c r="L3069" s="36"/>
      <c r="R3069" s="34"/>
      <c r="AC3069" s="36"/>
    </row>
    <row r="3070" spans="12:29" x14ac:dyDescent="0.3">
      <c r="L3070" s="36"/>
      <c r="R3070" s="34"/>
      <c r="AC3070" s="36"/>
    </row>
    <row r="3071" spans="12:29" x14ac:dyDescent="0.3">
      <c r="L3071" s="36"/>
      <c r="R3071" s="34"/>
      <c r="AC3071" s="36"/>
    </row>
    <row r="3072" spans="12:29" x14ac:dyDescent="0.3">
      <c r="L3072" s="36"/>
      <c r="R3072" s="34"/>
      <c r="AC3072" s="36"/>
    </row>
    <row r="3073" spans="12:29" x14ac:dyDescent="0.3">
      <c r="L3073" s="36"/>
      <c r="R3073" s="34"/>
      <c r="AC3073" s="36"/>
    </row>
    <row r="3074" spans="12:29" x14ac:dyDescent="0.3">
      <c r="L3074" s="36"/>
      <c r="R3074" s="34"/>
      <c r="AC3074" s="36"/>
    </row>
    <row r="3075" spans="12:29" x14ac:dyDescent="0.3">
      <c r="L3075" s="36"/>
      <c r="R3075" s="34"/>
      <c r="AC3075" s="36"/>
    </row>
    <row r="3076" spans="12:29" x14ac:dyDescent="0.3">
      <c r="L3076" s="36"/>
      <c r="R3076" s="34"/>
      <c r="AC3076" s="36"/>
    </row>
    <row r="3077" spans="12:29" x14ac:dyDescent="0.3">
      <c r="L3077" s="36"/>
      <c r="R3077" s="34"/>
      <c r="AC3077" s="36"/>
    </row>
    <row r="3078" spans="12:29" x14ac:dyDescent="0.3">
      <c r="L3078" s="36"/>
      <c r="R3078" s="34"/>
      <c r="AC3078" s="36"/>
    </row>
    <row r="3079" spans="12:29" x14ac:dyDescent="0.3">
      <c r="L3079" s="36"/>
      <c r="R3079" s="34"/>
      <c r="AC3079" s="36"/>
    </row>
    <row r="3080" spans="12:29" x14ac:dyDescent="0.3">
      <c r="L3080" s="36"/>
      <c r="R3080" s="34"/>
      <c r="AC3080" s="36"/>
    </row>
    <row r="3081" spans="12:29" x14ac:dyDescent="0.3">
      <c r="L3081" s="36"/>
      <c r="R3081" s="34"/>
      <c r="AC3081" s="36"/>
    </row>
    <row r="3082" spans="12:29" x14ac:dyDescent="0.3">
      <c r="L3082" s="36"/>
      <c r="R3082" s="34"/>
      <c r="AC3082" s="36"/>
    </row>
    <row r="3083" spans="12:29" x14ac:dyDescent="0.3">
      <c r="L3083" s="36"/>
      <c r="R3083" s="34"/>
      <c r="AC3083" s="36"/>
    </row>
    <row r="3084" spans="12:29" x14ac:dyDescent="0.3">
      <c r="L3084" s="36"/>
      <c r="R3084" s="34"/>
      <c r="AC3084" s="36"/>
    </row>
    <row r="3085" spans="12:29" x14ac:dyDescent="0.3">
      <c r="L3085" s="36"/>
      <c r="R3085" s="34"/>
      <c r="AC3085" s="36"/>
    </row>
    <row r="3086" spans="12:29" x14ac:dyDescent="0.3">
      <c r="L3086" s="36"/>
      <c r="R3086" s="34"/>
      <c r="AC3086" s="36"/>
    </row>
    <row r="3087" spans="12:29" x14ac:dyDescent="0.3">
      <c r="L3087" s="36"/>
      <c r="R3087" s="34"/>
      <c r="AC3087" s="36"/>
    </row>
    <row r="3088" spans="12:29" x14ac:dyDescent="0.3">
      <c r="L3088" s="36"/>
      <c r="R3088" s="34"/>
      <c r="AC3088" s="36"/>
    </row>
    <row r="3089" spans="12:29" x14ac:dyDescent="0.3">
      <c r="L3089" s="36"/>
      <c r="R3089" s="34"/>
      <c r="AC3089" s="36"/>
    </row>
    <row r="3090" spans="12:29" x14ac:dyDescent="0.3">
      <c r="L3090" s="36"/>
      <c r="R3090" s="34"/>
      <c r="AC3090" s="36"/>
    </row>
    <row r="3091" spans="12:29" x14ac:dyDescent="0.3">
      <c r="L3091" s="36"/>
      <c r="R3091" s="34"/>
      <c r="AC3091" s="36"/>
    </row>
    <row r="3092" spans="12:29" x14ac:dyDescent="0.3">
      <c r="L3092" s="36"/>
      <c r="R3092" s="34"/>
      <c r="AC3092" s="36"/>
    </row>
    <row r="3093" spans="12:29" x14ac:dyDescent="0.3">
      <c r="L3093" s="36"/>
      <c r="R3093" s="34"/>
      <c r="AC3093" s="36"/>
    </row>
    <row r="3094" spans="12:29" x14ac:dyDescent="0.3">
      <c r="L3094" s="36"/>
      <c r="R3094" s="34"/>
      <c r="AC3094" s="36"/>
    </row>
    <row r="3095" spans="12:29" x14ac:dyDescent="0.3">
      <c r="L3095" s="36"/>
      <c r="R3095" s="34"/>
      <c r="AC3095" s="36"/>
    </row>
    <row r="3096" spans="12:29" x14ac:dyDescent="0.3">
      <c r="L3096" s="36"/>
      <c r="R3096" s="34"/>
      <c r="AC3096" s="36"/>
    </row>
    <row r="3097" spans="12:29" x14ac:dyDescent="0.3">
      <c r="L3097" s="36"/>
      <c r="R3097" s="34"/>
      <c r="AC3097" s="36"/>
    </row>
    <row r="3098" spans="12:29" x14ac:dyDescent="0.3">
      <c r="L3098" s="36"/>
      <c r="R3098" s="34"/>
      <c r="AC3098" s="36"/>
    </row>
    <row r="3099" spans="12:29" x14ac:dyDescent="0.3">
      <c r="L3099" s="36"/>
      <c r="R3099" s="34"/>
      <c r="AC3099" s="36"/>
    </row>
    <row r="3100" spans="12:29" x14ac:dyDescent="0.3">
      <c r="L3100" s="36"/>
      <c r="R3100" s="34"/>
      <c r="AC3100" s="36"/>
    </row>
    <row r="3101" spans="12:29" x14ac:dyDescent="0.3">
      <c r="L3101" s="36"/>
      <c r="R3101" s="34"/>
      <c r="AC3101" s="36"/>
    </row>
    <row r="3102" spans="12:29" x14ac:dyDescent="0.3">
      <c r="L3102" s="36"/>
      <c r="R3102" s="34"/>
      <c r="AC3102" s="36"/>
    </row>
    <row r="3103" spans="12:29" x14ac:dyDescent="0.3">
      <c r="L3103" s="36"/>
      <c r="R3103" s="34"/>
      <c r="AC3103" s="36"/>
    </row>
    <row r="3104" spans="12:29" x14ac:dyDescent="0.3">
      <c r="L3104" s="36"/>
      <c r="R3104" s="34"/>
      <c r="AC3104" s="36"/>
    </row>
    <row r="3105" spans="12:29" x14ac:dyDescent="0.3">
      <c r="L3105" s="36"/>
      <c r="R3105" s="34"/>
      <c r="AC3105" s="36"/>
    </row>
    <row r="3106" spans="12:29" x14ac:dyDescent="0.3">
      <c r="L3106" s="36"/>
      <c r="R3106" s="34"/>
      <c r="AC3106" s="36"/>
    </row>
    <row r="3107" spans="12:29" x14ac:dyDescent="0.3">
      <c r="L3107" s="36"/>
      <c r="R3107" s="34"/>
      <c r="AC3107" s="36"/>
    </row>
    <row r="3108" spans="12:29" x14ac:dyDescent="0.3">
      <c r="L3108" s="36"/>
      <c r="R3108" s="34"/>
      <c r="AC3108" s="36"/>
    </row>
    <row r="3109" spans="12:29" x14ac:dyDescent="0.3">
      <c r="L3109" s="36"/>
      <c r="R3109" s="34"/>
      <c r="AC3109" s="36"/>
    </row>
    <row r="3110" spans="12:29" x14ac:dyDescent="0.3">
      <c r="L3110" s="36"/>
      <c r="R3110" s="34"/>
      <c r="AC3110" s="36"/>
    </row>
    <row r="3111" spans="12:29" x14ac:dyDescent="0.3">
      <c r="L3111" s="36"/>
      <c r="R3111" s="34"/>
      <c r="AC3111" s="36"/>
    </row>
    <row r="3112" spans="12:29" x14ac:dyDescent="0.3">
      <c r="L3112" s="36"/>
      <c r="R3112" s="34"/>
      <c r="AC3112" s="36"/>
    </row>
    <row r="3113" spans="12:29" x14ac:dyDescent="0.3">
      <c r="L3113" s="36"/>
      <c r="R3113" s="34"/>
      <c r="AC3113" s="36"/>
    </row>
    <row r="3114" spans="12:29" x14ac:dyDescent="0.3">
      <c r="L3114" s="36"/>
      <c r="R3114" s="34"/>
      <c r="AC3114" s="36"/>
    </row>
    <row r="3115" spans="12:29" x14ac:dyDescent="0.3">
      <c r="L3115" s="36"/>
      <c r="R3115" s="34"/>
      <c r="AC3115" s="36"/>
    </row>
    <row r="3116" spans="12:29" x14ac:dyDescent="0.3">
      <c r="L3116" s="36"/>
      <c r="R3116" s="34"/>
      <c r="AC3116" s="36"/>
    </row>
    <row r="3117" spans="12:29" x14ac:dyDescent="0.3">
      <c r="L3117" s="36"/>
      <c r="R3117" s="34"/>
      <c r="AC3117" s="36"/>
    </row>
    <row r="3118" spans="12:29" x14ac:dyDescent="0.3">
      <c r="L3118" s="36"/>
      <c r="R3118" s="34"/>
      <c r="AC3118" s="36"/>
    </row>
    <row r="3119" spans="12:29" x14ac:dyDescent="0.3">
      <c r="L3119" s="36"/>
      <c r="R3119" s="34"/>
      <c r="AC3119" s="36"/>
    </row>
    <row r="3120" spans="12:29" x14ac:dyDescent="0.3">
      <c r="L3120" s="36"/>
      <c r="R3120" s="34"/>
      <c r="AC3120" s="36"/>
    </row>
    <row r="3121" spans="12:29" x14ac:dyDescent="0.3">
      <c r="L3121" s="36"/>
      <c r="R3121" s="34"/>
      <c r="AC3121" s="36"/>
    </row>
    <row r="3122" spans="12:29" x14ac:dyDescent="0.3">
      <c r="L3122" s="36"/>
      <c r="R3122" s="34"/>
      <c r="AC3122" s="36"/>
    </row>
    <row r="3123" spans="12:29" x14ac:dyDescent="0.3">
      <c r="L3123" s="36"/>
      <c r="R3123" s="34"/>
      <c r="AC3123" s="36"/>
    </row>
    <row r="3124" spans="12:29" x14ac:dyDescent="0.3">
      <c r="L3124" s="36"/>
      <c r="R3124" s="34"/>
      <c r="AC3124" s="36"/>
    </row>
    <row r="3125" spans="12:29" x14ac:dyDescent="0.3">
      <c r="L3125" s="36"/>
      <c r="R3125" s="34"/>
      <c r="AC3125" s="36"/>
    </row>
    <row r="3126" spans="12:29" x14ac:dyDescent="0.3">
      <c r="L3126" s="36"/>
      <c r="R3126" s="34"/>
      <c r="AC3126" s="36"/>
    </row>
    <row r="3127" spans="12:29" x14ac:dyDescent="0.3">
      <c r="L3127" s="36"/>
      <c r="R3127" s="34"/>
      <c r="AC3127" s="36"/>
    </row>
    <row r="3128" spans="12:29" x14ac:dyDescent="0.3">
      <c r="L3128" s="36"/>
      <c r="R3128" s="34"/>
      <c r="AC3128" s="36"/>
    </row>
    <row r="3129" spans="12:29" x14ac:dyDescent="0.3">
      <c r="L3129" s="36"/>
      <c r="R3129" s="34"/>
      <c r="AC3129" s="36"/>
    </row>
    <row r="3130" spans="12:29" x14ac:dyDescent="0.3">
      <c r="L3130" s="36"/>
      <c r="R3130" s="34"/>
      <c r="AC3130" s="36"/>
    </row>
    <row r="3131" spans="12:29" x14ac:dyDescent="0.3">
      <c r="L3131" s="36"/>
      <c r="R3131" s="34"/>
      <c r="AC3131" s="36"/>
    </row>
    <row r="3132" spans="12:29" x14ac:dyDescent="0.3">
      <c r="L3132" s="36"/>
      <c r="R3132" s="34"/>
      <c r="AC3132" s="36"/>
    </row>
    <row r="3133" spans="12:29" x14ac:dyDescent="0.3">
      <c r="L3133" s="36"/>
      <c r="R3133" s="34"/>
      <c r="AC3133" s="36"/>
    </row>
    <row r="3134" spans="12:29" x14ac:dyDescent="0.3">
      <c r="L3134" s="36"/>
      <c r="R3134" s="34"/>
      <c r="AC3134" s="36"/>
    </row>
    <row r="3135" spans="12:29" x14ac:dyDescent="0.3">
      <c r="L3135" s="36"/>
      <c r="R3135" s="34"/>
      <c r="AC3135" s="36"/>
    </row>
    <row r="3136" spans="12:29" x14ac:dyDescent="0.3">
      <c r="L3136" s="36"/>
      <c r="R3136" s="34"/>
      <c r="AC3136" s="36"/>
    </row>
    <row r="3137" spans="12:29" x14ac:dyDescent="0.3">
      <c r="L3137" s="36"/>
      <c r="R3137" s="34"/>
      <c r="AC3137" s="36"/>
    </row>
    <row r="3138" spans="12:29" x14ac:dyDescent="0.3">
      <c r="L3138" s="36"/>
      <c r="R3138" s="34"/>
      <c r="AC3138" s="36"/>
    </row>
    <row r="3139" spans="12:29" x14ac:dyDescent="0.3">
      <c r="L3139" s="36"/>
      <c r="R3139" s="34"/>
      <c r="AC3139" s="36"/>
    </row>
    <row r="3140" spans="12:29" x14ac:dyDescent="0.3">
      <c r="L3140" s="36"/>
      <c r="R3140" s="34"/>
      <c r="AC3140" s="36"/>
    </row>
    <row r="3141" spans="12:29" x14ac:dyDescent="0.3">
      <c r="L3141" s="36"/>
      <c r="R3141" s="34"/>
      <c r="AC3141" s="36"/>
    </row>
    <row r="3142" spans="12:29" x14ac:dyDescent="0.3">
      <c r="L3142" s="36"/>
      <c r="R3142" s="34"/>
      <c r="AC3142" s="36"/>
    </row>
    <row r="3143" spans="12:29" x14ac:dyDescent="0.3">
      <c r="L3143" s="36"/>
      <c r="R3143" s="34"/>
      <c r="AC3143" s="36"/>
    </row>
    <row r="3144" spans="12:29" x14ac:dyDescent="0.3">
      <c r="L3144" s="36"/>
      <c r="R3144" s="34"/>
      <c r="AC3144" s="36"/>
    </row>
    <row r="3145" spans="12:29" x14ac:dyDescent="0.3">
      <c r="L3145" s="36"/>
      <c r="R3145" s="34"/>
      <c r="AC3145" s="36"/>
    </row>
    <row r="3146" spans="12:29" x14ac:dyDescent="0.3">
      <c r="L3146" s="36"/>
      <c r="R3146" s="34"/>
      <c r="AC3146" s="36"/>
    </row>
    <row r="3147" spans="12:29" x14ac:dyDescent="0.3">
      <c r="L3147" s="36"/>
      <c r="R3147" s="34"/>
      <c r="AC3147" s="36"/>
    </row>
    <row r="3148" spans="12:29" x14ac:dyDescent="0.3">
      <c r="L3148" s="36"/>
      <c r="R3148" s="34"/>
      <c r="AC3148" s="36"/>
    </row>
    <row r="3149" spans="12:29" x14ac:dyDescent="0.3">
      <c r="L3149" s="36"/>
      <c r="R3149" s="34"/>
      <c r="AC3149" s="36"/>
    </row>
    <row r="3150" spans="12:29" x14ac:dyDescent="0.3">
      <c r="L3150" s="36"/>
      <c r="R3150" s="34"/>
      <c r="AC3150" s="36"/>
    </row>
    <row r="3151" spans="12:29" x14ac:dyDescent="0.3">
      <c r="L3151" s="36"/>
      <c r="R3151" s="34"/>
      <c r="AC3151" s="36"/>
    </row>
    <row r="3152" spans="12:29" x14ac:dyDescent="0.3">
      <c r="L3152" s="36"/>
      <c r="R3152" s="34"/>
      <c r="AC3152" s="36"/>
    </row>
    <row r="3153" spans="12:29" x14ac:dyDescent="0.3">
      <c r="L3153" s="36"/>
      <c r="R3153" s="34"/>
      <c r="AC3153" s="36"/>
    </row>
    <row r="3154" spans="12:29" x14ac:dyDescent="0.3">
      <c r="L3154" s="36"/>
      <c r="R3154" s="34"/>
      <c r="AC3154" s="36"/>
    </row>
    <row r="3155" spans="12:29" x14ac:dyDescent="0.3">
      <c r="L3155" s="36"/>
      <c r="R3155" s="34"/>
      <c r="AC3155" s="36"/>
    </row>
    <row r="3156" spans="12:29" x14ac:dyDescent="0.3">
      <c r="L3156" s="36"/>
      <c r="R3156" s="34"/>
      <c r="AC3156" s="36"/>
    </row>
    <row r="3157" spans="12:29" x14ac:dyDescent="0.3">
      <c r="L3157" s="36"/>
      <c r="R3157" s="34"/>
      <c r="AC3157" s="36"/>
    </row>
    <row r="3158" spans="12:29" x14ac:dyDescent="0.3">
      <c r="L3158" s="36"/>
      <c r="R3158" s="34"/>
      <c r="AC3158" s="36"/>
    </row>
    <row r="3159" spans="12:29" x14ac:dyDescent="0.3">
      <c r="L3159" s="36"/>
      <c r="R3159" s="34"/>
      <c r="AC3159" s="36"/>
    </row>
    <row r="3160" spans="12:29" x14ac:dyDescent="0.3">
      <c r="L3160" s="36"/>
      <c r="R3160" s="34"/>
      <c r="AC3160" s="36"/>
    </row>
    <row r="3161" spans="12:29" x14ac:dyDescent="0.3">
      <c r="L3161" s="36"/>
      <c r="R3161" s="34"/>
      <c r="AC3161" s="36"/>
    </row>
    <row r="3162" spans="12:29" x14ac:dyDescent="0.3">
      <c r="L3162" s="36"/>
      <c r="R3162" s="34"/>
      <c r="AC3162" s="36"/>
    </row>
    <row r="3163" spans="12:29" x14ac:dyDescent="0.3">
      <c r="L3163" s="36"/>
      <c r="R3163" s="34"/>
      <c r="AC3163" s="36"/>
    </row>
    <row r="3164" spans="12:29" x14ac:dyDescent="0.3">
      <c r="L3164" s="36"/>
      <c r="R3164" s="34"/>
      <c r="AC3164" s="36"/>
    </row>
    <row r="3165" spans="12:29" x14ac:dyDescent="0.3">
      <c r="L3165" s="36"/>
      <c r="R3165" s="34"/>
      <c r="AC3165" s="36"/>
    </row>
    <row r="3166" spans="12:29" x14ac:dyDescent="0.3">
      <c r="L3166" s="36"/>
      <c r="R3166" s="34"/>
      <c r="AC3166" s="36"/>
    </row>
    <row r="3167" spans="12:29" x14ac:dyDescent="0.3">
      <c r="L3167" s="36"/>
      <c r="R3167" s="34"/>
      <c r="AC3167" s="36"/>
    </row>
    <row r="3168" spans="12:29" x14ac:dyDescent="0.3">
      <c r="L3168" s="36"/>
      <c r="R3168" s="34"/>
      <c r="AC3168" s="36"/>
    </row>
    <row r="3169" spans="12:29" x14ac:dyDescent="0.3">
      <c r="L3169" s="36"/>
      <c r="R3169" s="34"/>
      <c r="AC3169" s="36"/>
    </row>
    <row r="3170" spans="12:29" x14ac:dyDescent="0.3">
      <c r="L3170" s="36"/>
      <c r="R3170" s="34"/>
      <c r="AC3170" s="36"/>
    </row>
    <row r="3171" spans="12:29" x14ac:dyDescent="0.3">
      <c r="L3171" s="36"/>
      <c r="R3171" s="34"/>
      <c r="AC3171" s="36"/>
    </row>
    <row r="3172" spans="12:29" x14ac:dyDescent="0.3">
      <c r="L3172" s="36"/>
      <c r="R3172" s="34"/>
      <c r="AC3172" s="36"/>
    </row>
    <row r="3173" spans="12:29" x14ac:dyDescent="0.3">
      <c r="L3173" s="36"/>
      <c r="R3173" s="34"/>
      <c r="AC3173" s="36"/>
    </row>
    <row r="3174" spans="12:29" x14ac:dyDescent="0.3">
      <c r="L3174" s="36"/>
      <c r="R3174" s="34"/>
      <c r="AC3174" s="36"/>
    </row>
    <row r="3175" spans="12:29" x14ac:dyDescent="0.3">
      <c r="L3175" s="36"/>
      <c r="R3175" s="34"/>
      <c r="AC3175" s="36"/>
    </row>
    <row r="3176" spans="12:29" x14ac:dyDescent="0.3">
      <c r="L3176" s="36"/>
      <c r="R3176" s="34"/>
      <c r="AC3176" s="36"/>
    </row>
    <row r="3177" spans="12:29" x14ac:dyDescent="0.3">
      <c r="L3177" s="36"/>
      <c r="R3177" s="34"/>
      <c r="AC3177" s="36"/>
    </row>
    <row r="3178" spans="12:29" x14ac:dyDescent="0.3">
      <c r="L3178" s="36"/>
      <c r="R3178" s="34"/>
      <c r="AC3178" s="36"/>
    </row>
    <row r="3179" spans="12:29" x14ac:dyDescent="0.3">
      <c r="L3179" s="36"/>
      <c r="R3179" s="34"/>
      <c r="AC3179" s="36"/>
    </row>
    <row r="3180" spans="12:29" x14ac:dyDescent="0.3">
      <c r="L3180" s="36"/>
      <c r="R3180" s="34"/>
      <c r="AC3180" s="36"/>
    </row>
    <row r="3181" spans="12:29" x14ac:dyDescent="0.3">
      <c r="L3181" s="36"/>
      <c r="R3181" s="34"/>
      <c r="AC3181" s="36"/>
    </row>
    <row r="3182" spans="12:29" x14ac:dyDescent="0.3">
      <c r="L3182" s="36"/>
      <c r="R3182" s="34"/>
      <c r="AC3182" s="36"/>
    </row>
    <row r="3183" spans="12:29" x14ac:dyDescent="0.3">
      <c r="L3183" s="36"/>
      <c r="R3183" s="34"/>
      <c r="AC3183" s="36"/>
    </row>
    <row r="3184" spans="12:29" x14ac:dyDescent="0.3">
      <c r="L3184" s="36"/>
      <c r="R3184" s="34"/>
      <c r="AC3184" s="36"/>
    </row>
    <row r="3185" spans="12:29" x14ac:dyDescent="0.3">
      <c r="L3185" s="36"/>
      <c r="R3185" s="34"/>
      <c r="AC3185" s="36"/>
    </row>
    <row r="3186" spans="12:29" x14ac:dyDescent="0.3">
      <c r="L3186" s="36"/>
      <c r="R3186" s="34"/>
      <c r="AC3186" s="36"/>
    </row>
    <row r="3187" spans="12:29" x14ac:dyDescent="0.3">
      <c r="L3187" s="36"/>
      <c r="R3187" s="34"/>
      <c r="AC3187" s="36"/>
    </row>
    <row r="3188" spans="12:29" x14ac:dyDescent="0.3">
      <c r="L3188" s="36"/>
      <c r="R3188" s="34"/>
      <c r="AC3188" s="36"/>
    </row>
    <row r="3189" spans="12:29" x14ac:dyDescent="0.3">
      <c r="L3189" s="36"/>
      <c r="R3189" s="34"/>
      <c r="AC3189" s="36"/>
    </row>
    <row r="3190" spans="12:29" x14ac:dyDescent="0.3">
      <c r="L3190" s="36"/>
      <c r="R3190" s="34"/>
      <c r="AC3190" s="36"/>
    </row>
    <row r="3191" spans="12:29" x14ac:dyDescent="0.3">
      <c r="L3191" s="36"/>
      <c r="R3191" s="34"/>
      <c r="AC3191" s="36"/>
    </row>
    <row r="3192" spans="12:29" x14ac:dyDescent="0.3">
      <c r="L3192" s="36"/>
      <c r="R3192" s="34"/>
      <c r="AC3192" s="36"/>
    </row>
    <row r="3193" spans="12:29" x14ac:dyDescent="0.3">
      <c r="L3193" s="36"/>
      <c r="R3193" s="34"/>
      <c r="AC3193" s="36"/>
    </row>
    <row r="3194" spans="12:29" x14ac:dyDescent="0.3">
      <c r="L3194" s="36"/>
      <c r="R3194" s="34"/>
      <c r="AC3194" s="36"/>
    </row>
    <row r="3195" spans="12:29" x14ac:dyDescent="0.3">
      <c r="L3195" s="36"/>
      <c r="R3195" s="34"/>
      <c r="AC3195" s="36"/>
    </row>
    <row r="3196" spans="12:29" x14ac:dyDescent="0.3">
      <c r="L3196" s="36"/>
      <c r="R3196" s="34"/>
      <c r="AC3196" s="36"/>
    </row>
    <row r="3197" spans="12:29" x14ac:dyDescent="0.3">
      <c r="L3197" s="36"/>
      <c r="R3197" s="34"/>
      <c r="AC3197" s="36"/>
    </row>
    <row r="3198" spans="12:29" x14ac:dyDescent="0.3">
      <c r="L3198" s="36"/>
      <c r="R3198" s="34"/>
      <c r="AC3198" s="36"/>
    </row>
    <row r="3199" spans="12:29" x14ac:dyDescent="0.3">
      <c r="L3199" s="36"/>
      <c r="R3199" s="34"/>
      <c r="AC3199" s="36"/>
    </row>
    <row r="3200" spans="12:29" x14ac:dyDescent="0.3">
      <c r="L3200" s="36"/>
      <c r="R3200" s="34"/>
      <c r="AC3200" s="36"/>
    </row>
    <row r="3201" spans="12:29" x14ac:dyDescent="0.3">
      <c r="L3201" s="36"/>
      <c r="R3201" s="34"/>
      <c r="AC3201" s="36"/>
    </row>
    <row r="3202" spans="12:29" x14ac:dyDescent="0.3">
      <c r="L3202" s="36"/>
      <c r="R3202" s="34"/>
      <c r="AC3202" s="36"/>
    </row>
    <row r="3203" spans="12:29" x14ac:dyDescent="0.3">
      <c r="L3203" s="36"/>
      <c r="R3203" s="34"/>
      <c r="AC3203" s="36"/>
    </row>
    <row r="3204" spans="12:29" x14ac:dyDescent="0.3">
      <c r="L3204" s="36"/>
      <c r="R3204" s="34"/>
      <c r="AC3204" s="36"/>
    </row>
    <row r="3205" spans="12:29" x14ac:dyDescent="0.3">
      <c r="L3205" s="36"/>
      <c r="R3205" s="34"/>
      <c r="AC3205" s="36"/>
    </row>
    <row r="3206" spans="12:29" x14ac:dyDescent="0.3">
      <c r="L3206" s="36"/>
      <c r="R3206" s="34"/>
      <c r="AC3206" s="36"/>
    </row>
    <row r="3207" spans="12:29" x14ac:dyDescent="0.3">
      <c r="L3207" s="36"/>
      <c r="R3207" s="34"/>
      <c r="AC3207" s="36"/>
    </row>
    <row r="3208" spans="12:29" x14ac:dyDescent="0.3">
      <c r="L3208" s="36"/>
      <c r="R3208" s="34"/>
      <c r="AC3208" s="36"/>
    </row>
    <row r="3209" spans="12:29" x14ac:dyDescent="0.3">
      <c r="L3209" s="36"/>
      <c r="R3209" s="34"/>
      <c r="AC3209" s="36"/>
    </row>
    <row r="3210" spans="12:29" x14ac:dyDescent="0.3">
      <c r="L3210" s="36"/>
      <c r="R3210" s="34"/>
      <c r="AC3210" s="36"/>
    </row>
    <row r="3211" spans="12:29" x14ac:dyDescent="0.3">
      <c r="L3211" s="36"/>
      <c r="R3211" s="34"/>
      <c r="AC3211" s="36"/>
    </row>
    <row r="3212" spans="12:29" x14ac:dyDescent="0.3">
      <c r="L3212" s="36"/>
      <c r="R3212" s="34"/>
      <c r="AC3212" s="36"/>
    </row>
    <row r="3213" spans="12:29" x14ac:dyDescent="0.3">
      <c r="L3213" s="36"/>
      <c r="R3213" s="34"/>
      <c r="AC3213" s="36"/>
    </row>
    <row r="3214" spans="12:29" x14ac:dyDescent="0.3">
      <c r="L3214" s="36"/>
      <c r="R3214" s="34"/>
      <c r="AC3214" s="36"/>
    </row>
    <row r="3215" spans="12:29" x14ac:dyDescent="0.3">
      <c r="L3215" s="36"/>
      <c r="R3215" s="34"/>
      <c r="AC3215" s="36"/>
    </row>
    <row r="3216" spans="12:29" x14ac:dyDescent="0.3">
      <c r="L3216" s="36"/>
      <c r="R3216" s="34"/>
      <c r="AC3216" s="36"/>
    </row>
    <row r="3217" spans="12:29" x14ac:dyDescent="0.3">
      <c r="L3217" s="36"/>
      <c r="R3217" s="34"/>
      <c r="AC3217" s="36"/>
    </row>
    <row r="3218" spans="12:29" x14ac:dyDescent="0.3">
      <c r="L3218" s="36"/>
      <c r="R3218" s="34"/>
      <c r="AC3218" s="36"/>
    </row>
    <row r="3219" spans="12:29" x14ac:dyDescent="0.3">
      <c r="L3219" s="36"/>
      <c r="R3219" s="34"/>
      <c r="AC3219" s="36"/>
    </row>
    <row r="3220" spans="12:29" x14ac:dyDescent="0.3">
      <c r="L3220" s="36"/>
      <c r="R3220" s="34"/>
      <c r="AC3220" s="36"/>
    </row>
    <row r="3221" spans="12:29" x14ac:dyDescent="0.3">
      <c r="L3221" s="36"/>
      <c r="R3221" s="34"/>
      <c r="AC3221" s="36"/>
    </row>
    <row r="3222" spans="12:29" x14ac:dyDescent="0.3">
      <c r="L3222" s="36"/>
      <c r="R3222" s="34"/>
      <c r="AC3222" s="36"/>
    </row>
    <row r="3223" spans="12:29" x14ac:dyDescent="0.3">
      <c r="L3223" s="36"/>
      <c r="R3223" s="34"/>
      <c r="AC3223" s="36"/>
    </row>
    <row r="3224" spans="12:29" x14ac:dyDescent="0.3">
      <c r="L3224" s="36"/>
      <c r="R3224" s="34"/>
      <c r="AC3224" s="36"/>
    </row>
    <row r="3225" spans="12:29" x14ac:dyDescent="0.3">
      <c r="L3225" s="36"/>
      <c r="R3225" s="34"/>
      <c r="AC3225" s="36"/>
    </row>
    <row r="3226" spans="12:29" x14ac:dyDescent="0.3">
      <c r="L3226" s="36"/>
      <c r="R3226" s="34"/>
      <c r="AC3226" s="36"/>
    </row>
    <row r="3227" spans="12:29" x14ac:dyDescent="0.3">
      <c r="L3227" s="36"/>
      <c r="R3227" s="34"/>
      <c r="AC3227" s="36"/>
    </row>
    <row r="3228" spans="12:29" x14ac:dyDescent="0.3">
      <c r="L3228" s="36"/>
      <c r="R3228" s="34"/>
      <c r="AC3228" s="36"/>
    </row>
    <row r="3229" spans="12:29" x14ac:dyDescent="0.3">
      <c r="L3229" s="36"/>
      <c r="R3229" s="34"/>
      <c r="AC3229" s="36"/>
    </row>
    <row r="3230" spans="12:29" x14ac:dyDescent="0.3">
      <c r="L3230" s="36"/>
      <c r="R3230" s="34"/>
      <c r="AC3230" s="36"/>
    </row>
    <row r="3231" spans="12:29" x14ac:dyDescent="0.3">
      <c r="L3231" s="36"/>
      <c r="R3231" s="34"/>
      <c r="AC3231" s="36"/>
    </row>
    <row r="3232" spans="12:29" x14ac:dyDescent="0.3">
      <c r="L3232" s="36"/>
      <c r="R3232" s="34"/>
      <c r="AC3232" s="36"/>
    </row>
    <row r="3233" spans="12:29" x14ac:dyDescent="0.3">
      <c r="L3233" s="36"/>
      <c r="R3233" s="34"/>
      <c r="AC3233" s="36"/>
    </row>
    <row r="3234" spans="12:29" x14ac:dyDescent="0.3">
      <c r="L3234" s="36"/>
      <c r="R3234" s="34"/>
      <c r="AC3234" s="36"/>
    </row>
    <row r="3235" spans="12:29" x14ac:dyDescent="0.3">
      <c r="L3235" s="36"/>
      <c r="R3235" s="34"/>
      <c r="AC3235" s="36"/>
    </row>
    <row r="3236" spans="12:29" x14ac:dyDescent="0.3">
      <c r="L3236" s="36"/>
      <c r="R3236" s="34"/>
      <c r="AC3236" s="36"/>
    </row>
    <row r="3237" spans="12:29" x14ac:dyDescent="0.3">
      <c r="L3237" s="36"/>
      <c r="R3237" s="34"/>
      <c r="AC3237" s="36"/>
    </row>
    <row r="3238" spans="12:29" x14ac:dyDescent="0.3">
      <c r="L3238" s="36"/>
      <c r="R3238" s="34"/>
      <c r="AC3238" s="36"/>
    </row>
    <row r="3239" spans="12:29" x14ac:dyDescent="0.3">
      <c r="L3239" s="36"/>
      <c r="R3239" s="34"/>
      <c r="AC3239" s="36"/>
    </row>
    <row r="3240" spans="12:29" x14ac:dyDescent="0.3">
      <c r="L3240" s="36"/>
      <c r="R3240" s="34"/>
      <c r="AC3240" s="36"/>
    </row>
    <row r="3241" spans="12:29" x14ac:dyDescent="0.3">
      <c r="L3241" s="36"/>
      <c r="R3241" s="34"/>
      <c r="AC3241" s="36"/>
    </row>
    <row r="3242" spans="12:29" x14ac:dyDescent="0.3">
      <c r="L3242" s="36"/>
      <c r="R3242" s="34"/>
      <c r="AC3242" s="36"/>
    </row>
    <row r="3243" spans="12:29" x14ac:dyDescent="0.3">
      <c r="L3243" s="36"/>
      <c r="R3243" s="34"/>
      <c r="AC3243" s="36"/>
    </row>
    <row r="3244" spans="12:29" x14ac:dyDescent="0.3">
      <c r="L3244" s="36"/>
      <c r="R3244" s="34"/>
      <c r="AC3244" s="36"/>
    </row>
    <row r="3245" spans="12:29" x14ac:dyDescent="0.3">
      <c r="L3245" s="36"/>
      <c r="R3245" s="34"/>
      <c r="AC3245" s="36"/>
    </row>
    <row r="3246" spans="12:29" x14ac:dyDescent="0.3">
      <c r="L3246" s="36"/>
      <c r="R3246" s="34"/>
      <c r="AC3246" s="36"/>
    </row>
    <row r="3247" spans="12:29" x14ac:dyDescent="0.3">
      <c r="L3247" s="36"/>
      <c r="R3247" s="34"/>
      <c r="AC3247" s="36"/>
    </row>
    <row r="3248" spans="12:29" x14ac:dyDescent="0.3">
      <c r="L3248" s="36"/>
      <c r="R3248" s="34"/>
      <c r="AC3248" s="36"/>
    </row>
    <row r="3249" spans="12:29" x14ac:dyDescent="0.3">
      <c r="L3249" s="36"/>
      <c r="R3249" s="34"/>
      <c r="AC3249" s="36"/>
    </row>
    <row r="3250" spans="12:29" x14ac:dyDescent="0.3">
      <c r="L3250" s="36"/>
      <c r="R3250" s="34"/>
      <c r="AC3250" s="36"/>
    </row>
    <row r="3251" spans="12:29" x14ac:dyDescent="0.3">
      <c r="L3251" s="36"/>
      <c r="R3251" s="34"/>
      <c r="AC3251" s="36"/>
    </row>
    <row r="3252" spans="12:29" x14ac:dyDescent="0.3">
      <c r="L3252" s="36"/>
      <c r="R3252" s="34"/>
      <c r="AC3252" s="36"/>
    </row>
    <row r="3253" spans="12:29" x14ac:dyDescent="0.3">
      <c r="L3253" s="36"/>
      <c r="R3253" s="34"/>
      <c r="AC3253" s="36"/>
    </row>
    <row r="3254" spans="12:29" x14ac:dyDescent="0.3">
      <c r="L3254" s="36"/>
      <c r="R3254" s="34"/>
      <c r="AC3254" s="36"/>
    </row>
    <row r="3255" spans="12:29" x14ac:dyDescent="0.3">
      <c r="L3255" s="36"/>
      <c r="R3255" s="34"/>
      <c r="AC3255" s="36"/>
    </row>
    <row r="3256" spans="12:29" x14ac:dyDescent="0.3">
      <c r="L3256" s="36"/>
      <c r="R3256" s="34"/>
      <c r="AC3256" s="36"/>
    </row>
    <row r="3257" spans="12:29" x14ac:dyDescent="0.3">
      <c r="L3257" s="36"/>
      <c r="R3257" s="34"/>
      <c r="AC3257" s="36"/>
    </row>
    <row r="3258" spans="12:29" x14ac:dyDescent="0.3">
      <c r="L3258" s="36"/>
      <c r="R3258" s="34"/>
      <c r="AC3258" s="36"/>
    </row>
    <row r="3259" spans="12:29" x14ac:dyDescent="0.3">
      <c r="L3259" s="36"/>
      <c r="R3259" s="34"/>
      <c r="AC3259" s="36"/>
    </row>
    <row r="3260" spans="12:29" x14ac:dyDescent="0.3">
      <c r="L3260" s="36"/>
      <c r="R3260" s="34"/>
      <c r="AC3260" s="36"/>
    </row>
    <row r="3261" spans="12:29" x14ac:dyDescent="0.3">
      <c r="L3261" s="36"/>
      <c r="R3261" s="34"/>
      <c r="AC3261" s="36"/>
    </row>
    <row r="3262" spans="12:29" x14ac:dyDescent="0.3">
      <c r="L3262" s="36"/>
      <c r="R3262" s="34"/>
      <c r="AC3262" s="36"/>
    </row>
    <row r="3263" spans="12:29" x14ac:dyDescent="0.3">
      <c r="L3263" s="36"/>
      <c r="R3263" s="34"/>
      <c r="AC3263" s="36"/>
    </row>
    <row r="3264" spans="12:29" x14ac:dyDescent="0.3">
      <c r="L3264" s="36"/>
      <c r="R3264" s="34"/>
      <c r="AC3264" s="36"/>
    </row>
    <row r="3265" spans="12:29" x14ac:dyDescent="0.3">
      <c r="L3265" s="36"/>
      <c r="R3265" s="34"/>
      <c r="AC3265" s="36"/>
    </row>
    <row r="3266" spans="12:29" x14ac:dyDescent="0.3">
      <c r="L3266" s="36"/>
      <c r="R3266" s="34"/>
      <c r="AC3266" s="36"/>
    </row>
    <row r="3267" spans="12:29" x14ac:dyDescent="0.3">
      <c r="L3267" s="36"/>
      <c r="R3267" s="34"/>
      <c r="AC3267" s="36"/>
    </row>
    <row r="3268" spans="12:29" x14ac:dyDescent="0.3">
      <c r="L3268" s="36"/>
      <c r="R3268" s="34"/>
      <c r="AC3268" s="36"/>
    </row>
    <row r="3269" spans="12:29" x14ac:dyDescent="0.3">
      <c r="L3269" s="36"/>
      <c r="R3269" s="34"/>
      <c r="AC3269" s="36"/>
    </row>
    <row r="3270" spans="12:29" x14ac:dyDescent="0.3">
      <c r="L3270" s="36"/>
      <c r="R3270" s="34"/>
      <c r="AC3270" s="36"/>
    </row>
    <row r="3271" spans="12:29" x14ac:dyDescent="0.3">
      <c r="L3271" s="36"/>
      <c r="R3271" s="34"/>
      <c r="AC3271" s="36"/>
    </row>
    <row r="3272" spans="12:29" x14ac:dyDescent="0.3">
      <c r="L3272" s="36"/>
      <c r="R3272" s="34"/>
      <c r="AC3272" s="36"/>
    </row>
    <row r="3273" spans="12:29" x14ac:dyDescent="0.3">
      <c r="L3273" s="36"/>
      <c r="R3273" s="34"/>
      <c r="AC3273" s="36"/>
    </row>
    <row r="3274" spans="12:29" x14ac:dyDescent="0.3">
      <c r="L3274" s="36"/>
      <c r="R3274" s="34"/>
      <c r="AC3274" s="36"/>
    </row>
    <row r="3275" spans="12:29" x14ac:dyDescent="0.3">
      <c r="L3275" s="36"/>
      <c r="R3275" s="34"/>
      <c r="AC3275" s="36"/>
    </row>
    <row r="3276" spans="12:29" x14ac:dyDescent="0.3">
      <c r="L3276" s="36"/>
      <c r="R3276" s="34"/>
      <c r="AC3276" s="36"/>
    </row>
    <row r="3277" spans="12:29" x14ac:dyDescent="0.3">
      <c r="L3277" s="36"/>
      <c r="R3277" s="34"/>
      <c r="AC3277" s="36"/>
    </row>
    <row r="3278" spans="12:29" x14ac:dyDescent="0.3">
      <c r="L3278" s="36"/>
      <c r="R3278" s="34"/>
      <c r="AC3278" s="36"/>
    </row>
    <row r="3279" spans="12:29" x14ac:dyDescent="0.3">
      <c r="L3279" s="36"/>
      <c r="R3279" s="34"/>
      <c r="AC3279" s="36"/>
    </row>
    <row r="3280" spans="12:29" x14ac:dyDescent="0.3">
      <c r="L3280" s="36"/>
      <c r="R3280" s="34"/>
      <c r="AC3280" s="36"/>
    </row>
    <row r="3281" spans="12:29" x14ac:dyDescent="0.3">
      <c r="L3281" s="36"/>
      <c r="R3281" s="34"/>
      <c r="AC3281" s="36"/>
    </row>
    <row r="3282" spans="12:29" x14ac:dyDescent="0.3">
      <c r="L3282" s="36"/>
      <c r="R3282" s="34"/>
      <c r="AC3282" s="36"/>
    </row>
    <row r="3283" spans="12:29" x14ac:dyDescent="0.3">
      <c r="L3283" s="36"/>
      <c r="R3283" s="34"/>
      <c r="AC3283" s="36"/>
    </row>
    <row r="3284" spans="12:29" x14ac:dyDescent="0.3">
      <c r="L3284" s="36"/>
      <c r="R3284" s="34"/>
      <c r="AC3284" s="36"/>
    </row>
    <row r="3285" spans="12:29" x14ac:dyDescent="0.3">
      <c r="L3285" s="36"/>
      <c r="R3285" s="34"/>
      <c r="AC3285" s="36"/>
    </row>
    <row r="3286" spans="12:29" x14ac:dyDescent="0.3">
      <c r="L3286" s="36"/>
      <c r="R3286" s="34"/>
      <c r="AC3286" s="36"/>
    </row>
    <row r="3287" spans="12:29" x14ac:dyDescent="0.3">
      <c r="L3287" s="36"/>
      <c r="R3287" s="34"/>
      <c r="AC3287" s="36"/>
    </row>
    <row r="3288" spans="12:29" x14ac:dyDescent="0.3">
      <c r="L3288" s="36"/>
      <c r="R3288" s="34"/>
      <c r="AC3288" s="36"/>
    </row>
    <row r="3289" spans="12:29" x14ac:dyDescent="0.3">
      <c r="L3289" s="36"/>
      <c r="R3289" s="34"/>
      <c r="AC3289" s="36"/>
    </row>
    <row r="3290" spans="12:29" x14ac:dyDescent="0.3">
      <c r="L3290" s="36"/>
      <c r="R3290" s="34"/>
      <c r="AC3290" s="36"/>
    </row>
    <row r="3291" spans="12:29" x14ac:dyDescent="0.3">
      <c r="L3291" s="36"/>
      <c r="R3291" s="34"/>
      <c r="AC3291" s="36"/>
    </row>
    <row r="3292" spans="12:29" x14ac:dyDescent="0.3">
      <c r="L3292" s="36"/>
      <c r="R3292" s="34"/>
      <c r="AC3292" s="36"/>
    </row>
    <row r="3293" spans="12:29" x14ac:dyDescent="0.3">
      <c r="L3293" s="36"/>
      <c r="R3293" s="34"/>
      <c r="AC3293" s="36"/>
    </row>
    <row r="3294" spans="12:29" x14ac:dyDescent="0.3">
      <c r="L3294" s="36"/>
      <c r="R3294" s="34"/>
      <c r="AC3294" s="36"/>
    </row>
    <row r="3295" spans="12:29" x14ac:dyDescent="0.3">
      <c r="L3295" s="36"/>
      <c r="R3295" s="34"/>
      <c r="AC3295" s="36"/>
    </row>
    <row r="3296" spans="12:29" x14ac:dyDescent="0.3">
      <c r="L3296" s="36"/>
      <c r="R3296" s="34"/>
      <c r="AC3296" s="36"/>
    </row>
    <row r="3297" spans="12:29" x14ac:dyDescent="0.3">
      <c r="L3297" s="36"/>
      <c r="R3297" s="34"/>
      <c r="AC3297" s="36"/>
    </row>
    <row r="3298" spans="12:29" x14ac:dyDescent="0.3">
      <c r="L3298" s="36"/>
      <c r="R3298" s="34"/>
      <c r="AC3298" s="36"/>
    </row>
    <row r="3299" spans="12:29" x14ac:dyDescent="0.3">
      <c r="L3299" s="36"/>
      <c r="R3299" s="34"/>
      <c r="AC3299" s="36"/>
    </row>
    <row r="3300" spans="12:29" x14ac:dyDescent="0.3">
      <c r="L3300" s="36"/>
      <c r="R3300" s="34"/>
      <c r="AC3300" s="36"/>
    </row>
    <row r="3301" spans="12:29" x14ac:dyDescent="0.3">
      <c r="L3301" s="36"/>
      <c r="R3301" s="34"/>
      <c r="AC3301" s="36"/>
    </row>
    <row r="3302" spans="12:29" x14ac:dyDescent="0.3">
      <c r="L3302" s="36"/>
      <c r="R3302" s="34"/>
      <c r="AC3302" s="36"/>
    </row>
    <row r="3303" spans="12:29" x14ac:dyDescent="0.3">
      <c r="L3303" s="36"/>
      <c r="R3303" s="34"/>
      <c r="AC3303" s="36"/>
    </row>
    <row r="3304" spans="12:29" x14ac:dyDescent="0.3">
      <c r="L3304" s="36"/>
      <c r="R3304" s="34"/>
      <c r="AC3304" s="36"/>
    </row>
    <row r="3305" spans="12:29" x14ac:dyDescent="0.3">
      <c r="L3305" s="36"/>
      <c r="R3305" s="34"/>
      <c r="AC3305" s="36"/>
    </row>
    <row r="3306" spans="12:29" x14ac:dyDescent="0.3">
      <c r="L3306" s="36"/>
      <c r="R3306" s="34"/>
      <c r="AC3306" s="36"/>
    </row>
    <row r="3307" spans="12:29" x14ac:dyDescent="0.3">
      <c r="L3307" s="36"/>
      <c r="R3307" s="34"/>
      <c r="AC3307" s="36"/>
    </row>
    <row r="3308" spans="12:29" x14ac:dyDescent="0.3">
      <c r="L3308" s="36"/>
      <c r="R3308" s="34"/>
      <c r="AC3308" s="36"/>
    </row>
    <row r="3309" spans="12:29" x14ac:dyDescent="0.3">
      <c r="L3309" s="36"/>
      <c r="R3309" s="34"/>
      <c r="AC3309" s="36"/>
    </row>
    <row r="3310" spans="12:29" x14ac:dyDescent="0.3">
      <c r="L3310" s="36"/>
      <c r="R3310" s="34"/>
      <c r="AC3310" s="36"/>
    </row>
    <row r="3311" spans="12:29" x14ac:dyDescent="0.3">
      <c r="L3311" s="36"/>
      <c r="R3311" s="34"/>
      <c r="AC3311" s="36"/>
    </row>
    <row r="3312" spans="12:29" x14ac:dyDescent="0.3">
      <c r="L3312" s="36"/>
      <c r="R3312" s="34"/>
      <c r="AC3312" s="36"/>
    </row>
    <row r="3313" spans="12:29" x14ac:dyDescent="0.3">
      <c r="L3313" s="36"/>
      <c r="R3313" s="34"/>
      <c r="AC3313" s="36"/>
    </row>
    <row r="3314" spans="12:29" x14ac:dyDescent="0.3">
      <c r="L3314" s="36"/>
      <c r="R3314" s="34"/>
      <c r="AC3314" s="36"/>
    </row>
    <row r="3315" spans="12:29" x14ac:dyDescent="0.3">
      <c r="L3315" s="36"/>
      <c r="R3315" s="34"/>
      <c r="AC3315" s="36"/>
    </row>
    <row r="3316" spans="12:29" x14ac:dyDescent="0.3">
      <c r="L3316" s="36"/>
      <c r="R3316" s="34"/>
      <c r="AC3316" s="36"/>
    </row>
    <row r="3317" spans="12:29" x14ac:dyDescent="0.3">
      <c r="L3317" s="36"/>
      <c r="R3317" s="34"/>
      <c r="AC3317" s="36"/>
    </row>
    <row r="3318" spans="12:29" x14ac:dyDescent="0.3">
      <c r="L3318" s="36"/>
      <c r="R3318" s="34"/>
      <c r="AC3318" s="36"/>
    </row>
    <row r="3319" spans="12:29" x14ac:dyDescent="0.3">
      <c r="L3319" s="36"/>
      <c r="R3319" s="34"/>
      <c r="AC3319" s="36"/>
    </row>
    <row r="3320" spans="12:29" x14ac:dyDescent="0.3">
      <c r="L3320" s="36"/>
      <c r="R3320" s="34"/>
      <c r="AC3320" s="36"/>
    </row>
    <row r="3321" spans="12:29" x14ac:dyDescent="0.3">
      <c r="L3321" s="36"/>
      <c r="R3321" s="34"/>
      <c r="AC3321" s="36"/>
    </row>
    <row r="3322" spans="12:29" x14ac:dyDescent="0.3">
      <c r="L3322" s="36"/>
      <c r="R3322" s="34"/>
      <c r="AC3322" s="36"/>
    </row>
    <row r="3323" spans="12:29" x14ac:dyDescent="0.3">
      <c r="L3323" s="36"/>
      <c r="R3323" s="34"/>
      <c r="AC3323" s="36"/>
    </row>
    <row r="3324" spans="12:29" x14ac:dyDescent="0.3">
      <c r="L3324" s="36"/>
      <c r="R3324" s="34"/>
      <c r="AC3324" s="36"/>
    </row>
    <row r="3325" spans="12:29" x14ac:dyDescent="0.3">
      <c r="L3325" s="36"/>
      <c r="R3325" s="34"/>
      <c r="AC3325" s="36"/>
    </row>
    <row r="3326" spans="12:29" x14ac:dyDescent="0.3">
      <c r="L3326" s="36"/>
      <c r="R3326" s="34"/>
      <c r="AC3326" s="36"/>
    </row>
    <row r="3327" spans="12:29" x14ac:dyDescent="0.3">
      <c r="L3327" s="36"/>
      <c r="R3327" s="34"/>
      <c r="AC3327" s="36"/>
    </row>
    <row r="3328" spans="12:29" x14ac:dyDescent="0.3">
      <c r="L3328" s="36"/>
      <c r="R3328" s="34"/>
      <c r="AC3328" s="36"/>
    </row>
    <row r="3329" spans="12:29" x14ac:dyDescent="0.3">
      <c r="L3329" s="36"/>
      <c r="R3329" s="34"/>
      <c r="AC3329" s="36"/>
    </row>
    <row r="3330" spans="12:29" x14ac:dyDescent="0.3">
      <c r="L3330" s="36"/>
      <c r="R3330" s="34"/>
      <c r="AC3330" s="36"/>
    </row>
    <row r="3331" spans="12:29" x14ac:dyDescent="0.3">
      <c r="L3331" s="36"/>
      <c r="R3331" s="34"/>
      <c r="AC3331" s="36"/>
    </row>
    <row r="3332" spans="12:29" x14ac:dyDescent="0.3">
      <c r="L3332" s="36"/>
      <c r="R3332" s="34"/>
      <c r="AC3332" s="36"/>
    </row>
    <row r="3333" spans="12:29" x14ac:dyDescent="0.3">
      <c r="L3333" s="36"/>
      <c r="R3333" s="34"/>
      <c r="AC3333" s="36"/>
    </row>
    <row r="3334" spans="12:29" x14ac:dyDescent="0.3">
      <c r="L3334" s="36"/>
      <c r="R3334" s="34"/>
      <c r="AC3334" s="36"/>
    </row>
    <row r="3335" spans="12:29" x14ac:dyDescent="0.3">
      <c r="L3335" s="36"/>
      <c r="R3335" s="34"/>
      <c r="AC3335" s="36"/>
    </row>
    <row r="3336" spans="12:29" x14ac:dyDescent="0.3">
      <c r="L3336" s="36"/>
      <c r="R3336" s="34"/>
      <c r="AC3336" s="36"/>
    </row>
    <row r="3337" spans="12:29" x14ac:dyDescent="0.3">
      <c r="L3337" s="36"/>
      <c r="R3337" s="34"/>
      <c r="AC3337" s="36"/>
    </row>
    <row r="3338" spans="12:29" x14ac:dyDescent="0.3">
      <c r="L3338" s="36"/>
      <c r="R3338" s="34"/>
      <c r="AC3338" s="36"/>
    </row>
    <row r="3339" spans="12:29" x14ac:dyDescent="0.3">
      <c r="L3339" s="36"/>
      <c r="R3339" s="34"/>
      <c r="AC3339" s="36"/>
    </row>
    <row r="3340" spans="12:29" x14ac:dyDescent="0.3">
      <c r="L3340" s="36"/>
      <c r="R3340" s="34"/>
      <c r="AC3340" s="36"/>
    </row>
    <row r="3341" spans="12:29" x14ac:dyDescent="0.3">
      <c r="L3341" s="36"/>
      <c r="R3341" s="34"/>
      <c r="AC3341" s="36"/>
    </row>
    <row r="3342" spans="12:29" x14ac:dyDescent="0.3">
      <c r="L3342" s="36"/>
      <c r="R3342" s="34"/>
      <c r="AC3342" s="36"/>
    </row>
    <row r="3343" spans="12:29" x14ac:dyDescent="0.3">
      <c r="L3343" s="36"/>
      <c r="R3343" s="34"/>
      <c r="AC3343" s="36"/>
    </row>
    <row r="3344" spans="12:29" x14ac:dyDescent="0.3">
      <c r="L3344" s="36"/>
      <c r="R3344" s="34"/>
      <c r="AC3344" s="36"/>
    </row>
    <row r="3345" spans="12:29" x14ac:dyDescent="0.3">
      <c r="L3345" s="36"/>
      <c r="R3345" s="34"/>
      <c r="AC3345" s="36"/>
    </row>
    <row r="3346" spans="12:29" x14ac:dyDescent="0.3">
      <c r="L3346" s="36"/>
      <c r="R3346" s="34"/>
      <c r="AC3346" s="36"/>
    </row>
    <row r="3347" spans="12:29" x14ac:dyDescent="0.3">
      <c r="L3347" s="36"/>
      <c r="R3347" s="34"/>
      <c r="AC3347" s="36"/>
    </row>
    <row r="3348" spans="12:29" x14ac:dyDescent="0.3">
      <c r="L3348" s="36"/>
      <c r="R3348" s="34"/>
      <c r="AC3348" s="36"/>
    </row>
    <row r="3349" spans="12:29" x14ac:dyDescent="0.3">
      <c r="L3349" s="36"/>
      <c r="R3349" s="34"/>
      <c r="AC3349" s="36"/>
    </row>
    <row r="3350" spans="12:29" x14ac:dyDescent="0.3">
      <c r="L3350" s="36"/>
      <c r="R3350" s="34"/>
      <c r="AC3350" s="36"/>
    </row>
    <row r="3351" spans="12:29" x14ac:dyDescent="0.3">
      <c r="L3351" s="36"/>
      <c r="R3351" s="34"/>
      <c r="AC3351" s="36"/>
    </row>
    <row r="3352" spans="12:29" x14ac:dyDescent="0.3">
      <c r="L3352" s="36"/>
      <c r="R3352" s="34"/>
      <c r="AC3352" s="36"/>
    </row>
    <row r="3353" spans="12:29" x14ac:dyDescent="0.3">
      <c r="L3353" s="36"/>
      <c r="R3353" s="34"/>
      <c r="AC3353" s="36"/>
    </row>
    <row r="3354" spans="12:29" x14ac:dyDescent="0.3">
      <c r="L3354" s="36"/>
      <c r="R3354" s="34"/>
      <c r="AC3354" s="36"/>
    </row>
    <row r="3355" spans="12:29" x14ac:dyDescent="0.3">
      <c r="L3355" s="36"/>
      <c r="R3355" s="34"/>
      <c r="AC3355" s="36"/>
    </row>
    <row r="3356" spans="12:29" x14ac:dyDescent="0.3">
      <c r="L3356" s="36"/>
      <c r="R3356" s="34"/>
      <c r="AC3356" s="36"/>
    </row>
    <row r="3357" spans="12:29" x14ac:dyDescent="0.3">
      <c r="L3357" s="36"/>
      <c r="R3357" s="34"/>
      <c r="AC3357" s="36"/>
    </row>
    <row r="3358" spans="12:29" x14ac:dyDescent="0.3">
      <c r="L3358" s="36"/>
      <c r="R3358" s="34"/>
      <c r="AC3358" s="36"/>
    </row>
    <row r="3359" spans="12:29" x14ac:dyDescent="0.3">
      <c r="L3359" s="36"/>
      <c r="R3359" s="34"/>
      <c r="AC3359" s="36"/>
    </row>
    <row r="3360" spans="12:29" x14ac:dyDescent="0.3">
      <c r="L3360" s="36"/>
      <c r="R3360" s="34"/>
      <c r="AC3360" s="36"/>
    </row>
    <row r="3361" spans="12:29" x14ac:dyDescent="0.3">
      <c r="L3361" s="36"/>
      <c r="R3361" s="34"/>
      <c r="AC3361" s="36"/>
    </row>
    <row r="3362" spans="12:29" x14ac:dyDescent="0.3">
      <c r="L3362" s="36"/>
      <c r="R3362" s="34"/>
      <c r="AC3362" s="36"/>
    </row>
    <row r="3363" spans="12:29" x14ac:dyDescent="0.3">
      <c r="L3363" s="36"/>
      <c r="R3363" s="34"/>
      <c r="AC3363" s="36"/>
    </row>
    <row r="3364" spans="12:29" x14ac:dyDescent="0.3">
      <c r="L3364" s="36"/>
      <c r="R3364" s="34"/>
      <c r="AC3364" s="36"/>
    </row>
    <row r="3365" spans="12:29" x14ac:dyDescent="0.3">
      <c r="L3365" s="36"/>
      <c r="R3365" s="34"/>
      <c r="AC3365" s="36"/>
    </row>
    <row r="3366" spans="12:29" x14ac:dyDescent="0.3">
      <c r="L3366" s="36"/>
      <c r="R3366" s="34"/>
      <c r="AC3366" s="36"/>
    </row>
    <row r="3367" spans="12:29" x14ac:dyDescent="0.3">
      <c r="L3367" s="36"/>
      <c r="R3367" s="34"/>
      <c r="AC3367" s="36"/>
    </row>
    <row r="3368" spans="12:29" x14ac:dyDescent="0.3">
      <c r="L3368" s="36"/>
      <c r="R3368" s="34"/>
      <c r="AC3368" s="36"/>
    </row>
    <row r="3369" spans="12:29" x14ac:dyDescent="0.3">
      <c r="L3369" s="36"/>
      <c r="R3369" s="34"/>
      <c r="AC3369" s="36"/>
    </row>
    <row r="3370" spans="12:29" x14ac:dyDescent="0.3">
      <c r="L3370" s="36"/>
      <c r="R3370" s="34"/>
      <c r="AC3370" s="36"/>
    </row>
    <row r="3371" spans="12:29" x14ac:dyDescent="0.3">
      <c r="L3371" s="36"/>
      <c r="R3371" s="34"/>
      <c r="AC3371" s="36"/>
    </row>
    <row r="3372" spans="12:29" x14ac:dyDescent="0.3">
      <c r="L3372" s="36"/>
      <c r="R3372" s="34"/>
      <c r="AC3372" s="36"/>
    </row>
    <row r="3373" spans="12:29" x14ac:dyDescent="0.3">
      <c r="L3373" s="36"/>
      <c r="R3373" s="34"/>
      <c r="AC3373" s="36"/>
    </row>
    <row r="3374" spans="12:29" x14ac:dyDescent="0.3">
      <c r="L3374" s="36"/>
      <c r="R3374" s="34"/>
      <c r="AC3374" s="36"/>
    </row>
    <row r="3375" spans="12:29" x14ac:dyDescent="0.3">
      <c r="L3375" s="36"/>
      <c r="R3375" s="34"/>
      <c r="AC3375" s="36"/>
    </row>
    <row r="3376" spans="12:29" x14ac:dyDescent="0.3">
      <c r="L3376" s="36"/>
      <c r="R3376" s="34"/>
      <c r="AC3376" s="36"/>
    </row>
    <row r="3377" spans="12:29" x14ac:dyDescent="0.3">
      <c r="L3377" s="36"/>
      <c r="R3377" s="34"/>
      <c r="AC3377" s="36"/>
    </row>
    <row r="3378" spans="12:29" x14ac:dyDescent="0.3">
      <c r="L3378" s="36"/>
      <c r="R3378" s="34"/>
      <c r="AC3378" s="36"/>
    </row>
    <row r="3379" spans="12:29" x14ac:dyDescent="0.3">
      <c r="L3379" s="36"/>
      <c r="R3379" s="34"/>
      <c r="AC3379" s="36"/>
    </row>
    <row r="3380" spans="12:29" x14ac:dyDescent="0.3">
      <c r="L3380" s="36"/>
      <c r="R3380" s="34"/>
      <c r="AC3380" s="36"/>
    </row>
    <row r="3381" spans="12:29" x14ac:dyDescent="0.3">
      <c r="L3381" s="36"/>
      <c r="R3381" s="34"/>
      <c r="AC3381" s="36"/>
    </row>
    <row r="3382" spans="12:29" x14ac:dyDescent="0.3">
      <c r="L3382" s="36"/>
      <c r="R3382" s="34"/>
      <c r="AC3382" s="36"/>
    </row>
    <row r="3383" spans="12:29" x14ac:dyDescent="0.3">
      <c r="L3383" s="36"/>
      <c r="R3383" s="34"/>
      <c r="AC3383" s="36"/>
    </row>
    <row r="3384" spans="12:29" x14ac:dyDescent="0.3">
      <c r="L3384" s="36"/>
      <c r="R3384" s="34"/>
      <c r="AC3384" s="36"/>
    </row>
    <row r="3385" spans="12:29" x14ac:dyDescent="0.3">
      <c r="L3385" s="36"/>
      <c r="R3385" s="34"/>
      <c r="AC3385" s="36"/>
    </row>
    <row r="3386" spans="12:29" x14ac:dyDescent="0.3">
      <c r="L3386" s="36"/>
      <c r="R3386" s="34"/>
      <c r="AC3386" s="36"/>
    </row>
    <row r="3387" spans="12:29" x14ac:dyDescent="0.3">
      <c r="L3387" s="36"/>
      <c r="R3387" s="34"/>
      <c r="AC3387" s="36"/>
    </row>
    <row r="3388" spans="12:29" x14ac:dyDescent="0.3">
      <c r="L3388" s="36"/>
      <c r="R3388" s="34"/>
      <c r="AC3388" s="36"/>
    </row>
    <row r="3389" spans="12:29" x14ac:dyDescent="0.3">
      <c r="L3389" s="36"/>
      <c r="R3389" s="34"/>
      <c r="AC3389" s="36"/>
    </row>
    <row r="3390" spans="12:29" x14ac:dyDescent="0.3">
      <c r="L3390" s="36"/>
      <c r="R3390" s="34"/>
      <c r="AC3390" s="36"/>
    </row>
    <row r="3391" spans="12:29" x14ac:dyDescent="0.3">
      <c r="L3391" s="36"/>
      <c r="R3391" s="34"/>
      <c r="AC3391" s="36"/>
    </row>
    <row r="3392" spans="12:29" x14ac:dyDescent="0.3">
      <c r="L3392" s="36"/>
      <c r="R3392" s="34"/>
      <c r="AC3392" s="36"/>
    </row>
    <row r="3393" spans="12:29" x14ac:dyDescent="0.3">
      <c r="L3393" s="36"/>
      <c r="R3393" s="34"/>
      <c r="AC3393" s="36"/>
    </row>
    <row r="3394" spans="12:29" x14ac:dyDescent="0.3">
      <c r="L3394" s="36"/>
      <c r="R3394" s="34"/>
      <c r="AC3394" s="36"/>
    </row>
    <row r="3395" spans="12:29" x14ac:dyDescent="0.3">
      <c r="L3395" s="36"/>
      <c r="R3395" s="34"/>
      <c r="AC3395" s="36"/>
    </row>
    <row r="3396" spans="12:29" x14ac:dyDescent="0.3">
      <c r="L3396" s="36"/>
      <c r="R3396" s="34"/>
      <c r="AC3396" s="36"/>
    </row>
    <row r="3397" spans="12:29" x14ac:dyDescent="0.3">
      <c r="L3397" s="36"/>
      <c r="R3397" s="34"/>
      <c r="AC3397" s="36"/>
    </row>
    <row r="3398" spans="12:29" x14ac:dyDescent="0.3">
      <c r="L3398" s="36"/>
      <c r="R3398" s="34"/>
      <c r="AC3398" s="36"/>
    </row>
    <row r="3399" spans="12:29" x14ac:dyDescent="0.3">
      <c r="L3399" s="36"/>
      <c r="R3399" s="34"/>
      <c r="AC3399" s="36"/>
    </row>
    <row r="3400" spans="12:29" x14ac:dyDescent="0.3">
      <c r="L3400" s="36"/>
      <c r="R3400" s="34"/>
      <c r="AC3400" s="36"/>
    </row>
    <row r="3401" spans="12:29" x14ac:dyDescent="0.3">
      <c r="L3401" s="36"/>
      <c r="R3401" s="34"/>
      <c r="AC3401" s="36"/>
    </row>
    <row r="3402" spans="12:29" x14ac:dyDescent="0.3">
      <c r="L3402" s="36"/>
      <c r="R3402" s="34"/>
      <c r="AC3402" s="36"/>
    </row>
    <row r="3403" spans="12:29" x14ac:dyDescent="0.3">
      <c r="L3403" s="36"/>
      <c r="R3403" s="34"/>
      <c r="AC3403" s="36"/>
    </row>
    <row r="3404" spans="12:29" x14ac:dyDescent="0.3">
      <c r="L3404" s="36"/>
      <c r="R3404" s="34"/>
      <c r="AC3404" s="36"/>
    </row>
    <row r="3405" spans="12:29" x14ac:dyDescent="0.3">
      <c r="L3405" s="36"/>
      <c r="R3405" s="34"/>
      <c r="AC3405" s="36"/>
    </row>
    <row r="3406" spans="12:29" x14ac:dyDescent="0.3">
      <c r="L3406" s="36"/>
      <c r="R3406" s="34"/>
      <c r="AC3406" s="36"/>
    </row>
    <row r="3407" spans="12:29" x14ac:dyDescent="0.3">
      <c r="L3407" s="36"/>
      <c r="R3407" s="34"/>
      <c r="AC3407" s="36"/>
    </row>
    <row r="3408" spans="12:29" x14ac:dyDescent="0.3">
      <c r="L3408" s="36"/>
      <c r="R3408" s="34"/>
      <c r="AC3408" s="36"/>
    </row>
    <row r="3409" spans="12:29" x14ac:dyDescent="0.3">
      <c r="L3409" s="36"/>
      <c r="R3409" s="34"/>
      <c r="AC3409" s="36"/>
    </row>
    <row r="3410" spans="12:29" x14ac:dyDescent="0.3">
      <c r="L3410" s="36"/>
      <c r="R3410" s="34"/>
      <c r="AC3410" s="36"/>
    </row>
    <row r="3411" spans="12:29" x14ac:dyDescent="0.3">
      <c r="L3411" s="36"/>
      <c r="R3411" s="34"/>
      <c r="AC3411" s="36"/>
    </row>
    <row r="3412" spans="12:29" x14ac:dyDescent="0.3">
      <c r="L3412" s="36"/>
      <c r="R3412" s="34"/>
      <c r="AC3412" s="36"/>
    </row>
    <row r="3413" spans="12:29" x14ac:dyDescent="0.3">
      <c r="L3413" s="36"/>
      <c r="R3413" s="34"/>
      <c r="AC3413" s="36"/>
    </row>
    <row r="3414" spans="12:29" x14ac:dyDescent="0.3">
      <c r="L3414" s="36"/>
      <c r="R3414" s="34"/>
      <c r="AC3414" s="36"/>
    </row>
    <row r="3415" spans="12:29" x14ac:dyDescent="0.3">
      <c r="L3415" s="36"/>
      <c r="R3415" s="34"/>
      <c r="AC3415" s="36"/>
    </row>
    <row r="3416" spans="12:29" x14ac:dyDescent="0.3">
      <c r="L3416" s="36"/>
      <c r="R3416" s="34"/>
      <c r="AC3416" s="36"/>
    </row>
    <row r="3417" spans="12:29" x14ac:dyDescent="0.3">
      <c r="L3417" s="36"/>
      <c r="R3417" s="34"/>
      <c r="AC3417" s="36"/>
    </row>
    <row r="3418" spans="12:29" x14ac:dyDescent="0.3">
      <c r="L3418" s="36"/>
      <c r="R3418" s="34"/>
      <c r="AC3418" s="36"/>
    </row>
    <row r="3419" spans="12:29" x14ac:dyDescent="0.3">
      <c r="L3419" s="36"/>
      <c r="R3419" s="34"/>
      <c r="AC3419" s="36"/>
    </row>
    <row r="3420" spans="12:29" x14ac:dyDescent="0.3">
      <c r="L3420" s="36"/>
      <c r="R3420" s="34"/>
      <c r="AC3420" s="36"/>
    </row>
    <row r="3421" spans="12:29" x14ac:dyDescent="0.3">
      <c r="L3421" s="36"/>
      <c r="R3421" s="34"/>
      <c r="AC3421" s="36"/>
    </row>
    <row r="3422" spans="12:29" x14ac:dyDescent="0.3">
      <c r="L3422" s="36"/>
      <c r="R3422" s="34"/>
      <c r="AC3422" s="36"/>
    </row>
    <row r="3423" spans="12:29" x14ac:dyDescent="0.3">
      <c r="L3423" s="36"/>
      <c r="R3423" s="34"/>
      <c r="AC3423" s="36"/>
    </row>
    <row r="3424" spans="12:29" x14ac:dyDescent="0.3">
      <c r="L3424" s="36"/>
      <c r="R3424" s="34"/>
      <c r="AC3424" s="36"/>
    </row>
    <row r="3425" spans="12:29" x14ac:dyDescent="0.3">
      <c r="L3425" s="36"/>
      <c r="R3425" s="34"/>
      <c r="AC3425" s="36"/>
    </row>
    <row r="3426" spans="12:29" x14ac:dyDescent="0.3">
      <c r="L3426" s="36"/>
      <c r="R3426" s="34"/>
      <c r="AC3426" s="36"/>
    </row>
    <row r="3427" spans="12:29" x14ac:dyDescent="0.3">
      <c r="L3427" s="36"/>
      <c r="R3427" s="34"/>
      <c r="AC3427" s="36"/>
    </row>
    <row r="3428" spans="12:29" x14ac:dyDescent="0.3">
      <c r="L3428" s="36"/>
      <c r="R3428" s="34"/>
      <c r="AC3428" s="36"/>
    </row>
    <row r="3429" spans="12:29" x14ac:dyDescent="0.3">
      <c r="L3429" s="36"/>
      <c r="R3429" s="34"/>
      <c r="AC3429" s="36"/>
    </row>
    <row r="3430" spans="12:29" x14ac:dyDescent="0.3">
      <c r="L3430" s="36"/>
      <c r="R3430" s="34"/>
      <c r="AC3430" s="36"/>
    </row>
    <row r="3431" spans="12:29" x14ac:dyDescent="0.3">
      <c r="L3431" s="36"/>
      <c r="R3431" s="34"/>
      <c r="AC3431" s="36"/>
    </row>
    <row r="3432" spans="12:29" x14ac:dyDescent="0.3">
      <c r="L3432" s="36"/>
      <c r="R3432" s="34"/>
      <c r="AC3432" s="36"/>
    </row>
    <row r="3433" spans="12:29" x14ac:dyDescent="0.3">
      <c r="L3433" s="36"/>
      <c r="R3433" s="34"/>
      <c r="AC3433" s="36"/>
    </row>
    <row r="3434" spans="12:29" x14ac:dyDescent="0.3">
      <c r="L3434" s="36"/>
      <c r="R3434" s="34"/>
      <c r="AC3434" s="36"/>
    </row>
    <row r="3435" spans="12:29" x14ac:dyDescent="0.3">
      <c r="L3435" s="36"/>
      <c r="R3435" s="34"/>
      <c r="AC3435" s="36"/>
    </row>
    <row r="3436" spans="12:29" x14ac:dyDescent="0.3">
      <c r="L3436" s="36"/>
      <c r="R3436" s="34"/>
      <c r="AC3436" s="36"/>
    </row>
    <row r="3437" spans="12:29" x14ac:dyDescent="0.3">
      <c r="L3437" s="36"/>
      <c r="R3437" s="34"/>
      <c r="AC3437" s="36"/>
    </row>
    <row r="3438" spans="12:29" x14ac:dyDescent="0.3">
      <c r="L3438" s="36"/>
      <c r="R3438" s="34"/>
      <c r="AC3438" s="36"/>
    </row>
    <row r="3439" spans="12:29" x14ac:dyDescent="0.3">
      <c r="L3439" s="36"/>
      <c r="R3439" s="34"/>
      <c r="AC3439" s="36"/>
    </row>
    <row r="3440" spans="12:29" x14ac:dyDescent="0.3">
      <c r="L3440" s="36"/>
      <c r="R3440" s="34"/>
      <c r="AC3440" s="36"/>
    </row>
    <row r="3441" spans="12:29" x14ac:dyDescent="0.3">
      <c r="L3441" s="36"/>
      <c r="R3441" s="34"/>
      <c r="AC3441" s="36"/>
    </row>
    <row r="3442" spans="12:29" x14ac:dyDescent="0.3">
      <c r="L3442" s="36"/>
      <c r="R3442" s="34"/>
      <c r="AC3442" s="36"/>
    </row>
    <row r="3443" spans="12:29" x14ac:dyDescent="0.3">
      <c r="L3443" s="36"/>
      <c r="R3443" s="34"/>
      <c r="AC3443" s="36"/>
    </row>
    <row r="3444" spans="12:29" x14ac:dyDescent="0.3">
      <c r="L3444" s="36"/>
      <c r="R3444" s="34"/>
      <c r="AC3444" s="36"/>
    </row>
    <row r="3445" spans="12:29" x14ac:dyDescent="0.3">
      <c r="L3445" s="36"/>
      <c r="R3445" s="34"/>
      <c r="AC3445" s="36"/>
    </row>
    <row r="3446" spans="12:29" x14ac:dyDescent="0.3">
      <c r="L3446" s="36"/>
      <c r="R3446" s="34"/>
      <c r="AC3446" s="36"/>
    </row>
    <row r="3447" spans="12:29" x14ac:dyDescent="0.3">
      <c r="L3447" s="36"/>
      <c r="R3447" s="34"/>
      <c r="AC3447" s="36"/>
    </row>
    <row r="3448" spans="12:29" x14ac:dyDescent="0.3">
      <c r="L3448" s="36"/>
      <c r="R3448" s="34"/>
      <c r="AC3448" s="36"/>
    </row>
    <row r="3449" spans="12:29" x14ac:dyDescent="0.3">
      <c r="L3449" s="36"/>
      <c r="R3449" s="34"/>
      <c r="AC3449" s="36"/>
    </row>
    <row r="3450" spans="12:29" x14ac:dyDescent="0.3">
      <c r="L3450" s="36"/>
      <c r="R3450" s="34"/>
      <c r="AC3450" s="36"/>
    </row>
    <row r="3451" spans="12:29" x14ac:dyDescent="0.3">
      <c r="L3451" s="36"/>
      <c r="R3451" s="34"/>
      <c r="AC3451" s="36"/>
    </row>
    <row r="3452" spans="12:29" x14ac:dyDescent="0.3">
      <c r="L3452" s="36"/>
      <c r="R3452" s="34"/>
      <c r="AC3452" s="36"/>
    </row>
    <row r="3453" spans="12:29" x14ac:dyDescent="0.3">
      <c r="L3453" s="36"/>
      <c r="R3453" s="34"/>
      <c r="AC3453" s="36"/>
    </row>
    <row r="3454" spans="12:29" x14ac:dyDescent="0.3">
      <c r="L3454" s="36"/>
      <c r="R3454" s="34"/>
      <c r="AC3454" s="36"/>
    </row>
    <row r="3455" spans="12:29" x14ac:dyDescent="0.3">
      <c r="L3455" s="36"/>
      <c r="R3455" s="34"/>
      <c r="AC3455" s="36"/>
    </row>
    <row r="3456" spans="12:29" x14ac:dyDescent="0.3">
      <c r="L3456" s="36"/>
      <c r="R3456" s="34"/>
      <c r="AC3456" s="36"/>
    </row>
    <row r="3457" spans="12:29" x14ac:dyDescent="0.3">
      <c r="L3457" s="36"/>
      <c r="R3457" s="34"/>
      <c r="AC3457" s="36"/>
    </row>
    <row r="3458" spans="12:29" x14ac:dyDescent="0.3">
      <c r="L3458" s="36"/>
      <c r="R3458" s="34"/>
      <c r="AC3458" s="36"/>
    </row>
    <row r="3459" spans="12:29" x14ac:dyDescent="0.3">
      <c r="L3459" s="36"/>
      <c r="R3459" s="34"/>
      <c r="AC3459" s="36"/>
    </row>
    <row r="3460" spans="12:29" x14ac:dyDescent="0.3">
      <c r="L3460" s="36"/>
      <c r="R3460" s="34"/>
      <c r="AC3460" s="36"/>
    </row>
    <row r="3461" spans="12:29" x14ac:dyDescent="0.3">
      <c r="L3461" s="36"/>
      <c r="R3461" s="34"/>
      <c r="AC3461" s="36"/>
    </row>
    <row r="3462" spans="12:29" x14ac:dyDescent="0.3">
      <c r="L3462" s="36"/>
      <c r="R3462" s="34"/>
      <c r="AC3462" s="36"/>
    </row>
    <row r="3463" spans="12:29" x14ac:dyDescent="0.3">
      <c r="L3463" s="36"/>
      <c r="R3463" s="34"/>
      <c r="AC3463" s="36"/>
    </row>
    <row r="3464" spans="12:29" x14ac:dyDescent="0.3">
      <c r="L3464" s="36"/>
      <c r="R3464" s="34"/>
      <c r="AC3464" s="36"/>
    </row>
    <row r="3465" spans="12:29" x14ac:dyDescent="0.3">
      <c r="L3465" s="36"/>
      <c r="R3465" s="34"/>
      <c r="AC3465" s="36"/>
    </row>
    <row r="3466" spans="12:29" x14ac:dyDescent="0.3">
      <c r="L3466" s="36"/>
      <c r="R3466" s="34"/>
      <c r="AC3466" s="36"/>
    </row>
    <row r="3467" spans="12:29" x14ac:dyDescent="0.3">
      <c r="L3467" s="36"/>
      <c r="R3467" s="34"/>
      <c r="AC3467" s="36"/>
    </row>
    <row r="3468" spans="12:29" x14ac:dyDescent="0.3">
      <c r="L3468" s="36"/>
      <c r="R3468" s="34"/>
      <c r="AC3468" s="36"/>
    </row>
    <row r="3469" spans="12:29" x14ac:dyDescent="0.3">
      <c r="L3469" s="36"/>
      <c r="R3469" s="34"/>
      <c r="AC3469" s="36"/>
    </row>
    <row r="3470" spans="12:29" x14ac:dyDescent="0.3">
      <c r="L3470" s="36"/>
      <c r="R3470" s="34"/>
      <c r="AC3470" s="36"/>
    </row>
    <row r="3471" spans="12:29" x14ac:dyDescent="0.3">
      <c r="L3471" s="36"/>
      <c r="R3471" s="34"/>
      <c r="AC3471" s="36"/>
    </row>
    <row r="3472" spans="12:29" x14ac:dyDescent="0.3">
      <c r="L3472" s="36"/>
      <c r="R3472" s="34"/>
      <c r="AC3472" s="36"/>
    </row>
    <row r="3473" spans="12:29" x14ac:dyDescent="0.3">
      <c r="L3473" s="36"/>
      <c r="R3473" s="34"/>
      <c r="AC3473" s="36"/>
    </row>
    <row r="3474" spans="12:29" x14ac:dyDescent="0.3">
      <c r="L3474" s="36"/>
      <c r="R3474" s="34"/>
      <c r="AC3474" s="36"/>
    </row>
    <row r="3475" spans="12:29" x14ac:dyDescent="0.3">
      <c r="L3475" s="36"/>
      <c r="R3475" s="34"/>
      <c r="AC3475" s="36"/>
    </row>
    <row r="3476" spans="12:29" x14ac:dyDescent="0.3">
      <c r="L3476" s="36"/>
      <c r="R3476" s="34"/>
      <c r="AC3476" s="36"/>
    </row>
    <row r="3477" spans="12:29" x14ac:dyDescent="0.3">
      <c r="L3477" s="36"/>
      <c r="R3477" s="34"/>
      <c r="AC3477" s="36"/>
    </row>
    <row r="3478" spans="12:29" x14ac:dyDescent="0.3">
      <c r="L3478" s="36"/>
      <c r="R3478" s="34"/>
      <c r="AC3478" s="36"/>
    </row>
    <row r="3479" spans="12:29" x14ac:dyDescent="0.3">
      <c r="L3479" s="36"/>
      <c r="R3479" s="34"/>
      <c r="AC3479" s="36"/>
    </row>
    <row r="3480" spans="12:29" x14ac:dyDescent="0.3">
      <c r="L3480" s="36"/>
      <c r="R3480" s="34"/>
      <c r="AC3480" s="36"/>
    </row>
    <row r="3481" spans="12:29" x14ac:dyDescent="0.3">
      <c r="L3481" s="36"/>
      <c r="R3481" s="34"/>
      <c r="AC3481" s="36"/>
    </row>
    <row r="3482" spans="12:29" x14ac:dyDescent="0.3">
      <c r="L3482" s="36"/>
      <c r="R3482" s="34"/>
      <c r="AC3482" s="36"/>
    </row>
    <row r="3483" spans="12:29" x14ac:dyDescent="0.3">
      <c r="L3483" s="36"/>
      <c r="R3483" s="34"/>
      <c r="AC3483" s="36"/>
    </row>
    <row r="3484" spans="12:29" x14ac:dyDescent="0.3">
      <c r="L3484" s="36"/>
      <c r="R3484" s="34"/>
      <c r="AC3484" s="36"/>
    </row>
    <row r="3485" spans="12:29" x14ac:dyDescent="0.3">
      <c r="L3485" s="36"/>
      <c r="R3485" s="34"/>
      <c r="AC3485" s="36"/>
    </row>
    <row r="3486" spans="12:29" x14ac:dyDescent="0.3">
      <c r="L3486" s="36"/>
      <c r="R3486" s="34"/>
      <c r="AC3486" s="36"/>
    </row>
    <row r="3487" spans="12:29" x14ac:dyDescent="0.3">
      <c r="L3487" s="36"/>
      <c r="R3487" s="34"/>
      <c r="AC3487" s="36"/>
    </row>
    <row r="3488" spans="12:29" x14ac:dyDescent="0.3">
      <c r="L3488" s="36"/>
      <c r="R3488" s="34"/>
      <c r="AC3488" s="36"/>
    </row>
    <row r="3489" spans="12:29" x14ac:dyDescent="0.3">
      <c r="L3489" s="36"/>
      <c r="R3489" s="34"/>
      <c r="AC3489" s="36"/>
    </row>
    <row r="3490" spans="12:29" x14ac:dyDescent="0.3">
      <c r="L3490" s="36"/>
      <c r="R3490" s="34"/>
      <c r="AC3490" s="36"/>
    </row>
    <row r="3491" spans="12:29" x14ac:dyDescent="0.3">
      <c r="L3491" s="36"/>
      <c r="R3491" s="34"/>
      <c r="AC3491" s="36"/>
    </row>
    <row r="3492" spans="12:29" x14ac:dyDescent="0.3">
      <c r="L3492" s="36"/>
      <c r="R3492" s="34"/>
      <c r="AC3492" s="36"/>
    </row>
    <row r="3493" spans="12:29" x14ac:dyDescent="0.3">
      <c r="L3493" s="36"/>
      <c r="R3493" s="34"/>
      <c r="AC3493" s="36"/>
    </row>
    <row r="3494" spans="12:29" x14ac:dyDescent="0.3">
      <c r="L3494" s="36"/>
      <c r="R3494" s="34"/>
      <c r="AC3494" s="36"/>
    </row>
    <row r="3495" spans="12:29" x14ac:dyDescent="0.3">
      <c r="L3495" s="36"/>
      <c r="R3495" s="34"/>
      <c r="AC3495" s="36"/>
    </row>
    <row r="3496" spans="12:29" x14ac:dyDescent="0.3">
      <c r="L3496" s="36"/>
      <c r="R3496" s="34"/>
      <c r="AC3496" s="36"/>
    </row>
    <row r="3497" spans="12:29" x14ac:dyDescent="0.3">
      <c r="L3497" s="36"/>
      <c r="R3497" s="34"/>
      <c r="AC3497" s="36"/>
    </row>
    <row r="3498" spans="12:29" x14ac:dyDescent="0.3">
      <c r="L3498" s="36"/>
      <c r="R3498" s="34"/>
      <c r="AC3498" s="36"/>
    </row>
    <row r="3499" spans="12:29" x14ac:dyDescent="0.3">
      <c r="L3499" s="36"/>
      <c r="R3499" s="34"/>
      <c r="AC3499" s="36"/>
    </row>
    <row r="3500" spans="12:29" x14ac:dyDescent="0.3">
      <c r="L3500" s="36"/>
      <c r="R3500" s="34"/>
      <c r="AC3500" s="36"/>
    </row>
    <row r="3501" spans="12:29" x14ac:dyDescent="0.3">
      <c r="L3501" s="36"/>
      <c r="R3501" s="34"/>
      <c r="AC3501" s="36"/>
    </row>
    <row r="3502" spans="12:29" x14ac:dyDescent="0.3">
      <c r="L3502" s="36"/>
      <c r="R3502" s="34"/>
      <c r="AC3502" s="36"/>
    </row>
    <row r="3503" spans="12:29" x14ac:dyDescent="0.3">
      <c r="L3503" s="36"/>
      <c r="R3503" s="34"/>
      <c r="AC3503" s="36"/>
    </row>
    <row r="3504" spans="12:29" x14ac:dyDescent="0.3">
      <c r="L3504" s="36"/>
      <c r="R3504" s="34"/>
      <c r="AC3504" s="36"/>
    </row>
    <row r="3505" spans="12:29" x14ac:dyDescent="0.3">
      <c r="L3505" s="36"/>
      <c r="R3505" s="34"/>
      <c r="AC3505" s="36"/>
    </row>
    <row r="3506" spans="12:29" x14ac:dyDescent="0.3">
      <c r="L3506" s="36"/>
      <c r="R3506" s="34"/>
      <c r="AC3506" s="36"/>
    </row>
    <row r="3507" spans="12:29" x14ac:dyDescent="0.3">
      <c r="L3507" s="36"/>
      <c r="R3507" s="34"/>
      <c r="AC3507" s="36"/>
    </row>
    <row r="3508" spans="12:29" x14ac:dyDescent="0.3">
      <c r="L3508" s="36"/>
      <c r="R3508" s="34"/>
      <c r="AC3508" s="36"/>
    </row>
    <row r="3509" spans="12:29" x14ac:dyDescent="0.3">
      <c r="L3509" s="36"/>
      <c r="R3509" s="34"/>
      <c r="AC3509" s="36"/>
    </row>
    <row r="3510" spans="12:29" x14ac:dyDescent="0.3">
      <c r="L3510" s="36"/>
      <c r="R3510" s="34"/>
      <c r="AC3510" s="36"/>
    </row>
    <row r="3511" spans="12:29" x14ac:dyDescent="0.3">
      <c r="L3511" s="36"/>
      <c r="R3511" s="34"/>
      <c r="AC3511" s="36"/>
    </row>
    <row r="3512" spans="12:29" x14ac:dyDescent="0.3">
      <c r="L3512" s="36"/>
      <c r="R3512" s="34"/>
      <c r="AC3512" s="36"/>
    </row>
    <row r="3513" spans="12:29" x14ac:dyDescent="0.3">
      <c r="L3513" s="36"/>
      <c r="R3513" s="34"/>
      <c r="AC3513" s="36"/>
    </row>
    <row r="3514" spans="12:29" x14ac:dyDescent="0.3">
      <c r="L3514" s="36"/>
      <c r="R3514" s="34"/>
      <c r="AC3514" s="36"/>
    </row>
    <row r="3515" spans="12:29" x14ac:dyDescent="0.3">
      <c r="L3515" s="36"/>
      <c r="R3515" s="34"/>
      <c r="AC3515" s="36"/>
    </row>
    <row r="3516" spans="12:29" x14ac:dyDescent="0.3">
      <c r="L3516" s="36"/>
      <c r="R3516" s="34"/>
      <c r="AC3516" s="36"/>
    </row>
    <row r="3517" spans="12:29" x14ac:dyDescent="0.3">
      <c r="L3517" s="36"/>
      <c r="R3517" s="34"/>
      <c r="AC3517" s="36"/>
    </row>
    <row r="3518" spans="12:29" x14ac:dyDescent="0.3">
      <c r="L3518" s="36"/>
      <c r="R3518" s="34"/>
      <c r="AC3518" s="36"/>
    </row>
    <row r="3519" spans="12:29" x14ac:dyDescent="0.3">
      <c r="L3519" s="36"/>
      <c r="R3519" s="34"/>
      <c r="AC3519" s="36"/>
    </row>
    <row r="3520" spans="12:29" x14ac:dyDescent="0.3">
      <c r="L3520" s="36"/>
      <c r="R3520" s="34"/>
      <c r="AC3520" s="36"/>
    </row>
    <row r="3521" spans="12:29" x14ac:dyDescent="0.3">
      <c r="L3521" s="36"/>
      <c r="R3521" s="34"/>
      <c r="AC3521" s="36"/>
    </row>
    <row r="3522" spans="12:29" x14ac:dyDescent="0.3">
      <c r="L3522" s="36"/>
      <c r="R3522" s="34"/>
      <c r="AC3522" s="36"/>
    </row>
    <row r="3523" spans="12:29" x14ac:dyDescent="0.3">
      <c r="L3523" s="36"/>
      <c r="R3523" s="34"/>
      <c r="AC3523" s="36"/>
    </row>
    <row r="3524" spans="12:29" x14ac:dyDescent="0.3">
      <c r="L3524" s="36"/>
      <c r="R3524" s="34"/>
      <c r="AC3524" s="36"/>
    </row>
    <row r="3525" spans="12:29" x14ac:dyDescent="0.3">
      <c r="L3525" s="36"/>
      <c r="R3525" s="34"/>
      <c r="AC3525" s="36"/>
    </row>
    <row r="3526" spans="12:29" x14ac:dyDescent="0.3">
      <c r="L3526" s="36"/>
      <c r="R3526" s="34"/>
      <c r="AC3526" s="36"/>
    </row>
    <row r="3527" spans="12:29" x14ac:dyDescent="0.3">
      <c r="L3527" s="36"/>
      <c r="R3527" s="34"/>
      <c r="AC3527" s="36"/>
    </row>
    <row r="3528" spans="12:29" x14ac:dyDescent="0.3">
      <c r="L3528" s="36"/>
      <c r="R3528" s="34"/>
      <c r="AC3528" s="36"/>
    </row>
    <row r="3529" spans="12:29" x14ac:dyDescent="0.3">
      <c r="L3529" s="36"/>
      <c r="R3529" s="34"/>
      <c r="AC3529" s="36"/>
    </row>
    <row r="3530" spans="12:29" x14ac:dyDescent="0.3">
      <c r="L3530" s="36"/>
      <c r="R3530" s="34"/>
      <c r="AC3530" s="36"/>
    </row>
    <row r="3531" spans="12:29" x14ac:dyDescent="0.3">
      <c r="L3531" s="36"/>
      <c r="R3531" s="34"/>
      <c r="AC3531" s="36"/>
    </row>
    <row r="3532" spans="12:29" x14ac:dyDescent="0.3">
      <c r="L3532" s="36"/>
      <c r="R3532" s="34"/>
      <c r="AC3532" s="36"/>
    </row>
    <row r="3533" spans="12:29" x14ac:dyDescent="0.3">
      <c r="L3533" s="36"/>
      <c r="R3533" s="34"/>
      <c r="AC3533" s="36"/>
    </row>
    <row r="3534" spans="12:29" x14ac:dyDescent="0.3">
      <c r="L3534" s="36"/>
      <c r="R3534" s="34"/>
      <c r="AC3534" s="36"/>
    </row>
    <row r="3535" spans="12:29" x14ac:dyDescent="0.3">
      <c r="L3535" s="36"/>
      <c r="R3535" s="34"/>
      <c r="AC3535" s="36"/>
    </row>
    <row r="3536" spans="12:29" x14ac:dyDescent="0.3">
      <c r="L3536" s="36"/>
      <c r="R3536" s="34"/>
      <c r="AC3536" s="36"/>
    </row>
    <row r="3537" spans="12:29" x14ac:dyDescent="0.3">
      <c r="L3537" s="36"/>
      <c r="R3537" s="34"/>
      <c r="AC3537" s="36"/>
    </row>
    <row r="3538" spans="12:29" x14ac:dyDescent="0.3">
      <c r="L3538" s="36"/>
      <c r="R3538" s="34"/>
      <c r="AC3538" s="36"/>
    </row>
    <row r="3539" spans="12:29" x14ac:dyDescent="0.3">
      <c r="L3539" s="36"/>
      <c r="R3539" s="34"/>
      <c r="AC3539" s="36"/>
    </row>
    <row r="3540" spans="12:29" x14ac:dyDescent="0.3">
      <c r="L3540" s="36"/>
      <c r="R3540" s="34"/>
      <c r="AC3540" s="36"/>
    </row>
    <row r="3541" spans="12:29" x14ac:dyDescent="0.3">
      <c r="L3541" s="36"/>
      <c r="R3541" s="34"/>
      <c r="AC3541" s="36"/>
    </row>
    <row r="3542" spans="12:29" x14ac:dyDescent="0.3">
      <c r="L3542" s="36"/>
      <c r="R3542" s="34"/>
      <c r="AC3542" s="36"/>
    </row>
    <row r="3543" spans="12:29" x14ac:dyDescent="0.3">
      <c r="L3543" s="36"/>
      <c r="R3543" s="34"/>
      <c r="AC3543" s="36"/>
    </row>
    <row r="3544" spans="12:29" x14ac:dyDescent="0.3">
      <c r="L3544" s="36"/>
      <c r="R3544" s="34"/>
      <c r="AC3544" s="36"/>
    </row>
    <row r="3545" spans="12:29" x14ac:dyDescent="0.3">
      <c r="L3545" s="36"/>
      <c r="R3545" s="34"/>
      <c r="AC3545" s="36"/>
    </row>
    <row r="3546" spans="12:29" x14ac:dyDescent="0.3">
      <c r="L3546" s="36"/>
      <c r="R3546" s="34"/>
      <c r="AC3546" s="36"/>
    </row>
    <row r="3547" spans="12:29" x14ac:dyDescent="0.3">
      <c r="L3547" s="36"/>
      <c r="R3547" s="34"/>
      <c r="AC3547" s="36"/>
    </row>
    <row r="3548" spans="12:29" x14ac:dyDescent="0.3">
      <c r="L3548" s="36"/>
      <c r="R3548" s="34"/>
      <c r="AC3548" s="36"/>
    </row>
    <row r="3549" spans="12:29" x14ac:dyDescent="0.3">
      <c r="L3549" s="36"/>
      <c r="R3549" s="34"/>
      <c r="AC3549" s="36"/>
    </row>
    <row r="3550" spans="12:29" x14ac:dyDescent="0.3">
      <c r="L3550" s="36"/>
      <c r="R3550" s="34"/>
      <c r="AC3550" s="36"/>
    </row>
    <row r="3551" spans="12:29" x14ac:dyDescent="0.3">
      <c r="L3551" s="36"/>
      <c r="R3551" s="34"/>
      <c r="AC3551" s="36"/>
    </row>
    <row r="3552" spans="12:29" x14ac:dyDescent="0.3">
      <c r="L3552" s="36"/>
      <c r="R3552" s="34"/>
      <c r="AC3552" s="36"/>
    </row>
    <row r="3553" spans="12:29" x14ac:dyDescent="0.3">
      <c r="L3553" s="36"/>
      <c r="R3553" s="34"/>
      <c r="AC3553" s="36"/>
    </row>
    <row r="3554" spans="12:29" x14ac:dyDescent="0.3">
      <c r="L3554" s="36"/>
      <c r="R3554" s="34"/>
      <c r="AC3554" s="36"/>
    </row>
    <row r="3555" spans="12:29" x14ac:dyDescent="0.3">
      <c r="L3555" s="36"/>
      <c r="R3555" s="34"/>
      <c r="AC3555" s="36"/>
    </row>
    <row r="3556" spans="12:29" x14ac:dyDescent="0.3">
      <c r="L3556" s="36"/>
      <c r="R3556" s="34"/>
      <c r="AC3556" s="36"/>
    </row>
    <row r="3557" spans="12:29" x14ac:dyDescent="0.3">
      <c r="L3557" s="36"/>
      <c r="R3557" s="34"/>
      <c r="AC3557" s="36"/>
    </row>
    <row r="3558" spans="12:29" x14ac:dyDescent="0.3">
      <c r="L3558" s="36"/>
      <c r="R3558" s="34"/>
      <c r="AC3558" s="36"/>
    </row>
    <row r="3559" spans="12:29" x14ac:dyDescent="0.3">
      <c r="L3559" s="36"/>
      <c r="R3559" s="34"/>
      <c r="AC3559" s="36"/>
    </row>
    <row r="3560" spans="12:29" x14ac:dyDescent="0.3">
      <c r="L3560" s="36"/>
      <c r="R3560" s="34"/>
      <c r="AC3560" s="36"/>
    </row>
    <row r="3561" spans="12:29" x14ac:dyDescent="0.3">
      <c r="L3561" s="36"/>
      <c r="R3561" s="34"/>
      <c r="AC3561" s="36"/>
    </row>
    <row r="3562" spans="12:29" x14ac:dyDescent="0.3">
      <c r="L3562" s="36"/>
      <c r="R3562" s="34"/>
      <c r="AC3562" s="36"/>
    </row>
    <row r="3563" spans="12:29" x14ac:dyDescent="0.3">
      <c r="L3563" s="36"/>
      <c r="R3563" s="34"/>
      <c r="AC3563" s="36"/>
    </row>
    <row r="3564" spans="12:29" x14ac:dyDescent="0.3">
      <c r="L3564" s="36"/>
      <c r="R3564" s="34"/>
      <c r="AC3564" s="36"/>
    </row>
    <row r="3565" spans="12:29" x14ac:dyDescent="0.3">
      <c r="L3565" s="36"/>
      <c r="R3565" s="34"/>
      <c r="AC3565" s="36"/>
    </row>
    <row r="3566" spans="12:29" x14ac:dyDescent="0.3">
      <c r="L3566" s="36"/>
      <c r="R3566" s="34"/>
      <c r="AC3566" s="36"/>
    </row>
    <row r="3567" spans="12:29" x14ac:dyDescent="0.3">
      <c r="L3567" s="36"/>
      <c r="R3567" s="34"/>
      <c r="AC3567" s="36"/>
    </row>
    <row r="3568" spans="12:29" x14ac:dyDescent="0.3">
      <c r="L3568" s="36"/>
      <c r="R3568" s="34"/>
      <c r="AC3568" s="36"/>
    </row>
    <row r="3569" spans="12:29" x14ac:dyDescent="0.3">
      <c r="L3569" s="36"/>
      <c r="R3569" s="34"/>
      <c r="AC3569" s="36"/>
    </row>
    <row r="3570" spans="12:29" x14ac:dyDescent="0.3">
      <c r="L3570" s="36"/>
      <c r="R3570" s="34"/>
      <c r="AC3570" s="36"/>
    </row>
    <row r="3571" spans="12:29" x14ac:dyDescent="0.3">
      <c r="L3571" s="36"/>
      <c r="R3571" s="34"/>
      <c r="AC3571" s="36"/>
    </row>
    <row r="3572" spans="12:29" x14ac:dyDescent="0.3">
      <c r="L3572" s="36"/>
      <c r="R3572" s="34"/>
      <c r="AC3572" s="36"/>
    </row>
    <row r="3573" spans="12:29" x14ac:dyDescent="0.3">
      <c r="L3573" s="36"/>
      <c r="R3573" s="34"/>
      <c r="AC3573" s="36"/>
    </row>
    <row r="3574" spans="12:29" x14ac:dyDescent="0.3">
      <c r="L3574" s="36"/>
      <c r="R3574" s="34"/>
      <c r="AC3574" s="36"/>
    </row>
    <row r="3575" spans="12:29" x14ac:dyDescent="0.3">
      <c r="L3575" s="36"/>
      <c r="R3575" s="34"/>
      <c r="AC3575" s="36"/>
    </row>
    <row r="3576" spans="12:29" x14ac:dyDescent="0.3">
      <c r="L3576" s="36"/>
      <c r="R3576" s="34"/>
      <c r="AC3576" s="36"/>
    </row>
    <row r="3577" spans="12:29" x14ac:dyDescent="0.3">
      <c r="L3577" s="36"/>
      <c r="R3577" s="34"/>
      <c r="AC3577" s="36"/>
    </row>
    <row r="3578" spans="12:29" x14ac:dyDescent="0.3">
      <c r="L3578" s="36"/>
      <c r="R3578" s="34"/>
      <c r="AC3578" s="36"/>
    </row>
    <row r="3579" spans="12:29" x14ac:dyDescent="0.3">
      <c r="L3579" s="36"/>
      <c r="R3579" s="34"/>
      <c r="AC3579" s="36"/>
    </row>
    <row r="3580" spans="12:29" x14ac:dyDescent="0.3">
      <c r="L3580" s="36"/>
      <c r="R3580" s="34"/>
      <c r="AC3580" s="36"/>
    </row>
    <row r="3581" spans="12:29" x14ac:dyDescent="0.3">
      <c r="L3581" s="36"/>
      <c r="R3581" s="34"/>
      <c r="AC3581" s="36"/>
    </row>
    <row r="3582" spans="12:29" x14ac:dyDescent="0.3">
      <c r="L3582" s="36"/>
      <c r="R3582" s="34"/>
      <c r="AC3582" s="36"/>
    </row>
    <row r="3583" spans="12:29" x14ac:dyDescent="0.3">
      <c r="L3583" s="36"/>
      <c r="R3583" s="34"/>
      <c r="AC3583" s="36"/>
    </row>
    <row r="3584" spans="12:29" x14ac:dyDescent="0.3">
      <c r="L3584" s="36"/>
      <c r="R3584" s="34"/>
      <c r="AC3584" s="36"/>
    </row>
    <row r="3585" spans="12:29" x14ac:dyDescent="0.3">
      <c r="L3585" s="36"/>
      <c r="R3585" s="34"/>
      <c r="AC3585" s="36"/>
    </row>
    <row r="3586" spans="12:29" x14ac:dyDescent="0.3">
      <c r="L3586" s="36"/>
      <c r="R3586" s="34"/>
      <c r="AC3586" s="36"/>
    </row>
    <row r="3587" spans="12:29" x14ac:dyDescent="0.3">
      <c r="L3587" s="36"/>
      <c r="R3587" s="34"/>
      <c r="AC3587" s="36"/>
    </row>
    <row r="3588" spans="12:29" x14ac:dyDescent="0.3">
      <c r="L3588" s="36"/>
      <c r="R3588" s="34"/>
      <c r="AC3588" s="36"/>
    </row>
    <row r="3589" spans="12:29" x14ac:dyDescent="0.3">
      <c r="L3589" s="36"/>
      <c r="R3589" s="34"/>
      <c r="AC3589" s="36"/>
    </row>
    <row r="3590" spans="12:29" x14ac:dyDescent="0.3">
      <c r="L3590" s="36"/>
      <c r="R3590" s="34"/>
      <c r="AC3590" s="36"/>
    </row>
    <row r="3591" spans="12:29" x14ac:dyDescent="0.3">
      <c r="L3591" s="36"/>
      <c r="R3591" s="34"/>
      <c r="AC3591" s="36"/>
    </row>
    <row r="3592" spans="12:29" x14ac:dyDescent="0.3">
      <c r="L3592" s="36"/>
      <c r="R3592" s="34"/>
      <c r="AC3592" s="36"/>
    </row>
    <row r="3593" spans="12:29" x14ac:dyDescent="0.3">
      <c r="L3593" s="36"/>
      <c r="R3593" s="34"/>
      <c r="AC3593" s="36"/>
    </row>
    <row r="3594" spans="12:29" x14ac:dyDescent="0.3">
      <c r="L3594" s="36"/>
      <c r="R3594" s="34"/>
      <c r="AC3594" s="36"/>
    </row>
    <row r="3595" spans="12:29" x14ac:dyDescent="0.3">
      <c r="L3595" s="36"/>
      <c r="R3595" s="34"/>
      <c r="AC3595" s="36"/>
    </row>
    <row r="3596" spans="12:29" x14ac:dyDescent="0.3">
      <c r="L3596" s="36"/>
      <c r="R3596" s="34"/>
      <c r="AC3596" s="36"/>
    </row>
    <row r="3597" spans="12:29" x14ac:dyDescent="0.3">
      <c r="L3597" s="36"/>
      <c r="R3597" s="34"/>
      <c r="AC3597" s="36"/>
    </row>
    <row r="3598" spans="12:29" x14ac:dyDescent="0.3">
      <c r="L3598" s="36"/>
      <c r="R3598" s="34"/>
      <c r="AC3598" s="36"/>
    </row>
    <row r="3599" spans="12:29" x14ac:dyDescent="0.3">
      <c r="L3599" s="36"/>
      <c r="R3599" s="34"/>
      <c r="AC3599" s="36"/>
    </row>
    <row r="3600" spans="12:29" x14ac:dyDescent="0.3">
      <c r="L3600" s="36"/>
      <c r="R3600" s="34"/>
      <c r="AC3600" s="36"/>
    </row>
    <row r="3601" spans="12:29" x14ac:dyDescent="0.3">
      <c r="L3601" s="36"/>
      <c r="R3601" s="34"/>
      <c r="AC3601" s="36"/>
    </row>
    <row r="3602" spans="12:29" x14ac:dyDescent="0.3">
      <c r="L3602" s="36"/>
      <c r="R3602" s="34"/>
      <c r="AC3602" s="36"/>
    </row>
    <row r="3603" spans="12:29" x14ac:dyDescent="0.3">
      <c r="L3603" s="36"/>
      <c r="R3603" s="34"/>
      <c r="AC3603" s="36"/>
    </row>
    <row r="3604" spans="12:29" x14ac:dyDescent="0.3">
      <c r="L3604" s="36"/>
      <c r="R3604" s="34"/>
      <c r="AC3604" s="36"/>
    </row>
    <row r="3605" spans="12:29" x14ac:dyDescent="0.3">
      <c r="L3605" s="36"/>
      <c r="R3605" s="34"/>
      <c r="AC3605" s="36"/>
    </row>
    <row r="3606" spans="12:29" x14ac:dyDescent="0.3">
      <c r="L3606" s="36"/>
      <c r="R3606" s="34"/>
      <c r="AC3606" s="36"/>
    </row>
    <row r="3607" spans="12:29" x14ac:dyDescent="0.3">
      <c r="L3607" s="36"/>
      <c r="R3607" s="34"/>
      <c r="AC3607" s="36"/>
    </row>
    <row r="3608" spans="12:29" x14ac:dyDescent="0.3">
      <c r="L3608" s="36"/>
      <c r="R3608" s="34"/>
      <c r="AC3608" s="36"/>
    </row>
    <row r="3609" spans="12:29" x14ac:dyDescent="0.3">
      <c r="L3609" s="36"/>
      <c r="R3609" s="34"/>
      <c r="AC3609" s="36"/>
    </row>
    <row r="3610" spans="12:29" x14ac:dyDescent="0.3">
      <c r="L3610" s="36"/>
      <c r="R3610" s="34"/>
      <c r="AC3610" s="36"/>
    </row>
    <row r="3611" spans="12:29" x14ac:dyDescent="0.3">
      <c r="L3611" s="36"/>
      <c r="R3611" s="34"/>
      <c r="AC3611" s="36"/>
    </row>
    <row r="3612" spans="12:29" x14ac:dyDescent="0.3">
      <c r="L3612" s="36"/>
      <c r="R3612" s="34"/>
      <c r="AC3612" s="36"/>
    </row>
    <row r="3613" spans="12:29" x14ac:dyDescent="0.3">
      <c r="L3613" s="36"/>
      <c r="R3613" s="34"/>
      <c r="AC3613" s="36"/>
    </row>
    <row r="3614" spans="12:29" x14ac:dyDescent="0.3">
      <c r="L3614" s="36"/>
      <c r="R3614" s="34"/>
      <c r="AC3614" s="36"/>
    </row>
    <row r="3615" spans="12:29" x14ac:dyDescent="0.3">
      <c r="L3615" s="36"/>
      <c r="R3615" s="34"/>
      <c r="AC3615" s="36"/>
    </row>
    <row r="3616" spans="12:29" x14ac:dyDescent="0.3">
      <c r="L3616" s="36"/>
      <c r="R3616" s="34"/>
      <c r="AC3616" s="36"/>
    </row>
    <row r="3617" spans="12:29" x14ac:dyDescent="0.3">
      <c r="L3617" s="36"/>
      <c r="R3617" s="34"/>
      <c r="AC3617" s="36"/>
    </row>
    <row r="3618" spans="12:29" x14ac:dyDescent="0.3">
      <c r="L3618" s="36"/>
      <c r="R3618" s="34"/>
      <c r="AC3618" s="36"/>
    </row>
    <row r="3619" spans="12:29" x14ac:dyDescent="0.3">
      <c r="L3619" s="36"/>
      <c r="R3619" s="34"/>
      <c r="AC3619" s="36"/>
    </row>
    <row r="3620" spans="12:29" x14ac:dyDescent="0.3">
      <c r="L3620" s="36"/>
      <c r="R3620" s="34"/>
      <c r="AC3620" s="36"/>
    </row>
    <row r="3621" spans="12:29" x14ac:dyDescent="0.3">
      <c r="L3621" s="36"/>
      <c r="R3621" s="34"/>
      <c r="AC3621" s="36"/>
    </row>
    <row r="3622" spans="12:29" x14ac:dyDescent="0.3">
      <c r="L3622" s="36"/>
      <c r="R3622" s="34"/>
      <c r="AC3622" s="36"/>
    </row>
    <row r="3623" spans="12:29" x14ac:dyDescent="0.3">
      <c r="L3623" s="36"/>
      <c r="R3623" s="34"/>
      <c r="AC3623" s="36"/>
    </row>
    <row r="3624" spans="12:29" x14ac:dyDescent="0.3">
      <c r="L3624" s="36"/>
      <c r="R3624" s="34"/>
      <c r="AC3624" s="36"/>
    </row>
    <row r="3625" spans="12:29" x14ac:dyDescent="0.3">
      <c r="L3625" s="36"/>
      <c r="R3625" s="34"/>
      <c r="AC3625" s="36"/>
    </row>
    <row r="3626" spans="12:29" x14ac:dyDescent="0.3">
      <c r="L3626" s="36"/>
      <c r="R3626" s="34"/>
      <c r="AC3626" s="36"/>
    </row>
    <row r="3627" spans="12:29" x14ac:dyDescent="0.3">
      <c r="L3627" s="36"/>
      <c r="R3627" s="34"/>
      <c r="AC3627" s="36"/>
    </row>
    <row r="3628" spans="12:29" x14ac:dyDescent="0.3">
      <c r="L3628" s="36"/>
      <c r="R3628" s="34"/>
      <c r="AC3628" s="36"/>
    </row>
    <row r="3629" spans="12:29" x14ac:dyDescent="0.3">
      <c r="L3629" s="36"/>
      <c r="R3629" s="34"/>
      <c r="AC3629" s="36"/>
    </row>
    <row r="3630" spans="12:29" x14ac:dyDescent="0.3">
      <c r="L3630" s="36"/>
      <c r="R3630" s="34"/>
      <c r="AC3630" s="36"/>
    </row>
    <row r="3631" spans="12:29" x14ac:dyDescent="0.3">
      <c r="L3631" s="36"/>
      <c r="R3631" s="34"/>
      <c r="AC3631" s="36"/>
    </row>
    <row r="3632" spans="12:29" x14ac:dyDescent="0.3">
      <c r="L3632" s="36"/>
      <c r="R3632" s="34"/>
      <c r="AC3632" s="36"/>
    </row>
    <row r="3633" spans="12:29" x14ac:dyDescent="0.3">
      <c r="L3633" s="36"/>
      <c r="R3633" s="34"/>
      <c r="AC3633" s="36"/>
    </row>
    <row r="3634" spans="12:29" x14ac:dyDescent="0.3">
      <c r="L3634" s="36"/>
      <c r="R3634" s="34"/>
      <c r="AC3634" s="36"/>
    </row>
    <row r="3635" spans="12:29" x14ac:dyDescent="0.3">
      <c r="L3635" s="36"/>
      <c r="R3635" s="34"/>
      <c r="AC3635" s="36"/>
    </row>
    <row r="3636" spans="12:29" x14ac:dyDescent="0.3">
      <c r="L3636" s="36"/>
      <c r="R3636" s="34"/>
      <c r="AC3636" s="36"/>
    </row>
    <row r="3637" spans="12:29" x14ac:dyDescent="0.3">
      <c r="L3637" s="36"/>
      <c r="R3637" s="34"/>
      <c r="AC3637" s="36"/>
    </row>
    <row r="3638" spans="12:29" x14ac:dyDescent="0.3">
      <c r="L3638" s="36"/>
      <c r="R3638" s="34"/>
      <c r="AC3638" s="36"/>
    </row>
    <row r="3639" spans="12:29" x14ac:dyDescent="0.3">
      <c r="L3639" s="36"/>
      <c r="R3639" s="34"/>
      <c r="AC3639" s="36"/>
    </row>
    <row r="3640" spans="12:29" x14ac:dyDescent="0.3">
      <c r="L3640" s="36"/>
      <c r="R3640" s="34"/>
      <c r="AC3640" s="36"/>
    </row>
    <row r="3641" spans="12:29" x14ac:dyDescent="0.3">
      <c r="L3641" s="36"/>
      <c r="R3641" s="34"/>
      <c r="AC3641" s="36"/>
    </row>
    <row r="3642" spans="12:29" x14ac:dyDescent="0.3">
      <c r="L3642" s="36"/>
      <c r="R3642" s="34"/>
      <c r="AC3642" s="36"/>
    </row>
    <row r="3643" spans="12:29" x14ac:dyDescent="0.3">
      <c r="L3643" s="36"/>
      <c r="R3643" s="34"/>
      <c r="AC3643" s="36"/>
    </row>
    <row r="3644" spans="12:29" x14ac:dyDescent="0.3">
      <c r="L3644" s="36"/>
      <c r="R3644" s="34"/>
      <c r="AC3644" s="36"/>
    </row>
    <row r="3645" spans="12:29" x14ac:dyDescent="0.3">
      <c r="L3645" s="36"/>
      <c r="R3645" s="34"/>
      <c r="AC3645" s="36"/>
    </row>
    <row r="3646" spans="12:29" x14ac:dyDescent="0.3">
      <c r="L3646" s="36"/>
      <c r="R3646" s="34"/>
      <c r="AC3646" s="36"/>
    </row>
    <row r="3647" spans="12:29" x14ac:dyDescent="0.3">
      <c r="L3647" s="36"/>
      <c r="R3647" s="34"/>
      <c r="AC3647" s="36"/>
    </row>
    <row r="3648" spans="12:29" x14ac:dyDescent="0.3">
      <c r="L3648" s="36"/>
      <c r="R3648" s="34"/>
      <c r="AC3648" s="36"/>
    </row>
    <row r="3649" spans="12:29" x14ac:dyDescent="0.3">
      <c r="L3649" s="36"/>
      <c r="R3649" s="34"/>
      <c r="AC3649" s="36"/>
    </row>
    <row r="3650" spans="12:29" x14ac:dyDescent="0.3">
      <c r="L3650" s="36"/>
      <c r="R3650" s="34"/>
      <c r="AC3650" s="36"/>
    </row>
    <row r="3651" spans="12:29" x14ac:dyDescent="0.3">
      <c r="L3651" s="36"/>
      <c r="R3651" s="34"/>
      <c r="AC3651" s="36"/>
    </row>
    <row r="3652" spans="12:29" x14ac:dyDescent="0.3">
      <c r="L3652" s="36"/>
      <c r="R3652" s="34"/>
      <c r="AC3652" s="36"/>
    </row>
    <row r="3653" spans="12:29" x14ac:dyDescent="0.3">
      <c r="L3653" s="36"/>
      <c r="R3653" s="34"/>
      <c r="AC3653" s="36"/>
    </row>
    <row r="3654" spans="12:29" x14ac:dyDescent="0.3">
      <c r="L3654" s="36"/>
      <c r="R3654" s="34"/>
      <c r="AC3654" s="36"/>
    </row>
    <row r="3655" spans="12:29" x14ac:dyDescent="0.3">
      <c r="L3655" s="36"/>
      <c r="R3655" s="34"/>
      <c r="AC3655" s="36"/>
    </row>
    <row r="3656" spans="12:29" x14ac:dyDescent="0.3">
      <c r="L3656" s="36"/>
      <c r="R3656" s="34"/>
      <c r="AC3656" s="36"/>
    </row>
    <row r="3657" spans="12:29" x14ac:dyDescent="0.3">
      <c r="L3657" s="36"/>
      <c r="R3657" s="34"/>
      <c r="AC3657" s="36"/>
    </row>
    <row r="3658" spans="12:29" x14ac:dyDescent="0.3">
      <c r="L3658" s="36"/>
      <c r="R3658" s="34"/>
      <c r="AC3658" s="36"/>
    </row>
    <row r="3659" spans="12:29" x14ac:dyDescent="0.3">
      <c r="L3659" s="36"/>
      <c r="R3659" s="34"/>
      <c r="AC3659" s="36"/>
    </row>
    <row r="3660" spans="12:29" x14ac:dyDescent="0.3">
      <c r="L3660" s="36"/>
      <c r="R3660" s="34"/>
      <c r="AC3660" s="36"/>
    </row>
    <row r="3661" spans="12:29" x14ac:dyDescent="0.3">
      <c r="L3661" s="36"/>
      <c r="R3661" s="34"/>
      <c r="AC3661" s="36"/>
    </row>
    <row r="3662" spans="12:29" x14ac:dyDescent="0.3">
      <c r="L3662" s="36"/>
      <c r="R3662" s="34"/>
      <c r="AC3662" s="36"/>
    </row>
    <row r="3663" spans="12:29" x14ac:dyDescent="0.3">
      <c r="L3663" s="36"/>
      <c r="R3663" s="34"/>
      <c r="AC3663" s="36"/>
    </row>
    <row r="3664" spans="12:29" x14ac:dyDescent="0.3">
      <c r="L3664" s="36"/>
      <c r="R3664" s="34"/>
      <c r="AC3664" s="36"/>
    </row>
    <row r="3665" spans="12:29" x14ac:dyDescent="0.3">
      <c r="L3665" s="36"/>
      <c r="R3665" s="34"/>
      <c r="AC3665" s="36"/>
    </row>
    <row r="3666" spans="12:29" x14ac:dyDescent="0.3">
      <c r="L3666" s="36"/>
      <c r="R3666" s="34"/>
      <c r="AC3666" s="36"/>
    </row>
    <row r="3667" spans="12:29" x14ac:dyDescent="0.3">
      <c r="L3667" s="36"/>
      <c r="R3667" s="34"/>
      <c r="AC3667" s="36"/>
    </row>
    <row r="3668" spans="12:29" x14ac:dyDescent="0.3">
      <c r="L3668" s="36"/>
      <c r="R3668" s="34"/>
      <c r="AC3668" s="36"/>
    </row>
    <row r="3669" spans="12:29" x14ac:dyDescent="0.3">
      <c r="L3669" s="36"/>
      <c r="R3669" s="34"/>
      <c r="AC3669" s="36"/>
    </row>
    <row r="3670" spans="12:29" x14ac:dyDescent="0.3">
      <c r="L3670" s="36"/>
      <c r="R3670" s="34"/>
      <c r="AC3670" s="36"/>
    </row>
    <row r="3671" spans="12:29" x14ac:dyDescent="0.3">
      <c r="L3671" s="36"/>
      <c r="R3671" s="34"/>
      <c r="AC3671" s="36"/>
    </row>
    <row r="3672" spans="12:29" x14ac:dyDescent="0.3">
      <c r="L3672" s="36"/>
      <c r="R3672" s="34"/>
      <c r="AC3672" s="36"/>
    </row>
    <row r="3673" spans="12:29" x14ac:dyDescent="0.3">
      <c r="L3673" s="36"/>
      <c r="R3673" s="34"/>
      <c r="AC3673" s="36"/>
    </row>
    <row r="3674" spans="12:29" x14ac:dyDescent="0.3">
      <c r="L3674" s="36"/>
      <c r="R3674" s="34"/>
      <c r="AC3674" s="36"/>
    </row>
    <row r="3675" spans="12:29" x14ac:dyDescent="0.3">
      <c r="L3675" s="36"/>
      <c r="R3675" s="34"/>
      <c r="AC3675" s="36"/>
    </row>
    <row r="3676" spans="12:29" x14ac:dyDescent="0.3">
      <c r="L3676" s="36"/>
      <c r="R3676" s="34"/>
      <c r="AC3676" s="36"/>
    </row>
    <row r="3677" spans="12:29" x14ac:dyDescent="0.3">
      <c r="L3677" s="36"/>
      <c r="R3677" s="34"/>
      <c r="AC3677" s="36"/>
    </row>
    <row r="3678" spans="12:29" x14ac:dyDescent="0.3">
      <c r="L3678" s="36"/>
      <c r="R3678" s="34"/>
      <c r="AC3678" s="36"/>
    </row>
    <row r="3679" spans="12:29" x14ac:dyDescent="0.3">
      <c r="L3679" s="36"/>
      <c r="R3679" s="34"/>
      <c r="AC3679" s="36"/>
    </row>
    <row r="3680" spans="12:29" x14ac:dyDescent="0.3">
      <c r="L3680" s="36"/>
      <c r="R3680" s="34"/>
      <c r="AC3680" s="36"/>
    </row>
    <row r="3681" spans="12:29" x14ac:dyDescent="0.3">
      <c r="L3681" s="36"/>
      <c r="R3681" s="34"/>
      <c r="AC3681" s="36"/>
    </row>
    <row r="3682" spans="12:29" x14ac:dyDescent="0.3">
      <c r="L3682" s="36"/>
      <c r="R3682" s="34"/>
      <c r="AC3682" s="36"/>
    </row>
    <row r="3683" spans="12:29" x14ac:dyDescent="0.3">
      <c r="L3683" s="36"/>
      <c r="R3683" s="34"/>
      <c r="AC3683" s="36"/>
    </row>
    <row r="3684" spans="12:29" x14ac:dyDescent="0.3">
      <c r="L3684" s="36"/>
      <c r="R3684" s="34"/>
      <c r="AC3684" s="36"/>
    </row>
    <row r="3685" spans="12:29" x14ac:dyDescent="0.3">
      <c r="L3685" s="36"/>
      <c r="R3685" s="34"/>
      <c r="AC3685" s="36"/>
    </row>
    <row r="3686" spans="12:29" x14ac:dyDescent="0.3">
      <c r="L3686" s="36"/>
      <c r="R3686" s="34"/>
      <c r="AC3686" s="36"/>
    </row>
    <row r="3687" spans="12:29" x14ac:dyDescent="0.3">
      <c r="L3687" s="36"/>
      <c r="R3687" s="34"/>
      <c r="AC3687" s="36"/>
    </row>
    <row r="3688" spans="12:29" x14ac:dyDescent="0.3">
      <c r="L3688" s="36"/>
      <c r="R3688" s="34"/>
      <c r="AC3688" s="36"/>
    </row>
    <row r="3689" spans="12:29" x14ac:dyDescent="0.3">
      <c r="L3689" s="36"/>
      <c r="R3689" s="34"/>
      <c r="AC3689" s="36"/>
    </row>
    <row r="3690" spans="12:29" x14ac:dyDescent="0.3">
      <c r="L3690" s="36"/>
      <c r="R3690" s="34"/>
      <c r="AC3690" s="36"/>
    </row>
    <row r="3691" spans="12:29" x14ac:dyDescent="0.3">
      <c r="L3691" s="36"/>
      <c r="R3691" s="34"/>
      <c r="AC3691" s="36"/>
    </row>
    <row r="3692" spans="12:29" x14ac:dyDescent="0.3">
      <c r="L3692" s="36"/>
      <c r="R3692" s="34"/>
      <c r="AC3692" s="36"/>
    </row>
    <row r="3693" spans="12:29" x14ac:dyDescent="0.3">
      <c r="L3693" s="36"/>
      <c r="R3693" s="34"/>
      <c r="AC3693" s="36"/>
    </row>
    <row r="3694" spans="12:29" x14ac:dyDescent="0.3">
      <c r="L3694" s="36"/>
      <c r="R3694" s="34"/>
      <c r="AC3694" s="36"/>
    </row>
    <row r="3695" spans="12:29" x14ac:dyDescent="0.3">
      <c r="L3695" s="36"/>
      <c r="R3695" s="34"/>
      <c r="AC3695" s="36"/>
    </row>
    <row r="3696" spans="12:29" x14ac:dyDescent="0.3">
      <c r="L3696" s="36"/>
      <c r="R3696" s="34"/>
      <c r="AC3696" s="36"/>
    </row>
    <row r="3697" spans="12:29" x14ac:dyDescent="0.3">
      <c r="L3697" s="36"/>
      <c r="R3697" s="34"/>
      <c r="AC3697" s="36"/>
    </row>
    <row r="3698" spans="12:29" x14ac:dyDescent="0.3">
      <c r="L3698" s="36"/>
      <c r="R3698" s="34"/>
      <c r="AC3698" s="36"/>
    </row>
    <row r="3699" spans="12:29" x14ac:dyDescent="0.3">
      <c r="L3699" s="36"/>
      <c r="R3699" s="34"/>
      <c r="AC3699" s="36"/>
    </row>
    <row r="3700" spans="12:29" x14ac:dyDescent="0.3">
      <c r="L3700" s="36"/>
      <c r="R3700" s="34"/>
      <c r="AC3700" s="36"/>
    </row>
    <row r="3701" spans="12:29" x14ac:dyDescent="0.3">
      <c r="L3701" s="36"/>
      <c r="R3701" s="34"/>
      <c r="AC3701" s="36"/>
    </row>
    <row r="3702" spans="12:29" x14ac:dyDescent="0.3">
      <c r="L3702" s="36"/>
      <c r="R3702" s="34"/>
      <c r="AC3702" s="36"/>
    </row>
    <row r="3703" spans="12:29" x14ac:dyDescent="0.3">
      <c r="L3703" s="36"/>
      <c r="R3703" s="34"/>
      <c r="AC3703" s="36"/>
    </row>
    <row r="3704" spans="12:29" x14ac:dyDescent="0.3">
      <c r="L3704" s="36"/>
      <c r="R3704" s="34"/>
      <c r="AC3704" s="36"/>
    </row>
    <row r="3705" spans="12:29" x14ac:dyDescent="0.3">
      <c r="L3705" s="36"/>
      <c r="R3705" s="34"/>
      <c r="AC3705" s="36"/>
    </row>
    <row r="3706" spans="12:29" x14ac:dyDescent="0.3">
      <c r="L3706" s="36"/>
      <c r="R3706" s="34"/>
      <c r="AC3706" s="36"/>
    </row>
    <row r="3707" spans="12:29" x14ac:dyDescent="0.3">
      <c r="L3707" s="36"/>
      <c r="R3707" s="34"/>
      <c r="AC3707" s="36"/>
    </row>
    <row r="3708" spans="12:29" x14ac:dyDescent="0.3">
      <c r="L3708" s="36"/>
      <c r="R3708" s="34"/>
      <c r="AC3708" s="36"/>
    </row>
    <row r="3709" spans="12:29" x14ac:dyDescent="0.3">
      <c r="L3709" s="36"/>
      <c r="R3709" s="34"/>
      <c r="AC3709" s="36"/>
    </row>
    <row r="3710" spans="12:29" x14ac:dyDescent="0.3">
      <c r="L3710" s="36"/>
      <c r="R3710" s="34"/>
      <c r="AC3710" s="36"/>
    </row>
    <row r="3711" spans="12:29" x14ac:dyDescent="0.3">
      <c r="L3711" s="36"/>
      <c r="R3711" s="34"/>
      <c r="AC3711" s="36"/>
    </row>
    <row r="3712" spans="12:29" x14ac:dyDescent="0.3">
      <c r="L3712" s="36"/>
      <c r="R3712" s="34"/>
      <c r="AC3712" s="36"/>
    </row>
    <row r="3713" spans="12:29" x14ac:dyDescent="0.3">
      <c r="L3713" s="36"/>
      <c r="R3713" s="34"/>
      <c r="AC3713" s="36"/>
    </row>
    <row r="3714" spans="12:29" x14ac:dyDescent="0.3">
      <c r="L3714" s="36"/>
      <c r="R3714" s="34"/>
      <c r="AC3714" s="36"/>
    </row>
    <row r="3715" spans="12:29" x14ac:dyDescent="0.3">
      <c r="L3715" s="36"/>
      <c r="R3715" s="34"/>
      <c r="AC3715" s="36"/>
    </row>
    <row r="3716" spans="12:29" x14ac:dyDescent="0.3">
      <c r="L3716" s="36"/>
      <c r="R3716" s="34"/>
      <c r="AC3716" s="36"/>
    </row>
    <row r="3717" spans="12:29" x14ac:dyDescent="0.3">
      <c r="L3717" s="36"/>
      <c r="R3717" s="34"/>
      <c r="AC3717" s="36"/>
    </row>
    <row r="3718" spans="12:29" x14ac:dyDescent="0.3">
      <c r="L3718" s="36"/>
      <c r="R3718" s="34"/>
      <c r="AC3718" s="36"/>
    </row>
    <row r="3719" spans="12:29" x14ac:dyDescent="0.3">
      <c r="L3719" s="36"/>
      <c r="R3719" s="34"/>
      <c r="AC3719" s="36"/>
    </row>
    <row r="3720" spans="12:29" x14ac:dyDescent="0.3">
      <c r="L3720" s="36"/>
      <c r="R3720" s="34"/>
      <c r="AC3720" s="36"/>
    </row>
    <row r="3721" spans="12:29" x14ac:dyDescent="0.3">
      <c r="L3721" s="36"/>
      <c r="R3721" s="34"/>
      <c r="AC3721" s="36"/>
    </row>
    <row r="3722" spans="12:29" x14ac:dyDescent="0.3">
      <c r="L3722" s="36"/>
      <c r="R3722" s="34"/>
      <c r="AC3722" s="36"/>
    </row>
    <row r="3723" spans="12:29" x14ac:dyDescent="0.3">
      <c r="L3723" s="36"/>
      <c r="R3723" s="34"/>
      <c r="AC3723" s="36"/>
    </row>
    <row r="3724" spans="12:29" x14ac:dyDescent="0.3">
      <c r="L3724" s="36"/>
      <c r="R3724" s="34"/>
      <c r="AC3724" s="36"/>
    </row>
    <row r="3725" spans="12:29" x14ac:dyDescent="0.3">
      <c r="L3725" s="36"/>
      <c r="R3725" s="34"/>
      <c r="AC3725" s="36"/>
    </row>
    <row r="3726" spans="12:29" x14ac:dyDescent="0.3">
      <c r="L3726" s="36"/>
      <c r="R3726" s="34"/>
      <c r="AC3726" s="36"/>
    </row>
    <row r="3727" spans="12:29" x14ac:dyDescent="0.3">
      <c r="L3727" s="36"/>
      <c r="R3727" s="34"/>
      <c r="AC3727" s="36"/>
    </row>
    <row r="3728" spans="12:29" x14ac:dyDescent="0.3">
      <c r="L3728" s="36"/>
      <c r="R3728" s="34"/>
      <c r="AC3728" s="36"/>
    </row>
    <row r="3729" spans="12:29" x14ac:dyDescent="0.3">
      <c r="L3729" s="36"/>
      <c r="R3729" s="34"/>
      <c r="AC3729" s="36"/>
    </row>
    <row r="3730" spans="12:29" x14ac:dyDescent="0.3">
      <c r="L3730" s="36"/>
      <c r="R3730" s="34"/>
      <c r="AC3730" s="36"/>
    </row>
    <row r="3731" spans="12:29" x14ac:dyDescent="0.3">
      <c r="L3731" s="36"/>
      <c r="R3731" s="34"/>
      <c r="AC3731" s="36"/>
    </row>
    <row r="3732" spans="12:29" x14ac:dyDescent="0.3">
      <c r="L3732" s="36"/>
      <c r="R3732" s="34"/>
      <c r="AC3732" s="36"/>
    </row>
    <row r="3733" spans="12:29" x14ac:dyDescent="0.3">
      <c r="L3733" s="36"/>
      <c r="R3733" s="34"/>
      <c r="AC3733" s="36"/>
    </row>
    <row r="3734" spans="12:29" x14ac:dyDescent="0.3">
      <c r="L3734" s="36"/>
      <c r="R3734" s="34"/>
      <c r="AC3734" s="36"/>
    </row>
    <row r="3735" spans="12:29" x14ac:dyDescent="0.3">
      <c r="L3735" s="36"/>
      <c r="R3735" s="34"/>
      <c r="AC3735" s="36"/>
    </row>
    <row r="3736" spans="12:29" x14ac:dyDescent="0.3">
      <c r="L3736" s="36"/>
      <c r="R3736" s="34"/>
      <c r="AC3736" s="36"/>
    </row>
    <row r="3737" spans="12:29" x14ac:dyDescent="0.3">
      <c r="L3737" s="36"/>
      <c r="R3737" s="34"/>
      <c r="AC3737" s="36"/>
    </row>
    <row r="3738" spans="12:29" x14ac:dyDescent="0.3">
      <c r="L3738" s="36"/>
      <c r="R3738" s="34"/>
      <c r="AC3738" s="36"/>
    </row>
    <row r="3739" spans="12:29" x14ac:dyDescent="0.3">
      <c r="L3739" s="36"/>
      <c r="R3739" s="34"/>
      <c r="AC3739" s="36"/>
    </row>
    <row r="3740" spans="12:29" x14ac:dyDescent="0.3">
      <c r="L3740" s="36"/>
      <c r="R3740" s="34"/>
      <c r="AC3740" s="36"/>
    </row>
    <row r="3741" spans="12:29" x14ac:dyDescent="0.3">
      <c r="L3741" s="36"/>
      <c r="R3741" s="34"/>
      <c r="AC3741" s="36"/>
    </row>
    <row r="3742" spans="12:29" x14ac:dyDescent="0.3">
      <c r="L3742" s="36"/>
      <c r="R3742" s="34"/>
      <c r="AC3742" s="36"/>
    </row>
    <row r="3743" spans="12:29" x14ac:dyDescent="0.3">
      <c r="L3743" s="36"/>
      <c r="R3743" s="34"/>
      <c r="AC3743" s="36"/>
    </row>
    <row r="3744" spans="12:29" x14ac:dyDescent="0.3">
      <c r="L3744" s="36"/>
      <c r="R3744" s="34"/>
      <c r="AC3744" s="36"/>
    </row>
    <row r="3745" spans="12:29" x14ac:dyDescent="0.3">
      <c r="L3745" s="36"/>
      <c r="R3745" s="34"/>
      <c r="AC3745" s="36"/>
    </row>
    <row r="3746" spans="12:29" x14ac:dyDescent="0.3">
      <c r="L3746" s="36"/>
      <c r="R3746" s="34"/>
      <c r="AC3746" s="36"/>
    </row>
    <row r="3747" spans="12:29" x14ac:dyDescent="0.3">
      <c r="L3747" s="36"/>
      <c r="R3747" s="34"/>
      <c r="AC3747" s="36"/>
    </row>
    <row r="3748" spans="12:29" x14ac:dyDescent="0.3">
      <c r="L3748" s="36"/>
      <c r="R3748" s="34"/>
      <c r="AC3748" s="36"/>
    </row>
    <row r="3749" spans="12:29" x14ac:dyDescent="0.3">
      <c r="L3749" s="36"/>
      <c r="R3749" s="34"/>
      <c r="AC3749" s="36"/>
    </row>
    <row r="3750" spans="12:29" x14ac:dyDescent="0.3">
      <c r="L3750" s="36"/>
      <c r="R3750" s="34"/>
      <c r="AC3750" s="36"/>
    </row>
    <row r="3751" spans="12:29" x14ac:dyDescent="0.3">
      <c r="L3751" s="36"/>
      <c r="R3751" s="34"/>
      <c r="AC3751" s="36"/>
    </row>
    <row r="3752" spans="12:29" x14ac:dyDescent="0.3">
      <c r="L3752" s="36"/>
      <c r="R3752" s="34"/>
      <c r="AC3752" s="36"/>
    </row>
    <row r="3753" spans="12:29" x14ac:dyDescent="0.3">
      <c r="L3753" s="36"/>
      <c r="R3753" s="34"/>
      <c r="AC3753" s="36"/>
    </row>
    <row r="3754" spans="12:29" x14ac:dyDescent="0.3">
      <c r="L3754" s="36"/>
      <c r="R3754" s="34"/>
      <c r="AC3754" s="36"/>
    </row>
    <row r="3755" spans="12:29" x14ac:dyDescent="0.3">
      <c r="L3755" s="36"/>
      <c r="R3755" s="34"/>
      <c r="AC3755" s="36"/>
    </row>
    <row r="3756" spans="12:29" x14ac:dyDescent="0.3">
      <c r="L3756" s="36"/>
      <c r="R3756" s="34"/>
      <c r="AC3756" s="36"/>
    </row>
    <row r="3757" spans="12:29" x14ac:dyDescent="0.3">
      <c r="L3757" s="36"/>
      <c r="R3757" s="34"/>
      <c r="AC3757" s="36"/>
    </row>
    <row r="3758" spans="12:29" x14ac:dyDescent="0.3">
      <c r="L3758" s="36"/>
      <c r="R3758" s="34"/>
      <c r="AC3758" s="36"/>
    </row>
    <row r="3759" spans="12:29" x14ac:dyDescent="0.3">
      <c r="L3759" s="36"/>
      <c r="R3759" s="34"/>
      <c r="AC3759" s="36"/>
    </row>
    <row r="3760" spans="12:29" x14ac:dyDescent="0.3">
      <c r="L3760" s="36"/>
      <c r="R3760" s="34"/>
      <c r="AC3760" s="36"/>
    </row>
    <row r="3761" spans="12:29" x14ac:dyDescent="0.3">
      <c r="L3761" s="36"/>
      <c r="R3761" s="34"/>
      <c r="AC3761" s="36"/>
    </row>
    <row r="3762" spans="12:29" x14ac:dyDescent="0.3">
      <c r="L3762" s="36"/>
      <c r="R3762" s="34"/>
      <c r="AC3762" s="36"/>
    </row>
    <row r="3763" spans="12:29" x14ac:dyDescent="0.3">
      <c r="L3763" s="36"/>
      <c r="R3763" s="34"/>
      <c r="AC3763" s="36"/>
    </row>
    <row r="3764" spans="12:29" x14ac:dyDescent="0.3">
      <c r="L3764" s="36"/>
      <c r="R3764" s="34"/>
      <c r="AC3764" s="36"/>
    </row>
    <row r="3765" spans="12:29" x14ac:dyDescent="0.3">
      <c r="L3765" s="36"/>
      <c r="R3765" s="34"/>
      <c r="AC3765" s="36"/>
    </row>
    <row r="3766" spans="12:29" x14ac:dyDescent="0.3">
      <c r="L3766" s="36"/>
      <c r="R3766" s="34"/>
      <c r="AC3766" s="36"/>
    </row>
    <row r="3767" spans="12:29" x14ac:dyDescent="0.3">
      <c r="L3767" s="36"/>
      <c r="R3767" s="34"/>
      <c r="AC3767" s="36"/>
    </row>
    <row r="3768" spans="12:29" x14ac:dyDescent="0.3">
      <c r="L3768" s="36"/>
      <c r="R3768" s="34"/>
      <c r="AC3768" s="36"/>
    </row>
    <row r="3769" spans="12:29" x14ac:dyDescent="0.3">
      <c r="L3769" s="36"/>
      <c r="R3769" s="34"/>
      <c r="AC3769" s="36"/>
    </row>
    <row r="3770" spans="12:29" x14ac:dyDescent="0.3">
      <c r="L3770" s="36"/>
      <c r="R3770" s="34"/>
      <c r="AC3770" s="36"/>
    </row>
    <row r="3771" spans="12:29" x14ac:dyDescent="0.3">
      <c r="L3771" s="36"/>
      <c r="R3771" s="34"/>
      <c r="AC3771" s="36"/>
    </row>
    <row r="3772" spans="12:29" x14ac:dyDescent="0.3">
      <c r="L3772" s="36"/>
      <c r="R3772" s="34"/>
      <c r="AC3772" s="36"/>
    </row>
    <row r="3773" spans="12:29" x14ac:dyDescent="0.3">
      <c r="L3773" s="36"/>
      <c r="R3773" s="34"/>
      <c r="AC3773" s="36"/>
    </row>
    <row r="3774" spans="12:29" x14ac:dyDescent="0.3">
      <c r="L3774" s="36"/>
      <c r="R3774" s="34"/>
      <c r="AC3774" s="36"/>
    </row>
    <row r="3775" spans="12:29" x14ac:dyDescent="0.3">
      <c r="L3775" s="36"/>
      <c r="R3775" s="34"/>
      <c r="AC3775" s="36"/>
    </row>
    <row r="3776" spans="12:29" x14ac:dyDescent="0.3">
      <c r="L3776" s="36"/>
      <c r="R3776" s="34"/>
      <c r="AC3776" s="36"/>
    </row>
    <row r="3777" spans="12:29" x14ac:dyDescent="0.3">
      <c r="L3777" s="36"/>
      <c r="R3777" s="34"/>
      <c r="AC3777" s="36"/>
    </row>
    <row r="3778" spans="12:29" x14ac:dyDescent="0.3">
      <c r="L3778" s="36"/>
      <c r="R3778" s="34"/>
      <c r="AC3778" s="36"/>
    </row>
    <row r="3779" spans="12:29" x14ac:dyDescent="0.3">
      <c r="L3779" s="36"/>
      <c r="R3779" s="34"/>
      <c r="AC3779" s="36"/>
    </row>
    <row r="3780" spans="12:29" x14ac:dyDescent="0.3">
      <c r="L3780" s="36"/>
      <c r="R3780" s="34"/>
      <c r="AC3780" s="36"/>
    </row>
    <row r="3781" spans="12:29" x14ac:dyDescent="0.3">
      <c r="L3781" s="36"/>
      <c r="R3781" s="34"/>
      <c r="AC3781" s="36"/>
    </row>
    <row r="3782" spans="12:29" x14ac:dyDescent="0.3">
      <c r="L3782" s="36"/>
      <c r="R3782" s="34"/>
      <c r="AC3782" s="36"/>
    </row>
    <row r="3783" spans="12:29" x14ac:dyDescent="0.3">
      <c r="L3783" s="36"/>
      <c r="R3783" s="34"/>
      <c r="AC3783" s="36"/>
    </row>
    <row r="3784" spans="12:29" x14ac:dyDescent="0.3">
      <c r="L3784" s="36"/>
      <c r="R3784" s="34"/>
      <c r="AC3784" s="36"/>
    </row>
    <row r="3785" spans="12:29" x14ac:dyDescent="0.3">
      <c r="L3785" s="36"/>
      <c r="R3785" s="34"/>
      <c r="AC3785" s="36"/>
    </row>
    <row r="3786" spans="12:29" x14ac:dyDescent="0.3">
      <c r="L3786" s="36"/>
      <c r="R3786" s="34"/>
      <c r="AC3786" s="36"/>
    </row>
    <row r="3787" spans="12:29" x14ac:dyDescent="0.3">
      <c r="L3787" s="36"/>
      <c r="R3787" s="34"/>
      <c r="AC3787" s="36"/>
    </row>
    <row r="3788" spans="12:29" x14ac:dyDescent="0.3">
      <c r="L3788" s="36"/>
      <c r="R3788" s="34"/>
      <c r="AC3788" s="36"/>
    </row>
    <row r="3789" spans="12:29" x14ac:dyDescent="0.3">
      <c r="L3789" s="36"/>
      <c r="R3789" s="34"/>
      <c r="AC3789" s="36"/>
    </row>
    <row r="3790" spans="12:29" x14ac:dyDescent="0.3">
      <c r="L3790" s="36"/>
      <c r="R3790" s="34"/>
      <c r="AC3790" s="36"/>
    </row>
    <row r="3791" spans="12:29" x14ac:dyDescent="0.3">
      <c r="L3791" s="36"/>
      <c r="R3791" s="34"/>
      <c r="AC3791" s="36"/>
    </row>
    <row r="3792" spans="12:29" x14ac:dyDescent="0.3">
      <c r="L3792" s="36"/>
      <c r="R3792" s="34"/>
      <c r="AC3792" s="36"/>
    </row>
    <row r="3793" spans="12:29" x14ac:dyDescent="0.3">
      <c r="L3793" s="36"/>
      <c r="R3793" s="34"/>
      <c r="AC3793" s="36"/>
    </row>
    <row r="3794" spans="12:29" x14ac:dyDescent="0.3">
      <c r="L3794" s="36"/>
      <c r="R3794" s="34"/>
      <c r="AC3794" s="36"/>
    </row>
    <row r="3795" spans="12:29" x14ac:dyDescent="0.3">
      <c r="L3795" s="36"/>
      <c r="R3795" s="34"/>
      <c r="AC3795" s="36"/>
    </row>
    <row r="3796" spans="12:29" x14ac:dyDescent="0.3">
      <c r="L3796" s="36"/>
      <c r="R3796" s="34"/>
      <c r="AC3796" s="36"/>
    </row>
    <row r="3797" spans="12:29" x14ac:dyDescent="0.3">
      <c r="L3797" s="36"/>
      <c r="R3797" s="34"/>
      <c r="AC3797" s="36"/>
    </row>
    <row r="3798" spans="12:29" x14ac:dyDescent="0.3">
      <c r="L3798" s="36"/>
      <c r="R3798" s="34"/>
      <c r="AC3798" s="36"/>
    </row>
    <row r="3799" spans="12:29" x14ac:dyDescent="0.3">
      <c r="L3799" s="36"/>
      <c r="R3799" s="34"/>
      <c r="AC3799" s="36"/>
    </row>
    <row r="3800" spans="12:29" x14ac:dyDescent="0.3">
      <c r="L3800" s="36"/>
      <c r="R3800" s="34"/>
      <c r="AC3800" s="36"/>
    </row>
    <row r="3801" spans="12:29" x14ac:dyDescent="0.3">
      <c r="L3801" s="36"/>
      <c r="R3801" s="34"/>
      <c r="AC3801" s="36"/>
    </row>
    <row r="3802" spans="12:29" x14ac:dyDescent="0.3">
      <c r="L3802" s="36"/>
      <c r="R3802" s="34"/>
      <c r="AC3802" s="36"/>
    </row>
    <row r="3803" spans="12:29" x14ac:dyDescent="0.3">
      <c r="L3803" s="36"/>
      <c r="R3803" s="34"/>
      <c r="AC3803" s="36"/>
    </row>
    <row r="3804" spans="12:29" x14ac:dyDescent="0.3">
      <c r="L3804" s="36"/>
      <c r="R3804" s="34"/>
      <c r="AC3804" s="36"/>
    </row>
    <row r="3805" spans="12:29" x14ac:dyDescent="0.3">
      <c r="L3805" s="36"/>
      <c r="R3805" s="34"/>
      <c r="AC3805" s="36"/>
    </row>
    <row r="3806" spans="12:29" x14ac:dyDescent="0.3">
      <c r="L3806" s="36"/>
      <c r="R3806" s="34"/>
      <c r="AC3806" s="36"/>
    </row>
    <row r="3807" spans="12:29" x14ac:dyDescent="0.3">
      <c r="L3807" s="36"/>
      <c r="R3807" s="34"/>
      <c r="AC3807" s="36"/>
    </row>
    <row r="3808" spans="12:29" x14ac:dyDescent="0.3">
      <c r="L3808" s="36"/>
      <c r="R3808" s="34"/>
      <c r="AC3808" s="36"/>
    </row>
    <row r="3809" spans="12:29" x14ac:dyDescent="0.3">
      <c r="L3809" s="36"/>
      <c r="R3809" s="34"/>
      <c r="AC3809" s="36"/>
    </row>
    <row r="3810" spans="12:29" x14ac:dyDescent="0.3">
      <c r="L3810" s="36"/>
      <c r="R3810" s="34"/>
      <c r="AC3810" s="36"/>
    </row>
    <row r="3811" spans="12:29" x14ac:dyDescent="0.3">
      <c r="L3811" s="36"/>
      <c r="R3811" s="34"/>
      <c r="AC3811" s="36"/>
    </row>
    <row r="3812" spans="12:29" x14ac:dyDescent="0.3">
      <c r="L3812" s="36"/>
      <c r="R3812" s="34"/>
      <c r="AC3812" s="36"/>
    </row>
    <row r="3813" spans="12:29" x14ac:dyDescent="0.3">
      <c r="L3813" s="36"/>
      <c r="R3813" s="34"/>
      <c r="AC3813" s="36"/>
    </row>
    <row r="3814" spans="12:29" x14ac:dyDescent="0.3">
      <c r="L3814" s="36"/>
      <c r="R3814" s="34"/>
      <c r="AC3814" s="36"/>
    </row>
    <row r="3815" spans="12:29" x14ac:dyDescent="0.3">
      <c r="L3815" s="36"/>
      <c r="R3815" s="34"/>
      <c r="AC3815" s="36"/>
    </row>
    <row r="3816" spans="12:29" x14ac:dyDescent="0.3">
      <c r="L3816" s="36"/>
      <c r="R3816" s="34"/>
      <c r="AC3816" s="36"/>
    </row>
    <row r="3817" spans="12:29" x14ac:dyDescent="0.3">
      <c r="L3817" s="36"/>
      <c r="R3817" s="34"/>
      <c r="AC3817" s="36"/>
    </row>
    <row r="3818" spans="12:29" x14ac:dyDescent="0.3">
      <c r="L3818" s="36"/>
      <c r="R3818" s="34"/>
      <c r="AC3818" s="36"/>
    </row>
    <row r="3819" spans="12:29" x14ac:dyDescent="0.3">
      <c r="L3819" s="36"/>
      <c r="R3819" s="34"/>
      <c r="AC3819" s="36"/>
    </row>
    <row r="3820" spans="12:29" x14ac:dyDescent="0.3">
      <c r="L3820" s="36"/>
      <c r="R3820" s="34"/>
      <c r="AC3820" s="36"/>
    </row>
    <row r="3821" spans="12:29" x14ac:dyDescent="0.3">
      <c r="L3821" s="36"/>
      <c r="R3821" s="34"/>
      <c r="AC3821" s="36"/>
    </row>
    <row r="3822" spans="12:29" x14ac:dyDescent="0.3">
      <c r="L3822" s="36"/>
      <c r="R3822" s="34"/>
      <c r="AC3822" s="36"/>
    </row>
    <row r="3823" spans="12:29" x14ac:dyDescent="0.3">
      <c r="L3823" s="36"/>
      <c r="R3823" s="34"/>
      <c r="AC3823" s="36"/>
    </row>
    <row r="3824" spans="12:29" x14ac:dyDescent="0.3">
      <c r="L3824" s="36"/>
      <c r="R3824" s="34"/>
      <c r="AC3824" s="36"/>
    </row>
    <row r="3825" spans="12:29" x14ac:dyDescent="0.3">
      <c r="L3825" s="36"/>
      <c r="R3825" s="34"/>
      <c r="AC3825" s="36"/>
    </row>
    <row r="3826" spans="12:29" x14ac:dyDescent="0.3">
      <c r="L3826" s="36"/>
      <c r="R3826" s="34"/>
      <c r="AC3826" s="36"/>
    </row>
    <row r="3827" spans="12:29" x14ac:dyDescent="0.3">
      <c r="L3827" s="36"/>
      <c r="R3827" s="34"/>
      <c r="AC3827" s="36"/>
    </row>
    <row r="3828" spans="12:29" x14ac:dyDescent="0.3">
      <c r="L3828" s="36"/>
      <c r="R3828" s="34"/>
      <c r="AC3828" s="36"/>
    </row>
    <row r="3829" spans="12:29" x14ac:dyDescent="0.3">
      <c r="L3829" s="36"/>
      <c r="R3829" s="34"/>
      <c r="AC3829" s="36"/>
    </row>
    <row r="3830" spans="12:29" x14ac:dyDescent="0.3">
      <c r="L3830" s="36"/>
      <c r="R3830" s="34"/>
      <c r="AC3830" s="36"/>
    </row>
    <row r="3831" spans="12:29" x14ac:dyDescent="0.3">
      <c r="L3831" s="36"/>
      <c r="R3831" s="34"/>
      <c r="AC3831" s="36"/>
    </row>
    <row r="3832" spans="12:29" x14ac:dyDescent="0.3">
      <c r="L3832" s="36"/>
      <c r="R3832" s="34"/>
      <c r="AC3832" s="36"/>
    </row>
    <row r="3833" spans="12:29" x14ac:dyDescent="0.3">
      <c r="L3833" s="36"/>
      <c r="R3833" s="34"/>
      <c r="AC3833" s="36"/>
    </row>
    <row r="3834" spans="12:29" x14ac:dyDescent="0.3">
      <c r="L3834" s="36"/>
      <c r="R3834" s="34"/>
      <c r="AC3834" s="36"/>
    </row>
    <row r="3835" spans="12:29" x14ac:dyDescent="0.3">
      <c r="L3835" s="36"/>
      <c r="R3835" s="34"/>
      <c r="AC3835" s="36"/>
    </row>
    <row r="3836" spans="12:29" x14ac:dyDescent="0.3">
      <c r="L3836" s="36"/>
      <c r="R3836" s="34"/>
      <c r="AC3836" s="36"/>
    </row>
    <row r="3837" spans="12:29" x14ac:dyDescent="0.3">
      <c r="L3837" s="36"/>
      <c r="R3837" s="34"/>
      <c r="AC3837" s="36"/>
    </row>
    <row r="3838" spans="12:29" x14ac:dyDescent="0.3">
      <c r="L3838" s="36"/>
      <c r="R3838" s="34"/>
      <c r="AC3838" s="36"/>
    </row>
    <row r="3839" spans="12:29" x14ac:dyDescent="0.3">
      <c r="L3839" s="36"/>
      <c r="R3839" s="34"/>
      <c r="AC3839" s="36"/>
    </row>
    <row r="3840" spans="12:29" x14ac:dyDescent="0.3">
      <c r="L3840" s="36"/>
      <c r="R3840" s="34"/>
      <c r="AC3840" s="36"/>
    </row>
    <row r="3841" spans="12:29" x14ac:dyDescent="0.3">
      <c r="L3841" s="36"/>
      <c r="R3841" s="34"/>
      <c r="AC3841" s="36"/>
    </row>
    <row r="3842" spans="12:29" x14ac:dyDescent="0.3">
      <c r="L3842" s="36"/>
      <c r="R3842" s="34"/>
      <c r="AC3842" s="36"/>
    </row>
    <row r="3843" spans="12:29" x14ac:dyDescent="0.3">
      <c r="L3843" s="36"/>
      <c r="R3843" s="34"/>
      <c r="AC3843" s="36"/>
    </row>
    <row r="3844" spans="12:29" x14ac:dyDescent="0.3">
      <c r="L3844" s="36"/>
      <c r="R3844" s="34"/>
      <c r="AC3844" s="36"/>
    </row>
    <row r="3845" spans="12:29" x14ac:dyDescent="0.3">
      <c r="L3845" s="36"/>
      <c r="R3845" s="34"/>
      <c r="AC3845" s="36"/>
    </row>
    <row r="3846" spans="12:29" x14ac:dyDescent="0.3">
      <c r="L3846" s="36"/>
      <c r="R3846" s="34"/>
      <c r="AC3846" s="36"/>
    </row>
    <row r="3847" spans="12:29" x14ac:dyDescent="0.3">
      <c r="L3847" s="36"/>
      <c r="R3847" s="34"/>
      <c r="AC3847" s="36"/>
    </row>
    <row r="3848" spans="12:29" x14ac:dyDescent="0.3">
      <c r="L3848" s="36"/>
      <c r="R3848" s="34"/>
      <c r="AC3848" s="36"/>
    </row>
    <row r="3849" spans="12:29" x14ac:dyDescent="0.3">
      <c r="L3849" s="36"/>
      <c r="R3849" s="34"/>
      <c r="AC3849" s="36"/>
    </row>
    <row r="3850" spans="12:29" x14ac:dyDescent="0.3">
      <c r="L3850" s="36"/>
      <c r="R3850" s="34"/>
      <c r="AC3850" s="36"/>
    </row>
    <row r="3851" spans="12:29" x14ac:dyDescent="0.3">
      <c r="L3851" s="36"/>
      <c r="R3851" s="34"/>
      <c r="AC3851" s="36"/>
    </row>
    <row r="3852" spans="12:29" x14ac:dyDescent="0.3">
      <c r="L3852" s="36"/>
      <c r="R3852" s="34"/>
      <c r="AC3852" s="36"/>
    </row>
    <row r="3853" spans="12:29" x14ac:dyDescent="0.3">
      <c r="L3853" s="36"/>
      <c r="R3853" s="34"/>
      <c r="AC3853" s="36"/>
    </row>
    <row r="3854" spans="12:29" x14ac:dyDescent="0.3">
      <c r="L3854" s="36"/>
      <c r="R3854" s="34"/>
      <c r="AC3854" s="36"/>
    </row>
    <row r="3855" spans="12:29" x14ac:dyDescent="0.3">
      <c r="L3855" s="36"/>
      <c r="R3855" s="34"/>
      <c r="AC3855" s="36"/>
    </row>
    <row r="3856" spans="12:29" x14ac:dyDescent="0.3">
      <c r="L3856" s="36"/>
      <c r="R3856" s="34"/>
      <c r="AC3856" s="36"/>
    </row>
    <row r="3857" spans="12:29" x14ac:dyDescent="0.3">
      <c r="L3857" s="36"/>
      <c r="R3857" s="34"/>
      <c r="AC3857" s="36"/>
    </row>
    <row r="3858" spans="12:29" x14ac:dyDescent="0.3">
      <c r="L3858" s="36"/>
      <c r="R3858" s="34"/>
      <c r="AC3858" s="36"/>
    </row>
    <row r="3859" spans="12:29" x14ac:dyDescent="0.3">
      <c r="L3859" s="36"/>
      <c r="R3859" s="34"/>
      <c r="AC3859" s="36"/>
    </row>
    <row r="3860" spans="12:29" x14ac:dyDescent="0.3">
      <c r="L3860" s="36"/>
      <c r="R3860" s="34"/>
      <c r="AC3860" s="36"/>
    </row>
    <row r="3861" spans="12:29" x14ac:dyDescent="0.3">
      <c r="L3861" s="36"/>
      <c r="R3861" s="34"/>
      <c r="AC3861" s="36"/>
    </row>
    <row r="3862" spans="12:29" x14ac:dyDescent="0.3">
      <c r="L3862" s="36"/>
      <c r="R3862" s="34"/>
      <c r="AC3862" s="36"/>
    </row>
    <row r="3863" spans="12:29" x14ac:dyDescent="0.3">
      <c r="L3863" s="36"/>
      <c r="R3863" s="34"/>
      <c r="AC3863" s="36"/>
    </row>
    <row r="3864" spans="12:29" x14ac:dyDescent="0.3">
      <c r="L3864" s="36"/>
      <c r="R3864" s="34"/>
      <c r="AC3864" s="36"/>
    </row>
    <row r="3865" spans="12:29" x14ac:dyDescent="0.3">
      <c r="L3865" s="36"/>
      <c r="R3865" s="34"/>
      <c r="AC3865" s="36"/>
    </row>
    <row r="3866" spans="12:29" x14ac:dyDescent="0.3">
      <c r="L3866" s="36"/>
      <c r="R3866" s="34"/>
      <c r="AC3866" s="36"/>
    </row>
    <row r="3867" spans="12:29" x14ac:dyDescent="0.3">
      <c r="L3867" s="36"/>
      <c r="R3867" s="34"/>
      <c r="AC3867" s="36"/>
    </row>
    <row r="3868" spans="12:29" x14ac:dyDescent="0.3">
      <c r="L3868" s="36"/>
      <c r="R3868" s="34"/>
      <c r="AC3868" s="36"/>
    </row>
    <row r="3869" spans="12:29" x14ac:dyDescent="0.3">
      <c r="L3869" s="36"/>
      <c r="R3869" s="34"/>
      <c r="AC3869" s="36"/>
    </row>
    <row r="3870" spans="12:29" x14ac:dyDescent="0.3">
      <c r="L3870" s="36"/>
      <c r="R3870" s="34"/>
      <c r="AC3870" s="36"/>
    </row>
    <row r="3871" spans="12:29" x14ac:dyDescent="0.3">
      <c r="L3871" s="36"/>
      <c r="R3871" s="34"/>
      <c r="AC3871" s="36"/>
    </row>
    <row r="3872" spans="12:29" x14ac:dyDescent="0.3">
      <c r="L3872" s="36"/>
      <c r="R3872" s="34"/>
      <c r="AC3872" s="36"/>
    </row>
    <row r="3873" spans="12:29" x14ac:dyDescent="0.3">
      <c r="L3873" s="36"/>
      <c r="R3873" s="34"/>
      <c r="AC3873" s="36"/>
    </row>
    <row r="3874" spans="12:29" x14ac:dyDescent="0.3">
      <c r="L3874" s="36"/>
      <c r="R3874" s="34"/>
      <c r="AC3874" s="36"/>
    </row>
    <row r="3875" spans="12:29" x14ac:dyDescent="0.3">
      <c r="L3875" s="36"/>
      <c r="R3875" s="34"/>
      <c r="AC3875" s="36"/>
    </row>
    <row r="3876" spans="12:29" x14ac:dyDescent="0.3">
      <c r="L3876" s="36"/>
      <c r="R3876" s="34"/>
      <c r="AC3876" s="36"/>
    </row>
    <row r="3877" spans="12:29" x14ac:dyDescent="0.3">
      <c r="L3877" s="36"/>
      <c r="R3877" s="34"/>
      <c r="AC3877" s="36"/>
    </row>
    <row r="3878" spans="12:29" x14ac:dyDescent="0.3">
      <c r="L3878" s="36"/>
      <c r="R3878" s="34"/>
      <c r="AC3878" s="36"/>
    </row>
    <row r="3879" spans="12:29" x14ac:dyDescent="0.3">
      <c r="L3879" s="36"/>
      <c r="R3879" s="34"/>
      <c r="AC3879" s="36"/>
    </row>
    <row r="3880" spans="12:29" x14ac:dyDescent="0.3">
      <c r="L3880" s="36"/>
      <c r="R3880" s="34"/>
      <c r="AC3880" s="36"/>
    </row>
    <row r="3881" spans="12:29" x14ac:dyDescent="0.3">
      <c r="L3881" s="36"/>
      <c r="R3881" s="34"/>
      <c r="AC3881" s="36"/>
    </row>
    <row r="3882" spans="12:29" x14ac:dyDescent="0.3">
      <c r="L3882" s="36"/>
      <c r="R3882" s="34"/>
      <c r="AC3882" s="36"/>
    </row>
    <row r="3883" spans="12:29" x14ac:dyDescent="0.3">
      <c r="L3883" s="36"/>
      <c r="R3883" s="34"/>
      <c r="AC3883" s="36"/>
    </row>
    <row r="3884" spans="12:29" x14ac:dyDescent="0.3">
      <c r="L3884" s="36"/>
      <c r="R3884" s="34"/>
      <c r="AC3884" s="36"/>
    </row>
    <row r="3885" spans="12:29" x14ac:dyDescent="0.3">
      <c r="L3885" s="36"/>
      <c r="R3885" s="34"/>
      <c r="AC3885" s="36"/>
    </row>
    <row r="3886" spans="12:29" x14ac:dyDescent="0.3">
      <c r="L3886" s="36"/>
      <c r="R3886" s="34"/>
      <c r="AC3886" s="36"/>
    </row>
    <row r="3887" spans="12:29" x14ac:dyDescent="0.3">
      <c r="L3887" s="36"/>
      <c r="R3887" s="34"/>
      <c r="AC3887" s="36"/>
    </row>
    <row r="3888" spans="12:29" x14ac:dyDescent="0.3">
      <c r="L3888" s="36"/>
      <c r="R3888" s="34"/>
      <c r="AC3888" s="36"/>
    </row>
    <row r="3889" spans="12:29" x14ac:dyDescent="0.3">
      <c r="L3889" s="36"/>
      <c r="R3889" s="34"/>
      <c r="AC3889" s="36"/>
    </row>
    <row r="3890" spans="12:29" x14ac:dyDescent="0.3">
      <c r="L3890" s="36"/>
      <c r="R3890" s="34"/>
      <c r="AC3890" s="36"/>
    </row>
    <row r="3891" spans="12:29" x14ac:dyDescent="0.3">
      <c r="L3891" s="36"/>
      <c r="R3891" s="34"/>
      <c r="AC3891" s="36"/>
    </row>
    <row r="3892" spans="12:29" x14ac:dyDescent="0.3">
      <c r="L3892" s="36"/>
      <c r="R3892" s="34"/>
      <c r="AC3892" s="36"/>
    </row>
    <row r="3893" spans="12:29" x14ac:dyDescent="0.3">
      <c r="L3893" s="36"/>
      <c r="R3893" s="34"/>
      <c r="AC3893" s="36"/>
    </row>
    <row r="3894" spans="12:29" x14ac:dyDescent="0.3">
      <c r="L3894" s="36"/>
      <c r="R3894" s="34"/>
      <c r="AC3894" s="36"/>
    </row>
    <row r="3895" spans="12:29" x14ac:dyDescent="0.3">
      <c r="L3895" s="36"/>
      <c r="R3895" s="34"/>
      <c r="AC3895" s="36"/>
    </row>
    <row r="3896" spans="12:29" x14ac:dyDescent="0.3">
      <c r="L3896" s="36"/>
      <c r="R3896" s="34"/>
      <c r="AC3896" s="36"/>
    </row>
    <row r="3897" spans="12:29" x14ac:dyDescent="0.3">
      <c r="L3897" s="36"/>
      <c r="R3897" s="34"/>
      <c r="AC3897" s="36"/>
    </row>
    <row r="3898" spans="12:29" x14ac:dyDescent="0.3">
      <c r="L3898" s="36"/>
      <c r="R3898" s="34"/>
      <c r="AC3898" s="36"/>
    </row>
    <row r="3899" spans="12:29" x14ac:dyDescent="0.3">
      <c r="L3899" s="36"/>
      <c r="R3899" s="34"/>
      <c r="AC3899" s="36"/>
    </row>
    <row r="3900" spans="12:29" x14ac:dyDescent="0.3">
      <c r="L3900" s="36"/>
      <c r="R3900" s="34"/>
      <c r="AC3900" s="36"/>
    </row>
    <row r="3901" spans="12:29" x14ac:dyDescent="0.3">
      <c r="L3901" s="36"/>
      <c r="R3901" s="34"/>
      <c r="AC3901" s="36"/>
    </row>
    <row r="3902" spans="12:29" x14ac:dyDescent="0.3">
      <c r="L3902" s="36"/>
      <c r="R3902" s="34"/>
      <c r="AC3902" s="36"/>
    </row>
    <row r="3903" spans="12:29" x14ac:dyDescent="0.3">
      <c r="L3903" s="36"/>
      <c r="R3903" s="34"/>
      <c r="AC3903" s="36"/>
    </row>
    <row r="3904" spans="12:29" x14ac:dyDescent="0.3">
      <c r="L3904" s="36"/>
      <c r="R3904" s="34"/>
      <c r="AC3904" s="36"/>
    </row>
    <row r="3905" spans="12:29" x14ac:dyDescent="0.3">
      <c r="L3905" s="36"/>
      <c r="R3905" s="34"/>
      <c r="AC3905" s="36"/>
    </row>
    <row r="3906" spans="12:29" x14ac:dyDescent="0.3">
      <c r="L3906" s="36"/>
      <c r="R3906" s="34"/>
      <c r="AC3906" s="36"/>
    </row>
    <row r="3907" spans="12:29" x14ac:dyDescent="0.3">
      <c r="L3907" s="36"/>
      <c r="R3907" s="34"/>
      <c r="AC3907" s="36"/>
    </row>
    <row r="3908" spans="12:29" x14ac:dyDescent="0.3">
      <c r="L3908" s="36"/>
      <c r="R3908" s="34"/>
      <c r="AC3908" s="36"/>
    </row>
    <row r="3909" spans="12:29" x14ac:dyDescent="0.3">
      <c r="L3909" s="36"/>
      <c r="R3909" s="34"/>
      <c r="AC3909" s="36"/>
    </row>
    <row r="3910" spans="12:29" x14ac:dyDescent="0.3">
      <c r="L3910" s="36"/>
      <c r="R3910" s="34"/>
      <c r="AC3910" s="36"/>
    </row>
    <row r="3911" spans="12:29" x14ac:dyDescent="0.3">
      <c r="L3911" s="36"/>
      <c r="R3911" s="34"/>
      <c r="AC3911" s="36"/>
    </row>
    <row r="3912" spans="12:29" x14ac:dyDescent="0.3">
      <c r="L3912" s="36"/>
      <c r="R3912" s="34"/>
      <c r="AC3912" s="36"/>
    </row>
    <row r="3913" spans="12:29" x14ac:dyDescent="0.3">
      <c r="L3913" s="36"/>
      <c r="R3913" s="34"/>
      <c r="AC3913" s="36"/>
    </row>
    <row r="3914" spans="12:29" x14ac:dyDescent="0.3">
      <c r="L3914" s="36"/>
      <c r="R3914" s="34"/>
      <c r="AC3914" s="36"/>
    </row>
    <row r="3915" spans="12:29" x14ac:dyDescent="0.3">
      <c r="L3915" s="36"/>
      <c r="R3915" s="34"/>
      <c r="AC3915" s="36"/>
    </row>
    <row r="3916" spans="12:29" x14ac:dyDescent="0.3">
      <c r="L3916" s="36"/>
      <c r="R3916" s="34"/>
      <c r="AC3916" s="36"/>
    </row>
    <row r="3917" spans="12:29" x14ac:dyDescent="0.3">
      <c r="L3917" s="36"/>
      <c r="R3917" s="34"/>
      <c r="AC3917" s="36"/>
    </row>
    <row r="3918" spans="12:29" x14ac:dyDescent="0.3">
      <c r="L3918" s="36"/>
      <c r="R3918" s="34"/>
      <c r="AC3918" s="36"/>
    </row>
    <row r="3919" spans="12:29" x14ac:dyDescent="0.3">
      <c r="L3919" s="36"/>
      <c r="R3919" s="34"/>
      <c r="AC3919" s="36"/>
    </row>
    <row r="3920" spans="12:29" x14ac:dyDescent="0.3">
      <c r="L3920" s="36"/>
      <c r="R3920" s="34"/>
      <c r="AC3920" s="36"/>
    </row>
    <row r="3921" spans="12:29" x14ac:dyDescent="0.3">
      <c r="L3921" s="36"/>
      <c r="R3921" s="34"/>
      <c r="AC3921" s="36"/>
    </row>
    <row r="3922" spans="12:29" x14ac:dyDescent="0.3">
      <c r="L3922" s="36"/>
      <c r="R3922" s="34"/>
      <c r="AC3922" s="36"/>
    </row>
    <row r="3923" spans="12:29" x14ac:dyDescent="0.3">
      <c r="L3923" s="36"/>
      <c r="R3923" s="34"/>
      <c r="AC3923" s="36"/>
    </row>
    <row r="3924" spans="12:29" x14ac:dyDescent="0.3">
      <c r="L3924" s="36"/>
      <c r="R3924" s="34"/>
      <c r="AC3924" s="36"/>
    </row>
    <row r="3925" spans="12:29" x14ac:dyDescent="0.3">
      <c r="L3925" s="36"/>
      <c r="R3925" s="34"/>
      <c r="AC3925" s="36"/>
    </row>
    <row r="3926" spans="12:29" x14ac:dyDescent="0.3">
      <c r="L3926" s="36"/>
      <c r="R3926" s="34"/>
      <c r="AC3926" s="36"/>
    </row>
    <row r="3927" spans="12:29" x14ac:dyDescent="0.3">
      <c r="L3927" s="36"/>
      <c r="R3927" s="34"/>
      <c r="AC3927" s="36"/>
    </row>
    <row r="3928" spans="12:29" x14ac:dyDescent="0.3">
      <c r="L3928" s="36"/>
      <c r="R3928" s="34"/>
      <c r="AC3928" s="36"/>
    </row>
    <row r="3929" spans="12:29" x14ac:dyDescent="0.3">
      <c r="L3929" s="36"/>
      <c r="R3929" s="34"/>
      <c r="AC3929" s="36"/>
    </row>
    <row r="3930" spans="12:29" x14ac:dyDescent="0.3">
      <c r="L3930" s="36"/>
      <c r="R3930" s="34"/>
      <c r="AC3930" s="36"/>
    </row>
    <row r="3931" spans="12:29" x14ac:dyDescent="0.3">
      <c r="L3931" s="36"/>
      <c r="R3931" s="34"/>
      <c r="AC3931" s="36"/>
    </row>
    <row r="3932" spans="12:29" x14ac:dyDescent="0.3">
      <c r="L3932" s="36"/>
      <c r="R3932" s="34"/>
      <c r="AC3932" s="36"/>
    </row>
    <row r="3933" spans="12:29" x14ac:dyDescent="0.3">
      <c r="L3933" s="36"/>
      <c r="R3933" s="34"/>
      <c r="AC3933" s="36"/>
    </row>
    <row r="3934" spans="12:29" x14ac:dyDescent="0.3">
      <c r="L3934" s="36"/>
      <c r="R3934" s="34"/>
      <c r="AC3934" s="36"/>
    </row>
    <row r="3935" spans="12:29" x14ac:dyDescent="0.3">
      <c r="L3935" s="36"/>
      <c r="R3935" s="34"/>
      <c r="AC3935" s="36"/>
    </row>
    <row r="3936" spans="12:29" x14ac:dyDescent="0.3">
      <c r="L3936" s="36"/>
      <c r="R3936" s="34"/>
      <c r="AC3936" s="36"/>
    </row>
    <row r="3937" spans="12:29" x14ac:dyDescent="0.3">
      <c r="L3937" s="36"/>
      <c r="R3937" s="34"/>
      <c r="AC3937" s="36"/>
    </row>
    <row r="3938" spans="12:29" x14ac:dyDescent="0.3">
      <c r="L3938" s="36"/>
      <c r="R3938" s="34"/>
      <c r="AC3938" s="36"/>
    </row>
    <row r="3939" spans="12:29" x14ac:dyDescent="0.3">
      <c r="L3939" s="36"/>
      <c r="R3939" s="34"/>
      <c r="AC3939" s="36"/>
    </row>
    <row r="3940" spans="12:29" x14ac:dyDescent="0.3">
      <c r="L3940" s="36"/>
      <c r="R3940" s="34"/>
      <c r="AC3940" s="36"/>
    </row>
    <row r="3941" spans="12:29" x14ac:dyDescent="0.3">
      <c r="L3941" s="36"/>
      <c r="R3941" s="34"/>
      <c r="AC3941" s="36"/>
    </row>
    <row r="3942" spans="12:29" x14ac:dyDescent="0.3">
      <c r="L3942" s="36"/>
      <c r="R3942" s="34"/>
      <c r="AC3942" s="36"/>
    </row>
    <row r="3943" spans="12:29" x14ac:dyDescent="0.3">
      <c r="L3943" s="36"/>
      <c r="R3943" s="34"/>
      <c r="AC3943" s="36"/>
    </row>
    <row r="3944" spans="12:29" x14ac:dyDescent="0.3">
      <c r="L3944" s="36"/>
      <c r="R3944" s="34"/>
      <c r="AC3944" s="36"/>
    </row>
    <row r="3945" spans="12:29" x14ac:dyDescent="0.3">
      <c r="L3945" s="36"/>
      <c r="R3945" s="34"/>
      <c r="AC3945" s="36"/>
    </row>
    <row r="3946" spans="12:29" x14ac:dyDescent="0.3">
      <c r="L3946" s="36"/>
      <c r="R3946" s="34"/>
      <c r="AC3946" s="36"/>
    </row>
    <row r="3947" spans="12:29" x14ac:dyDescent="0.3">
      <c r="L3947" s="36"/>
      <c r="R3947" s="34"/>
      <c r="AC3947" s="36"/>
    </row>
    <row r="3948" spans="12:29" x14ac:dyDescent="0.3">
      <c r="L3948" s="36"/>
      <c r="R3948" s="34"/>
      <c r="AC3948" s="36"/>
    </row>
    <row r="3949" spans="12:29" x14ac:dyDescent="0.3">
      <c r="L3949" s="36"/>
      <c r="R3949" s="34"/>
      <c r="AC3949" s="36"/>
    </row>
    <row r="3950" spans="12:29" x14ac:dyDescent="0.3">
      <c r="L3950" s="36"/>
      <c r="R3950" s="34"/>
      <c r="AC3950" s="36"/>
    </row>
    <row r="3951" spans="12:29" x14ac:dyDescent="0.3">
      <c r="L3951" s="36"/>
      <c r="R3951" s="34"/>
      <c r="AC3951" s="36"/>
    </row>
    <row r="3952" spans="12:29" x14ac:dyDescent="0.3">
      <c r="L3952" s="36"/>
      <c r="R3952" s="34"/>
      <c r="AC3952" s="36"/>
    </row>
    <row r="3953" spans="12:29" x14ac:dyDescent="0.3">
      <c r="L3953" s="36"/>
      <c r="R3953" s="34"/>
      <c r="AC3953" s="36"/>
    </row>
    <row r="3954" spans="12:29" x14ac:dyDescent="0.3">
      <c r="L3954" s="36"/>
      <c r="R3954" s="34"/>
      <c r="AC3954" s="36"/>
    </row>
    <row r="3955" spans="12:29" x14ac:dyDescent="0.3">
      <c r="L3955" s="36"/>
      <c r="R3955" s="34"/>
      <c r="AC3955" s="36"/>
    </row>
    <row r="3956" spans="12:29" x14ac:dyDescent="0.3">
      <c r="L3956" s="36"/>
      <c r="R3956" s="34"/>
      <c r="AC3956" s="36"/>
    </row>
    <row r="3957" spans="12:29" x14ac:dyDescent="0.3">
      <c r="L3957" s="36"/>
      <c r="R3957" s="34"/>
      <c r="AC3957" s="36"/>
    </row>
    <row r="3958" spans="12:29" x14ac:dyDescent="0.3">
      <c r="L3958" s="36"/>
      <c r="R3958" s="34"/>
      <c r="AC3958" s="36"/>
    </row>
    <row r="3959" spans="12:29" x14ac:dyDescent="0.3">
      <c r="L3959" s="36"/>
      <c r="R3959" s="34"/>
      <c r="AC3959" s="36"/>
    </row>
    <row r="3960" spans="12:29" x14ac:dyDescent="0.3">
      <c r="L3960" s="36"/>
      <c r="R3960" s="34"/>
      <c r="AC3960" s="36"/>
    </row>
    <row r="3961" spans="12:29" x14ac:dyDescent="0.3">
      <c r="L3961" s="36"/>
      <c r="R3961" s="34"/>
      <c r="AC3961" s="36"/>
    </row>
    <row r="3962" spans="12:29" x14ac:dyDescent="0.3">
      <c r="L3962" s="36"/>
      <c r="R3962" s="34"/>
      <c r="AC3962" s="36"/>
    </row>
    <row r="3963" spans="12:29" x14ac:dyDescent="0.3">
      <c r="L3963" s="36"/>
      <c r="R3963" s="34"/>
      <c r="AC3963" s="36"/>
    </row>
    <row r="3964" spans="12:29" x14ac:dyDescent="0.3">
      <c r="L3964" s="36"/>
      <c r="R3964" s="34"/>
      <c r="AC3964" s="36"/>
    </row>
    <row r="3965" spans="12:29" x14ac:dyDescent="0.3">
      <c r="L3965" s="36"/>
      <c r="R3965" s="34"/>
      <c r="AC3965" s="36"/>
    </row>
    <row r="3966" spans="12:29" x14ac:dyDescent="0.3">
      <c r="L3966" s="36"/>
      <c r="R3966" s="34"/>
      <c r="AC3966" s="36"/>
    </row>
    <row r="3967" spans="12:29" x14ac:dyDescent="0.3">
      <c r="L3967" s="36"/>
      <c r="R3967" s="34"/>
      <c r="AC3967" s="36"/>
    </row>
    <row r="3968" spans="12:29" x14ac:dyDescent="0.3">
      <c r="L3968" s="36"/>
      <c r="R3968" s="34"/>
      <c r="AC3968" s="36"/>
    </row>
    <row r="3969" spans="12:29" x14ac:dyDescent="0.3">
      <c r="L3969" s="36"/>
      <c r="R3969" s="34"/>
      <c r="AC3969" s="36"/>
    </row>
    <row r="3970" spans="12:29" x14ac:dyDescent="0.3">
      <c r="L3970" s="36"/>
      <c r="R3970" s="34"/>
      <c r="AC3970" s="36"/>
    </row>
    <row r="3971" spans="12:29" x14ac:dyDescent="0.3">
      <c r="L3971" s="36"/>
      <c r="R3971" s="34"/>
      <c r="AC3971" s="36"/>
    </row>
    <row r="3972" spans="12:29" x14ac:dyDescent="0.3">
      <c r="L3972" s="36"/>
      <c r="R3972" s="34"/>
      <c r="AC3972" s="36"/>
    </row>
    <row r="3973" spans="12:29" x14ac:dyDescent="0.3">
      <c r="L3973" s="36"/>
      <c r="R3973" s="34"/>
      <c r="AC3973" s="36"/>
    </row>
    <row r="3974" spans="12:29" x14ac:dyDescent="0.3">
      <c r="L3974" s="36"/>
      <c r="R3974" s="34"/>
      <c r="AC3974" s="36"/>
    </row>
    <row r="3975" spans="12:29" x14ac:dyDescent="0.3">
      <c r="L3975" s="36"/>
      <c r="R3975" s="34"/>
      <c r="AC3975" s="36"/>
    </row>
    <row r="3976" spans="12:29" x14ac:dyDescent="0.3">
      <c r="L3976" s="36"/>
      <c r="R3976" s="34"/>
      <c r="AC3976" s="36"/>
    </row>
    <row r="3977" spans="12:29" x14ac:dyDescent="0.3">
      <c r="L3977" s="36"/>
      <c r="R3977" s="34"/>
      <c r="AC3977" s="36"/>
    </row>
    <row r="3978" spans="12:29" x14ac:dyDescent="0.3">
      <c r="L3978" s="36"/>
      <c r="R3978" s="34"/>
      <c r="AC3978" s="36"/>
    </row>
    <row r="3979" spans="12:29" x14ac:dyDescent="0.3">
      <c r="L3979" s="36"/>
      <c r="R3979" s="34"/>
      <c r="AC3979" s="36"/>
    </row>
    <row r="3980" spans="12:29" x14ac:dyDescent="0.3">
      <c r="L3980" s="36"/>
      <c r="R3980" s="34"/>
      <c r="AC3980" s="36"/>
    </row>
    <row r="3981" spans="12:29" x14ac:dyDescent="0.3">
      <c r="L3981" s="36"/>
      <c r="R3981" s="34"/>
      <c r="AC3981" s="36"/>
    </row>
    <row r="3982" spans="12:29" x14ac:dyDescent="0.3">
      <c r="L3982" s="36"/>
      <c r="R3982" s="34"/>
      <c r="AC3982" s="36"/>
    </row>
    <row r="3983" spans="12:29" x14ac:dyDescent="0.3">
      <c r="L3983" s="36"/>
      <c r="R3983" s="34"/>
      <c r="AC3983" s="36"/>
    </row>
    <row r="3984" spans="12:29" x14ac:dyDescent="0.3">
      <c r="L3984" s="36"/>
      <c r="R3984" s="34"/>
      <c r="AC3984" s="36"/>
    </row>
    <row r="3985" spans="12:29" x14ac:dyDescent="0.3">
      <c r="L3985" s="36"/>
      <c r="R3985" s="34"/>
      <c r="AC3985" s="36"/>
    </row>
    <row r="3986" spans="12:29" x14ac:dyDescent="0.3">
      <c r="L3986" s="36"/>
      <c r="R3986" s="34"/>
      <c r="AC3986" s="36"/>
    </row>
    <row r="3987" spans="12:29" x14ac:dyDescent="0.3">
      <c r="L3987" s="36"/>
      <c r="R3987" s="34"/>
      <c r="AC3987" s="36"/>
    </row>
    <row r="3988" spans="12:29" x14ac:dyDescent="0.3">
      <c r="L3988" s="36"/>
      <c r="R3988" s="34"/>
      <c r="AC3988" s="36"/>
    </row>
    <row r="3989" spans="12:29" x14ac:dyDescent="0.3">
      <c r="L3989" s="36"/>
      <c r="R3989" s="34"/>
      <c r="AC3989" s="36"/>
    </row>
    <row r="3990" spans="12:29" x14ac:dyDescent="0.3">
      <c r="L3990" s="36"/>
      <c r="R3990" s="34"/>
      <c r="AC3990" s="36"/>
    </row>
    <row r="3991" spans="12:29" x14ac:dyDescent="0.3">
      <c r="L3991" s="36"/>
      <c r="R3991" s="34"/>
      <c r="AC3991" s="36"/>
    </row>
    <row r="3992" spans="12:29" x14ac:dyDescent="0.3">
      <c r="L3992" s="36"/>
      <c r="R3992" s="34"/>
      <c r="AC3992" s="36"/>
    </row>
    <row r="3993" spans="12:29" x14ac:dyDescent="0.3">
      <c r="L3993" s="36"/>
      <c r="R3993" s="34"/>
      <c r="AC3993" s="36"/>
    </row>
    <row r="3994" spans="12:29" x14ac:dyDescent="0.3">
      <c r="L3994" s="36"/>
      <c r="R3994" s="34"/>
      <c r="AC3994" s="36"/>
    </row>
    <row r="3995" spans="12:29" x14ac:dyDescent="0.3">
      <c r="L3995" s="36"/>
      <c r="R3995" s="34"/>
      <c r="AC3995" s="36"/>
    </row>
    <row r="3996" spans="12:29" x14ac:dyDescent="0.3">
      <c r="L3996" s="36"/>
      <c r="R3996" s="34"/>
      <c r="AC3996" s="36"/>
    </row>
    <row r="3997" spans="12:29" x14ac:dyDescent="0.3">
      <c r="L3997" s="36"/>
      <c r="R3997" s="34"/>
      <c r="AC3997" s="36"/>
    </row>
    <row r="3998" spans="12:29" x14ac:dyDescent="0.3">
      <c r="L3998" s="36"/>
      <c r="R3998" s="34"/>
      <c r="AC3998" s="36"/>
    </row>
    <row r="3999" spans="12:29" x14ac:dyDescent="0.3">
      <c r="L3999" s="36"/>
      <c r="R3999" s="34"/>
      <c r="AC3999" s="36"/>
    </row>
    <row r="4000" spans="12:29" x14ac:dyDescent="0.3">
      <c r="L4000" s="36"/>
      <c r="R4000" s="34"/>
      <c r="AC4000" s="36"/>
    </row>
    <row r="4001" spans="12:29" x14ac:dyDescent="0.3">
      <c r="L4001" s="36"/>
      <c r="R4001" s="34"/>
      <c r="AC4001" s="36"/>
    </row>
    <row r="4002" spans="12:29" x14ac:dyDescent="0.3">
      <c r="L4002" s="36"/>
      <c r="R4002" s="34"/>
      <c r="AC4002" s="36"/>
    </row>
    <row r="4003" spans="12:29" x14ac:dyDescent="0.3">
      <c r="L4003" s="36"/>
      <c r="R4003" s="34"/>
      <c r="AC4003" s="36"/>
    </row>
    <row r="4004" spans="12:29" x14ac:dyDescent="0.3">
      <c r="L4004" s="36"/>
      <c r="R4004" s="34"/>
      <c r="AC4004" s="36"/>
    </row>
    <row r="4005" spans="12:29" x14ac:dyDescent="0.3">
      <c r="L4005" s="36"/>
      <c r="R4005" s="34"/>
      <c r="AC4005" s="36"/>
    </row>
    <row r="4006" spans="12:29" x14ac:dyDescent="0.3">
      <c r="L4006" s="36"/>
      <c r="R4006" s="34"/>
      <c r="AC4006" s="36"/>
    </row>
    <row r="4007" spans="12:29" x14ac:dyDescent="0.3">
      <c r="L4007" s="36"/>
      <c r="R4007" s="34"/>
      <c r="AC4007" s="36"/>
    </row>
    <row r="4008" spans="12:29" x14ac:dyDescent="0.3">
      <c r="L4008" s="36"/>
      <c r="R4008" s="34"/>
      <c r="AC4008" s="36"/>
    </row>
    <row r="4009" spans="12:29" x14ac:dyDescent="0.3">
      <c r="L4009" s="36"/>
      <c r="R4009" s="34"/>
      <c r="AC4009" s="36"/>
    </row>
    <row r="4010" spans="12:29" x14ac:dyDescent="0.3">
      <c r="L4010" s="36"/>
      <c r="R4010" s="34"/>
      <c r="AC4010" s="36"/>
    </row>
    <row r="4011" spans="12:29" x14ac:dyDescent="0.3">
      <c r="L4011" s="36"/>
      <c r="R4011" s="34"/>
      <c r="AC4011" s="36"/>
    </row>
    <row r="4012" spans="12:29" x14ac:dyDescent="0.3">
      <c r="L4012" s="36"/>
      <c r="R4012" s="34"/>
      <c r="AC4012" s="36"/>
    </row>
    <row r="4013" spans="12:29" x14ac:dyDescent="0.3">
      <c r="L4013" s="36"/>
      <c r="R4013" s="34"/>
      <c r="AC4013" s="36"/>
    </row>
    <row r="4014" spans="12:29" x14ac:dyDescent="0.3">
      <c r="L4014" s="36"/>
      <c r="R4014" s="34"/>
      <c r="AC4014" s="36"/>
    </row>
    <row r="4015" spans="12:29" x14ac:dyDescent="0.3">
      <c r="L4015" s="36"/>
      <c r="R4015" s="34"/>
      <c r="AC4015" s="36"/>
    </row>
    <row r="4016" spans="12:29" x14ac:dyDescent="0.3">
      <c r="L4016" s="36"/>
      <c r="R4016" s="34"/>
      <c r="AC4016" s="36"/>
    </row>
    <row r="4017" spans="12:29" x14ac:dyDescent="0.3">
      <c r="L4017" s="36"/>
      <c r="R4017" s="34"/>
      <c r="AC4017" s="36"/>
    </row>
    <row r="4018" spans="12:29" x14ac:dyDescent="0.3">
      <c r="L4018" s="36"/>
      <c r="R4018" s="34"/>
      <c r="AC4018" s="36"/>
    </row>
    <row r="4019" spans="12:29" x14ac:dyDescent="0.3">
      <c r="L4019" s="36"/>
      <c r="R4019" s="34"/>
      <c r="AC4019" s="36"/>
    </row>
    <row r="4020" spans="12:29" x14ac:dyDescent="0.3">
      <c r="L4020" s="36"/>
      <c r="R4020" s="34"/>
      <c r="AC4020" s="36"/>
    </row>
    <row r="4021" spans="12:29" x14ac:dyDescent="0.3">
      <c r="L4021" s="36"/>
      <c r="R4021" s="34"/>
      <c r="AC4021" s="36"/>
    </row>
    <row r="4022" spans="12:29" x14ac:dyDescent="0.3">
      <c r="L4022" s="36"/>
      <c r="R4022" s="34"/>
      <c r="AC4022" s="36"/>
    </row>
    <row r="4023" spans="12:29" x14ac:dyDescent="0.3">
      <c r="L4023" s="36"/>
      <c r="R4023" s="34"/>
      <c r="AC4023" s="36"/>
    </row>
    <row r="4024" spans="12:29" x14ac:dyDescent="0.3">
      <c r="L4024" s="36"/>
      <c r="R4024" s="34"/>
      <c r="AC4024" s="36"/>
    </row>
    <row r="4025" spans="12:29" x14ac:dyDescent="0.3">
      <c r="L4025" s="36"/>
      <c r="R4025" s="34"/>
      <c r="AC4025" s="36"/>
    </row>
    <row r="4026" spans="12:29" x14ac:dyDescent="0.3">
      <c r="L4026" s="36"/>
      <c r="R4026" s="34"/>
      <c r="AC4026" s="36"/>
    </row>
    <row r="4027" spans="12:29" x14ac:dyDescent="0.3">
      <c r="L4027" s="36"/>
      <c r="R4027" s="34"/>
      <c r="AC4027" s="36"/>
    </row>
    <row r="4028" spans="12:29" x14ac:dyDescent="0.3">
      <c r="L4028" s="36"/>
      <c r="R4028" s="34"/>
      <c r="AC4028" s="36"/>
    </row>
    <row r="4029" spans="12:29" x14ac:dyDescent="0.3">
      <c r="L4029" s="36"/>
      <c r="R4029" s="34"/>
      <c r="AC4029" s="36"/>
    </row>
    <row r="4030" spans="12:29" x14ac:dyDescent="0.3">
      <c r="L4030" s="36"/>
      <c r="R4030" s="34"/>
      <c r="AC4030" s="36"/>
    </row>
    <row r="4031" spans="12:29" x14ac:dyDescent="0.3">
      <c r="L4031" s="36"/>
      <c r="R4031" s="34"/>
      <c r="AC4031" s="36"/>
    </row>
    <row r="4032" spans="12:29" x14ac:dyDescent="0.3">
      <c r="L4032" s="36"/>
      <c r="R4032" s="34"/>
      <c r="AC4032" s="36"/>
    </row>
    <row r="4033" spans="12:29" x14ac:dyDescent="0.3">
      <c r="L4033" s="36"/>
      <c r="R4033" s="34"/>
      <c r="AC4033" s="36"/>
    </row>
    <row r="4034" spans="12:29" x14ac:dyDescent="0.3">
      <c r="L4034" s="36"/>
      <c r="R4034" s="34"/>
      <c r="AC4034" s="36"/>
    </row>
    <row r="4035" spans="12:29" x14ac:dyDescent="0.3">
      <c r="L4035" s="36"/>
      <c r="R4035" s="34"/>
      <c r="AC4035" s="36"/>
    </row>
    <row r="4036" spans="12:29" x14ac:dyDescent="0.3">
      <c r="L4036" s="36"/>
      <c r="R4036" s="34"/>
      <c r="AC4036" s="36"/>
    </row>
    <row r="4037" spans="12:29" x14ac:dyDescent="0.3">
      <c r="L4037" s="36"/>
      <c r="R4037" s="34"/>
      <c r="AC4037" s="36"/>
    </row>
    <row r="4038" spans="12:29" x14ac:dyDescent="0.3">
      <c r="L4038" s="36"/>
      <c r="R4038" s="34"/>
      <c r="AC4038" s="36"/>
    </row>
    <row r="4039" spans="12:29" x14ac:dyDescent="0.3">
      <c r="L4039" s="36"/>
      <c r="R4039" s="34"/>
      <c r="AC4039" s="36"/>
    </row>
    <row r="4040" spans="12:29" x14ac:dyDescent="0.3">
      <c r="L4040" s="36"/>
      <c r="R4040" s="34"/>
      <c r="AC4040" s="36"/>
    </row>
    <row r="4041" spans="12:29" x14ac:dyDescent="0.3">
      <c r="L4041" s="36"/>
      <c r="R4041" s="34"/>
      <c r="AC4041" s="36"/>
    </row>
    <row r="4042" spans="12:29" x14ac:dyDescent="0.3">
      <c r="L4042" s="36"/>
      <c r="R4042" s="34"/>
      <c r="AC4042" s="36"/>
    </row>
    <row r="4043" spans="12:29" x14ac:dyDescent="0.3">
      <c r="L4043" s="36"/>
      <c r="R4043" s="34"/>
      <c r="AC4043" s="36"/>
    </row>
    <row r="4044" spans="12:29" x14ac:dyDescent="0.3">
      <c r="L4044" s="36"/>
      <c r="R4044" s="34"/>
      <c r="AC4044" s="36"/>
    </row>
    <row r="4045" spans="12:29" x14ac:dyDescent="0.3">
      <c r="L4045" s="36"/>
      <c r="R4045" s="34"/>
      <c r="AC4045" s="36"/>
    </row>
    <row r="4046" spans="12:29" x14ac:dyDescent="0.3">
      <c r="L4046" s="36"/>
      <c r="R4046" s="34"/>
      <c r="AC4046" s="36"/>
    </row>
    <row r="4047" spans="12:29" x14ac:dyDescent="0.3">
      <c r="L4047" s="36"/>
      <c r="R4047" s="34"/>
      <c r="AC4047" s="36"/>
    </row>
    <row r="4048" spans="12:29" x14ac:dyDescent="0.3">
      <c r="L4048" s="36"/>
      <c r="R4048" s="34"/>
      <c r="AC4048" s="36"/>
    </row>
    <row r="4049" spans="12:29" x14ac:dyDescent="0.3">
      <c r="L4049" s="36"/>
      <c r="R4049" s="34"/>
      <c r="AC4049" s="36"/>
    </row>
    <row r="4050" spans="12:29" x14ac:dyDescent="0.3">
      <c r="L4050" s="36"/>
      <c r="R4050" s="34"/>
      <c r="AC4050" s="36"/>
    </row>
    <row r="4051" spans="12:29" x14ac:dyDescent="0.3">
      <c r="L4051" s="36"/>
      <c r="R4051" s="34"/>
      <c r="AC4051" s="36"/>
    </row>
    <row r="4052" spans="12:29" x14ac:dyDescent="0.3">
      <c r="L4052" s="36"/>
      <c r="R4052" s="34"/>
      <c r="AC4052" s="36"/>
    </row>
    <row r="4053" spans="12:29" x14ac:dyDescent="0.3">
      <c r="L4053" s="36"/>
      <c r="R4053" s="34"/>
      <c r="AC4053" s="36"/>
    </row>
    <row r="4054" spans="12:29" x14ac:dyDescent="0.3">
      <c r="L4054" s="36"/>
      <c r="R4054" s="34"/>
      <c r="AC4054" s="36"/>
    </row>
    <row r="4055" spans="12:29" x14ac:dyDescent="0.3">
      <c r="L4055" s="36"/>
      <c r="R4055" s="34"/>
      <c r="AC4055" s="36"/>
    </row>
    <row r="4056" spans="12:29" x14ac:dyDescent="0.3">
      <c r="L4056" s="36"/>
      <c r="R4056" s="34"/>
      <c r="AC4056" s="36"/>
    </row>
    <row r="4057" spans="12:29" x14ac:dyDescent="0.3">
      <c r="L4057" s="36"/>
      <c r="R4057" s="34"/>
      <c r="AC4057" s="36"/>
    </row>
    <row r="4058" spans="12:29" x14ac:dyDescent="0.3">
      <c r="L4058" s="36"/>
      <c r="R4058" s="34"/>
      <c r="AC4058" s="36"/>
    </row>
    <row r="4059" spans="12:29" x14ac:dyDescent="0.3">
      <c r="L4059" s="36"/>
      <c r="R4059" s="34"/>
      <c r="AC4059" s="36"/>
    </row>
    <row r="4060" spans="12:29" x14ac:dyDescent="0.3">
      <c r="L4060" s="36"/>
      <c r="R4060" s="34"/>
      <c r="AC4060" s="36"/>
    </row>
    <row r="4061" spans="12:29" x14ac:dyDescent="0.3">
      <c r="L4061" s="36"/>
      <c r="R4061" s="34"/>
      <c r="AC4061" s="36"/>
    </row>
    <row r="4062" spans="12:29" x14ac:dyDescent="0.3">
      <c r="L4062" s="36"/>
      <c r="R4062" s="34"/>
      <c r="AC4062" s="36"/>
    </row>
    <row r="4063" spans="12:29" x14ac:dyDescent="0.3">
      <c r="L4063" s="36"/>
      <c r="R4063" s="34"/>
      <c r="AC4063" s="36"/>
    </row>
    <row r="4064" spans="12:29" x14ac:dyDescent="0.3">
      <c r="L4064" s="36"/>
      <c r="R4064" s="34"/>
      <c r="AC4064" s="36"/>
    </row>
    <row r="4065" spans="12:29" x14ac:dyDescent="0.3">
      <c r="L4065" s="36"/>
      <c r="R4065" s="34"/>
      <c r="AC4065" s="36"/>
    </row>
    <row r="4066" spans="12:29" x14ac:dyDescent="0.3">
      <c r="L4066" s="36"/>
      <c r="R4066" s="34"/>
      <c r="AC4066" s="36"/>
    </row>
    <row r="4067" spans="12:29" x14ac:dyDescent="0.3">
      <c r="L4067" s="36"/>
      <c r="R4067" s="34"/>
      <c r="AC4067" s="36"/>
    </row>
    <row r="4068" spans="12:29" x14ac:dyDescent="0.3">
      <c r="L4068" s="36"/>
      <c r="R4068" s="34"/>
      <c r="AC4068" s="36"/>
    </row>
    <row r="4069" spans="12:29" x14ac:dyDescent="0.3">
      <c r="L4069" s="36"/>
      <c r="R4069" s="34"/>
      <c r="AC4069" s="36"/>
    </row>
    <row r="4070" spans="12:29" x14ac:dyDescent="0.3">
      <c r="L4070" s="36"/>
      <c r="R4070" s="34"/>
      <c r="AC4070" s="36"/>
    </row>
    <row r="4071" spans="12:29" x14ac:dyDescent="0.3">
      <c r="L4071" s="36"/>
      <c r="R4071" s="34"/>
      <c r="AC4071" s="36"/>
    </row>
    <row r="4072" spans="12:29" x14ac:dyDescent="0.3">
      <c r="L4072" s="36"/>
      <c r="R4072" s="34"/>
      <c r="AC4072" s="36"/>
    </row>
    <row r="4073" spans="12:29" x14ac:dyDescent="0.3">
      <c r="L4073" s="36"/>
      <c r="R4073" s="34"/>
      <c r="AC4073" s="36"/>
    </row>
    <row r="4074" spans="12:29" x14ac:dyDescent="0.3">
      <c r="L4074" s="36"/>
      <c r="R4074" s="34"/>
      <c r="AC4074" s="36"/>
    </row>
    <row r="4075" spans="12:29" x14ac:dyDescent="0.3">
      <c r="L4075" s="36"/>
      <c r="R4075" s="34"/>
      <c r="AC4075" s="36"/>
    </row>
    <row r="4076" spans="12:29" x14ac:dyDescent="0.3">
      <c r="L4076" s="36"/>
      <c r="R4076" s="34"/>
      <c r="AC4076" s="36"/>
    </row>
    <row r="4077" spans="12:29" x14ac:dyDescent="0.3">
      <c r="L4077" s="36"/>
      <c r="R4077" s="34"/>
      <c r="AC4077" s="36"/>
    </row>
    <row r="4078" spans="12:29" x14ac:dyDescent="0.3">
      <c r="L4078" s="36"/>
      <c r="R4078" s="34"/>
      <c r="AC4078" s="36"/>
    </row>
    <row r="4079" spans="12:29" x14ac:dyDescent="0.3">
      <c r="L4079" s="36"/>
      <c r="R4079" s="34"/>
      <c r="AC4079" s="36"/>
    </row>
    <row r="4080" spans="12:29" x14ac:dyDescent="0.3">
      <c r="L4080" s="36"/>
      <c r="R4080" s="34"/>
      <c r="AC4080" s="36"/>
    </row>
    <row r="4081" spans="12:29" x14ac:dyDescent="0.3">
      <c r="L4081" s="36"/>
      <c r="R4081" s="34"/>
      <c r="AC4081" s="36"/>
    </row>
    <row r="4082" spans="12:29" x14ac:dyDescent="0.3">
      <c r="L4082" s="36"/>
      <c r="R4082" s="34"/>
      <c r="AC4082" s="36"/>
    </row>
    <row r="4083" spans="12:29" x14ac:dyDescent="0.3">
      <c r="L4083" s="36"/>
      <c r="R4083" s="34"/>
      <c r="AC4083" s="36"/>
    </row>
    <row r="4084" spans="12:29" x14ac:dyDescent="0.3">
      <c r="L4084" s="36"/>
      <c r="R4084" s="34"/>
      <c r="AC4084" s="36"/>
    </row>
    <row r="4085" spans="12:29" x14ac:dyDescent="0.3">
      <c r="L4085" s="36"/>
      <c r="R4085" s="34"/>
      <c r="AC4085" s="36"/>
    </row>
    <row r="4086" spans="12:29" x14ac:dyDescent="0.3">
      <c r="L4086" s="36"/>
      <c r="R4086" s="34"/>
      <c r="AC4086" s="36"/>
    </row>
    <row r="4087" spans="12:29" x14ac:dyDescent="0.3">
      <c r="L4087" s="36"/>
      <c r="R4087" s="34"/>
      <c r="AC4087" s="36"/>
    </row>
    <row r="4088" spans="12:29" x14ac:dyDescent="0.3">
      <c r="L4088" s="36"/>
      <c r="R4088" s="34"/>
      <c r="AC4088" s="36"/>
    </row>
    <row r="4089" spans="12:29" x14ac:dyDescent="0.3">
      <c r="L4089" s="36"/>
      <c r="R4089" s="34"/>
      <c r="AC4089" s="36"/>
    </row>
    <row r="4090" spans="12:29" x14ac:dyDescent="0.3">
      <c r="L4090" s="36"/>
      <c r="R4090" s="34"/>
      <c r="AC4090" s="36"/>
    </row>
    <row r="4091" spans="12:29" x14ac:dyDescent="0.3">
      <c r="L4091" s="36"/>
      <c r="R4091" s="34"/>
      <c r="AC4091" s="36"/>
    </row>
    <row r="4092" spans="12:29" x14ac:dyDescent="0.3">
      <c r="L4092" s="36"/>
      <c r="R4092" s="34"/>
      <c r="AC4092" s="36"/>
    </row>
    <row r="4093" spans="12:29" x14ac:dyDescent="0.3">
      <c r="L4093" s="36"/>
      <c r="R4093" s="34"/>
      <c r="AC4093" s="36"/>
    </row>
    <row r="4094" spans="12:29" x14ac:dyDescent="0.3">
      <c r="L4094" s="36"/>
      <c r="R4094" s="34"/>
      <c r="AC4094" s="36"/>
    </row>
    <row r="4095" spans="12:29" x14ac:dyDescent="0.3">
      <c r="L4095" s="36"/>
      <c r="R4095" s="34"/>
      <c r="AC4095" s="36"/>
    </row>
    <row r="4096" spans="12:29" x14ac:dyDescent="0.3">
      <c r="L4096" s="36"/>
      <c r="R4096" s="34"/>
      <c r="AC4096" s="36"/>
    </row>
    <row r="4097" spans="12:29" x14ac:dyDescent="0.3">
      <c r="L4097" s="36"/>
      <c r="R4097" s="34"/>
      <c r="AC4097" s="36"/>
    </row>
    <row r="4098" spans="12:29" x14ac:dyDescent="0.3">
      <c r="L4098" s="36"/>
      <c r="R4098" s="34"/>
      <c r="AC4098" s="36"/>
    </row>
    <row r="4099" spans="12:29" x14ac:dyDescent="0.3">
      <c r="L4099" s="36"/>
      <c r="R4099" s="34"/>
      <c r="AC4099" s="36"/>
    </row>
    <row r="4100" spans="12:29" x14ac:dyDescent="0.3">
      <c r="L4100" s="36"/>
      <c r="R4100" s="34"/>
      <c r="AC4100" s="36"/>
    </row>
    <row r="4101" spans="12:29" x14ac:dyDescent="0.3">
      <c r="L4101" s="36"/>
      <c r="R4101" s="34"/>
      <c r="AC4101" s="36"/>
    </row>
    <row r="4102" spans="12:29" x14ac:dyDescent="0.3">
      <c r="L4102" s="36"/>
      <c r="R4102" s="34"/>
      <c r="AC4102" s="36"/>
    </row>
    <row r="4103" spans="12:29" x14ac:dyDescent="0.3">
      <c r="L4103" s="36"/>
      <c r="R4103" s="34"/>
      <c r="AC4103" s="36"/>
    </row>
    <row r="4104" spans="12:29" x14ac:dyDescent="0.3">
      <c r="L4104" s="36"/>
      <c r="R4104" s="34"/>
      <c r="AC4104" s="36"/>
    </row>
    <row r="4105" spans="12:29" x14ac:dyDescent="0.3">
      <c r="L4105" s="36"/>
      <c r="R4105" s="34"/>
      <c r="AC4105" s="36"/>
    </row>
    <row r="4106" spans="12:29" x14ac:dyDescent="0.3">
      <c r="L4106" s="36"/>
      <c r="R4106" s="34"/>
      <c r="AC4106" s="36"/>
    </row>
    <row r="4107" spans="12:29" x14ac:dyDescent="0.3">
      <c r="L4107" s="36"/>
      <c r="R4107" s="34"/>
      <c r="AC4107" s="36"/>
    </row>
    <row r="4108" spans="12:29" x14ac:dyDescent="0.3">
      <c r="L4108" s="36"/>
      <c r="R4108" s="34"/>
      <c r="AC4108" s="36"/>
    </row>
    <row r="4109" spans="12:29" x14ac:dyDescent="0.3">
      <c r="L4109" s="36"/>
      <c r="R4109" s="34"/>
      <c r="AC4109" s="36"/>
    </row>
    <row r="4110" spans="12:29" x14ac:dyDescent="0.3">
      <c r="L4110" s="36"/>
      <c r="R4110" s="34"/>
      <c r="AC4110" s="36"/>
    </row>
    <row r="4111" spans="12:29" x14ac:dyDescent="0.3">
      <c r="L4111" s="36"/>
      <c r="R4111" s="34"/>
      <c r="AC4111" s="36"/>
    </row>
    <row r="4112" spans="12:29" x14ac:dyDescent="0.3">
      <c r="L4112" s="36"/>
      <c r="R4112" s="34"/>
      <c r="AC4112" s="36"/>
    </row>
    <row r="4113" spans="12:29" x14ac:dyDescent="0.3">
      <c r="L4113" s="36"/>
      <c r="R4113" s="34"/>
      <c r="AC4113" s="36"/>
    </row>
    <row r="4114" spans="12:29" x14ac:dyDescent="0.3">
      <c r="L4114" s="36"/>
      <c r="R4114" s="34"/>
      <c r="AC4114" s="36"/>
    </row>
    <row r="4115" spans="12:29" x14ac:dyDescent="0.3">
      <c r="L4115" s="36"/>
      <c r="R4115" s="34"/>
      <c r="AC4115" s="36"/>
    </row>
    <row r="4116" spans="12:29" x14ac:dyDescent="0.3">
      <c r="L4116" s="36"/>
      <c r="R4116" s="34"/>
      <c r="AC4116" s="36"/>
    </row>
    <row r="4117" spans="12:29" x14ac:dyDescent="0.3">
      <c r="L4117" s="36"/>
      <c r="R4117" s="34"/>
      <c r="AC4117" s="36"/>
    </row>
    <row r="4118" spans="12:29" x14ac:dyDescent="0.3">
      <c r="L4118" s="36"/>
      <c r="R4118" s="34"/>
      <c r="AC4118" s="36"/>
    </row>
    <row r="4119" spans="12:29" x14ac:dyDescent="0.3">
      <c r="L4119" s="36"/>
      <c r="R4119" s="34"/>
      <c r="AC4119" s="36"/>
    </row>
    <row r="4120" spans="12:29" x14ac:dyDescent="0.3">
      <c r="L4120" s="36"/>
      <c r="R4120" s="34"/>
      <c r="AC4120" s="36"/>
    </row>
    <row r="4121" spans="12:29" x14ac:dyDescent="0.3">
      <c r="L4121" s="36"/>
      <c r="R4121" s="34"/>
      <c r="AC4121" s="36"/>
    </row>
    <row r="4122" spans="12:29" x14ac:dyDescent="0.3">
      <c r="L4122" s="36"/>
      <c r="R4122" s="34"/>
      <c r="AC4122" s="36"/>
    </row>
    <row r="4123" spans="12:29" x14ac:dyDescent="0.3">
      <c r="L4123" s="36"/>
      <c r="R4123" s="34"/>
      <c r="AC4123" s="36"/>
    </row>
    <row r="4124" spans="12:29" x14ac:dyDescent="0.3">
      <c r="L4124" s="36"/>
      <c r="R4124" s="34"/>
      <c r="AC4124" s="36"/>
    </row>
    <row r="4125" spans="12:29" x14ac:dyDescent="0.3">
      <c r="L4125" s="36"/>
      <c r="R4125" s="34"/>
      <c r="AC4125" s="36"/>
    </row>
    <row r="4126" spans="12:29" x14ac:dyDescent="0.3">
      <c r="L4126" s="36"/>
      <c r="R4126" s="34"/>
      <c r="AC4126" s="36"/>
    </row>
    <row r="4127" spans="12:29" x14ac:dyDescent="0.3">
      <c r="L4127" s="36"/>
      <c r="R4127" s="34"/>
      <c r="AC4127" s="36"/>
    </row>
    <row r="4128" spans="12:29" x14ac:dyDescent="0.3">
      <c r="L4128" s="36"/>
      <c r="R4128" s="34"/>
      <c r="AC4128" s="36"/>
    </row>
    <row r="4129" spans="12:29" x14ac:dyDescent="0.3">
      <c r="L4129" s="36"/>
      <c r="R4129" s="34"/>
      <c r="AC4129" s="36"/>
    </row>
    <row r="4130" spans="12:29" x14ac:dyDescent="0.3">
      <c r="L4130" s="36"/>
      <c r="R4130" s="34"/>
      <c r="AC4130" s="36"/>
    </row>
    <row r="4131" spans="12:29" x14ac:dyDescent="0.3">
      <c r="L4131" s="36"/>
      <c r="R4131" s="34"/>
      <c r="AC4131" s="36"/>
    </row>
    <row r="4132" spans="12:29" x14ac:dyDescent="0.3">
      <c r="L4132" s="36"/>
      <c r="R4132" s="34"/>
      <c r="AC4132" s="36"/>
    </row>
    <row r="4133" spans="12:29" x14ac:dyDescent="0.3">
      <c r="L4133" s="36"/>
      <c r="R4133" s="34"/>
      <c r="AC4133" s="36"/>
    </row>
    <row r="4134" spans="12:29" x14ac:dyDescent="0.3">
      <c r="L4134" s="36"/>
      <c r="R4134" s="34"/>
      <c r="AC4134" s="36"/>
    </row>
    <row r="4135" spans="12:29" x14ac:dyDescent="0.3">
      <c r="L4135" s="36"/>
      <c r="R4135" s="34"/>
      <c r="AC4135" s="36"/>
    </row>
    <row r="4136" spans="12:29" x14ac:dyDescent="0.3">
      <c r="L4136" s="36"/>
      <c r="R4136" s="34"/>
      <c r="AC4136" s="36"/>
    </row>
    <row r="4137" spans="12:29" x14ac:dyDescent="0.3">
      <c r="L4137" s="36"/>
      <c r="R4137" s="34"/>
      <c r="AC4137" s="36"/>
    </row>
    <row r="4138" spans="12:29" x14ac:dyDescent="0.3">
      <c r="L4138" s="36"/>
      <c r="R4138" s="34"/>
      <c r="AC4138" s="36"/>
    </row>
    <row r="4139" spans="12:29" x14ac:dyDescent="0.3">
      <c r="L4139" s="36"/>
      <c r="R4139" s="34"/>
      <c r="AC4139" s="36"/>
    </row>
    <row r="4140" spans="12:29" x14ac:dyDescent="0.3">
      <c r="L4140" s="36"/>
      <c r="R4140" s="34"/>
      <c r="AC4140" s="36"/>
    </row>
    <row r="4141" spans="12:29" x14ac:dyDescent="0.3">
      <c r="L4141" s="36"/>
      <c r="R4141" s="34"/>
      <c r="AC4141" s="36"/>
    </row>
    <row r="4142" spans="12:29" x14ac:dyDescent="0.3">
      <c r="L4142" s="36"/>
      <c r="R4142" s="34"/>
      <c r="AC4142" s="36"/>
    </row>
    <row r="4143" spans="12:29" x14ac:dyDescent="0.3">
      <c r="L4143" s="36"/>
      <c r="R4143" s="34"/>
      <c r="AC4143" s="36"/>
    </row>
    <row r="4144" spans="12:29" x14ac:dyDescent="0.3">
      <c r="L4144" s="36"/>
      <c r="R4144" s="34"/>
      <c r="AC4144" s="36"/>
    </row>
    <row r="4145" spans="12:29" x14ac:dyDescent="0.3">
      <c r="L4145" s="36"/>
      <c r="R4145" s="34"/>
      <c r="AC4145" s="36"/>
    </row>
    <row r="4146" spans="12:29" x14ac:dyDescent="0.3">
      <c r="L4146" s="36"/>
      <c r="R4146" s="34"/>
      <c r="AC4146" s="36"/>
    </row>
    <row r="4147" spans="12:29" x14ac:dyDescent="0.3">
      <c r="L4147" s="36"/>
      <c r="R4147" s="34"/>
      <c r="AC4147" s="36"/>
    </row>
    <row r="4148" spans="12:29" x14ac:dyDescent="0.3">
      <c r="L4148" s="36"/>
      <c r="R4148" s="34"/>
      <c r="AC4148" s="36"/>
    </row>
    <row r="4149" spans="12:29" x14ac:dyDescent="0.3">
      <c r="L4149" s="36"/>
      <c r="R4149" s="34"/>
      <c r="AC4149" s="36"/>
    </row>
    <row r="4150" spans="12:29" x14ac:dyDescent="0.3">
      <c r="L4150" s="36"/>
      <c r="R4150" s="34"/>
      <c r="AC4150" s="36"/>
    </row>
    <row r="4151" spans="12:29" x14ac:dyDescent="0.3">
      <c r="L4151" s="36"/>
      <c r="R4151" s="34"/>
      <c r="AC4151" s="36"/>
    </row>
    <row r="4152" spans="12:29" x14ac:dyDescent="0.3">
      <c r="L4152" s="36"/>
      <c r="R4152" s="34"/>
      <c r="AC4152" s="36"/>
    </row>
    <row r="4153" spans="12:29" x14ac:dyDescent="0.3">
      <c r="L4153" s="36"/>
      <c r="R4153" s="34"/>
      <c r="AC4153" s="36"/>
    </row>
    <row r="4154" spans="12:29" x14ac:dyDescent="0.3">
      <c r="L4154" s="36"/>
      <c r="R4154" s="34"/>
      <c r="AC4154" s="36"/>
    </row>
    <row r="4155" spans="12:29" x14ac:dyDescent="0.3">
      <c r="L4155" s="36"/>
      <c r="R4155" s="34"/>
      <c r="AC4155" s="36"/>
    </row>
    <row r="4156" spans="12:29" x14ac:dyDescent="0.3">
      <c r="L4156" s="36"/>
      <c r="R4156" s="34"/>
      <c r="AC4156" s="36"/>
    </row>
    <row r="4157" spans="12:29" x14ac:dyDescent="0.3">
      <c r="L4157" s="36"/>
      <c r="R4157" s="34"/>
      <c r="AC4157" s="36"/>
    </row>
    <row r="4158" spans="12:29" x14ac:dyDescent="0.3">
      <c r="L4158" s="36"/>
      <c r="R4158" s="34"/>
      <c r="AC4158" s="36"/>
    </row>
    <row r="4159" spans="12:29" x14ac:dyDescent="0.3">
      <c r="L4159" s="36"/>
      <c r="R4159" s="34"/>
      <c r="AC4159" s="36"/>
    </row>
    <row r="4160" spans="12:29" x14ac:dyDescent="0.3">
      <c r="L4160" s="36"/>
      <c r="R4160" s="34"/>
      <c r="AC4160" s="36"/>
    </row>
    <row r="4161" spans="12:29" x14ac:dyDescent="0.3">
      <c r="L4161" s="36"/>
      <c r="R4161" s="34"/>
      <c r="AC4161" s="36"/>
    </row>
    <row r="4162" spans="12:29" x14ac:dyDescent="0.3">
      <c r="L4162" s="36"/>
      <c r="R4162" s="34"/>
      <c r="AC4162" s="36"/>
    </row>
    <row r="4163" spans="12:29" x14ac:dyDescent="0.3">
      <c r="L4163" s="36"/>
      <c r="R4163" s="34"/>
      <c r="AC4163" s="36"/>
    </row>
    <row r="4164" spans="12:29" x14ac:dyDescent="0.3">
      <c r="L4164" s="36"/>
      <c r="R4164" s="34"/>
      <c r="AC4164" s="36"/>
    </row>
    <row r="4165" spans="12:29" x14ac:dyDescent="0.3">
      <c r="L4165" s="36"/>
      <c r="R4165" s="34"/>
      <c r="AC4165" s="36"/>
    </row>
    <row r="4166" spans="12:29" x14ac:dyDescent="0.3">
      <c r="L4166" s="36"/>
      <c r="R4166" s="34"/>
      <c r="AC4166" s="36"/>
    </row>
    <row r="4167" spans="12:29" x14ac:dyDescent="0.3">
      <c r="L4167" s="36"/>
      <c r="R4167" s="34"/>
      <c r="AC4167" s="36"/>
    </row>
    <row r="4168" spans="12:29" x14ac:dyDescent="0.3">
      <c r="L4168" s="36"/>
      <c r="R4168" s="34"/>
      <c r="AC4168" s="36"/>
    </row>
    <row r="4169" spans="12:29" x14ac:dyDescent="0.3">
      <c r="L4169" s="36"/>
      <c r="R4169" s="34"/>
      <c r="AC4169" s="36"/>
    </row>
    <row r="4170" spans="12:29" x14ac:dyDescent="0.3">
      <c r="L4170" s="36"/>
      <c r="R4170" s="34"/>
      <c r="AC4170" s="36"/>
    </row>
    <row r="4171" spans="12:29" x14ac:dyDescent="0.3">
      <c r="L4171" s="36"/>
      <c r="R4171" s="34"/>
      <c r="AC4171" s="36"/>
    </row>
    <row r="4172" spans="12:29" x14ac:dyDescent="0.3">
      <c r="L4172" s="36"/>
      <c r="R4172" s="34"/>
      <c r="AC4172" s="36"/>
    </row>
    <row r="4173" spans="12:29" x14ac:dyDescent="0.3">
      <c r="L4173" s="36"/>
      <c r="R4173" s="34"/>
      <c r="AC4173" s="36"/>
    </row>
    <row r="4174" spans="12:29" x14ac:dyDescent="0.3">
      <c r="L4174" s="36"/>
      <c r="R4174" s="34"/>
      <c r="AC4174" s="36"/>
    </row>
    <row r="4175" spans="12:29" x14ac:dyDescent="0.3">
      <c r="L4175" s="36"/>
      <c r="R4175" s="34"/>
      <c r="AC4175" s="36"/>
    </row>
    <row r="4176" spans="12:29" x14ac:dyDescent="0.3">
      <c r="L4176" s="36"/>
      <c r="R4176" s="34"/>
      <c r="AC4176" s="36"/>
    </row>
    <row r="4177" spans="12:29" x14ac:dyDescent="0.3">
      <c r="L4177" s="36"/>
      <c r="R4177" s="34"/>
      <c r="AC4177" s="36"/>
    </row>
    <row r="4178" spans="12:29" x14ac:dyDescent="0.3">
      <c r="L4178" s="36"/>
      <c r="R4178" s="34"/>
      <c r="AC4178" s="36"/>
    </row>
    <row r="4179" spans="12:29" x14ac:dyDescent="0.3">
      <c r="L4179" s="36"/>
      <c r="R4179" s="34"/>
      <c r="AC4179" s="36"/>
    </row>
    <row r="4180" spans="12:29" x14ac:dyDescent="0.3">
      <c r="L4180" s="36"/>
      <c r="R4180" s="34"/>
      <c r="AC4180" s="36"/>
    </row>
    <row r="4181" spans="12:29" x14ac:dyDescent="0.3">
      <c r="L4181" s="36"/>
      <c r="R4181" s="34"/>
      <c r="AC4181" s="36"/>
    </row>
    <row r="4182" spans="12:29" x14ac:dyDescent="0.3">
      <c r="L4182" s="36"/>
      <c r="R4182" s="34"/>
      <c r="AC4182" s="36"/>
    </row>
    <row r="4183" spans="12:29" x14ac:dyDescent="0.3">
      <c r="L4183" s="36"/>
      <c r="R4183" s="34"/>
      <c r="AC4183" s="36"/>
    </row>
    <row r="4184" spans="12:29" x14ac:dyDescent="0.3">
      <c r="L4184" s="36"/>
      <c r="R4184" s="34"/>
      <c r="AC4184" s="36"/>
    </row>
    <row r="4185" spans="12:29" x14ac:dyDescent="0.3">
      <c r="L4185" s="36"/>
      <c r="R4185" s="34"/>
      <c r="AC4185" s="36"/>
    </row>
    <row r="4186" spans="12:29" x14ac:dyDescent="0.3">
      <c r="L4186" s="36"/>
      <c r="R4186" s="34"/>
      <c r="AC4186" s="36"/>
    </row>
    <row r="4187" spans="12:29" x14ac:dyDescent="0.3">
      <c r="L4187" s="36"/>
      <c r="R4187" s="34"/>
      <c r="AC4187" s="36"/>
    </row>
    <row r="4188" spans="12:29" x14ac:dyDescent="0.3">
      <c r="L4188" s="36"/>
      <c r="R4188" s="34"/>
      <c r="AC4188" s="36"/>
    </row>
    <row r="4189" spans="12:29" x14ac:dyDescent="0.3">
      <c r="L4189" s="36"/>
      <c r="R4189" s="34"/>
      <c r="AC4189" s="36"/>
    </row>
    <row r="4190" spans="12:29" x14ac:dyDescent="0.3">
      <c r="L4190" s="36"/>
      <c r="R4190" s="34"/>
      <c r="AC4190" s="36"/>
    </row>
    <row r="4191" spans="12:29" x14ac:dyDescent="0.3">
      <c r="L4191" s="36"/>
      <c r="R4191" s="34"/>
      <c r="AC4191" s="36"/>
    </row>
    <row r="4192" spans="12:29" x14ac:dyDescent="0.3">
      <c r="L4192" s="36"/>
      <c r="R4192" s="34"/>
      <c r="AC4192" s="36"/>
    </row>
    <row r="4193" spans="12:29" x14ac:dyDescent="0.3">
      <c r="L4193" s="36"/>
      <c r="R4193" s="34"/>
      <c r="AC4193" s="36"/>
    </row>
    <row r="4194" spans="12:29" x14ac:dyDescent="0.3">
      <c r="L4194" s="36"/>
      <c r="R4194" s="34"/>
      <c r="AC4194" s="36"/>
    </row>
    <row r="4195" spans="12:29" x14ac:dyDescent="0.3">
      <c r="L4195" s="36"/>
      <c r="R4195" s="34"/>
      <c r="AC4195" s="36"/>
    </row>
    <row r="4196" spans="12:29" x14ac:dyDescent="0.3">
      <c r="L4196" s="36"/>
      <c r="R4196" s="34"/>
      <c r="AC4196" s="36"/>
    </row>
    <row r="4197" spans="12:29" x14ac:dyDescent="0.3">
      <c r="L4197" s="36"/>
      <c r="R4197" s="34"/>
      <c r="AC4197" s="36"/>
    </row>
    <row r="4198" spans="12:29" x14ac:dyDescent="0.3">
      <c r="L4198" s="36"/>
      <c r="R4198" s="34"/>
      <c r="AC4198" s="36"/>
    </row>
    <row r="4199" spans="12:29" x14ac:dyDescent="0.3">
      <c r="L4199" s="36"/>
      <c r="R4199" s="34"/>
      <c r="AC4199" s="36"/>
    </row>
    <row r="4200" spans="12:29" x14ac:dyDescent="0.3">
      <c r="L4200" s="36"/>
      <c r="R4200" s="34"/>
      <c r="AC4200" s="36"/>
    </row>
    <row r="4201" spans="12:29" x14ac:dyDescent="0.3">
      <c r="L4201" s="36"/>
      <c r="R4201" s="34"/>
      <c r="AC4201" s="36"/>
    </row>
    <row r="4202" spans="12:29" x14ac:dyDescent="0.3">
      <c r="L4202" s="36"/>
      <c r="R4202" s="34"/>
      <c r="AC4202" s="36"/>
    </row>
    <row r="4203" spans="12:29" x14ac:dyDescent="0.3">
      <c r="L4203" s="36"/>
      <c r="R4203" s="34"/>
      <c r="AC4203" s="36"/>
    </row>
    <row r="4204" spans="12:29" x14ac:dyDescent="0.3">
      <c r="L4204" s="36"/>
      <c r="R4204" s="34"/>
      <c r="AC4204" s="36"/>
    </row>
    <row r="4205" spans="12:29" x14ac:dyDescent="0.3">
      <c r="L4205" s="36"/>
      <c r="R4205" s="34"/>
      <c r="AC4205" s="36"/>
    </row>
    <row r="4206" spans="12:29" x14ac:dyDescent="0.3">
      <c r="L4206" s="36"/>
      <c r="R4206" s="34"/>
      <c r="AC4206" s="36"/>
    </row>
    <row r="4207" spans="12:29" x14ac:dyDescent="0.3">
      <c r="L4207" s="36"/>
      <c r="R4207" s="34"/>
      <c r="AC4207" s="36"/>
    </row>
    <row r="4208" spans="12:29" x14ac:dyDescent="0.3">
      <c r="L4208" s="36"/>
      <c r="R4208" s="34"/>
      <c r="AC4208" s="36"/>
    </row>
    <row r="4209" spans="12:29" x14ac:dyDescent="0.3">
      <c r="L4209" s="36"/>
      <c r="R4209" s="34"/>
      <c r="AC4209" s="36"/>
    </row>
    <row r="4210" spans="12:29" x14ac:dyDescent="0.3">
      <c r="L4210" s="36"/>
      <c r="R4210" s="34"/>
      <c r="AC4210" s="36"/>
    </row>
    <row r="4211" spans="12:29" x14ac:dyDescent="0.3">
      <c r="L4211" s="36"/>
      <c r="R4211" s="34"/>
      <c r="AC4211" s="36"/>
    </row>
    <row r="4212" spans="12:29" x14ac:dyDescent="0.3">
      <c r="L4212" s="36"/>
      <c r="R4212" s="34"/>
      <c r="AC4212" s="36"/>
    </row>
    <row r="4213" spans="12:29" x14ac:dyDescent="0.3">
      <c r="L4213" s="36"/>
      <c r="R4213" s="34"/>
      <c r="AC4213" s="36"/>
    </row>
    <row r="4214" spans="12:29" x14ac:dyDescent="0.3">
      <c r="L4214" s="36"/>
      <c r="R4214" s="34"/>
      <c r="AC4214" s="36"/>
    </row>
    <row r="4215" spans="12:29" x14ac:dyDescent="0.3">
      <c r="L4215" s="36"/>
      <c r="R4215" s="34"/>
      <c r="AC4215" s="36"/>
    </row>
    <row r="4216" spans="12:29" x14ac:dyDescent="0.3">
      <c r="L4216" s="36"/>
      <c r="R4216" s="34"/>
      <c r="AC4216" s="36"/>
    </row>
    <row r="4217" spans="12:29" x14ac:dyDescent="0.3">
      <c r="L4217" s="36"/>
      <c r="R4217" s="34"/>
      <c r="AC4217" s="36"/>
    </row>
    <row r="4218" spans="12:29" x14ac:dyDescent="0.3">
      <c r="L4218" s="36"/>
      <c r="R4218" s="34"/>
      <c r="AC4218" s="36"/>
    </row>
    <row r="4219" spans="12:29" x14ac:dyDescent="0.3">
      <c r="L4219" s="36"/>
      <c r="R4219" s="34"/>
      <c r="AC4219" s="36"/>
    </row>
    <row r="4220" spans="12:29" x14ac:dyDescent="0.3">
      <c r="L4220" s="36"/>
      <c r="R4220" s="34"/>
      <c r="AC4220" s="36"/>
    </row>
    <row r="4221" spans="12:29" x14ac:dyDescent="0.3">
      <c r="L4221" s="36"/>
      <c r="R4221" s="34"/>
      <c r="AC4221" s="36"/>
    </row>
    <row r="4222" spans="12:29" x14ac:dyDescent="0.3">
      <c r="L4222" s="36"/>
      <c r="R4222" s="34"/>
      <c r="AC4222" s="36"/>
    </row>
    <row r="4223" spans="12:29" x14ac:dyDescent="0.3">
      <c r="L4223" s="36"/>
      <c r="R4223" s="34"/>
      <c r="AC4223" s="36"/>
    </row>
    <row r="4224" spans="12:29" x14ac:dyDescent="0.3">
      <c r="L4224" s="36"/>
      <c r="R4224" s="34"/>
      <c r="AC4224" s="36"/>
    </row>
    <row r="4225" spans="12:29" x14ac:dyDescent="0.3">
      <c r="L4225" s="36"/>
      <c r="R4225" s="34"/>
      <c r="AC4225" s="36"/>
    </row>
    <row r="4226" spans="12:29" x14ac:dyDescent="0.3">
      <c r="L4226" s="36"/>
      <c r="R4226" s="34"/>
      <c r="AC4226" s="36"/>
    </row>
    <row r="4227" spans="12:29" x14ac:dyDescent="0.3">
      <c r="L4227" s="36"/>
      <c r="R4227" s="34"/>
      <c r="AC4227" s="36"/>
    </row>
    <row r="4228" spans="12:29" x14ac:dyDescent="0.3">
      <c r="L4228" s="36"/>
      <c r="R4228" s="34"/>
      <c r="AC4228" s="36"/>
    </row>
    <row r="4229" spans="12:29" x14ac:dyDescent="0.3">
      <c r="L4229" s="36"/>
      <c r="R4229" s="34"/>
      <c r="AC4229" s="36"/>
    </row>
    <row r="4230" spans="12:29" x14ac:dyDescent="0.3">
      <c r="L4230" s="36"/>
      <c r="R4230" s="34"/>
      <c r="AC4230" s="36"/>
    </row>
    <row r="4231" spans="12:29" x14ac:dyDescent="0.3">
      <c r="L4231" s="36"/>
      <c r="R4231" s="34"/>
      <c r="AC4231" s="36"/>
    </row>
    <row r="4232" spans="12:29" x14ac:dyDescent="0.3">
      <c r="L4232" s="36"/>
      <c r="R4232" s="34"/>
      <c r="AC4232" s="36"/>
    </row>
    <row r="4233" spans="12:29" x14ac:dyDescent="0.3">
      <c r="L4233" s="36"/>
      <c r="R4233" s="34"/>
      <c r="AC4233" s="36"/>
    </row>
    <row r="4234" spans="12:29" x14ac:dyDescent="0.3">
      <c r="L4234" s="36"/>
      <c r="R4234" s="34"/>
      <c r="AC4234" s="36"/>
    </row>
    <row r="4235" spans="12:29" x14ac:dyDescent="0.3">
      <c r="L4235" s="36"/>
      <c r="R4235" s="34"/>
      <c r="AC4235" s="36"/>
    </row>
    <row r="4236" spans="12:29" x14ac:dyDescent="0.3">
      <c r="L4236" s="36"/>
      <c r="R4236" s="34"/>
      <c r="AC4236" s="36"/>
    </row>
    <row r="4237" spans="12:29" x14ac:dyDescent="0.3">
      <c r="L4237" s="36"/>
      <c r="R4237" s="34"/>
      <c r="AC4237" s="36"/>
    </row>
    <row r="4238" spans="12:29" x14ac:dyDescent="0.3">
      <c r="L4238" s="36"/>
      <c r="R4238" s="34"/>
      <c r="AC4238" s="36"/>
    </row>
    <row r="4239" spans="12:29" x14ac:dyDescent="0.3">
      <c r="L4239" s="36"/>
      <c r="R4239" s="34"/>
      <c r="AC4239" s="36"/>
    </row>
    <row r="4240" spans="12:29" x14ac:dyDescent="0.3">
      <c r="L4240" s="36"/>
      <c r="R4240" s="34"/>
      <c r="AC4240" s="36"/>
    </row>
    <row r="4241" spans="12:29" x14ac:dyDescent="0.3">
      <c r="L4241" s="36"/>
      <c r="R4241" s="34"/>
      <c r="AC4241" s="36"/>
    </row>
    <row r="4242" spans="12:29" x14ac:dyDescent="0.3">
      <c r="L4242" s="36"/>
      <c r="R4242" s="34"/>
      <c r="AC4242" s="36"/>
    </row>
    <row r="4243" spans="12:29" x14ac:dyDescent="0.3">
      <c r="L4243" s="36"/>
      <c r="R4243" s="34"/>
      <c r="AC4243" s="36"/>
    </row>
    <row r="4244" spans="12:29" x14ac:dyDescent="0.3">
      <c r="L4244" s="36"/>
      <c r="R4244" s="34"/>
      <c r="AC4244" s="36"/>
    </row>
    <row r="4245" spans="12:29" x14ac:dyDescent="0.3">
      <c r="L4245" s="36"/>
      <c r="R4245" s="34"/>
      <c r="AC4245" s="36"/>
    </row>
    <row r="4246" spans="12:29" x14ac:dyDescent="0.3">
      <c r="L4246" s="36"/>
      <c r="R4246" s="34"/>
      <c r="AC4246" s="36"/>
    </row>
    <row r="4247" spans="12:29" x14ac:dyDescent="0.3">
      <c r="L4247" s="36"/>
      <c r="R4247" s="34"/>
      <c r="AC4247" s="36"/>
    </row>
    <row r="4248" spans="12:29" x14ac:dyDescent="0.3">
      <c r="L4248" s="36"/>
      <c r="R4248" s="34"/>
      <c r="AC4248" s="36"/>
    </row>
    <row r="4249" spans="12:29" x14ac:dyDescent="0.3">
      <c r="L4249" s="36"/>
      <c r="R4249" s="34"/>
      <c r="AC4249" s="36"/>
    </row>
    <row r="4250" spans="12:29" x14ac:dyDescent="0.3">
      <c r="L4250" s="36"/>
      <c r="R4250" s="34"/>
      <c r="AC4250" s="36"/>
    </row>
    <row r="4251" spans="12:29" x14ac:dyDescent="0.3">
      <c r="L4251" s="36"/>
      <c r="R4251" s="34"/>
      <c r="AC4251" s="36"/>
    </row>
    <row r="4252" spans="12:29" x14ac:dyDescent="0.3">
      <c r="L4252" s="36"/>
      <c r="R4252" s="34"/>
      <c r="AC4252" s="36"/>
    </row>
    <row r="4253" spans="12:29" x14ac:dyDescent="0.3">
      <c r="L4253" s="36"/>
      <c r="R4253" s="34"/>
      <c r="AC4253" s="36"/>
    </row>
    <row r="4254" spans="12:29" x14ac:dyDescent="0.3">
      <c r="L4254" s="36"/>
      <c r="R4254" s="34"/>
      <c r="AC4254" s="36"/>
    </row>
    <row r="4255" spans="12:29" x14ac:dyDescent="0.3">
      <c r="L4255" s="36"/>
      <c r="R4255" s="34"/>
      <c r="AC4255" s="36"/>
    </row>
    <row r="4256" spans="12:29" x14ac:dyDescent="0.3">
      <c r="L4256" s="36"/>
      <c r="R4256" s="34"/>
      <c r="AC4256" s="36"/>
    </row>
    <row r="4257" spans="12:29" x14ac:dyDescent="0.3">
      <c r="L4257" s="36"/>
      <c r="R4257" s="34"/>
      <c r="AC4257" s="36"/>
    </row>
    <row r="4258" spans="12:29" x14ac:dyDescent="0.3">
      <c r="L4258" s="36"/>
      <c r="R4258" s="34"/>
      <c r="AC4258" s="36"/>
    </row>
    <row r="4259" spans="12:29" x14ac:dyDescent="0.3">
      <c r="L4259" s="36"/>
      <c r="R4259" s="34"/>
      <c r="AC4259" s="36"/>
    </row>
    <row r="4260" spans="12:29" x14ac:dyDescent="0.3">
      <c r="L4260" s="36"/>
      <c r="R4260" s="34"/>
      <c r="AC4260" s="36"/>
    </row>
    <row r="4261" spans="12:29" x14ac:dyDescent="0.3">
      <c r="L4261" s="36"/>
      <c r="R4261" s="34"/>
      <c r="AC4261" s="36"/>
    </row>
    <row r="4262" spans="12:29" x14ac:dyDescent="0.3">
      <c r="L4262" s="36"/>
      <c r="R4262" s="34"/>
      <c r="AC4262" s="36"/>
    </row>
    <row r="4263" spans="12:29" x14ac:dyDescent="0.3">
      <c r="L4263" s="36"/>
      <c r="R4263" s="34"/>
      <c r="AC4263" s="36"/>
    </row>
    <row r="4264" spans="12:29" x14ac:dyDescent="0.3">
      <c r="L4264" s="36"/>
      <c r="R4264" s="34"/>
      <c r="AC4264" s="36"/>
    </row>
    <row r="4265" spans="12:29" x14ac:dyDescent="0.3">
      <c r="L4265" s="36"/>
      <c r="R4265" s="34"/>
      <c r="AC4265" s="36"/>
    </row>
    <row r="4266" spans="12:29" x14ac:dyDescent="0.3">
      <c r="L4266" s="36"/>
      <c r="R4266" s="34"/>
      <c r="AC4266" s="36"/>
    </row>
    <row r="4267" spans="12:29" x14ac:dyDescent="0.3">
      <c r="L4267" s="36"/>
      <c r="R4267" s="34"/>
      <c r="AC4267" s="36"/>
    </row>
    <row r="4268" spans="12:29" x14ac:dyDescent="0.3">
      <c r="L4268" s="36"/>
      <c r="R4268" s="34"/>
      <c r="AC4268" s="36"/>
    </row>
    <row r="4269" spans="12:29" x14ac:dyDescent="0.3">
      <c r="L4269" s="36"/>
      <c r="R4269" s="34"/>
      <c r="AC4269" s="36"/>
    </row>
    <row r="4270" spans="12:29" x14ac:dyDescent="0.3">
      <c r="L4270" s="36"/>
      <c r="R4270" s="34"/>
      <c r="AC4270" s="36"/>
    </row>
    <row r="4271" spans="12:29" x14ac:dyDescent="0.3">
      <c r="L4271" s="36"/>
      <c r="R4271" s="34"/>
      <c r="AC4271" s="36"/>
    </row>
    <row r="4272" spans="12:29" x14ac:dyDescent="0.3">
      <c r="L4272" s="36"/>
      <c r="R4272" s="34"/>
      <c r="AC4272" s="36"/>
    </row>
    <row r="4273" spans="12:29" x14ac:dyDescent="0.3">
      <c r="L4273" s="36"/>
      <c r="R4273" s="34"/>
      <c r="AC4273" s="36"/>
    </row>
    <row r="4274" spans="12:29" x14ac:dyDescent="0.3">
      <c r="L4274" s="36"/>
      <c r="R4274" s="34"/>
      <c r="AC4274" s="36"/>
    </row>
    <row r="4275" spans="12:29" x14ac:dyDescent="0.3">
      <c r="L4275" s="36"/>
      <c r="R4275" s="34"/>
      <c r="AC4275" s="36"/>
    </row>
    <row r="4276" spans="12:29" x14ac:dyDescent="0.3">
      <c r="L4276" s="36"/>
      <c r="R4276" s="34"/>
      <c r="AC4276" s="36"/>
    </row>
    <row r="4277" spans="12:29" x14ac:dyDescent="0.3">
      <c r="L4277" s="36"/>
      <c r="R4277" s="34"/>
      <c r="AC4277" s="36"/>
    </row>
    <row r="4278" spans="12:29" x14ac:dyDescent="0.3">
      <c r="L4278" s="36"/>
      <c r="R4278" s="34"/>
      <c r="AC4278" s="36"/>
    </row>
    <row r="4279" spans="12:29" x14ac:dyDescent="0.3">
      <c r="L4279" s="36"/>
      <c r="R4279" s="34"/>
      <c r="AC4279" s="36"/>
    </row>
    <row r="4280" spans="12:29" x14ac:dyDescent="0.3">
      <c r="L4280" s="36"/>
      <c r="R4280" s="34"/>
      <c r="AC4280" s="36"/>
    </row>
    <row r="4281" spans="12:29" x14ac:dyDescent="0.3">
      <c r="L4281" s="36"/>
      <c r="R4281" s="34"/>
      <c r="AC4281" s="36"/>
    </row>
    <row r="4282" spans="12:29" x14ac:dyDescent="0.3">
      <c r="L4282" s="36"/>
      <c r="R4282" s="34"/>
      <c r="AC4282" s="36"/>
    </row>
    <row r="4283" spans="12:29" x14ac:dyDescent="0.3">
      <c r="L4283" s="36"/>
      <c r="R4283" s="34"/>
      <c r="AC4283" s="36"/>
    </row>
    <row r="4284" spans="12:29" x14ac:dyDescent="0.3">
      <c r="L4284" s="36"/>
      <c r="R4284" s="34"/>
      <c r="AC4284" s="36"/>
    </row>
    <row r="4285" spans="12:29" x14ac:dyDescent="0.3">
      <c r="L4285" s="36"/>
      <c r="R4285" s="34"/>
      <c r="AC4285" s="36"/>
    </row>
    <row r="4286" spans="12:29" x14ac:dyDescent="0.3">
      <c r="L4286" s="36"/>
      <c r="R4286" s="34"/>
      <c r="AC4286" s="36"/>
    </row>
    <row r="4287" spans="12:29" x14ac:dyDescent="0.3">
      <c r="L4287" s="36"/>
      <c r="R4287" s="34"/>
      <c r="AC4287" s="36"/>
    </row>
    <row r="4288" spans="12:29" x14ac:dyDescent="0.3">
      <c r="L4288" s="36"/>
      <c r="R4288" s="34"/>
      <c r="AC4288" s="36"/>
    </row>
    <row r="4289" spans="12:29" x14ac:dyDescent="0.3">
      <c r="L4289" s="36"/>
      <c r="R4289" s="34"/>
      <c r="AC4289" s="36"/>
    </row>
    <row r="4290" spans="12:29" x14ac:dyDescent="0.3">
      <c r="L4290" s="36"/>
      <c r="R4290" s="34"/>
      <c r="AC4290" s="36"/>
    </row>
    <row r="4291" spans="12:29" x14ac:dyDescent="0.3">
      <c r="L4291" s="36"/>
      <c r="R4291" s="34"/>
      <c r="AC4291" s="36"/>
    </row>
    <row r="4292" spans="12:29" x14ac:dyDescent="0.3">
      <c r="L4292" s="36"/>
      <c r="R4292" s="34"/>
      <c r="AC4292" s="36"/>
    </row>
    <row r="4293" spans="12:29" x14ac:dyDescent="0.3">
      <c r="L4293" s="36"/>
      <c r="R4293" s="34"/>
      <c r="AC4293" s="36"/>
    </row>
    <row r="4294" spans="12:29" x14ac:dyDescent="0.3">
      <c r="L4294" s="36"/>
      <c r="R4294" s="34"/>
      <c r="AC4294" s="36"/>
    </row>
    <row r="4295" spans="12:29" x14ac:dyDescent="0.3">
      <c r="L4295" s="36"/>
      <c r="R4295" s="34"/>
      <c r="AC4295" s="36"/>
    </row>
    <row r="4296" spans="12:29" x14ac:dyDescent="0.3">
      <c r="L4296" s="36"/>
      <c r="R4296" s="34"/>
      <c r="AC4296" s="36"/>
    </row>
    <row r="4297" spans="12:29" x14ac:dyDescent="0.3">
      <c r="L4297" s="36"/>
      <c r="R4297" s="34"/>
      <c r="AC4297" s="36"/>
    </row>
    <row r="4298" spans="12:29" x14ac:dyDescent="0.3">
      <c r="L4298" s="36"/>
      <c r="R4298" s="34"/>
      <c r="AC4298" s="36"/>
    </row>
    <row r="4299" spans="12:29" x14ac:dyDescent="0.3">
      <c r="L4299" s="36"/>
      <c r="R4299" s="34"/>
      <c r="AC4299" s="36"/>
    </row>
    <row r="4300" spans="12:29" x14ac:dyDescent="0.3">
      <c r="L4300" s="36"/>
      <c r="R4300" s="34"/>
      <c r="AC4300" s="36"/>
    </row>
    <row r="4301" spans="12:29" x14ac:dyDescent="0.3">
      <c r="L4301" s="36"/>
      <c r="R4301" s="34"/>
      <c r="AC4301" s="36"/>
    </row>
    <row r="4302" spans="12:29" x14ac:dyDescent="0.3">
      <c r="L4302" s="36"/>
      <c r="R4302" s="34"/>
      <c r="AC4302" s="36"/>
    </row>
    <row r="4303" spans="12:29" x14ac:dyDescent="0.3">
      <c r="L4303" s="36"/>
      <c r="R4303" s="34"/>
      <c r="AC4303" s="36"/>
    </row>
    <row r="4304" spans="12:29" x14ac:dyDescent="0.3">
      <c r="L4304" s="36"/>
      <c r="R4304" s="34"/>
      <c r="AC4304" s="36"/>
    </row>
    <row r="4305" spans="12:29" x14ac:dyDescent="0.3">
      <c r="L4305" s="36"/>
      <c r="R4305" s="34"/>
      <c r="AC4305" s="36"/>
    </row>
    <row r="4306" spans="12:29" x14ac:dyDescent="0.3">
      <c r="L4306" s="36"/>
      <c r="R4306" s="34"/>
      <c r="AC4306" s="36"/>
    </row>
    <row r="4307" spans="12:29" x14ac:dyDescent="0.3">
      <c r="L4307" s="36"/>
      <c r="R4307" s="34"/>
      <c r="AC4307" s="36"/>
    </row>
    <row r="4308" spans="12:29" x14ac:dyDescent="0.3">
      <c r="L4308" s="36"/>
      <c r="R4308" s="34"/>
      <c r="AC4308" s="36"/>
    </row>
    <row r="4309" spans="12:29" x14ac:dyDescent="0.3">
      <c r="L4309" s="36"/>
      <c r="R4309" s="34"/>
      <c r="AC4309" s="36"/>
    </row>
    <row r="4310" spans="12:29" x14ac:dyDescent="0.3">
      <c r="L4310" s="36"/>
      <c r="R4310" s="34"/>
      <c r="AC4310" s="36"/>
    </row>
    <row r="4311" spans="12:29" x14ac:dyDescent="0.3">
      <c r="L4311" s="36"/>
      <c r="R4311" s="34"/>
      <c r="AC4311" s="36"/>
    </row>
    <row r="4312" spans="12:29" x14ac:dyDescent="0.3">
      <c r="L4312" s="36"/>
      <c r="R4312" s="34"/>
      <c r="AC4312" s="36"/>
    </row>
    <row r="4313" spans="12:29" x14ac:dyDescent="0.3">
      <c r="L4313" s="36"/>
      <c r="R4313" s="34"/>
      <c r="AC4313" s="36"/>
    </row>
    <row r="4314" spans="12:29" x14ac:dyDescent="0.3">
      <c r="L4314" s="36"/>
      <c r="R4314" s="34"/>
      <c r="AC4314" s="36"/>
    </row>
    <row r="4315" spans="12:29" x14ac:dyDescent="0.3">
      <c r="L4315" s="36"/>
      <c r="R4315" s="34"/>
      <c r="AC4315" s="36"/>
    </row>
    <row r="4316" spans="12:29" x14ac:dyDescent="0.3">
      <c r="L4316" s="36"/>
      <c r="R4316" s="34"/>
      <c r="AC4316" s="36"/>
    </row>
    <row r="4317" spans="12:29" x14ac:dyDescent="0.3">
      <c r="L4317" s="36"/>
      <c r="R4317" s="34"/>
      <c r="AC4317" s="36"/>
    </row>
    <row r="4318" spans="12:29" x14ac:dyDescent="0.3">
      <c r="L4318" s="36"/>
      <c r="R4318" s="34"/>
      <c r="AC4318" s="36"/>
    </row>
    <row r="4319" spans="12:29" x14ac:dyDescent="0.3">
      <c r="L4319" s="36"/>
      <c r="R4319" s="34"/>
      <c r="AC4319" s="36"/>
    </row>
    <row r="4320" spans="12:29" x14ac:dyDescent="0.3">
      <c r="L4320" s="36"/>
      <c r="R4320" s="34"/>
      <c r="AC4320" s="36"/>
    </row>
    <row r="4321" spans="12:29" x14ac:dyDescent="0.3">
      <c r="L4321" s="36"/>
      <c r="R4321" s="34"/>
      <c r="AC4321" s="36"/>
    </row>
    <row r="4322" spans="12:29" x14ac:dyDescent="0.3">
      <c r="L4322" s="36"/>
      <c r="R4322" s="34"/>
      <c r="AC4322" s="36"/>
    </row>
    <row r="4323" spans="12:29" x14ac:dyDescent="0.3">
      <c r="L4323" s="36"/>
      <c r="R4323" s="34"/>
      <c r="AC4323" s="36"/>
    </row>
    <row r="4324" spans="12:29" x14ac:dyDescent="0.3">
      <c r="L4324" s="36"/>
      <c r="R4324" s="34"/>
      <c r="AC4324" s="36"/>
    </row>
    <row r="4325" spans="12:29" x14ac:dyDescent="0.3">
      <c r="L4325" s="36"/>
      <c r="R4325" s="34"/>
      <c r="AC4325" s="36"/>
    </row>
    <row r="4326" spans="12:29" x14ac:dyDescent="0.3">
      <c r="L4326" s="36"/>
      <c r="R4326" s="34"/>
      <c r="AC4326" s="36"/>
    </row>
    <row r="4327" spans="12:29" x14ac:dyDescent="0.3">
      <c r="L4327" s="36"/>
      <c r="R4327" s="34"/>
      <c r="AC4327" s="36"/>
    </row>
    <row r="4328" spans="12:29" x14ac:dyDescent="0.3">
      <c r="L4328" s="36"/>
      <c r="R4328" s="34"/>
      <c r="AC4328" s="36"/>
    </row>
    <row r="4329" spans="12:29" x14ac:dyDescent="0.3">
      <c r="L4329" s="36"/>
      <c r="R4329" s="34"/>
      <c r="AC4329" s="36"/>
    </row>
    <row r="4330" spans="12:29" x14ac:dyDescent="0.3">
      <c r="L4330" s="36"/>
      <c r="R4330" s="34"/>
      <c r="AC4330" s="36"/>
    </row>
    <row r="4331" spans="12:29" x14ac:dyDescent="0.3">
      <c r="L4331" s="36"/>
      <c r="R4331" s="34"/>
      <c r="AC4331" s="36"/>
    </row>
    <row r="4332" spans="12:29" x14ac:dyDescent="0.3">
      <c r="L4332" s="36"/>
      <c r="R4332" s="34"/>
      <c r="AC4332" s="36"/>
    </row>
    <row r="4333" spans="12:29" x14ac:dyDescent="0.3">
      <c r="L4333" s="36"/>
      <c r="R4333" s="34"/>
      <c r="AC4333" s="36"/>
    </row>
    <row r="4334" spans="12:29" x14ac:dyDescent="0.3">
      <c r="L4334" s="36"/>
      <c r="R4334" s="34"/>
      <c r="AC4334" s="36"/>
    </row>
    <row r="4335" spans="12:29" x14ac:dyDescent="0.3">
      <c r="L4335" s="36"/>
      <c r="R4335" s="34"/>
      <c r="AC4335" s="36"/>
    </row>
    <row r="4336" spans="12:29" x14ac:dyDescent="0.3">
      <c r="L4336" s="36"/>
      <c r="R4336" s="34"/>
      <c r="AC4336" s="36"/>
    </row>
    <row r="4337" spans="12:29" x14ac:dyDescent="0.3">
      <c r="L4337" s="36"/>
      <c r="R4337" s="34"/>
      <c r="AC4337" s="36"/>
    </row>
    <row r="4338" spans="12:29" x14ac:dyDescent="0.3">
      <c r="L4338" s="36"/>
      <c r="R4338" s="34"/>
      <c r="AC4338" s="36"/>
    </row>
    <row r="4339" spans="12:29" x14ac:dyDescent="0.3">
      <c r="L4339" s="36"/>
      <c r="R4339" s="34"/>
      <c r="AC4339" s="36"/>
    </row>
    <row r="4340" spans="12:29" x14ac:dyDescent="0.3">
      <c r="L4340" s="36"/>
      <c r="R4340" s="34"/>
      <c r="AC4340" s="36"/>
    </row>
    <row r="4341" spans="12:29" x14ac:dyDescent="0.3">
      <c r="L4341" s="36"/>
      <c r="R4341" s="34"/>
      <c r="AC4341" s="36"/>
    </row>
    <row r="4342" spans="12:29" x14ac:dyDescent="0.3">
      <c r="L4342" s="36"/>
      <c r="R4342" s="34"/>
      <c r="AC4342" s="36"/>
    </row>
    <row r="4343" spans="12:29" x14ac:dyDescent="0.3">
      <c r="L4343" s="36"/>
      <c r="R4343" s="34"/>
      <c r="AC4343" s="36"/>
    </row>
    <row r="4344" spans="12:29" x14ac:dyDescent="0.3">
      <c r="L4344" s="36"/>
      <c r="R4344" s="34"/>
      <c r="AC4344" s="36"/>
    </row>
    <row r="4345" spans="12:29" x14ac:dyDescent="0.3">
      <c r="L4345" s="36"/>
      <c r="R4345" s="34"/>
      <c r="AC4345" s="36"/>
    </row>
    <row r="4346" spans="12:29" x14ac:dyDescent="0.3">
      <c r="L4346" s="36"/>
      <c r="R4346" s="34"/>
      <c r="AC4346" s="36"/>
    </row>
    <row r="4347" spans="12:29" x14ac:dyDescent="0.3">
      <c r="L4347" s="36"/>
      <c r="R4347" s="34"/>
      <c r="AC4347" s="36"/>
    </row>
    <row r="4348" spans="12:29" x14ac:dyDescent="0.3">
      <c r="L4348" s="36"/>
      <c r="R4348" s="34"/>
      <c r="AC4348" s="36"/>
    </row>
    <row r="4349" spans="12:29" x14ac:dyDescent="0.3">
      <c r="L4349" s="36"/>
      <c r="R4349" s="34"/>
      <c r="AC4349" s="36"/>
    </row>
    <row r="4350" spans="12:29" x14ac:dyDescent="0.3">
      <c r="L4350" s="36"/>
      <c r="R4350" s="34"/>
      <c r="AC4350" s="36"/>
    </row>
    <row r="4351" spans="12:29" x14ac:dyDescent="0.3">
      <c r="L4351" s="36"/>
      <c r="R4351" s="34"/>
      <c r="AC4351" s="36"/>
    </row>
    <row r="4352" spans="12:29" x14ac:dyDescent="0.3">
      <c r="L4352" s="36"/>
      <c r="R4352" s="34"/>
      <c r="AC4352" s="36"/>
    </row>
    <row r="4353" spans="12:29" x14ac:dyDescent="0.3">
      <c r="L4353" s="36"/>
      <c r="R4353" s="34"/>
      <c r="AC4353" s="36"/>
    </row>
    <row r="4354" spans="12:29" x14ac:dyDescent="0.3">
      <c r="L4354" s="36"/>
      <c r="R4354" s="34"/>
      <c r="AC4354" s="36"/>
    </row>
    <row r="4355" spans="12:29" x14ac:dyDescent="0.3">
      <c r="L4355" s="36"/>
      <c r="R4355" s="34"/>
      <c r="AC4355" s="36"/>
    </row>
    <row r="4356" spans="12:29" x14ac:dyDescent="0.3">
      <c r="L4356" s="36"/>
      <c r="R4356" s="34"/>
      <c r="AC4356" s="36"/>
    </row>
    <row r="4357" spans="12:29" x14ac:dyDescent="0.3">
      <c r="L4357" s="36"/>
      <c r="R4357" s="34"/>
      <c r="AC4357" s="36"/>
    </row>
    <row r="4358" spans="12:29" x14ac:dyDescent="0.3">
      <c r="L4358" s="36"/>
      <c r="R4358" s="34"/>
      <c r="AC4358" s="36"/>
    </row>
    <row r="4359" spans="12:29" x14ac:dyDescent="0.3">
      <c r="L4359" s="36"/>
      <c r="R4359" s="34"/>
      <c r="AC4359" s="36"/>
    </row>
    <row r="4360" spans="12:29" x14ac:dyDescent="0.3">
      <c r="L4360" s="36"/>
      <c r="R4360" s="34"/>
      <c r="AC4360" s="36"/>
    </row>
    <row r="4361" spans="12:29" x14ac:dyDescent="0.3">
      <c r="L4361" s="36"/>
      <c r="R4361" s="34"/>
      <c r="AC4361" s="36"/>
    </row>
    <row r="4362" spans="12:29" x14ac:dyDescent="0.3">
      <c r="L4362" s="36"/>
      <c r="R4362" s="34"/>
      <c r="AC4362" s="36"/>
    </row>
    <row r="4363" spans="12:29" x14ac:dyDescent="0.3">
      <c r="L4363" s="36"/>
      <c r="R4363" s="34"/>
      <c r="AC4363" s="36"/>
    </row>
    <row r="4364" spans="12:29" x14ac:dyDescent="0.3">
      <c r="L4364" s="36"/>
      <c r="R4364" s="34"/>
      <c r="AC4364" s="36"/>
    </row>
    <row r="4365" spans="12:29" x14ac:dyDescent="0.3">
      <c r="L4365" s="36"/>
      <c r="R4365" s="34"/>
      <c r="AC4365" s="36"/>
    </row>
    <row r="4366" spans="12:29" x14ac:dyDescent="0.3">
      <c r="L4366" s="36"/>
      <c r="R4366" s="34"/>
      <c r="AC4366" s="36"/>
    </row>
    <row r="4367" spans="12:29" x14ac:dyDescent="0.3">
      <c r="L4367" s="36"/>
      <c r="R4367" s="34"/>
      <c r="AC4367" s="36"/>
    </row>
    <row r="4368" spans="12:29" x14ac:dyDescent="0.3">
      <c r="L4368" s="36"/>
      <c r="R4368" s="34"/>
      <c r="AC4368" s="36"/>
    </row>
    <row r="4369" spans="12:29" x14ac:dyDescent="0.3">
      <c r="L4369" s="36"/>
      <c r="R4369" s="34"/>
      <c r="AC4369" s="36"/>
    </row>
    <row r="4370" spans="12:29" x14ac:dyDescent="0.3">
      <c r="L4370" s="36"/>
      <c r="R4370" s="34"/>
      <c r="AC4370" s="36"/>
    </row>
    <row r="4371" spans="12:29" x14ac:dyDescent="0.3">
      <c r="L4371" s="36"/>
      <c r="R4371" s="34"/>
      <c r="AC4371" s="36"/>
    </row>
    <row r="4372" spans="12:29" x14ac:dyDescent="0.3">
      <c r="L4372" s="36"/>
      <c r="R4372" s="34"/>
      <c r="AC4372" s="36"/>
    </row>
    <row r="4373" spans="12:29" x14ac:dyDescent="0.3">
      <c r="L4373" s="36"/>
      <c r="R4373" s="34"/>
      <c r="AC4373" s="36"/>
    </row>
    <row r="4374" spans="12:29" x14ac:dyDescent="0.3">
      <c r="L4374" s="36"/>
      <c r="R4374" s="34"/>
      <c r="AC4374" s="36"/>
    </row>
    <row r="4375" spans="12:29" x14ac:dyDescent="0.3">
      <c r="L4375" s="36"/>
      <c r="R4375" s="34"/>
      <c r="AC4375" s="36"/>
    </row>
    <row r="4376" spans="12:29" x14ac:dyDescent="0.3">
      <c r="L4376" s="36"/>
      <c r="R4376" s="34"/>
      <c r="AC4376" s="36"/>
    </row>
    <row r="4377" spans="12:29" x14ac:dyDescent="0.3">
      <c r="L4377" s="36"/>
      <c r="R4377" s="34"/>
      <c r="AC4377" s="36"/>
    </row>
    <row r="4378" spans="12:29" x14ac:dyDescent="0.3">
      <c r="L4378" s="36"/>
      <c r="R4378" s="34"/>
      <c r="AC4378" s="36"/>
    </row>
    <row r="4379" spans="12:29" x14ac:dyDescent="0.3">
      <c r="L4379" s="36"/>
      <c r="R4379" s="34"/>
      <c r="AC4379" s="36"/>
    </row>
    <row r="4380" spans="12:29" x14ac:dyDescent="0.3">
      <c r="L4380" s="36"/>
      <c r="R4380" s="34"/>
      <c r="AC4380" s="36"/>
    </row>
    <row r="4381" spans="12:29" x14ac:dyDescent="0.3">
      <c r="L4381" s="36"/>
      <c r="R4381" s="34"/>
      <c r="AC4381" s="36"/>
    </row>
    <row r="4382" spans="12:29" x14ac:dyDescent="0.3">
      <c r="L4382" s="36"/>
      <c r="R4382" s="34"/>
      <c r="AC4382" s="36"/>
    </row>
    <row r="4383" spans="12:29" x14ac:dyDescent="0.3">
      <c r="L4383" s="36"/>
      <c r="R4383" s="34"/>
      <c r="AC4383" s="36"/>
    </row>
    <row r="4384" spans="12:29" x14ac:dyDescent="0.3">
      <c r="L4384" s="36"/>
      <c r="R4384" s="34"/>
      <c r="AC4384" s="36"/>
    </row>
    <row r="4385" spans="12:29" x14ac:dyDescent="0.3">
      <c r="L4385" s="36"/>
      <c r="R4385" s="34"/>
      <c r="AC4385" s="36"/>
    </row>
    <row r="4386" spans="12:29" x14ac:dyDescent="0.3">
      <c r="L4386" s="36"/>
      <c r="R4386" s="34"/>
      <c r="AC4386" s="36"/>
    </row>
    <row r="4387" spans="12:29" x14ac:dyDescent="0.3">
      <c r="L4387" s="36"/>
      <c r="R4387" s="34"/>
      <c r="AC4387" s="36"/>
    </row>
    <row r="4388" spans="12:29" x14ac:dyDescent="0.3">
      <c r="L4388" s="36"/>
      <c r="R4388" s="34"/>
      <c r="AC4388" s="36"/>
    </row>
    <row r="4389" spans="12:29" x14ac:dyDescent="0.3">
      <c r="L4389" s="36"/>
      <c r="R4389" s="34"/>
      <c r="AC4389" s="36"/>
    </row>
    <row r="4390" spans="12:29" x14ac:dyDescent="0.3">
      <c r="L4390" s="36"/>
      <c r="R4390" s="34"/>
      <c r="AC4390" s="36"/>
    </row>
    <row r="4391" spans="12:29" x14ac:dyDescent="0.3">
      <c r="L4391" s="36"/>
      <c r="R4391" s="34"/>
      <c r="AC4391" s="36"/>
    </row>
    <row r="4392" spans="12:29" x14ac:dyDescent="0.3">
      <c r="L4392" s="36"/>
      <c r="R4392" s="34"/>
      <c r="AC4392" s="36"/>
    </row>
    <row r="4393" spans="12:29" x14ac:dyDescent="0.3">
      <c r="L4393" s="36"/>
      <c r="R4393" s="34"/>
      <c r="AC4393" s="36"/>
    </row>
    <row r="4394" spans="12:29" x14ac:dyDescent="0.3">
      <c r="L4394" s="36"/>
      <c r="R4394" s="34"/>
      <c r="AC4394" s="36"/>
    </row>
    <row r="4395" spans="12:29" x14ac:dyDescent="0.3">
      <c r="L4395" s="36"/>
      <c r="R4395" s="34"/>
      <c r="AC4395" s="36"/>
    </row>
    <row r="4396" spans="12:29" x14ac:dyDescent="0.3">
      <c r="L4396" s="36"/>
      <c r="R4396" s="34"/>
      <c r="AC4396" s="36"/>
    </row>
    <row r="4397" spans="12:29" x14ac:dyDescent="0.3">
      <c r="L4397" s="36"/>
      <c r="R4397" s="34"/>
      <c r="AC4397" s="36"/>
    </row>
    <row r="4398" spans="12:29" x14ac:dyDescent="0.3">
      <c r="L4398" s="36"/>
      <c r="R4398" s="34"/>
      <c r="AC4398" s="36"/>
    </row>
    <row r="4399" spans="12:29" x14ac:dyDescent="0.3">
      <c r="L4399" s="36"/>
      <c r="R4399" s="34"/>
      <c r="AC4399" s="36"/>
    </row>
    <row r="4400" spans="12:29" x14ac:dyDescent="0.3">
      <c r="L4400" s="36"/>
      <c r="R4400" s="34"/>
      <c r="AC4400" s="36"/>
    </row>
    <row r="4401" spans="12:29" x14ac:dyDescent="0.3">
      <c r="L4401" s="36"/>
      <c r="R4401" s="34"/>
      <c r="AC4401" s="36"/>
    </row>
    <row r="4402" spans="12:29" x14ac:dyDescent="0.3">
      <c r="L4402" s="36"/>
      <c r="R4402" s="34"/>
      <c r="AC4402" s="36"/>
    </row>
    <row r="4403" spans="12:29" x14ac:dyDescent="0.3">
      <c r="L4403" s="36"/>
      <c r="R4403" s="34"/>
      <c r="AC4403" s="36"/>
    </row>
    <row r="4404" spans="12:29" x14ac:dyDescent="0.3">
      <c r="L4404" s="36"/>
      <c r="R4404" s="34"/>
      <c r="AC4404" s="36"/>
    </row>
    <row r="4405" spans="12:29" x14ac:dyDescent="0.3">
      <c r="L4405" s="36"/>
      <c r="R4405" s="34"/>
      <c r="AC4405" s="36"/>
    </row>
    <row r="4406" spans="12:29" x14ac:dyDescent="0.3">
      <c r="L4406" s="36"/>
      <c r="R4406" s="34"/>
      <c r="AC4406" s="36"/>
    </row>
    <row r="4407" spans="12:29" x14ac:dyDescent="0.3">
      <c r="L4407" s="36"/>
      <c r="R4407" s="34"/>
      <c r="AC4407" s="36"/>
    </row>
    <row r="4408" spans="12:29" x14ac:dyDescent="0.3">
      <c r="L4408" s="36"/>
      <c r="R4408" s="34"/>
      <c r="AC4408" s="36"/>
    </row>
    <row r="4409" spans="12:29" x14ac:dyDescent="0.3">
      <c r="L4409" s="36"/>
      <c r="R4409" s="34"/>
      <c r="AC4409" s="36"/>
    </row>
    <row r="4410" spans="12:29" x14ac:dyDescent="0.3">
      <c r="L4410" s="36"/>
      <c r="R4410" s="34"/>
      <c r="AC4410" s="36"/>
    </row>
    <row r="4411" spans="12:29" x14ac:dyDescent="0.3">
      <c r="L4411" s="36"/>
      <c r="R4411" s="34"/>
      <c r="AC4411" s="36"/>
    </row>
    <row r="4412" spans="12:29" x14ac:dyDescent="0.3">
      <c r="L4412" s="36"/>
      <c r="R4412" s="34"/>
      <c r="AC4412" s="36"/>
    </row>
    <row r="4413" spans="12:29" x14ac:dyDescent="0.3">
      <c r="L4413" s="36"/>
      <c r="R4413" s="34"/>
      <c r="AC4413" s="36"/>
    </row>
    <row r="4414" spans="12:29" x14ac:dyDescent="0.3">
      <c r="L4414" s="36"/>
      <c r="R4414" s="34"/>
      <c r="AC4414" s="36"/>
    </row>
    <row r="4415" spans="12:29" x14ac:dyDescent="0.3">
      <c r="L4415" s="36"/>
      <c r="R4415" s="34"/>
      <c r="AC4415" s="36"/>
    </row>
    <row r="4416" spans="12:29" x14ac:dyDescent="0.3">
      <c r="L4416" s="36"/>
      <c r="R4416" s="34"/>
      <c r="AC4416" s="36"/>
    </row>
    <row r="4417" spans="12:29" x14ac:dyDescent="0.3">
      <c r="L4417" s="36"/>
      <c r="R4417" s="34"/>
      <c r="AC4417" s="36"/>
    </row>
    <row r="4418" spans="12:29" x14ac:dyDescent="0.3">
      <c r="L4418" s="36"/>
      <c r="R4418" s="34"/>
      <c r="AC4418" s="36"/>
    </row>
    <row r="4419" spans="12:29" x14ac:dyDescent="0.3">
      <c r="L4419" s="36"/>
      <c r="R4419" s="34"/>
      <c r="AC4419" s="36"/>
    </row>
    <row r="4420" spans="12:29" x14ac:dyDescent="0.3">
      <c r="L4420" s="36"/>
      <c r="R4420" s="34"/>
      <c r="AC4420" s="36"/>
    </row>
    <row r="4421" spans="12:29" x14ac:dyDescent="0.3">
      <c r="L4421" s="36"/>
      <c r="R4421" s="34"/>
      <c r="AC4421" s="36"/>
    </row>
    <row r="4422" spans="12:29" x14ac:dyDescent="0.3">
      <c r="L4422" s="36"/>
      <c r="R4422" s="34"/>
      <c r="AC4422" s="36"/>
    </row>
    <row r="4423" spans="12:29" x14ac:dyDescent="0.3">
      <c r="L4423" s="36"/>
      <c r="R4423" s="34"/>
      <c r="AC4423" s="36"/>
    </row>
    <row r="4424" spans="12:29" x14ac:dyDescent="0.3">
      <c r="L4424" s="36"/>
      <c r="R4424" s="34"/>
      <c r="AC4424" s="36"/>
    </row>
    <row r="4425" spans="12:29" x14ac:dyDescent="0.3">
      <c r="L4425" s="36"/>
      <c r="R4425" s="34"/>
      <c r="AC4425" s="36"/>
    </row>
    <row r="4426" spans="12:29" x14ac:dyDescent="0.3">
      <c r="L4426" s="36"/>
      <c r="R4426" s="34"/>
      <c r="AC4426" s="36"/>
    </row>
    <row r="4427" spans="12:29" x14ac:dyDescent="0.3">
      <c r="L4427" s="36"/>
      <c r="R4427" s="34"/>
      <c r="AC4427" s="36"/>
    </row>
    <row r="4428" spans="12:29" x14ac:dyDescent="0.3">
      <c r="L4428" s="36"/>
      <c r="R4428" s="34"/>
      <c r="AC4428" s="36"/>
    </row>
    <row r="4429" spans="12:29" x14ac:dyDescent="0.3">
      <c r="L4429" s="36"/>
      <c r="R4429" s="34"/>
      <c r="AC4429" s="36"/>
    </row>
    <row r="4430" spans="12:29" x14ac:dyDescent="0.3">
      <c r="L4430" s="36"/>
      <c r="R4430" s="34"/>
      <c r="AC4430" s="36"/>
    </row>
    <row r="4431" spans="12:29" x14ac:dyDescent="0.3">
      <c r="L4431" s="36"/>
      <c r="R4431" s="34"/>
      <c r="AC4431" s="36"/>
    </row>
    <row r="4432" spans="12:29" x14ac:dyDescent="0.3">
      <c r="L4432" s="36"/>
      <c r="R4432" s="34"/>
      <c r="AC4432" s="36"/>
    </row>
    <row r="4433" spans="12:29" x14ac:dyDescent="0.3">
      <c r="L4433" s="36"/>
      <c r="R4433" s="34"/>
      <c r="AC4433" s="36"/>
    </row>
    <row r="4434" spans="12:29" x14ac:dyDescent="0.3">
      <c r="L4434" s="36"/>
      <c r="R4434" s="34"/>
      <c r="AC4434" s="36"/>
    </row>
    <row r="4435" spans="12:29" x14ac:dyDescent="0.3">
      <c r="L4435" s="36"/>
      <c r="R4435" s="34"/>
      <c r="AC4435" s="36"/>
    </row>
    <row r="4436" spans="12:29" x14ac:dyDescent="0.3">
      <c r="L4436" s="36"/>
      <c r="R4436" s="34"/>
      <c r="AC4436" s="36"/>
    </row>
    <row r="4437" spans="12:29" x14ac:dyDescent="0.3">
      <c r="L4437" s="36"/>
      <c r="R4437" s="34"/>
      <c r="AC4437" s="36"/>
    </row>
    <row r="4438" spans="12:29" x14ac:dyDescent="0.3">
      <c r="L4438" s="36"/>
      <c r="R4438" s="34"/>
      <c r="AC4438" s="36"/>
    </row>
    <row r="4439" spans="12:29" x14ac:dyDescent="0.3">
      <c r="L4439" s="36"/>
      <c r="R4439" s="34"/>
      <c r="AC4439" s="36"/>
    </row>
    <row r="4440" spans="12:29" x14ac:dyDescent="0.3">
      <c r="L4440" s="36"/>
      <c r="R4440" s="34"/>
      <c r="AC4440" s="36"/>
    </row>
    <row r="4441" spans="12:29" x14ac:dyDescent="0.3">
      <c r="L4441" s="36"/>
      <c r="R4441" s="34"/>
      <c r="AC4441" s="36"/>
    </row>
    <row r="4442" spans="12:29" x14ac:dyDescent="0.3">
      <c r="L4442" s="36"/>
      <c r="R4442" s="34"/>
      <c r="AC4442" s="36"/>
    </row>
    <row r="4443" spans="12:29" x14ac:dyDescent="0.3">
      <c r="L4443" s="36"/>
      <c r="R4443" s="34"/>
      <c r="AC4443" s="36"/>
    </row>
    <row r="4444" spans="12:29" x14ac:dyDescent="0.3">
      <c r="L4444" s="36"/>
      <c r="R4444" s="34"/>
      <c r="AC4444" s="36"/>
    </row>
    <row r="4445" spans="12:29" x14ac:dyDescent="0.3">
      <c r="L4445" s="36"/>
      <c r="R4445" s="34"/>
      <c r="AC4445" s="36"/>
    </row>
    <row r="4446" spans="12:29" x14ac:dyDescent="0.3">
      <c r="L4446" s="36"/>
      <c r="R4446" s="34"/>
      <c r="AC4446" s="36"/>
    </row>
    <row r="4447" spans="12:29" x14ac:dyDescent="0.3">
      <c r="L4447" s="36"/>
      <c r="R4447" s="34"/>
      <c r="AC4447" s="36"/>
    </row>
    <row r="4448" spans="12:29" x14ac:dyDescent="0.3">
      <c r="L4448" s="36"/>
      <c r="R4448" s="34"/>
      <c r="AC4448" s="36"/>
    </row>
    <row r="4449" spans="12:29" x14ac:dyDescent="0.3">
      <c r="L4449" s="36"/>
      <c r="R4449" s="34"/>
      <c r="AC4449" s="36"/>
    </row>
    <row r="4450" spans="12:29" x14ac:dyDescent="0.3">
      <c r="L4450" s="36"/>
      <c r="R4450" s="34"/>
      <c r="AC4450" s="36"/>
    </row>
    <row r="4451" spans="12:29" x14ac:dyDescent="0.3">
      <c r="L4451" s="36"/>
      <c r="R4451" s="34"/>
      <c r="AC4451" s="36"/>
    </row>
    <row r="4452" spans="12:29" x14ac:dyDescent="0.3">
      <c r="L4452" s="36"/>
      <c r="R4452" s="34"/>
      <c r="AC4452" s="36"/>
    </row>
    <row r="4453" spans="12:29" x14ac:dyDescent="0.3">
      <c r="L4453" s="36"/>
      <c r="R4453" s="34"/>
      <c r="AC4453" s="36"/>
    </row>
    <row r="4454" spans="12:29" x14ac:dyDescent="0.3">
      <c r="L4454" s="36"/>
      <c r="R4454" s="34"/>
      <c r="AC4454" s="36"/>
    </row>
    <row r="4455" spans="12:29" x14ac:dyDescent="0.3">
      <c r="L4455" s="36"/>
      <c r="R4455" s="34"/>
      <c r="AC4455" s="36"/>
    </row>
    <row r="4456" spans="12:29" x14ac:dyDescent="0.3">
      <c r="L4456" s="36"/>
      <c r="R4456" s="34"/>
      <c r="AC4456" s="36"/>
    </row>
    <row r="4457" spans="12:29" x14ac:dyDescent="0.3">
      <c r="L4457" s="36"/>
      <c r="R4457" s="34"/>
      <c r="AC4457" s="36"/>
    </row>
    <row r="4458" spans="12:29" x14ac:dyDescent="0.3">
      <c r="L4458" s="36"/>
      <c r="R4458" s="34"/>
      <c r="AC4458" s="36"/>
    </row>
    <row r="4459" spans="12:29" x14ac:dyDescent="0.3">
      <c r="L4459" s="36"/>
      <c r="R4459" s="34"/>
      <c r="AC4459" s="36"/>
    </row>
    <row r="4460" spans="12:29" x14ac:dyDescent="0.3">
      <c r="L4460" s="36"/>
      <c r="R4460" s="34"/>
      <c r="AC4460" s="36"/>
    </row>
    <row r="4461" spans="12:29" x14ac:dyDescent="0.3">
      <c r="L4461" s="36"/>
      <c r="R4461" s="34"/>
      <c r="AC4461" s="36"/>
    </row>
    <row r="4462" spans="12:29" x14ac:dyDescent="0.3">
      <c r="L4462" s="36"/>
      <c r="R4462" s="34"/>
      <c r="AC4462" s="36"/>
    </row>
    <row r="4463" spans="12:29" x14ac:dyDescent="0.3">
      <c r="L4463" s="36"/>
      <c r="R4463" s="34"/>
      <c r="AC4463" s="36"/>
    </row>
    <row r="4464" spans="12:29" x14ac:dyDescent="0.3">
      <c r="L4464" s="36"/>
      <c r="R4464" s="34"/>
      <c r="AC4464" s="36"/>
    </row>
    <row r="4465" spans="12:29" x14ac:dyDescent="0.3">
      <c r="L4465" s="36"/>
      <c r="R4465" s="34"/>
      <c r="AC4465" s="36"/>
    </row>
    <row r="4466" spans="12:29" x14ac:dyDescent="0.3">
      <c r="L4466" s="36"/>
      <c r="R4466" s="34"/>
      <c r="AC4466" s="36"/>
    </row>
    <row r="4467" spans="12:29" x14ac:dyDescent="0.3">
      <c r="L4467" s="36"/>
      <c r="R4467" s="34"/>
      <c r="AC4467" s="36"/>
    </row>
    <row r="4468" spans="12:29" x14ac:dyDescent="0.3">
      <c r="L4468" s="36"/>
      <c r="R4468" s="34"/>
      <c r="AC4468" s="36"/>
    </row>
    <row r="4469" spans="12:29" x14ac:dyDescent="0.3">
      <c r="L4469" s="36"/>
      <c r="R4469" s="34"/>
      <c r="AC4469" s="36"/>
    </row>
    <row r="4470" spans="12:29" x14ac:dyDescent="0.3">
      <c r="L4470" s="36"/>
      <c r="R4470" s="34"/>
      <c r="AC4470" s="36"/>
    </row>
    <row r="4471" spans="12:29" x14ac:dyDescent="0.3">
      <c r="L4471" s="36"/>
      <c r="R4471" s="34"/>
      <c r="AC4471" s="36"/>
    </row>
    <row r="4472" spans="12:29" x14ac:dyDescent="0.3">
      <c r="L4472" s="36"/>
      <c r="R4472" s="34"/>
      <c r="AC4472" s="36"/>
    </row>
    <row r="4473" spans="12:29" x14ac:dyDescent="0.3">
      <c r="L4473" s="36"/>
      <c r="R4473" s="34"/>
      <c r="AC4473" s="36"/>
    </row>
    <row r="4474" spans="12:29" x14ac:dyDescent="0.3">
      <c r="L4474" s="36"/>
      <c r="R4474" s="34"/>
      <c r="AC4474" s="36"/>
    </row>
    <row r="4475" spans="12:29" x14ac:dyDescent="0.3">
      <c r="L4475" s="36"/>
      <c r="R4475" s="34"/>
      <c r="AC4475" s="36"/>
    </row>
    <row r="4476" spans="12:29" x14ac:dyDescent="0.3">
      <c r="L4476" s="36"/>
      <c r="R4476" s="34"/>
      <c r="AC4476" s="36"/>
    </row>
    <row r="4477" spans="12:29" x14ac:dyDescent="0.3">
      <c r="L4477" s="36"/>
      <c r="R4477" s="34"/>
      <c r="AC4477" s="36"/>
    </row>
    <row r="4478" spans="12:29" x14ac:dyDescent="0.3">
      <c r="L4478" s="36"/>
      <c r="R4478" s="34"/>
      <c r="AC4478" s="36"/>
    </row>
    <row r="4479" spans="12:29" x14ac:dyDescent="0.3">
      <c r="L4479" s="36"/>
      <c r="R4479" s="34"/>
      <c r="AC4479" s="36"/>
    </row>
    <row r="4480" spans="12:29" x14ac:dyDescent="0.3">
      <c r="L4480" s="36"/>
      <c r="R4480" s="34"/>
      <c r="AC4480" s="36"/>
    </row>
    <row r="4481" spans="12:29" x14ac:dyDescent="0.3">
      <c r="L4481" s="36"/>
      <c r="R4481" s="34"/>
      <c r="AC4481" s="36"/>
    </row>
    <row r="4482" spans="12:29" x14ac:dyDescent="0.3">
      <c r="L4482" s="36"/>
      <c r="R4482" s="34"/>
      <c r="AC4482" s="36"/>
    </row>
    <row r="4483" spans="12:29" x14ac:dyDescent="0.3">
      <c r="L4483" s="36"/>
      <c r="R4483" s="34"/>
      <c r="AC4483" s="36"/>
    </row>
    <row r="4484" spans="12:29" x14ac:dyDescent="0.3">
      <c r="L4484" s="36"/>
      <c r="R4484" s="34"/>
      <c r="AC4484" s="36"/>
    </row>
    <row r="4485" spans="12:29" x14ac:dyDescent="0.3">
      <c r="L4485" s="36"/>
      <c r="R4485" s="34"/>
      <c r="AC4485" s="36"/>
    </row>
    <row r="4486" spans="12:29" x14ac:dyDescent="0.3">
      <c r="L4486" s="36"/>
      <c r="R4486" s="34"/>
      <c r="AC4486" s="36"/>
    </row>
    <row r="4487" spans="12:29" x14ac:dyDescent="0.3">
      <c r="L4487" s="36"/>
      <c r="R4487" s="34"/>
      <c r="AC4487" s="36"/>
    </row>
    <row r="4488" spans="12:29" x14ac:dyDescent="0.3">
      <c r="L4488" s="36"/>
      <c r="R4488" s="34"/>
      <c r="AC4488" s="36"/>
    </row>
    <row r="4489" spans="12:29" x14ac:dyDescent="0.3">
      <c r="L4489" s="36"/>
      <c r="R4489" s="34"/>
      <c r="AC4489" s="36"/>
    </row>
    <row r="4490" spans="12:29" x14ac:dyDescent="0.3">
      <c r="L4490" s="36"/>
      <c r="R4490" s="34"/>
      <c r="AC4490" s="36"/>
    </row>
    <row r="4491" spans="12:29" x14ac:dyDescent="0.3">
      <c r="L4491" s="36"/>
      <c r="R4491" s="34"/>
      <c r="AC4491" s="36"/>
    </row>
    <row r="4492" spans="12:29" x14ac:dyDescent="0.3">
      <c r="L4492" s="36"/>
      <c r="R4492" s="34"/>
      <c r="AC4492" s="36"/>
    </row>
    <row r="4493" spans="12:29" x14ac:dyDescent="0.3">
      <c r="L4493" s="36"/>
      <c r="R4493" s="34"/>
      <c r="AC4493" s="36"/>
    </row>
    <row r="4494" spans="12:29" x14ac:dyDescent="0.3">
      <c r="L4494" s="36"/>
      <c r="R4494" s="34"/>
      <c r="AC4494" s="36"/>
    </row>
    <row r="4495" spans="12:29" x14ac:dyDescent="0.3">
      <c r="L4495" s="36"/>
      <c r="R4495" s="34"/>
      <c r="AC4495" s="36"/>
    </row>
    <row r="4496" spans="12:29" x14ac:dyDescent="0.3">
      <c r="L4496" s="36"/>
      <c r="R4496" s="34"/>
      <c r="AC4496" s="36"/>
    </row>
    <row r="4497" spans="12:29" x14ac:dyDescent="0.3">
      <c r="L4497" s="36"/>
      <c r="R4497" s="34"/>
      <c r="AC4497" s="36"/>
    </row>
    <row r="4498" spans="12:29" x14ac:dyDescent="0.3">
      <c r="L4498" s="36"/>
      <c r="R4498" s="34"/>
      <c r="AC4498" s="36"/>
    </row>
    <row r="4499" spans="12:29" x14ac:dyDescent="0.3">
      <c r="L4499" s="36"/>
      <c r="R4499" s="34"/>
      <c r="AC4499" s="36"/>
    </row>
    <row r="4500" spans="12:29" x14ac:dyDescent="0.3">
      <c r="L4500" s="36"/>
      <c r="R4500" s="34"/>
      <c r="AC4500" s="36"/>
    </row>
    <row r="4501" spans="12:29" x14ac:dyDescent="0.3">
      <c r="L4501" s="36"/>
      <c r="R4501" s="34"/>
      <c r="AC4501" s="36"/>
    </row>
    <row r="4502" spans="12:29" x14ac:dyDescent="0.3">
      <c r="L4502" s="36"/>
      <c r="R4502" s="34"/>
      <c r="AC4502" s="36"/>
    </row>
    <row r="4503" spans="12:29" x14ac:dyDescent="0.3">
      <c r="L4503" s="36"/>
      <c r="R4503" s="34"/>
      <c r="AC4503" s="36"/>
    </row>
    <row r="4504" spans="12:29" x14ac:dyDescent="0.3">
      <c r="L4504" s="36"/>
      <c r="R4504" s="34"/>
      <c r="AC4504" s="36"/>
    </row>
    <row r="4505" spans="12:29" x14ac:dyDescent="0.3">
      <c r="L4505" s="36"/>
      <c r="R4505" s="34"/>
      <c r="AC4505" s="36"/>
    </row>
    <row r="4506" spans="12:29" x14ac:dyDescent="0.3">
      <c r="L4506" s="36"/>
      <c r="R4506" s="34"/>
      <c r="AC4506" s="36"/>
    </row>
    <row r="4507" spans="12:29" x14ac:dyDescent="0.3">
      <c r="L4507" s="36"/>
      <c r="R4507" s="34"/>
      <c r="AC4507" s="36"/>
    </row>
    <row r="4508" spans="12:29" x14ac:dyDescent="0.3">
      <c r="L4508" s="36"/>
      <c r="R4508" s="34"/>
      <c r="AC4508" s="36"/>
    </row>
    <row r="4509" spans="12:29" x14ac:dyDescent="0.3">
      <c r="L4509" s="36"/>
      <c r="R4509" s="34"/>
      <c r="AC4509" s="36"/>
    </row>
    <row r="4510" spans="12:29" x14ac:dyDescent="0.3">
      <c r="L4510" s="36"/>
      <c r="R4510" s="34"/>
      <c r="AC4510" s="36"/>
    </row>
    <row r="4511" spans="12:29" x14ac:dyDescent="0.3">
      <c r="L4511" s="36"/>
      <c r="R4511" s="34"/>
      <c r="AC4511" s="36"/>
    </row>
    <row r="4512" spans="12:29" x14ac:dyDescent="0.3">
      <c r="L4512" s="36"/>
      <c r="R4512" s="34"/>
      <c r="AC4512" s="36"/>
    </row>
    <row r="4513" spans="12:29" x14ac:dyDescent="0.3">
      <c r="L4513" s="36"/>
      <c r="R4513" s="34"/>
      <c r="AC4513" s="36"/>
    </row>
    <row r="4514" spans="12:29" x14ac:dyDescent="0.3">
      <c r="L4514" s="36"/>
      <c r="R4514" s="34"/>
      <c r="AC4514" s="36"/>
    </row>
    <row r="4515" spans="12:29" x14ac:dyDescent="0.3">
      <c r="L4515" s="36"/>
      <c r="R4515" s="34"/>
      <c r="AC4515" s="36"/>
    </row>
    <row r="4516" spans="12:29" x14ac:dyDescent="0.3">
      <c r="L4516" s="36"/>
      <c r="R4516" s="34"/>
      <c r="AC4516" s="36"/>
    </row>
    <row r="4517" spans="12:29" x14ac:dyDescent="0.3">
      <c r="L4517" s="36"/>
      <c r="R4517" s="34"/>
      <c r="AC4517" s="36"/>
    </row>
    <row r="4518" spans="12:29" x14ac:dyDescent="0.3">
      <c r="L4518" s="36"/>
      <c r="R4518" s="34"/>
      <c r="AC4518" s="36"/>
    </row>
    <row r="4519" spans="12:29" x14ac:dyDescent="0.3">
      <c r="L4519" s="36"/>
      <c r="R4519" s="34"/>
      <c r="AC4519" s="36"/>
    </row>
    <row r="4520" spans="12:29" x14ac:dyDescent="0.3">
      <c r="L4520" s="36"/>
      <c r="R4520" s="34"/>
      <c r="AC4520" s="36"/>
    </row>
    <row r="4521" spans="12:29" x14ac:dyDescent="0.3">
      <c r="L4521" s="36"/>
      <c r="R4521" s="34"/>
      <c r="AC4521" s="36"/>
    </row>
    <row r="4522" spans="12:29" x14ac:dyDescent="0.3">
      <c r="L4522" s="36"/>
      <c r="R4522" s="34"/>
      <c r="AC4522" s="36"/>
    </row>
    <row r="4523" spans="12:29" x14ac:dyDescent="0.3">
      <c r="L4523" s="36"/>
      <c r="R4523" s="34"/>
      <c r="AC4523" s="36"/>
    </row>
    <row r="4524" spans="12:29" x14ac:dyDescent="0.3">
      <c r="L4524" s="36"/>
      <c r="R4524" s="34"/>
      <c r="AC4524" s="36"/>
    </row>
    <row r="4525" spans="12:29" x14ac:dyDescent="0.3">
      <c r="L4525" s="36"/>
      <c r="R4525" s="34"/>
      <c r="AC4525" s="36"/>
    </row>
    <row r="4526" spans="12:29" x14ac:dyDescent="0.3">
      <c r="L4526" s="36"/>
      <c r="R4526" s="34"/>
      <c r="AC4526" s="36"/>
    </row>
    <row r="4527" spans="12:29" x14ac:dyDescent="0.3">
      <c r="L4527" s="36"/>
      <c r="R4527" s="34"/>
      <c r="AC4527" s="36"/>
    </row>
    <row r="4528" spans="12:29" x14ac:dyDescent="0.3">
      <c r="L4528" s="36"/>
      <c r="R4528" s="34"/>
      <c r="AC4528" s="36"/>
    </row>
    <row r="4529" spans="12:29" x14ac:dyDescent="0.3">
      <c r="L4529" s="36"/>
      <c r="R4529" s="34"/>
      <c r="AC4529" s="36"/>
    </row>
    <row r="4530" spans="12:29" x14ac:dyDescent="0.3">
      <c r="L4530" s="36"/>
      <c r="R4530" s="34"/>
      <c r="AC4530" s="36"/>
    </row>
    <row r="4531" spans="12:29" x14ac:dyDescent="0.3">
      <c r="L4531" s="36"/>
      <c r="R4531" s="34"/>
      <c r="AC4531" s="36"/>
    </row>
    <row r="4532" spans="12:29" x14ac:dyDescent="0.3">
      <c r="L4532" s="36"/>
      <c r="R4532" s="34"/>
      <c r="AC4532" s="36"/>
    </row>
    <row r="4533" spans="12:29" x14ac:dyDescent="0.3">
      <c r="L4533" s="36"/>
      <c r="R4533" s="34"/>
      <c r="AC4533" s="36"/>
    </row>
    <row r="4534" spans="12:29" x14ac:dyDescent="0.3">
      <c r="L4534" s="36"/>
      <c r="R4534" s="34"/>
      <c r="AC4534" s="36"/>
    </row>
    <row r="4535" spans="12:29" x14ac:dyDescent="0.3">
      <c r="L4535" s="36"/>
      <c r="R4535" s="34"/>
      <c r="AC4535" s="36"/>
    </row>
    <row r="4536" spans="12:29" x14ac:dyDescent="0.3">
      <c r="L4536" s="36"/>
      <c r="R4536" s="34"/>
      <c r="AC4536" s="36"/>
    </row>
    <row r="4537" spans="12:29" x14ac:dyDescent="0.3">
      <c r="L4537" s="36"/>
      <c r="R4537" s="34"/>
      <c r="AC4537" s="36"/>
    </row>
    <row r="4538" spans="12:29" x14ac:dyDescent="0.3">
      <c r="L4538" s="36"/>
      <c r="R4538" s="34"/>
      <c r="AC4538" s="36"/>
    </row>
    <row r="4539" spans="12:29" x14ac:dyDescent="0.3">
      <c r="L4539" s="36"/>
      <c r="R4539" s="34"/>
      <c r="AC4539" s="36"/>
    </row>
    <row r="4540" spans="12:29" x14ac:dyDescent="0.3">
      <c r="L4540" s="36"/>
      <c r="R4540" s="34"/>
      <c r="AC4540" s="36"/>
    </row>
    <row r="4541" spans="12:29" x14ac:dyDescent="0.3">
      <c r="L4541" s="36"/>
      <c r="R4541" s="34"/>
      <c r="AC4541" s="36"/>
    </row>
    <row r="4542" spans="12:29" x14ac:dyDescent="0.3">
      <c r="L4542" s="36"/>
      <c r="R4542" s="34"/>
      <c r="AC4542" s="36"/>
    </row>
    <row r="4543" spans="12:29" x14ac:dyDescent="0.3">
      <c r="L4543" s="36"/>
      <c r="R4543" s="34"/>
      <c r="AC4543" s="36"/>
    </row>
    <row r="4544" spans="12:29" x14ac:dyDescent="0.3">
      <c r="L4544" s="36"/>
      <c r="R4544" s="34"/>
      <c r="AC4544" s="36"/>
    </row>
    <row r="4545" spans="12:29" x14ac:dyDescent="0.3">
      <c r="L4545" s="36"/>
      <c r="R4545" s="34"/>
      <c r="AC4545" s="36"/>
    </row>
    <row r="4546" spans="12:29" x14ac:dyDescent="0.3">
      <c r="L4546" s="36"/>
      <c r="R4546" s="34"/>
      <c r="AC4546" s="36"/>
    </row>
    <row r="4547" spans="12:29" x14ac:dyDescent="0.3">
      <c r="L4547" s="36"/>
      <c r="R4547" s="34"/>
      <c r="AC4547" s="36"/>
    </row>
    <row r="4548" spans="12:29" x14ac:dyDescent="0.3">
      <c r="L4548" s="36"/>
      <c r="R4548" s="34"/>
      <c r="AC4548" s="36"/>
    </row>
    <row r="4549" spans="12:29" x14ac:dyDescent="0.3">
      <c r="L4549" s="36"/>
      <c r="R4549" s="34"/>
      <c r="AC4549" s="36"/>
    </row>
    <row r="4550" spans="12:29" x14ac:dyDescent="0.3">
      <c r="L4550" s="36"/>
      <c r="R4550" s="34"/>
      <c r="AC4550" s="36"/>
    </row>
    <row r="4551" spans="12:29" x14ac:dyDescent="0.3">
      <c r="L4551" s="36"/>
      <c r="R4551" s="34"/>
      <c r="AC4551" s="36"/>
    </row>
    <row r="4552" spans="12:29" x14ac:dyDescent="0.3">
      <c r="L4552" s="36"/>
      <c r="R4552" s="34"/>
      <c r="AC4552" s="36"/>
    </row>
    <row r="4553" spans="12:29" x14ac:dyDescent="0.3">
      <c r="L4553" s="36"/>
      <c r="R4553" s="34"/>
      <c r="AC4553" s="36"/>
    </row>
    <row r="4554" spans="12:29" x14ac:dyDescent="0.3">
      <c r="L4554" s="36"/>
      <c r="R4554" s="34"/>
      <c r="AC4554" s="36"/>
    </row>
    <row r="4555" spans="12:29" x14ac:dyDescent="0.3">
      <c r="L4555" s="36"/>
      <c r="R4555" s="34"/>
      <c r="AC4555" s="36"/>
    </row>
    <row r="4556" spans="12:29" x14ac:dyDescent="0.3">
      <c r="L4556" s="36"/>
      <c r="R4556" s="34"/>
      <c r="AC4556" s="36"/>
    </row>
    <row r="4557" spans="12:29" x14ac:dyDescent="0.3">
      <c r="L4557" s="36"/>
      <c r="R4557" s="34"/>
      <c r="AC4557" s="36"/>
    </row>
    <row r="4558" spans="12:29" x14ac:dyDescent="0.3">
      <c r="L4558" s="36"/>
      <c r="R4558" s="34"/>
      <c r="AC4558" s="36"/>
    </row>
    <row r="4559" spans="12:29" x14ac:dyDescent="0.3">
      <c r="L4559" s="36"/>
      <c r="R4559" s="34"/>
      <c r="AC4559" s="36"/>
    </row>
    <row r="4560" spans="12:29" x14ac:dyDescent="0.3">
      <c r="L4560" s="36"/>
      <c r="R4560" s="34"/>
      <c r="AC4560" s="36"/>
    </row>
    <row r="4561" spans="12:29" x14ac:dyDescent="0.3">
      <c r="L4561" s="36"/>
      <c r="R4561" s="34"/>
      <c r="AC4561" s="36"/>
    </row>
    <row r="4562" spans="12:29" x14ac:dyDescent="0.3">
      <c r="L4562" s="36"/>
      <c r="R4562" s="34"/>
      <c r="AC4562" s="36"/>
    </row>
    <row r="4563" spans="12:29" x14ac:dyDescent="0.3">
      <c r="L4563" s="36"/>
      <c r="R4563" s="34"/>
      <c r="AC4563" s="36"/>
    </row>
    <row r="4564" spans="12:29" x14ac:dyDescent="0.3">
      <c r="L4564" s="36"/>
      <c r="R4564" s="34"/>
      <c r="AC4564" s="36"/>
    </row>
    <row r="4565" spans="12:29" x14ac:dyDescent="0.3">
      <c r="L4565" s="36"/>
      <c r="R4565" s="34"/>
      <c r="AC4565" s="36"/>
    </row>
    <row r="4566" spans="12:29" x14ac:dyDescent="0.3">
      <c r="L4566" s="36"/>
      <c r="R4566" s="34"/>
      <c r="AC4566" s="36"/>
    </row>
    <row r="4567" spans="12:29" x14ac:dyDescent="0.3">
      <c r="L4567" s="36"/>
      <c r="R4567" s="34"/>
      <c r="AC4567" s="36"/>
    </row>
    <row r="4568" spans="12:29" x14ac:dyDescent="0.3">
      <c r="L4568" s="36"/>
      <c r="R4568" s="34"/>
      <c r="AC4568" s="36"/>
    </row>
    <row r="4569" spans="12:29" x14ac:dyDescent="0.3">
      <c r="L4569" s="36"/>
      <c r="R4569" s="34"/>
      <c r="AC4569" s="36"/>
    </row>
    <row r="4570" spans="12:29" x14ac:dyDescent="0.3">
      <c r="L4570" s="36"/>
      <c r="R4570" s="34"/>
      <c r="AC4570" s="36"/>
    </row>
    <row r="4571" spans="12:29" x14ac:dyDescent="0.3">
      <c r="L4571" s="36"/>
      <c r="R4571" s="34"/>
      <c r="AC4571" s="36"/>
    </row>
    <row r="4572" spans="12:29" x14ac:dyDescent="0.3">
      <c r="L4572" s="36"/>
      <c r="R4572" s="34"/>
      <c r="AC4572" s="36"/>
    </row>
    <row r="4573" spans="12:29" x14ac:dyDescent="0.3">
      <c r="L4573" s="36"/>
      <c r="R4573" s="34"/>
      <c r="AC4573" s="36"/>
    </row>
    <row r="4574" spans="12:29" x14ac:dyDescent="0.3">
      <c r="L4574" s="36"/>
      <c r="R4574" s="34"/>
      <c r="AC4574" s="36"/>
    </row>
    <row r="4575" spans="12:29" x14ac:dyDescent="0.3">
      <c r="L4575" s="36"/>
      <c r="R4575" s="34"/>
      <c r="AC4575" s="36"/>
    </row>
    <row r="4576" spans="12:29" x14ac:dyDescent="0.3">
      <c r="L4576" s="36"/>
      <c r="R4576" s="34"/>
      <c r="AC4576" s="36"/>
    </row>
    <row r="4577" spans="12:29" x14ac:dyDescent="0.3">
      <c r="L4577" s="36"/>
      <c r="R4577" s="34"/>
      <c r="AC4577" s="36"/>
    </row>
    <row r="4578" spans="12:29" x14ac:dyDescent="0.3">
      <c r="L4578" s="36"/>
      <c r="R4578" s="34"/>
      <c r="AC4578" s="36"/>
    </row>
    <row r="4579" spans="12:29" x14ac:dyDescent="0.3">
      <c r="L4579" s="36"/>
      <c r="R4579" s="34"/>
      <c r="AC4579" s="36"/>
    </row>
    <row r="4580" spans="12:29" x14ac:dyDescent="0.3">
      <c r="L4580" s="36"/>
      <c r="R4580" s="34"/>
      <c r="AC4580" s="36"/>
    </row>
    <row r="4581" spans="12:29" x14ac:dyDescent="0.3">
      <c r="L4581" s="36"/>
      <c r="R4581" s="34"/>
      <c r="AC4581" s="36"/>
    </row>
    <row r="4582" spans="12:29" x14ac:dyDescent="0.3">
      <c r="L4582" s="36"/>
      <c r="R4582" s="34"/>
      <c r="AC4582" s="36"/>
    </row>
    <row r="4583" spans="12:29" x14ac:dyDescent="0.3">
      <c r="L4583" s="36"/>
      <c r="R4583" s="34"/>
      <c r="AC4583" s="36"/>
    </row>
    <row r="4584" spans="12:29" x14ac:dyDescent="0.3">
      <c r="L4584" s="36"/>
      <c r="R4584" s="34"/>
      <c r="AC4584" s="36"/>
    </row>
    <row r="4585" spans="12:29" x14ac:dyDescent="0.3">
      <c r="L4585" s="36"/>
      <c r="R4585" s="34"/>
      <c r="AC4585" s="36"/>
    </row>
    <row r="4586" spans="12:29" x14ac:dyDescent="0.3">
      <c r="L4586" s="36"/>
      <c r="R4586" s="34"/>
      <c r="AC4586" s="36"/>
    </row>
    <row r="4587" spans="12:29" x14ac:dyDescent="0.3">
      <c r="L4587" s="36"/>
      <c r="R4587" s="34"/>
      <c r="AC4587" s="36"/>
    </row>
    <row r="4588" spans="12:29" x14ac:dyDescent="0.3">
      <c r="L4588" s="36"/>
      <c r="R4588" s="34"/>
      <c r="AC4588" s="36"/>
    </row>
    <row r="4589" spans="12:29" x14ac:dyDescent="0.3">
      <c r="L4589" s="36"/>
      <c r="R4589" s="34"/>
      <c r="AC4589" s="36"/>
    </row>
    <row r="4590" spans="12:29" x14ac:dyDescent="0.3">
      <c r="L4590" s="36"/>
      <c r="R4590" s="34"/>
      <c r="AC4590" s="36"/>
    </row>
    <row r="4591" spans="12:29" x14ac:dyDescent="0.3">
      <c r="L4591" s="36"/>
      <c r="R4591" s="34"/>
      <c r="AC4591" s="36"/>
    </row>
    <row r="4592" spans="12:29" x14ac:dyDescent="0.3">
      <c r="L4592" s="36"/>
      <c r="R4592" s="34"/>
      <c r="AC4592" s="36"/>
    </row>
    <row r="4593" spans="12:29" x14ac:dyDescent="0.3">
      <c r="L4593" s="36"/>
      <c r="R4593" s="34"/>
      <c r="AC4593" s="36"/>
    </row>
    <row r="4594" spans="12:29" x14ac:dyDescent="0.3">
      <c r="L4594" s="36"/>
      <c r="R4594" s="34"/>
      <c r="AC4594" s="36"/>
    </row>
    <row r="4595" spans="12:29" x14ac:dyDescent="0.3">
      <c r="L4595" s="36"/>
      <c r="R4595" s="34"/>
      <c r="AC4595" s="36"/>
    </row>
    <row r="4596" spans="12:29" x14ac:dyDescent="0.3">
      <c r="L4596" s="36"/>
      <c r="R4596" s="34"/>
      <c r="AC4596" s="36"/>
    </row>
    <row r="4597" spans="12:29" x14ac:dyDescent="0.3">
      <c r="L4597" s="36"/>
      <c r="R4597" s="34"/>
      <c r="AC4597" s="36"/>
    </row>
    <row r="4598" spans="12:29" x14ac:dyDescent="0.3">
      <c r="L4598" s="36"/>
      <c r="R4598" s="34"/>
      <c r="AC4598" s="36"/>
    </row>
    <row r="4599" spans="12:29" x14ac:dyDescent="0.3">
      <c r="L4599" s="36"/>
      <c r="R4599" s="34"/>
      <c r="AC4599" s="36"/>
    </row>
    <row r="4600" spans="12:29" x14ac:dyDescent="0.3">
      <c r="L4600" s="36"/>
      <c r="R4600" s="34"/>
      <c r="AC4600" s="36"/>
    </row>
    <row r="4601" spans="12:29" x14ac:dyDescent="0.3">
      <c r="L4601" s="36"/>
      <c r="R4601" s="34"/>
      <c r="AC4601" s="36"/>
    </row>
    <row r="4602" spans="12:29" x14ac:dyDescent="0.3">
      <c r="L4602" s="36"/>
      <c r="R4602" s="34"/>
      <c r="AC4602" s="36"/>
    </row>
    <row r="4603" spans="12:29" x14ac:dyDescent="0.3">
      <c r="L4603" s="36"/>
      <c r="R4603" s="34"/>
      <c r="AC4603" s="36"/>
    </row>
    <row r="4604" spans="12:29" x14ac:dyDescent="0.3">
      <c r="L4604" s="36"/>
      <c r="R4604" s="34"/>
      <c r="AC4604" s="36"/>
    </row>
    <row r="4605" spans="12:29" x14ac:dyDescent="0.3">
      <c r="L4605" s="36"/>
      <c r="R4605" s="34"/>
      <c r="AC4605" s="36"/>
    </row>
    <row r="4606" spans="12:29" x14ac:dyDescent="0.3">
      <c r="L4606" s="36"/>
      <c r="R4606" s="34"/>
      <c r="AC4606" s="36"/>
    </row>
    <row r="4607" spans="12:29" x14ac:dyDescent="0.3">
      <c r="L4607" s="36"/>
      <c r="R4607" s="34"/>
      <c r="AC4607" s="36"/>
    </row>
    <row r="4608" spans="12:29" x14ac:dyDescent="0.3">
      <c r="L4608" s="36"/>
      <c r="R4608" s="34"/>
      <c r="AC4608" s="36"/>
    </row>
    <row r="4609" spans="12:29" x14ac:dyDescent="0.3">
      <c r="L4609" s="36"/>
      <c r="R4609" s="34"/>
      <c r="AC4609" s="36"/>
    </row>
    <row r="4610" spans="12:29" x14ac:dyDescent="0.3">
      <c r="L4610" s="36"/>
      <c r="R4610" s="34"/>
      <c r="AC4610" s="36"/>
    </row>
    <row r="4611" spans="12:29" x14ac:dyDescent="0.3">
      <c r="L4611" s="36"/>
      <c r="R4611" s="34"/>
      <c r="AC4611" s="36"/>
    </row>
    <row r="4612" spans="12:29" x14ac:dyDescent="0.3">
      <c r="L4612" s="36"/>
      <c r="R4612" s="34"/>
      <c r="AC4612" s="36"/>
    </row>
    <row r="4613" spans="12:29" x14ac:dyDescent="0.3">
      <c r="L4613" s="36"/>
      <c r="R4613" s="34"/>
      <c r="AC4613" s="36"/>
    </row>
    <row r="4614" spans="12:29" x14ac:dyDescent="0.3">
      <c r="L4614" s="36"/>
      <c r="R4614" s="34"/>
      <c r="AC4614" s="36"/>
    </row>
    <row r="4615" spans="12:29" x14ac:dyDescent="0.3">
      <c r="L4615" s="36"/>
      <c r="R4615" s="34"/>
      <c r="AC4615" s="36"/>
    </row>
    <row r="4616" spans="12:29" x14ac:dyDescent="0.3">
      <c r="L4616" s="36"/>
      <c r="R4616" s="34"/>
      <c r="AC4616" s="36"/>
    </row>
    <row r="4617" spans="12:29" x14ac:dyDescent="0.3">
      <c r="L4617" s="36"/>
      <c r="R4617" s="34"/>
      <c r="AC4617" s="36"/>
    </row>
    <row r="4618" spans="12:29" x14ac:dyDescent="0.3">
      <c r="L4618" s="36"/>
      <c r="R4618" s="34"/>
      <c r="AC4618" s="36"/>
    </row>
    <row r="4619" spans="12:29" x14ac:dyDescent="0.3">
      <c r="L4619" s="36"/>
      <c r="R4619" s="34"/>
      <c r="AC4619" s="36"/>
    </row>
    <row r="4620" spans="12:29" x14ac:dyDescent="0.3">
      <c r="L4620" s="36"/>
      <c r="R4620" s="34"/>
      <c r="AC4620" s="36"/>
    </row>
    <row r="4621" spans="12:29" x14ac:dyDescent="0.3">
      <c r="L4621" s="36"/>
      <c r="R4621" s="34"/>
      <c r="AC4621" s="36"/>
    </row>
    <row r="4622" spans="12:29" x14ac:dyDescent="0.3">
      <c r="L4622" s="36"/>
      <c r="R4622" s="34"/>
      <c r="AC4622" s="36"/>
    </row>
    <row r="4623" spans="12:29" x14ac:dyDescent="0.3">
      <c r="L4623" s="36"/>
      <c r="R4623" s="34"/>
      <c r="AC4623" s="36"/>
    </row>
    <row r="4624" spans="12:29" x14ac:dyDescent="0.3">
      <c r="L4624" s="36"/>
      <c r="R4624" s="34"/>
      <c r="AC4624" s="36"/>
    </row>
    <row r="4625" spans="12:29" x14ac:dyDescent="0.3">
      <c r="L4625" s="36"/>
      <c r="R4625" s="34"/>
      <c r="AC4625" s="36"/>
    </row>
    <row r="4626" spans="12:29" x14ac:dyDescent="0.3">
      <c r="L4626" s="36"/>
      <c r="R4626" s="34"/>
      <c r="AC4626" s="36"/>
    </row>
    <row r="4627" spans="12:29" x14ac:dyDescent="0.3">
      <c r="L4627" s="36"/>
      <c r="R4627" s="34"/>
      <c r="AC4627" s="36"/>
    </row>
    <row r="4628" spans="12:29" x14ac:dyDescent="0.3">
      <c r="L4628" s="36"/>
      <c r="R4628" s="34"/>
      <c r="AC4628" s="36"/>
    </row>
    <row r="4629" spans="12:29" x14ac:dyDescent="0.3">
      <c r="L4629" s="36"/>
      <c r="R4629" s="34"/>
      <c r="AC4629" s="36"/>
    </row>
    <row r="4630" spans="12:29" x14ac:dyDescent="0.3">
      <c r="L4630" s="36"/>
      <c r="R4630" s="34"/>
      <c r="AC4630" s="36"/>
    </row>
    <row r="4631" spans="12:29" x14ac:dyDescent="0.3">
      <c r="L4631" s="36"/>
      <c r="R4631" s="34"/>
      <c r="AC4631" s="36"/>
    </row>
    <row r="4632" spans="12:29" x14ac:dyDescent="0.3">
      <c r="L4632" s="36"/>
      <c r="R4632" s="34"/>
      <c r="AC4632" s="36"/>
    </row>
    <row r="4633" spans="12:29" x14ac:dyDescent="0.3">
      <c r="L4633" s="36"/>
      <c r="R4633" s="34"/>
      <c r="AC4633" s="36"/>
    </row>
    <row r="4634" spans="12:29" x14ac:dyDescent="0.3">
      <c r="L4634" s="36"/>
      <c r="R4634" s="34"/>
      <c r="AC4634" s="36"/>
    </row>
    <row r="4635" spans="12:29" x14ac:dyDescent="0.3">
      <c r="L4635" s="36"/>
      <c r="R4635" s="34"/>
      <c r="AC4635" s="36"/>
    </row>
    <row r="4636" spans="12:29" x14ac:dyDescent="0.3">
      <c r="L4636" s="36"/>
      <c r="R4636" s="34"/>
      <c r="AC4636" s="36"/>
    </row>
    <row r="4637" spans="12:29" x14ac:dyDescent="0.3">
      <c r="L4637" s="36"/>
      <c r="R4637" s="34"/>
      <c r="AC4637" s="36"/>
    </row>
    <row r="4638" spans="12:29" x14ac:dyDescent="0.3">
      <c r="L4638" s="36"/>
      <c r="R4638" s="34"/>
      <c r="AC4638" s="36"/>
    </row>
    <row r="4639" spans="12:29" x14ac:dyDescent="0.3">
      <c r="L4639" s="36"/>
      <c r="R4639" s="34"/>
      <c r="AC4639" s="36"/>
    </row>
    <row r="4640" spans="12:29" x14ac:dyDescent="0.3">
      <c r="L4640" s="36"/>
      <c r="R4640" s="34"/>
      <c r="AC4640" s="36"/>
    </row>
    <row r="4641" spans="12:29" x14ac:dyDescent="0.3">
      <c r="L4641" s="36"/>
      <c r="R4641" s="34"/>
      <c r="AC4641" s="36"/>
    </row>
    <row r="4642" spans="12:29" x14ac:dyDescent="0.3">
      <c r="L4642" s="36"/>
      <c r="R4642" s="34"/>
      <c r="AC4642" s="36"/>
    </row>
    <row r="4643" spans="12:29" x14ac:dyDescent="0.3">
      <c r="L4643" s="36"/>
      <c r="R4643" s="34"/>
      <c r="AC4643" s="36"/>
    </row>
    <row r="4644" spans="12:29" x14ac:dyDescent="0.3">
      <c r="L4644" s="36"/>
      <c r="R4644" s="34"/>
      <c r="AC4644" s="36"/>
    </row>
    <row r="4645" spans="12:29" x14ac:dyDescent="0.3">
      <c r="L4645" s="36"/>
      <c r="R4645" s="34"/>
      <c r="AC4645" s="36"/>
    </row>
    <row r="4646" spans="12:29" x14ac:dyDescent="0.3">
      <c r="L4646" s="36"/>
      <c r="R4646" s="34"/>
      <c r="AC4646" s="36"/>
    </row>
    <row r="4647" spans="12:29" x14ac:dyDescent="0.3">
      <c r="L4647" s="36"/>
      <c r="R4647" s="34"/>
      <c r="AC4647" s="36"/>
    </row>
    <row r="4648" spans="12:29" x14ac:dyDescent="0.3">
      <c r="L4648" s="36"/>
      <c r="R4648" s="34"/>
      <c r="AC4648" s="36"/>
    </row>
    <row r="4649" spans="12:29" x14ac:dyDescent="0.3">
      <c r="L4649" s="36"/>
      <c r="R4649" s="34"/>
      <c r="AC4649" s="36"/>
    </row>
    <row r="4650" spans="12:29" x14ac:dyDescent="0.3">
      <c r="L4650" s="36"/>
      <c r="R4650" s="34"/>
      <c r="AC4650" s="36"/>
    </row>
    <row r="4651" spans="12:29" x14ac:dyDescent="0.3">
      <c r="L4651" s="36"/>
      <c r="R4651" s="34"/>
      <c r="AC4651" s="36"/>
    </row>
    <row r="4652" spans="12:29" x14ac:dyDescent="0.3">
      <c r="L4652" s="36"/>
      <c r="R4652" s="34"/>
      <c r="AC4652" s="36"/>
    </row>
    <row r="4653" spans="12:29" x14ac:dyDescent="0.3">
      <c r="L4653" s="36"/>
      <c r="R4653" s="34"/>
      <c r="AC4653" s="36"/>
    </row>
    <row r="4654" spans="12:29" x14ac:dyDescent="0.3">
      <c r="L4654" s="36"/>
      <c r="R4654" s="34"/>
      <c r="AC4654" s="36"/>
    </row>
    <row r="4655" spans="12:29" x14ac:dyDescent="0.3">
      <c r="L4655" s="36"/>
      <c r="R4655" s="34"/>
      <c r="AC4655" s="36"/>
    </row>
    <row r="4656" spans="12:29" x14ac:dyDescent="0.3">
      <c r="L4656" s="36"/>
      <c r="R4656" s="34"/>
      <c r="AC4656" s="36"/>
    </row>
    <row r="4657" spans="12:29" x14ac:dyDescent="0.3">
      <c r="L4657" s="36"/>
      <c r="R4657" s="34"/>
      <c r="AC4657" s="36"/>
    </row>
    <row r="4658" spans="12:29" x14ac:dyDescent="0.3">
      <c r="L4658" s="36"/>
      <c r="R4658" s="34"/>
      <c r="AC4658" s="36"/>
    </row>
    <row r="4659" spans="12:29" x14ac:dyDescent="0.3">
      <c r="L4659" s="36"/>
      <c r="R4659" s="34"/>
      <c r="AC4659" s="36"/>
    </row>
    <row r="4660" spans="12:29" x14ac:dyDescent="0.3">
      <c r="L4660" s="36"/>
      <c r="R4660" s="34"/>
      <c r="AC4660" s="36"/>
    </row>
    <row r="4661" spans="12:29" x14ac:dyDescent="0.3">
      <c r="L4661" s="36"/>
      <c r="R4661" s="34"/>
      <c r="AC4661" s="36"/>
    </row>
    <row r="4662" spans="12:29" x14ac:dyDescent="0.3">
      <c r="L4662" s="36"/>
      <c r="R4662" s="34"/>
      <c r="AC4662" s="36"/>
    </row>
    <row r="4663" spans="12:29" x14ac:dyDescent="0.3">
      <c r="L4663" s="36"/>
      <c r="R4663" s="34"/>
      <c r="AC4663" s="36"/>
    </row>
    <row r="4664" spans="12:29" x14ac:dyDescent="0.3">
      <c r="L4664" s="36"/>
      <c r="R4664" s="34"/>
      <c r="AC4664" s="36"/>
    </row>
    <row r="4665" spans="12:29" x14ac:dyDescent="0.3">
      <c r="L4665" s="36"/>
      <c r="R4665" s="34"/>
      <c r="AC4665" s="36"/>
    </row>
    <row r="4666" spans="12:29" x14ac:dyDescent="0.3">
      <c r="L4666" s="36"/>
      <c r="R4666" s="34"/>
      <c r="AC4666" s="36"/>
    </row>
    <row r="4667" spans="12:29" x14ac:dyDescent="0.3">
      <c r="L4667" s="36"/>
      <c r="R4667" s="34"/>
      <c r="AC4667" s="36"/>
    </row>
    <row r="4668" spans="12:29" x14ac:dyDescent="0.3">
      <c r="L4668" s="36"/>
      <c r="R4668" s="34"/>
      <c r="AC4668" s="36"/>
    </row>
    <row r="4669" spans="12:29" x14ac:dyDescent="0.3">
      <c r="L4669" s="36"/>
      <c r="R4669" s="34"/>
      <c r="AC4669" s="36"/>
    </row>
    <row r="4670" spans="12:29" x14ac:dyDescent="0.3">
      <c r="L4670" s="36"/>
      <c r="R4670" s="34"/>
      <c r="AC4670" s="36"/>
    </row>
    <row r="4671" spans="12:29" x14ac:dyDescent="0.3">
      <c r="L4671" s="36"/>
      <c r="R4671" s="34"/>
      <c r="AC4671" s="36"/>
    </row>
    <row r="4672" spans="12:29" x14ac:dyDescent="0.3">
      <c r="L4672" s="36"/>
      <c r="R4672" s="34"/>
      <c r="AC4672" s="36"/>
    </row>
    <row r="4673" spans="12:29" x14ac:dyDescent="0.3">
      <c r="L4673" s="36"/>
      <c r="R4673" s="34"/>
      <c r="AC4673" s="36"/>
    </row>
    <row r="4674" spans="12:29" x14ac:dyDescent="0.3">
      <c r="L4674" s="36"/>
      <c r="R4674" s="34"/>
      <c r="AC4674" s="36"/>
    </row>
    <row r="4675" spans="12:29" x14ac:dyDescent="0.3">
      <c r="L4675" s="36"/>
      <c r="R4675" s="34"/>
      <c r="AC4675" s="36"/>
    </row>
    <row r="4676" spans="12:29" x14ac:dyDescent="0.3">
      <c r="L4676" s="36"/>
      <c r="R4676" s="34"/>
      <c r="AC4676" s="36"/>
    </row>
    <row r="4677" spans="12:29" x14ac:dyDescent="0.3">
      <c r="L4677" s="36"/>
      <c r="R4677" s="34"/>
      <c r="AC4677" s="36"/>
    </row>
    <row r="4678" spans="12:29" x14ac:dyDescent="0.3">
      <c r="L4678" s="36"/>
      <c r="R4678" s="34"/>
      <c r="AC4678" s="36"/>
    </row>
    <row r="4679" spans="12:29" x14ac:dyDescent="0.3">
      <c r="L4679" s="36"/>
      <c r="R4679" s="34"/>
      <c r="AC4679" s="36"/>
    </row>
    <row r="4680" spans="12:29" x14ac:dyDescent="0.3">
      <c r="L4680" s="36"/>
      <c r="R4680" s="34"/>
      <c r="AC4680" s="36"/>
    </row>
    <row r="4681" spans="12:29" x14ac:dyDescent="0.3">
      <c r="L4681" s="36"/>
      <c r="R4681" s="34"/>
      <c r="AC4681" s="36"/>
    </row>
    <row r="4682" spans="12:29" x14ac:dyDescent="0.3">
      <c r="L4682" s="36"/>
      <c r="R4682" s="34"/>
      <c r="AC4682" s="36"/>
    </row>
    <row r="4683" spans="12:29" x14ac:dyDescent="0.3">
      <c r="L4683" s="36"/>
      <c r="R4683" s="34"/>
      <c r="AC4683" s="36"/>
    </row>
    <row r="4684" spans="12:29" x14ac:dyDescent="0.3">
      <c r="L4684" s="36"/>
      <c r="R4684" s="34"/>
      <c r="AC4684" s="36"/>
    </row>
    <row r="4685" spans="12:29" x14ac:dyDescent="0.3">
      <c r="L4685" s="36"/>
      <c r="R4685" s="34"/>
      <c r="AC4685" s="36"/>
    </row>
    <row r="4686" spans="12:29" x14ac:dyDescent="0.3">
      <c r="L4686" s="36"/>
      <c r="R4686" s="34"/>
      <c r="AC4686" s="36"/>
    </row>
    <row r="4687" spans="12:29" x14ac:dyDescent="0.3">
      <c r="L4687" s="36"/>
      <c r="R4687" s="34"/>
      <c r="AC4687" s="36"/>
    </row>
    <row r="4688" spans="12:29" x14ac:dyDescent="0.3">
      <c r="L4688" s="36"/>
      <c r="R4688" s="34"/>
      <c r="AC4688" s="36"/>
    </row>
    <row r="4689" spans="12:29" x14ac:dyDescent="0.3">
      <c r="L4689" s="36"/>
      <c r="R4689" s="34"/>
      <c r="AC4689" s="36"/>
    </row>
    <row r="4690" spans="12:29" x14ac:dyDescent="0.3">
      <c r="L4690" s="36"/>
      <c r="R4690" s="34"/>
      <c r="AC4690" s="36"/>
    </row>
    <row r="4691" spans="12:29" x14ac:dyDescent="0.3">
      <c r="L4691" s="36"/>
      <c r="R4691" s="34"/>
      <c r="AC4691" s="36"/>
    </row>
    <row r="4692" spans="12:29" x14ac:dyDescent="0.3">
      <c r="L4692" s="36"/>
      <c r="R4692" s="34"/>
      <c r="AC4692" s="36"/>
    </row>
    <row r="4693" spans="12:29" x14ac:dyDescent="0.3">
      <c r="L4693" s="36"/>
      <c r="R4693" s="34"/>
      <c r="AC4693" s="36"/>
    </row>
    <row r="4694" spans="12:29" x14ac:dyDescent="0.3">
      <c r="L4694" s="36"/>
      <c r="R4694" s="34"/>
      <c r="AC4694" s="36"/>
    </row>
    <row r="4695" spans="12:29" x14ac:dyDescent="0.3">
      <c r="L4695" s="36"/>
      <c r="R4695" s="34"/>
      <c r="AC4695" s="36"/>
    </row>
    <row r="4696" spans="12:29" x14ac:dyDescent="0.3">
      <c r="L4696" s="36"/>
      <c r="R4696" s="34"/>
      <c r="AC4696" s="36"/>
    </row>
    <row r="4697" spans="12:29" x14ac:dyDescent="0.3">
      <c r="L4697" s="36"/>
      <c r="R4697" s="34"/>
      <c r="AC4697" s="36"/>
    </row>
    <row r="4698" spans="12:29" x14ac:dyDescent="0.3">
      <c r="L4698" s="36"/>
      <c r="R4698" s="34"/>
      <c r="AC4698" s="36"/>
    </row>
    <row r="4699" spans="12:29" x14ac:dyDescent="0.3">
      <c r="L4699" s="36"/>
      <c r="R4699" s="34"/>
      <c r="AC4699" s="36"/>
    </row>
    <row r="4700" spans="12:29" x14ac:dyDescent="0.3">
      <c r="L4700" s="36"/>
      <c r="R4700" s="34"/>
      <c r="AC4700" s="36"/>
    </row>
    <row r="4701" spans="12:29" x14ac:dyDescent="0.3">
      <c r="L4701" s="36"/>
      <c r="R4701" s="34"/>
      <c r="AC4701" s="36"/>
    </row>
    <row r="4702" spans="12:29" x14ac:dyDescent="0.3">
      <c r="L4702" s="36"/>
      <c r="R4702" s="34"/>
      <c r="AC4702" s="36"/>
    </row>
    <row r="4703" spans="12:29" x14ac:dyDescent="0.3">
      <c r="L4703" s="36"/>
      <c r="R4703" s="34"/>
      <c r="AC4703" s="36"/>
    </row>
    <row r="4704" spans="12:29" x14ac:dyDescent="0.3">
      <c r="L4704" s="36"/>
      <c r="R4704" s="34"/>
      <c r="AC4704" s="36"/>
    </row>
    <row r="4705" spans="12:29" x14ac:dyDescent="0.3">
      <c r="L4705" s="36"/>
      <c r="R4705" s="34"/>
      <c r="AC4705" s="36"/>
    </row>
    <row r="4706" spans="12:29" x14ac:dyDescent="0.3">
      <c r="L4706" s="36"/>
      <c r="R4706" s="34"/>
      <c r="AC4706" s="36"/>
    </row>
    <row r="4707" spans="12:29" x14ac:dyDescent="0.3">
      <c r="L4707" s="36"/>
      <c r="R4707" s="34"/>
      <c r="AC4707" s="36"/>
    </row>
    <row r="4708" spans="12:29" x14ac:dyDescent="0.3">
      <c r="L4708" s="36"/>
      <c r="R4708" s="34"/>
      <c r="AC4708" s="36"/>
    </row>
    <row r="4709" spans="12:29" x14ac:dyDescent="0.3">
      <c r="L4709" s="36"/>
      <c r="R4709" s="34"/>
      <c r="AC4709" s="36"/>
    </row>
    <row r="4710" spans="12:29" x14ac:dyDescent="0.3">
      <c r="L4710" s="36"/>
      <c r="R4710" s="34"/>
      <c r="AC4710" s="36"/>
    </row>
    <row r="4711" spans="12:29" x14ac:dyDescent="0.3">
      <c r="L4711" s="36"/>
      <c r="R4711" s="34"/>
      <c r="AC4711" s="36"/>
    </row>
    <row r="4712" spans="12:29" x14ac:dyDescent="0.3">
      <c r="L4712" s="36"/>
      <c r="R4712" s="34"/>
      <c r="AC4712" s="36"/>
    </row>
    <row r="4713" spans="12:29" x14ac:dyDescent="0.3">
      <c r="L4713" s="36"/>
      <c r="R4713" s="34"/>
      <c r="AC4713" s="36"/>
    </row>
    <row r="4714" spans="12:29" x14ac:dyDescent="0.3">
      <c r="L4714" s="36"/>
      <c r="R4714" s="34"/>
      <c r="AC4714" s="36"/>
    </row>
    <row r="4715" spans="12:29" x14ac:dyDescent="0.3">
      <c r="L4715" s="36"/>
      <c r="R4715" s="34"/>
      <c r="AC4715" s="36"/>
    </row>
    <row r="4716" spans="12:29" x14ac:dyDescent="0.3">
      <c r="L4716" s="36"/>
      <c r="R4716" s="34"/>
      <c r="AC4716" s="36"/>
    </row>
    <row r="4717" spans="12:29" x14ac:dyDescent="0.3">
      <c r="L4717" s="36"/>
      <c r="R4717" s="34"/>
      <c r="AC4717" s="36"/>
    </row>
    <row r="4718" spans="12:29" x14ac:dyDescent="0.3">
      <c r="L4718" s="36"/>
      <c r="R4718" s="34"/>
      <c r="AC4718" s="36"/>
    </row>
    <row r="4719" spans="12:29" x14ac:dyDescent="0.3">
      <c r="L4719" s="36"/>
      <c r="R4719" s="34"/>
      <c r="AC4719" s="36"/>
    </row>
    <row r="4720" spans="12:29" x14ac:dyDescent="0.3">
      <c r="L4720" s="36"/>
      <c r="R4720" s="34"/>
      <c r="AC4720" s="36"/>
    </row>
    <row r="4721" spans="12:29" x14ac:dyDescent="0.3">
      <c r="L4721" s="36"/>
      <c r="R4721" s="34"/>
      <c r="AC4721" s="36"/>
    </row>
    <row r="4722" spans="12:29" x14ac:dyDescent="0.3">
      <c r="L4722" s="36"/>
      <c r="R4722" s="34"/>
      <c r="AC4722" s="36"/>
    </row>
    <row r="4723" spans="12:29" x14ac:dyDescent="0.3">
      <c r="L4723" s="36"/>
      <c r="R4723" s="34"/>
      <c r="AC4723" s="36"/>
    </row>
    <row r="4724" spans="12:29" x14ac:dyDescent="0.3">
      <c r="L4724" s="36"/>
      <c r="R4724" s="34"/>
      <c r="AC4724" s="36"/>
    </row>
    <row r="4725" spans="12:29" x14ac:dyDescent="0.3">
      <c r="L4725" s="36"/>
      <c r="R4725" s="34"/>
      <c r="AC4725" s="36"/>
    </row>
    <row r="4726" spans="12:29" x14ac:dyDescent="0.3">
      <c r="L4726" s="36"/>
      <c r="R4726" s="34"/>
      <c r="AC4726" s="36"/>
    </row>
    <row r="4727" spans="12:29" x14ac:dyDescent="0.3">
      <c r="L4727" s="36"/>
      <c r="R4727" s="34"/>
      <c r="AC4727" s="36"/>
    </row>
    <row r="4728" spans="12:29" x14ac:dyDescent="0.3">
      <c r="L4728" s="36"/>
      <c r="R4728" s="34"/>
      <c r="AC4728" s="36"/>
    </row>
    <row r="4729" spans="12:29" x14ac:dyDescent="0.3">
      <c r="L4729" s="36"/>
      <c r="R4729" s="34"/>
      <c r="AC4729" s="36"/>
    </row>
    <row r="4730" spans="12:29" x14ac:dyDescent="0.3">
      <c r="L4730" s="36"/>
      <c r="R4730" s="34"/>
      <c r="AC4730" s="36"/>
    </row>
    <row r="4731" spans="12:29" x14ac:dyDescent="0.3">
      <c r="L4731" s="36"/>
      <c r="R4731" s="34"/>
      <c r="AC4731" s="36"/>
    </row>
    <row r="4732" spans="12:29" x14ac:dyDescent="0.3">
      <c r="L4732" s="36"/>
      <c r="R4732" s="34"/>
      <c r="AC4732" s="36"/>
    </row>
    <row r="4733" spans="12:29" x14ac:dyDescent="0.3">
      <c r="L4733" s="36"/>
      <c r="R4733" s="34"/>
      <c r="AC4733" s="36"/>
    </row>
    <row r="4734" spans="12:29" x14ac:dyDescent="0.3">
      <c r="L4734" s="36"/>
      <c r="R4734" s="34"/>
      <c r="AC4734" s="36"/>
    </row>
    <row r="4735" spans="12:29" x14ac:dyDescent="0.3">
      <c r="L4735" s="36"/>
      <c r="R4735" s="34"/>
      <c r="AC4735" s="36"/>
    </row>
    <row r="4736" spans="12:29" x14ac:dyDescent="0.3">
      <c r="L4736" s="36"/>
      <c r="R4736" s="34"/>
      <c r="AC4736" s="36"/>
    </row>
    <row r="4737" spans="12:29" x14ac:dyDescent="0.3">
      <c r="L4737" s="36"/>
      <c r="R4737" s="34"/>
      <c r="AC4737" s="36"/>
    </row>
    <row r="4738" spans="12:29" x14ac:dyDescent="0.3">
      <c r="L4738" s="36"/>
      <c r="R4738" s="34"/>
      <c r="AC4738" s="36"/>
    </row>
    <row r="4739" spans="12:29" x14ac:dyDescent="0.3">
      <c r="L4739" s="36"/>
      <c r="R4739" s="34"/>
      <c r="AC4739" s="36"/>
    </row>
    <row r="4740" spans="12:29" x14ac:dyDescent="0.3">
      <c r="L4740" s="36"/>
      <c r="R4740" s="34"/>
      <c r="AC4740" s="36"/>
    </row>
    <row r="4741" spans="12:29" x14ac:dyDescent="0.3">
      <c r="L4741" s="36"/>
      <c r="R4741" s="34"/>
      <c r="AC4741" s="36"/>
    </row>
    <row r="4742" spans="12:29" x14ac:dyDescent="0.3">
      <c r="L4742" s="36"/>
      <c r="R4742" s="34"/>
      <c r="AC4742" s="36"/>
    </row>
    <row r="4743" spans="12:29" x14ac:dyDescent="0.3">
      <c r="L4743" s="36"/>
      <c r="R4743" s="34"/>
      <c r="AC4743" s="36"/>
    </row>
    <row r="4744" spans="12:29" x14ac:dyDescent="0.3">
      <c r="L4744" s="36"/>
      <c r="R4744" s="34"/>
      <c r="AC4744" s="36"/>
    </row>
    <row r="4745" spans="12:29" x14ac:dyDescent="0.3">
      <c r="L4745" s="36"/>
      <c r="R4745" s="34"/>
      <c r="AC4745" s="36"/>
    </row>
    <row r="4746" spans="12:29" x14ac:dyDescent="0.3">
      <c r="L4746" s="36"/>
      <c r="R4746" s="34"/>
      <c r="AC4746" s="36"/>
    </row>
    <row r="4747" spans="12:29" x14ac:dyDescent="0.3">
      <c r="L4747" s="36"/>
      <c r="R4747" s="34"/>
      <c r="AC4747" s="36"/>
    </row>
    <row r="4748" spans="12:29" x14ac:dyDescent="0.3">
      <c r="L4748" s="36"/>
      <c r="R4748" s="34"/>
      <c r="AC4748" s="36"/>
    </row>
    <row r="4749" spans="12:29" x14ac:dyDescent="0.3">
      <c r="L4749" s="36"/>
      <c r="R4749" s="34"/>
      <c r="AC4749" s="36"/>
    </row>
    <row r="4750" spans="12:29" x14ac:dyDescent="0.3">
      <c r="L4750" s="36"/>
      <c r="R4750" s="34"/>
      <c r="AC4750" s="36"/>
    </row>
    <row r="4751" spans="12:29" x14ac:dyDescent="0.3">
      <c r="L4751" s="36"/>
      <c r="R4751" s="34"/>
      <c r="AC4751" s="36"/>
    </row>
    <row r="4752" spans="12:29" x14ac:dyDescent="0.3">
      <c r="L4752" s="36"/>
      <c r="R4752" s="34"/>
      <c r="AC4752" s="36"/>
    </row>
    <row r="4753" spans="12:29" x14ac:dyDescent="0.3">
      <c r="L4753" s="36"/>
      <c r="R4753" s="34"/>
      <c r="AC4753" s="36"/>
    </row>
    <row r="4754" spans="12:29" x14ac:dyDescent="0.3">
      <c r="L4754" s="36"/>
      <c r="R4754" s="34"/>
      <c r="AC4754" s="36"/>
    </row>
    <row r="4755" spans="12:29" x14ac:dyDescent="0.3">
      <c r="L4755" s="36"/>
      <c r="R4755" s="34"/>
      <c r="AC4755" s="36"/>
    </row>
    <row r="4756" spans="12:29" x14ac:dyDescent="0.3">
      <c r="L4756" s="36"/>
      <c r="R4756" s="34"/>
      <c r="AC4756" s="36"/>
    </row>
    <row r="4757" spans="12:29" x14ac:dyDescent="0.3">
      <c r="L4757" s="36"/>
      <c r="R4757" s="34"/>
      <c r="AC4757" s="36"/>
    </row>
    <row r="4758" spans="12:29" x14ac:dyDescent="0.3">
      <c r="L4758" s="36"/>
      <c r="R4758" s="34"/>
      <c r="AC4758" s="36"/>
    </row>
    <row r="4759" spans="12:29" x14ac:dyDescent="0.3">
      <c r="L4759" s="36"/>
      <c r="R4759" s="34"/>
      <c r="AC4759" s="36"/>
    </row>
    <row r="4760" spans="12:29" x14ac:dyDescent="0.3">
      <c r="L4760" s="36"/>
      <c r="R4760" s="34"/>
      <c r="AC4760" s="36"/>
    </row>
    <row r="4761" spans="12:29" x14ac:dyDescent="0.3">
      <c r="L4761" s="36"/>
      <c r="R4761" s="34"/>
      <c r="AC4761" s="36"/>
    </row>
    <row r="4762" spans="12:29" x14ac:dyDescent="0.3">
      <c r="L4762" s="36"/>
      <c r="R4762" s="34"/>
      <c r="AC4762" s="36"/>
    </row>
    <row r="4763" spans="12:29" x14ac:dyDescent="0.3">
      <c r="L4763" s="36"/>
      <c r="R4763" s="34"/>
      <c r="AC4763" s="36"/>
    </row>
    <row r="4764" spans="12:29" x14ac:dyDescent="0.3">
      <c r="L4764" s="36"/>
      <c r="R4764" s="34"/>
      <c r="AC4764" s="36"/>
    </row>
    <row r="4765" spans="12:29" x14ac:dyDescent="0.3">
      <c r="L4765" s="36"/>
      <c r="R4765" s="34"/>
      <c r="AC4765" s="36"/>
    </row>
    <row r="4766" spans="12:29" x14ac:dyDescent="0.3">
      <c r="L4766" s="36"/>
      <c r="R4766" s="34"/>
      <c r="AC4766" s="36"/>
    </row>
    <row r="4767" spans="12:29" x14ac:dyDescent="0.3">
      <c r="L4767" s="36"/>
      <c r="R4767" s="34"/>
      <c r="AC4767" s="36"/>
    </row>
    <row r="4768" spans="12:29" x14ac:dyDescent="0.3">
      <c r="L4768" s="36"/>
      <c r="R4768" s="34"/>
      <c r="AC4768" s="36"/>
    </row>
    <row r="4769" spans="12:29" x14ac:dyDescent="0.3">
      <c r="L4769" s="36"/>
      <c r="R4769" s="34"/>
      <c r="AC4769" s="36"/>
    </row>
    <row r="4770" spans="12:29" x14ac:dyDescent="0.3">
      <c r="L4770" s="36"/>
      <c r="R4770" s="34"/>
      <c r="AC4770" s="36"/>
    </row>
    <row r="4771" spans="12:29" x14ac:dyDescent="0.3">
      <c r="L4771" s="36"/>
      <c r="R4771" s="34"/>
      <c r="AC4771" s="36"/>
    </row>
    <row r="4772" spans="12:29" x14ac:dyDescent="0.3">
      <c r="L4772" s="36"/>
      <c r="R4772" s="34"/>
      <c r="AC4772" s="36"/>
    </row>
    <row r="4773" spans="12:29" x14ac:dyDescent="0.3">
      <c r="L4773" s="36"/>
      <c r="R4773" s="34"/>
      <c r="AC4773" s="36"/>
    </row>
    <row r="4774" spans="12:29" x14ac:dyDescent="0.3">
      <c r="L4774" s="36"/>
      <c r="R4774" s="34"/>
      <c r="AC4774" s="36"/>
    </row>
    <row r="4775" spans="12:29" x14ac:dyDescent="0.3">
      <c r="L4775" s="36"/>
      <c r="R4775" s="34"/>
      <c r="AC4775" s="36"/>
    </row>
    <row r="4776" spans="12:29" x14ac:dyDescent="0.3">
      <c r="L4776" s="36"/>
      <c r="R4776" s="34"/>
      <c r="AC4776" s="36"/>
    </row>
    <row r="4777" spans="12:29" x14ac:dyDescent="0.3">
      <c r="L4777" s="36"/>
      <c r="R4777" s="34"/>
      <c r="AC4777" s="36"/>
    </row>
    <row r="4778" spans="12:29" x14ac:dyDescent="0.3">
      <c r="L4778" s="36"/>
      <c r="R4778" s="34"/>
      <c r="AC4778" s="36"/>
    </row>
    <row r="4779" spans="12:29" x14ac:dyDescent="0.3">
      <c r="L4779" s="36"/>
      <c r="R4779" s="34"/>
      <c r="AC4779" s="36"/>
    </row>
    <row r="4780" spans="12:29" x14ac:dyDescent="0.3">
      <c r="L4780" s="36"/>
      <c r="R4780" s="34"/>
      <c r="AC4780" s="36"/>
    </row>
    <row r="4781" spans="12:29" x14ac:dyDescent="0.3">
      <c r="L4781" s="36"/>
      <c r="R4781" s="34"/>
      <c r="AC4781" s="36"/>
    </row>
    <row r="4782" spans="12:29" x14ac:dyDescent="0.3">
      <c r="L4782" s="36"/>
      <c r="R4782" s="34"/>
      <c r="AC4782" s="36"/>
    </row>
    <row r="4783" spans="12:29" x14ac:dyDescent="0.3">
      <c r="L4783" s="36"/>
      <c r="R4783" s="34"/>
      <c r="AC4783" s="36"/>
    </row>
    <row r="4784" spans="12:29" x14ac:dyDescent="0.3">
      <c r="L4784" s="36"/>
      <c r="R4784" s="34"/>
      <c r="AC4784" s="36"/>
    </row>
    <row r="4785" spans="12:29" x14ac:dyDescent="0.3">
      <c r="L4785" s="36"/>
      <c r="R4785" s="34"/>
      <c r="AC4785" s="36"/>
    </row>
    <row r="4786" spans="12:29" x14ac:dyDescent="0.3">
      <c r="L4786" s="36"/>
      <c r="R4786" s="34"/>
      <c r="AC4786" s="36"/>
    </row>
    <row r="4787" spans="12:29" x14ac:dyDescent="0.3">
      <c r="L4787" s="36"/>
      <c r="R4787" s="34"/>
      <c r="AC4787" s="36"/>
    </row>
    <row r="4788" spans="12:29" x14ac:dyDescent="0.3">
      <c r="L4788" s="36"/>
      <c r="R4788" s="34"/>
      <c r="AC4788" s="36"/>
    </row>
    <row r="4789" spans="12:29" x14ac:dyDescent="0.3">
      <c r="L4789" s="36"/>
      <c r="R4789" s="34"/>
      <c r="AC4789" s="36"/>
    </row>
    <row r="4790" spans="12:29" x14ac:dyDescent="0.3">
      <c r="L4790" s="36"/>
      <c r="R4790" s="34"/>
      <c r="AC4790" s="36"/>
    </row>
    <row r="4791" spans="12:29" x14ac:dyDescent="0.3">
      <c r="L4791" s="36"/>
      <c r="R4791" s="34"/>
      <c r="AC4791" s="36"/>
    </row>
    <row r="4792" spans="12:29" x14ac:dyDescent="0.3">
      <c r="L4792" s="36"/>
      <c r="R4792" s="34"/>
      <c r="AC4792" s="36"/>
    </row>
    <row r="4793" spans="12:29" x14ac:dyDescent="0.3">
      <c r="L4793" s="36"/>
      <c r="R4793" s="34"/>
      <c r="AC4793" s="36"/>
    </row>
    <row r="4794" spans="12:29" x14ac:dyDescent="0.3">
      <c r="L4794" s="36"/>
      <c r="R4794" s="34"/>
      <c r="AC4794" s="36"/>
    </row>
    <row r="4795" spans="12:29" x14ac:dyDescent="0.3">
      <c r="L4795" s="36"/>
      <c r="R4795" s="34"/>
      <c r="AC4795" s="36"/>
    </row>
    <row r="4796" spans="12:29" x14ac:dyDescent="0.3">
      <c r="L4796" s="36"/>
      <c r="R4796" s="34"/>
      <c r="AC4796" s="36"/>
    </row>
    <row r="4797" spans="12:29" x14ac:dyDescent="0.3">
      <c r="L4797" s="36"/>
      <c r="R4797" s="34"/>
      <c r="AC4797" s="36"/>
    </row>
    <row r="4798" spans="12:29" x14ac:dyDescent="0.3">
      <c r="L4798" s="36"/>
      <c r="R4798" s="34"/>
      <c r="AC4798" s="36"/>
    </row>
    <row r="4799" spans="12:29" x14ac:dyDescent="0.3">
      <c r="L4799" s="36"/>
      <c r="R4799" s="34"/>
      <c r="AC4799" s="36"/>
    </row>
    <row r="4800" spans="12:29" x14ac:dyDescent="0.3">
      <c r="L4800" s="36"/>
      <c r="R4800" s="34"/>
      <c r="AC4800" s="36"/>
    </row>
    <row r="4801" spans="12:29" x14ac:dyDescent="0.3">
      <c r="L4801" s="36"/>
      <c r="R4801" s="34"/>
      <c r="AC4801" s="36"/>
    </row>
    <row r="4802" spans="12:29" x14ac:dyDescent="0.3">
      <c r="L4802" s="36"/>
      <c r="R4802" s="34"/>
      <c r="AC4802" s="36"/>
    </row>
    <row r="4803" spans="12:29" x14ac:dyDescent="0.3">
      <c r="L4803" s="36"/>
      <c r="R4803" s="34"/>
      <c r="AC4803" s="36"/>
    </row>
    <row r="4804" spans="12:29" x14ac:dyDescent="0.3">
      <c r="L4804" s="36"/>
      <c r="R4804" s="34"/>
      <c r="AC4804" s="36"/>
    </row>
    <row r="4805" spans="12:29" x14ac:dyDescent="0.3">
      <c r="L4805" s="36"/>
      <c r="R4805" s="34"/>
      <c r="AC4805" s="36"/>
    </row>
    <row r="4806" spans="12:29" x14ac:dyDescent="0.3">
      <c r="L4806" s="36"/>
      <c r="R4806" s="34"/>
      <c r="AC4806" s="36"/>
    </row>
    <row r="4807" spans="12:29" x14ac:dyDescent="0.3">
      <c r="L4807" s="36"/>
      <c r="R4807" s="34"/>
      <c r="AC4807" s="36"/>
    </row>
    <row r="4808" spans="12:29" x14ac:dyDescent="0.3">
      <c r="L4808" s="36"/>
      <c r="R4808" s="34"/>
      <c r="AC4808" s="36"/>
    </row>
    <row r="4809" spans="12:29" x14ac:dyDescent="0.3">
      <c r="L4809" s="36"/>
      <c r="R4809" s="34"/>
      <c r="AC4809" s="36"/>
    </row>
    <row r="4810" spans="12:29" x14ac:dyDescent="0.3">
      <c r="L4810" s="36"/>
      <c r="R4810" s="34"/>
      <c r="AC4810" s="36"/>
    </row>
    <row r="4811" spans="12:29" x14ac:dyDescent="0.3">
      <c r="L4811" s="36"/>
      <c r="R4811" s="34"/>
      <c r="AC4811" s="36"/>
    </row>
    <row r="4812" spans="12:29" x14ac:dyDescent="0.3">
      <c r="L4812" s="36"/>
      <c r="R4812" s="34"/>
      <c r="AC4812" s="36"/>
    </row>
    <row r="4813" spans="12:29" x14ac:dyDescent="0.3">
      <c r="L4813" s="36"/>
      <c r="R4813" s="34"/>
      <c r="AC4813" s="36"/>
    </row>
    <row r="4814" spans="12:29" x14ac:dyDescent="0.3">
      <c r="L4814" s="36"/>
      <c r="R4814" s="34"/>
      <c r="AC4814" s="36"/>
    </row>
    <row r="4815" spans="12:29" x14ac:dyDescent="0.3">
      <c r="L4815" s="36"/>
      <c r="R4815" s="34"/>
      <c r="AC4815" s="36"/>
    </row>
    <row r="4816" spans="12:29" x14ac:dyDescent="0.3">
      <c r="L4816" s="36"/>
      <c r="R4816" s="34"/>
      <c r="AC4816" s="36"/>
    </row>
    <row r="4817" spans="12:29" x14ac:dyDescent="0.3">
      <c r="L4817" s="36"/>
      <c r="R4817" s="34"/>
      <c r="AC4817" s="36"/>
    </row>
    <row r="4818" spans="12:29" x14ac:dyDescent="0.3">
      <c r="L4818" s="36"/>
      <c r="R4818" s="34"/>
      <c r="AC4818" s="36"/>
    </row>
    <row r="4819" spans="12:29" x14ac:dyDescent="0.3">
      <c r="L4819" s="36"/>
      <c r="R4819" s="34"/>
      <c r="AC4819" s="36"/>
    </row>
    <row r="4820" spans="12:29" x14ac:dyDescent="0.3">
      <c r="L4820" s="36"/>
      <c r="R4820" s="34"/>
      <c r="AC4820" s="36"/>
    </row>
    <row r="4821" spans="12:29" x14ac:dyDescent="0.3">
      <c r="L4821" s="36"/>
      <c r="R4821" s="34"/>
      <c r="AC4821" s="36"/>
    </row>
    <row r="4822" spans="12:29" x14ac:dyDescent="0.3">
      <c r="L4822" s="36"/>
      <c r="R4822" s="34"/>
      <c r="AC4822" s="36"/>
    </row>
    <row r="4823" spans="12:29" x14ac:dyDescent="0.3">
      <c r="L4823" s="36"/>
      <c r="R4823" s="34"/>
      <c r="AC4823" s="36"/>
    </row>
    <row r="4824" spans="12:29" x14ac:dyDescent="0.3">
      <c r="L4824" s="36"/>
      <c r="R4824" s="34"/>
      <c r="AC4824" s="36"/>
    </row>
    <row r="4825" spans="12:29" x14ac:dyDescent="0.3">
      <c r="L4825" s="36"/>
      <c r="R4825" s="34"/>
      <c r="AC4825" s="36"/>
    </row>
    <row r="4826" spans="12:29" x14ac:dyDescent="0.3">
      <c r="L4826" s="36"/>
      <c r="R4826" s="34"/>
      <c r="AC4826" s="36"/>
    </row>
    <row r="4827" spans="12:29" x14ac:dyDescent="0.3">
      <c r="L4827" s="36"/>
      <c r="R4827" s="34"/>
      <c r="AC4827" s="36"/>
    </row>
    <row r="4828" spans="12:29" x14ac:dyDescent="0.3">
      <c r="L4828" s="36"/>
      <c r="R4828" s="34"/>
      <c r="AC4828" s="36"/>
    </row>
    <row r="4829" spans="12:29" x14ac:dyDescent="0.3">
      <c r="L4829" s="36"/>
      <c r="R4829" s="34"/>
      <c r="AC4829" s="36"/>
    </row>
    <row r="4830" spans="12:29" x14ac:dyDescent="0.3">
      <c r="L4830" s="36"/>
      <c r="R4830" s="34"/>
      <c r="AC4830" s="36"/>
    </row>
    <row r="4831" spans="12:29" x14ac:dyDescent="0.3">
      <c r="L4831" s="36"/>
      <c r="R4831" s="34"/>
      <c r="AC4831" s="36"/>
    </row>
    <row r="4832" spans="12:29" x14ac:dyDescent="0.3">
      <c r="L4832" s="36"/>
      <c r="R4832" s="34"/>
      <c r="AC4832" s="36"/>
    </row>
    <row r="4833" spans="12:29" x14ac:dyDescent="0.3">
      <c r="L4833" s="36"/>
      <c r="R4833" s="34"/>
      <c r="AC4833" s="36"/>
    </row>
    <row r="4834" spans="12:29" x14ac:dyDescent="0.3">
      <c r="L4834" s="36"/>
      <c r="R4834" s="34"/>
      <c r="AC4834" s="36"/>
    </row>
    <row r="4835" spans="12:29" x14ac:dyDescent="0.3">
      <c r="L4835" s="36"/>
      <c r="R4835" s="34"/>
      <c r="AC4835" s="36"/>
    </row>
    <row r="4836" spans="12:29" x14ac:dyDescent="0.3">
      <c r="L4836" s="36"/>
      <c r="R4836" s="34"/>
      <c r="AC4836" s="36"/>
    </row>
    <row r="4837" spans="12:29" x14ac:dyDescent="0.3">
      <c r="L4837" s="36"/>
      <c r="R4837" s="34"/>
      <c r="AC4837" s="36"/>
    </row>
    <row r="4838" spans="12:29" x14ac:dyDescent="0.3">
      <c r="L4838" s="36"/>
      <c r="R4838" s="34"/>
      <c r="AC4838" s="36"/>
    </row>
    <row r="4839" spans="12:29" x14ac:dyDescent="0.3">
      <c r="L4839" s="36"/>
      <c r="R4839" s="34"/>
      <c r="AC4839" s="36"/>
    </row>
    <row r="4840" spans="12:29" x14ac:dyDescent="0.3">
      <c r="L4840" s="36"/>
      <c r="R4840" s="34"/>
      <c r="AC4840" s="36"/>
    </row>
    <row r="4841" spans="12:29" x14ac:dyDescent="0.3">
      <c r="L4841" s="36"/>
      <c r="R4841" s="34"/>
      <c r="AC4841" s="36"/>
    </row>
    <row r="4842" spans="12:29" x14ac:dyDescent="0.3">
      <c r="L4842" s="36"/>
      <c r="R4842" s="34"/>
      <c r="AC4842" s="36"/>
    </row>
    <row r="4843" spans="12:29" x14ac:dyDescent="0.3">
      <c r="L4843" s="36"/>
      <c r="R4843" s="34"/>
      <c r="AC4843" s="36"/>
    </row>
    <row r="4844" spans="12:29" x14ac:dyDescent="0.3">
      <c r="L4844" s="36"/>
      <c r="R4844" s="34"/>
      <c r="AC4844" s="36"/>
    </row>
    <row r="4845" spans="12:29" x14ac:dyDescent="0.3">
      <c r="L4845" s="36"/>
      <c r="R4845" s="34"/>
      <c r="AC4845" s="36"/>
    </row>
    <row r="4846" spans="12:29" x14ac:dyDescent="0.3">
      <c r="L4846" s="36"/>
      <c r="R4846" s="34"/>
      <c r="AC4846" s="36"/>
    </row>
    <row r="4847" spans="12:29" x14ac:dyDescent="0.3">
      <c r="L4847" s="36"/>
      <c r="R4847" s="34"/>
      <c r="AC4847" s="36"/>
    </row>
    <row r="4848" spans="12:29" x14ac:dyDescent="0.3">
      <c r="L4848" s="36"/>
      <c r="R4848" s="34"/>
      <c r="AC4848" s="36"/>
    </row>
    <row r="4849" spans="12:29" x14ac:dyDescent="0.3">
      <c r="L4849" s="36"/>
      <c r="R4849" s="34"/>
      <c r="AC4849" s="36"/>
    </row>
    <row r="4850" spans="12:29" x14ac:dyDescent="0.3">
      <c r="L4850" s="36"/>
      <c r="R4850" s="34"/>
      <c r="AC4850" s="36"/>
    </row>
    <row r="4851" spans="12:29" x14ac:dyDescent="0.3">
      <c r="L4851" s="36"/>
      <c r="R4851" s="34"/>
      <c r="AC4851" s="36"/>
    </row>
    <row r="4852" spans="12:29" x14ac:dyDescent="0.3">
      <c r="L4852" s="36"/>
      <c r="R4852" s="34"/>
      <c r="AC4852" s="36"/>
    </row>
    <row r="4853" spans="12:29" x14ac:dyDescent="0.3">
      <c r="L4853" s="36"/>
      <c r="R4853" s="34"/>
      <c r="AC4853" s="36"/>
    </row>
    <row r="4854" spans="12:29" x14ac:dyDescent="0.3">
      <c r="L4854" s="36"/>
      <c r="R4854" s="34"/>
      <c r="AC4854" s="36"/>
    </row>
    <row r="4855" spans="12:29" x14ac:dyDescent="0.3">
      <c r="L4855" s="36"/>
      <c r="R4855" s="34"/>
      <c r="AC4855" s="36"/>
    </row>
    <row r="4856" spans="12:29" x14ac:dyDescent="0.3">
      <c r="L4856" s="36"/>
      <c r="R4856" s="34"/>
      <c r="AC4856" s="36"/>
    </row>
    <row r="4857" spans="12:29" x14ac:dyDescent="0.3">
      <c r="L4857" s="36"/>
      <c r="R4857" s="34"/>
      <c r="AC4857" s="36"/>
    </row>
    <row r="4858" spans="12:29" x14ac:dyDescent="0.3">
      <c r="L4858" s="36"/>
      <c r="R4858" s="34"/>
      <c r="AC4858" s="36"/>
    </row>
    <row r="4859" spans="12:29" x14ac:dyDescent="0.3">
      <c r="L4859" s="36"/>
      <c r="R4859" s="34"/>
      <c r="AC4859" s="36"/>
    </row>
    <row r="4860" spans="12:29" x14ac:dyDescent="0.3">
      <c r="L4860" s="36"/>
      <c r="R4860" s="34"/>
      <c r="AC4860" s="36"/>
    </row>
    <row r="4861" spans="12:29" x14ac:dyDescent="0.3">
      <c r="L4861" s="36"/>
      <c r="R4861" s="34"/>
      <c r="AC4861" s="36"/>
    </row>
    <row r="4862" spans="12:29" x14ac:dyDescent="0.3">
      <c r="L4862" s="36"/>
      <c r="R4862" s="34"/>
      <c r="AC4862" s="36"/>
    </row>
    <row r="4863" spans="12:29" x14ac:dyDescent="0.3">
      <c r="L4863" s="36"/>
      <c r="R4863" s="34"/>
      <c r="AC4863" s="36"/>
    </row>
    <row r="4864" spans="12:29" x14ac:dyDescent="0.3">
      <c r="L4864" s="36"/>
      <c r="R4864" s="34"/>
      <c r="AC4864" s="36"/>
    </row>
    <row r="4865" spans="12:29" x14ac:dyDescent="0.3">
      <c r="L4865" s="36"/>
      <c r="R4865" s="34"/>
      <c r="AC4865" s="36"/>
    </row>
    <row r="4866" spans="12:29" x14ac:dyDescent="0.3">
      <c r="L4866" s="36"/>
      <c r="R4866" s="34"/>
      <c r="AC4866" s="36"/>
    </row>
    <row r="4867" spans="12:29" x14ac:dyDescent="0.3">
      <c r="L4867" s="36"/>
      <c r="R4867" s="34"/>
      <c r="AC4867" s="36"/>
    </row>
    <row r="4868" spans="12:29" x14ac:dyDescent="0.3">
      <c r="L4868" s="36"/>
      <c r="R4868" s="34"/>
      <c r="AC4868" s="36"/>
    </row>
    <row r="4869" spans="12:29" x14ac:dyDescent="0.3">
      <c r="L4869" s="36"/>
      <c r="R4869" s="34"/>
      <c r="AC4869" s="36"/>
    </row>
    <row r="4870" spans="12:29" x14ac:dyDescent="0.3">
      <c r="L4870" s="36"/>
      <c r="R4870" s="34"/>
      <c r="AC4870" s="36"/>
    </row>
    <row r="4871" spans="12:29" x14ac:dyDescent="0.3">
      <c r="L4871" s="36"/>
      <c r="R4871" s="34"/>
      <c r="AC4871" s="36"/>
    </row>
    <row r="4872" spans="12:29" x14ac:dyDescent="0.3">
      <c r="L4872" s="36"/>
      <c r="R4872" s="34"/>
      <c r="AC4872" s="36"/>
    </row>
    <row r="4873" spans="12:29" x14ac:dyDescent="0.3">
      <c r="L4873" s="36"/>
      <c r="R4873" s="34"/>
      <c r="AC4873" s="36"/>
    </row>
    <row r="4874" spans="12:29" x14ac:dyDescent="0.3">
      <c r="L4874" s="36"/>
      <c r="R4874" s="34"/>
      <c r="AC4874" s="36"/>
    </row>
    <row r="4875" spans="12:29" x14ac:dyDescent="0.3">
      <c r="L4875" s="36"/>
      <c r="R4875" s="34"/>
      <c r="AC4875" s="36"/>
    </row>
    <row r="4876" spans="12:29" x14ac:dyDescent="0.3">
      <c r="L4876" s="36"/>
      <c r="R4876" s="34"/>
      <c r="AC4876" s="36"/>
    </row>
    <row r="4877" spans="12:29" x14ac:dyDescent="0.3">
      <c r="L4877" s="36"/>
      <c r="R4877" s="34"/>
      <c r="AC4877" s="36"/>
    </row>
    <row r="4878" spans="12:29" x14ac:dyDescent="0.3">
      <c r="L4878" s="36"/>
      <c r="R4878" s="34"/>
      <c r="AC4878" s="36"/>
    </row>
    <row r="4879" spans="12:29" x14ac:dyDescent="0.3">
      <c r="L4879" s="36"/>
      <c r="R4879" s="34"/>
      <c r="AC4879" s="36"/>
    </row>
    <row r="4880" spans="12:29" x14ac:dyDescent="0.3">
      <c r="L4880" s="36"/>
      <c r="R4880" s="34"/>
      <c r="AC4880" s="36"/>
    </row>
    <row r="4881" spans="12:29" x14ac:dyDescent="0.3">
      <c r="L4881" s="36"/>
      <c r="R4881" s="34"/>
      <c r="AC4881" s="36"/>
    </row>
    <row r="4882" spans="12:29" x14ac:dyDescent="0.3">
      <c r="L4882" s="36"/>
      <c r="R4882" s="34"/>
      <c r="AC4882" s="36"/>
    </row>
    <row r="4883" spans="12:29" x14ac:dyDescent="0.3">
      <c r="L4883" s="36"/>
      <c r="R4883" s="34"/>
      <c r="AC4883" s="36"/>
    </row>
    <row r="4884" spans="12:29" x14ac:dyDescent="0.3">
      <c r="L4884" s="36"/>
      <c r="R4884" s="34"/>
      <c r="AC4884" s="36"/>
    </row>
    <row r="4885" spans="12:29" x14ac:dyDescent="0.3">
      <c r="L4885" s="36"/>
      <c r="R4885" s="34"/>
      <c r="AC4885" s="36"/>
    </row>
    <row r="4886" spans="12:29" x14ac:dyDescent="0.3">
      <c r="L4886" s="36"/>
      <c r="R4886" s="34"/>
      <c r="AC4886" s="36"/>
    </row>
    <row r="4887" spans="12:29" x14ac:dyDescent="0.3">
      <c r="L4887" s="36"/>
      <c r="R4887" s="34"/>
      <c r="AC4887" s="36"/>
    </row>
    <row r="4888" spans="12:29" x14ac:dyDescent="0.3">
      <c r="L4888" s="36"/>
      <c r="R4888" s="34"/>
      <c r="AC4888" s="36"/>
    </row>
    <row r="4889" spans="12:29" x14ac:dyDescent="0.3">
      <c r="L4889" s="36"/>
      <c r="R4889" s="34"/>
      <c r="AC4889" s="36"/>
    </row>
    <row r="4890" spans="12:29" x14ac:dyDescent="0.3">
      <c r="L4890" s="36"/>
      <c r="R4890" s="34"/>
      <c r="AC4890" s="36"/>
    </row>
    <row r="4891" spans="12:29" x14ac:dyDescent="0.3">
      <c r="L4891" s="36"/>
      <c r="R4891" s="34"/>
      <c r="AC4891" s="36"/>
    </row>
    <row r="4892" spans="12:29" x14ac:dyDescent="0.3">
      <c r="L4892" s="36"/>
      <c r="R4892" s="34"/>
      <c r="AC4892" s="36"/>
    </row>
    <row r="4893" spans="12:29" x14ac:dyDescent="0.3">
      <c r="L4893" s="36"/>
      <c r="R4893" s="34"/>
      <c r="AC4893" s="36"/>
    </row>
    <row r="4894" spans="12:29" x14ac:dyDescent="0.3">
      <c r="L4894" s="36"/>
      <c r="R4894" s="34"/>
      <c r="AC4894" s="36"/>
    </row>
    <row r="4895" spans="12:29" x14ac:dyDescent="0.3">
      <c r="L4895" s="36"/>
      <c r="R4895" s="34"/>
      <c r="AC4895" s="36"/>
    </row>
    <row r="4896" spans="12:29" x14ac:dyDescent="0.3">
      <c r="L4896" s="36"/>
      <c r="R4896" s="34"/>
      <c r="AC4896" s="36"/>
    </row>
    <row r="4897" spans="12:29" x14ac:dyDescent="0.3">
      <c r="L4897" s="36"/>
      <c r="R4897" s="34"/>
      <c r="AC4897" s="36"/>
    </row>
    <row r="4898" spans="12:29" x14ac:dyDescent="0.3">
      <c r="L4898" s="36"/>
      <c r="R4898" s="34"/>
      <c r="AC4898" s="36"/>
    </row>
    <row r="4899" spans="12:29" x14ac:dyDescent="0.3">
      <c r="L4899" s="36"/>
      <c r="R4899" s="34"/>
      <c r="AC4899" s="36"/>
    </row>
    <row r="4900" spans="12:29" x14ac:dyDescent="0.3">
      <c r="L4900" s="36"/>
      <c r="R4900" s="34"/>
      <c r="AC4900" s="36"/>
    </row>
    <row r="4901" spans="12:29" x14ac:dyDescent="0.3">
      <c r="L4901" s="36"/>
      <c r="R4901" s="34"/>
      <c r="AC4901" s="36"/>
    </row>
    <row r="4902" spans="12:29" x14ac:dyDescent="0.3">
      <c r="L4902" s="36"/>
      <c r="R4902" s="34"/>
      <c r="AC4902" s="36"/>
    </row>
    <row r="4903" spans="12:29" x14ac:dyDescent="0.3">
      <c r="L4903" s="36"/>
      <c r="R4903" s="34"/>
      <c r="AC4903" s="36"/>
    </row>
    <row r="4904" spans="12:29" x14ac:dyDescent="0.3">
      <c r="L4904" s="36"/>
      <c r="R4904" s="34"/>
      <c r="AC4904" s="36"/>
    </row>
    <row r="4905" spans="12:29" x14ac:dyDescent="0.3">
      <c r="L4905" s="36"/>
      <c r="R4905" s="34"/>
      <c r="AC4905" s="36"/>
    </row>
    <row r="4906" spans="12:29" x14ac:dyDescent="0.3">
      <c r="L4906" s="36"/>
      <c r="R4906" s="34"/>
      <c r="AC4906" s="36"/>
    </row>
    <row r="4907" spans="12:29" x14ac:dyDescent="0.3">
      <c r="L4907" s="36"/>
      <c r="R4907" s="34"/>
      <c r="AC4907" s="36"/>
    </row>
    <row r="4908" spans="12:29" x14ac:dyDescent="0.3">
      <c r="L4908" s="36"/>
      <c r="R4908" s="34"/>
      <c r="AC4908" s="36"/>
    </row>
    <row r="4909" spans="12:29" x14ac:dyDescent="0.3">
      <c r="L4909" s="36"/>
      <c r="R4909" s="34"/>
      <c r="AC4909" s="36"/>
    </row>
    <row r="4910" spans="12:29" x14ac:dyDescent="0.3">
      <c r="L4910" s="36"/>
      <c r="R4910" s="34"/>
      <c r="AC4910" s="36"/>
    </row>
    <row r="4911" spans="12:29" x14ac:dyDescent="0.3">
      <c r="L4911" s="36"/>
      <c r="R4911" s="34"/>
      <c r="AC4911" s="36"/>
    </row>
    <row r="4912" spans="12:29" x14ac:dyDescent="0.3">
      <c r="L4912" s="36"/>
      <c r="R4912" s="34"/>
      <c r="AC4912" s="36"/>
    </row>
    <row r="4913" spans="12:29" x14ac:dyDescent="0.3">
      <c r="L4913" s="36"/>
      <c r="R4913" s="34"/>
      <c r="AC4913" s="36"/>
    </row>
    <row r="4914" spans="12:29" x14ac:dyDescent="0.3">
      <c r="L4914" s="36"/>
      <c r="R4914" s="34"/>
      <c r="AC4914" s="36"/>
    </row>
    <row r="4915" spans="12:29" x14ac:dyDescent="0.3">
      <c r="L4915" s="36"/>
      <c r="R4915" s="34"/>
      <c r="AC4915" s="36"/>
    </row>
    <row r="4916" spans="12:29" x14ac:dyDescent="0.3">
      <c r="L4916" s="36"/>
      <c r="R4916" s="34"/>
      <c r="AC4916" s="36"/>
    </row>
    <row r="4917" spans="12:29" x14ac:dyDescent="0.3">
      <c r="L4917" s="36"/>
      <c r="R4917" s="34"/>
      <c r="AC4917" s="36"/>
    </row>
    <row r="4918" spans="12:29" x14ac:dyDescent="0.3">
      <c r="L4918" s="36"/>
      <c r="R4918" s="34"/>
      <c r="AC4918" s="36"/>
    </row>
    <row r="4919" spans="12:29" x14ac:dyDescent="0.3">
      <c r="L4919" s="36"/>
      <c r="R4919" s="34"/>
      <c r="AC4919" s="36"/>
    </row>
    <row r="4920" spans="12:29" x14ac:dyDescent="0.3">
      <c r="L4920" s="36"/>
      <c r="R4920" s="34"/>
      <c r="AC4920" s="36"/>
    </row>
    <row r="4921" spans="12:29" x14ac:dyDescent="0.3">
      <c r="L4921" s="36"/>
      <c r="R4921" s="34"/>
      <c r="AC4921" s="36"/>
    </row>
    <row r="4922" spans="12:29" x14ac:dyDescent="0.3">
      <c r="L4922" s="36"/>
      <c r="R4922" s="34"/>
      <c r="AC4922" s="36"/>
    </row>
    <row r="4923" spans="12:29" x14ac:dyDescent="0.3">
      <c r="L4923" s="36"/>
      <c r="R4923" s="34"/>
      <c r="AC4923" s="36"/>
    </row>
    <row r="4924" spans="12:29" x14ac:dyDescent="0.3">
      <c r="L4924" s="36"/>
      <c r="R4924" s="34"/>
      <c r="AC4924" s="36"/>
    </row>
    <row r="4925" spans="12:29" x14ac:dyDescent="0.3">
      <c r="L4925" s="36"/>
      <c r="R4925" s="34"/>
      <c r="AC4925" s="36"/>
    </row>
    <row r="4926" spans="12:29" x14ac:dyDescent="0.3">
      <c r="L4926" s="36"/>
      <c r="R4926" s="34"/>
      <c r="AC4926" s="36"/>
    </row>
    <row r="4927" spans="12:29" x14ac:dyDescent="0.3">
      <c r="L4927" s="36"/>
      <c r="R4927" s="34"/>
      <c r="AC4927" s="36"/>
    </row>
    <row r="4928" spans="12:29" x14ac:dyDescent="0.3">
      <c r="L4928" s="36"/>
      <c r="R4928" s="34"/>
      <c r="AC4928" s="36"/>
    </row>
    <row r="4929" spans="12:29" x14ac:dyDescent="0.3">
      <c r="L4929" s="36"/>
      <c r="R4929" s="34"/>
      <c r="AC4929" s="36"/>
    </row>
    <row r="4930" spans="12:29" x14ac:dyDescent="0.3">
      <c r="L4930" s="36"/>
      <c r="R4930" s="34"/>
      <c r="AC4930" s="36"/>
    </row>
    <row r="4931" spans="12:29" x14ac:dyDescent="0.3">
      <c r="L4931" s="36"/>
      <c r="R4931" s="34"/>
      <c r="AC4931" s="36"/>
    </row>
    <row r="4932" spans="12:29" x14ac:dyDescent="0.3">
      <c r="L4932" s="36"/>
      <c r="R4932" s="34"/>
      <c r="AC4932" s="36"/>
    </row>
    <row r="4933" spans="12:29" x14ac:dyDescent="0.3">
      <c r="L4933" s="36"/>
      <c r="R4933" s="34"/>
      <c r="AC4933" s="36"/>
    </row>
    <row r="4934" spans="12:29" x14ac:dyDescent="0.3">
      <c r="L4934" s="36"/>
      <c r="R4934" s="34"/>
      <c r="AC4934" s="36"/>
    </row>
    <row r="4935" spans="12:29" x14ac:dyDescent="0.3">
      <c r="L4935" s="36"/>
      <c r="R4935" s="34"/>
      <c r="AC4935" s="36"/>
    </row>
    <row r="4936" spans="12:29" x14ac:dyDescent="0.3">
      <c r="L4936" s="36"/>
      <c r="R4936" s="34"/>
      <c r="AC4936" s="36"/>
    </row>
    <row r="4937" spans="12:29" x14ac:dyDescent="0.3">
      <c r="L4937" s="36"/>
      <c r="R4937" s="34"/>
      <c r="AC4937" s="36"/>
    </row>
    <row r="4938" spans="12:29" x14ac:dyDescent="0.3">
      <c r="L4938" s="36"/>
      <c r="R4938" s="34"/>
      <c r="AC4938" s="36"/>
    </row>
    <row r="4939" spans="12:29" x14ac:dyDescent="0.3">
      <c r="L4939" s="36"/>
      <c r="R4939" s="34"/>
      <c r="AC4939" s="36"/>
    </row>
    <row r="4940" spans="12:29" x14ac:dyDescent="0.3">
      <c r="L4940" s="36"/>
      <c r="R4940" s="34"/>
      <c r="AC4940" s="36"/>
    </row>
    <row r="4941" spans="12:29" x14ac:dyDescent="0.3">
      <c r="L4941" s="36"/>
      <c r="R4941" s="34"/>
      <c r="AC4941" s="36"/>
    </row>
    <row r="4942" spans="12:29" x14ac:dyDescent="0.3">
      <c r="L4942" s="36"/>
      <c r="R4942" s="34"/>
      <c r="AC4942" s="36"/>
    </row>
    <row r="4943" spans="12:29" x14ac:dyDescent="0.3">
      <c r="L4943" s="36"/>
      <c r="R4943" s="34"/>
      <c r="AC4943" s="36"/>
    </row>
    <row r="4944" spans="12:29" x14ac:dyDescent="0.3">
      <c r="L4944" s="36"/>
      <c r="R4944" s="34"/>
      <c r="AC4944" s="36"/>
    </row>
    <row r="4945" spans="12:29" x14ac:dyDescent="0.3">
      <c r="L4945" s="36"/>
      <c r="R4945" s="34"/>
      <c r="AC4945" s="36"/>
    </row>
    <row r="4946" spans="12:29" x14ac:dyDescent="0.3">
      <c r="L4946" s="36"/>
      <c r="R4946" s="34"/>
      <c r="AC4946" s="36"/>
    </row>
    <row r="4947" spans="12:29" x14ac:dyDescent="0.3">
      <c r="L4947" s="36"/>
      <c r="R4947" s="34"/>
      <c r="AC4947" s="36"/>
    </row>
    <row r="4948" spans="12:29" x14ac:dyDescent="0.3">
      <c r="L4948" s="36"/>
      <c r="R4948" s="34"/>
      <c r="AC4948" s="36"/>
    </row>
    <row r="4949" spans="12:29" x14ac:dyDescent="0.3">
      <c r="L4949" s="36"/>
      <c r="R4949" s="34"/>
      <c r="AC4949" s="36"/>
    </row>
    <row r="4950" spans="12:29" x14ac:dyDescent="0.3">
      <c r="L4950" s="36"/>
      <c r="R4950" s="34"/>
      <c r="AC4950" s="36"/>
    </row>
    <row r="4951" spans="12:29" x14ac:dyDescent="0.3">
      <c r="L4951" s="36"/>
      <c r="R4951" s="34"/>
      <c r="AC4951" s="36"/>
    </row>
    <row r="4952" spans="12:29" x14ac:dyDescent="0.3">
      <c r="L4952" s="36"/>
      <c r="R4952" s="34"/>
      <c r="AC4952" s="36"/>
    </row>
    <row r="4953" spans="12:29" x14ac:dyDescent="0.3">
      <c r="L4953" s="36"/>
      <c r="R4953" s="34"/>
      <c r="AC4953" s="36"/>
    </row>
    <row r="4954" spans="12:29" x14ac:dyDescent="0.3">
      <c r="L4954" s="36"/>
      <c r="R4954" s="34"/>
      <c r="AC4954" s="36"/>
    </row>
    <row r="4955" spans="12:29" x14ac:dyDescent="0.3">
      <c r="L4955" s="36"/>
      <c r="R4955" s="34"/>
      <c r="AC4955" s="36"/>
    </row>
    <row r="4956" spans="12:29" x14ac:dyDescent="0.3">
      <c r="L4956" s="36"/>
      <c r="R4956" s="34"/>
      <c r="AC4956" s="36"/>
    </row>
    <row r="4957" spans="12:29" x14ac:dyDescent="0.3">
      <c r="L4957" s="36"/>
      <c r="R4957" s="34"/>
      <c r="AC4957" s="36"/>
    </row>
    <row r="4958" spans="12:29" x14ac:dyDescent="0.3">
      <c r="L4958" s="36"/>
      <c r="R4958" s="34"/>
      <c r="AC4958" s="36"/>
    </row>
    <row r="4959" spans="12:29" x14ac:dyDescent="0.3">
      <c r="L4959" s="36"/>
      <c r="R4959" s="34"/>
      <c r="AC4959" s="36"/>
    </row>
    <row r="4960" spans="12:29" x14ac:dyDescent="0.3">
      <c r="L4960" s="36"/>
      <c r="R4960" s="34"/>
      <c r="AC4960" s="36"/>
    </row>
    <row r="4961" spans="12:29" x14ac:dyDescent="0.3">
      <c r="L4961" s="36"/>
      <c r="R4961" s="34"/>
      <c r="AC4961" s="36"/>
    </row>
    <row r="4962" spans="12:29" x14ac:dyDescent="0.3">
      <c r="L4962" s="36"/>
      <c r="R4962" s="34"/>
      <c r="AC4962" s="36"/>
    </row>
    <row r="4963" spans="12:29" x14ac:dyDescent="0.3">
      <c r="L4963" s="36"/>
      <c r="R4963" s="34"/>
      <c r="AC4963" s="36"/>
    </row>
    <row r="4964" spans="12:29" x14ac:dyDescent="0.3">
      <c r="L4964" s="36"/>
      <c r="R4964" s="34"/>
      <c r="AC4964" s="36"/>
    </row>
    <row r="4965" spans="12:29" x14ac:dyDescent="0.3">
      <c r="L4965" s="36"/>
      <c r="R4965" s="34"/>
      <c r="AC4965" s="36"/>
    </row>
    <row r="4966" spans="12:29" x14ac:dyDescent="0.3">
      <c r="L4966" s="36"/>
      <c r="R4966" s="34"/>
      <c r="AC4966" s="36"/>
    </row>
    <row r="4967" spans="12:29" x14ac:dyDescent="0.3">
      <c r="L4967" s="36"/>
      <c r="R4967" s="34"/>
      <c r="AC4967" s="36"/>
    </row>
    <row r="4968" spans="12:29" x14ac:dyDescent="0.3">
      <c r="L4968" s="36"/>
      <c r="R4968" s="34"/>
      <c r="AC4968" s="36"/>
    </row>
    <row r="4969" spans="12:29" x14ac:dyDescent="0.3">
      <c r="L4969" s="36"/>
      <c r="R4969" s="34"/>
      <c r="AC4969" s="36"/>
    </row>
    <row r="4970" spans="12:29" x14ac:dyDescent="0.3">
      <c r="L4970" s="36"/>
      <c r="R4970" s="34"/>
      <c r="AC4970" s="36"/>
    </row>
    <row r="4971" spans="12:29" x14ac:dyDescent="0.3">
      <c r="L4971" s="36"/>
      <c r="R4971" s="34"/>
      <c r="AC4971" s="36"/>
    </row>
    <row r="4972" spans="12:29" x14ac:dyDescent="0.3">
      <c r="L4972" s="36"/>
      <c r="R4972" s="34"/>
      <c r="AC4972" s="36"/>
    </row>
    <row r="4973" spans="12:29" x14ac:dyDescent="0.3">
      <c r="L4973" s="36"/>
      <c r="R4973" s="34"/>
      <c r="AC4973" s="36"/>
    </row>
    <row r="4974" spans="12:29" x14ac:dyDescent="0.3">
      <c r="L4974" s="36"/>
      <c r="R4974" s="34"/>
      <c r="AC4974" s="36"/>
    </row>
    <row r="4975" spans="12:29" x14ac:dyDescent="0.3">
      <c r="L4975" s="36"/>
      <c r="R4975" s="34"/>
      <c r="AC4975" s="36"/>
    </row>
    <row r="4976" spans="12:29" x14ac:dyDescent="0.3">
      <c r="L4976" s="36"/>
      <c r="R4976" s="34"/>
      <c r="AC4976" s="36"/>
    </row>
    <row r="4977" spans="12:29" x14ac:dyDescent="0.3">
      <c r="L4977" s="36"/>
      <c r="R4977" s="34"/>
      <c r="AC4977" s="36"/>
    </row>
    <row r="4978" spans="12:29" x14ac:dyDescent="0.3">
      <c r="L4978" s="36"/>
      <c r="R4978" s="34"/>
      <c r="AC4978" s="36"/>
    </row>
    <row r="4979" spans="12:29" x14ac:dyDescent="0.3">
      <c r="L4979" s="36"/>
      <c r="R4979" s="34"/>
      <c r="AC4979" s="36"/>
    </row>
    <row r="4980" spans="12:29" x14ac:dyDescent="0.3">
      <c r="L4980" s="36"/>
      <c r="R4980" s="34"/>
      <c r="AC4980" s="36"/>
    </row>
    <row r="4981" spans="12:29" x14ac:dyDescent="0.3">
      <c r="L4981" s="36"/>
      <c r="R4981" s="34"/>
      <c r="AC4981" s="36"/>
    </row>
    <row r="4982" spans="12:29" x14ac:dyDescent="0.3">
      <c r="L4982" s="36"/>
      <c r="R4982" s="34"/>
      <c r="AC4982" s="36"/>
    </row>
    <row r="4983" spans="12:29" x14ac:dyDescent="0.3">
      <c r="L4983" s="36"/>
      <c r="R4983" s="34"/>
      <c r="AC4983" s="36"/>
    </row>
    <row r="4984" spans="12:29" x14ac:dyDescent="0.3">
      <c r="L4984" s="36"/>
      <c r="R4984" s="34"/>
      <c r="AC4984" s="36"/>
    </row>
    <row r="4985" spans="12:29" x14ac:dyDescent="0.3">
      <c r="L4985" s="36"/>
      <c r="R4985" s="34"/>
      <c r="AC4985" s="36"/>
    </row>
    <row r="4986" spans="12:29" x14ac:dyDescent="0.3">
      <c r="L4986" s="36"/>
      <c r="R4986" s="34"/>
      <c r="AC4986" s="36"/>
    </row>
    <row r="4987" spans="12:29" x14ac:dyDescent="0.3">
      <c r="L4987" s="36"/>
      <c r="R4987" s="34"/>
      <c r="AC4987" s="36"/>
    </row>
    <row r="4988" spans="12:29" x14ac:dyDescent="0.3">
      <c r="L4988" s="36"/>
      <c r="R4988" s="34"/>
      <c r="AC4988" s="36"/>
    </row>
    <row r="4989" spans="12:29" x14ac:dyDescent="0.3">
      <c r="L4989" s="36"/>
      <c r="R4989" s="34"/>
      <c r="AC4989" s="36"/>
    </row>
    <row r="4990" spans="12:29" x14ac:dyDescent="0.3">
      <c r="L4990" s="36"/>
      <c r="R4990" s="34"/>
      <c r="AC4990" s="36"/>
    </row>
    <row r="4991" spans="12:29" x14ac:dyDescent="0.3">
      <c r="L4991" s="36"/>
      <c r="R4991" s="34"/>
      <c r="AC4991" s="36"/>
    </row>
    <row r="4992" spans="12:29" x14ac:dyDescent="0.3">
      <c r="L4992" s="36"/>
      <c r="R4992" s="34"/>
      <c r="AC4992" s="36"/>
    </row>
    <row r="4993" spans="12:29" x14ac:dyDescent="0.3">
      <c r="L4993" s="36"/>
      <c r="R4993" s="34"/>
      <c r="AC4993" s="36"/>
    </row>
    <row r="4994" spans="12:29" x14ac:dyDescent="0.3">
      <c r="L4994" s="36"/>
      <c r="R4994" s="34"/>
      <c r="AC4994" s="36"/>
    </row>
    <row r="4995" spans="12:29" x14ac:dyDescent="0.3">
      <c r="L4995" s="36"/>
      <c r="R4995" s="34"/>
      <c r="AC4995" s="36"/>
    </row>
    <row r="4996" spans="12:29" x14ac:dyDescent="0.3">
      <c r="L4996" s="36"/>
      <c r="R4996" s="34"/>
      <c r="AC4996" s="36"/>
    </row>
    <row r="4997" spans="12:29" x14ac:dyDescent="0.3">
      <c r="L4997" s="36"/>
      <c r="R4997" s="34"/>
      <c r="AC4997" s="36"/>
    </row>
    <row r="4998" spans="12:29" x14ac:dyDescent="0.3">
      <c r="L4998" s="36"/>
      <c r="R4998" s="34"/>
      <c r="AC4998" s="36"/>
    </row>
    <row r="4999" spans="12:29" x14ac:dyDescent="0.3">
      <c r="L4999" s="36"/>
      <c r="R4999" s="34"/>
      <c r="AC4999" s="36"/>
    </row>
    <row r="5000" spans="12:29" x14ac:dyDescent="0.3">
      <c r="L5000" s="36"/>
      <c r="R5000" s="34"/>
      <c r="AC5000" s="36"/>
    </row>
    <row r="5001" spans="12:29" x14ac:dyDescent="0.3">
      <c r="L5001" s="36"/>
      <c r="R5001" s="34"/>
      <c r="AC5001" s="36"/>
    </row>
    <row r="5002" spans="12:29" x14ac:dyDescent="0.3">
      <c r="L5002" s="36"/>
      <c r="R5002" s="34"/>
      <c r="AC5002" s="36"/>
    </row>
    <row r="5003" spans="12:29" x14ac:dyDescent="0.3">
      <c r="L5003" s="36"/>
      <c r="R5003" s="34"/>
      <c r="AC5003" s="36"/>
    </row>
    <row r="5004" spans="12:29" x14ac:dyDescent="0.3">
      <c r="L5004" s="36"/>
      <c r="R5004" s="34"/>
      <c r="AC5004" s="36"/>
    </row>
    <row r="5005" spans="12:29" x14ac:dyDescent="0.3">
      <c r="L5005" s="36"/>
      <c r="R5005" s="34"/>
      <c r="AC5005" s="36"/>
    </row>
    <row r="5006" spans="12:29" x14ac:dyDescent="0.3">
      <c r="L5006" s="36"/>
      <c r="R5006" s="34"/>
      <c r="AC5006" s="36"/>
    </row>
    <row r="5007" spans="12:29" x14ac:dyDescent="0.3">
      <c r="L5007" s="36"/>
      <c r="R5007" s="34"/>
      <c r="AC5007" s="36"/>
    </row>
    <row r="5008" spans="12:29" x14ac:dyDescent="0.3">
      <c r="L5008" s="36"/>
      <c r="R5008" s="34"/>
      <c r="AC5008" s="36"/>
    </row>
    <row r="5009" spans="12:29" x14ac:dyDescent="0.3">
      <c r="L5009" s="36"/>
      <c r="R5009" s="34"/>
      <c r="AC5009" s="36"/>
    </row>
    <row r="5010" spans="12:29" x14ac:dyDescent="0.3">
      <c r="L5010" s="36"/>
      <c r="R5010" s="34"/>
      <c r="AC5010" s="36"/>
    </row>
    <row r="5011" spans="12:29" x14ac:dyDescent="0.3">
      <c r="L5011" s="36"/>
      <c r="R5011" s="34"/>
      <c r="AC5011" s="36"/>
    </row>
    <row r="5012" spans="12:29" x14ac:dyDescent="0.3">
      <c r="L5012" s="36"/>
      <c r="R5012" s="34"/>
      <c r="AC5012" s="36"/>
    </row>
    <row r="5013" spans="12:29" x14ac:dyDescent="0.3">
      <c r="L5013" s="36"/>
      <c r="R5013" s="34"/>
      <c r="AC5013" s="36"/>
    </row>
    <row r="5014" spans="12:29" x14ac:dyDescent="0.3">
      <c r="L5014" s="36"/>
      <c r="R5014" s="34"/>
      <c r="AC5014" s="36"/>
    </row>
    <row r="5015" spans="12:29" x14ac:dyDescent="0.3">
      <c r="L5015" s="36"/>
      <c r="R5015" s="34"/>
      <c r="AC5015" s="36"/>
    </row>
    <row r="5016" spans="12:29" x14ac:dyDescent="0.3">
      <c r="L5016" s="36"/>
      <c r="R5016" s="34"/>
      <c r="AC5016" s="36"/>
    </row>
    <row r="5017" spans="12:29" x14ac:dyDescent="0.3">
      <c r="L5017" s="36"/>
      <c r="R5017" s="34"/>
      <c r="AC5017" s="36"/>
    </row>
    <row r="5018" spans="12:29" x14ac:dyDescent="0.3">
      <c r="L5018" s="36"/>
      <c r="R5018" s="34"/>
      <c r="AC5018" s="36"/>
    </row>
    <row r="5019" spans="12:29" x14ac:dyDescent="0.3">
      <c r="L5019" s="36"/>
      <c r="R5019" s="34"/>
      <c r="AC5019" s="36"/>
    </row>
    <row r="5020" spans="12:29" x14ac:dyDescent="0.3">
      <c r="L5020" s="36"/>
      <c r="R5020" s="34"/>
      <c r="AC5020" s="36"/>
    </row>
    <row r="5021" spans="12:29" x14ac:dyDescent="0.3">
      <c r="L5021" s="36"/>
      <c r="R5021" s="34"/>
      <c r="AC5021" s="36"/>
    </row>
    <row r="5022" spans="12:29" x14ac:dyDescent="0.3">
      <c r="L5022" s="36"/>
      <c r="R5022" s="34"/>
      <c r="AC5022" s="36"/>
    </row>
    <row r="5023" spans="12:29" x14ac:dyDescent="0.3">
      <c r="L5023" s="36"/>
      <c r="R5023" s="34"/>
      <c r="AC5023" s="36"/>
    </row>
    <row r="5024" spans="12:29" x14ac:dyDescent="0.3">
      <c r="L5024" s="36"/>
      <c r="R5024" s="34"/>
      <c r="AC5024" s="36"/>
    </row>
    <row r="5025" spans="12:29" x14ac:dyDescent="0.3">
      <c r="L5025" s="36"/>
      <c r="R5025" s="34"/>
      <c r="AC5025" s="36"/>
    </row>
    <row r="5026" spans="12:29" x14ac:dyDescent="0.3">
      <c r="L5026" s="36"/>
      <c r="R5026" s="34"/>
      <c r="AC5026" s="36"/>
    </row>
    <row r="5027" spans="12:29" x14ac:dyDescent="0.3">
      <c r="L5027" s="36"/>
      <c r="R5027" s="34"/>
      <c r="AC5027" s="36"/>
    </row>
    <row r="5028" spans="12:29" x14ac:dyDescent="0.3">
      <c r="L5028" s="36"/>
      <c r="R5028" s="34"/>
      <c r="AC5028" s="36"/>
    </row>
    <row r="5029" spans="12:29" x14ac:dyDescent="0.3">
      <c r="L5029" s="36"/>
      <c r="R5029" s="34"/>
      <c r="AC5029" s="36"/>
    </row>
    <row r="5030" spans="12:29" x14ac:dyDescent="0.3">
      <c r="L5030" s="36"/>
      <c r="R5030" s="34"/>
      <c r="AC5030" s="36"/>
    </row>
    <row r="5031" spans="12:29" x14ac:dyDescent="0.3">
      <c r="L5031" s="36"/>
      <c r="R5031" s="34"/>
      <c r="AC5031" s="36"/>
    </row>
    <row r="5032" spans="12:29" x14ac:dyDescent="0.3">
      <c r="L5032" s="36"/>
      <c r="R5032" s="34"/>
      <c r="AC5032" s="36"/>
    </row>
    <row r="5033" spans="12:29" x14ac:dyDescent="0.3">
      <c r="L5033" s="36"/>
      <c r="R5033" s="34"/>
      <c r="AC5033" s="36"/>
    </row>
    <row r="5034" spans="12:29" x14ac:dyDescent="0.3">
      <c r="L5034" s="36"/>
      <c r="R5034" s="34"/>
      <c r="AC5034" s="36"/>
    </row>
    <row r="5035" spans="12:29" x14ac:dyDescent="0.3">
      <c r="L5035" s="36"/>
      <c r="R5035" s="34"/>
      <c r="AC5035" s="36"/>
    </row>
    <row r="5036" spans="12:29" x14ac:dyDescent="0.3">
      <c r="L5036" s="36"/>
      <c r="R5036" s="34"/>
      <c r="AC5036" s="36"/>
    </row>
    <row r="5037" spans="12:29" x14ac:dyDescent="0.3">
      <c r="L5037" s="36"/>
      <c r="R5037" s="34"/>
      <c r="AC5037" s="36"/>
    </row>
    <row r="5038" spans="12:29" x14ac:dyDescent="0.3">
      <c r="L5038" s="36"/>
      <c r="R5038" s="34"/>
      <c r="AC5038" s="36"/>
    </row>
    <row r="5039" spans="12:29" x14ac:dyDescent="0.3">
      <c r="L5039" s="36"/>
      <c r="R5039" s="34"/>
      <c r="AC5039" s="36"/>
    </row>
    <row r="5040" spans="12:29" x14ac:dyDescent="0.3">
      <c r="L5040" s="36"/>
      <c r="R5040" s="34"/>
      <c r="AC5040" s="36"/>
    </row>
    <row r="5041" spans="12:29" x14ac:dyDescent="0.3">
      <c r="L5041" s="36"/>
      <c r="R5041" s="34"/>
      <c r="AC5041" s="36"/>
    </row>
    <row r="5042" spans="12:29" x14ac:dyDescent="0.3">
      <c r="L5042" s="36"/>
      <c r="R5042" s="34"/>
      <c r="AC5042" s="36"/>
    </row>
    <row r="5043" spans="12:29" x14ac:dyDescent="0.3">
      <c r="L5043" s="36"/>
      <c r="R5043" s="34"/>
      <c r="AC5043" s="36"/>
    </row>
    <row r="5044" spans="12:29" x14ac:dyDescent="0.3">
      <c r="L5044" s="36"/>
      <c r="R5044" s="34"/>
      <c r="AC5044" s="36"/>
    </row>
    <row r="5045" spans="12:29" x14ac:dyDescent="0.3">
      <c r="L5045" s="36"/>
      <c r="R5045" s="34"/>
      <c r="AC5045" s="36"/>
    </row>
    <row r="5046" spans="12:29" x14ac:dyDescent="0.3">
      <c r="L5046" s="36"/>
      <c r="R5046" s="34"/>
      <c r="AC5046" s="36"/>
    </row>
    <row r="5047" spans="12:29" x14ac:dyDescent="0.3">
      <c r="L5047" s="36"/>
      <c r="R5047" s="34"/>
      <c r="AC5047" s="36"/>
    </row>
    <row r="5048" spans="12:29" x14ac:dyDescent="0.3">
      <c r="L5048" s="36"/>
      <c r="R5048" s="34"/>
      <c r="AC5048" s="36"/>
    </row>
    <row r="5049" spans="12:29" x14ac:dyDescent="0.3">
      <c r="L5049" s="36"/>
      <c r="R5049" s="34"/>
      <c r="AC5049" s="36"/>
    </row>
    <row r="5050" spans="12:29" x14ac:dyDescent="0.3">
      <c r="L5050" s="36"/>
      <c r="R5050" s="34"/>
      <c r="AC5050" s="36"/>
    </row>
    <row r="5051" spans="12:29" x14ac:dyDescent="0.3">
      <c r="L5051" s="36"/>
      <c r="R5051" s="34"/>
      <c r="AC5051" s="36"/>
    </row>
    <row r="5052" spans="12:29" x14ac:dyDescent="0.3">
      <c r="L5052" s="36"/>
      <c r="R5052" s="34"/>
      <c r="AC5052" s="36"/>
    </row>
    <row r="5053" spans="12:29" x14ac:dyDescent="0.3">
      <c r="L5053" s="36"/>
      <c r="R5053" s="34"/>
      <c r="AC5053" s="36"/>
    </row>
    <row r="5054" spans="12:29" x14ac:dyDescent="0.3">
      <c r="L5054" s="36"/>
      <c r="R5054" s="34"/>
      <c r="AC5054" s="36"/>
    </row>
    <row r="5055" spans="12:29" x14ac:dyDescent="0.3">
      <c r="L5055" s="36"/>
      <c r="R5055" s="34"/>
      <c r="AC5055" s="36"/>
    </row>
    <row r="5056" spans="12:29" x14ac:dyDescent="0.3">
      <c r="L5056" s="36"/>
      <c r="R5056" s="34"/>
      <c r="AC5056" s="36"/>
    </row>
    <row r="5057" spans="12:29" x14ac:dyDescent="0.3">
      <c r="L5057" s="36"/>
      <c r="R5057" s="34"/>
      <c r="AC5057" s="36"/>
    </row>
    <row r="5058" spans="12:29" x14ac:dyDescent="0.3">
      <c r="L5058" s="36"/>
      <c r="R5058" s="34"/>
      <c r="AC5058" s="36"/>
    </row>
    <row r="5059" spans="12:29" x14ac:dyDescent="0.3">
      <c r="L5059" s="36"/>
      <c r="R5059" s="34"/>
      <c r="AC5059" s="36"/>
    </row>
    <row r="5060" spans="12:29" x14ac:dyDescent="0.3">
      <c r="L5060" s="36"/>
      <c r="R5060" s="34"/>
      <c r="AC5060" s="36"/>
    </row>
    <row r="5061" spans="12:29" x14ac:dyDescent="0.3">
      <c r="L5061" s="36"/>
      <c r="R5061" s="34"/>
      <c r="AC5061" s="36"/>
    </row>
    <row r="5062" spans="12:29" x14ac:dyDescent="0.3">
      <c r="L5062" s="36"/>
      <c r="R5062" s="34"/>
      <c r="AC5062" s="36"/>
    </row>
    <row r="5063" spans="12:29" x14ac:dyDescent="0.3">
      <c r="L5063" s="36"/>
      <c r="R5063" s="34"/>
      <c r="AC5063" s="36"/>
    </row>
    <row r="5064" spans="12:29" x14ac:dyDescent="0.3">
      <c r="L5064" s="36"/>
      <c r="R5064" s="34"/>
      <c r="AC5064" s="36"/>
    </row>
    <row r="5065" spans="12:29" x14ac:dyDescent="0.3">
      <c r="L5065" s="36"/>
      <c r="R5065" s="34"/>
      <c r="AC5065" s="36"/>
    </row>
    <row r="5066" spans="12:29" x14ac:dyDescent="0.3">
      <c r="L5066" s="36"/>
      <c r="R5066" s="34"/>
      <c r="AC5066" s="36"/>
    </row>
    <row r="5067" spans="12:29" x14ac:dyDescent="0.3">
      <c r="L5067" s="36"/>
      <c r="R5067" s="34"/>
      <c r="AC5067" s="36"/>
    </row>
    <row r="5068" spans="12:29" x14ac:dyDescent="0.3">
      <c r="L5068" s="36"/>
      <c r="R5068" s="34"/>
      <c r="AC5068" s="36"/>
    </row>
    <row r="5069" spans="12:29" x14ac:dyDescent="0.3">
      <c r="L5069" s="36"/>
      <c r="R5069" s="34"/>
      <c r="AC5069" s="36"/>
    </row>
    <row r="5070" spans="12:29" x14ac:dyDescent="0.3">
      <c r="L5070" s="36"/>
      <c r="R5070" s="34"/>
      <c r="AC5070" s="36"/>
    </row>
    <row r="5071" spans="12:29" x14ac:dyDescent="0.3">
      <c r="L5071" s="36"/>
      <c r="R5071" s="34"/>
      <c r="AC5071" s="36"/>
    </row>
    <row r="5072" spans="12:29" x14ac:dyDescent="0.3">
      <c r="L5072" s="36"/>
      <c r="R5072" s="34"/>
      <c r="AC5072" s="36"/>
    </row>
    <row r="5073" spans="12:29" x14ac:dyDescent="0.3">
      <c r="L5073" s="36"/>
      <c r="R5073" s="34"/>
      <c r="AC5073" s="36"/>
    </row>
    <row r="5074" spans="12:29" x14ac:dyDescent="0.3">
      <c r="L5074" s="36"/>
      <c r="R5074" s="34"/>
      <c r="AC5074" s="36"/>
    </row>
    <row r="5075" spans="12:29" x14ac:dyDescent="0.3">
      <c r="L5075" s="36"/>
      <c r="R5075" s="34"/>
      <c r="AC5075" s="36"/>
    </row>
    <row r="5076" spans="12:29" x14ac:dyDescent="0.3">
      <c r="L5076" s="36"/>
      <c r="R5076" s="34"/>
      <c r="AC5076" s="36"/>
    </row>
    <row r="5077" spans="12:29" x14ac:dyDescent="0.3">
      <c r="L5077" s="36"/>
      <c r="R5077" s="34"/>
      <c r="AC5077" s="36"/>
    </row>
    <row r="5078" spans="12:29" x14ac:dyDescent="0.3">
      <c r="L5078" s="36"/>
      <c r="R5078" s="34"/>
      <c r="AC5078" s="36"/>
    </row>
    <row r="5079" spans="12:29" x14ac:dyDescent="0.3">
      <c r="L5079" s="36"/>
      <c r="R5079" s="34"/>
      <c r="AC5079" s="36"/>
    </row>
    <row r="5080" spans="12:29" x14ac:dyDescent="0.3">
      <c r="L5080" s="36"/>
      <c r="R5080" s="34"/>
      <c r="AC5080" s="36"/>
    </row>
    <row r="5081" spans="12:29" x14ac:dyDescent="0.3">
      <c r="L5081" s="36"/>
      <c r="R5081" s="34"/>
      <c r="AC5081" s="36"/>
    </row>
    <row r="5082" spans="12:29" x14ac:dyDescent="0.3">
      <c r="L5082" s="36"/>
      <c r="R5082" s="34"/>
      <c r="AC5082" s="36"/>
    </row>
    <row r="5083" spans="12:29" x14ac:dyDescent="0.3">
      <c r="L5083" s="36"/>
      <c r="R5083" s="34"/>
      <c r="AC5083" s="36"/>
    </row>
    <row r="5084" spans="12:29" x14ac:dyDescent="0.3">
      <c r="L5084" s="36"/>
      <c r="R5084" s="34"/>
      <c r="AC5084" s="36"/>
    </row>
    <row r="5085" spans="12:29" x14ac:dyDescent="0.3">
      <c r="L5085" s="36"/>
      <c r="R5085" s="34"/>
      <c r="AC5085" s="36"/>
    </row>
    <row r="5086" spans="12:29" x14ac:dyDescent="0.3">
      <c r="L5086" s="36"/>
      <c r="R5086" s="34"/>
      <c r="AC5086" s="36"/>
    </row>
    <row r="5087" spans="12:29" x14ac:dyDescent="0.3">
      <c r="L5087" s="36"/>
      <c r="R5087" s="34"/>
      <c r="AC5087" s="36"/>
    </row>
    <row r="5088" spans="12:29" x14ac:dyDescent="0.3">
      <c r="L5088" s="36"/>
      <c r="R5088" s="34"/>
      <c r="AC5088" s="36"/>
    </row>
    <row r="5089" spans="12:29" x14ac:dyDescent="0.3">
      <c r="L5089" s="36"/>
      <c r="R5089" s="34"/>
      <c r="AC5089" s="36"/>
    </row>
    <row r="5090" spans="12:29" x14ac:dyDescent="0.3">
      <c r="L5090" s="36"/>
      <c r="R5090" s="34"/>
      <c r="AC5090" s="36"/>
    </row>
    <row r="5091" spans="12:29" x14ac:dyDescent="0.3">
      <c r="L5091" s="36"/>
      <c r="R5091" s="34"/>
      <c r="AC5091" s="36"/>
    </row>
    <row r="5092" spans="12:29" x14ac:dyDescent="0.3">
      <c r="L5092" s="36"/>
      <c r="R5092" s="34"/>
      <c r="AC5092" s="36"/>
    </row>
    <row r="5093" spans="12:29" x14ac:dyDescent="0.3">
      <c r="L5093" s="36"/>
      <c r="R5093" s="34"/>
      <c r="AC5093" s="36"/>
    </row>
    <row r="5094" spans="12:29" x14ac:dyDescent="0.3">
      <c r="L5094" s="36"/>
      <c r="R5094" s="34"/>
      <c r="AC5094" s="36"/>
    </row>
    <row r="5095" spans="12:29" x14ac:dyDescent="0.3">
      <c r="L5095" s="36"/>
      <c r="R5095" s="34"/>
      <c r="AC5095" s="36"/>
    </row>
    <row r="5096" spans="12:29" x14ac:dyDescent="0.3">
      <c r="L5096" s="36"/>
      <c r="R5096" s="34"/>
      <c r="AC5096" s="36"/>
    </row>
    <row r="5097" spans="12:29" x14ac:dyDescent="0.3">
      <c r="L5097" s="36"/>
      <c r="R5097" s="34"/>
      <c r="AC5097" s="36"/>
    </row>
    <row r="5098" spans="12:29" x14ac:dyDescent="0.3">
      <c r="L5098" s="36"/>
      <c r="R5098" s="34"/>
      <c r="AC5098" s="36"/>
    </row>
    <row r="5099" spans="12:29" x14ac:dyDescent="0.3">
      <c r="L5099" s="36"/>
      <c r="R5099" s="34"/>
      <c r="AC5099" s="36"/>
    </row>
    <row r="5100" spans="12:29" x14ac:dyDescent="0.3">
      <c r="L5100" s="36"/>
      <c r="R5100" s="34"/>
      <c r="AC5100" s="36"/>
    </row>
    <row r="5101" spans="12:29" x14ac:dyDescent="0.3">
      <c r="L5101" s="36"/>
      <c r="R5101" s="34"/>
      <c r="AC5101" s="36"/>
    </row>
    <row r="5102" spans="12:29" x14ac:dyDescent="0.3">
      <c r="L5102" s="36"/>
      <c r="R5102" s="34"/>
      <c r="AC5102" s="36"/>
    </row>
    <row r="5103" spans="12:29" x14ac:dyDescent="0.3">
      <c r="L5103" s="36"/>
      <c r="R5103" s="34"/>
      <c r="AC5103" s="36"/>
    </row>
    <row r="5104" spans="12:29" x14ac:dyDescent="0.3">
      <c r="L5104" s="36"/>
      <c r="R5104" s="34"/>
      <c r="AC5104" s="36"/>
    </row>
    <row r="5105" spans="12:29" x14ac:dyDescent="0.3">
      <c r="L5105" s="36"/>
      <c r="R5105" s="34"/>
      <c r="AC5105" s="36"/>
    </row>
    <row r="5106" spans="12:29" x14ac:dyDescent="0.3">
      <c r="L5106" s="36"/>
      <c r="R5106" s="34"/>
      <c r="AC5106" s="36"/>
    </row>
    <row r="5107" spans="12:29" x14ac:dyDescent="0.3">
      <c r="L5107" s="36"/>
      <c r="R5107" s="34"/>
      <c r="AC5107" s="36"/>
    </row>
    <row r="5108" spans="12:29" x14ac:dyDescent="0.3">
      <c r="L5108" s="36"/>
      <c r="R5108" s="34"/>
      <c r="AC5108" s="36"/>
    </row>
    <row r="5109" spans="12:29" x14ac:dyDescent="0.3">
      <c r="L5109" s="36"/>
      <c r="R5109" s="34"/>
      <c r="AC5109" s="36"/>
    </row>
    <row r="5110" spans="12:29" x14ac:dyDescent="0.3">
      <c r="L5110" s="36"/>
      <c r="R5110" s="34"/>
      <c r="AC5110" s="36"/>
    </row>
    <row r="5111" spans="12:29" x14ac:dyDescent="0.3">
      <c r="L5111" s="36"/>
      <c r="R5111" s="34"/>
      <c r="AC5111" s="36"/>
    </row>
    <row r="5112" spans="12:29" x14ac:dyDescent="0.3">
      <c r="L5112" s="36"/>
      <c r="R5112" s="34"/>
      <c r="AC5112" s="36"/>
    </row>
    <row r="5113" spans="12:29" x14ac:dyDescent="0.3">
      <c r="L5113" s="36"/>
      <c r="R5113" s="34"/>
      <c r="AC5113" s="36"/>
    </row>
    <row r="5114" spans="12:29" x14ac:dyDescent="0.3">
      <c r="L5114" s="36"/>
      <c r="R5114" s="34"/>
      <c r="AC5114" s="36"/>
    </row>
    <row r="5115" spans="12:29" x14ac:dyDescent="0.3">
      <c r="L5115" s="36"/>
      <c r="R5115" s="34"/>
      <c r="AC5115" s="36"/>
    </row>
    <row r="5116" spans="12:29" x14ac:dyDescent="0.3">
      <c r="L5116" s="36"/>
      <c r="R5116" s="34"/>
      <c r="AC5116" s="36"/>
    </row>
    <row r="5117" spans="12:29" x14ac:dyDescent="0.3">
      <c r="L5117" s="36"/>
      <c r="R5117" s="34"/>
      <c r="AC5117" s="36"/>
    </row>
    <row r="5118" spans="12:29" x14ac:dyDescent="0.3">
      <c r="L5118" s="36"/>
      <c r="R5118" s="34"/>
      <c r="AC5118" s="36"/>
    </row>
    <row r="5119" spans="12:29" x14ac:dyDescent="0.3">
      <c r="L5119" s="36"/>
      <c r="R5119" s="34"/>
      <c r="AC5119" s="36"/>
    </row>
    <row r="5120" spans="12:29" x14ac:dyDescent="0.3">
      <c r="L5120" s="36"/>
      <c r="R5120" s="34"/>
      <c r="AC5120" s="36"/>
    </row>
    <row r="5121" spans="12:29" x14ac:dyDescent="0.3">
      <c r="L5121" s="36"/>
      <c r="R5121" s="34"/>
      <c r="AC5121" s="36"/>
    </row>
    <row r="5122" spans="12:29" x14ac:dyDescent="0.3">
      <c r="L5122" s="36"/>
      <c r="R5122" s="34"/>
      <c r="AC5122" s="36"/>
    </row>
    <row r="5123" spans="12:29" x14ac:dyDescent="0.3">
      <c r="L5123" s="36"/>
      <c r="R5123" s="34"/>
      <c r="AC5123" s="36"/>
    </row>
    <row r="5124" spans="12:29" x14ac:dyDescent="0.3">
      <c r="L5124" s="36"/>
      <c r="R5124" s="34"/>
      <c r="AC5124" s="36"/>
    </row>
    <row r="5125" spans="12:29" x14ac:dyDescent="0.3">
      <c r="L5125" s="36"/>
      <c r="R5125" s="34"/>
      <c r="AC5125" s="36"/>
    </row>
    <row r="5126" spans="12:29" x14ac:dyDescent="0.3">
      <c r="L5126" s="36"/>
      <c r="R5126" s="34"/>
      <c r="AC5126" s="36"/>
    </row>
    <row r="5127" spans="12:29" x14ac:dyDescent="0.3">
      <c r="L5127" s="36"/>
      <c r="R5127" s="34"/>
      <c r="AC5127" s="36"/>
    </row>
    <row r="5128" spans="12:29" x14ac:dyDescent="0.3">
      <c r="L5128" s="36"/>
      <c r="R5128" s="34"/>
      <c r="AC5128" s="36"/>
    </row>
    <row r="5129" spans="12:29" x14ac:dyDescent="0.3">
      <c r="L5129" s="36"/>
      <c r="R5129" s="34"/>
      <c r="AC5129" s="36"/>
    </row>
    <row r="5130" spans="12:29" x14ac:dyDescent="0.3">
      <c r="L5130" s="36"/>
      <c r="R5130" s="34"/>
      <c r="AC5130" s="36"/>
    </row>
    <row r="5131" spans="12:29" x14ac:dyDescent="0.3">
      <c r="L5131" s="36"/>
      <c r="R5131" s="34"/>
      <c r="AC5131" s="36"/>
    </row>
    <row r="5132" spans="12:29" x14ac:dyDescent="0.3">
      <c r="L5132" s="36"/>
      <c r="R5132" s="34"/>
      <c r="AC5132" s="36"/>
    </row>
    <row r="5133" spans="12:29" x14ac:dyDescent="0.3">
      <c r="L5133" s="36"/>
      <c r="R5133" s="34"/>
      <c r="AC5133" s="36"/>
    </row>
    <row r="5134" spans="12:29" x14ac:dyDescent="0.3">
      <c r="L5134" s="36"/>
      <c r="R5134" s="34"/>
      <c r="AC5134" s="36"/>
    </row>
    <row r="5135" spans="12:29" x14ac:dyDescent="0.3">
      <c r="L5135" s="36"/>
      <c r="R5135" s="34"/>
      <c r="AC5135" s="36"/>
    </row>
    <row r="5136" spans="12:29" x14ac:dyDescent="0.3">
      <c r="L5136" s="36"/>
      <c r="R5136" s="34"/>
      <c r="AC5136" s="36"/>
    </row>
    <row r="5137" spans="12:29" x14ac:dyDescent="0.3">
      <c r="L5137" s="36"/>
      <c r="R5137" s="34"/>
      <c r="AC5137" s="36"/>
    </row>
    <row r="5138" spans="12:29" x14ac:dyDescent="0.3">
      <c r="L5138" s="36"/>
      <c r="R5138" s="34"/>
      <c r="AC5138" s="36"/>
    </row>
    <row r="5139" spans="12:29" x14ac:dyDescent="0.3">
      <c r="L5139" s="36"/>
      <c r="R5139" s="34"/>
      <c r="AC5139" s="36"/>
    </row>
    <row r="5140" spans="12:29" x14ac:dyDescent="0.3">
      <c r="L5140" s="36"/>
      <c r="R5140" s="34"/>
      <c r="AC5140" s="36"/>
    </row>
    <row r="5141" spans="12:29" x14ac:dyDescent="0.3">
      <c r="L5141" s="36"/>
      <c r="R5141" s="34"/>
      <c r="AC5141" s="36"/>
    </row>
    <row r="5142" spans="12:29" x14ac:dyDescent="0.3">
      <c r="L5142" s="36"/>
      <c r="R5142" s="34"/>
      <c r="AC5142" s="36"/>
    </row>
    <row r="5143" spans="12:29" x14ac:dyDescent="0.3">
      <c r="L5143" s="36"/>
      <c r="R5143" s="34"/>
      <c r="AC5143" s="36"/>
    </row>
    <row r="5144" spans="12:29" x14ac:dyDescent="0.3">
      <c r="L5144" s="36"/>
      <c r="R5144" s="34"/>
      <c r="AC5144" s="36"/>
    </row>
    <row r="5145" spans="12:29" x14ac:dyDescent="0.3">
      <c r="L5145" s="36"/>
      <c r="R5145" s="34"/>
      <c r="AC5145" s="36"/>
    </row>
    <row r="5146" spans="12:29" x14ac:dyDescent="0.3">
      <c r="L5146" s="36"/>
      <c r="R5146" s="34"/>
      <c r="AC5146" s="36"/>
    </row>
    <row r="5147" spans="12:29" x14ac:dyDescent="0.3">
      <c r="L5147" s="36"/>
      <c r="R5147" s="34"/>
      <c r="AC5147" s="36"/>
    </row>
    <row r="5148" spans="12:29" x14ac:dyDescent="0.3">
      <c r="L5148" s="36"/>
      <c r="R5148" s="34"/>
      <c r="AC5148" s="36"/>
    </row>
    <row r="5149" spans="12:29" x14ac:dyDescent="0.3">
      <c r="L5149" s="36"/>
      <c r="R5149" s="34"/>
      <c r="AC5149" s="36"/>
    </row>
    <row r="5150" spans="12:29" x14ac:dyDescent="0.3">
      <c r="L5150" s="36"/>
      <c r="R5150" s="34"/>
      <c r="AC5150" s="36"/>
    </row>
    <row r="5151" spans="12:29" x14ac:dyDescent="0.3">
      <c r="L5151" s="36"/>
      <c r="R5151" s="34"/>
      <c r="AC5151" s="36"/>
    </row>
    <row r="5152" spans="12:29" x14ac:dyDescent="0.3">
      <c r="L5152" s="36"/>
      <c r="R5152" s="34"/>
      <c r="AC5152" s="36"/>
    </row>
    <row r="5153" spans="12:29" x14ac:dyDescent="0.3">
      <c r="L5153" s="36"/>
      <c r="R5153" s="34"/>
      <c r="AC5153" s="36"/>
    </row>
    <row r="5154" spans="12:29" x14ac:dyDescent="0.3">
      <c r="L5154" s="36"/>
      <c r="R5154" s="34"/>
      <c r="AC5154" s="36"/>
    </row>
    <row r="5155" spans="12:29" x14ac:dyDescent="0.3">
      <c r="L5155" s="36"/>
      <c r="R5155" s="34"/>
      <c r="AC5155" s="36"/>
    </row>
    <row r="5156" spans="12:29" x14ac:dyDescent="0.3">
      <c r="L5156" s="36"/>
      <c r="R5156" s="34"/>
      <c r="AC5156" s="36"/>
    </row>
    <row r="5157" spans="12:29" x14ac:dyDescent="0.3">
      <c r="L5157" s="36"/>
      <c r="R5157" s="34"/>
      <c r="AC5157" s="36"/>
    </row>
    <row r="5158" spans="12:29" x14ac:dyDescent="0.3">
      <c r="L5158" s="36"/>
      <c r="R5158" s="34"/>
      <c r="AC5158" s="36"/>
    </row>
    <row r="5159" spans="12:29" x14ac:dyDescent="0.3">
      <c r="L5159" s="36"/>
      <c r="R5159" s="34"/>
      <c r="AC5159" s="36"/>
    </row>
    <row r="5160" spans="12:29" x14ac:dyDescent="0.3">
      <c r="L5160" s="36"/>
      <c r="R5160" s="34"/>
      <c r="AC5160" s="36"/>
    </row>
    <row r="5161" spans="12:29" x14ac:dyDescent="0.3">
      <c r="L5161" s="36"/>
      <c r="R5161" s="34"/>
      <c r="AC5161" s="36"/>
    </row>
    <row r="5162" spans="12:29" x14ac:dyDescent="0.3">
      <c r="L5162" s="36"/>
      <c r="R5162" s="34"/>
      <c r="AC5162" s="36"/>
    </row>
    <row r="5163" spans="12:29" x14ac:dyDescent="0.3">
      <c r="L5163" s="36"/>
      <c r="R5163" s="34"/>
      <c r="AC5163" s="36"/>
    </row>
    <row r="5164" spans="12:29" x14ac:dyDescent="0.3">
      <c r="L5164" s="36"/>
      <c r="R5164" s="34"/>
      <c r="AC5164" s="36"/>
    </row>
    <row r="5165" spans="12:29" x14ac:dyDescent="0.3">
      <c r="L5165" s="36"/>
      <c r="R5165" s="34"/>
      <c r="AC5165" s="36"/>
    </row>
    <row r="5166" spans="12:29" x14ac:dyDescent="0.3">
      <c r="L5166" s="36"/>
      <c r="R5166" s="34"/>
      <c r="AC5166" s="36"/>
    </row>
    <row r="5167" spans="12:29" x14ac:dyDescent="0.3">
      <c r="L5167" s="36"/>
      <c r="R5167" s="34"/>
      <c r="AC5167" s="36"/>
    </row>
    <row r="5168" spans="12:29" x14ac:dyDescent="0.3">
      <c r="L5168" s="36"/>
      <c r="R5168" s="34"/>
      <c r="AC5168" s="36"/>
    </row>
    <row r="5169" spans="12:29" x14ac:dyDescent="0.3">
      <c r="L5169" s="36"/>
      <c r="R5169" s="34"/>
      <c r="AC5169" s="36"/>
    </row>
    <row r="5170" spans="12:29" x14ac:dyDescent="0.3">
      <c r="L5170" s="36"/>
      <c r="R5170" s="34"/>
      <c r="AC5170" s="36"/>
    </row>
    <row r="5171" spans="12:29" x14ac:dyDescent="0.3">
      <c r="L5171" s="36"/>
      <c r="R5171" s="34"/>
      <c r="AC5171" s="36"/>
    </row>
    <row r="5172" spans="12:29" x14ac:dyDescent="0.3">
      <c r="L5172" s="36"/>
      <c r="R5172" s="34"/>
      <c r="AC5172" s="36"/>
    </row>
    <row r="5173" spans="12:29" x14ac:dyDescent="0.3">
      <c r="L5173" s="36"/>
      <c r="R5173" s="34"/>
      <c r="AC5173" s="36"/>
    </row>
    <row r="5174" spans="12:29" x14ac:dyDescent="0.3">
      <c r="L5174" s="36"/>
      <c r="R5174" s="34"/>
      <c r="AC5174" s="36"/>
    </row>
    <row r="5175" spans="12:29" x14ac:dyDescent="0.3">
      <c r="L5175" s="36"/>
      <c r="R5175" s="34"/>
      <c r="AC5175" s="36"/>
    </row>
    <row r="5176" spans="12:29" x14ac:dyDescent="0.3">
      <c r="L5176" s="36"/>
      <c r="R5176" s="34"/>
      <c r="AC5176" s="36"/>
    </row>
    <row r="5177" spans="12:29" x14ac:dyDescent="0.3">
      <c r="L5177" s="36"/>
      <c r="R5177" s="34"/>
      <c r="AC5177" s="36"/>
    </row>
    <row r="5178" spans="12:29" x14ac:dyDescent="0.3">
      <c r="L5178" s="36"/>
      <c r="R5178" s="34"/>
      <c r="AC5178" s="36"/>
    </row>
    <row r="5179" spans="12:29" x14ac:dyDescent="0.3">
      <c r="L5179" s="36"/>
      <c r="R5179" s="34"/>
      <c r="AC5179" s="36"/>
    </row>
    <row r="5180" spans="12:29" x14ac:dyDescent="0.3">
      <c r="L5180" s="36"/>
      <c r="R5180" s="34"/>
      <c r="AC5180" s="36"/>
    </row>
    <row r="5181" spans="12:29" x14ac:dyDescent="0.3">
      <c r="L5181" s="36"/>
      <c r="R5181" s="34"/>
      <c r="AC5181" s="36"/>
    </row>
    <row r="5182" spans="12:29" x14ac:dyDescent="0.3">
      <c r="L5182" s="36"/>
      <c r="R5182" s="34"/>
      <c r="AC5182" s="36"/>
    </row>
    <row r="5183" spans="12:29" x14ac:dyDescent="0.3">
      <c r="L5183" s="36"/>
      <c r="R5183" s="34"/>
      <c r="AC5183" s="36"/>
    </row>
    <row r="5184" spans="12:29" x14ac:dyDescent="0.3">
      <c r="L5184" s="36"/>
      <c r="R5184" s="34"/>
      <c r="AC5184" s="36"/>
    </row>
    <row r="5185" spans="12:29" x14ac:dyDescent="0.3">
      <c r="L5185" s="36"/>
      <c r="R5185" s="34"/>
      <c r="AC5185" s="36"/>
    </row>
    <row r="5186" spans="12:29" x14ac:dyDescent="0.3">
      <c r="L5186" s="36"/>
      <c r="R5186" s="34"/>
      <c r="AC5186" s="36"/>
    </row>
    <row r="5187" spans="12:29" x14ac:dyDescent="0.3">
      <c r="L5187" s="36"/>
      <c r="R5187" s="34"/>
      <c r="AC5187" s="36"/>
    </row>
    <row r="5188" spans="12:29" x14ac:dyDescent="0.3">
      <c r="L5188" s="36"/>
      <c r="R5188" s="34"/>
      <c r="AC5188" s="36"/>
    </row>
    <row r="5189" spans="12:29" x14ac:dyDescent="0.3">
      <c r="L5189" s="36"/>
      <c r="R5189" s="34"/>
      <c r="AC5189" s="36"/>
    </row>
    <row r="5190" spans="12:29" x14ac:dyDescent="0.3">
      <c r="L5190" s="36"/>
      <c r="R5190" s="34"/>
      <c r="AC5190" s="36"/>
    </row>
    <row r="5191" spans="12:29" x14ac:dyDescent="0.3">
      <c r="L5191" s="36"/>
      <c r="R5191" s="34"/>
      <c r="AC5191" s="36"/>
    </row>
    <row r="5192" spans="12:29" x14ac:dyDescent="0.3">
      <c r="L5192" s="36"/>
      <c r="R5192" s="34"/>
      <c r="AC5192" s="36"/>
    </row>
    <row r="5193" spans="12:29" x14ac:dyDescent="0.3">
      <c r="L5193" s="36"/>
      <c r="R5193" s="34"/>
      <c r="AC5193" s="36"/>
    </row>
    <row r="5194" spans="12:29" x14ac:dyDescent="0.3">
      <c r="L5194" s="36"/>
      <c r="R5194" s="34"/>
      <c r="AC5194" s="36"/>
    </row>
    <row r="5195" spans="12:29" x14ac:dyDescent="0.3">
      <c r="L5195" s="36"/>
      <c r="R5195" s="34"/>
      <c r="AC5195" s="36"/>
    </row>
    <row r="5196" spans="12:29" x14ac:dyDescent="0.3">
      <c r="L5196" s="36"/>
      <c r="R5196" s="34"/>
      <c r="AC5196" s="36"/>
    </row>
    <row r="5197" spans="12:29" x14ac:dyDescent="0.3">
      <c r="L5197" s="36"/>
      <c r="R5197" s="34"/>
      <c r="AC5197" s="36"/>
    </row>
    <row r="5198" spans="12:29" x14ac:dyDescent="0.3">
      <c r="L5198" s="36"/>
      <c r="R5198" s="34"/>
      <c r="AC5198" s="36"/>
    </row>
    <row r="5199" spans="12:29" x14ac:dyDescent="0.3">
      <c r="L5199" s="36"/>
      <c r="R5199" s="34"/>
      <c r="AC5199" s="36"/>
    </row>
    <row r="5200" spans="12:29" x14ac:dyDescent="0.3">
      <c r="L5200" s="36"/>
      <c r="R5200" s="34"/>
      <c r="AC5200" s="36"/>
    </row>
    <row r="5201" spans="12:29" x14ac:dyDescent="0.3">
      <c r="L5201" s="36"/>
      <c r="R5201" s="34"/>
      <c r="AC5201" s="36"/>
    </row>
    <row r="5202" spans="12:29" x14ac:dyDescent="0.3">
      <c r="L5202" s="36"/>
      <c r="R5202" s="34"/>
      <c r="AC5202" s="36"/>
    </row>
    <row r="5203" spans="12:29" x14ac:dyDescent="0.3">
      <c r="L5203" s="36"/>
      <c r="R5203" s="34"/>
      <c r="AC5203" s="36"/>
    </row>
    <row r="5204" spans="12:29" x14ac:dyDescent="0.3">
      <c r="L5204" s="36"/>
      <c r="R5204" s="34"/>
      <c r="AC5204" s="36"/>
    </row>
    <row r="5205" spans="12:29" x14ac:dyDescent="0.3">
      <c r="L5205" s="36"/>
      <c r="R5205" s="34"/>
      <c r="AC5205" s="36"/>
    </row>
    <row r="5206" spans="12:29" x14ac:dyDescent="0.3">
      <c r="L5206" s="36"/>
      <c r="R5206" s="34"/>
      <c r="AC5206" s="36"/>
    </row>
    <row r="5207" spans="12:29" x14ac:dyDescent="0.3">
      <c r="L5207" s="36"/>
      <c r="R5207" s="34"/>
      <c r="AC5207" s="36"/>
    </row>
    <row r="5208" spans="12:29" x14ac:dyDescent="0.3">
      <c r="L5208" s="36"/>
      <c r="R5208" s="34"/>
      <c r="AC5208" s="36"/>
    </row>
    <row r="5209" spans="12:29" x14ac:dyDescent="0.3">
      <c r="L5209" s="36"/>
      <c r="R5209" s="34"/>
      <c r="AC5209" s="36"/>
    </row>
    <row r="5210" spans="12:29" x14ac:dyDescent="0.3">
      <c r="L5210" s="36"/>
      <c r="R5210" s="34"/>
      <c r="AC5210" s="36"/>
    </row>
    <row r="5211" spans="12:29" x14ac:dyDescent="0.3">
      <c r="L5211" s="36"/>
      <c r="R5211" s="34"/>
      <c r="AC5211" s="36"/>
    </row>
    <row r="5212" spans="12:29" x14ac:dyDescent="0.3">
      <c r="L5212" s="36"/>
      <c r="R5212" s="34"/>
      <c r="AC5212" s="36"/>
    </row>
    <row r="5213" spans="12:29" x14ac:dyDescent="0.3">
      <c r="L5213" s="36"/>
      <c r="R5213" s="34"/>
      <c r="AC5213" s="36"/>
    </row>
    <row r="5214" spans="12:29" x14ac:dyDescent="0.3">
      <c r="L5214" s="36"/>
      <c r="R5214" s="34"/>
      <c r="AC5214" s="36"/>
    </row>
    <row r="5215" spans="12:29" x14ac:dyDescent="0.3">
      <c r="L5215" s="36"/>
      <c r="R5215" s="34"/>
      <c r="AC5215" s="36"/>
    </row>
    <row r="5216" spans="12:29" x14ac:dyDescent="0.3">
      <c r="L5216" s="36"/>
      <c r="R5216" s="34"/>
      <c r="AC5216" s="36"/>
    </row>
    <row r="5217" spans="12:29" x14ac:dyDescent="0.3">
      <c r="L5217" s="36"/>
      <c r="R5217" s="34"/>
      <c r="AC5217" s="36"/>
    </row>
    <row r="5218" spans="12:29" x14ac:dyDescent="0.3">
      <c r="L5218" s="36"/>
      <c r="R5218" s="34"/>
      <c r="AC5218" s="36"/>
    </row>
    <row r="5219" spans="12:29" x14ac:dyDescent="0.3">
      <c r="L5219" s="36"/>
      <c r="R5219" s="34"/>
      <c r="AC5219" s="36"/>
    </row>
    <row r="5220" spans="12:29" x14ac:dyDescent="0.3">
      <c r="L5220" s="36"/>
      <c r="R5220" s="34"/>
      <c r="AC5220" s="36"/>
    </row>
    <row r="5221" spans="12:29" x14ac:dyDescent="0.3">
      <c r="L5221" s="36"/>
      <c r="R5221" s="34"/>
      <c r="AC5221" s="36"/>
    </row>
    <row r="5222" spans="12:29" x14ac:dyDescent="0.3">
      <c r="L5222" s="36"/>
      <c r="R5222" s="34"/>
      <c r="AC5222" s="36"/>
    </row>
    <row r="5223" spans="12:29" x14ac:dyDescent="0.3">
      <c r="L5223" s="36"/>
      <c r="R5223" s="34"/>
      <c r="AC5223" s="36"/>
    </row>
    <row r="5224" spans="12:29" x14ac:dyDescent="0.3">
      <c r="L5224" s="36"/>
      <c r="R5224" s="34"/>
      <c r="AC5224" s="36"/>
    </row>
    <row r="5225" spans="12:29" x14ac:dyDescent="0.3">
      <c r="L5225" s="36"/>
      <c r="R5225" s="34"/>
      <c r="AC5225" s="36"/>
    </row>
    <row r="5226" spans="12:29" x14ac:dyDescent="0.3">
      <c r="L5226" s="36"/>
      <c r="R5226" s="34"/>
      <c r="AC5226" s="36"/>
    </row>
    <row r="5227" spans="12:29" x14ac:dyDescent="0.3">
      <c r="L5227" s="36"/>
      <c r="R5227" s="34"/>
      <c r="AC5227" s="36"/>
    </row>
    <row r="5228" spans="12:29" x14ac:dyDescent="0.3">
      <c r="L5228" s="36"/>
      <c r="R5228" s="34"/>
      <c r="AC5228" s="36"/>
    </row>
    <row r="5229" spans="12:29" x14ac:dyDescent="0.3">
      <c r="L5229" s="36"/>
      <c r="R5229" s="34"/>
      <c r="AC5229" s="36"/>
    </row>
    <row r="5230" spans="12:29" x14ac:dyDescent="0.3">
      <c r="L5230" s="36"/>
      <c r="R5230" s="34"/>
      <c r="AC5230" s="36"/>
    </row>
    <row r="5231" spans="12:29" x14ac:dyDescent="0.3">
      <c r="L5231" s="36"/>
      <c r="R5231" s="34"/>
      <c r="AC5231" s="36"/>
    </row>
    <row r="5232" spans="12:29" x14ac:dyDescent="0.3">
      <c r="L5232" s="36"/>
      <c r="R5232" s="34"/>
      <c r="AC5232" s="36"/>
    </row>
    <row r="5233" spans="12:29" x14ac:dyDescent="0.3">
      <c r="L5233" s="36"/>
      <c r="R5233" s="34"/>
      <c r="AC5233" s="36"/>
    </row>
    <row r="5234" spans="12:29" x14ac:dyDescent="0.3">
      <c r="L5234" s="36"/>
      <c r="R5234" s="34"/>
      <c r="AC5234" s="36"/>
    </row>
    <row r="5235" spans="12:29" x14ac:dyDescent="0.3">
      <c r="L5235" s="36"/>
      <c r="R5235" s="34"/>
      <c r="AC5235" s="36"/>
    </row>
    <row r="5236" spans="12:29" x14ac:dyDescent="0.3">
      <c r="L5236" s="36"/>
      <c r="R5236" s="34"/>
      <c r="AC5236" s="36"/>
    </row>
    <row r="5237" spans="12:29" x14ac:dyDescent="0.3">
      <c r="L5237" s="36"/>
      <c r="R5237" s="34"/>
      <c r="AC5237" s="36"/>
    </row>
    <row r="5238" spans="12:29" x14ac:dyDescent="0.3">
      <c r="L5238" s="36"/>
      <c r="R5238" s="34"/>
      <c r="AC5238" s="36"/>
    </row>
    <row r="5239" spans="12:29" x14ac:dyDescent="0.3">
      <c r="L5239" s="36"/>
      <c r="R5239" s="34"/>
      <c r="AC5239" s="36"/>
    </row>
    <row r="5240" spans="12:29" x14ac:dyDescent="0.3">
      <c r="L5240" s="36"/>
      <c r="R5240" s="34"/>
      <c r="AC5240" s="36"/>
    </row>
    <row r="5241" spans="12:29" x14ac:dyDescent="0.3">
      <c r="L5241" s="36"/>
      <c r="R5241" s="34"/>
      <c r="AC5241" s="36"/>
    </row>
    <row r="5242" spans="12:29" x14ac:dyDescent="0.3">
      <c r="L5242" s="36"/>
      <c r="R5242" s="34"/>
      <c r="AC5242" s="36"/>
    </row>
    <row r="5243" spans="12:29" x14ac:dyDescent="0.3">
      <c r="L5243" s="36"/>
      <c r="R5243" s="34"/>
      <c r="AC5243" s="36"/>
    </row>
    <row r="5244" spans="12:29" x14ac:dyDescent="0.3">
      <c r="L5244" s="36"/>
      <c r="R5244" s="34"/>
      <c r="AC5244" s="36"/>
    </row>
    <row r="5245" spans="12:29" x14ac:dyDescent="0.3">
      <c r="L5245" s="36"/>
      <c r="R5245" s="34"/>
      <c r="AC5245" s="36"/>
    </row>
    <row r="5246" spans="12:29" x14ac:dyDescent="0.3">
      <c r="L5246" s="36"/>
      <c r="R5246" s="34"/>
      <c r="AC5246" s="36"/>
    </row>
    <row r="5247" spans="12:29" x14ac:dyDescent="0.3">
      <c r="L5247" s="36"/>
      <c r="R5247" s="34"/>
      <c r="AC5247" s="36"/>
    </row>
    <row r="5248" spans="12:29" x14ac:dyDescent="0.3">
      <c r="L5248" s="36"/>
      <c r="R5248" s="34"/>
      <c r="AC5248" s="36"/>
    </row>
    <row r="5249" spans="12:29" x14ac:dyDescent="0.3">
      <c r="L5249" s="36"/>
      <c r="R5249" s="34"/>
      <c r="AC5249" s="36"/>
    </row>
    <row r="5250" spans="12:29" x14ac:dyDescent="0.3">
      <c r="L5250" s="36"/>
      <c r="R5250" s="34"/>
      <c r="AC5250" s="36"/>
    </row>
    <row r="5251" spans="12:29" x14ac:dyDescent="0.3">
      <c r="L5251" s="36"/>
      <c r="R5251" s="34"/>
      <c r="AC5251" s="36"/>
    </row>
    <row r="5252" spans="12:29" x14ac:dyDescent="0.3">
      <c r="L5252" s="36"/>
      <c r="R5252" s="34"/>
      <c r="AC5252" s="36"/>
    </row>
    <row r="5253" spans="12:29" x14ac:dyDescent="0.3">
      <c r="L5253" s="36"/>
      <c r="R5253" s="34"/>
      <c r="AC5253" s="36"/>
    </row>
    <row r="5254" spans="12:29" x14ac:dyDescent="0.3">
      <c r="L5254" s="36"/>
      <c r="R5254" s="34"/>
      <c r="AC5254" s="36"/>
    </row>
    <row r="5255" spans="12:29" x14ac:dyDescent="0.3">
      <c r="L5255" s="36"/>
      <c r="R5255" s="34"/>
      <c r="AC5255" s="36"/>
    </row>
    <row r="5256" spans="12:29" x14ac:dyDescent="0.3">
      <c r="L5256" s="36"/>
      <c r="R5256" s="34"/>
      <c r="AC5256" s="36"/>
    </row>
    <row r="5257" spans="12:29" x14ac:dyDescent="0.3">
      <c r="L5257" s="36"/>
      <c r="R5257" s="34"/>
      <c r="AC5257" s="36"/>
    </row>
    <row r="5258" spans="12:29" x14ac:dyDescent="0.3">
      <c r="L5258" s="36"/>
      <c r="R5258" s="34"/>
      <c r="AC5258" s="36"/>
    </row>
    <row r="5259" spans="12:29" x14ac:dyDescent="0.3">
      <c r="L5259" s="36"/>
      <c r="R5259" s="34"/>
      <c r="AC5259" s="36"/>
    </row>
    <row r="5260" spans="12:29" x14ac:dyDescent="0.3">
      <c r="L5260" s="36"/>
      <c r="R5260" s="34"/>
      <c r="AC5260" s="36"/>
    </row>
    <row r="5261" spans="12:29" x14ac:dyDescent="0.3">
      <c r="L5261" s="36"/>
      <c r="R5261" s="34"/>
      <c r="AC5261" s="36"/>
    </row>
    <row r="5262" spans="12:29" x14ac:dyDescent="0.3">
      <c r="L5262" s="36"/>
      <c r="R5262" s="34"/>
      <c r="AC5262" s="36"/>
    </row>
    <row r="5263" spans="12:29" x14ac:dyDescent="0.3">
      <c r="L5263" s="36"/>
      <c r="R5263" s="34"/>
      <c r="AC5263" s="36"/>
    </row>
    <row r="5264" spans="12:29" x14ac:dyDescent="0.3">
      <c r="L5264" s="36"/>
      <c r="R5264" s="34"/>
      <c r="AC5264" s="36"/>
    </row>
    <row r="5265" spans="12:29" x14ac:dyDescent="0.3">
      <c r="L5265" s="36"/>
      <c r="R5265" s="34"/>
      <c r="AC5265" s="36"/>
    </row>
    <row r="5266" spans="12:29" x14ac:dyDescent="0.3">
      <c r="L5266" s="36"/>
      <c r="R5266" s="34"/>
      <c r="AC5266" s="36"/>
    </row>
    <row r="5267" spans="12:29" x14ac:dyDescent="0.3">
      <c r="L5267" s="36"/>
      <c r="R5267" s="34"/>
      <c r="AC5267" s="36"/>
    </row>
    <row r="5268" spans="12:29" x14ac:dyDescent="0.3">
      <c r="L5268" s="36"/>
      <c r="R5268" s="34"/>
      <c r="AC5268" s="36"/>
    </row>
    <row r="5269" spans="12:29" x14ac:dyDescent="0.3">
      <c r="L5269" s="36"/>
      <c r="R5269" s="34"/>
      <c r="AC5269" s="36"/>
    </row>
    <row r="5270" spans="12:29" x14ac:dyDescent="0.3">
      <c r="L5270" s="36"/>
      <c r="R5270" s="34"/>
      <c r="AC5270" s="36"/>
    </row>
    <row r="5271" spans="12:29" x14ac:dyDescent="0.3">
      <c r="L5271" s="36"/>
      <c r="R5271" s="34"/>
      <c r="AC5271" s="36"/>
    </row>
    <row r="5272" spans="12:29" x14ac:dyDescent="0.3">
      <c r="L5272" s="36"/>
      <c r="R5272" s="34"/>
      <c r="AC5272" s="36"/>
    </row>
    <row r="5273" spans="12:29" x14ac:dyDescent="0.3">
      <c r="L5273" s="36"/>
      <c r="R5273" s="34"/>
      <c r="AC5273" s="36"/>
    </row>
    <row r="5274" spans="12:29" x14ac:dyDescent="0.3">
      <c r="L5274" s="36"/>
      <c r="R5274" s="34"/>
      <c r="AC5274" s="36"/>
    </row>
    <row r="5275" spans="12:29" x14ac:dyDescent="0.3">
      <c r="L5275" s="36"/>
      <c r="R5275" s="34"/>
      <c r="AC5275" s="36"/>
    </row>
    <row r="5276" spans="12:29" x14ac:dyDescent="0.3">
      <c r="L5276" s="36"/>
      <c r="R5276" s="34"/>
      <c r="AC5276" s="36"/>
    </row>
    <row r="5277" spans="12:29" x14ac:dyDescent="0.3">
      <c r="L5277" s="36"/>
      <c r="R5277" s="34"/>
      <c r="AC5277" s="36"/>
    </row>
    <row r="5278" spans="12:29" x14ac:dyDescent="0.3">
      <c r="L5278" s="36"/>
      <c r="R5278" s="34"/>
      <c r="AC5278" s="36"/>
    </row>
    <row r="5279" spans="12:29" x14ac:dyDescent="0.3">
      <c r="L5279" s="36"/>
      <c r="R5279" s="34"/>
      <c r="AC5279" s="36"/>
    </row>
    <row r="5280" spans="12:29" x14ac:dyDescent="0.3">
      <c r="L5280" s="36"/>
      <c r="R5280" s="34"/>
      <c r="AC5280" s="36"/>
    </row>
    <row r="5281" spans="12:29" x14ac:dyDescent="0.3">
      <c r="L5281" s="36"/>
      <c r="R5281" s="34"/>
      <c r="AC5281" s="36"/>
    </row>
    <row r="5282" spans="12:29" x14ac:dyDescent="0.3">
      <c r="L5282" s="36"/>
      <c r="R5282" s="34"/>
      <c r="AC5282" s="36"/>
    </row>
    <row r="5283" spans="12:29" x14ac:dyDescent="0.3">
      <c r="L5283" s="36"/>
      <c r="R5283" s="34"/>
      <c r="AC5283" s="36"/>
    </row>
    <row r="5284" spans="12:29" x14ac:dyDescent="0.3">
      <c r="L5284" s="36"/>
      <c r="R5284" s="34"/>
      <c r="AC5284" s="36"/>
    </row>
    <row r="5285" spans="12:29" x14ac:dyDescent="0.3">
      <c r="L5285" s="36"/>
      <c r="R5285" s="34"/>
      <c r="AC5285" s="36"/>
    </row>
    <row r="5286" spans="12:29" x14ac:dyDescent="0.3">
      <c r="L5286" s="36"/>
      <c r="R5286" s="34"/>
      <c r="AC5286" s="36"/>
    </row>
    <row r="5287" spans="12:29" x14ac:dyDescent="0.3">
      <c r="L5287" s="36"/>
      <c r="R5287" s="34"/>
      <c r="AC5287" s="36"/>
    </row>
    <row r="5288" spans="12:29" x14ac:dyDescent="0.3">
      <c r="L5288" s="36"/>
      <c r="R5288" s="34"/>
      <c r="AC5288" s="36"/>
    </row>
    <row r="5289" spans="12:29" x14ac:dyDescent="0.3">
      <c r="L5289" s="36"/>
      <c r="R5289" s="34"/>
      <c r="AC5289" s="36"/>
    </row>
    <row r="5290" spans="12:29" x14ac:dyDescent="0.3">
      <c r="L5290" s="36"/>
      <c r="R5290" s="34"/>
      <c r="AC5290" s="36"/>
    </row>
    <row r="5291" spans="12:29" x14ac:dyDescent="0.3">
      <c r="L5291" s="36"/>
      <c r="R5291" s="34"/>
      <c r="AC5291" s="36"/>
    </row>
    <row r="5292" spans="12:29" x14ac:dyDescent="0.3">
      <c r="L5292" s="36"/>
      <c r="R5292" s="34"/>
      <c r="AC5292" s="36"/>
    </row>
    <row r="5293" spans="12:29" x14ac:dyDescent="0.3">
      <c r="L5293" s="36"/>
      <c r="R5293" s="34"/>
      <c r="AC5293" s="36"/>
    </row>
    <row r="5294" spans="12:29" x14ac:dyDescent="0.3">
      <c r="L5294" s="36"/>
      <c r="R5294" s="34"/>
      <c r="AC5294" s="36"/>
    </row>
    <row r="5295" spans="12:29" x14ac:dyDescent="0.3">
      <c r="L5295" s="36"/>
      <c r="R5295" s="34"/>
      <c r="AC5295" s="36"/>
    </row>
    <row r="5296" spans="12:29" x14ac:dyDescent="0.3">
      <c r="L5296" s="36"/>
      <c r="R5296" s="34"/>
      <c r="AC5296" s="36"/>
    </row>
    <row r="5297" spans="12:29" x14ac:dyDescent="0.3">
      <c r="L5297" s="36"/>
      <c r="R5297" s="34"/>
      <c r="AC5297" s="36"/>
    </row>
    <row r="5298" spans="12:29" x14ac:dyDescent="0.3">
      <c r="L5298" s="36"/>
      <c r="R5298" s="34"/>
      <c r="AC5298" s="36"/>
    </row>
    <row r="5299" spans="12:29" x14ac:dyDescent="0.3">
      <c r="L5299" s="36"/>
      <c r="R5299" s="34"/>
      <c r="AC5299" s="36"/>
    </row>
    <row r="5300" spans="12:29" x14ac:dyDescent="0.3">
      <c r="L5300" s="36"/>
      <c r="R5300" s="34"/>
      <c r="AC5300" s="36"/>
    </row>
    <row r="5301" spans="12:29" x14ac:dyDescent="0.3">
      <c r="L5301" s="36"/>
      <c r="R5301" s="34"/>
      <c r="AC5301" s="36"/>
    </row>
    <row r="5302" spans="12:29" x14ac:dyDescent="0.3">
      <c r="L5302" s="36"/>
      <c r="R5302" s="34"/>
      <c r="AC5302" s="36"/>
    </row>
    <row r="5303" spans="12:29" x14ac:dyDescent="0.3">
      <c r="L5303" s="36"/>
      <c r="R5303" s="34"/>
      <c r="AC5303" s="36"/>
    </row>
    <row r="5304" spans="12:29" x14ac:dyDescent="0.3">
      <c r="L5304" s="36"/>
      <c r="R5304" s="34"/>
      <c r="AC5304" s="36"/>
    </row>
    <row r="5305" spans="12:29" x14ac:dyDescent="0.3">
      <c r="L5305" s="36"/>
      <c r="R5305" s="34"/>
      <c r="AC5305" s="36"/>
    </row>
    <row r="5306" spans="12:29" x14ac:dyDescent="0.3">
      <c r="L5306" s="36"/>
      <c r="R5306" s="34"/>
      <c r="AC5306" s="36"/>
    </row>
    <row r="5307" spans="12:29" x14ac:dyDescent="0.3">
      <c r="L5307" s="36"/>
      <c r="R5307" s="34"/>
      <c r="AC5307" s="36"/>
    </row>
    <row r="5308" spans="12:29" x14ac:dyDescent="0.3">
      <c r="L5308" s="36"/>
      <c r="R5308" s="34"/>
      <c r="AC5308" s="36"/>
    </row>
    <row r="5309" spans="12:29" x14ac:dyDescent="0.3">
      <c r="L5309" s="36"/>
      <c r="R5309" s="34"/>
      <c r="AC5309" s="36"/>
    </row>
    <row r="5310" spans="12:29" x14ac:dyDescent="0.3">
      <c r="L5310" s="36"/>
      <c r="R5310" s="34"/>
      <c r="AC5310" s="36"/>
    </row>
    <row r="5311" spans="12:29" x14ac:dyDescent="0.3">
      <c r="L5311" s="36"/>
      <c r="R5311" s="34"/>
      <c r="AC5311" s="36"/>
    </row>
    <row r="5312" spans="12:29" x14ac:dyDescent="0.3">
      <c r="L5312" s="36"/>
      <c r="R5312" s="34"/>
      <c r="AC5312" s="36"/>
    </row>
    <row r="5313" spans="12:29" x14ac:dyDescent="0.3">
      <c r="L5313" s="36"/>
      <c r="R5313" s="34"/>
      <c r="AC5313" s="36"/>
    </row>
    <row r="5314" spans="12:29" x14ac:dyDescent="0.3">
      <c r="L5314" s="36"/>
      <c r="R5314" s="34"/>
      <c r="AC5314" s="36"/>
    </row>
    <row r="5315" spans="12:29" x14ac:dyDescent="0.3">
      <c r="L5315" s="36"/>
      <c r="R5315" s="34"/>
      <c r="AC5315" s="36"/>
    </row>
    <row r="5316" spans="12:29" x14ac:dyDescent="0.3">
      <c r="L5316" s="36"/>
      <c r="R5316" s="34"/>
      <c r="AC5316" s="36"/>
    </row>
    <row r="5317" spans="12:29" x14ac:dyDescent="0.3">
      <c r="L5317" s="36"/>
      <c r="R5317" s="34"/>
      <c r="AC5317" s="36"/>
    </row>
    <row r="5318" spans="12:29" x14ac:dyDescent="0.3">
      <c r="L5318" s="36"/>
      <c r="R5318" s="34"/>
      <c r="AC5318" s="36"/>
    </row>
    <row r="5319" spans="12:29" x14ac:dyDescent="0.3">
      <c r="L5319" s="36"/>
      <c r="R5319" s="34"/>
      <c r="AC5319" s="36"/>
    </row>
    <row r="5320" spans="12:29" x14ac:dyDescent="0.3">
      <c r="L5320" s="36"/>
      <c r="R5320" s="34"/>
      <c r="AC5320" s="36"/>
    </row>
    <row r="5321" spans="12:29" x14ac:dyDescent="0.3">
      <c r="L5321" s="36"/>
      <c r="R5321" s="34"/>
      <c r="AC5321" s="36"/>
    </row>
    <row r="5322" spans="12:29" x14ac:dyDescent="0.3">
      <c r="L5322" s="36"/>
      <c r="R5322" s="34"/>
      <c r="AC5322" s="36"/>
    </row>
    <row r="5323" spans="12:29" x14ac:dyDescent="0.3">
      <c r="L5323" s="36"/>
      <c r="R5323" s="34"/>
      <c r="AC5323" s="36"/>
    </row>
    <row r="5324" spans="12:29" x14ac:dyDescent="0.3">
      <c r="L5324" s="36"/>
      <c r="R5324" s="34"/>
      <c r="AC5324" s="36"/>
    </row>
    <row r="5325" spans="12:29" x14ac:dyDescent="0.3">
      <c r="L5325" s="36"/>
      <c r="R5325" s="34"/>
      <c r="AC5325" s="36"/>
    </row>
    <row r="5326" spans="12:29" x14ac:dyDescent="0.3">
      <c r="L5326" s="36"/>
      <c r="R5326" s="34"/>
      <c r="AC5326" s="36"/>
    </row>
    <row r="5327" spans="12:29" x14ac:dyDescent="0.3">
      <c r="L5327" s="36"/>
      <c r="R5327" s="34"/>
      <c r="AC5327" s="36"/>
    </row>
    <row r="5328" spans="12:29" x14ac:dyDescent="0.3">
      <c r="L5328" s="36"/>
      <c r="R5328" s="34"/>
      <c r="AC5328" s="36"/>
    </row>
    <row r="5329" spans="12:29" x14ac:dyDescent="0.3">
      <c r="L5329" s="36"/>
      <c r="R5329" s="34"/>
      <c r="AC5329" s="36"/>
    </row>
    <row r="5330" spans="12:29" x14ac:dyDescent="0.3">
      <c r="L5330" s="36"/>
      <c r="R5330" s="34"/>
      <c r="AC5330" s="36"/>
    </row>
    <row r="5331" spans="12:29" x14ac:dyDescent="0.3">
      <c r="L5331" s="36"/>
      <c r="R5331" s="34"/>
      <c r="AC5331" s="36"/>
    </row>
    <row r="5332" spans="12:29" x14ac:dyDescent="0.3">
      <c r="L5332" s="36"/>
      <c r="R5332" s="34"/>
      <c r="AC5332" s="36"/>
    </row>
    <row r="5333" spans="12:29" x14ac:dyDescent="0.3">
      <c r="L5333" s="36"/>
      <c r="R5333" s="34"/>
      <c r="AC5333" s="36"/>
    </row>
    <row r="5334" spans="12:29" x14ac:dyDescent="0.3">
      <c r="L5334" s="36"/>
      <c r="R5334" s="34"/>
      <c r="AC5334" s="36"/>
    </row>
    <row r="5335" spans="12:29" x14ac:dyDescent="0.3">
      <c r="L5335" s="36"/>
      <c r="R5335" s="34"/>
      <c r="AC5335" s="36"/>
    </row>
    <row r="5336" spans="12:29" x14ac:dyDescent="0.3">
      <c r="L5336" s="36"/>
      <c r="R5336" s="34"/>
      <c r="AC5336" s="36"/>
    </row>
    <row r="5337" spans="12:29" x14ac:dyDescent="0.3">
      <c r="L5337" s="36"/>
      <c r="R5337" s="34"/>
      <c r="AC5337" s="36"/>
    </row>
    <row r="5338" spans="12:29" x14ac:dyDescent="0.3">
      <c r="L5338" s="36"/>
      <c r="R5338" s="34"/>
      <c r="AC5338" s="36"/>
    </row>
    <row r="5339" spans="12:29" x14ac:dyDescent="0.3">
      <c r="L5339" s="36"/>
      <c r="R5339" s="34"/>
      <c r="AC5339" s="36"/>
    </row>
    <row r="5340" spans="12:29" x14ac:dyDescent="0.3">
      <c r="L5340" s="36"/>
      <c r="R5340" s="34"/>
      <c r="AC5340" s="36"/>
    </row>
    <row r="5341" spans="12:29" x14ac:dyDescent="0.3">
      <c r="L5341" s="36"/>
      <c r="R5341" s="34"/>
      <c r="AC5341" s="36"/>
    </row>
    <row r="5342" spans="12:29" x14ac:dyDescent="0.3">
      <c r="L5342" s="36"/>
      <c r="R5342" s="34"/>
      <c r="AC5342" s="36"/>
    </row>
    <row r="5343" spans="12:29" x14ac:dyDescent="0.3">
      <c r="L5343" s="36"/>
      <c r="R5343" s="34"/>
      <c r="AC5343" s="36"/>
    </row>
    <row r="5344" spans="12:29" x14ac:dyDescent="0.3">
      <c r="L5344" s="36"/>
      <c r="R5344" s="34"/>
      <c r="AC5344" s="36"/>
    </row>
    <row r="5345" spans="12:29" x14ac:dyDescent="0.3">
      <c r="L5345" s="36"/>
      <c r="R5345" s="34"/>
      <c r="AC5345" s="36"/>
    </row>
    <row r="5346" spans="12:29" x14ac:dyDescent="0.3">
      <c r="L5346" s="36"/>
      <c r="R5346" s="34"/>
      <c r="AC5346" s="36"/>
    </row>
    <row r="5347" spans="12:29" x14ac:dyDescent="0.3">
      <c r="L5347" s="36"/>
      <c r="R5347" s="34"/>
      <c r="AC5347" s="36"/>
    </row>
    <row r="5348" spans="12:29" x14ac:dyDescent="0.3">
      <c r="L5348" s="36"/>
      <c r="R5348" s="34"/>
      <c r="AC5348" s="36"/>
    </row>
    <row r="5349" spans="12:29" x14ac:dyDescent="0.3">
      <c r="L5349" s="36"/>
      <c r="R5349" s="34"/>
      <c r="AC5349" s="36"/>
    </row>
    <row r="5350" spans="12:29" x14ac:dyDescent="0.3">
      <c r="L5350" s="36"/>
      <c r="R5350" s="34"/>
      <c r="AC5350" s="36"/>
    </row>
    <row r="5351" spans="12:29" x14ac:dyDescent="0.3">
      <c r="L5351" s="36"/>
      <c r="R5351" s="34"/>
      <c r="AC5351" s="36"/>
    </row>
    <row r="5352" spans="12:29" x14ac:dyDescent="0.3">
      <c r="L5352" s="36"/>
      <c r="R5352" s="34"/>
      <c r="AC5352" s="36"/>
    </row>
    <row r="5353" spans="12:29" x14ac:dyDescent="0.3">
      <c r="L5353" s="36"/>
      <c r="R5353" s="34"/>
      <c r="AC5353" s="36"/>
    </row>
    <row r="5354" spans="12:29" x14ac:dyDescent="0.3">
      <c r="L5354" s="36"/>
      <c r="R5354" s="34"/>
      <c r="AC5354" s="36"/>
    </row>
    <row r="5355" spans="12:29" x14ac:dyDescent="0.3">
      <c r="L5355" s="36"/>
      <c r="R5355" s="34"/>
      <c r="AC5355" s="36"/>
    </row>
    <row r="5356" spans="12:29" x14ac:dyDescent="0.3">
      <c r="L5356" s="36"/>
      <c r="R5356" s="34"/>
      <c r="AC5356" s="36"/>
    </row>
    <row r="5357" spans="12:29" x14ac:dyDescent="0.3">
      <c r="L5357" s="36"/>
      <c r="R5357" s="34"/>
      <c r="AC5357" s="36"/>
    </row>
    <row r="5358" spans="12:29" x14ac:dyDescent="0.3">
      <c r="L5358" s="36"/>
      <c r="R5358" s="34"/>
      <c r="AC5358" s="36"/>
    </row>
    <row r="5359" spans="12:29" x14ac:dyDescent="0.3">
      <c r="L5359" s="36"/>
      <c r="R5359" s="34"/>
      <c r="AC5359" s="36"/>
    </row>
    <row r="5360" spans="12:29" x14ac:dyDescent="0.3">
      <c r="L5360" s="36"/>
      <c r="R5360" s="34"/>
      <c r="AC5360" s="36"/>
    </row>
    <row r="5361" spans="12:29" x14ac:dyDescent="0.3">
      <c r="L5361" s="36"/>
      <c r="R5361" s="34"/>
      <c r="AC5361" s="36"/>
    </row>
    <row r="5362" spans="12:29" x14ac:dyDescent="0.3">
      <c r="L5362" s="36"/>
      <c r="R5362" s="34"/>
      <c r="AC5362" s="36"/>
    </row>
    <row r="5363" spans="12:29" x14ac:dyDescent="0.3">
      <c r="L5363" s="36"/>
      <c r="R5363" s="34"/>
      <c r="AC5363" s="36"/>
    </row>
    <row r="5364" spans="12:29" x14ac:dyDescent="0.3">
      <c r="L5364" s="36"/>
      <c r="R5364" s="34"/>
      <c r="AC5364" s="36"/>
    </row>
    <row r="5365" spans="12:29" x14ac:dyDescent="0.3">
      <c r="L5365" s="36"/>
      <c r="R5365" s="34"/>
      <c r="AC5365" s="36"/>
    </row>
    <row r="5366" spans="12:29" x14ac:dyDescent="0.3">
      <c r="L5366" s="36"/>
      <c r="R5366" s="34"/>
      <c r="AC5366" s="36"/>
    </row>
    <row r="5367" spans="12:29" x14ac:dyDescent="0.3">
      <c r="L5367" s="36"/>
      <c r="R5367" s="34"/>
      <c r="AC5367" s="36"/>
    </row>
    <row r="5368" spans="12:29" x14ac:dyDescent="0.3">
      <c r="L5368" s="36"/>
      <c r="R5368" s="34"/>
      <c r="AC5368" s="36"/>
    </row>
    <row r="5369" spans="12:29" x14ac:dyDescent="0.3">
      <c r="L5369" s="36"/>
      <c r="R5369" s="34"/>
      <c r="AC5369" s="36"/>
    </row>
    <row r="5370" spans="12:29" x14ac:dyDescent="0.3">
      <c r="L5370" s="36"/>
      <c r="R5370" s="34"/>
      <c r="AC5370" s="36"/>
    </row>
    <row r="5371" spans="12:29" x14ac:dyDescent="0.3">
      <c r="L5371" s="36"/>
      <c r="R5371" s="34"/>
      <c r="AC5371" s="36"/>
    </row>
    <row r="5372" spans="12:29" x14ac:dyDescent="0.3">
      <c r="L5372" s="36"/>
      <c r="R5372" s="34"/>
      <c r="AC5372" s="36"/>
    </row>
    <row r="5373" spans="12:29" x14ac:dyDescent="0.3">
      <c r="L5373" s="36"/>
      <c r="R5373" s="34"/>
      <c r="AC5373" s="36"/>
    </row>
    <row r="5374" spans="12:29" x14ac:dyDescent="0.3">
      <c r="L5374" s="36"/>
      <c r="R5374" s="34"/>
      <c r="AC5374" s="36"/>
    </row>
    <row r="5375" spans="12:29" x14ac:dyDescent="0.3">
      <c r="L5375" s="36"/>
      <c r="R5375" s="34"/>
      <c r="AC5375" s="36"/>
    </row>
    <row r="5376" spans="12:29" x14ac:dyDescent="0.3">
      <c r="L5376" s="36"/>
      <c r="R5376" s="34"/>
      <c r="AC5376" s="36"/>
    </row>
    <row r="5377" spans="12:29" x14ac:dyDescent="0.3">
      <c r="L5377" s="36"/>
      <c r="R5377" s="34"/>
      <c r="AC5377" s="36"/>
    </row>
    <row r="5378" spans="12:29" x14ac:dyDescent="0.3">
      <c r="L5378" s="36"/>
      <c r="R5378" s="34"/>
      <c r="AC5378" s="36"/>
    </row>
    <row r="5379" spans="12:29" x14ac:dyDescent="0.3">
      <c r="L5379" s="36"/>
      <c r="R5379" s="34"/>
      <c r="AC5379" s="36"/>
    </row>
    <row r="5380" spans="12:29" x14ac:dyDescent="0.3">
      <c r="L5380" s="36"/>
      <c r="R5380" s="34"/>
      <c r="AC5380" s="36"/>
    </row>
    <row r="5381" spans="12:29" x14ac:dyDescent="0.3">
      <c r="L5381" s="36"/>
      <c r="R5381" s="34"/>
      <c r="AC5381" s="36"/>
    </row>
    <row r="5382" spans="12:29" x14ac:dyDescent="0.3">
      <c r="L5382" s="36"/>
      <c r="R5382" s="34"/>
      <c r="AC5382" s="36"/>
    </row>
    <row r="5383" spans="12:29" x14ac:dyDescent="0.3">
      <c r="L5383" s="36"/>
      <c r="R5383" s="34"/>
      <c r="AC5383" s="36"/>
    </row>
    <row r="5384" spans="12:29" x14ac:dyDescent="0.3">
      <c r="L5384" s="36"/>
      <c r="R5384" s="34"/>
      <c r="AC5384" s="36"/>
    </row>
    <row r="5385" spans="12:29" x14ac:dyDescent="0.3">
      <c r="L5385" s="36"/>
      <c r="R5385" s="34"/>
      <c r="AC5385" s="36"/>
    </row>
    <row r="5386" spans="12:29" x14ac:dyDescent="0.3">
      <c r="L5386" s="36"/>
      <c r="R5386" s="34"/>
      <c r="AC5386" s="36"/>
    </row>
    <row r="5387" spans="12:29" x14ac:dyDescent="0.3">
      <c r="L5387" s="36"/>
      <c r="R5387" s="34"/>
      <c r="AC5387" s="36"/>
    </row>
    <row r="5388" spans="12:29" x14ac:dyDescent="0.3">
      <c r="L5388" s="36"/>
      <c r="R5388" s="34"/>
      <c r="AC5388" s="36"/>
    </row>
    <row r="5389" spans="12:29" x14ac:dyDescent="0.3">
      <c r="L5389" s="36"/>
      <c r="R5389" s="34"/>
      <c r="AC5389" s="36"/>
    </row>
    <row r="5390" spans="12:29" x14ac:dyDescent="0.3">
      <c r="L5390" s="36"/>
      <c r="R5390" s="34"/>
      <c r="AC5390" s="36"/>
    </row>
    <row r="5391" spans="12:29" x14ac:dyDescent="0.3">
      <c r="L5391" s="36"/>
      <c r="R5391" s="34"/>
      <c r="AC5391" s="36"/>
    </row>
    <row r="5392" spans="12:29" x14ac:dyDescent="0.3">
      <c r="L5392" s="36"/>
      <c r="R5392" s="34"/>
      <c r="AC5392" s="36"/>
    </row>
    <row r="5393" spans="12:29" x14ac:dyDescent="0.3">
      <c r="L5393" s="36"/>
      <c r="R5393" s="34"/>
      <c r="AC5393" s="36"/>
    </row>
    <row r="5394" spans="12:29" x14ac:dyDescent="0.3">
      <c r="L5394" s="36"/>
      <c r="R5394" s="34"/>
      <c r="AC5394" s="36"/>
    </row>
    <row r="5395" spans="12:29" x14ac:dyDescent="0.3">
      <c r="L5395" s="36"/>
      <c r="R5395" s="34"/>
      <c r="AC5395" s="36"/>
    </row>
    <row r="5396" spans="12:29" x14ac:dyDescent="0.3">
      <c r="L5396" s="36"/>
      <c r="R5396" s="34"/>
      <c r="AC5396" s="36"/>
    </row>
    <row r="5397" spans="12:29" x14ac:dyDescent="0.3">
      <c r="L5397" s="36"/>
      <c r="R5397" s="34"/>
      <c r="AC5397" s="36"/>
    </row>
    <row r="5398" spans="12:29" x14ac:dyDescent="0.3">
      <c r="L5398" s="36"/>
      <c r="R5398" s="34"/>
      <c r="AC5398" s="36"/>
    </row>
    <row r="5399" spans="12:29" x14ac:dyDescent="0.3">
      <c r="L5399" s="36"/>
      <c r="R5399" s="34"/>
      <c r="AC5399" s="36"/>
    </row>
    <row r="5400" spans="12:29" x14ac:dyDescent="0.3">
      <c r="L5400" s="36"/>
      <c r="R5400" s="34"/>
      <c r="AC5400" s="36"/>
    </row>
    <row r="5401" spans="12:29" x14ac:dyDescent="0.3">
      <c r="L5401" s="36"/>
      <c r="R5401" s="34"/>
      <c r="AC5401" s="36"/>
    </row>
    <row r="5402" spans="12:29" x14ac:dyDescent="0.3">
      <c r="L5402" s="36"/>
      <c r="R5402" s="34"/>
      <c r="AC5402" s="36"/>
    </row>
    <row r="5403" spans="12:29" x14ac:dyDescent="0.3">
      <c r="L5403" s="36"/>
      <c r="R5403" s="34"/>
      <c r="AC5403" s="36"/>
    </row>
    <row r="5404" spans="12:29" x14ac:dyDescent="0.3">
      <c r="L5404" s="36"/>
      <c r="R5404" s="34"/>
      <c r="AC5404" s="36"/>
    </row>
    <row r="5405" spans="12:29" x14ac:dyDescent="0.3">
      <c r="L5405" s="36"/>
      <c r="R5405" s="34"/>
      <c r="AC5405" s="36"/>
    </row>
    <row r="5406" spans="12:29" x14ac:dyDescent="0.3">
      <c r="L5406" s="36"/>
      <c r="R5406" s="34"/>
      <c r="AC5406" s="36"/>
    </row>
    <row r="5407" spans="12:29" x14ac:dyDescent="0.3">
      <c r="L5407" s="36"/>
      <c r="R5407" s="34"/>
      <c r="AC5407" s="36"/>
    </row>
    <row r="5408" spans="12:29" x14ac:dyDescent="0.3">
      <c r="L5408" s="36"/>
      <c r="R5408" s="34"/>
      <c r="AC5408" s="36"/>
    </row>
    <row r="5409" spans="12:29" x14ac:dyDescent="0.3">
      <c r="L5409" s="36"/>
      <c r="R5409" s="34"/>
      <c r="AC5409" s="36"/>
    </row>
    <row r="5410" spans="12:29" x14ac:dyDescent="0.3">
      <c r="L5410" s="36"/>
      <c r="R5410" s="34"/>
      <c r="AC5410" s="36"/>
    </row>
    <row r="5411" spans="12:29" x14ac:dyDescent="0.3">
      <c r="L5411" s="36"/>
      <c r="R5411" s="34"/>
      <c r="AC5411" s="36"/>
    </row>
    <row r="5412" spans="12:29" x14ac:dyDescent="0.3">
      <c r="L5412" s="36"/>
      <c r="R5412" s="34"/>
      <c r="AC5412" s="36"/>
    </row>
    <row r="5413" spans="12:29" x14ac:dyDescent="0.3">
      <c r="L5413" s="36"/>
      <c r="R5413" s="34"/>
      <c r="AC5413" s="36"/>
    </row>
    <row r="5414" spans="12:29" x14ac:dyDescent="0.3">
      <c r="L5414" s="36"/>
      <c r="R5414" s="34"/>
      <c r="AC5414" s="36"/>
    </row>
    <row r="5415" spans="12:29" x14ac:dyDescent="0.3">
      <c r="L5415" s="36"/>
      <c r="R5415" s="34"/>
      <c r="AC5415" s="36"/>
    </row>
    <row r="5416" spans="12:29" x14ac:dyDescent="0.3">
      <c r="L5416" s="36"/>
      <c r="R5416" s="34"/>
      <c r="AC5416" s="36"/>
    </row>
    <row r="5417" spans="12:29" x14ac:dyDescent="0.3">
      <c r="L5417" s="36"/>
      <c r="R5417" s="34"/>
      <c r="AC5417" s="36"/>
    </row>
    <row r="5418" spans="12:29" x14ac:dyDescent="0.3">
      <c r="L5418" s="36"/>
      <c r="R5418" s="34"/>
      <c r="AC5418" s="36"/>
    </row>
    <row r="5419" spans="12:29" x14ac:dyDescent="0.3">
      <c r="L5419" s="36"/>
      <c r="R5419" s="34"/>
      <c r="AC5419" s="36"/>
    </row>
    <row r="5420" spans="12:29" x14ac:dyDescent="0.3">
      <c r="L5420" s="36"/>
      <c r="R5420" s="34"/>
      <c r="AC5420" s="36"/>
    </row>
    <row r="5421" spans="12:29" x14ac:dyDescent="0.3">
      <c r="L5421" s="36"/>
      <c r="R5421" s="34"/>
      <c r="AC5421" s="36"/>
    </row>
    <row r="5422" spans="12:29" x14ac:dyDescent="0.3">
      <c r="L5422" s="36"/>
      <c r="R5422" s="34"/>
      <c r="AC5422" s="36"/>
    </row>
    <row r="5423" spans="12:29" x14ac:dyDescent="0.3">
      <c r="L5423" s="36"/>
      <c r="R5423" s="34"/>
      <c r="AC5423" s="36"/>
    </row>
    <row r="5424" spans="12:29" x14ac:dyDescent="0.3">
      <c r="L5424" s="36"/>
      <c r="R5424" s="34"/>
      <c r="AC5424" s="36"/>
    </row>
    <row r="5425" spans="12:29" x14ac:dyDescent="0.3">
      <c r="L5425" s="36"/>
      <c r="R5425" s="34"/>
      <c r="AC5425" s="36"/>
    </row>
    <row r="5426" spans="12:29" x14ac:dyDescent="0.3">
      <c r="L5426" s="36"/>
      <c r="R5426" s="34"/>
      <c r="AC5426" s="36"/>
    </row>
    <row r="5427" spans="12:29" x14ac:dyDescent="0.3">
      <c r="L5427" s="36"/>
      <c r="R5427" s="34"/>
      <c r="AC5427" s="36"/>
    </row>
    <row r="5428" spans="12:29" x14ac:dyDescent="0.3">
      <c r="L5428" s="36"/>
      <c r="R5428" s="34"/>
      <c r="AC5428" s="36"/>
    </row>
    <row r="5429" spans="12:29" x14ac:dyDescent="0.3">
      <c r="L5429" s="36"/>
      <c r="R5429" s="34"/>
      <c r="AC5429" s="36"/>
    </row>
    <row r="5430" spans="12:29" x14ac:dyDescent="0.3">
      <c r="L5430" s="36"/>
      <c r="R5430" s="34"/>
      <c r="AC5430" s="36"/>
    </row>
    <row r="5431" spans="12:29" x14ac:dyDescent="0.3">
      <c r="L5431" s="36"/>
      <c r="R5431" s="34"/>
      <c r="AC5431" s="36"/>
    </row>
    <row r="5432" spans="12:29" x14ac:dyDescent="0.3">
      <c r="L5432" s="36"/>
      <c r="R5432" s="34"/>
      <c r="AC5432" s="36"/>
    </row>
    <row r="5433" spans="12:29" x14ac:dyDescent="0.3">
      <c r="L5433" s="36"/>
      <c r="R5433" s="34"/>
      <c r="AC5433" s="36"/>
    </row>
    <row r="5434" spans="12:29" x14ac:dyDescent="0.3">
      <c r="L5434" s="36"/>
      <c r="R5434" s="34"/>
      <c r="AC5434" s="36"/>
    </row>
    <row r="5435" spans="12:29" x14ac:dyDescent="0.3">
      <c r="L5435" s="36"/>
      <c r="R5435" s="34"/>
      <c r="AC5435" s="36"/>
    </row>
    <row r="5436" spans="12:29" x14ac:dyDescent="0.3">
      <c r="L5436" s="36"/>
      <c r="R5436" s="34"/>
      <c r="AC5436" s="36"/>
    </row>
    <row r="5437" spans="12:29" x14ac:dyDescent="0.3">
      <c r="L5437" s="36"/>
      <c r="R5437" s="34"/>
      <c r="AC5437" s="36"/>
    </row>
    <row r="5438" spans="12:29" x14ac:dyDescent="0.3">
      <c r="L5438" s="36"/>
      <c r="R5438" s="34"/>
      <c r="AC5438" s="36"/>
    </row>
    <row r="5439" spans="12:29" x14ac:dyDescent="0.3">
      <c r="L5439" s="36"/>
      <c r="R5439" s="34"/>
      <c r="AC5439" s="36"/>
    </row>
    <row r="5440" spans="12:29" x14ac:dyDescent="0.3">
      <c r="L5440" s="36"/>
      <c r="R5440" s="34"/>
      <c r="AC5440" s="36"/>
    </row>
    <row r="5441" spans="12:29" x14ac:dyDescent="0.3">
      <c r="L5441" s="36"/>
      <c r="R5441" s="34"/>
      <c r="AC5441" s="36"/>
    </row>
    <row r="5442" spans="12:29" x14ac:dyDescent="0.3">
      <c r="L5442" s="36"/>
      <c r="R5442" s="34"/>
      <c r="AC5442" s="36"/>
    </row>
    <row r="5443" spans="12:29" x14ac:dyDescent="0.3">
      <c r="L5443" s="36"/>
      <c r="R5443" s="34"/>
      <c r="AC5443" s="36"/>
    </row>
    <row r="5444" spans="12:29" x14ac:dyDescent="0.3">
      <c r="L5444" s="36"/>
      <c r="R5444" s="34"/>
      <c r="AC5444" s="36"/>
    </row>
    <row r="5445" spans="12:29" x14ac:dyDescent="0.3">
      <c r="L5445" s="36"/>
      <c r="R5445" s="34"/>
      <c r="AC5445" s="36"/>
    </row>
    <row r="5446" spans="12:29" x14ac:dyDescent="0.3">
      <c r="L5446" s="36"/>
      <c r="R5446" s="34"/>
      <c r="AC5446" s="36"/>
    </row>
    <row r="5447" spans="12:29" x14ac:dyDescent="0.3">
      <c r="L5447" s="36"/>
      <c r="R5447" s="34"/>
      <c r="AC5447" s="36"/>
    </row>
    <row r="5448" spans="12:29" x14ac:dyDescent="0.3">
      <c r="L5448" s="36"/>
      <c r="R5448" s="34"/>
      <c r="AC5448" s="36"/>
    </row>
    <row r="5449" spans="12:29" x14ac:dyDescent="0.3">
      <c r="L5449" s="36"/>
      <c r="R5449" s="34"/>
      <c r="AC5449" s="36"/>
    </row>
    <row r="5450" spans="12:29" x14ac:dyDescent="0.3">
      <c r="L5450" s="36"/>
      <c r="R5450" s="34"/>
      <c r="AC5450" s="36"/>
    </row>
    <row r="5451" spans="12:29" x14ac:dyDescent="0.3">
      <c r="L5451" s="36"/>
      <c r="R5451" s="34"/>
      <c r="AC5451" s="36"/>
    </row>
    <row r="5452" spans="12:29" x14ac:dyDescent="0.3">
      <c r="L5452" s="36"/>
      <c r="R5452" s="34"/>
      <c r="AC5452" s="36"/>
    </row>
    <row r="5453" spans="12:29" x14ac:dyDescent="0.3">
      <c r="L5453" s="36"/>
      <c r="R5453" s="34"/>
      <c r="AC5453" s="36"/>
    </row>
    <row r="5454" spans="12:29" x14ac:dyDescent="0.3">
      <c r="L5454" s="36"/>
      <c r="R5454" s="34"/>
      <c r="AC5454" s="36"/>
    </row>
    <row r="5455" spans="12:29" x14ac:dyDescent="0.3">
      <c r="L5455" s="36"/>
      <c r="R5455" s="34"/>
      <c r="AC5455" s="36"/>
    </row>
    <row r="5456" spans="12:29" x14ac:dyDescent="0.3">
      <c r="L5456" s="36"/>
      <c r="R5456" s="34"/>
      <c r="AC5456" s="36"/>
    </row>
    <row r="5457" spans="12:29" x14ac:dyDescent="0.3">
      <c r="L5457" s="36"/>
      <c r="R5457" s="34"/>
      <c r="AC5457" s="36"/>
    </row>
    <row r="5458" spans="12:29" x14ac:dyDescent="0.3">
      <c r="L5458" s="36"/>
      <c r="R5458" s="34"/>
      <c r="AC5458" s="36"/>
    </row>
    <row r="5459" spans="12:29" x14ac:dyDescent="0.3">
      <c r="L5459" s="36"/>
      <c r="R5459" s="34"/>
      <c r="AC5459" s="36"/>
    </row>
    <row r="5460" spans="12:29" x14ac:dyDescent="0.3">
      <c r="L5460" s="36"/>
      <c r="R5460" s="34"/>
      <c r="AC5460" s="36"/>
    </row>
    <row r="5461" spans="12:29" x14ac:dyDescent="0.3">
      <c r="L5461" s="36"/>
      <c r="R5461" s="34"/>
      <c r="AC5461" s="36"/>
    </row>
    <row r="5462" spans="12:29" x14ac:dyDescent="0.3">
      <c r="L5462" s="36"/>
      <c r="R5462" s="34"/>
      <c r="AC5462" s="36"/>
    </row>
    <row r="5463" spans="12:29" x14ac:dyDescent="0.3">
      <c r="L5463" s="36"/>
      <c r="R5463" s="34"/>
      <c r="AC5463" s="36"/>
    </row>
    <row r="5464" spans="12:29" x14ac:dyDescent="0.3">
      <c r="L5464" s="36"/>
      <c r="R5464" s="34"/>
      <c r="AC5464" s="36"/>
    </row>
    <row r="5465" spans="12:29" x14ac:dyDescent="0.3">
      <c r="L5465" s="36"/>
      <c r="R5465" s="34"/>
      <c r="AC5465" s="36"/>
    </row>
    <row r="5466" spans="12:29" x14ac:dyDescent="0.3">
      <c r="L5466" s="36"/>
      <c r="R5466" s="34"/>
      <c r="AC5466" s="36"/>
    </row>
    <row r="5467" spans="12:29" x14ac:dyDescent="0.3">
      <c r="L5467" s="36"/>
      <c r="R5467" s="34"/>
      <c r="AC5467" s="36"/>
    </row>
    <row r="5468" spans="12:29" x14ac:dyDescent="0.3">
      <c r="L5468" s="36"/>
      <c r="R5468" s="34"/>
      <c r="AC5468" s="36"/>
    </row>
    <row r="5469" spans="12:29" x14ac:dyDescent="0.3">
      <c r="L5469" s="36"/>
      <c r="R5469" s="34"/>
      <c r="AC5469" s="36"/>
    </row>
    <row r="5470" spans="12:29" x14ac:dyDescent="0.3">
      <c r="L5470" s="36"/>
      <c r="R5470" s="34"/>
      <c r="AC5470" s="36"/>
    </row>
    <row r="5471" spans="12:29" x14ac:dyDescent="0.3">
      <c r="L5471" s="36"/>
      <c r="R5471" s="34"/>
      <c r="AC5471" s="36"/>
    </row>
    <row r="5472" spans="12:29" x14ac:dyDescent="0.3">
      <c r="L5472" s="36"/>
      <c r="R5472" s="34"/>
      <c r="AC5472" s="36"/>
    </row>
    <row r="5473" spans="12:29" x14ac:dyDescent="0.3">
      <c r="L5473" s="36"/>
      <c r="R5473" s="34"/>
      <c r="AC5473" s="36"/>
    </row>
    <row r="5474" spans="12:29" x14ac:dyDescent="0.3">
      <c r="L5474" s="36"/>
      <c r="R5474" s="34"/>
      <c r="AC5474" s="36"/>
    </row>
    <row r="5475" spans="12:29" x14ac:dyDescent="0.3">
      <c r="L5475" s="36"/>
      <c r="R5475" s="34"/>
      <c r="AC5475" s="36"/>
    </row>
    <row r="5476" spans="12:29" x14ac:dyDescent="0.3">
      <c r="L5476" s="36"/>
      <c r="R5476" s="34"/>
      <c r="AC5476" s="36"/>
    </row>
    <row r="5477" spans="12:29" x14ac:dyDescent="0.3">
      <c r="L5477" s="36"/>
      <c r="R5477" s="34"/>
      <c r="AC5477" s="36"/>
    </row>
    <row r="5478" spans="12:29" x14ac:dyDescent="0.3">
      <c r="L5478" s="36"/>
      <c r="R5478" s="34"/>
      <c r="AC5478" s="36"/>
    </row>
    <row r="5479" spans="12:29" x14ac:dyDescent="0.3">
      <c r="L5479" s="36"/>
      <c r="R5479" s="34"/>
      <c r="AC5479" s="36"/>
    </row>
    <row r="5480" spans="12:29" x14ac:dyDescent="0.3">
      <c r="L5480" s="36"/>
      <c r="R5480" s="34"/>
      <c r="AC5480" s="36"/>
    </row>
    <row r="5481" spans="12:29" x14ac:dyDescent="0.3">
      <c r="L5481" s="36"/>
      <c r="R5481" s="34"/>
      <c r="AC5481" s="36"/>
    </row>
    <row r="5482" spans="12:29" x14ac:dyDescent="0.3">
      <c r="L5482" s="36"/>
      <c r="R5482" s="34"/>
      <c r="AC5482" s="36"/>
    </row>
    <row r="5483" spans="12:29" x14ac:dyDescent="0.3">
      <c r="L5483" s="36"/>
      <c r="R5483" s="34"/>
      <c r="AC5483" s="36"/>
    </row>
    <row r="5484" spans="12:29" x14ac:dyDescent="0.3">
      <c r="L5484" s="36"/>
      <c r="R5484" s="34"/>
      <c r="AC5484" s="36"/>
    </row>
    <row r="5485" spans="12:29" x14ac:dyDescent="0.3">
      <c r="L5485" s="36"/>
      <c r="R5485" s="34"/>
      <c r="AC5485" s="36"/>
    </row>
    <row r="5486" spans="12:29" x14ac:dyDescent="0.3">
      <c r="L5486" s="36"/>
      <c r="R5486" s="34"/>
      <c r="AC5486" s="36"/>
    </row>
    <row r="5487" spans="12:29" x14ac:dyDescent="0.3">
      <c r="L5487" s="36"/>
      <c r="R5487" s="34"/>
      <c r="AC5487" s="36"/>
    </row>
    <row r="5488" spans="12:29" x14ac:dyDescent="0.3">
      <c r="L5488" s="36"/>
      <c r="R5488" s="34"/>
      <c r="AC5488" s="36"/>
    </row>
    <row r="5489" spans="12:29" x14ac:dyDescent="0.3">
      <c r="L5489" s="36"/>
      <c r="R5489" s="34"/>
      <c r="AC5489" s="36"/>
    </row>
    <row r="5490" spans="12:29" x14ac:dyDescent="0.3">
      <c r="L5490" s="36"/>
      <c r="R5490" s="34"/>
      <c r="AC5490" s="36"/>
    </row>
    <row r="5491" spans="12:29" x14ac:dyDescent="0.3">
      <c r="L5491" s="36"/>
      <c r="R5491" s="34"/>
      <c r="AC5491" s="36"/>
    </row>
    <row r="5492" spans="12:29" x14ac:dyDescent="0.3">
      <c r="L5492" s="36"/>
      <c r="R5492" s="34"/>
      <c r="AC5492" s="36"/>
    </row>
    <row r="5493" spans="12:29" x14ac:dyDescent="0.3">
      <c r="L5493" s="36"/>
      <c r="R5493" s="34"/>
      <c r="AC5493" s="36"/>
    </row>
    <row r="5494" spans="12:29" x14ac:dyDescent="0.3">
      <c r="L5494" s="36"/>
      <c r="R5494" s="34"/>
      <c r="AC5494" s="36"/>
    </row>
    <row r="5495" spans="12:29" x14ac:dyDescent="0.3">
      <c r="L5495" s="36"/>
      <c r="R5495" s="34"/>
      <c r="AC5495" s="36"/>
    </row>
    <row r="5496" spans="12:29" x14ac:dyDescent="0.3">
      <c r="L5496" s="36"/>
      <c r="R5496" s="34"/>
      <c r="AC5496" s="36"/>
    </row>
    <row r="5497" spans="12:29" x14ac:dyDescent="0.3">
      <c r="L5497" s="36"/>
      <c r="R5497" s="34"/>
      <c r="AC5497" s="36"/>
    </row>
    <row r="5498" spans="12:29" x14ac:dyDescent="0.3">
      <c r="L5498" s="36"/>
      <c r="R5498" s="34"/>
      <c r="AC5498" s="36"/>
    </row>
    <row r="5499" spans="12:29" x14ac:dyDescent="0.3">
      <c r="L5499" s="36"/>
      <c r="R5499" s="34"/>
      <c r="AC5499" s="36"/>
    </row>
    <row r="5500" spans="12:29" x14ac:dyDescent="0.3">
      <c r="L5500" s="36"/>
      <c r="R5500" s="34"/>
      <c r="AC5500" s="36"/>
    </row>
    <row r="5501" spans="12:29" x14ac:dyDescent="0.3">
      <c r="L5501" s="36"/>
      <c r="R5501" s="34"/>
      <c r="AC5501" s="36"/>
    </row>
    <row r="5502" spans="12:29" x14ac:dyDescent="0.3">
      <c r="L5502" s="36"/>
      <c r="R5502" s="34"/>
      <c r="AC5502" s="36"/>
    </row>
    <row r="5503" spans="12:29" x14ac:dyDescent="0.3">
      <c r="L5503" s="36"/>
      <c r="R5503" s="34"/>
      <c r="AC5503" s="36"/>
    </row>
    <row r="5504" spans="12:29" x14ac:dyDescent="0.3">
      <c r="L5504" s="36"/>
      <c r="R5504" s="34"/>
      <c r="AC5504" s="36"/>
    </row>
    <row r="5505" spans="12:29" x14ac:dyDescent="0.3">
      <c r="L5505" s="36"/>
      <c r="R5505" s="34"/>
      <c r="AC5505" s="36"/>
    </row>
    <row r="5506" spans="12:29" x14ac:dyDescent="0.3">
      <c r="L5506" s="36"/>
      <c r="R5506" s="34"/>
      <c r="AC5506" s="36"/>
    </row>
    <row r="5507" spans="12:29" x14ac:dyDescent="0.3">
      <c r="L5507" s="36"/>
      <c r="R5507" s="34"/>
      <c r="AC5507" s="36"/>
    </row>
    <row r="5508" spans="12:29" x14ac:dyDescent="0.3">
      <c r="L5508" s="36"/>
      <c r="R5508" s="34"/>
      <c r="AC5508" s="36"/>
    </row>
    <row r="5509" spans="12:29" x14ac:dyDescent="0.3">
      <c r="L5509" s="36"/>
      <c r="R5509" s="34"/>
      <c r="AC5509" s="36"/>
    </row>
    <row r="5510" spans="12:29" x14ac:dyDescent="0.3">
      <c r="L5510" s="36"/>
      <c r="R5510" s="34"/>
      <c r="AC5510" s="36"/>
    </row>
    <row r="5511" spans="12:29" x14ac:dyDescent="0.3">
      <c r="L5511" s="36"/>
      <c r="R5511" s="34"/>
      <c r="AC5511" s="36"/>
    </row>
    <row r="5512" spans="12:29" x14ac:dyDescent="0.3">
      <c r="L5512" s="36"/>
      <c r="R5512" s="34"/>
      <c r="AC5512" s="36"/>
    </row>
    <row r="5513" spans="12:29" x14ac:dyDescent="0.3">
      <c r="L5513" s="36"/>
      <c r="R5513" s="34"/>
      <c r="AC5513" s="36"/>
    </row>
    <row r="5514" spans="12:29" x14ac:dyDescent="0.3">
      <c r="L5514" s="36"/>
      <c r="R5514" s="34"/>
      <c r="AC5514" s="36"/>
    </row>
    <row r="5515" spans="12:29" x14ac:dyDescent="0.3">
      <c r="L5515" s="36"/>
      <c r="R5515" s="34"/>
      <c r="AC5515" s="36"/>
    </row>
    <row r="5516" spans="12:29" x14ac:dyDescent="0.3">
      <c r="L5516" s="36"/>
      <c r="R5516" s="34"/>
      <c r="AC5516" s="36"/>
    </row>
    <row r="5517" spans="12:29" x14ac:dyDescent="0.3">
      <c r="L5517" s="36"/>
      <c r="R5517" s="34"/>
      <c r="AC5517" s="36"/>
    </row>
    <row r="5518" spans="12:29" x14ac:dyDescent="0.3">
      <c r="L5518" s="36"/>
      <c r="R5518" s="34"/>
      <c r="AC5518" s="36"/>
    </row>
    <row r="5519" spans="12:29" x14ac:dyDescent="0.3">
      <c r="L5519" s="36"/>
      <c r="R5519" s="34"/>
      <c r="AC5519" s="36"/>
    </row>
    <row r="5520" spans="12:29" x14ac:dyDescent="0.3">
      <c r="L5520" s="36"/>
      <c r="R5520" s="34"/>
      <c r="AC5520" s="36"/>
    </row>
    <row r="5521" spans="12:29" x14ac:dyDescent="0.3">
      <c r="L5521" s="36"/>
      <c r="R5521" s="34"/>
      <c r="AC5521" s="36"/>
    </row>
    <row r="5522" spans="12:29" x14ac:dyDescent="0.3">
      <c r="L5522" s="36"/>
      <c r="R5522" s="34"/>
      <c r="AC5522" s="36"/>
    </row>
    <row r="5523" spans="12:29" x14ac:dyDescent="0.3">
      <c r="L5523" s="36"/>
      <c r="R5523" s="34"/>
      <c r="AC5523" s="36"/>
    </row>
    <row r="5524" spans="12:29" x14ac:dyDescent="0.3">
      <c r="L5524" s="36"/>
      <c r="R5524" s="34"/>
      <c r="AC5524" s="36"/>
    </row>
    <row r="5525" spans="12:29" x14ac:dyDescent="0.3">
      <c r="L5525" s="36"/>
      <c r="R5525" s="34"/>
      <c r="AC5525" s="36"/>
    </row>
    <row r="5526" spans="12:29" x14ac:dyDescent="0.3">
      <c r="L5526" s="36"/>
      <c r="R5526" s="34"/>
      <c r="AC5526" s="36"/>
    </row>
    <row r="5527" spans="12:29" x14ac:dyDescent="0.3">
      <c r="L5527" s="36"/>
      <c r="R5527" s="34"/>
      <c r="AC5527" s="36"/>
    </row>
    <row r="5528" spans="12:29" x14ac:dyDescent="0.3">
      <c r="L5528" s="36"/>
      <c r="R5528" s="34"/>
      <c r="AC5528" s="36"/>
    </row>
    <row r="5529" spans="12:29" x14ac:dyDescent="0.3">
      <c r="L5529" s="36"/>
      <c r="R5529" s="34"/>
      <c r="AC5529" s="36"/>
    </row>
    <row r="5530" spans="12:29" x14ac:dyDescent="0.3">
      <c r="L5530" s="36"/>
      <c r="R5530" s="34"/>
      <c r="AC5530" s="36"/>
    </row>
    <row r="5531" spans="12:29" x14ac:dyDescent="0.3">
      <c r="L5531" s="36"/>
      <c r="R5531" s="34"/>
      <c r="AC5531" s="36"/>
    </row>
    <row r="5532" spans="12:29" x14ac:dyDescent="0.3">
      <c r="L5532" s="36"/>
      <c r="R5532" s="34"/>
      <c r="AC5532" s="36"/>
    </row>
    <row r="5533" spans="12:29" x14ac:dyDescent="0.3">
      <c r="L5533" s="36"/>
      <c r="R5533" s="34"/>
      <c r="AC5533" s="36"/>
    </row>
    <row r="5534" spans="12:29" x14ac:dyDescent="0.3">
      <c r="L5534" s="36"/>
      <c r="R5534" s="34"/>
      <c r="AC5534" s="36"/>
    </row>
    <row r="5535" spans="12:29" x14ac:dyDescent="0.3">
      <c r="L5535" s="36"/>
      <c r="R5535" s="34"/>
      <c r="AC5535" s="36"/>
    </row>
    <row r="5536" spans="12:29" x14ac:dyDescent="0.3">
      <c r="L5536" s="36"/>
      <c r="R5536" s="34"/>
      <c r="AC5536" s="36"/>
    </row>
    <row r="5537" spans="12:29" x14ac:dyDescent="0.3">
      <c r="L5537" s="36"/>
      <c r="R5537" s="34"/>
      <c r="AC5537" s="36"/>
    </row>
    <row r="5538" spans="12:29" x14ac:dyDescent="0.3">
      <c r="L5538" s="36"/>
      <c r="R5538" s="34"/>
      <c r="AC5538" s="36"/>
    </row>
    <row r="5539" spans="12:29" x14ac:dyDescent="0.3">
      <c r="L5539" s="36"/>
      <c r="R5539" s="34"/>
      <c r="AC5539" s="36"/>
    </row>
    <row r="5540" spans="12:29" x14ac:dyDescent="0.3">
      <c r="L5540" s="36"/>
      <c r="R5540" s="34"/>
      <c r="AC5540" s="36"/>
    </row>
    <row r="5541" spans="12:29" x14ac:dyDescent="0.3">
      <c r="L5541" s="36"/>
      <c r="R5541" s="34"/>
      <c r="AC5541" s="36"/>
    </row>
    <row r="5542" spans="12:29" x14ac:dyDescent="0.3">
      <c r="L5542" s="36"/>
      <c r="R5542" s="34"/>
      <c r="AC5542" s="36"/>
    </row>
    <row r="5543" spans="12:29" x14ac:dyDescent="0.3">
      <c r="L5543" s="36"/>
      <c r="R5543" s="34"/>
      <c r="AC5543" s="36"/>
    </row>
    <row r="5544" spans="12:29" x14ac:dyDescent="0.3">
      <c r="L5544" s="36"/>
      <c r="R5544" s="34"/>
      <c r="AC5544" s="36"/>
    </row>
    <row r="5545" spans="12:29" x14ac:dyDescent="0.3">
      <c r="L5545" s="36"/>
      <c r="R5545" s="34"/>
      <c r="AC5545" s="36"/>
    </row>
    <row r="5546" spans="12:29" x14ac:dyDescent="0.3">
      <c r="L5546" s="36"/>
      <c r="R5546" s="34"/>
      <c r="AC5546" s="36"/>
    </row>
    <row r="5547" spans="12:29" x14ac:dyDescent="0.3">
      <c r="L5547" s="36"/>
      <c r="R5547" s="34"/>
      <c r="AC5547" s="36"/>
    </row>
    <row r="5548" spans="12:29" x14ac:dyDescent="0.3">
      <c r="L5548" s="36"/>
      <c r="R5548" s="34"/>
      <c r="AC5548" s="36"/>
    </row>
    <row r="5549" spans="12:29" x14ac:dyDescent="0.3">
      <c r="L5549" s="36"/>
      <c r="R5549" s="34"/>
      <c r="AC5549" s="36"/>
    </row>
    <row r="5550" spans="12:29" x14ac:dyDescent="0.3">
      <c r="L5550" s="36"/>
      <c r="R5550" s="34"/>
      <c r="AC5550" s="36"/>
    </row>
    <row r="5551" spans="12:29" x14ac:dyDescent="0.3">
      <c r="L5551" s="36"/>
      <c r="R5551" s="34"/>
      <c r="AC5551" s="36"/>
    </row>
    <row r="5552" spans="12:29" x14ac:dyDescent="0.3">
      <c r="L5552" s="36"/>
      <c r="R5552" s="34"/>
      <c r="AC5552" s="36"/>
    </row>
    <row r="5553" spans="12:29" x14ac:dyDescent="0.3">
      <c r="L5553" s="36"/>
      <c r="R5553" s="34"/>
      <c r="AC5553" s="36"/>
    </row>
    <row r="5554" spans="12:29" x14ac:dyDescent="0.3">
      <c r="L5554" s="36"/>
      <c r="R5554" s="34"/>
      <c r="AC5554" s="36"/>
    </row>
    <row r="5555" spans="12:29" x14ac:dyDescent="0.3">
      <c r="L5555" s="36"/>
      <c r="R5555" s="34"/>
      <c r="AC5555" s="36"/>
    </row>
    <row r="5556" spans="12:29" x14ac:dyDescent="0.3">
      <c r="L5556" s="36"/>
      <c r="R5556" s="34"/>
      <c r="AC5556" s="36"/>
    </row>
    <row r="5557" spans="12:29" x14ac:dyDescent="0.3">
      <c r="L5557" s="36"/>
      <c r="R5557" s="34"/>
      <c r="AC5557" s="36"/>
    </row>
    <row r="5558" spans="12:29" x14ac:dyDescent="0.3">
      <c r="L5558" s="36"/>
      <c r="R5558" s="34"/>
      <c r="AC5558" s="36"/>
    </row>
    <row r="5559" spans="12:29" x14ac:dyDescent="0.3">
      <c r="L5559" s="36"/>
      <c r="R5559" s="34"/>
      <c r="AC5559" s="36"/>
    </row>
    <row r="5560" spans="12:29" x14ac:dyDescent="0.3">
      <c r="L5560" s="36"/>
      <c r="R5560" s="34"/>
      <c r="AC5560" s="36"/>
    </row>
    <row r="5561" spans="12:29" x14ac:dyDescent="0.3">
      <c r="L5561" s="36"/>
      <c r="R5561" s="34"/>
      <c r="AC5561" s="36"/>
    </row>
    <row r="5562" spans="12:29" x14ac:dyDescent="0.3">
      <c r="L5562" s="36"/>
      <c r="R5562" s="34"/>
      <c r="AC5562" s="36"/>
    </row>
    <row r="5563" spans="12:29" x14ac:dyDescent="0.3">
      <c r="L5563" s="36"/>
      <c r="R5563" s="34"/>
      <c r="AC5563" s="36"/>
    </row>
    <row r="5564" spans="12:29" x14ac:dyDescent="0.3">
      <c r="L5564" s="36"/>
      <c r="R5564" s="34"/>
      <c r="AC5564" s="36"/>
    </row>
    <row r="5565" spans="12:29" x14ac:dyDescent="0.3">
      <c r="L5565" s="36"/>
      <c r="R5565" s="34"/>
      <c r="AC5565" s="36"/>
    </row>
    <row r="5566" spans="12:29" x14ac:dyDescent="0.3">
      <c r="L5566" s="36"/>
      <c r="R5566" s="34"/>
      <c r="AC5566" s="36"/>
    </row>
    <row r="5567" spans="12:29" x14ac:dyDescent="0.3">
      <c r="L5567" s="36"/>
      <c r="R5567" s="34"/>
      <c r="AC5567" s="36"/>
    </row>
    <row r="5568" spans="12:29" x14ac:dyDescent="0.3">
      <c r="L5568" s="36"/>
      <c r="R5568" s="34"/>
      <c r="AC5568" s="36"/>
    </row>
    <row r="5569" spans="12:29" x14ac:dyDescent="0.3">
      <c r="L5569" s="36"/>
      <c r="R5569" s="34"/>
      <c r="AC5569" s="36"/>
    </row>
    <row r="5570" spans="12:29" x14ac:dyDescent="0.3">
      <c r="L5570" s="36"/>
      <c r="R5570" s="34"/>
      <c r="AC5570" s="36"/>
    </row>
    <row r="5571" spans="12:29" x14ac:dyDescent="0.3">
      <c r="L5571" s="36"/>
      <c r="R5571" s="34"/>
      <c r="AC5571" s="36"/>
    </row>
    <row r="5572" spans="12:29" x14ac:dyDescent="0.3">
      <c r="L5572" s="36"/>
      <c r="R5572" s="34"/>
      <c r="AC5572" s="36"/>
    </row>
    <row r="5573" spans="12:29" x14ac:dyDescent="0.3">
      <c r="L5573" s="36"/>
      <c r="R5573" s="34"/>
      <c r="AC5573" s="36"/>
    </row>
    <row r="5574" spans="12:29" x14ac:dyDescent="0.3">
      <c r="L5574" s="36"/>
      <c r="R5574" s="34"/>
      <c r="AC5574" s="36"/>
    </row>
    <row r="5575" spans="12:29" x14ac:dyDescent="0.3">
      <c r="L5575" s="36"/>
      <c r="R5575" s="34"/>
      <c r="AC5575" s="36"/>
    </row>
    <row r="5576" spans="12:29" x14ac:dyDescent="0.3">
      <c r="L5576" s="36"/>
      <c r="R5576" s="34"/>
      <c r="AC5576" s="36"/>
    </row>
    <row r="5577" spans="12:29" x14ac:dyDescent="0.3">
      <c r="L5577" s="36"/>
      <c r="R5577" s="34"/>
      <c r="AC5577" s="36"/>
    </row>
    <row r="5578" spans="12:29" x14ac:dyDescent="0.3">
      <c r="L5578" s="36"/>
      <c r="R5578" s="34"/>
      <c r="AC5578" s="36"/>
    </row>
    <row r="5579" spans="12:29" x14ac:dyDescent="0.3">
      <c r="L5579" s="36"/>
      <c r="R5579" s="34"/>
      <c r="AC5579" s="36"/>
    </row>
    <row r="5580" spans="12:29" x14ac:dyDescent="0.3">
      <c r="L5580" s="36"/>
      <c r="R5580" s="34"/>
      <c r="AC5580" s="36"/>
    </row>
    <row r="5581" spans="12:29" x14ac:dyDescent="0.3">
      <c r="L5581" s="36"/>
      <c r="R5581" s="34"/>
      <c r="AC5581" s="36"/>
    </row>
    <row r="5582" spans="12:29" x14ac:dyDescent="0.3">
      <c r="L5582" s="36"/>
      <c r="R5582" s="34"/>
      <c r="AC5582" s="36"/>
    </row>
    <row r="5583" spans="12:29" x14ac:dyDescent="0.3">
      <c r="L5583" s="36"/>
      <c r="R5583" s="34"/>
      <c r="AC5583" s="36"/>
    </row>
    <row r="5584" spans="12:29" x14ac:dyDescent="0.3">
      <c r="L5584" s="36"/>
      <c r="R5584" s="34"/>
      <c r="AC5584" s="36"/>
    </row>
    <row r="5585" spans="12:29" x14ac:dyDescent="0.3">
      <c r="L5585" s="36"/>
      <c r="R5585" s="34"/>
      <c r="AC5585" s="36"/>
    </row>
    <row r="5586" spans="12:29" x14ac:dyDescent="0.3">
      <c r="L5586" s="36"/>
      <c r="R5586" s="34"/>
      <c r="AC5586" s="36"/>
    </row>
    <row r="5587" spans="12:29" x14ac:dyDescent="0.3">
      <c r="L5587" s="36"/>
      <c r="R5587" s="34"/>
      <c r="AC5587" s="36"/>
    </row>
    <row r="5588" spans="12:29" x14ac:dyDescent="0.3">
      <c r="L5588" s="36"/>
      <c r="R5588" s="34"/>
      <c r="AC5588" s="36"/>
    </row>
    <row r="5589" spans="12:29" x14ac:dyDescent="0.3">
      <c r="L5589" s="36"/>
      <c r="R5589" s="34"/>
      <c r="AC5589" s="36"/>
    </row>
    <row r="5590" spans="12:29" x14ac:dyDescent="0.3">
      <c r="L5590" s="36"/>
      <c r="R5590" s="34"/>
      <c r="AC5590" s="36"/>
    </row>
    <row r="5591" spans="12:29" x14ac:dyDescent="0.3">
      <c r="L5591" s="36"/>
      <c r="R5591" s="34"/>
      <c r="AC5591" s="36"/>
    </row>
    <row r="5592" spans="12:29" x14ac:dyDescent="0.3">
      <c r="L5592" s="36"/>
      <c r="R5592" s="34"/>
      <c r="AC5592" s="36"/>
    </row>
    <row r="5593" spans="12:29" x14ac:dyDescent="0.3">
      <c r="L5593" s="36"/>
      <c r="R5593" s="34"/>
      <c r="AC5593" s="36"/>
    </row>
    <row r="5594" spans="12:29" x14ac:dyDescent="0.3">
      <c r="L5594" s="36"/>
      <c r="R5594" s="34"/>
      <c r="AC5594" s="36"/>
    </row>
    <row r="5595" spans="12:29" x14ac:dyDescent="0.3">
      <c r="L5595" s="36"/>
      <c r="R5595" s="34"/>
      <c r="AC5595" s="36"/>
    </row>
    <row r="5596" spans="12:29" x14ac:dyDescent="0.3">
      <c r="L5596" s="36"/>
      <c r="R5596" s="34"/>
      <c r="AC5596" s="36"/>
    </row>
    <row r="5597" spans="12:29" x14ac:dyDescent="0.3">
      <c r="L5597" s="36"/>
      <c r="R5597" s="34"/>
      <c r="AC5597" s="36"/>
    </row>
    <row r="5598" spans="12:29" x14ac:dyDescent="0.3">
      <c r="L5598" s="36"/>
      <c r="R5598" s="34"/>
      <c r="AC5598" s="36"/>
    </row>
    <row r="5599" spans="12:29" x14ac:dyDescent="0.3">
      <c r="L5599" s="36"/>
      <c r="R5599" s="34"/>
      <c r="AC5599" s="36"/>
    </row>
    <row r="5600" spans="12:29" x14ac:dyDescent="0.3">
      <c r="L5600" s="36"/>
      <c r="R5600" s="34"/>
      <c r="AC5600" s="36"/>
    </row>
    <row r="5601" spans="12:29" x14ac:dyDescent="0.3">
      <c r="L5601" s="36"/>
      <c r="R5601" s="34"/>
      <c r="AC5601" s="36"/>
    </row>
    <row r="5602" spans="12:29" x14ac:dyDescent="0.3">
      <c r="L5602" s="36"/>
      <c r="R5602" s="34"/>
      <c r="AC5602" s="36"/>
    </row>
    <row r="5603" spans="12:29" x14ac:dyDescent="0.3">
      <c r="L5603" s="36"/>
      <c r="R5603" s="34"/>
      <c r="AC5603" s="36"/>
    </row>
    <row r="5604" spans="12:29" x14ac:dyDescent="0.3">
      <c r="L5604" s="36"/>
      <c r="R5604" s="34"/>
      <c r="AC5604" s="36"/>
    </row>
    <row r="5605" spans="12:29" x14ac:dyDescent="0.3">
      <c r="L5605" s="36"/>
      <c r="R5605" s="34"/>
      <c r="AC5605" s="36"/>
    </row>
    <row r="5606" spans="12:29" x14ac:dyDescent="0.3">
      <c r="L5606" s="36"/>
      <c r="R5606" s="34"/>
      <c r="AC5606" s="36"/>
    </row>
    <row r="5607" spans="12:29" x14ac:dyDescent="0.3">
      <c r="L5607" s="36"/>
      <c r="R5607" s="34"/>
      <c r="AC5607" s="36"/>
    </row>
    <row r="5608" spans="12:29" x14ac:dyDescent="0.3">
      <c r="L5608" s="36"/>
      <c r="R5608" s="34"/>
      <c r="AC5608" s="36"/>
    </row>
    <row r="5609" spans="12:29" x14ac:dyDescent="0.3">
      <c r="L5609" s="36"/>
      <c r="R5609" s="34"/>
      <c r="AC5609" s="36"/>
    </row>
    <row r="5610" spans="12:29" x14ac:dyDescent="0.3">
      <c r="L5610" s="36"/>
      <c r="R5610" s="34"/>
      <c r="AC5610" s="36"/>
    </row>
    <row r="5611" spans="12:29" x14ac:dyDescent="0.3">
      <c r="L5611" s="36"/>
      <c r="R5611" s="34"/>
      <c r="AC5611" s="36"/>
    </row>
    <row r="5612" spans="12:29" x14ac:dyDescent="0.3">
      <c r="L5612" s="36"/>
      <c r="R5612" s="34"/>
      <c r="AC5612" s="36"/>
    </row>
    <row r="5613" spans="12:29" x14ac:dyDescent="0.3">
      <c r="L5613" s="36"/>
      <c r="R5613" s="34"/>
      <c r="AC5613" s="36"/>
    </row>
    <row r="5614" spans="12:29" x14ac:dyDescent="0.3">
      <c r="L5614" s="36"/>
      <c r="R5614" s="34"/>
      <c r="AC5614" s="36"/>
    </row>
    <row r="5615" spans="12:29" x14ac:dyDescent="0.3">
      <c r="L5615" s="36"/>
      <c r="R5615" s="34"/>
      <c r="AC5615" s="36"/>
    </row>
    <row r="5616" spans="12:29" x14ac:dyDescent="0.3">
      <c r="L5616" s="36"/>
      <c r="R5616" s="34"/>
      <c r="AC5616" s="36"/>
    </row>
    <row r="5617" spans="12:29" x14ac:dyDescent="0.3">
      <c r="L5617" s="36"/>
      <c r="R5617" s="34"/>
      <c r="AC5617" s="36"/>
    </row>
    <row r="5618" spans="12:29" x14ac:dyDescent="0.3">
      <c r="L5618" s="36"/>
      <c r="R5618" s="34"/>
      <c r="AC5618" s="36"/>
    </row>
    <row r="5619" spans="12:29" x14ac:dyDescent="0.3">
      <c r="L5619" s="36"/>
      <c r="R5619" s="34"/>
      <c r="AC5619" s="36"/>
    </row>
    <row r="5620" spans="12:29" x14ac:dyDescent="0.3">
      <c r="L5620" s="36"/>
      <c r="R5620" s="34"/>
      <c r="AC5620" s="36"/>
    </row>
    <row r="5621" spans="12:29" x14ac:dyDescent="0.3">
      <c r="L5621" s="36"/>
      <c r="R5621" s="34"/>
      <c r="AC5621" s="36"/>
    </row>
    <row r="5622" spans="12:29" x14ac:dyDescent="0.3">
      <c r="L5622" s="36"/>
      <c r="R5622" s="34"/>
      <c r="AC5622" s="36"/>
    </row>
    <row r="5623" spans="12:29" x14ac:dyDescent="0.3">
      <c r="L5623" s="36"/>
      <c r="R5623" s="34"/>
      <c r="AC5623" s="36"/>
    </row>
    <row r="5624" spans="12:29" x14ac:dyDescent="0.3">
      <c r="L5624" s="36"/>
      <c r="R5624" s="34"/>
      <c r="AC5624" s="36"/>
    </row>
    <row r="5625" spans="12:29" x14ac:dyDescent="0.3">
      <c r="L5625" s="36"/>
      <c r="R5625" s="34"/>
      <c r="AC5625" s="36"/>
    </row>
    <row r="5626" spans="12:29" x14ac:dyDescent="0.3">
      <c r="L5626" s="36"/>
      <c r="R5626" s="34"/>
      <c r="AC5626" s="36"/>
    </row>
    <row r="5627" spans="12:29" x14ac:dyDescent="0.3">
      <c r="L5627" s="36"/>
      <c r="R5627" s="34"/>
      <c r="AC5627" s="36"/>
    </row>
    <row r="5628" spans="12:29" x14ac:dyDescent="0.3">
      <c r="L5628" s="36"/>
      <c r="R5628" s="34"/>
      <c r="AC5628" s="36"/>
    </row>
    <row r="5629" spans="12:29" x14ac:dyDescent="0.3">
      <c r="L5629" s="36"/>
      <c r="R5629" s="34"/>
      <c r="AC5629" s="36"/>
    </row>
    <row r="5630" spans="12:29" x14ac:dyDescent="0.3">
      <c r="L5630" s="36"/>
      <c r="R5630" s="34"/>
      <c r="AC5630" s="36"/>
    </row>
    <row r="5631" spans="12:29" x14ac:dyDescent="0.3">
      <c r="L5631" s="36"/>
      <c r="R5631" s="34"/>
      <c r="AC5631" s="36"/>
    </row>
    <row r="5632" spans="12:29" x14ac:dyDescent="0.3">
      <c r="L5632" s="36"/>
      <c r="R5632" s="34"/>
      <c r="AC5632" s="36"/>
    </row>
    <row r="5633" spans="12:29" x14ac:dyDescent="0.3">
      <c r="L5633" s="36"/>
      <c r="R5633" s="34"/>
      <c r="AC5633" s="36"/>
    </row>
    <row r="5634" spans="12:29" x14ac:dyDescent="0.3">
      <c r="L5634" s="36"/>
      <c r="R5634" s="34"/>
      <c r="AC5634" s="36"/>
    </row>
    <row r="5635" spans="12:29" x14ac:dyDescent="0.3">
      <c r="L5635" s="36"/>
      <c r="R5635" s="34"/>
      <c r="AC5635" s="36"/>
    </row>
    <row r="5636" spans="12:29" x14ac:dyDescent="0.3">
      <c r="L5636" s="36"/>
      <c r="R5636" s="34"/>
      <c r="AC5636" s="36"/>
    </row>
    <row r="5637" spans="12:29" x14ac:dyDescent="0.3">
      <c r="L5637" s="36"/>
      <c r="R5637" s="34"/>
      <c r="AC5637" s="36"/>
    </row>
    <row r="5638" spans="12:29" x14ac:dyDescent="0.3">
      <c r="L5638" s="36"/>
      <c r="R5638" s="34"/>
      <c r="AC5638" s="36"/>
    </row>
    <row r="5639" spans="12:29" x14ac:dyDescent="0.3">
      <c r="L5639" s="36"/>
      <c r="R5639" s="34"/>
      <c r="AC5639" s="36"/>
    </row>
    <row r="5640" spans="12:29" x14ac:dyDescent="0.3">
      <c r="L5640" s="36"/>
      <c r="R5640" s="34"/>
      <c r="AC5640" s="36"/>
    </row>
    <row r="5641" spans="12:29" x14ac:dyDescent="0.3">
      <c r="L5641" s="36"/>
      <c r="R5641" s="34"/>
      <c r="AC5641" s="36"/>
    </row>
    <row r="5642" spans="12:29" x14ac:dyDescent="0.3">
      <c r="L5642" s="36"/>
      <c r="R5642" s="34"/>
      <c r="AC5642" s="36"/>
    </row>
    <row r="5643" spans="12:29" x14ac:dyDescent="0.3">
      <c r="L5643" s="36"/>
      <c r="R5643" s="34"/>
      <c r="AC5643" s="36"/>
    </row>
    <row r="5644" spans="12:29" x14ac:dyDescent="0.3">
      <c r="L5644" s="36"/>
      <c r="R5644" s="34"/>
      <c r="AC5644" s="36"/>
    </row>
    <row r="5645" spans="12:29" x14ac:dyDescent="0.3">
      <c r="L5645" s="36"/>
      <c r="R5645" s="34"/>
      <c r="AC5645" s="36"/>
    </row>
    <row r="5646" spans="12:29" x14ac:dyDescent="0.3">
      <c r="L5646" s="36"/>
      <c r="R5646" s="34"/>
      <c r="AC5646" s="36"/>
    </row>
    <row r="5647" spans="12:29" x14ac:dyDescent="0.3">
      <c r="L5647" s="36"/>
      <c r="R5647" s="34"/>
      <c r="AC5647" s="36"/>
    </row>
    <row r="5648" spans="12:29" x14ac:dyDescent="0.3">
      <c r="L5648" s="36"/>
      <c r="R5648" s="34"/>
      <c r="AC5648" s="36"/>
    </row>
    <row r="5649" spans="12:29" x14ac:dyDescent="0.3">
      <c r="L5649" s="36"/>
      <c r="R5649" s="34"/>
      <c r="AC5649" s="36"/>
    </row>
    <row r="5650" spans="12:29" x14ac:dyDescent="0.3">
      <c r="L5650" s="36"/>
      <c r="R5650" s="34"/>
      <c r="AC5650" s="36"/>
    </row>
    <row r="5651" spans="12:29" x14ac:dyDescent="0.3">
      <c r="L5651" s="36"/>
      <c r="R5651" s="34"/>
      <c r="AC5651" s="36"/>
    </row>
    <row r="5652" spans="12:29" x14ac:dyDescent="0.3">
      <c r="L5652" s="36"/>
      <c r="R5652" s="34"/>
      <c r="AC5652" s="36"/>
    </row>
    <row r="5653" spans="12:29" x14ac:dyDescent="0.3">
      <c r="L5653" s="36"/>
      <c r="R5653" s="34"/>
      <c r="AC5653" s="36"/>
    </row>
    <row r="5654" spans="12:29" x14ac:dyDescent="0.3">
      <c r="L5654" s="36"/>
      <c r="R5654" s="34"/>
      <c r="AC5654" s="36"/>
    </row>
    <row r="5655" spans="12:29" x14ac:dyDescent="0.3">
      <c r="L5655" s="36"/>
      <c r="R5655" s="34"/>
      <c r="AC5655" s="36"/>
    </row>
    <row r="5656" spans="12:29" x14ac:dyDescent="0.3">
      <c r="L5656" s="36"/>
      <c r="R5656" s="34"/>
      <c r="AC5656" s="36"/>
    </row>
    <row r="5657" spans="12:29" x14ac:dyDescent="0.3">
      <c r="L5657" s="36"/>
      <c r="R5657" s="34"/>
      <c r="AC5657" s="36"/>
    </row>
    <row r="5658" spans="12:29" x14ac:dyDescent="0.3">
      <c r="L5658" s="36"/>
      <c r="R5658" s="34"/>
      <c r="AC5658" s="36"/>
    </row>
    <row r="5659" spans="12:29" x14ac:dyDescent="0.3">
      <c r="L5659" s="36"/>
      <c r="R5659" s="34"/>
      <c r="AC5659" s="36"/>
    </row>
    <row r="5660" spans="12:29" x14ac:dyDescent="0.3">
      <c r="L5660" s="36"/>
      <c r="R5660" s="34"/>
      <c r="AC5660" s="36"/>
    </row>
    <row r="5661" spans="12:29" x14ac:dyDescent="0.3">
      <c r="L5661" s="36"/>
      <c r="R5661" s="34"/>
      <c r="AC5661" s="36"/>
    </row>
    <row r="5662" spans="12:29" x14ac:dyDescent="0.3">
      <c r="L5662" s="36"/>
      <c r="R5662" s="34"/>
      <c r="AC5662" s="36"/>
    </row>
    <row r="5663" spans="12:29" x14ac:dyDescent="0.3">
      <c r="L5663" s="36"/>
      <c r="R5663" s="34"/>
      <c r="AC5663" s="36"/>
    </row>
    <row r="5664" spans="12:29" x14ac:dyDescent="0.3">
      <c r="L5664" s="36"/>
      <c r="R5664" s="34"/>
      <c r="AC5664" s="36"/>
    </row>
    <row r="5665" spans="12:29" x14ac:dyDescent="0.3">
      <c r="L5665" s="36"/>
      <c r="R5665" s="34"/>
      <c r="AC5665" s="36"/>
    </row>
    <row r="5666" spans="12:29" x14ac:dyDescent="0.3">
      <c r="L5666" s="36"/>
      <c r="R5666" s="34"/>
      <c r="AC5666" s="36"/>
    </row>
    <row r="5667" spans="12:29" x14ac:dyDescent="0.3">
      <c r="L5667" s="36"/>
      <c r="R5667" s="34"/>
      <c r="AC5667" s="36"/>
    </row>
    <row r="5668" spans="12:29" x14ac:dyDescent="0.3">
      <c r="L5668" s="36"/>
      <c r="R5668" s="34"/>
      <c r="AC5668" s="36"/>
    </row>
    <row r="5669" spans="12:29" x14ac:dyDescent="0.3">
      <c r="L5669" s="36"/>
      <c r="R5669" s="34"/>
      <c r="AC5669" s="36"/>
    </row>
    <row r="5670" spans="12:29" x14ac:dyDescent="0.3">
      <c r="L5670" s="36"/>
      <c r="R5670" s="34"/>
      <c r="AC5670" s="36"/>
    </row>
    <row r="5671" spans="12:29" x14ac:dyDescent="0.3">
      <c r="L5671" s="36"/>
      <c r="R5671" s="34"/>
      <c r="AC5671" s="36"/>
    </row>
    <row r="5672" spans="12:29" x14ac:dyDescent="0.3">
      <c r="L5672" s="36"/>
      <c r="R5672" s="34"/>
      <c r="AC5672" s="36"/>
    </row>
    <row r="5673" spans="12:29" x14ac:dyDescent="0.3">
      <c r="L5673" s="36"/>
      <c r="R5673" s="34"/>
      <c r="AC5673" s="36"/>
    </row>
    <row r="5674" spans="12:29" x14ac:dyDescent="0.3">
      <c r="L5674" s="36"/>
      <c r="R5674" s="34"/>
      <c r="AC5674" s="36"/>
    </row>
    <row r="5675" spans="12:29" x14ac:dyDescent="0.3">
      <c r="L5675" s="36"/>
      <c r="R5675" s="34"/>
      <c r="AC5675" s="36"/>
    </row>
    <row r="5676" spans="12:29" x14ac:dyDescent="0.3">
      <c r="L5676" s="36"/>
      <c r="R5676" s="34"/>
      <c r="AC5676" s="36"/>
    </row>
    <row r="5677" spans="12:29" x14ac:dyDescent="0.3">
      <c r="L5677" s="36"/>
      <c r="R5677" s="34"/>
      <c r="AC5677" s="36"/>
    </row>
    <row r="5678" spans="12:29" x14ac:dyDescent="0.3">
      <c r="L5678" s="36"/>
      <c r="R5678" s="34"/>
      <c r="AC5678" s="36"/>
    </row>
    <row r="5679" spans="12:29" x14ac:dyDescent="0.3">
      <c r="L5679" s="36"/>
      <c r="R5679" s="34"/>
      <c r="AC5679" s="36"/>
    </row>
    <row r="5680" spans="12:29" x14ac:dyDescent="0.3">
      <c r="L5680" s="36"/>
      <c r="R5680" s="34"/>
      <c r="AC5680" s="36"/>
    </row>
    <row r="5681" spans="12:29" x14ac:dyDescent="0.3">
      <c r="L5681" s="36"/>
      <c r="R5681" s="34"/>
      <c r="AC5681" s="36"/>
    </row>
    <row r="5682" spans="12:29" x14ac:dyDescent="0.3">
      <c r="L5682" s="36"/>
      <c r="R5682" s="34"/>
      <c r="AC5682" s="36"/>
    </row>
    <row r="5683" spans="12:29" x14ac:dyDescent="0.3">
      <c r="L5683" s="36"/>
      <c r="R5683" s="34"/>
      <c r="AC5683" s="36"/>
    </row>
    <row r="5684" spans="12:29" x14ac:dyDescent="0.3">
      <c r="L5684" s="36"/>
      <c r="R5684" s="34"/>
      <c r="AC5684" s="36"/>
    </row>
    <row r="5685" spans="12:29" x14ac:dyDescent="0.3">
      <c r="L5685" s="36"/>
      <c r="R5685" s="34"/>
      <c r="AC5685" s="36"/>
    </row>
    <row r="5686" spans="12:29" x14ac:dyDescent="0.3">
      <c r="L5686" s="36"/>
      <c r="R5686" s="34"/>
      <c r="AC5686" s="36"/>
    </row>
    <row r="5687" spans="12:29" x14ac:dyDescent="0.3">
      <c r="L5687" s="36"/>
      <c r="R5687" s="34"/>
      <c r="AC5687" s="36"/>
    </row>
    <row r="5688" spans="12:29" x14ac:dyDescent="0.3">
      <c r="L5688" s="36"/>
      <c r="R5688" s="34"/>
      <c r="AC5688" s="36"/>
    </row>
    <row r="5689" spans="12:29" x14ac:dyDescent="0.3">
      <c r="L5689" s="36"/>
      <c r="R5689" s="34"/>
      <c r="AC5689" s="36"/>
    </row>
    <row r="5690" spans="12:29" x14ac:dyDescent="0.3">
      <c r="L5690" s="36"/>
      <c r="R5690" s="34"/>
      <c r="AC5690" s="36"/>
    </row>
    <row r="5691" spans="12:29" x14ac:dyDescent="0.3">
      <c r="L5691" s="36"/>
      <c r="R5691" s="34"/>
      <c r="AC5691" s="36"/>
    </row>
    <row r="5692" spans="12:29" x14ac:dyDescent="0.3">
      <c r="L5692" s="36"/>
      <c r="R5692" s="34"/>
      <c r="AC5692" s="36"/>
    </row>
    <row r="5693" spans="12:29" x14ac:dyDescent="0.3">
      <c r="L5693" s="36"/>
      <c r="R5693" s="34"/>
      <c r="AC5693" s="36"/>
    </row>
    <row r="5694" spans="12:29" x14ac:dyDescent="0.3">
      <c r="L5694" s="36"/>
      <c r="R5694" s="34"/>
      <c r="AC5694" s="36"/>
    </row>
    <row r="5695" spans="12:29" x14ac:dyDescent="0.3">
      <c r="L5695" s="36"/>
      <c r="R5695" s="34"/>
      <c r="AC5695" s="36"/>
    </row>
    <row r="5696" spans="12:29" x14ac:dyDescent="0.3">
      <c r="L5696" s="36"/>
      <c r="R5696" s="34"/>
      <c r="AC5696" s="36"/>
    </row>
    <row r="5697" spans="12:29" x14ac:dyDescent="0.3">
      <c r="L5697" s="36"/>
      <c r="R5697" s="34"/>
      <c r="AC5697" s="36"/>
    </row>
    <row r="5698" spans="12:29" x14ac:dyDescent="0.3">
      <c r="L5698" s="36"/>
      <c r="R5698" s="34"/>
      <c r="AC5698" s="36"/>
    </row>
    <row r="5699" spans="12:29" x14ac:dyDescent="0.3">
      <c r="L5699" s="36"/>
      <c r="R5699" s="34"/>
      <c r="AC5699" s="36"/>
    </row>
    <row r="5700" spans="12:29" x14ac:dyDescent="0.3">
      <c r="L5700" s="36"/>
      <c r="R5700" s="34"/>
      <c r="AC5700" s="36"/>
    </row>
    <row r="5701" spans="12:29" x14ac:dyDescent="0.3">
      <c r="L5701" s="36"/>
      <c r="R5701" s="34"/>
      <c r="AC5701" s="36"/>
    </row>
    <row r="5702" spans="12:29" x14ac:dyDescent="0.3">
      <c r="L5702" s="36"/>
      <c r="R5702" s="34"/>
      <c r="AC5702" s="36"/>
    </row>
    <row r="5703" spans="12:29" x14ac:dyDescent="0.3">
      <c r="L5703" s="36"/>
      <c r="R5703" s="34"/>
      <c r="AC5703" s="36"/>
    </row>
    <row r="5704" spans="12:29" x14ac:dyDescent="0.3">
      <c r="L5704" s="36"/>
      <c r="R5704" s="34"/>
      <c r="AC5704" s="36"/>
    </row>
    <row r="5705" spans="12:29" x14ac:dyDescent="0.3">
      <c r="L5705" s="36"/>
      <c r="R5705" s="34"/>
      <c r="AC5705" s="36"/>
    </row>
    <row r="5706" spans="12:29" x14ac:dyDescent="0.3">
      <c r="L5706" s="36"/>
      <c r="R5706" s="34"/>
      <c r="AC5706" s="36"/>
    </row>
    <row r="5707" spans="12:29" x14ac:dyDescent="0.3">
      <c r="L5707" s="36"/>
      <c r="R5707" s="34"/>
      <c r="AC5707" s="36"/>
    </row>
    <row r="5708" spans="12:29" x14ac:dyDescent="0.3">
      <c r="L5708" s="36"/>
      <c r="R5708" s="34"/>
      <c r="AC5708" s="36"/>
    </row>
    <row r="5709" spans="12:29" x14ac:dyDescent="0.3">
      <c r="L5709" s="36"/>
      <c r="R5709" s="34"/>
      <c r="AC5709" s="36"/>
    </row>
    <row r="5710" spans="12:29" x14ac:dyDescent="0.3">
      <c r="L5710" s="36"/>
      <c r="R5710" s="34"/>
      <c r="AC5710" s="36"/>
    </row>
    <row r="5711" spans="12:29" x14ac:dyDescent="0.3">
      <c r="L5711" s="36"/>
      <c r="R5711" s="34"/>
      <c r="AC5711" s="36"/>
    </row>
    <row r="5712" spans="12:29" x14ac:dyDescent="0.3">
      <c r="L5712" s="36"/>
      <c r="R5712" s="34"/>
      <c r="AC5712" s="36"/>
    </row>
    <row r="5713" spans="12:29" x14ac:dyDescent="0.3">
      <c r="L5713" s="36"/>
      <c r="R5713" s="34"/>
      <c r="AC5713" s="36"/>
    </row>
    <row r="5714" spans="12:29" x14ac:dyDescent="0.3">
      <c r="L5714" s="36"/>
      <c r="R5714" s="34"/>
      <c r="AC5714" s="36"/>
    </row>
    <row r="5715" spans="12:29" x14ac:dyDescent="0.3">
      <c r="L5715" s="36"/>
      <c r="R5715" s="34"/>
      <c r="AC5715" s="36"/>
    </row>
    <row r="5716" spans="12:29" x14ac:dyDescent="0.3">
      <c r="L5716" s="36"/>
      <c r="R5716" s="34"/>
      <c r="AC5716" s="36"/>
    </row>
    <row r="5717" spans="12:29" x14ac:dyDescent="0.3">
      <c r="L5717" s="36"/>
      <c r="R5717" s="34"/>
      <c r="AC5717" s="36"/>
    </row>
    <row r="5718" spans="12:29" x14ac:dyDescent="0.3">
      <c r="L5718" s="36"/>
      <c r="R5718" s="34"/>
      <c r="AC5718" s="36"/>
    </row>
    <row r="5719" spans="12:29" x14ac:dyDescent="0.3">
      <c r="L5719" s="36"/>
      <c r="R5719" s="34"/>
      <c r="AC5719" s="36"/>
    </row>
    <row r="5720" spans="12:29" x14ac:dyDescent="0.3">
      <c r="L5720" s="36"/>
      <c r="R5720" s="34"/>
      <c r="AC5720" s="36"/>
    </row>
    <row r="5721" spans="12:29" x14ac:dyDescent="0.3">
      <c r="L5721" s="36"/>
      <c r="R5721" s="34"/>
      <c r="AC5721" s="36"/>
    </row>
    <row r="5722" spans="12:29" x14ac:dyDescent="0.3">
      <c r="L5722" s="36"/>
      <c r="R5722" s="34"/>
      <c r="AC5722" s="36"/>
    </row>
    <row r="5723" spans="12:29" x14ac:dyDescent="0.3">
      <c r="L5723" s="36"/>
      <c r="R5723" s="34"/>
      <c r="AC5723" s="36"/>
    </row>
    <row r="5724" spans="12:29" x14ac:dyDescent="0.3">
      <c r="L5724" s="36"/>
      <c r="R5724" s="34"/>
      <c r="AC5724" s="36"/>
    </row>
    <row r="5725" spans="12:29" x14ac:dyDescent="0.3">
      <c r="L5725" s="36"/>
      <c r="R5725" s="34"/>
      <c r="AC5725" s="36"/>
    </row>
    <row r="5726" spans="12:29" x14ac:dyDescent="0.3">
      <c r="L5726" s="36"/>
      <c r="R5726" s="34"/>
      <c r="AC5726" s="36"/>
    </row>
    <row r="5727" spans="12:29" x14ac:dyDescent="0.3">
      <c r="L5727" s="36"/>
      <c r="R5727" s="34"/>
      <c r="AC5727" s="36"/>
    </row>
    <row r="5728" spans="12:29" x14ac:dyDescent="0.3">
      <c r="L5728" s="36"/>
      <c r="R5728" s="34"/>
      <c r="AC5728" s="36"/>
    </row>
    <row r="5729" spans="12:29" x14ac:dyDescent="0.3">
      <c r="L5729" s="36"/>
      <c r="R5729" s="34"/>
      <c r="AC5729" s="36"/>
    </row>
    <row r="5730" spans="12:29" x14ac:dyDescent="0.3">
      <c r="L5730" s="36"/>
      <c r="R5730" s="34"/>
      <c r="AC5730" s="36"/>
    </row>
    <row r="5731" spans="12:29" x14ac:dyDescent="0.3">
      <c r="L5731" s="36"/>
      <c r="R5731" s="34"/>
      <c r="AC5731" s="36"/>
    </row>
    <row r="5732" spans="12:29" x14ac:dyDescent="0.3">
      <c r="L5732" s="36"/>
      <c r="R5732" s="34"/>
      <c r="AC5732" s="36"/>
    </row>
    <row r="5733" spans="12:29" x14ac:dyDescent="0.3">
      <c r="L5733" s="36"/>
      <c r="R5733" s="34"/>
      <c r="AC5733" s="36"/>
    </row>
    <row r="5734" spans="12:29" x14ac:dyDescent="0.3">
      <c r="L5734" s="36"/>
      <c r="R5734" s="34"/>
      <c r="AC5734" s="36"/>
    </row>
    <row r="5735" spans="12:29" x14ac:dyDescent="0.3">
      <c r="L5735" s="36"/>
      <c r="R5735" s="34"/>
      <c r="AC5735" s="36"/>
    </row>
    <row r="5736" spans="12:29" x14ac:dyDescent="0.3">
      <c r="L5736" s="36"/>
      <c r="R5736" s="34"/>
      <c r="AC5736" s="36"/>
    </row>
    <row r="5737" spans="12:29" x14ac:dyDescent="0.3">
      <c r="L5737" s="36"/>
      <c r="R5737" s="34"/>
      <c r="AC5737" s="36"/>
    </row>
    <row r="5738" spans="12:29" x14ac:dyDescent="0.3">
      <c r="L5738" s="36"/>
      <c r="R5738" s="34"/>
      <c r="AC5738" s="36"/>
    </row>
    <row r="5739" spans="12:29" x14ac:dyDescent="0.3">
      <c r="L5739" s="36"/>
      <c r="R5739" s="34"/>
      <c r="AC5739" s="36"/>
    </row>
    <row r="5740" spans="12:29" x14ac:dyDescent="0.3">
      <c r="L5740" s="36"/>
      <c r="R5740" s="34"/>
      <c r="AC5740" s="36"/>
    </row>
    <row r="5741" spans="12:29" x14ac:dyDescent="0.3">
      <c r="L5741" s="36"/>
      <c r="R5741" s="34"/>
      <c r="AC5741" s="36"/>
    </row>
    <row r="5742" spans="12:29" x14ac:dyDescent="0.3">
      <c r="L5742" s="36"/>
      <c r="R5742" s="34"/>
      <c r="AC5742" s="36"/>
    </row>
    <row r="5743" spans="12:29" x14ac:dyDescent="0.3">
      <c r="L5743" s="36"/>
      <c r="R5743" s="34"/>
      <c r="AC5743" s="36"/>
    </row>
    <row r="5744" spans="12:29" x14ac:dyDescent="0.3">
      <c r="L5744" s="36"/>
      <c r="R5744" s="34"/>
      <c r="AC5744" s="36"/>
    </row>
    <row r="5745" spans="12:29" x14ac:dyDescent="0.3">
      <c r="L5745" s="36"/>
      <c r="R5745" s="34"/>
      <c r="AC5745" s="36"/>
    </row>
    <row r="5746" spans="12:29" x14ac:dyDescent="0.3">
      <c r="L5746" s="36"/>
      <c r="R5746" s="34"/>
      <c r="AC5746" s="36"/>
    </row>
    <row r="5747" spans="12:29" x14ac:dyDescent="0.3">
      <c r="L5747" s="36"/>
      <c r="R5747" s="34"/>
      <c r="AC5747" s="36"/>
    </row>
    <row r="5748" spans="12:29" x14ac:dyDescent="0.3">
      <c r="L5748" s="36"/>
      <c r="R5748" s="34"/>
      <c r="AC5748" s="36"/>
    </row>
    <row r="5749" spans="12:29" x14ac:dyDescent="0.3">
      <c r="L5749" s="36"/>
      <c r="R5749" s="34"/>
      <c r="AC5749" s="36"/>
    </row>
    <row r="5750" spans="12:29" x14ac:dyDescent="0.3">
      <c r="L5750" s="36"/>
      <c r="R5750" s="34"/>
      <c r="AC5750" s="36"/>
    </row>
    <row r="5751" spans="12:29" x14ac:dyDescent="0.3">
      <c r="L5751" s="36"/>
      <c r="R5751" s="34"/>
      <c r="AC5751" s="36"/>
    </row>
    <row r="5752" spans="12:29" x14ac:dyDescent="0.3">
      <c r="L5752" s="36"/>
      <c r="R5752" s="34"/>
      <c r="AC5752" s="36"/>
    </row>
    <row r="5753" spans="12:29" x14ac:dyDescent="0.3">
      <c r="L5753" s="36"/>
      <c r="R5753" s="34"/>
      <c r="AC5753" s="36"/>
    </row>
    <row r="5754" spans="12:29" x14ac:dyDescent="0.3">
      <c r="L5754" s="36"/>
      <c r="R5754" s="34"/>
      <c r="AC5754" s="36"/>
    </row>
    <row r="5755" spans="12:29" x14ac:dyDescent="0.3">
      <c r="L5755" s="36"/>
      <c r="R5755" s="34"/>
      <c r="AC5755" s="36"/>
    </row>
    <row r="5756" spans="12:29" x14ac:dyDescent="0.3">
      <c r="L5756" s="36"/>
      <c r="R5756" s="34"/>
      <c r="AC5756" s="36"/>
    </row>
    <row r="5757" spans="12:29" x14ac:dyDescent="0.3">
      <c r="L5757" s="36"/>
      <c r="R5757" s="34"/>
      <c r="AC5757" s="36"/>
    </row>
    <row r="5758" spans="12:29" x14ac:dyDescent="0.3">
      <c r="L5758" s="36"/>
      <c r="R5758" s="34"/>
      <c r="AC5758" s="36"/>
    </row>
    <row r="5759" spans="12:29" x14ac:dyDescent="0.3">
      <c r="L5759" s="36"/>
      <c r="R5759" s="34"/>
      <c r="AC5759" s="36"/>
    </row>
    <row r="5760" spans="12:29" x14ac:dyDescent="0.3">
      <c r="L5760" s="36"/>
      <c r="R5760" s="34"/>
      <c r="AC5760" s="36"/>
    </row>
    <row r="5761" spans="12:29" x14ac:dyDescent="0.3">
      <c r="L5761" s="36"/>
      <c r="R5761" s="34"/>
      <c r="AC5761" s="36"/>
    </row>
    <row r="5762" spans="12:29" x14ac:dyDescent="0.3">
      <c r="L5762" s="36"/>
      <c r="R5762" s="34"/>
      <c r="AC5762" s="36"/>
    </row>
    <row r="5763" spans="12:29" x14ac:dyDescent="0.3">
      <c r="L5763" s="36"/>
      <c r="R5763" s="34"/>
      <c r="AC5763" s="36"/>
    </row>
    <row r="5764" spans="12:29" x14ac:dyDescent="0.3">
      <c r="L5764" s="36"/>
      <c r="R5764" s="34"/>
      <c r="AC5764" s="36"/>
    </row>
    <row r="5765" spans="12:29" x14ac:dyDescent="0.3">
      <c r="L5765" s="36"/>
      <c r="R5765" s="34"/>
      <c r="AC5765" s="36"/>
    </row>
    <row r="5766" spans="12:29" x14ac:dyDescent="0.3">
      <c r="L5766" s="36"/>
      <c r="R5766" s="34"/>
      <c r="AC5766" s="36"/>
    </row>
    <row r="5767" spans="12:29" x14ac:dyDescent="0.3">
      <c r="L5767" s="36"/>
      <c r="R5767" s="34"/>
      <c r="AC5767" s="36"/>
    </row>
    <row r="5768" spans="12:29" x14ac:dyDescent="0.3">
      <c r="L5768" s="36"/>
      <c r="R5768" s="34"/>
      <c r="AC5768" s="36"/>
    </row>
    <row r="5769" spans="12:29" x14ac:dyDescent="0.3">
      <c r="L5769" s="36"/>
      <c r="R5769" s="34"/>
      <c r="AC5769" s="36"/>
    </row>
    <row r="5770" spans="12:29" x14ac:dyDescent="0.3">
      <c r="L5770" s="36"/>
      <c r="R5770" s="34"/>
      <c r="AC5770" s="36"/>
    </row>
    <row r="5771" spans="12:29" x14ac:dyDescent="0.3">
      <c r="L5771" s="36"/>
      <c r="R5771" s="34"/>
      <c r="AC5771" s="36"/>
    </row>
    <row r="5772" spans="12:29" x14ac:dyDescent="0.3">
      <c r="L5772" s="36"/>
      <c r="R5772" s="34"/>
      <c r="AC5772" s="36"/>
    </row>
    <row r="5773" spans="12:29" x14ac:dyDescent="0.3">
      <c r="L5773" s="36"/>
      <c r="R5773" s="34"/>
      <c r="AC5773" s="36"/>
    </row>
    <row r="5774" spans="12:29" x14ac:dyDescent="0.3">
      <c r="L5774" s="36"/>
      <c r="R5774" s="34"/>
      <c r="AC5774" s="36"/>
    </row>
    <row r="5775" spans="12:29" x14ac:dyDescent="0.3">
      <c r="L5775" s="36"/>
      <c r="R5775" s="34"/>
      <c r="AC5775" s="36"/>
    </row>
    <row r="5776" spans="12:29" x14ac:dyDescent="0.3">
      <c r="L5776" s="36"/>
      <c r="R5776" s="34"/>
      <c r="AC5776" s="36"/>
    </row>
    <row r="5777" spans="12:29" x14ac:dyDescent="0.3">
      <c r="L5777" s="36"/>
      <c r="R5777" s="34"/>
      <c r="AC5777" s="36"/>
    </row>
    <row r="5778" spans="12:29" x14ac:dyDescent="0.3">
      <c r="L5778" s="36"/>
      <c r="R5778" s="34"/>
      <c r="AC5778" s="36"/>
    </row>
    <row r="5779" spans="12:29" x14ac:dyDescent="0.3">
      <c r="L5779" s="36"/>
      <c r="R5779" s="34"/>
      <c r="AC5779" s="36"/>
    </row>
    <row r="5780" spans="12:29" x14ac:dyDescent="0.3">
      <c r="L5780" s="36"/>
      <c r="R5780" s="34"/>
      <c r="AC5780" s="36"/>
    </row>
    <row r="5781" spans="12:29" x14ac:dyDescent="0.3">
      <c r="L5781" s="36"/>
      <c r="R5781" s="34"/>
      <c r="AC5781" s="36"/>
    </row>
    <row r="5782" spans="12:29" x14ac:dyDescent="0.3">
      <c r="L5782" s="36"/>
      <c r="R5782" s="34"/>
      <c r="AC5782" s="36"/>
    </row>
    <row r="5783" spans="12:29" x14ac:dyDescent="0.3">
      <c r="L5783" s="36"/>
      <c r="R5783" s="34"/>
      <c r="AC5783" s="36"/>
    </row>
    <row r="5784" spans="12:29" x14ac:dyDescent="0.3">
      <c r="L5784" s="36"/>
      <c r="R5784" s="34"/>
      <c r="AC5784" s="36"/>
    </row>
    <row r="5785" spans="12:29" x14ac:dyDescent="0.3">
      <c r="L5785" s="36"/>
      <c r="R5785" s="34"/>
      <c r="AC5785" s="36"/>
    </row>
    <row r="5786" spans="12:29" x14ac:dyDescent="0.3">
      <c r="L5786" s="36"/>
      <c r="R5786" s="34"/>
      <c r="AC5786" s="36"/>
    </row>
    <row r="5787" spans="12:29" x14ac:dyDescent="0.3">
      <c r="L5787" s="36"/>
      <c r="R5787" s="34"/>
      <c r="AC5787" s="36"/>
    </row>
    <row r="5788" spans="12:29" x14ac:dyDescent="0.3">
      <c r="L5788" s="36"/>
      <c r="R5788" s="34"/>
      <c r="AC5788" s="36"/>
    </row>
    <row r="5789" spans="12:29" x14ac:dyDescent="0.3">
      <c r="L5789" s="36"/>
      <c r="R5789" s="34"/>
      <c r="AC5789" s="36"/>
    </row>
    <row r="5790" spans="12:29" x14ac:dyDescent="0.3">
      <c r="L5790" s="36"/>
      <c r="R5790" s="34"/>
      <c r="AC5790" s="36"/>
    </row>
    <row r="5791" spans="12:29" x14ac:dyDescent="0.3">
      <c r="L5791" s="36"/>
      <c r="R5791" s="34"/>
      <c r="AC5791" s="36"/>
    </row>
    <row r="5792" spans="12:29" x14ac:dyDescent="0.3">
      <c r="L5792" s="36"/>
      <c r="R5792" s="34"/>
      <c r="AC5792" s="36"/>
    </row>
    <row r="5793" spans="12:29" x14ac:dyDescent="0.3">
      <c r="L5793" s="36"/>
      <c r="R5793" s="34"/>
      <c r="AC5793" s="36"/>
    </row>
    <row r="5794" spans="12:29" x14ac:dyDescent="0.3">
      <c r="L5794" s="36"/>
      <c r="R5794" s="34"/>
      <c r="AC5794" s="36"/>
    </row>
    <row r="5795" spans="12:29" x14ac:dyDescent="0.3">
      <c r="L5795" s="36"/>
      <c r="R5795" s="34"/>
      <c r="AC5795" s="36"/>
    </row>
    <row r="5796" spans="12:29" x14ac:dyDescent="0.3">
      <c r="L5796" s="36"/>
      <c r="R5796" s="34"/>
      <c r="AC5796" s="36"/>
    </row>
    <row r="5797" spans="12:29" x14ac:dyDescent="0.3">
      <c r="L5797" s="36"/>
      <c r="R5797" s="34"/>
      <c r="AC5797" s="36"/>
    </row>
    <row r="5798" spans="12:29" x14ac:dyDescent="0.3">
      <c r="L5798" s="36"/>
      <c r="R5798" s="34"/>
      <c r="AC5798" s="36"/>
    </row>
    <row r="5799" spans="12:29" x14ac:dyDescent="0.3">
      <c r="L5799" s="36"/>
      <c r="R5799" s="34"/>
      <c r="AC5799" s="36"/>
    </row>
    <row r="5800" spans="12:29" x14ac:dyDescent="0.3">
      <c r="L5800" s="36"/>
      <c r="R5800" s="34"/>
      <c r="AC5800" s="36"/>
    </row>
    <row r="5801" spans="12:29" x14ac:dyDescent="0.3">
      <c r="L5801" s="36"/>
      <c r="R5801" s="34"/>
      <c r="AC5801" s="36"/>
    </row>
    <row r="5802" spans="12:29" x14ac:dyDescent="0.3">
      <c r="L5802" s="36"/>
      <c r="R5802" s="34"/>
      <c r="AC5802" s="36"/>
    </row>
    <row r="5803" spans="12:29" x14ac:dyDescent="0.3">
      <c r="L5803" s="36"/>
      <c r="R5803" s="34"/>
      <c r="AC5803" s="36"/>
    </row>
    <row r="5804" spans="12:29" x14ac:dyDescent="0.3">
      <c r="L5804" s="36"/>
      <c r="R5804" s="34"/>
      <c r="AC5804" s="36"/>
    </row>
    <row r="5805" spans="12:29" x14ac:dyDescent="0.3">
      <c r="L5805" s="36"/>
      <c r="R5805" s="34"/>
      <c r="AC5805" s="36"/>
    </row>
    <row r="5806" spans="12:29" x14ac:dyDescent="0.3">
      <c r="L5806" s="36"/>
      <c r="R5806" s="34"/>
      <c r="AC5806" s="36"/>
    </row>
    <row r="5807" spans="12:29" x14ac:dyDescent="0.3">
      <c r="L5807" s="36"/>
      <c r="R5807" s="34"/>
      <c r="AC5807" s="36"/>
    </row>
    <row r="5808" spans="12:29" x14ac:dyDescent="0.3">
      <c r="L5808" s="36"/>
      <c r="R5808" s="34"/>
      <c r="AC5808" s="36"/>
    </row>
    <row r="5809" spans="12:29" x14ac:dyDescent="0.3">
      <c r="L5809" s="36"/>
      <c r="R5809" s="34"/>
      <c r="AC5809" s="36"/>
    </row>
    <row r="5810" spans="12:29" x14ac:dyDescent="0.3">
      <c r="L5810" s="36"/>
      <c r="R5810" s="34"/>
      <c r="AC5810" s="36"/>
    </row>
    <row r="5811" spans="12:29" x14ac:dyDescent="0.3">
      <c r="L5811" s="36"/>
      <c r="R5811" s="34"/>
      <c r="AC5811" s="36"/>
    </row>
    <row r="5812" spans="12:29" x14ac:dyDescent="0.3">
      <c r="L5812" s="36"/>
      <c r="R5812" s="34"/>
      <c r="AC5812" s="36"/>
    </row>
    <row r="5813" spans="12:29" x14ac:dyDescent="0.3">
      <c r="L5813" s="36"/>
      <c r="R5813" s="34"/>
      <c r="AC5813" s="36"/>
    </row>
    <row r="5814" spans="12:29" x14ac:dyDescent="0.3">
      <c r="L5814" s="36"/>
      <c r="R5814" s="34"/>
      <c r="AC5814" s="36"/>
    </row>
    <row r="5815" spans="12:29" x14ac:dyDescent="0.3">
      <c r="L5815" s="36"/>
      <c r="R5815" s="34"/>
      <c r="AC5815" s="36"/>
    </row>
    <row r="5816" spans="12:29" x14ac:dyDescent="0.3">
      <c r="L5816" s="36"/>
      <c r="R5816" s="34"/>
      <c r="AC5816" s="36"/>
    </row>
    <row r="5817" spans="12:29" x14ac:dyDescent="0.3">
      <c r="L5817" s="36"/>
      <c r="R5817" s="34"/>
      <c r="AC5817" s="36"/>
    </row>
    <row r="5818" spans="12:29" x14ac:dyDescent="0.3">
      <c r="L5818" s="36"/>
      <c r="R5818" s="34"/>
      <c r="AC5818" s="36"/>
    </row>
    <row r="5819" spans="12:29" x14ac:dyDescent="0.3">
      <c r="L5819" s="36"/>
      <c r="R5819" s="34"/>
      <c r="AC5819" s="36"/>
    </row>
    <row r="5820" spans="12:29" x14ac:dyDescent="0.3">
      <c r="L5820" s="36"/>
      <c r="R5820" s="34"/>
      <c r="AC5820" s="36"/>
    </row>
    <row r="5821" spans="12:29" x14ac:dyDescent="0.3">
      <c r="L5821" s="36"/>
      <c r="R5821" s="34"/>
      <c r="AC5821" s="36"/>
    </row>
    <row r="5822" spans="12:29" x14ac:dyDescent="0.3">
      <c r="L5822" s="36"/>
      <c r="R5822" s="34"/>
      <c r="AC5822" s="36"/>
    </row>
    <row r="5823" spans="12:29" x14ac:dyDescent="0.3">
      <c r="L5823" s="36"/>
      <c r="R5823" s="34"/>
      <c r="AC5823" s="36"/>
    </row>
    <row r="5824" spans="12:29" x14ac:dyDescent="0.3">
      <c r="L5824" s="36"/>
      <c r="R5824" s="34"/>
      <c r="AC5824" s="36"/>
    </row>
    <row r="5825" spans="12:29" x14ac:dyDescent="0.3">
      <c r="L5825" s="36"/>
      <c r="R5825" s="34"/>
      <c r="AC5825" s="36"/>
    </row>
    <row r="5826" spans="12:29" x14ac:dyDescent="0.3">
      <c r="L5826" s="36"/>
      <c r="R5826" s="34"/>
      <c r="AC5826" s="36"/>
    </row>
    <row r="5827" spans="12:29" x14ac:dyDescent="0.3">
      <c r="L5827" s="36"/>
      <c r="R5827" s="34"/>
      <c r="AC5827" s="36"/>
    </row>
    <row r="5828" spans="12:29" x14ac:dyDescent="0.3">
      <c r="L5828" s="36"/>
      <c r="R5828" s="34"/>
      <c r="AC5828" s="36"/>
    </row>
    <row r="5829" spans="12:29" x14ac:dyDescent="0.3">
      <c r="L5829" s="36"/>
      <c r="R5829" s="34"/>
      <c r="AC5829" s="36"/>
    </row>
    <row r="5830" spans="12:29" x14ac:dyDescent="0.3">
      <c r="L5830" s="36"/>
      <c r="R5830" s="34"/>
      <c r="AC5830" s="36"/>
    </row>
    <row r="5831" spans="12:29" x14ac:dyDescent="0.3">
      <c r="L5831" s="36"/>
      <c r="R5831" s="34"/>
      <c r="AC5831" s="36"/>
    </row>
    <row r="5832" spans="12:29" x14ac:dyDescent="0.3">
      <c r="L5832" s="36"/>
      <c r="R5832" s="34"/>
      <c r="AC5832" s="36"/>
    </row>
    <row r="5833" spans="12:29" x14ac:dyDescent="0.3">
      <c r="L5833" s="36"/>
      <c r="R5833" s="34"/>
      <c r="AC5833" s="36"/>
    </row>
    <row r="5834" spans="12:29" x14ac:dyDescent="0.3">
      <c r="L5834" s="36"/>
      <c r="R5834" s="34"/>
      <c r="AC5834" s="36"/>
    </row>
    <row r="5835" spans="12:29" x14ac:dyDescent="0.3">
      <c r="L5835" s="36"/>
      <c r="R5835" s="34"/>
      <c r="AC5835" s="36"/>
    </row>
    <row r="5836" spans="12:29" x14ac:dyDescent="0.3">
      <c r="L5836" s="36"/>
      <c r="R5836" s="34"/>
      <c r="AC5836" s="36"/>
    </row>
    <row r="5837" spans="12:29" x14ac:dyDescent="0.3">
      <c r="L5837" s="36"/>
      <c r="R5837" s="34"/>
      <c r="AC5837" s="36"/>
    </row>
    <row r="5838" spans="12:29" x14ac:dyDescent="0.3">
      <c r="L5838" s="36"/>
      <c r="R5838" s="34"/>
      <c r="AC5838" s="36"/>
    </row>
    <row r="5839" spans="12:29" x14ac:dyDescent="0.3">
      <c r="L5839" s="36"/>
      <c r="R5839" s="34"/>
      <c r="AC5839" s="36"/>
    </row>
    <row r="5840" spans="12:29" x14ac:dyDescent="0.3">
      <c r="L5840" s="36"/>
      <c r="R5840" s="34"/>
      <c r="AC5840" s="36"/>
    </row>
    <row r="5841" spans="12:29" x14ac:dyDescent="0.3">
      <c r="L5841" s="36"/>
      <c r="R5841" s="34"/>
      <c r="AC5841" s="36"/>
    </row>
    <row r="5842" spans="12:29" x14ac:dyDescent="0.3">
      <c r="L5842" s="36"/>
      <c r="R5842" s="34"/>
      <c r="AC5842" s="36"/>
    </row>
    <row r="5843" spans="12:29" x14ac:dyDescent="0.3">
      <c r="L5843" s="36"/>
      <c r="R5843" s="34"/>
      <c r="AC5843" s="36"/>
    </row>
    <row r="5844" spans="12:29" x14ac:dyDescent="0.3">
      <c r="L5844" s="36"/>
      <c r="R5844" s="34"/>
      <c r="AC5844" s="36"/>
    </row>
    <row r="5845" spans="12:29" x14ac:dyDescent="0.3">
      <c r="L5845" s="36"/>
      <c r="R5845" s="34"/>
      <c r="AC5845" s="36"/>
    </row>
    <row r="5846" spans="12:29" x14ac:dyDescent="0.3">
      <c r="L5846" s="36"/>
      <c r="R5846" s="34"/>
      <c r="AC5846" s="36"/>
    </row>
    <row r="5847" spans="12:29" x14ac:dyDescent="0.3">
      <c r="L5847" s="36"/>
      <c r="R5847" s="34"/>
      <c r="AC5847" s="36"/>
    </row>
    <row r="5848" spans="12:29" x14ac:dyDescent="0.3">
      <c r="L5848" s="36"/>
      <c r="R5848" s="34"/>
      <c r="AC5848" s="36"/>
    </row>
    <row r="5849" spans="12:29" x14ac:dyDescent="0.3">
      <c r="L5849" s="36"/>
      <c r="R5849" s="34"/>
      <c r="AC5849" s="36"/>
    </row>
    <row r="5850" spans="12:29" x14ac:dyDescent="0.3">
      <c r="L5850" s="36"/>
      <c r="R5850" s="34"/>
      <c r="AC5850" s="36"/>
    </row>
    <row r="5851" spans="12:29" x14ac:dyDescent="0.3">
      <c r="L5851" s="36"/>
      <c r="R5851" s="34"/>
      <c r="AC5851" s="36"/>
    </row>
    <row r="5852" spans="12:29" x14ac:dyDescent="0.3">
      <c r="L5852" s="36"/>
      <c r="R5852" s="34"/>
      <c r="AC5852" s="36"/>
    </row>
    <row r="5853" spans="12:29" x14ac:dyDescent="0.3">
      <c r="L5853" s="36"/>
      <c r="R5853" s="34"/>
      <c r="AC5853" s="36"/>
    </row>
    <row r="5854" spans="12:29" x14ac:dyDescent="0.3">
      <c r="L5854" s="36"/>
      <c r="R5854" s="34"/>
      <c r="AC5854" s="36"/>
    </row>
    <row r="5855" spans="12:29" x14ac:dyDescent="0.3">
      <c r="L5855" s="36"/>
      <c r="R5855" s="34"/>
      <c r="AC5855" s="36"/>
    </row>
    <row r="5856" spans="12:29" x14ac:dyDescent="0.3">
      <c r="L5856" s="36"/>
      <c r="R5856" s="34"/>
      <c r="AC5856" s="36"/>
    </row>
    <row r="5857" spans="12:29" x14ac:dyDescent="0.3">
      <c r="L5857" s="36"/>
      <c r="R5857" s="34"/>
      <c r="AC5857" s="36"/>
    </row>
    <row r="5858" spans="12:29" x14ac:dyDescent="0.3">
      <c r="L5858" s="36"/>
      <c r="R5858" s="34"/>
      <c r="AC5858" s="36"/>
    </row>
    <row r="5859" spans="12:29" x14ac:dyDescent="0.3">
      <c r="L5859" s="36"/>
      <c r="R5859" s="34"/>
      <c r="AC5859" s="36"/>
    </row>
    <row r="5860" spans="12:29" x14ac:dyDescent="0.3">
      <c r="L5860" s="36"/>
      <c r="R5860" s="34"/>
      <c r="AC5860" s="36"/>
    </row>
    <row r="5861" spans="12:29" x14ac:dyDescent="0.3">
      <c r="L5861" s="36"/>
      <c r="R5861" s="34"/>
      <c r="AC5861" s="36"/>
    </row>
    <row r="5862" spans="12:29" x14ac:dyDescent="0.3">
      <c r="L5862" s="36"/>
      <c r="R5862" s="34"/>
      <c r="AC5862" s="36"/>
    </row>
    <row r="5863" spans="12:29" x14ac:dyDescent="0.3">
      <c r="L5863" s="36"/>
      <c r="R5863" s="34"/>
      <c r="AC5863" s="36"/>
    </row>
    <row r="5864" spans="12:29" x14ac:dyDescent="0.3">
      <c r="L5864" s="36"/>
      <c r="R5864" s="34"/>
      <c r="AC5864" s="36"/>
    </row>
    <row r="5865" spans="12:29" x14ac:dyDescent="0.3">
      <c r="L5865" s="36"/>
      <c r="R5865" s="34"/>
      <c r="AC5865" s="36"/>
    </row>
    <row r="5866" spans="12:29" x14ac:dyDescent="0.3">
      <c r="L5866" s="36"/>
      <c r="R5866" s="34"/>
      <c r="AC5866" s="36"/>
    </row>
    <row r="5867" spans="12:29" x14ac:dyDescent="0.3">
      <c r="L5867" s="36"/>
      <c r="R5867" s="34"/>
      <c r="AC5867" s="36"/>
    </row>
    <row r="5868" spans="12:29" x14ac:dyDescent="0.3">
      <c r="L5868" s="36"/>
      <c r="R5868" s="34"/>
      <c r="AC5868" s="36"/>
    </row>
    <row r="5869" spans="12:29" x14ac:dyDescent="0.3">
      <c r="L5869" s="36"/>
      <c r="R5869" s="34"/>
      <c r="AC5869" s="36"/>
    </row>
    <row r="5870" spans="12:29" x14ac:dyDescent="0.3">
      <c r="L5870" s="36"/>
      <c r="R5870" s="34"/>
      <c r="AC5870" s="36"/>
    </row>
    <row r="5871" spans="12:29" x14ac:dyDescent="0.3">
      <c r="L5871" s="36"/>
      <c r="R5871" s="34"/>
      <c r="AC5871" s="36"/>
    </row>
    <row r="5872" spans="12:29" x14ac:dyDescent="0.3">
      <c r="L5872" s="36"/>
      <c r="R5872" s="34"/>
      <c r="AC5872" s="36"/>
    </row>
    <row r="5873" spans="12:29" x14ac:dyDescent="0.3">
      <c r="L5873" s="36"/>
      <c r="R5873" s="34"/>
      <c r="AC5873" s="36"/>
    </row>
    <row r="5874" spans="12:29" x14ac:dyDescent="0.3">
      <c r="L5874" s="36"/>
      <c r="R5874" s="34"/>
      <c r="AC5874" s="36"/>
    </row>
    <row r="5875" spans="12:29" x14ac:dyDescent="0.3">
      <c r="L5875" s="36"/>
      <c r="R5875" s="34"/>
      <c r="AC5875" s="36"/>
    </row>
    <row r="5876" spans="12:29" x14ac:dyDescent="0.3">
      <c r="L5876" s="36"/>
      <c r="R5876" s="34"/>
      <c r="AC5876" s="36"/>
    </row>
    <row r="5877" spans="12:29" x14ac:dyDescent="0.3">
      <c r="L5877" s="36"/>
      <c r="R5877" s="34"/>
      <c r="AC5877" s="36"/>
    </row>
    <row r="5878" spans="12:29" x14ac:dyDescent="0.3">
      <c r="L5878" s="36"/>
      <c r="R5878" s="34"/>
      <c r="AC5878" s="36"/>
    </row>
    <row r="5879" spans="12:29" x14ac:dyDescent="0.3">
      <c r="L5879" s="36"/>
      <c r="R5879" s="34"/>
      <c r="AC5879" s="36"/>
    </row>
    <row r="5880" spans="12:29" x14ac:dyDescent="0.3">
      <c r="L5880" s="36"/>
      <c r="R5880" s="34"/>
      <c r="AC5880" s="36"/>
    </row>
    <row r="5881" spans="12:29" x14ac:dyDescent="0.3">
      <c r="L5881" s="36"/>
      <c r="R5881" s="34"/>
      <c r="AC5881" s="36"/>
    </row>
    <row r="5882" spans="12:29" x14ac:dyDescent="0.3">
      <c r="L5882" s="36"/>
      <c r="R5882" s="34"/>
      <c r="AC5882" s="36"/>
    </row>
    <row r="5883" spans="12:29" x14ac:dyDescent="0.3">
      <c r="L5883" s="36"/>
      <c r="R5883" s="34"/>
      <c r="AC5883" s="36"/>
    </row>
    <row r="5884" spans="12:29" x14ac:dyDescent="0.3">
      <c r="L5884" s="36"/>
      <c r="R5884" s="34"/>
      <c r="AC5884" s="36"/>
    </row>
    <row r="5885" spans="12:29" x14ac:dyDescent="0.3">
      <c r="L5885" s="36"/>
      <c r="R5885" s="34"/>
      <c r="AC5885" s="36"/>
    </row>
    <row r="5886" spans="12:29" x14ac:dyDescent="0.3">
      <c r="L5886" s="36"/>
      <c r="R5886" s="34"/>
      <c r="AC5886" s="36"/>
    </row>
    <row r="5887" spans="12:29" x14ac:dyDescent="0.3">
      <c r="L5887" s="36"/>
      <c r="R5887" s="34"/>
      <c r="AC5887" s="36"/>
    </row>
    <row r="5888" spans="12:29" x14ac:dyDescent="0.3">
      <c r="L5888" s="36"/>
      <c r="R5888" s="34"/>
      <c r="AC5888" s="36"/>
    </row>
    <row r="5889" spans="12:29" x14ac:dyDescent="0.3">
      <c r="L5889" s="36"/>
      <c r="R5889" s="34"/>
      <c r="AC5889" s="36"/>
    </row>
    <row r="5890" spans="12:29" x14ac:dyDescent="0.3">
      <c r="L5890" s="36"/>
      <c r="R5890" s="34"/>
      <c r="AC5890" s="36"/>
    </row>
    <row r="5891" spans="12:29" x14ac:dyDescent="0.3">
      <c r="L5891" s="36"/>
      <c r="R5891" s="34"/>
      <c r="AC5891" s="36"/>
    </row>
    <row r="5892" spans="12:29" x14ac:dyDescent="0.3">
      <c r="L5892" s="36"/>
      <c r="R5892" s="34"/>
      <c r="AC5892" s="36"/>
    </row>
    <row r="5893" spans="12:29" x14ac:dyDescent="0.3">
      <c r="L5893" s="36"/>
      <c r="R5893" s="34"/>
      <c r="AC5893" s="36"/>
    </row>
    <row r="5894" spans="12:29" x14ac:dyDescent="0.3">
      <c r="L5894" s="36"/>
      <c r="R5894" s="34"/>
      <c r="AC5894" s="36"/>
    </row>
    <row r="5895" spans="12:29" x14ac:dyDescent="0.3">
      <c r="L5895" s="36"/>
      <c r="R5895" s="34"/>
      <c r="AC5895" s="36"/>
    </row>
    <row r="5896" spans="12:29" x14ac:dyDescent="0.3">
      <c r="L5896" s="36"/>
      <c r="R5896" s="34"/>
      <c r="AC5896" s="36"/>
    </row>
    <row r="5897" spans="12:29" x14ac:dyDescent="0.3">
      <c r="L5897" s="36"/>
      <c r="R5897" s="34"/>
      <c r="AC5897" s="36"/>
    </row>
    <row r="5898" spans="12:29" x14ac:dyDescent="0.3">
      <c r="L5898" s="36"/>
      <c r="R5898" s="34"/>
      <c r="AC5898" s="36"/>
    </row>
    <row r="5899" spans="12:29" x14ac:dyDescent="0.3">
      <c r="L5899" s="36"/>
      <c r="R5899" s="34"/>
      <c r="AC5899" s="36"/>
    </row>
    <row r="5900" spans="12:29" x14ac:dyDescent="0.3">
      <c r="L5900" s="36"/>
      <c r="R5900" s="34"/>
      <c r="AC5900" s="36"/>
    </row>
    <row r="5901" spans="12:29" x14ac:dyDescent="0.3">
      <c r="L5901" s="36"/>
      <c r="R5901" s="34"/>
      <c r="AC5901" s="36"/>
    </row>
    <row r="5902" spans="12:29" x14ac:dyDescent="0.3">
      <c r="L5902" s="36"/>
      <c r="R5902" s="34"/>
      <c r="AC5902" s="36"/>
    </row>
    <row r="5903" spans="12:29" x14ac:dyDescent="0.3">
      <c r="L5903" s="36"/>
      <c r="R5903" s="34"/>
      <c r="AC5903" s="36"/>
    </row>
    <row r="5904" spans="12:29" x14ac:dyDescent="0.3">
      <c r="L5904" s="36"/>
      <c r="R5904" s="34"/>
      <c r="AC5904" s="36"/>
    </row>
    <row r="5905" spans="12:29" x14ac:dyDescent="0.3">
      <c r="L5905" s="36"/>
      <c r="R5905" s="34"/>
      <c r="AC5905" s="36"/>
    </row>
    <row r="5906" spans="12:29" x14ac:dyDescent="0.3">
      <c r="L5906" s="36"/>
      <c r="R5906" s="34"/>
      <c r="AC5906" s="36"/>
    </row>
    <row r="5907" spans="12:29" x14ac:dyDescent="0.3">
      <c r="L5907" s="36"/>
      <c r="R5907" s="34"/>
      <c r="AC5907" s="36"/>
    </row>
    <row r="5908" spans="12:29" x14ac:dyDescent="0.3">
      <c r="L5908" s="36"/>
      <c r="R5908" s="34"/>
      <c r="AC5908" s="36"/>
    </row>
    <row r="5909" spans="12:29" x14ac:dyDescent="0.3">
      <c r="L5909" s="36"/>
      <c r="R5909" s="34"/>
      <c r="AC5909" s="36"/>
    </row>
    <row r="5910" spans="12:29" x14ac:dyDescent="0.3">
      <c r="L5910" s="36"/>
      <c r="R5910" s="34"/>
      <c r="AC5910" s="36"/>
    </row>
    <row r="5911" spans="12:29" x14ac:dyDescent="0.3">
      <c r="L5911" s="36"/>
      <c r="R5911" s="34"/>
      <c r="AC5911" s="36"/>
    </row>
    <row r="5912" spans="12:29" x14ac:dyDescent="0.3">
      <c r="L5912" s="36"/>
      <c r="R5912" s="34"/>
      <c r="AC5912" s="36"/>
    </row>
    <row r="5913" spans="12:29" x14ac:dyDescent="0.3">
      <c r="L5913" s="36"/>
      <c r="R5913" s="34"/>
      <c r="AC5913" s="36"/>
    </row>
    <row r="5914" spans="12:29" x14ac:dyDescent="0.3">
      <c r="L5914" s="36"/>
      <c r="R5914" s="34"/>
      <c r="AC5914" s="36"/>
    </row>
    <row r="5915" spans="12:29" x14ac:dyDescent="0.3">
      <c r="L5915" s="36"/>
      <c r="R5915" s="34"/>
      <c r="AC5915" s="36"/>
    </row>
    <row r="5916" spans="12:29" x14ac:dyDescent="0.3">
      <c r="L5916" s="36"/>
      <c r="R5916" s="34"/>
      <c r="AC5916" s="36"/>
    </row>
    <row r="5917" spans="12:29" x14ac:dyDescent="0.3">
      <c r="L5917" s="36"/>
      <c r="R5917" s="34"/>
      <c r="AC5917" s="36"/>
    </row>
    <row r="5918" spans="12:29" x14ac:dyDescent="0.3">
      <c r="L5918" s="36"/>
      <c r="R5918" s="34"/>
      <c r="AC5918" s="36"/>
    </row>
    <row r="5919" spans="12:29" x14ac:dyDescent="0.3">
      <c r="L5919" s="36"/>
      <c r="R5919" s="34"/>
      <c r="AC5919" s="36"/>
    </row>
    <row r="5920" spans="12:29" x14ac:dyDescent="0.3">
      <c r="L5920" s="36"/>
      <c r="R5920" s="34"/>
      <c r="AC5920" s="36"/>
    </row>
    <row r="5921" spans="12:29" x14ac:dyDescent="0.3">
      <c r="L5921" s="36"/>
      <c r="R5921" s="34"/>
      <c r="AC5921" s="36"/>
    </row>
    <row r="5922" spans="12:29" x14ac:dyDescent="0.3">
      <c r="L5922" s="36"/>
      <c r="R5922" s="34"/>
      <c r="AC5922" s="36"/>
    </row>
    <row r="5923" spans="12:29" x14ac:dyDescent="0.3">
      <c r="L5923" s="36"/>
      <c r="R5923" s="34"/>
      <c r="AC5923" s="36"/>
    </row>
    <row r="5924" spans="12:29" x14ac:dyDescent="0.3">
      <c r="L5924" s="36"/>
      <c r="R5924" s="34"/>
      <c r="AC5924" s="36"/>
    </row>
    <row r="5925" spans="12:29" x14ac:dyDescent="0.3">
      <c r="L5925" s="36"/>
      <c r="R5925" s="34"/>
      <c r="AC5925" s="36"/>
    </row>
    <row r="5926" spans="12:29" x14ac:dyDescent="0.3">
      <c r="L5926" s="36"/>
      <c r="R5926" s="34"/>
      <c r="AC5926" s="36"/>
    </row>
    <row r="5927" spans="12:29" x14ac:dyDescent="0.3">
      <c r="L5927" s="36"/>
      <c r="R5927" s="34"/>
      <c r="AC5927" s="36"/>
    </row>
    <row r="5928" spans="12:29" x14ac:dyDescent="0.3">
      <c r="L5928" s="36"/>
      <c r="R5928" s="34"/>
      <c r="AC5928" s="36"/>
    </row>
    <row r="5929" spans="12:29" x14ac:dyDescent="0.3">
      <c r="L5929" s="36"/>
      <c r="R5929" s="34"/>
      <c r="AC5929" s="36"/>
    </row>
    <row r="5930" spans="12:29" x14ac:dyDescent="0.3">
      <c r="L5930" s="36"/>
      <c r="R5930" s="34"/>
      <c r="AC5930" s="36"/>
    </row>
    <row r="5931" spans="12:29" x14ac:dyDescent="0.3">
      <c r="L5931" s="36"/>
      <c r="R5931" s="34"/>
      <c r="AC5931" s="36"/>
    </row>
    <row r="5932" spans="12:29" x14ac:dyDescent="0.3">
      <c r="L5932" s="36"/>
      <c r="R5932" s="34"/>
      <c r="AC5932" s="36"/>
    </row>
    <row r="5933" spans="12:29" x14ac:dyDescent="0.3">
      <c r="L5933" s="36"/>
      <c r="R5933" s="34"/>
      <c r="AC5933" s="36"/>
    </row>
    <row r="5934" spans="12:29" x14ac:dyDescent="0.3">
      <c r="L5934" s="36"/>
      <c r="R5934" s="34"/>
      <c r="AC5934" s="36"/>
    </row>
    <row r="5935" spans="12:29" x14ac:dyDescent="0.3">
      <c r="L5935" s="36"/>
      <c r="R5935" s="34"/>
      <c r="AC5935" s="36"/>
    </row>
    <row r="5936" spans="12:29" x14ac:dyDescent="0.3">
      <c r="L5936" s="36"/>
      <c r="R5936" s="34"/>
      <c r="AC5936" s="36"/>
    </row>
    <row r="5937" spans="12:29" x14ac:dyDescent="0.3">
      <c r="L5937" s="36"/>
      <c r="R5937" s="34"/>
      <c r="AC5937" s="36"/>
    </row>
    <row r="5938" spans="12:29" x14ac:dyDescent="0.3">
      <c r="L5938" s="36"/>
      <c r="R5938" s="34"/>
      <c r="AC5938" s="36"/>
    </row>
    <row r="5939" spans="12:29" x14ac:dyDescent="0.3">
      <c r="L5939" s="36"/>
      <c r="R5939" s="34"/>
      <c r="AC5939" s="36"/>
    </row>
    <row r="5940" spans="12:29" x14ac:dyDescent="0.3">
      <c r="L5940" s="36"/>
      <c r="R5940" s="34"/>
      <c r="AC5940" s="36"/>
    </row>
    <row r="5941" spans="12:29" x14ac:dyDescent="0.3">
      <c r="L5941" s="36"/>
      <c r="R5941" s="34"/>
      <c r="AC5941" s="36"/>
    </row>
    <row r="5942" spans="12:29" x14ac:dyDescent="0.3">
      <c r="L5942" s="36"/>
      <c r="R5942" s="34"/>
      <c r="AC5942" s="36"/>
    </row>
    <row r="5943" spans="12:29" x14ac:dyDescent="0.3">
      <c r="L5943" s="36"/>
      <c r="R5943" s="34"/>
      <c r="AC5943" s="36"/>
    </row>
    <row r="5944" spans="12:29" x14ac:dyDescent="0.3">
      <c r="L5944" s="36"/>
      <c r="R5944" s="34"/>
      <c r="AC5944" s="36"/>
    </row>
    <row r="5945" spans="12:29" x14ac:dyDescent="0.3">
      <c r="L5945" s="36"/>
      <c r="R5945" s="34"/>
      <c r="AC5945" s="36"/>
    </row>
    <row r="5946" spans="12:29" x14ac:dyDescent="0.3">
      <c r="L5946" s="36"/>
      <c r="R5946" s="34"/>
      <c r="AC5946" s="36"/>
    </row>
    <row r="5947" spans="12:29" x14ac:dyDescent="0.3">
      <c r="L5947" s="36"/>
      <c r="R5947" s="34"/>
      <c r="AC5947" s="36"/>
    </row>
    <row r="5948" spans="12:29" x14ac:dyDescent="0.3">
      <c r="L5948" s="36"/>
      <c r="R5948" s="34"/>
      <c r="AC5948" s="36"/>
    </row>
    <row r="5949" spans="12:29" x14ac:dyDescent="0.3">
      <c r="L5949" s="36"/>
      <c r="R5949" s="34"/>
      <c r="AC5949" s="36"/>
    </row>
    <row r="5950" spans="12:29" x14ac:dyDescent="0.3">
      <c r="L5950" s="36"/>
      <c r="R5950" s="34"/>
      <c r="AC5950" s="36"/>
    </row>
    <row r="5951" spans="12:29" x14ac:dyDescent="0.3">
      <c r="L5951" s="36"/>
      <c r="R5951" s="34"/>
      <c r="AC5951" s="36"/>
    </row>
    <row r="5952" spans="12:29" x14ac:dyDescent="0.3">
      <c r="L5952" s="36"/>
      <c r="R5952" s="34"/>
      <c r="AC5952" s="36"/>
    </row>
    <row r="5953" spans="12:29" x14ac:dyDescent="0.3">
      <c r="L5953" s="36"/>
      <c r="R5953" s="34"/>
      <c r="AC5953" s="36"/>
    </row>
    <row r="5954" spans="12:29" x14ac:dyDescent="0.3">
      <c r="L5954" s="36"/>
      <c r="R5954" s="34"/>
      <c r="AC5954" s="36"/>
    </row>
    <row r="5955" spans="12:29" x14ac:dyDescent="0.3">
      <c r="L5955" s="36"/>
      <c r="R5955" s="34"/>
      <c r="AC5955" s="36"/>
    </row>
    <row r="5956" spans="12:29" x14ac:dyDescent="0.3">
      <c r="L5956" s="36"/>
      <c r="R5956" s="34"/>
      <c r="AC5956" s="36"/>
    </row>
    <row r="5957" spans="12:29" x14ac:dyDescent="0.3">
      <c r="L5957" s="36"/>
      <c r="R5957" s="34"/>
      <c r="AC5957" s="36"/>
    </row>
    <row r="5958" spans="12:29" x14ac:dyDescent="0.3">
      <c r="L5958" s="36"/>
      <c r="R5958" s="34"/>
      <c r="AC5958" s="36"/>
    </row>
    <row r="5959" spans="12:29" x14ac:dyDescent="0.3">
      <c r="L5959" s="36"/>
      <c r="R5959" s="34"/>
      <c r="AC5959" s="36"/>
    </row>
    <row r="5960" spans="12:29" x14ac:dyDescent="0.3">
      <c r="L5960" s="36"/>
      <c r="R5960" s="34"/>
      <c r="AC5960" s="36"/>
    </row>
    <row r="5961" spans="12:29" x14ac:dyDescent="0.3">
      <c r="L5961" s="36"/>
      <c r="R5961" s="34"/>
      <c r="AC5961" s="36"/>
    </row>
    <row r="5962" spans="12:29" x14ac:dyDescent="0.3">
      <c r="L5962" s="36"/>
      <c r="R5962" s="34"/>
      <c r="AC5962" s="36"/>
    </row>
    <row r="5963" spans="12:29" x14ac:dyDescent="0.3">
      <c r="L5963" s="36"/>
      <c r="R5963" s="34"/>
      <c r="AC5963" s="36"/>
    </row>
    <row r="5964" spans="12:29" x14ac:dyDescent="0.3">
      <c r="L5964" s="36"/>
      <c r="R5964" s="34"/>
      <c r="AC5964" s="36"/>
    </row>
    <row r="5965" spans="12:29" x14ac:dyDescent="0.3">
      <c r="L5965" s="36"/>
      <c r="R5965" s="34"/>
      <c r="AC5965" s="36"/>
    </row>
    <row r="5966" spans="12:29" x14ac:dyDescent="0.3">
      <c r="L5966" s="36"/>
      <c r="R5966" s="34"/>
      <c r="AC5966" s="36"/>
    </row>
    <row r="5967" spans="12:29" x14ac:dyDescent="0.3">
      <c r="L5967" s="36"/>
      <c r="R5967" s="34"/>
      <c r="AC5967" s="36"/>
    </row>
    <row r="5968" spans="12:29" x14ac:dyDescent="0.3">
      <c r="L5968" s="36"/>
      <c r="R5968" s="34"/>
      <c r="AC5968" s="36"/>
    </row>
    <row r="5969" spans="12:29" x14ac:dyDescent="0.3">
      <c r="L5969" s="36"/>
      <c r="R5969" s="34"/>
      <c r="AC5969" s="36"/>
    </row>
    <row r="5970" spans="12:29" x14ac:dyDescent="0.3">
      <c r="L5970" s="36"/>
      <c r="R5970" s="34"/>
      <c r="AC5970" s="36"/>
    </row>
    <row r="5971" spans="12:29" x14ac:dyDescent="0.3">
      <c r="L5971" s="36"/>
      <c r="R5971" s="34"/>
      <c r="AC5971" s="36"/>
    </row>
    <row r="5972" spans="12:29" x14ac:dyDescent="0.3">
      <c r="L5972" s="36"/>
      <c r="R5972" s="34"/>
      <c r="AC5972" s="36"/>
    </row>
    <row r="5973" spans="12:29" x14ac:dyDescent="0.3">
      <c r="L5973" s="36"/>
      <c r="R5973" s="34"/>
      <c r="AC5973" s="36"/>
    </row>
    <row r="5974" spans="12:29" x14ac:dyDescent="0.3">
      <c r="L5974" s="36"/>
      <c r="R5974" s="34"/>
      <c r="AC5974" s="36"/>
    </row>
    <row r="5975" spans="12:29" x14ac:dyDescent="0.3">
      <c r="L5975" s="36"/>
      <c r="R5975" s="34"/>
      <c r="AC5975" s="36"/>
    </row>
    <row r="5976" spans="12:29" x14ac:dyDescent="0.3">
      <c r="L5976" s="36"/>
      <c r="R5976" s="34"/>
      <c r="AC5976" s="36"/>
    </row>
    <row r="5977" spans="12:29" x14ac:dyDescent="0.3">
      <c r="L5977" s="36"/>
      <c r="R5977" s="34"/>
      <c r="AC5977" s="36"/>
    </row>
    <row r="5978" spans="12:29" x14ac:dyDescent="0.3">
      <c r="L5978" s="36"/>
      <c r="R5978" s="34"/>
      <c r="AC5978" s="36"/>
    </row>
    <row r="5979" spans="12:29" x14ac:dyDescent="0.3">
      <c r="L5979" s="36"/>
      <c r="R5979" s="34"/>
      <c r="AC5979" s="36"/>
    </row>
    <row r="5980" spans="12:29" x14ac:dyDescent="0.3">
      <c r="L5980" s="36"/>
      <c r="R5980" s="34"/>
      <c r="AC5980" s="36"/>
    </row>
    <row r="5981" spans="12:29" x14ac:dyDescent="0.3">
      <c r="L5981" s="36"/>
      <c r="R5981" s="34"/>
      <c r="AC5981" s="36"/>
    </row>
    <row r="5982" spans="12:29" x14ac:dyDescent="0.3">
      <c r="L5982" s="36"/>
      <c r="R5982" s="34"/>
      <c r="AC5982" s="36"/>
    </row>
    <row r="5983" spans="12:29" x14ac:dyDescent="0.3">
      <c r="L5983" s="36"/>
      <c r="R5983" s="34"/>
      <c r="AC5983" s="36"/>
    </row>
    <row r="5984" spans="12:29" x14ac:dyDescent="0.3">
      <c r="L5984" s="36"/>
      <c r="R5984" s="34"/>
      <c r="AC5984" s="36"/>
    </row>
    <row r="5985" spans="12:29" x14ac:dyDescent="0.3">
      <c r="L5985" s="36"/>
      <c r="R5985" s="34"/>
      <c r="AC5985" s="36"/>
    </row>
    <row r="5986" spans="12:29" x14ac:dyDescent="0.3">
      <c r="L5986" s="36"/>
      <c r="R5986" s="34"/>
      <c r="AC5986" s="36"/>
    </row>
    <row r="5987" spans="12:29" x14ac:dyDescent="0.3">
      <c r="L5987" s="36"/>
      <c r="R5987" s="34"/>
      <c r="AC5987" s="36"/>
    </row>
    <row r="5988" spans="12:29" x14ac:dyDescent="0.3">
      <c r="L5988" s="36"/>
      <c r="R5988" s="34"/>
      <c r="AC5988" s="36"/>
    </row>
    <row r="5989" spans="12:29" x14ac:dyDescent="0.3">
      <c r="L5989" s="36"/>
      <c r="R5989" s="34"/>
      <c r="AC5989" s="36"/>
    </row>
    <row r="5990" spans="12:29" x14ac:dyDescent="0.3">
      <c r="L5990" s="36"/>
      <c r="R5990" s="34"/>
      <c r="AC5990" s="36"/>
    </row>
    <row r="5991" spans="12:29" x14ac:dyDescent="0.3">
      <c r="L5991" s="36"/>
      <c r="R5991" s="34"/>
      <c r="AC5991" s="36"/>
    </row>
    <row r="5992" spans="12:29" x14ac:dyDescent="0.3">
      <c r="L5992" s="36"/>
      <c r="R5992" s="34"/>
      <c r="AC5992" s="36"/>
    </row>
    <row r="5993" spans="12:29" x14ac:dyDescent="0.3">
      <c r="L5993" s="36"/>
      <c r="R5993" s="34"/>
      <c r="AC5993" s="36"/>
    </row>
    <row r="5994" spans="12:29" x14ac:dyDescent="0.3">
      <c r="L5994" s="36"/>
      <c r="R5994" s="34"/>
      <c r="AC5994" s="36"/>
    </row>
    <row r="5995" spans="12:29" x14ac:dyDescent="0.3">
      <c r="L5995" s="36"/>
      <c r="R5995" s="34"/>
      <c r="AC5995" s="36"/>
    </row>
    <row r="5996" spans="12:29" x14ac:dyDescent="0.3">
      <c r="L5996" s="36"/>
      <c r="R5996" s="34"/>
      <c r="AC5996" s="36"/>
    </row>
    <row r="5997" spans="12:29" x14ac:dyDescent="0.3">
      <c r="L5997" s="36"/>
      <c r="R5997" s="34"/>
      <c r="AC5997" s="36"/>
    </row>
    <row r="5998" spans="12:29" x14ac:dyDescent="0.3">
      <c r="L5998" s="36"/>
      <c r="R5998" s="34"/>
      <c r="AC5998" s="36"/>
    </row>
    <row r="5999" spans="12:29" x14ac:dyDescent="0.3">
      <c r="L5999" s="36"/>
      <c r="R5999" s="34"/>
      <c r="AC5999" s="36"/>
    </row>
    <row r="6000" spans="12:29" x14ac:dyDescent="0.3">
      <c r="L6000" s="36"/>
      <c r="R6000" s="34"/>
      <c r="AC6000" s="36"/>
    </row>
    <row r="6001" spans="12:29" x14ac:dyDescent="0.3">
      <c r="L6001" s="36"/>
      <c r="R6001" s="34"/>
      <c r="AC6001" s="36"/>
    </row>
    <row r="6002" spans="12:29" x14ac:dyDescent="0.3">
      <c r="L6002" s="36"/>
      <c r="R6002" s="34"/>
      <c r="AC6002" s="36"/>
    </row>
    <row r="6003" spans="12:29" x14ac:dyDescent="0.3">
      <c r="L6003" s="36"/>
      <c r="R6003" s="34"/>
      <c r="AC6003" s="36"/>
    </row>
    <row r="6004" spans="12:29" x14ac:dyDescent="0.3">
      <c r="L6004" s="36"/>
      <c r="R6004" s="34"/>
      <c r="AC6004" s="36"/>
    </row>
    <row r="6005" spans="12:29" x14ac:dyDescent="0.3">
      <c r="L6005" s="36"/>
      <c r="R6005" s="34"/>
      <c r="AC6005" s="36"/>
    </row>
    <row r="6006" spans="12:29" x14ac:dyDescent="0.3">
      <c r="L6006" s="36"/>
      <c r="R6006" s="34"/>
      <c r="AC6006" s="36"/>
    </row>
    <row r="6007" spans="12:29" x14ac:dyDescent="0.3">
      <c r="L6007" s="36"/>
      <c r="R6007" s="34"/>
      <c r="AC6007" s="36"/>
    </row>
    <row r="6008" spans="12:29" x14ac:dyDescent="0.3">
      <c r="L6008" s="36"/>
      <c r="R6008" s="34"/>
      <c r="AC6008" s="36"/>
    </row>
    <row r="6009" spans="12:29" x14ac:dyDescent="0.3">
      <c r="L6009" s="36"/>
      <c r="R6009" s="34"/>
      <c r="AC6009" s="36"/>
    </row>
    <row r="6010" spans="12:29" x14ac:dyDescent="0.3">
      <c r="L6010" s="36"/>
      <c r="R6010" s="34"/>
      <c r="AC6010" s="36"/>
    </row>
    <row r="6011" spans="12:29" x14ac:dyDescent="0.3">
      <c r="L6011" s="36"/>
      <c r="R6011" s="34"/>
      <c r="AC6011" s="36"/>
    </row>
    <row r="6012" spans="12:29" x14ac:dyDescent="0.3">
      <c r="L6012" s="36"/>
      <c r="R6012" s="34"/>
      <c r="AC6012" s="36"/>
    </row>
    <row r="6013" spans="12:29" x14ac:dyDescent="0.3">
      <c r="L6013" s="36"/>
      <c r="R6013" s="34"/>
      <c r="AC6013" s="36"/>
    </row>
    <row r="6014" spans="12:29" x14ac:dyDescent="0.3">
      <c r="L6014" s="36"/>
      <c r="R6014" s="34"/>
      <c r="AC6014" s="36"/>
    </row>
    <row r="6015" spans="12:29" x14ac:dyDescent="0.3">
      <c r="L6015" s="36"/>
      <c r="R6015" s="34"/>
      <c r="AC6015" s="36"/>
    </row>
    <row r="6016" spans="12:29" x14ac:dyDescent="0.3">
      <c r="L6016" s="36"/>
      <c r="R6016" s="34"/>
      <c r="AC6016" s="36"/>
    </row>
    <row r="6017" spans="12:29" x14ac:dyDescent="0.3">
      <c r="L6017" s="36"/>
      <c r="R6017" s="34"/>
      <c r="AC6017" s="36"/>
    </row>
    <row r="6018" spans="12:29" x14ac:dyDescent="0.3">
      <c r="L6018" s="36"/>
      <c r="R6018" s="34"/>
      <c r="AC6018" s="36"/>
    </row>
    <row r="6019" spans="12:29" x14ac:dyDescent="0.3">
      <c r="L6019" s="36"/>
      <c r="R6019" s="34"/>
      <c r="AC6019" s="36"/>
    </row>
    <row r="6020" spans="12:29" x14ac:dyDescent="0.3">
      <c r="L6020" s="36"/>
      <c r="R6020" s="34"/>
      <c r="AC6020" s="36"/>
    </row>
    <row r="6021" spans="12:29" x14ac:dyDescent="0.3">
      <c r="L6021" s="36"/>
      <c r="R6021" s="34"/>
      <c r="AC6021" s="36"/>
    </row>
    <row r="6022" spans="12:29" x14ac:dyDescent="0.3">
      <c r="L6022" s="36"/>
      <c r="R6022" s="34"/>
      <c r="AC6022" s="36"/>
    </row>
    <row r="6023" spans="12:29" x14ac:dyDescent="0.3">
      <c r="L6023" s="36"/>
      <c r="R6023" s="34"/>
      <c r="AC6023" s="36"/>
    </row>
    <row r="6024" spans="12:29" x14ac:dyDescent="0.3">
      <c r="L6024" s="36"/>
      <c r="R6024" s="34"/>
      <c r="AC6024" s="36"/>
    </row>
    <row r="6025" spans="12:29" x14ac:dyDescent="0.3">
      <c r="L6025" s="36"/>
      <c r="R6025" s="34"/>
      <c r="AC6025" s="36"/>
    </row>
    <row r="6026" spans="12:29" x14ac:dyDescent="0.3">
      <c r="L6026" s="36"/>
      <c r="R6026" s="34"/>
      <c r="AC6026" s="36"/>
    </row>
    <row r="6027" spans="12:29" x14ac:dyDescent="0.3">
      <c r="L6027" s="36"/>
      <c r="R6027" s="34"/>
      <c r="AC6027" s="36"/>
    </row>
    <row r="6028" spans="12:29" x14ac:dyDescent="0.3">
      <c r="L6028" s="36"/>
      <c r="R6028" s="34"/>
      <c r="AC6028" s="36"/>
    </row>
    <row r="6029" spans="12:29" x14ac:dyDescent="0.3">
      <c r="L6029" s="36"/>
      <c r="R6029" s="34"/>
      <c r="AC6029" s="36"/>
    </row>
    <row r="6030" spans="12:29" x14ac:dyDescent="0.3">
      <c r="L6030" s="36"/>
      <c r="R6030" s="34"/>
      <c r="AC6030" s="36"/>
    </row>
    <row r="6031" spans="12:29" x14ac:dyDescent="0.3">
      <c r="L6031" s="36"/>
      <c r="R6031" s="34"/>
      <c r="AC6031" s="36"/>
    </row>
    <row r="6032" spans="12:29" x14ac:dyDescent="0.3">
      <c r="L6032" s="36"/>
      <c r="R6032" s="34"/>
      <c r="AC6032" s="36"/>
    </row>
    <row r="6033" spans="12:29" x14ac:dyDescent="0.3">
      <c r="L6033" s="36"/>
      <c r="R6033" s="34"/>
      <c r="AC6033" s="36"/>
    </row>
    <row r="6034" spans="12:29" x14ac:dyDescent="0.3">
      <c r="L6034" s="36"/>
      <c r="R6034" s="34"/>
      <c r="AC6034" s="36"/>
    </row>
    <row r="6035" spans="12:29" x14ac:dyDescent="0.3">
      <c r="L6035" s="36"/>
      <c r="R6035" s="34"/>
      <c r="AC6035" s="36"/>
    </row>
    <row r="6036" spans="12:29" x14ac:dyDescent="0.3">
      <c r="L6036" s="36"/>
      <c r="R6036" s="34"/>
      <c r="AC6036" s="36"/>
    </row>
    <row r="6037" spans="12:29" x14ac:dyDescent="0.3">
      <c r="L6037" s="36"/>
      <c r="R6037" s="34"/>
      <c r="AC6037" s="36"/>
    </row>
    <row r="6038" spans="12:29" x14ac:dyDescent="0.3">
      <c r="L6038" s="36"/>
      <c r="R6038" s="34"/>
      <c r="AC6038" s="36"/>
    </row>
    <row r="6039" spans="12:29" x14ac:dyDescent="0.3">
      <c r="L6039" s="36"/>
      <c r="R6039" s="34"/>
      <c r="AC6039" s="36"/>
    </row>
    <row r="6040" spans="12:29" x14ac:dyDescent="0.3">
      <c r="L6040" s="36"/>
      <c r="R6040" s="34"/>
      <c r="AC6040" s="36"/>
    </row>
    <row r="6041" spans="12:29" x14ac:dyDescent="0.3">
      <c r="L6041" s="36"/>
      <c r="R6041" s="34"/>
      <c r="AC6041" s="36"/>
    </row>
    <row r="6042" spans="12:29" x14ac:dyDescent="0.3">
      <c r="L6042" s="36"/>
      <c r="R6042" s="34"/>
      <c r="AC6042" s="36"/>
    </row>
    <row r="6043" spans="12:29" x14ac:dyDescent="0.3">
      <c r="L6043" s="36"/>
      <c r="R6043" s="34"/>
      <c r="AC6043" s="36"/>
    </row>
    <row r="6044" spans="12:29" x14ac:dyDescent="0.3">
      <c r="L6044" s="36"/>
      <c r="R6044" s="34"/>
      <c r="AC6044" s="36"/>
    </row>
    <row r="6045" spans="12:29" x14ac:dyDescent="0.3">
      <c r="L6045" s="36"/>
      <c r="R6045" s="34"/>
      <c r="AC6045" s="36"/>
    </row>
    <row r="6046" spans="12:29" x14ac:dyDescent="0.3">
      <c r="L6046" s="36"/>
      <c r="R6046" s="34"/>
      <c r="AC6046" s="36"/>
    </row>
    <row r="6047" spans="12:29" x14ac:dyDescent="0.3">
      <c r="L6047" s="36"/>
      <c r="R6047" s="34"/>
      <c r="AC6047" s="36"/>
    </row>
    <row r="6048" spans="12:29" x14ac:dyDescent="0.3">
      <c r="L6048" s="36"/>
      <c r="R6048" s="34"/>
      <c r="AC6048" s="36"/>
    </row>
    <row r="6049" spans="12:29" x14ac:dyDescent="0.3">
      <c r="L6049" s="36"/>
      <c r="R6049" s="34"/>
      <c r="AC6049" s="36"/>
    </row>
    <row r="6050" spans="12:29" x14ac:dyDescent="0.3">
      <c r="L6050" s="36"/>
      <c r="R6050" s="34"/>
      <c r="AC6050" s="36"/>
    </row>
    <row r="6051" spans="12:29" x14ac:dyDescent="0.3">
      <c r="L6051" s="36"/>
      <c r="R6051" s="34"/>
      <c r="AC6051" s="36"/>
    </row>
    <row r="6052" spans="12:29" x14ac:dyDescent="0.3">
      <c r="L6052" s="36"/>
      <c r="R6052" s="34"/>
      <c r="AC6052" s="36"/>
    </row>
    <row r="6053" spans="12:29" x14ac:dyDescent="0.3">
      <c r="L6053" s="36"/>
      <c r="R6053" s="34"/>
      <c r="AC6053" s="36"/>
    </row>
    <row r="6054" spans="12:29" x14ac:dyDescent="0.3">
      <c r="L6054" s="36"/>
      <c r="R6054" s="34"/>
      <c r="AC6054" s="36"/>
    </row>
    <row r="6055" spans="12:29" x14ac:dyDescent="0.3">
      <c r="L6055" s="36"/>
      <c r="R6055" s="34"/>
      <c r="AC6055" s="36"/>
    </row>
    <row r="6056" spans="12:29" x14ac:dyDescent="0.3">
      <c r="L6056" s="36"/>
      <c r="R6056" s="34"/>
      <c r="AC6056" s="36"/>
    </row>
    <row r="6057" spans="12:29" x14ac:dyDescent="0.3">
      <c r="L6057" s="36"/>
      <c r="R6057" s="34"/>
      <c r="AC6057" s="36"/>
    </row>
    <row r="6058" spans="12:29" x14ac:dyDescent="0.3">
      <c r="L6058" s="36"/>
      <c r="R6058" s="34"/>
      <c r="AC6058" s="36"/>
    </row>
    <row r="6059" spans="12:29" x14ac:dyDescent="0.3">
      <c r="L6059" s="36"/>
      <c r="R6059" s="34"/>
      <c r="AC6059" s="36"/>
    </row>
    <row r="6060" spans="12:29" x14ac:dyDescent="0.3">
      <c r="L6060" s="36"/>
      <c r="R6060" s="34"/>
      <c r="AC6060" s="36"/>
    </row>
    <row r="6061" spans="12:29" x14ac:dyDescent="0.3">
      <c r="L6061" s="36"/>
      <c r="R6061" s="34"/>
      <c r="AC6061" s="36"/>
    </row>
    <row r="6062" spans="12:29" x14ac:dyDescent="0.3">
      <c r="L6062" s="36"/>
      <c r="R6062" s="34"/>
      <c r="AC6062" s="36"/>
    </row>
    <row r="6063" spans="12:29" x14ac:dyDescent="0.3">
      <c r="L6063" s="36"/>
      <c r="R6063" s="34"/>
      <c r="AC6063" s="36"/>
    </row>
    <row r="6064" spans="12:29" x14ac:dyDescent="0.3">
      <c r="L6064" s="36"/>
      <c r="R6064" s="34"/>
      <c r="AC6064" s="36"/>
    </row>
    <row r="6065" spans="12:29" x14ac:dyDescent="0.3">
      <c r="L6065" s="36"/>
      <c r="R6065" s="34"/>
      <c r="AC6065" s="36"/>
    </row>
    <row r="6066" spans="12:29" x14ac:dyDescent="0.3">
      <c r="L6066" s="36"/>
      <c r="R6066" s="34"/>
      <c r="AC6066" s="36"/>
    </row>
    <row r="6067" spans="12:29" x14ac:dyDescent="0.3">
      <c r="L6067" s="36"/>
      <c r="R6067" s="34"/>
      <c r="AC6067" s="36"/>
    </row>
    <row r="6068" spans="12:29" x14ac:dyDescent="0.3">
      <c r="L6068" s="36"/>
      <c r="R6068" s="34"/>
      <c r="AC6068" s="36"/>
    </row>
    <row r="6069" spans="12:29" x14ac:dyDescent="0.3">
      <c r="L6069" s="36"/>
      <c r="R6069" s="34"/>
      <c r="AC6069" s="36"/>
    </row>
    <row r="6070" spans="12:29" x14ac:dyDescent="0.3">
      <c r="L6070" s="36"/>
      <c r="R6070" s="34"/>
      <c r="AC6070" s="36"/>
    </row>
    <row r="6071" spans="12:29" x14ac:dyDescent="0.3">
      <c r="L6071" s="36"/>
      <c r="R6071" s="34"/>
      <c r="AC6071" s="36"/>
    </row>
    <row r="6072" spans="12:29" x14ac:dyDescent="0.3">
      <c r="L6072" s="36"/>
      <c r="R6072" s="34"/>
      <c r="AC6072" s="36"/>
    </row>
    <row r="6073" spans="12:29" x14ac:dyDescent="0.3">
      <c r="L6073" s="36"/>
      <c r="R6073" s="34"/>
      <c r="AC6073" s="36"/>
    </row>
    <row r="6074" spans="12:29" x14ac:dyDescent="0.3">
      <c r="L6074" s="36"/>
      <c r="R6074" s="34"/>
      <c r="AC6074" s="36"/>
    </row>
    <row r="6075" spans="12:29" x14ac:dyDescent="0.3">
      <c r="L6075" s="36"/>
      <c r="R6075" s="34"/>
      <c r="AC6075" s="36"/>
    </row>
    <row r="6076" spans="12:29" x14ac:dyDescent="0.3">
      <c r="L6076" s="36"/>
      <c r="R6076" s="34"/>
      <c r="AC6076" s="36"/>
    </row>
    <row r="6077" spans="12:29" x14ac:dyDescent="0.3">
      <c r="L6077" s="36"/>
      <c r="R6077" s="34"/>
      <c r="AC6077" s="36"/>
    </row>
    <row r="6078" spans="12:29" x14ac:dyDescent="0.3">
      <c r="L6078" s="36"/>
      <c r="R6078" s="34"/>
      <c r="AC6078" s="36"/>
    </row>
    <row r="6079" spans="12:29" x14ac:dyDescent="0.3">
      <c r="L6079" s="36"/>
      <c r="R6079" s="34"/>
      <c r="AC6079" s="36"/>
    </row>
    <row r="6080" spans="12:29" x14ac:dyDescent="0.3">
      <c r="L6080" s="36"/>
      <c r="R6080" s="34"/>
      <c r="AC6080" s="36"/>
    </row>
    <row r="6081" spans="12:29" x14ac:dyDescent="0.3">
      <c r="L6081" s="36"/>
      <c r="R6081" s="34"/>
      <c r="AC6081" s="36"/>
    </row>
    <row r="6082" spans="12:29" x14ac:dyDescent="0.3">
      <c r="L6082" s="36"/>
      <c r="R6082" s="34"/>
      <c r="AC6082" s="36"/>
    </row>
    <row r="6083" spans="12:29" x14ac:dyDescent="0.3">
      <c r="L6083" s="36"/>
      <c r="R6083" s="34"/>
      <c r="AC6083" s="36"/>
    </row>
    <row r="6084" spans="12:29" x14ac:dyDescent="0.3">
      <c r="L6084" s="36"/>
      <c r="R6084" s="34"/>
      <c r="AC6084" s="36"/>
    </row>
    <row r="6085" spans="12:29" x14ac:dyDescent="0.3">
      <c r="L6085" s="36"/>
      <c r="R6085" s="34"/>
      <c r="AC6085" s="36"/>
    </row>
    <row r="6086" spans="12:29" x14ac:dyDescent="0.3">
      <c r="L6086" s="36"/>
      <c r="R6086" s="34"/>
      <c r="AC6086" s="36"/>
    </row>
    <row r="6087" spans="12:29" x14ac:dyDescent="0.3">
      <c r="L6087" s="36"/>
      <c r="R6087" s="34"/>
      <c r="AC6087" s="36"/>
    </row>
    <row r="6088" spans="12:29" x14ac:dyDescent="0.3">
      <c r="L6088" s="36"/>
      <c r="R6088" s="34"/>
      <c r="AC6088" s="36"/>
    </row>
    <row r="6089" spans="12:29" x14ac:dyDescent="0.3">
      <c r="L6089" s="36"/>
      <c r="R6089" s="34"/>
      <c r="AC6089" s="36"/>
    </row>
    <row r="6090" spans="12:29" x14ac:dyDescent="0.3">
      <c r="L6090" s="36"/>
      <c r="R6090" s="34"/>
      <c r="AC6090" s="36"/>
    </row>
    <row r="6091" spans="12:29" x14ac:dyDescent="0.3">
      <c r="L6091" s="36"/>
      <c r="R6091" s="34"/>
      <c r="AC6091" s="36"/>
    </row>
    <row r="6092" spans="12:29" x14ac:dyDescent="0.3">
      <c r="L6092" s="36"/>
      <c r="R6092" s="34"/>
      <c r="AC6092" s="36"/>
    </row>
    <row r="6093" spans="12:29" x14ac:dyDescent="0.3">
      <c r="L6093" s="36"/>
      <c r="R6093" s="34"/>
      <c r="AC6093" s="36"/>
    </row>
    <row r="6094" spans="12:29" x14ac:dyDescent="0.3">
      <c r="L6094" s="36"/>
      <c r="R6094" s="34"/>
      <c r="AC6094" s="36"/>
    </row>
    <row r="6095" spans="12:29" x14ac:dyDescent="0.3">
      <c r="L6095" s="36"/>
      <c r="R6095" s="34"/>
      <c r="AC6095" s="36"/>
    </row>
    <row r="6096" spans="12:29" x14ac:dyDescent="0.3">
      <c r="L6096" s="36"/>
      <c r="R6096" s="34"/>
      <c r="AC6096" s="36"/>
    </row>
    <row r="6097" spans="12:29" x14ac:dyDescent="0.3">
      <c r="L6097" s="36"/>
      <c r="R6097" s="34"/>
      <c r="AC6097" s="36"/>
    </row>
    <row r="6098" spans="12:29" x14ac:dyDescent="0.3">
      <c r="L6098" s="36"/>
      <c r="R6098" s="34"/>
      <c r="AC6098" s="36"/>
    </row>
    <row r="6099" spans="12:29" x14ac:dyDescent="0.3">
      <c r="L6099" s="36"/>
      <c r="R6099" s="34"/>
      <c r="AC6099" s="36"/>
    </row>
    <row r="6100" spans="12:29" x14ac:dyDescent="0.3">
      <c r="L6100" s="36"/>
      <c r="R6100" s="34"/>
      <c r="AC6100" s="36"/>
    </row>
    <row r="6101" spans="12:29" x14ac:dyDescent="0.3">
      <c r="L6101" s="36"/>
      <c r="R6101" s="34"/>
      <c r="AC6101" s="36"/>
    </row>
    <row r="6102" spans="12:29" x14ac:dyDescent="0.3">
      <c r="L6102" s="36"/>
      <c r="R6102" s="34"/>
      <c r="AC6102" s="36"/>
    </row>
    <row r="6103" spans="12:29" x14ac:dyDescent="0.3">
      <c r="L6103" s="36"/>
      <c r="R6103" s="34"/>
      <c r="AC6103" s="36"/>
    </row>
    <row r="6104" spans="12:29" x14ac:dyDescent="0.3">
      <c r="L6104" s="36"/>
      <c r="R6104" s="34"/>
      <c r="AC6104" s="36"/>
    </row>
    <row r="6105" spans="12:29" x14ac:dyDescent="0.3">
      <c r="L6105" s="36"/>
      <c r="R6105" s="34"/>
      <c r="AC6105" s="36"/>
    </row>
    <row r="6106" spans="12:29" x14ac:dyDescent="0.3">
      <c r="L6106" s="36"/>
      <c r="R6106" s="34"/>
      <c r="AC6106" s="36"/>
    </row>
    <row r="6107" spans="12:29" x14ac:dyDescent="0.3">
      <c r="L6107" s="36"/>
      <c r="R6107" s="34"/>
      <c r="AC6107" s="36"/>
    </row>
    <row r="6108" spans="12:29" x14ac:dyDescent="0.3">
      <c r="L6108" s="36"/>
      <c r="R6108" s="34"/>
      <c r="AC6108" s="36"/>
    </row>
    <row r="6109" spans="12:29" x14ac:dyDescent="0.3">
      <c r="L6109" s="36"/>
      <c r="R6109" s="34"/>
      <c r="AC6109" s="36"/>
    </row>
    <row r="6110" spans="12:29" x14ac:dyDescent="0.3">
      <c r="L6110" s="36"/>
      <c r="R6110" s="34"/>
      <c r="AC6110" s="36"/>
    </row>
    <row r="6111" spans="12:29" x14ac:dyDescent="0.3">
      <c r="L6111" s="36"/>
      <c r="R6111" s="34"/>
      <c r="AC6111" s="36"/>
    </row>
    <row r="6112" spans="12:29" x14ac:dyDescent="0.3">
      <c r="L6112" s="36"/>
      <c r="R6112" s="34"/>
      <c r="AC6112" s="36"/>
    </row>
    <row r="6113" spans="12:29" x14ac:dyDescent="0.3">
      <c r="L6113" s="36"/>
      <c r="R6113" s="34"/>
      <c r="AC6113" s="36"/>
    </row>
    <row r="6114" spans="12:29" x14ac:dyDescent="0.3">
      <c r="L6114" s="36"/>
      <c r="R6114" s="34"/>
      <c r="AC6114" s="36"/>
    </row>
    <row r="6115" spans="12:29" x14ac:dyDescent="0.3">
      <c r="L6115" s="36"/>
      <c r="R6115" s="34"/>
      <c r="AC6115" s="36"/>
    </row>
    <row r="6116" spans="12:29" x14ac:dyDescent="0.3">
      <c r="L6116" s="36"/>
      <c r="R6116" s="34"/>
      <c r="AC6116" s="36"/>
    </row>
    <row r="6117" spans="12:29" x14ac:dyDescent="0.3">
      <c r="L6117" s="36"/>
      <c r="R6117" s="34"/>
      <c r="AC6117" s="36"/>
    </row>
    <row r="6118" spans="12:29" x14ac:dyDescent="0.3">
      <c r="L6118" s="36"/>
      <c r="R6118" s="34"/>
      <c r="AC6118" s="36"/>
    </row>
    <row r="6119" spans="12:29" x14ac:dyDescent="0.3">
      <c r="L6119" s="36"/>
      <c r="R6119" s="34"/>
      <c r="AC6119" s="36"/>
    </row>
    <row r="6120" spans="12:29" x14ac:dyDescent="0.3">
      <c r="L6120" s="36"/>
      <c r="R6120" s="34"/>
      <c r="AC6120" s="36"/>
    </row>
    <row r="6121" spans="12:29" x14ac:dyDescent="0.3">
      <c r="L6121" s="36"/>
      <c r="R6121" s="34"/>
      <c r="AC6121" s="36"/>
    </row>
    <row r="6122" spans="12:29" x14ac:dyDescent="0.3">
      <c r="L6122" s="36"/>
      <c r="R6122" s="34"/>
      <c r="AC6122" s="36"/>
    </row>
    <row r="6123" spans="12:29" x14ac:dyDescent="0.3">
      <c r="L6123" s="36"/>
      <c r="R6123" s="34"/>
      <c r="AC6123" s="36"/>
    </row>
    <row r="6124" spans="12:29" x14ac:dyDescent="0.3">
      <c r="L6124" s="36"/>
      <c r="R6124" s="34"/>
      <c r="AC6124" s="36"/>
    </row>
    <row r="6125" spans="12:29" x14ac:dyDescent="0.3">
      <c r="L6125" s="36"/>
      <c r="R6125" s="34"/>
      <c r="AC6125" s="36"/>
    </row>
    <row r="6126" spans="12:29" x14ac:dyDescent="0.3">
      <c r="L6126" s="36"/>
      <c r="R6126" s="34"/>
      <c r="AC6126" s="36"/>
    </row>
    <row r="6127" spans="12:29" x14ac:dyDescent="0.3">
      <c r="L6127" s="36"/>
      <c r="R6127" s="34"/>
      <c r="AC6127" s="36"/>
    </row>
    <row r="6128" spans="12:29" x14ac:dyDescent="0.3">
      <c r="L6128" s="36"/>
      <c r="R6128" s="34"/>
      <c r="AC6128" s="36"/>
    </row>
    <row r="6129" spans="12:29" x14ac:dyDescent="0.3">
      <c r="L6129" s="36"/>
      <c r="R6129" s="34"/>
      <c r="AC6129" s="36"/>
    </row>
    <row r="6130" spans="12:29" x14ac:dyDescent="0.3">
      <c r="L6130" s="36"/>
      <c r="R6130" s="34"/>
      <c r="AC6130" s="36"/>
    </row>
    <row r="6131" spans="12:29" x14ac:dyDescent="0.3">
      <c r="L6131" s="36"/>
      <c r="R6131" s="34"/>
      <c r="AC6131" s="36"/>
    </row>
    <row r="6132" spans="12:29" x14ac:dyDescent="0.3">
      <c r="L6132" s="36"/>
      <c r="R6132" s="34"/>
      <c r="AC6132" s="36"/>
    </row>
    <row r="6133" spans="12:29" x14ac:dyDescent="0.3">
      <c r="L6133" s="36"/>
      <c r="R6133" s="34"/>
      <c r="AC6133" s="36"/>
    </row>
    <row r="6134" spans="12:29" x14ac:dyDescent="0.3">
      <c r="L6134" s="36"/>
      <c r="R6134" s="34"/>
      <c r="AC6134" s="36"/>
    </row>
    <row r="6135" spans="12:29" x14ac:dyDescent="0.3">
      <c r="L6135" s="36"/>
      <c r="R6135" s="34"/>
      <c r="AC6135" s="36"/>
    </row>
    <row r="6136" spans="12:29" x14ac:dyDescent="0.3">
      <c r="L6136" s="36"/>
      <c r="R6136" s="34"/>
      <c r="AC6136" s="36"/>
    </row>
    <row r="6137" spans="12:29" x14ac:dyDescent="0.3">
      <c r="L6137" s="36"/>
      <c r="R6137" s="34"/>
      <c r="AC6137" s="36"/>
    </row>
    <row r="6138" spans="12:29" x14ac:dyDescent="0.3">
      <c r="L6138" s="36"/>
      <c r="R6138" s="34"/>
      <c r="AC6138" s="36"/>
    </row>
    <row r="6139" spans="12:29" x14ac:dyDescent="0.3">
      <c r="L6139" s="36"/>
      <c r="R6139" s="34"/>
      <c r="AC6139" s="36"/>
    </row>
    <row r="6140" spans="12:29" x14ac:dyDescent="0.3">
      <c r="L6140" s="36"/>
      <c r="R6140" s="34"/>
      <c r="AC6140" s="36"/>
    </row>
    <row r="6141" spans="12:29" x14ac:dyDescent="0.3">
      <c r="L6141" s="36"/>
      <c r="R6141" s="34"/>
      <c r="AC6141" s="36"/>
    </row>
    <row r="6142" spans="12:29" x14ac:dyDescent="0.3">
      <c r="L6142" s="36"/>
      <c r="R6142" s="34"/>
      <c r="AC6142" s="36"/>
    </row>
    <row r="6143" spans="12:29" x14ac:dyDescent="0.3">
      <c r="L6143" s="36"/>
      <c r="R6143" s="34"/>
      <c r="AC6143" s="36"/>
    </row>
    <row r="6144" spans="12:29" x14ac:dyDescent="0.3">
      <c r="L6144" s="36"/>
      <c r="R6144" s="34"/>
      <c r="AC6144" s="36"/>
    </row>
    <row r="6145" spans="12:29" x14ac:dyDescent="0.3">
      <c r="L6145" s="36"/>
      <c r="R6145" s="34"/>
      <c r="AC6145" s="36"/>
    </row>
    <row r="6146" spans="12:29" x14ac:dyDescent="0.3">
      <c r="L6146" s="36"/>
      <c r="R6146" s="34"/>
      <c r="AC6146" s="36"/>
    </row>
    <row r="6147" spans="12:29" x14ac:dyDescent="0.3">
      <c r="L6147" s="36"/>
      <c r="R6147" s="34"/>
      <c r="AC6147" s="36"/>
    </row>
    <row r="6148" spans="12:29" x14ac:dyDescent="0.3">
      <c r="L6148" s="36"/>
      <c r="R6148" s="34"/>
      <c r="AC6148" s="36"/>
    </row>
    <row r="6149" spans="12:29" x14ac:dyDescent="0.3">
      <c r="L6149" s="36"/>
      <c r="R6149" s="34"/>
      <c r="AC6149" s="36"/>
    </row>
    <row r="6150" spans="12:29" x14ac:dyDescent="0.3">
      <c r="L6150" s="36"/>
      <c r="R6150" s="34"/>
      <c r="AC6150" s="36"/>
    </row>
    <row r="6151" spans="12:29" x14ac:dyDescent="0.3">
      <c r="L6151" s="36"/>
      <c r="R6151" s="34"/>
      <c r="AC6151" s="36"/>
    </row>
    <row r="6152" spans="12:29" x14ac:dyDescent="0.3">
      <c r="L6152" s="36"/>
      <c r="R6152" s="34"/>
      <c r="AC6152" s="36"/>
    </row>
    <row r="6153" spans="12:29" x14ac:dyDescent="0.3">
      <c r="L6153" s="36"/>
      <c r="R6153" s="34"/>
      <c r="AC6153" s="36"/>
    </row>
    <row r="6154" spans="12:29" x14ac:dyDescent="0.3">
      <c r="L6154" s="36"/>
      <c r="R6154" s="34"/>
      <c r="AC6154" s="36"/>
    </row>
    <row r="6155" spans="12:29" x14ac:dyDescent="0.3">
      <c r="L6155" s="36"/>
      <c r="R6155" s="34"/>
      <c r="AC6155" s="36"/>
    </row>
    <row r="6156" spans="12:29" x14ac:dyDescent="0.3">
      <c r="L6156" s="36"/>
      <c r="R6156" s="34"/>
      <c r="AC6156" s="36"/>
    </row>
    <row r="6157" spans="12:29" x14ac:dyDescent="0.3">
      <c r="L6157" s="36"/>
      <c r="R6157" s="34"/>
      <c r="AC6157" s="36"/>
    </row>
    <row r="6158" spans="12:29" x14ac:dyDescent="0.3">
      <c r="L6158" s="36"/>
      <c r="R6158" s="34"/>
      <c r="AC6158" s="36"/>
    </row>
    <row r="6159" spans="12:29" x14ac:dyDescent="0.3">
      <c r="L6159" s="36"/>
      <c r="R6159" s="34"/>
      <c r="AC6159" s="36"/>
    </row>
    <row r="6160" spans="12:29" x14ac:dyDescent="0.3">
      <c r="L6160" s="36"/>
      <c r="R6160" s="34"/>
      <c r="AC6160" s="36"/>
    </row>
    <row r="6161" spans="12:29" x14ac:dyDescent="0.3">
      <c r="L6161" s="36"/>
      <c r="R6161" s="34"/>
      <c r="AC6161" s="36"/>
    </row>
    <row r="6162" spans="12:29" x14ac:dyDescent="0.3">
      <c r="L6162" s="36"/>
      <c r="R6162" s="34"/>
      <c r="AC6162" s="36"/>
    </row>
    <row r="6163" spans="12:29" x14ac:dyDescent="0.3">
      <c r="L6163" s="36"/>
      <c r="R6163" s="34"/>
      <c r="AC6163" s="36"/>
    </row>
    <row r="6164" spans="12:29" x14ac:dyDescent="0.3">
      <c r="L6164" s="36"/>
      <c r="R6164" s="34"/>
      <c r="AC6164" s="36"/>
    </row>
    <row r="6165" spans="12:29" x14ac:dyDescent="0.3">
      <c r="L6165" s="36"/>
      <c r="R6165" s="34"/>
      <c r="AC6165" s="36"/>
    </row>
    <row r="6166" spans="12:29" x14ac:dyDescent="0.3">
      <c r="L6166" s="36"/>
      <c r="R6166" s="34"/>
      <c r="AC6166" s="36"/>
    </row>
    <row r="6167" spans="12:29" x14ac:dyDescent="0.3">
      <c r="L6167" s="36"/>
      <c r="R6167" s="34"/>
      <c r="AC6167" s="36"/>
    </row>
    <row r="6168" spans="12:29" x14ac:dyDescent="0.3">
      <c r="L6168" s="36"/>
      <c r="R6168" s="34"/>
      <c r="AC6168" s="36"/>
    </row>
    <row r="6169" spans="12:29" x14ac:dyDescent="0.3">
      <c r="L6169" s="36"/>
      <c r="R6169" s="34"/>
      <c r="AC6169" s="36"/>
    </row>
    <row r="6170" spans="12:29" x14ac:dyDescent="0.3">
      <c r="L6170" s="36"/>
      <c r="R6170" s="34"/>
      <c r="AC6170" s="36"/>
    </row>
    <row r="6171" spans="12:29" x14ac:dyDescent="0.3">
      <c r="L6171" s="36"/>
      <c r="R6171" s="34"/>
      <c r="AC6171" s="36"/>
    </row>
    <row r="6172" spans="12:29" x14ac:dyDescent="0.3">
      <c r="L6172" s="36"/>
      <c r="R6172" s="34"/>
      <c r="AC6172" s="36"/>
    </row>
    <row r="6173" spans="12:29" x14ac:dyDescent="0.3">
      <c r="L6173" s="36"/>
      <c r="R6173" s="34"/>
      <c r="AC6173" s="36"/>
    </row>
    <row r="6174" spans="12:29" x14ac:dyDescent="0.3">
      <c r="L6174" s="36"/>
      <c r="R6174" s="34"/>
      <c r="AC6174" s="36"/>
    </row>
    <row r="6175" spans="12:29" x14ac:dyDescent="0.3">
      <c r="L6175" s="36"/>
      <c r="R6175" s="34"/>
      <c r="AC6175" s="36"/>
    </row>
    <row r="6176" spans="12:29" x14ac:dyDescent="0.3">
      <c r="L6176" s="36"/>
      <c r="R6176" s="34"/>
      <c r="AC6176" s="36"/>
    </row>
    <row r="6177" spans="12:29" x14ac:dyDescent="0.3">
      <c r="L6177" s="36"/>
      <c r="R6177" s="34"/>
      <c r="AC6177" s="36"/>
    </row>
    <row r="6178" spans="12:29" x14ac:dyDescent="0.3">
      <c r="L6178" s="36"/>
      <c r="R6178" s="34"/>
      <c r="AC6178" s="36"/>
    </row>
    <row r="6179" spans="12:29" x14ac:dyDescent="0.3">
      <c r="L6179" s="36"/>
      <c r="R6179" s="34"/>
      <c r="AC6179" s="36"/>
    </row>
    <row r="6180" spans="12:29" x14ac:dyDescent="0.3">
      <c r="L6180" s="36"/>
      <c r="R6180" s="34"/>
      <c r="AC6180" s="36"/>
    </row>
    <row r="6181" spans="12:29" x14ac:dyDescent="0.3">
      <c r="L6181" s="36"/>
      <c r="R6181" s="34"/>
      <c r="AC6181" s="36"/>
    </row>
    <row r="6182" spans="12:29" x14ac:dyDescent="0.3">
      <c r="L6182" s="36"/>
      <c r="R6182" s="34"/>
      <c r="AC6182" s="36"/>
    </row>
    <row r="6183" spans="12:29" x14ac:dyDescent="0.3">
      <c r="L6183" s="36"/>
      <c r="R6183" s="34"/>
      <c r="AC6183" s="36"/>
    </row>
    <row r="6184" spans="12:29" x14ac:dyDescent="0.3">
      <c r="L6184" s="36"/>
      <c r="R6184" s="34"/>
      <c r="AC6184" s="36"/>
    </row>
    <row r="6185" spans="12:29" x14ac:dyDescent="0.3">
      <c r="L6185" s="36"/>
      <c r="R6185" s="34"/>
      <c r="AC6185" s="36"/>
    </row>
    <row r="6186" spans="12:29" x14ac:dyDescent="0.3">
      <c r="L6186" s="36"/>
      <c r="R6186" s="34"/>
      <c r="AC6186" s="36"/>
    </row>
    <row r="6187" spans="12:29" x14ac:dyDescent="0.3">
      <c r="L6187" s="36"/>
      <c r="R6187" s="34"/>
      <c r="AC6187" s="36"/>
    </row>
    <row r="6188" spans="12:29" x14ac:dyDescent="0.3">
      <c r="L6188" s="36"/>
      <c r="R6188" s="34"/>
      <c r="AC6188" s="36"/>
    </row>
    <row r="6189" spans="12:29" x14ac:dyDescent="0.3">
      <c r="L6189" s="36"/>
      <c r="R6189" s="34"/>
      <c r="AC6189" s="36"/>
    </row>
    <row r="6190" spans="12:29" x14ac:dyDescent="0.3">
      <c r="L6190" s="36"/>
      <c r="R6190" s="34"/>
      <c r="AC6190" s="36"/>
    </row>
    <row r="6191" spans="12:29" x14ac:dyDescent="0.3">
      <c r="L6191" s="36"/>
      <c r="R6191" s="34"/>
      <c r="AC6191" s="36"/>
    </row>
    <row r="6192" spans="12:29" x14ac:dyDescent="0.3">
      <c r="L6192" s="36"/>
      <c r="R6192" s="34"/>
      <c r="AC6192" s="36"/>
    </row>
    <row r="6193" spans="12:29" x14ac:dyDescent="0.3">
      <c r="L6193" s="36"/>
      <c r="R6193" s="34"/>
      <c r="AC6193" s="36"/>
    </row>
    <row r="6194" spans="12:29" x14ac:dyDescent="0.3">
      <c r="L6194" s="36"/>
      <c r="R6194" s="34"/>
      <c r="AC6194" s="36"/>
    </row>
    <row r="6195" spans="12:29" x14ac:dyDescent="0.3">
      <c r="L6195" s="36"/>
      <c r="R6195" s="34"/>
      <c r="AC6195" s="36"/>
    </row>
    <row r="6196" spans="12:29" x14ac:dyDescent="0.3">
      <c r="L6196" s="36"/>
      <c r="R6196" s="34"/>
      <c r="AC6196" s="36"/>
    </row>
    <row r="6197" spans="12:29" x14ac:dyDescent="0.3">
      <c r="L6197" s="36"/>
      <c r="R6197" s="34"/>
      <c r="AC6197" s="36"/>
    </row>
    <row r="6198" spans="12:29" x14ac:dyDescent="0.3">
      <c r="L6198" s="36"/>
      <c r="R6198" s="34"/>
      <c r="AC6198" s="36"/>
    </row>
    <row r="6199" spans="12:29" x14ac:dyDescent="0.3">
      <c r="L6199" s="36"/>
      <c r="R6199" s="34"/>
      <c r="AC6199" s="36"/>
    </row>
    <row r="6200" spans="12:29" x14ac:dyDescent="0.3">
      <c r="L6200" s="36"/>
      <c r="R6200" s="34"/>
      <c r="AC6200" s="36"/>
    </row>
    <row r="6201" spans="12:29" x14ac:dyDescent="0.3">
      <c r="L6201" s="36"/>
      <c r="R6201" s="34"/>
      <c r="AC6201" s="36"/>
    </row>
    <row r="6202" spans="12:29" x14ac:dyDescent="0.3">
      <c r="L6202" s="36"/>
      <c r="R6202" s="34"/>
      <c r="AC6202" s="36"/>
    </row>
    <row r="6203" spans="12:29" x14ac:dyDescent="0.3">
      <c r="L6203" s="36"/>
      <c r="R6203" s="34"/>
      <c r="AC6203" s="36"/>
    </row>
    <row r="6204" spans="12:29" x14ac:dyDescent="0.3">
      <c r="L6204" s="36"/>
      <c r="R6204" s="34"/>
      <c r="AC6204" s="36"/>
    </row>
    <row r="6205" spans="12:29" x14ac:dyDescent="0.3">
      <c r="L6205" s="36"/>
      <c r="R6205" s="34"/>
      <c r="AC6205" s="36"/>
    </row>
    <row r="6206" spans="12:29" x14ac:dyDescent="0.3">
      <c r="L6206" s="36"/>
      <c r="R6206" s="34"/>
      <c r="AC6206" s="36"/>
    </row>
    <row r="6207" spans="12:29" x14ac:dyDescent="0.3">
      <c r="L6207" s="36"/>
      <c r="R6207" s="34"/>
      <c r="AC6207" s="36"/>
    </row>
    <row r="6208" spans="12:29" x14ac:dyDescent="0.3">
      <c r="L6208" s="36"/>
      <c r="R6208" s="34"/>
      <c r="AC6208" s="36"/>
    </row>
    <row r="6209" spans="12:29" x14ac:dyDescent="0.3">
      <c r="L6209" s="36"/>
      <c r="R6209" s="34"/>
      <c r="AC6209" s="36"/>
    </row>
    <row r="6210" spans="12:29" x14ac:dyDescent="0.3">
      <c r="L6210" s="36"/>
      <c r="R6210" s="34"/>
      <c r="AC6210" s="36"/>
    </row>
    <row r="6211" spans="12:29" x14ac:dyDescent="0.3">
      <c r="L6211" s="36"/>
      <c r="R6211" s="34"/>
      <c r="AC6211" s="36"/>
    </row>
    <row r="6212" spans="12:29" x14ac:dyDescent="0.3">
      <c r="L6212" s="36"/>
      <c r="R6212" s="34"/>
      <c r="AC6212" s="36"/>
    </row>
    <row r="6213" spans="12:29" x14ac:dyDescent="0.3">
      <c r="L6213" s="36"/>
      <c r="R6213" s="34"/>
      <c r="AC6213" s="36"/>
    </row>
    <row r="6214" spans="12:29" x14ac:dyDescent="0.3">
      <c r="L6214" s="36"/>
      <c r="R6214" s="34"/>
      <c r="AC6214" s="36"/>
    </row>
    <row r="6215" spans="12:29" x14ac:dyDescent="0.3">
      <c r="L6215" s="36"/>
      <c r="R6215" s="34"/>
      <c r="AC6215" s="36"/>
    </row>
    <row r="6216" spans="12:29" x14ac:dyDescent="0.3">
      <c r="L6216" s="36"/>
      <c r="R6216" s="34"/>
      <c r="AC6216" s="36"/>
    </row>
    <row r="6217" spans="12:29" x14ac:dyDescent="0.3">
      <c r="L6217" s="36"/>
      <c r="R6217" s="34"/>
      <c r="AC6217" s="36"/>
    </row>
    <row r="6218" spans="12:29" x14ac:dyDescent="0.3">
      <c r="L6218" s="36"/>
      <c r="R6218" s="34"/>
      <c r="AC6218" s="36"/>
    </row>
    <row r="6219" spans="12:29" x14ac:dyDescent="0.3">
      <c r="L6219" s="36"/>
      <c r="R6219" s="34"/>
      <c r="AC6219" s="36"/>
    </row>
    <row r="6220" spans="12:29" x14ac:dyDescent="0.3">
      <c r="L6220" s="36"/>
      <c r="R6220" s="34"/>
      <c r="AC6220" s="36"/>
    </row>
    <row r="6221" spans="12:29" x14ac:dyDescent="0.3">
      <c r="L6221" s="36"/>
      <c r="R6221" s="34"/>
      <c r="AC6221" s="36"/>
    </row>
    <row r="6222" spans="12:29" x14ac:dyDescent="0.3">
      <c r="L6222" s="36"/>
      <c r="R6222" s="34"/>
      <c r="AC6222" s="36"/>
    </row>
    <row r="6223" spans="12:29" x14ac:dyDescent="0.3">
      <c r="L6223" s="36"/>
      <c r="R6223" s="34"/>
      <c r="AC6223" s="36"/>
    </row>
    <row r="6224" spans="12:29" x14ac:dyDescent="0.3">
      <c r="L6224" s="36"/>
      <c r="R6224" s="34"/>
      <c r="AC6224" s="36"/>
    </row>
    <row r="6225" spans="12:29" x14ac:dyDescent="0.3">
      <c r="L6225" s="36"/>
      <c r="R6225" s="34"/>
      <c r="AC6225" s="36"/>
    </row>
    <row r="6226" spans="12:29" x14ac:dyDescent="0.3">
      <c r="L6226" s="36"/>
      <c r="R6226" s="34"/>
      <c r="AC6226" s="36"/>
    </row>
    <row r="6227" spans="12:29" x14ac:dyDescent="0.3">
      <c r="L6227" s="36"/>
      <c r="R6227" s="34"/>
      <c r="AC6227" s="36"/>
    </row>
    <row r="6228" spans="12:29" x14ac:dyDescent="0.3">
      <c r="L6228" s="36"/>
      <c r="R6228" s="34"/>
      <c r="AC6228" s="36"/>
    </row>
    <row r="6229" spans="12:29" x14ac:dyDescent="0.3">
      <c r="L6229" s="36"/>
      <c r="R6229" s="34"/>
      <c r="AC6229" s="36"/>
    </row>
    <row r="6230" spans="12:29" x14ac:dyDescent="0.3">
      <c r="L6230" s="36"/>
      <c r="R6230" s="34"/>
      <c r="AC6230" s="36"/>
    </row>
    <row r="6231" spans="12:29" x14ac:dyDescent="0.3">
      <c r="L6231" s="36"/>
      <c r="R6231" s="34"/>
      <c r="AC6231" s="36"/>
    </row>
    <row r="6232" spans="12:29" x14ac:dyDescent="0.3">
      <c r="L6232" s="36"/>
      <c r="R6232" s="34"/>
      <c r="AC6232" s="36"/>
    </row>
    <row r="6233" spans="12:29" x14ac:dyDescent="0.3">
      <c r="L6233" s="36"/>
      <c r="R6233" s="34"/>
      <c r="AC6233" s="36"/>
    </row>
    <row r="6234" spans="12:29" x14ac:dyDescent="0.3">
      <c r="L6234" s="36"/>
      <c r="R6234" s="34"/>
      <c r="AC6234" s="36"/>
    </row>
    <row r="6235" spans="12:29" x14ac:dyDescent="0.3">
      <c r="L6235" s="36"/>
      <c r="R6235" s="34"/>
      <c r="AC6235" s="36"/>
    </row>
    <row r="6236" spans="12:29" x14ac:dyDescent="0.3">
      <c r="L6236" s="36"/>
      <c r="R6236" s="34"/>
      <c r="AC6236" s="36"/>
    </row>
    <row r="6237" spans="12:29" x14ac:dyDescent="0.3">
      <c r="L6237" s="36"/>
      <c r="R6237" s="34"/>
      <c r="AC6237" s="36"/>
    </row>
    <row r="6238" spans="12:29" x14ac:dyDescent="0.3">
      <c r="L6238" s="36"/>
      <c r="R6238" s="34"/>
      <c r="AC6238" s="36"/>
    </row>
    <row r="6239" spans="12:29" x14ac:dyDescent="0.3">
      <c r="L6239" s="36"/>
      <c r="R6239" s="34"/>
      <c r="AC6239" s="36"/>
    </row>
    <row r="6240" spans="12:29" x14ac:dyDescent="0.3">
      <c r="L6240" s="36"/>
      <c r="R6240" s="34"/>
      <c r="AC6240" s="36"/>
    </row>
    <row r="6241" spans="12:29" x14ac:dyDescent="0.3">
      <c r="L6241" s="36"/>
      <c r="R6241" s="34"/>
      <c r="AC6241" s="36"/>
    </row>
    <row r="6242" spans="12:29" x14ac:dyDescent="0.3">
      <c r="L6242" s="36"/>
      <c r="R6242" s="34"/>
      <c r="AC6242" s="36"/>
    </row>
    <row r="6243" spans="12:29" x14ac:dyDescent="0.3">
      <c r="L6243" s="36"/>
      <c r="R6243" s="34"/>
      <c r="AC6243" s="36"/>
    </row>
    <row r="6244" spans="12:29" x14ac:dyDescent="0.3">
      <c r="L6244" s="36"/>
      <c r="R6244" s="34"/>
      <c r="AC6244" s="36"/>
    </row>
    <row r="6245" spans="12:29" x14ac:dyDescent="0.3">
      <c r="L6245" s="36"/>
      <c r="R6245" s="34"/>
      <c r="AC6245" s="36"/>
    </row>
    <row r="6246" spans="12:29" x14ac:dyDescent="0.3">
      <c r="L6246" s="36"/>
      <c r="R6246" s="34"/>
      <c r="AC6246" s="36"/>
    </row>
    <row r="6247" spans="12:29" x14ac:dyDescent="0.3">
      <c r="L6247" s="36"/>
      <c r="R6247" s="34"/>
      <c r="AC6247" s="36"/>
    </row>
    <row r="6248" spans="12:29" x14ac:dyDescent="0.3">
      <c r="L6248" s="36"/>
      <c r="R6248" s="34"/>
      <c r="AC6248" s="36"/>
    </row>
    <row r="6249" spans="12:29" x14ac:dyDescent="0.3">
      <c r="L6249" s="36"/>
      <c r="R6249" s="34"/>
      <c r="AC6249" s="36"/>
    </row>
    <row r="6250" spans="12:29" x14ac:dyDescent="0.3">
      <c r="L6250" s="36"/>
      <c r="R6250" s="34"/>
      <c r="AC6250" s="36"/>
    </row>
    <row r="6251" spans="12:29" x14ac:dyDescent="0.3">
      <c r="L6251" s="36"/>
      <c r="R6251" s="34"/>
      <c r="AC6251" s="36"/>
    </row>
    <row r="6252" spans="12:29" x14ac:dyDescent="0.3">
      <c r="L6252" s="36"/>
      <c r="R6252" s="34"/>
      <c r="AC6252" s="36"/>
    </row>
    <row r="6253" spans="12:29" x14ac:dyDescent="0.3">
      <c r="L6253" s="36"/>
      <c r="R6253" s="34"/>
      <c r="AC6253" s="36"/>
    </row>
    <row r="6254" spans="12:29" x14ac:dyDescent="0.3">
      <c r="L6254" s="36"/>
      <c r="R6254" s="34"/>
      <c r="AC6254" s="36"/>
    </row>
    <row r="6255" spans="12:29" x14ac:dyDescent="0.3">
      <c r="L6255" s="36"/>
      <c r="R6255" s="34"/>
      <c r="AC6255" s="36"/>
    </row>
    <row r="6256" spans="12:29" x14ac:dyDescent="0.3">
      <c r="L6256" s="36"/>
      <c r="R6256" s="34"/>
      <c r="AC6256" s="36"/>
    </row>
    <row r="6257" spans="12:29" x14ac:dyDescent="0.3">
      <c r="L6257" s="36"/>
      <c r="R6257" s="34"/>
      <c r="AC6257" s="36"/>
    </row>
    <row r="6258" spans="12:29" x14ac:dyDescent="0.3">
      <c r="L6258" s="36"/>
      <c r="R6258" s="34"/>
      <c r="AC6258" s="36"/>
    </row>
    <row r="6259" spans="12:29" x14ac:dyDescent="0.3">
      <c r="L6259" s="36"/>
      <c r="R6259" s="34"/>
      <c r="AC6259" s="36"/>
    </row>
    <row r="6260" spans="12:29" x14ac:dyDescent="0.3">
      <c r="L6260" s="36"/>
      <c r="R6260" s="34"/>
      <c r="AC6260" s="36"/>
    </row>
    <row r="6261" spans="12:29" x14ac:dyDescent="0.3">
      <c r="L6261" s="36"/>
      <c r="R6261" s="34"/>
      <c r="AC6261" s="36"/>
    </row>
    <row r="6262" spans="12:29" x14ac:dyDescent="0.3">
      <c r="L6262" s="36"/>
      <c r="R6262" s="34"/>
      <c r="AC6262" s="36"/>
    </row>
    <row r="6263" spans="12:29" x14ac:dyDescent="0.3">
      <c r="L6263" s="36"/>
      <c r="R6263" s="34"/>
      <c r="AC6263" s="36"/>
    </row>
    <row r="6264" spans="12:29" x14ac:dyDescent="0.3">
      <c r="L6264" s="36"/>
      <c r="R6264" s="34"/>
      <c r="AC6264" s="36"/>
    </row>
    <row r="6265" spans="12:29" x14ac:dyDescent="0.3">
      <c r="L6265" s="36"/>
      <c r="R6265" s="34"/>
      <c r="AC6265" s="36"/>
    </row>
    <row r="6266" spans="12:29" x14ac:dyDescent="0.3">
      <c r="L6266" s="36"/>
      <c r="R6266" s="34"/>
      <c r="AC6266" s="36"/>
    </row>
    <row r="6267" spans="12:29" x14ac:dyDescent="0.3">
      <c r="L6267" s="36"/>
      <c r="R6267" s="34"/>
      <c r="AC6267" s="36"/>
    </row>
    <row r="6268" spans="12:29" x14ac:dyDescent="0.3">
      <c r="L6268" s="36"/>
      <c r="R6268" s="34"/>
      <c r="AC6268" s="36"/>
    </row>
    <row r="6269" spans="12:29" x14ac:dyDescent="0.3">
      <c r="L6269" s="36"/>
      <c r="R6269" s="34"/>
      <c r="AC6269" s="36"/>
    </row>
    <row r="6270" spans="12:29" x14ac:dyDescent="0.3">
      <c r="L6270" s="36"/>
      <c r="R6270" s="34"/>
      <c r="AC6270" s="36"/>
    </row>
    <row r="6271" spans="12:29" x14ac:dyDescent="0.3">
      <c r="L6271" s="36"/>
      <c r="R6271" s="34"/>
      <c r="AC6271" s="36"/>
    </row>
    <row r="6272" spans="12:29" x14ac:dyDescent="0.3">
      <c r="L6272" s="36"/>
      <c r="R6272" s="34"/>
      <c r="AC6272" s="36"/>
    </row>
    <row r="6273" spans="12:29" x14ac:dyDescent="0.3">
      <c r="L6273" s="36"/>
      <c r="R6273" s="34"/>
      <c r="AC6273" s="36"/>
    </row>
    <row r="6274" spans="12:29" x14ac:dyDescent="0.3">
      <c r="L6274" s="36"/>
      <c r="R6274" s="34"/>
      <c r="AC6274" s="36"/>
    </row>
    <row r="6275" spans="12:29" x14ac:dyDescent="0.3">
      <c r="L6275" s="36"/>
      <c r="R6275" s="34"/>
      <c r="AC6275" s="36"/>
    </row>
    <row r="6276" spans="12:29" x14ac:dyDescent="0.3">
      <c r="L6276" s="36"/>
      <c r="R6276" s="34"/>
      <c r="AC6276" s="36"/>
    </row>
    <row r="6277" spans="12:29" x14ac:dyDescent="0.3">
      <c r="L6277" s="36"/>
      <c r="R6277" s="34"/>
      <c r="AC6277" s="36"/>
    </row>
    <row r="6278" spans="12:29" x14ac:dyDescent="0.3">
      <c r="L6278" s="36"/>
      <c r="R6278" s="34"/>
      <c r="AC6278" s="36"/>
    </row>
    <row r="6279" spans="12:29" x14ac:dyDescent="0.3">
      <c r="L6279" s="36"/>
      <c r="R6279" s="34"/>
      <c r="AC6279" s="36"/>
    </row>
    <row r="6280" spans="12:29" x14ac:dyDescent="0.3">
      <c r="L6280" s="36"/>
      <c r="R6280" s="34"/>
      <c r="AC6280" s="36"/>
    </row>
    <row r="6281" spans="12:29" x14ac:dyDescent="0.3">
      <c r="L6281" s="36"/>
      <c r="R6281" s="34"/>
      <c r="AC6281" s="36"/>
    </row>
    <row r="6282" spans="12:29" x14ac:dyDescent="0.3">
      <c r="L6282" s="36"/>
      <c r="R6282" s="34"/>
      <c r="AC6282" s="36"/>
    </row>
    <row r="6283" spans="12:29" x14ac:dyDescent="0.3">
      <c r="L6283" s="36"/>
      <c r="R6283" s="34"/>
      <c r="AC6283" s="36"/>
    </row>
    <row r="6284" spans="12:29" x14ac:dyDescent="0.3">
      <c r="L6284" s="36"/>
      <c r="R6284" s="34"/>
      <c r="AC6284" s="36"/>
    </row>
    <row r="6285" spans="12:29" x14ac:dyDescent="0.3">
      <c r="L6285" s="36"/>
      <c r="R6285" s="34"/>
      <c r="AC6285" s="36"/>
    </row>
    <row r="6286" spans="12:29" x14ac:dyDescent="0.3">
      <c r="L6286" s="36"/>
      <c r="R6286" s="34"/>
      <c r="AC6286" s="36"/>
    </row>
    <row r="6287" spans="12:29" x14ac:dyDescent="0.3">
      <c r="L6287" s="36"/>
      <c r="R6287" s="34"/>
      <c r="AC6287" s="36"/>
    </row>
    <row r="6288" spans="12:29" x14ac:dyDescent="0.3">
      <c r="L6288" s="36"/>
      <c r="R6288" s="34"/>
      <c r="AC6288" s="36"/>
    </row>
    <row r="6289" spans="12:29" x14ac:dyDescent="0.3">
      <c r="L6289" s="36"/>
      <c r="R6289" s="34"/>
      <c r="AC6289" s="36"/>
    </row>
    <row r="6290" spans="12:29" x14ac:dyDescent="0.3">
      <c r="L6290" s="36"/>
      <c r="R6290" s="34"/>
      <c r="AC6290" s="36"/>
    </row>
    <row r="6291" spans="12:29" x14ac:dyDescent="0.3">
      <c r="L6291" s="36"/>
      <c r="R6291" s="34"/>
      <c r="AC6291" s="36"/>
    </row>
    <row r="6292" spans="12:29" x14ac:dyDescent="0.3">
      <c r="L6292" s="36"/>
      <c r="R6292" s="34"/>
      <c r="AC6292" s="36"/>
    </row>
    <row r="6293" spans="12:29" x14ac:dyDescent="0.3">
      <c r="L6293" s="36"/>
      <c r="R6293" s="34"/>
      <c r="AC6293" s="36"/>
    </row>
    <row r="6294" spans="12:29" x14ac:dyDescent="0.3">
      <c r="L6294" s="36"/>
      <c r="R6294" s="34"/>
      <c r="AC6294" s="36"/>
    </row>
    <row r="6295" spans="12:29" x14ac:dyDescent="0.3">
      <c r="L6295" s="36"/>
      <c r="R6295" s="34"/>
      <c r="AC6295" s="36"/>
    </row>
    <row r="6296" spans="12:29" x14ac:dyDescent="0.3">
      <c r="L6296" s="36"/>
      <c r="R6296" s="34"/>
      <c r="AC6296" s="36"/>
    </row>
    <row r="6297" spans="12:29" x14ac:dyDescent="0.3">
      <c r="L6297" s="36"/>
      <c r="R6297" s="34"/>
      <c r="AC6297" s="36"/>
    </row>
    <row r="6298" spans="12:29" x14ac:dyDescent="0.3">
      <c r="L6298" s="36"/>
      <c r="R6298" s="34"/>
      <c r="AC6298" s="36"/>
    </row>
    <row r="6299" spans="12:29" x14ac:dyDescent="0.3">
      <c r="L6299" s="36"/>
      <c r="R6299" s="34"/>
      <c r="AC6299" s="36"/>
    </row>
    <row r="6300" spans="12:29" x14ac:dyDescent="0.3">
      <c r="L6300" s="36"/>
      <c r="R6300" s="34"/>
      <c r="AC6300" s="36"/>
    </row>
    <row r="6301" spans="12:29" x14ac:dyDescent="0.3">
      <c r="L6301" s="36"/>
      <c r="R6301" s="34"/>
      <c r="AC6301" s="36"/>
    </row>
    <row r="6302" spans="12:29" x14ac:dyDescent="0.3">
      <c r="L6302" s="36"/>
      <c r="R6302" s="34"/>
      <c r="AC6302" s="36"/>
    </row>
    <row r="6303" spans="12:29" x14ac:dyDescent="0.3">
      <c r="L6303" s="36"/>
      <c r="R6303" s="34"/>
      <c r="AC6303" s="36"/>
    </row>
    <row r="6304" spans="12:29" x14ac:dyDescent="0.3">
      <c r="L6304" s="36"/>
      <c r="R6304" s="34"/>
      <c r="AC6304" s="36"/>
    </row>
    <row r="6305" spans="12:29" x14ac:dyDescent="0.3">
      <c r="L6305" s="36"/>
      <c r="R6305" s="34"/>
      <c r="AC6305" s="36"/>
    </row>
    <row r="6306" spans="12:29" x14ac:dyDescent="0.3">
      <c r="L6306" s="36"/>
      <c r="R6306" s="34"/>
      <c r="AC6306" s="36"/>
    </row>
    <row r="6307" spans="12:29" x14ac:dyDescent="0.3">
      <c r="L6307" s="36"/>
      <c r="R6307" s="34"/>
      <c r="AC6307" s="36"/>
    </row>
    <row r="6308" spans="12:29" x14ac:dyDescent="0.3">
      <c r="L6308" s="36"/>
      <c r="R6308" s="34"/>
      <c r="AC6308" s="36"/>
    </row>
    <row r="6309" spans="12:29" x14ac:dyDescent="0.3">
      <c r="L6309" s="36"/>
      <c r="R6309" s="34"/>
      <c r="AC6309" s="36"/>
    </row>
    <row r="6310" spans="12:29" x14ac:dyDescent="0.3">
      <c r="L6310" s="36"/>
      <c r="R6310" s="34"/>
      <c r="AC6310" s="36"/>
    </row>
    <row r="6311" spans="12:29" x14ac:dyDescent="0.3">
      <c r="L6311" s="36"/>
      <c r="R6311" s="34"/>
      <c r="AC6311" s="36"/>
    </row>
    <row r="6312" spans="12:29" x14ac:dyDescent="0.3">
      <c r="L6312" s="36"/>
      <c r="R6312" s="34"/>
      <c r="AC6312" s="36"/>
    </row>
    <row r="6313" spans="12:29" x14ac:dyDescent="0.3">
      <c r="L6313" s="36"/>
      <c r="R6313" s="34"/>
      <c r="AC6313" s="36"/>
    </row>
    <row r="6314" spans="12:29" x14ac:dyDescent="0.3">
      <c r="L6314" s="36"/>
      <c r="R6314" s="34"/>
      <c r="AC6314" s="36"/>
    </row>
    <row r="6315" spans="12:29" x14ac:dyDescent="0.3">
      <c r="L6315" s="36"/>
      <c r="R6315" s="34"/>
      <c r="AC6315" s="36"/>
    </row>
    <row r="6316" spans="12:29" x14ac:dyDescent="0.3">
      <c r="L6316" s="36"/>
      <c r="R6316" s="34"/>
      <c r="AC6316" s="36"/>
    </row>
    <row r="6317" spans="12:29" x14ac:dyDescent="0.3">
      <c r="L6317" s="36"/>
      <c r="R6317" s="34"/>
      <c r="AC6317" s="36"/>
    </row>
    <row r="6318" spans="12:29" x14ac:dyDescent="0.3">
      <c r="L6318" s="36"/>
      <c r="R6318" s="34"/>
      <c r="AC6318" s="36"/>
    </row>
    <row r="6319" spans="12:29" x14ac:dyDescent="0.3">
      <c r="L6319" s="36"/>
      <c r="R6319" s="34"/>
      <c r="AC6319" s="36"/>
    </row>
    <row r="6320" spans="12:29" x14ac:dyDescent="0.3">
      <c r="L6320" s="36"/>
      <c r="R6320" s="34"/>
      <c r="AC6320" s="36"/>
    </row>
    <row r="6321" spans="12:29" x14ac:dyDescent="0.3">
      <c r="L6321" s="36"/>
      <c r="R6321" s="34"/>
      <c r="AC6321" s="36"/>
    </row>
    <row r="6322" spans="12:29" x14ac:dyDescent="0.3">
      <c r="L6322" s="36"/>
      <c r="R6322" s="34"/>
      <c r="AC6322" s="36"/>
    </row>
    <row r="6323" spans="12:29" x14ac:dyDescent="0.3">
      <c r="L6323" s="36"/>
      <c r="R6323" s="34"/>
      <c r="AC6323" s="36"/>
    </row>
    <row r="6324" spans="12:29" x14ac:dyDescent="0.3">
      <c r="L6324" s="36"/>
      <c r="R6324" s="34"/>
      <c r="AC6324" s="36"/>
    </row>
    <row r="6325" spans="12:29" x14ac:dyDescent="0.3">
      <c r="L6325" s="36"/>
      <c r="R6325" s="34"/>
      <c r="AC6325" s="36"/>
    </row>
    <row r="6326" spans="12:29" x14ac:dyDescent="0.3">
      <c r="L6326" s="36"/>
      <c r="R6326" s="34"/>
      <c r="AC6326" s="36"/>
    </row>
    <row r="6327" spans="12:29" x14ac:dyDescent="0.3">
      <c r="L6327" s="36"/>
      <c r="R6327" s="34"/>
      <c r="AC6327" s="36"/>
    </row>
    <row r="6328" spans="12:29" x14ac:dyDescent="0.3">
      <c r="L6328" s="36"/>
      <c r="R6328" s="34"/>
      <c r="AC6328" s="36"/>
    </row>
    <row r="6329" spans="12:29" x14ac:dyDescent="0.3">
      <c r="L6329" s="36"/>
      <c r="R6329" s="34"/>
      <c r="AC6329" s="36"/>
    </row>
    <row r="6330" spans="12:29" x14ac:dyDescent="0.3">
      <c r="L6330" s="36"/>
      <c r="R6330" s="34"/>
      <c r="AC6330" s="36"/>
    </row>
    <row r="6331" spans="12:29" x14ac:dyDescent="0.3">
      <c r="L6331" s="36"/>
      <c r="R6331" s="34"/>
      <c r="AC6331" s="36"/>
    </row>
    <row r="6332" spans="12:29" x14ac:dyDescent="0.3">
      <c r="L6332" s="36"/>
      <c r="R6332" s="34"/>
      <c r="AC6332" s="36"/>
    </row>
    <row r="6333" spans="12:29" x14ac:dyDescent="0.3">
      <c r="L6333" s="36"/>
      <c r="R6333" s="34"/>
      <c r="AC6333" s="36"/>
    </row>
    <row r="6334" spans="12:29" x14ac:dyDescent="0.3">
      <c r="L6334" s="36"/>
      <c r="R6334" s="34"/>
      <c r="AC6334" s="36"/>
    </row>
    <row r="6335" spans="12:29" x14ac:dyDescent="0.3">
      <c r="L6335" s="36"/>
      <c r="R6335" s="34"/>
      <c r="AC6335" s="36"/>
    </row>
    <row r="6336" spans="12:29" x14ac:dyDescent="0.3">
      <c r="L6336" s="36"/>
      <c r="R6336" s="34"/>
      <c r="AC6336" s="36"/>
    </row>
    <row r="6337" spans="12:29" x14ac:dyDescent="0.3">
      <c r="L6337" s="36"/>
      <c r="R6337" s="34"/>
      <c r="AC6337" s="36"/>
    </row>
    <row r="6338" spans="12:29" x14ac:dyDescent="0.3">
      <c r="L6338" s="36"/>
      <c r="R6338" s="34"/>
      <c r="AC6338" s="36"/>
    </row>
    <row r="6339" spans="12:29" x14ac:dyDescent="0.3">
      <c r="L6339" s="36"/>
      <c r="R6339" s="34"/>
      <c r="AC6339" s="36"/>
    </row>
    <row r="6340" spans="12:29" x14ac:dyDescent="0.3">
      <c r="L6340" s="36"/>
      <c r="R6340" s="34"/>
      <c r="AC6340" s="36"/>
    </row>
    <row r="6341" spans="12:29" x14ac:dyDescent="0.3">
      <c r="L6341" s="36"/>
      <c r="R6341" s="34"/>
      <c r="AC6341" s="36"/>
    </row>
    <row r="6342" spans="12:29" x14ac:dyDescent="0.3">
      <c r="L6342" s="36"/>
      <c r="R6342" s="34"/>
      <c r="AC6342" s="36"/>
    </row>
    <row r="6343" spans="12:29" x14ac:dyDescent="0.3">
      <c r="L6343" s="36"/>
      <c r="R6343" s="34"/>
      <c r="AC6343" s="36"/>
    </row>
    <row r="6344" spans="12:29" x14ac:dyDescent="0.3">
      <c r="L6344" s="36"/>
      <c r="R6344" s="34"/>
      <c r="AC6344" s="36"/>
    </row>
    <row r="6345" spans="12:29" x14ac:dyDescent="0.3">
      <c r="L6345" s="36"/>
      <c r="R6345" s="34"/>
      <c r="AC6345" s="36"/>
    </row>
    <row r="6346" spans="12:29" x14ac:dyDescent="0.3">
      <c r="L6346" s="36"/>
      <c r="R6346" s="34"/>
      <c r="AC6346" s="36"/>
    </row>
    <row r="6347" spans="12:29" x14ac:dyDescent="0.3">
      <c r="L6347" s="36"/>
      <c r="R6347" s="34"/>
      <c r="AC6347" s="36"/>
    </row>
    <row r="6348" spans="12:29" x14ac:dyDescent="0.3">
      <c r="L6348" s="36"/>
      <c r="R6348" s="34"/>
      <c r="AC6348" s="36"/>
    </row>
    <row r="6349" spans="12:29" x14ac:dyDescent="0.3">
      <c r="L6349" s="36"/>
      <c r="R6349" s="34"/>
      <c r="AC6349" s="36"/>
    </row>
    <row r="6350" spans="12:29" x14ac:dyDescent="0.3">
      <c r="L6350" s="36"/>
      <c r="R6350" s="34"/>
      <c r="AC6350" s="36"/>
    </row>
    <row r="6351" spans="12:29" x14ac:dyDescent="0.3">
      <c r="L6351" s="36"/>
      <c r="R6351" s="34"/>
      <c r="AC6351" s="36"/>
    </row>
    <row r="6352" spans="12:29" x14ac:dyDescent="0.3">
      <c r="L6352" s="36"/>
      <c r="R6352" s="34"/>
      <c r="AC6352" s="36"/>
    </row>
    <row r="6353" spans="12:29" x14ac:dyDescent="0.3">
      <c r="L6353" s="36"/>
      <c r="R6353" s="34"/>
      <c r="AC6353" s="36"/>
    </row>
    <row r="6354" spans="12:29" x14ac:dyDescent="0.3">
      <c r="L6354" s="36"/>
      <c r="R6354" s="34"/>
      <c r="AC6354" s="36"/>
    </row>
    <row r="6355" spans="12:29" x14ac:dyDescent="0.3">
      <c r="L6355" s="36"/>
      <c r="R6355" s="34"/>
      <c r="AC6355" s="36"/>
    </row>
    <row r="6356" spans="12:29" x14ac:dyDescent="0.3">
      <c r="L6356" s="36"/>
      <c r="R6356" s="34"/>
      <c r="AC6356" s="36"/>
    </row>
    <row r="6357" spans="12:29" x14ac:dyDescent="0.3">
      <c r="L6357" s="36"/>
      <c r="R6357" s="34"/>
      <c r="AC6357" s="36"/>
    </row>
    <row r="6358" spans="12:29" x14ac:dyDescent="0.3">
      <c r="L6358" s="36"/>
      <c r="R6358" s="34"/>
      <c r="AC6358" s="36"/>
    </row>
    <row r="6359" spans="12:29" x14ac:dyDescent="0.3">
      <c r="L6359" s="36"/>
      <c r="R6359" s="34"/>
      <c r="AC6359" s="36"/>
    </row>
    <row r="6360" spans="12:29" x14ac:dyDescent="0.3">
      <c r="L6360" s="36"/>
      <c r="R6360" s="34"/>
      <c r="AC6360" s="36"/>
    </row>
    <row r="6361" spans="12:29" x14ac:dyDescent="0.3">
      <c r="L6361" s="36"/>
      <c r="R6361" s="34"/>
      <c r="AC6361" s="36"/>
    </row>
    <row r="6362" spans="12:29" x14ac:dyDescent="0.3">
      <c r="L6362" s="36"/>
      <c r="R6362" s="34"/>
      <c r="AC6362" s="36"/>
    </row>
    <row r="6363" spans="12:29" x14ac:dyDescent="0.3">
      <c r="L6363" s="36"/>
      <c r="R6363" s="34"/>
      <c r="AC6363" s="36"/>
    </row>
    <row r="6364" spans="12:29" x14ac:dyDescent="0.3">
      <c r="L6364" s="36"/>
      <c r="R6364" s="34"/>
      <c r="AC6364" s="36"/>
    </row>
    <row r="6365" spans="12:29" x14ac:dyDescent="0.3">
      <c r="L6365" s="36"/>
      <c r="R6365" s="34"/>
      <c r="AC6365" s="36"/>
    </row>
    <row r="6366" spans="12:29" x14ac:dyDescent="0.3">
      <c r="L6366" s="36"/>
      <c r="R6366" s="34"/>
      <c r="AC6366" s="36"/>
    </row>
    <row r="6367" spans="12:29" x14ac:dyDescent="0.3">
      <c r="L6367" s="36"/>
      <c r="R6367" s="34"/>
      <c r="AC6367" s="36"/>
    </row>
    <row r="6368" spans="12:29" x14ac:dyDescent="0.3">
      <c r="L6368" s="36"/>
      <c r="R6368" s="34"/>
      <c r="AC6368" s="36"/>
    </row>
    <row r="6369" spans="12:29" x14ac:dyDescent="0.3">
      <c r="L6369" s="36"/>
      <c r="R6369" s="34"/>
      <c r="AC6369" s="36"/>
    </row>
    <row r="6370" spans="12:29" x14ac:dyDescent="0.3">
      <c r="L6370" s="36"/>
      <c r="R6370" s="34"/>
      <c r="AC6370" s="36"/>
    </row>
    <row r="6371" spans="12:29" x14ac:dyDescent="0.3">
      <c r="L6371" s="36"/>
      <c r="R6371" s="34"/>
      <c r="AC6371" s="36"/>
    </row>
    <row r="6372" spans="12:29" x14ac:dyDescent="0.3">
      <c r="L6372" s="36"/>
      <c r="R6372" s="34"/>
      <c r="AC6372" s="36"/>
    </row>
    <row r="6373" spans="12:29" x14ac:dyDescent="0.3">
      <c r="L6373" s="36"/>
      <c r="R6373" s="34"/>
      <c r="AC6373" s="36"/>
    </row>
    <row r="6374" spans="12:29" x14ac:dyDescent="0.3">
      <c r="L6374" s="36"/>
      <c r="R6374" s="34"/>
      <c r="AC6374" s="36"/>
    </row>
    <row r="6375" spans="12:29" x14ac:dyDescent="0.3">
      <c r="L6375" s="36"/>
      <c r="R6375" s="34"/>
      <c r="AC6375" s="36"/>
    </row>
    <row r="6376" spans="12:29" x14ac:dyDescent="0.3">
      <c r="L6376" s="36"/>
      <c r="R6376" s="34"/>
      <c r="AC6376" s="36"/>
    </row>
    <row r="6377" spans="12:29" x14ac:dyDescent="0.3">
      <c r="L6377" s="36"/>
      <c r="R6377" s="34"/>
      <c r="AC6377" s="36"/>
    </row>
    <row r="6378" spans="12:29" x14ac:dyDescent="0.3">
      <c r="L6378" s="36"/>
      <c r="R6378" s="34"/>
      <c r="AC6378" s="36"/>
    </row>
    <row r="6379" spans="12:29" x14ac:dyDescent="0.3">
      <c r="L6379" s="36"/>
      <c r="R6379" s="34"/>
      <c r="AC6379" s="36"/>
    </row>
    <row r="6380" spans="12:29" x14ac:dyDescent="0.3">
      <c r="L6380" s="36"/>
      <c r="R6380" s="34"/>
      <c r="AC6380" s="36"/>
    </row>
    <row r="6381" spans="12:29" x14ac:dyDescent="0.3">
      <c r="L6381" s="36"/>
      <c r="R6381" s="34"/>
      <c r="AC6381" s="36"/>
    </row>
    <row r="6382" spans="12:29" x14ac:dyDescent="0.3">
      <c r="L6382" s="36"/>
      <c r="R6382" s="34"/>
      <c r="AC6382" s="36"/>
    </row>
    <row r="6383" spans="12:29" x14ac:dyDescent="0.3">
      <c r="L6383" s="36"/>
      <c r="R6383" s="34"/>
      <c r="AC6383" s="36"/>
    </row>
    <row r="6384" spans="12:29" x14ac:dyDescent="0.3">
      <c r="L6384" s="36"/>
      <c r="R6384" s="34"/>
      <c r="AC6384" s="36"/>
    </row>
    <row r="6385" spans="12:29" x14ac:dyDescent="0.3">
      <c r="L6385" s="36"/>
      <c r="R6385" s="34"/>
      <c r="AC6385" s="36"/>
    </row>
    <row r="6386" spans="12:29" x14ac:dyDescent="0.3">
      <c r="L6386" s="36"/>
      <c r="R6386" s="34"/>
      <c r="AC6386" s="36"/>
    </row>
    <row r="6387" spans="12:29" x14ac:dyDescent="0.3">
      <c r="L6387" s="36"/>
      <c r="R6387" s="34"/>
      <c r="AC6387" s="36"/>
    </row>
    <row r="6388" spans="12:29" x14ac:dyDescent="0.3">
      <c r="L6388" s="36"/>
      <c r="R6388" s="34"/>
      <c r="AC6388" s="36"/>
    </row>
    <row r="6389" spans="12:29" x14ac:dyDescent="0.3">
      <c r="L6389" s="36"/>
      <c r="R6389" s="34"/>
      <c r="AC6389" s="36"/>
    </row>
    <row r="6390" spans="12:29" x14ac:dyDescent="0.3">
      <c r="L6390" s="36"/>
      <c r="R6390" s="34"/>
      <c r="AC6390" s="36"/>
    </row>
    <row r="6391" spans="12:29" x14ac:dyDescent="0.3">
      <c r="L6391" s="36"/>
      <c r="R6391" s="34"/>
      <c r="AC6391" s="36"/>
    </row>
    <row r="6392" spans="12:29" x14ac:dyDescent="0.3">
      <c r="L6392" s="36"/>
      <c r="R6392" s="34"/>
      <c r="AC6392" s="36"/>
    </row>
    <row r="6393" spans="12:29" x14ac:dyDescent="0.3">
      <c r="L6393" s="36"/>
      <c r="R6393" s="34"/>
      <c r="AC6393" s="36"/>
    </row>
    <row r="6394" spans="12:29" x14ac:dyDescent="0.3">
      <c r="L6394" s="36"/>
      <c r="R6394" s="34"/>
      <c r="AC6394" s="36"/>
    </row>
    <row r="6395" spans="12:29" x14ac:dyDescent="0.3">
      <c r="L6395" s="36"/>
      <c r="R6395" s="34"/>
      <c r="AC6395" s="36"/>
    </row>
    <row r="6396" spans="12:29" x14ac:dyDescent="0.3">
      <c r="L6396" s="36"/>
      <c r="R6396" s="34"/>
      <c r="AC6396" s="36"/>
    </row>
    <row r="6397" spans="12:29" x14ac:dyDescent="0.3">
      <c r="L6397" s="36"/>
      <c r="R6397" s="34"/>
      <c r="AC6397" s="36"/>
    </row>
    <row r="6398" spans="12:29" x14ac:dyDescent="0.3">
      <c r="L6398" s="36"/>
      <c r="R6398" s="34"/>
      <c r="AC6398" s="36"/>
    </row>
    <row r="6399" spans="12:29" x14ac:dyDescent="0.3">
      <c r="L6399" s="36"/>
      <c r="R6399" s="34"/>
      <c r="AC6399" s="36"/>
    </row>
    <row r="6400" spans="12:29" x14ac:dyDescent="0.3">
      <c r="L6400" s="36"/>
      <c r="R6400" s="34"/>
      <c r="AC6400" s="36"/>
    </row>
    <row r="6401" spans="12:29" x14ac:dyDescent="0.3">
      <c r="L6401" s="36"/>
      <c r="R6401" s="34"/>
      <c r="AC6401" s="36"/>
    </row>
    <row r="6402" spans="12:29" x14ac:dyDescent="0.3">
      <c r="L6402" s="36"/>
      <c r="R6402" s="34"/>
      <c r="AC6402" s="36"/>
    </row>
    <row r="6403" spans="12:29" x14ac:dyDescent="0.3">
      <c r="L6403" s="36"/>
      <c r="R6403" s="34"/>
      <c r="AC6403" s="36"/>
    </row>
    <row r="6404" spans="12:29" x14ac:dyDescent="0.3">
      <c r="L6404" s="36"/>
      <c r="R6404" s="34"/>
      <c r="AC6404" s="36"/>
    </row>
    <row r="6405" spans="12:29" x14ac:dyDescent="0.3">
      <c r="L6405" s="36"/>
      <c r="R6405" s="34"/>
      <c r="AC6405" s="36"/>
    </row>
    <row r="6406" spans="12:29" x14ac:dyDescent="0.3">
      <c r="L6406" s="36"/>
      <c r="R6406" s="34"/>
      <c r="AC6406" s="36"/>
    </row>
    <row r="6407" spans="12:29" x14ac:dyDescent="0.3">
      <c r="L6407" s="36"/>
      <c r="R6407" s="34"/>
      <c r="AC6407" s="36"/>
    </row>
    <row r="6408" spans="12:29" x14ac:dyDescent="0.3">
      <c r="L6408" s="36"/>
      <c r="R6408" s="34"/>
      <c r="AC6408" s="36"/>
    </row>
    <row r="6409" spans="12:29" x14ac:dyDescent="0.3">
      <c r="L6409" s="36"/>
      <c r="R6409" s="34"/>
      <c r="AC6409" s="36"/>
    </row>
    <row r="6410" spans="12:29" x14ac:dyDescent="0.3">
      <c r="L6410" s="36"/>
      <c r="R6410" s="34"/>
      <c r="AC6410" s="36"/>
    </row>
    <row r="6411" spans="12:29" x14ac:dyDescent="0.3">
      <c r="L6411" s="36"/>
      <c r="R6411" s="34"/>
      <c r="AC6411" s="36"/>
    </row>
    <row r="6412" spans="12:29" x14ac:dyDescent="0.3">
      <c r="L6412" s="36"/>
      <c r="R6412" s="34"/>
      <c r="AC6412" s="36"/>
    </row>
    <row r="6413" spans="12:29" x14ac:dyDescent="0.3">
      <c r="L6413" s="36"/>
      <c r="R6413" s="34"/>
      <c r="AC6413" s="36"/>
    </row>
    <row r="6414" spans="12:29" x14ac:dyDescent="0.3">
      <c r="L6414" s="36"/>
      <c r="R6414" s="34"/>
      <c r="AC6414" s="36"/>
    </row>
    <row r="6415" spans="12:29" x14ac:dyDescent="0.3">
      <c r="L6415" s="36"/>
      <c r="R6415" s="34"/>
      <c r="AC6415" s="36"/>
    </row>
    <row r="6416" spans="12:29" x14ac:dyDescent="0.3">
      <c r="L6416" s="36"/>
      <c r="R6416" s="34"/>
      <c r="AC6416" s="36"/>
    </row>
    <row r="6417" spans="12:29" x14ac:dyDescent="0.3">
      <c r="L6417" s="36"/>
      <c r="R6417" s="34"/>
      <c r="AC6417" s="36"/>
    </row>
    <row r="6418" spans="12:29" x14ac:dyDescent="0.3">
      <c r="L6418" s="36"/>
      <c r="R6418" s="34"/>
      <c r="AC6418" s="36"/>
    </row>
    <row r="6419" spans="12:29" x14ac:dyDescent="0.3">
      <c r="L6419" s="36"/>
      <c r="R6419" s="34"/>
      <c r="AC6419" s="36"/>
    </row>
    <row r="6420" spans="12:29" x14ac:dyDescent="0.3">
      <c r="L6420" s="36"/>
      <c r="R6420" s="34"/>
      <c r="AC6420" s="36"/>
    </row>
    <row r="6421" spans="12:29" x14ac:dyDescent="0.3">
      <c r="L6421" s="36"/>
      <c r="R6421" s="34"/>
      <c r="AC6421" s="36"/>
    </row>
    <row r="6422" spans="12:29" x14ac:dyDescent="0.3">
      <c r="L6422" s="36"/>
      <c r="R6422" s="34"/>
      <c r="AC6422" s="36"/>
    </row>
    <row r="6423" spans="12:29" x14ac:dyDescent="0.3">
      <c r="L6423" s="36"/>
      <c r="R6423" s="34"/>
      <c r="AC6423" s="36"/>
    </row>
    <row r="6424" spans="12:29" x14ac:dyDescent="0.3">
      <c r="L6424" s="36"/>
      <c r="R6424" s="34"/>
      <c r="AC6424" s="36"/>
    </row>
    <row r="6425" spans="12:29" x14ac:dyDescent="0.3">
      <c r="L6425" s="36"/>
      <c r="R6425" s="34"/>
      <c r="AC6425" s="36"/>
    </row>
    <row r="6426" spans="12:29" x14ac:dyDescent="0.3">
      <c r="L6426" s="36"/>
      <c r="R6426" s="34"/>
      <c r="AC6426" s="36"/>
    </row>
    <row r="6427" spans="12:29" x14ac:dyDescent="0.3">
      <c r="L6427" s="36"/>
      <c r="R6427" s="34"/>
      <c r="AC6427" s="36"/>
    </row>
    <row r="6428" spans="12:29" x14ac:dyDescent="0.3">
      <c r="L6428" s="36"/>
      <c r="R6428" s="34"/>
      <c r="AC6428" s="36"/>
    </row>
    <row r="6429" spans="12:29" x14ac:dyDescent="0.3">
      <c r="L6429" s="36"/>
      <c r="R6429" s="34"/>
      <c r="AC6429" s="36"/>
    </row>
    <row r="6430" spans="12:29" x14ac:dyDescent="0.3">
      <c r="L6430" s="36"/>
      <c r="R6430" s="34"/>
      <c r="AC6430" s="36"/>
    </row>
    <row r="6431" spans="12:29" x14ac:dyDescent="0.3">
      <c r="L6431" s="36"/>
      <c r="R6431" s="34"/>
      <c r="AC6431" s="36"/>
    </row>
    <row r="6432" spans="12:29" x14ac:dyDescent="0.3">
      <c r="L6432" s="36"/>
      <c r="R6432" s="34"/>
      <c r="AC6432" s="36"/>
    </row>
    <row r="6433" spans="12:29" x14ac:dyDescent="0.3">
      <c r="L6433" s="36"/>
      <c r="R6433" s="34"/>
      <c r="AC6433" s="36"/>
    </row>
    <row r="6434" spans="12:29" x14ac:dyDescent="0.3">
      <c r="L6434" s="36"/>
      <c r="R6434" s="34"/>
      <c r="AC6434" s="36"/>
    </row>
    <row r="6435" spans="12:29" x14ac:dyDescent="0.3">
      <c r="L6435" s="36"/>
      <c r="R6435" s="34"/>
      <c r="AC6435" s="36"/>
    </row>
    <row r="6436" spans="12:29" x14ac:dyDescent="0.3">
      <c r="L6436" s="36"/>
      <c r="R6436" s="34"/>
      <c r="AC6436" s="36"/>
    </row>
    <row r="6437" spans="12:29" x14ac:dyDescent="0.3">
      <c r="L6437" s="36"/>
      <c r="R6437" s="34"/>
      <c r="AC6437" s="36"/>
    </row>
    <row r="6438" spans="12:29" x14ac:dyDescent="0.3">
      <c r="L6438" s="36"/>
      <c r="R6438" s="34"/>
      <c r="AC6438" s="36"/>
    </row>
    <row r="6439" spans="12:29" x14ac:dyDescent="0.3">
      <c r="L6439" s="36"/>
      <c r="R6439" s="34"/>
      <c r="AC6439" s="36"/>
    </row>
    <row r="6440" spans="12:29" x14ac:dyDescent="0.3">
      <c r="L6440" s="36"/>
      <c r="R6440" s="34"/>
      <c r="AC6440" s="36"/>
    </row>
    <row r="6441" spans="12:29" x14ac:dyDescent="0.3">
      <c r="L6441" s="36"/>
      <c r="R6441" s="34"/>
      <c r="AC6441" s="36"/>
    </row>
    <row r="6442" spans="12:29" x14ac:dyDescent="0.3">
      <c r="L6442" s="36"/>
      <c r="R6442" s="34"/>
      <c r="AC6442" s="36"/>
    </row>
    <row r="6443" spans="12:29" x14ac:dyDescent="0.3">
      <c r="L6443" s="36"/>
      <c r="R6443" s="34"/>
      <c r="AC6443" s="36"/>
    </row>
    <row r="6444" spans="12:29" x14ac:dyDescent="0.3">
      <c r="L6444" s="36"/>
      <c r="R6444" s="34"/>
      <c r="AC6444" s="36"/>
    </row>
    <row r="6445" spans="12:29" x14ac:dyDescent="0.3">
      <c r="L6445" s="36"/>
      <c r="R6445" s="34"/>
      <c r="AC6445" s="36"/>
    </row>
    <row r="6446" spans="12:29" x14ac:dyDescent="0.3">
      <c r="L6446" s="36"/>
      <c r="R6446" s="34"/>
      <c r="AC6446" s="36"/>
    </row>
    <row r="6447" spans="12:29" x14ac:dyDescent="0.3">
      <c r="L6447" s="36"/>
      <c r="R6447" s="34"/>
      <c r="AC6447" s="36"/>
    </row>
    <row r="6448" spans="12:29" x14ac:dyDescent="0.3">
      <c r="L6448" s="36"/>
      <c r="R6448" s="34"/>
      <c r="AC6448" s="36"/>
    </row>
    <row r="6449" spans="12:29" x14ac:dyDescent="0.3">
      <c r="L6449" s="36"/>
      <c r="R6449" s="34"/>
      <c r="AC6449" s="36"/>
    </row>
    <row r="6450" spans="12:29" x14ac:dyDescent="0.3">
      <c r="L6450" s="36"/>
      <c r="R6450" s="34"/>
      <c r="AC6450" s="36"/>
    </row>
    <row r="6451" spans="12:29" x14ac:dyDescent="0.3">
      <c r="L6451" s="36"/>
      <c r="R6451" s="34"/>
      <c r="AC6451" s="36"/>
    </row>
    <row r="6452" spans="12:29" x14ac:dyDescent="0.3">
      <c r="L6452" s="36"/>
      <c r="R6452" s="34"/>
      <c r="AC6452" s="36"/>
    </row>
    <row r="6453" spans="12:29" x14ac:dyDescent="0.3">
      <c r="L6453" s="36"/>
      <c r="R6453" s="34"/>
      <c r="AC6453" s="36"/>
    </row>
    <row r="6454" spans="12:29" x14ac:dyDescent="0.3">
      <c r="L6454" s="36"/>
      <c r="R6454" s="34"/>
      <c r="AC6454" s="36"/>
    </row>
    <row r="6455" spans="12:29" x14ac:dyDescent="0.3">
      <c r="L6455" s="36"/>
      <c r="R6455" s="34"/>
      <c r="AC6455" s="36"/>
    </row>
    <row r="6456" spans="12:29" x14ac:dyDescent="0.3">
      <c r="L6456" s="36"/>
      <c r="R6456" s="34"/>
      <c r="AC6456" s="36"/>
    </row>
    <row r="6457" spans="12:29" x14ac:dyDescent="0.3">
      <c r="L6457" s="36"/>
      <c r="R6457" s="34"/>
      <c r="AC6457" s="36"/>
    </row>
    <row r="6458" spans="12:29" x14ac:dyDescent="0.3">
      <c r="L6458" s="36"/>
      <c r="R6458" s="34"/>
      <c r="AC6458" s="36"/>
    </row>
    <row r="6459" spans="12:29" x14ac:dyDescent="0.3">
      <c r="L6459" s="36"/>
      <c r="R6459" s="34"/>
      <c r="AC6459" s="36"/>
    </row>
    <row r="6460" spans="12:29" x14ac:dyDescent="0.3">
      <c r="L6460" s="36"/>
      <c r="R6460" s="34"/>
      <c r="AC6460" s="36"/>
    </row>
    <row r="6461" spans="12:29" x14ac:dyDescent="0.3">
      <c r="L6461" s="36"/>
      <c r="R6461" s="34"/>
      <c r="AC6461" s="36"/>
    </row>
    <row r="6462" spans="12:29" x14ac:dyDescent="0.3">
      <c r="L6462" s="36"/>
      <c r="R6462" s="34"/>
      <c r="AC6462" s="36"/>
    </row>
    <row r="6463" spans="12:29" x14ac:dyDescent="0.3">
      <c r="L6463" s="36"/>
      <c r="R6463" s="34"/>
      <c r="AC6463" s="36"/>
    </row>
    <row r="6464" spans="12:29" x14ac:dyDescent="0.3">
      <c r="L6464" s="36"/>
      <c r="R6464" s="34"/>
      <c r="AC6464" s="36"/>
    </row>
    <row r="6465" spans="12:29" x14ac:dyDescent="0.3">
      <c r="L6465" s="36"/>
      <c r="R6465" s="34"/>
      <c r="AC6465" s="36"/>
    </row>
    <row r="6466" spans="12:29" x14ac:dyDescent="0.3">
      <c r="L6466" s="36"/>
      <c r="R6466" s="34"/>
      <c r="AC6466" s="36"/>
    </row>
    <row r="6467" spans="12:29" x14ac:dyDescent="0.3">
      <c r="L6467" s="36"/>
      <c r="R6467" s="34"/>
      <c r="AC6467" s="36"/>
    </row>
    <row r="6468" spans="12:29" x14ac:dyDescent="0.3">
      <c r="L6468" s="36"/>
      <c r="R6468" s="34"/>
      <c r="AC6468" s="36"/>
    </row>
    <row r="6469" spans="12:29" x14ac:dyDescent="0.3">
      <c r="L6469" s="36"/>
      <c r="R6469" s="34"/>
      <c r="AC6469" s="36"/>
    </row>
    <row r="6470" spans="12:29" x14ac:dyDescent="0.3">
      <c r="L6470" s="36"/>
      <c r="R6470" s="34"/>
      <c r="AC6470" s="36"/>
    </row>
    <row r="6471" spans="12:29" x14ac:dyDescent="0.3">
      <c r="L6471" s="36"/>
      <c r="R6471" s="34"/>
      <c r="AC6471" s="36"/>
    </row>
    <row r="6472" spans="12:29" x14ac:dyDescent="0.3">
      <c r="L6472" s="36"/>
      <c r="R6472" s="34"/>
      <c r="AC6472" s="36"/>
    </row>
    <row r="6473" spans="12:29" x14ac:dyDescent="0.3">
      <c r="L6473" s="36"/>
      <c r="R6473" s="34"/>
      <c r="AC6473" s="36"/>
    </row>
    <row r="6474" spans="12:29" x14ac:dyDescent="0.3">
      <c r="L6474" s="36"/>
      <c r="R6474" s="34"/>
      <c r="AC6474" s="36"/>
    </row>
    <row r="6475" spans="12:29" x14ac:dyDescent="0.3">
      <c r="L6475" s="36"/>
      <c r="R6475" s="34"/>
      <c r="AC6475" s="36"/>
    </row>
    <row r="6476" spans="12:29" x14ac:dyDescent="0.3">
      <c r="L6476" s="36"/>
      <c r="R6476" s="34"/>
      <c r="AC6476" s="36"/>
    </row>
    <row r="6477" spans="12:29" x14ac:dyDescent="0.3">
      <c r="L6477" s="36"/>
      <c r="R6477" s="34"/>
      <c r="AC6477" s="36"/>
    </row>
    <row r="6478" spans="12:29" x14ac:dyDescent="0.3">
      <c r="L6478" s="36"/>
      <c r="R6478" s="34"/>
      <c r="AC6478" s="36"/>
    </row>
    <row r="6479" spans="12:29" x14ac:dyDescent="0.3">
      <c r="L6479" s="36"/>
      <c r="R6479" s="34"/>
      <c r="AC6479" s="36"/>
    </row>
    <row r="6480" spans="12:29" x14ac:dyDescent="0.3">
      <c r="L6480" s="36"/>
      <c r="R6480" s="34"/>
      <c r="AC6480" s="36"/>
    </row>
    <row r="6481" spans="12:29" x14ac:dyDescent="0.3">
      <c r="L6481" s="36"/>
      <c r="R6481" s="34"/>
      <c r="AC6481" s="36"/>
    </row>
    <row r="6482" spans="12:29" x14ac:dyDescent="0.3">
      <c r="L6482" s="36"/>
      <c r="R6482" s="34"/>
      <c r="AC6482" s="36"/>
    </row>
    <row r="6483" spans="12:29" x14ac:dyDescent="0.3">
      <c r="L6483" s="36"/>
      <c r="R6483" s="34"/>
      <c r="AC6483" s="36"/>
    </row>
    <row r="6484" spans="12:29" x14ac:dyDescent="0.3">
      <c r="L6484" s="36"/>
      <c r="R6484" s="34"/>
      <c r="AC6484" s="36"/>
    </row>
    <row r="6485" spans="12:29" x14ac:dyDescent="0.3">
      <c r="L6485" s="36"/>
      <c r="R6485" s="34"/>
      <c r="AC6485" s="36"/>
    </row>
    <row r="6486" spans="12:29" x14ac:dyDescent="0.3">
      <c r="L6486" s="36"/>
      <c r="R6486" s="34"/>
      <c r="AC6486" s="36"/>
    </row>
    <row r="6487" spans="12:29" x14ac:dyDescent="0.3">
      <c r="L6487" s="36"/>
      <c r="R6487" s="34"/>
      <c r="AC6487" s="36"/>
    </row>
    <row r="6488" spans="12:29" x14ac:dyDescent="0.3">
      <c r="L6488" s="36"/>
      <c r="R6488" s="34"/>
      <c r="AC6488" s="36"/>
    </row>
    <row r="6489" spans="12:29" x14ac:dyDescent="0.3">
      <c r="L6489" s="36"/>
      <c r="R6489" s="34"/>
      <c r="AC6489" s="36"/>
    </row>
    <row r="6490" spans="12:29" x14ac:dyDescent="0.3">
      <c r="L6490" s="36"/>
      <c r="R6490" s="34"/>
      <c r="AC6490" s="36"/>
    </row>
    <row r="6491" spans="12:29" x14ac:dyDescent="0.3">
      <c r="L6491" s="36"/>
      <c r="R6491" s="34"/>
      <c r="AC6491" s="36"/>
    </row>
    <row r="6492" spans="12:29" x14ac:dyDescent="0.3">
      <c r="L6492" s="36"/>
      <c r="R6492" s="34"/>
      <c r="AC6492" s="36"/>
    </row>
    <row r="6493" spans="12:29" x14ac:dyDescent="0.3">
      <c r="L6493" s="36"/>
      <c r="R6493" s="34"/>
      <c r="AC6493" s="36"/>
    </row>
    <row r="6494" spans="12:29" x14ac:dyDescent="0.3">
      <c r="L6494" s="36"/>
      <c r="R6494" s="34"/>
      <c r="AC6494" s="36"/>
    </row>
    <row r="6495" spans="12:29" x14ac:dyDescent="0.3">
      <c r="L6495" s="36"/>
      <c r="R6495" s="34"/>
      <c r="AC6495" s="36"/>
    </row>
    <row r="6496" spans="12:29" x14ac:dyDescent="0.3">
      <c r="L6496" s="36"/>
      <c r="R6496" s="34"/>
      <c r="AC6496" s="36"/>
    </row>
    <row r="6497" spans="12:29" x14ac:dyDescent="0.3">
      <c r="L6497" s="36"/>
      <c r="R6497" s="34"/>
      <c r="AC6497" s="36"/>
    </row>
    <row r="6498" spans="12:29" x14ac:dyDescent="0.3">
      <c r="L6498" s="36"/>
      <c r="R6498" s="34"/>
      <c r="AC6498" s="36"/>
    </row>
    <row r="6499" spans="12:29" x14ac:dyDescent="0.3">
      <c r="L6499" s="36"/>
      <c r="R6499" s="34"/>
      <c r="AC6499" s="36"/>
    </row>
    <row r="6500" spans="12:29" x14ac:dyDescent="0.3">
      <c r="L6500" s="36"/>
      <c r="R6500" s="34"/>
      <c r="AC6500" s="36"/>
    </row>
    <row r="6501" spans="12:29" x14ac:dyDescent="0.3">
      <c r="L6501" s="36"/>
      <c r="R6501" s="34"/>
      <c r="AC6501" s="36"/>
    </row>
    <row r="6502" spans="12:29" x14ac:dyDescent="0.3">
      <c r="L6502" s="36"/>
      <c r="R6502" s="34"/>
      <c r="AC6502" s="36"/>
    </row>
    <row r="6503" spans="12:29" x14ac:dyDescent="0.3">
      <c r="L6503" s="36"/>
      <c r="R6503" s="34"/>
      <c r="AC6503" s="36"/>
    </row>
    <row r="6504" spans="12:29" x14ac:dyDescent="0.3">
      <c r="L6504" s="36"/>
      <c r="R6504" s="34"/>
      <c r="AC6504" s="36"/>
    </row>
    <row r="6505" spans="12:29" x14ac:dyDescent="0.3">
      <c r="L6505" s="36"/>
      <c r="R6505" s="34"/>
      <c r="AC6505" s="36"/>
    </row>
    <row r="6506" spans="12:29" x14ac:dyDescent="0.3">
      <c r="L6506" s="36"/>
      <c r="R6506" s="34"/>
      <c r="AC6506" s="36"/>
    </row>
    <row r="6507" spans="12:29" x14ac:dyDescent="0.3">
      <c r="L6507" s="36"/>
      <c r="R6507" s="34"/>
      <c r="AC6507" s="36"/>
    </row>
    <row r="6508" spans="12:29" x14ac:dyDescent="0.3">
      <c r="L6508" s="36"/>
      <c r="R6508" s="34"/>
      <c r="AC6508" s="36"/>
    </row>
    <row r="6509" spans="12:29" x14ac:dyDescent="0.3">
      <c r="L6509" s="36"/>
      <c r="R6509" s="34"/>
      <c r="AC6509" s="36"/>
    </row>
    <row r="6510" spans="12:29" x14ac:dyDescent="0.3">
      <c r="L6510" s="36"/>
      <c r="R6510" s="34"/>
      <c r="AC6510" s="36"/>
    </row>
    <row r="6511" spans="12:29" x14ac:dyDescent="0.3">
      <c r="L6511" s="36"/>
      <c r="R6511" s="34"/>
      <c r="AC6511" s="36"/>
    </row>
    <row r="6512" spans="12:29" x14ac:dyDescent="0.3">
      <c r="L6512" s="36"/>
      <c r="R6512" s="34"/>
      <c r="AC6512" s="36"/>
    </row>
    <row r="6513" spans="12:29" x14ac:dyDescent="0.3">
      <c r="L6513" s="36"/>
      <c r="R6513" s="34"/>
      <c r="AC6513" s="36"/>
    </row>
    <row r="6514" spans="12:29" x14ac:dyDescent="0.3">
      <c r="L6514" s="36"/>
      <c r="R6514" s="34"/>
      <c r="AC6514" s="36"/>
    </row>
    <row r="6515" spans="12:29" x14ac:dyDescent="0.3">
      <c r="L6515" s="36"/>
      <c r="R6515" s="34"/>
      <c r="AC6515" s="36"/>
    </row>
    <row r="6516" spans="12:29" x14ac:dyDescent="0.3">
      <c r="L6516" s="36"/>
      <c r="R6516" s="34"/>
      <c r="AC6516" s="36"/>
    </row>
    <row r="6517" spans="12:29" x14ac:dyDescent="0.3">
      <c r="L6517" s="36"/>
      <c r="R6517" s="34"/>
      <c r="AC6517" s="36"/>
    </row>
    <row r="6518" spans="12:29" x14ac:dyDescent="0.3">
      <c r="L6518" s="36"/>
      <c r="R6518" s="34"/>
      <c r="AC6518" s="36"/>
    </row>
    <row r="6519" spans="12:29" x14ac:dyDescent="0.3">
      <c r="L6519" s="36"/>
      <c r="R6519" s="34"/>
      <c r="AC6519" s="36"/>
    </row>
    <row r="6520" spans="12:29" x14ac:dyDescent="0.3">
      <c r="L6520" s="36"/>
      <c r="R6520" s="34"/>
      <c r="AC6520" s="36"/>
    </row>
    <row r="6521" spans="12:29" x14ac:dyDescent="0.3">
      <c r="L6521" s="36"/>
      <c r="R6521" s="34"/>
      <c r="AC6521" s="36"/>
    </row>
    <row r="6522" spans="12:29" x14ac:dyDescent="0.3">
      <c r="L6522" s="36"/>
      <c r="R6522" s="34"/>
      <c r="AC6522" s="36"/>
    </row>
    <row r="6523" spans="12:29" x14ac:dyDescent="0.3">
      <c r="L6523" s="36"/>
      <c r="R6523" s="34"/>
      <c r="AC6523" s="36"/>
    </row>
    <row r="6524" spans="12:29" x14ac:dyDescent="0.3">
      <c r="L6524" s="36"/>
      <c r="R6524" s="34"/>
      <c r="AC6524" s="36"/>
    </row>
    <row r="6525" spans="12:29" x14ac:dyDescent="0.3">
      <c r="L6525" s="36"/>
      <c r="R6525" s="34"/>
      <c r="AC6525" s="36"/>
    </row>
    <row r="6526" spans="12:29" x14ac:dyDescent="0.3">
      <c r="L6526" s="36"/>
      <c r="R6526" s="34"/>
      <c r="AC6526" s="36"/>
    </row>
    <row r="6527" spans="12:29" x14ac:dyDescent="0.3">
      <c r="L6527" s="36"/>
      <c r="R6527" s="34"/>
      <c r="AC6527" s="36"/>
    </row>
    <row r="6528" spans="12:29" x14ac:dyDescent="0.3">
      <c r="L6528" s="36"/>
      <c r="R6528" s="34"/>
      <c r="AC6528" s="36"/>
    </row>
    <row r="6529" spans="12:29" x14ac:dyDescent="0.3">
      <c r="L6529" s="36"/>
      <c r="R6529" s="34"/>
      <c r="AC6529" s="36"/>
    </row>
    <row r="6530" spans="12:29" x14ac:dyDescent="0.3">
      <c r="L6530" s="36"/>
      <c r="R6530" s="34"/>
      <c r="AC6530" s="36"/>
    </row>
    <row r="6531" spans="12:29" x14ac:dyDescent="0.3">
      <c r="L6531" s="36"/>
      <c r="R6531" s="34"/>
      <c r="AC6531" s="36"/>
    </row>
    <row r="6532" spans="12:29" x14ac:dyDescent="0.3">
      <c r="L6532" s="36"/>
      <c r="R6532" s="34"/>
      <c r="AC6532" s="36"/>
    </row>
    <row r="6533" spans="12:29" x14ac:dyDescent="0.3">
      <c r="L6533" s="36"/>
      <c r="R6533" s="34"/>
      <c r="AC6533" s="36"/>
    </row>
    <row r="6534" spans="12:29" x14ac:dyDescent="0.3">
      <c r="L6534" s="36"/>
      <c r="R6534" s="34"/>
      <c r="AC6534" s="36"/>
    </row>
    <row r="6535" spans="12:29" x14ac:dyDescent="0.3">
      <c r="L6535" s="36"/>
      <c r="R6535" s="34"/>
      <c r="AC6535" s="36"/>
    </row>
    <row r="6536" spans="12:29" x14ac:dyDescent="0.3">
      <c r="L6536" s="36"/>
      <c r="R6536" s="34"/>
      <c r="AC6536" s="36"/>
    </row>
    <row r="6537" spans="12:29" x14ac:dyDescent="0.3">
      <c r="L6537" s="36"/>
      <c r="R6537" s="34"/>
      <c r="AC6537" s="36"/>
    </row>
    <row r="6538" spans="12:29" x14ac:dyDescent="0.3">
      <c r="L6538" s="36"/>
      <c r="R6538" s="34"/>
      <c r="AC6538" s="36"/>
    </row>
    <row r="6539" spans="12:29" x14ac:dyDescent="0.3">
      <c r="L6539" s="36"/>
      <c r="R6539" s="34"/>
      <c r="AC6539" s="36"/>
    </row>
    <row r="6540" spans="12:29" x14ac:dyDescent="0.3">
      <c r="L6540" s="36"/>
      <c r="R6540" s="34"/>
      <c r="AC6540" s="36"/>
    </row>
    <row r="6541" spans="12:29" x14ac:dyDescent="0.3">
      <c r="L6541" s="36"/>
      <c r="R6541" s="34"/>
      <c r="AC6541" s="36"/>
    </row>
    <row r="6542" spans="12:29" x14ac:dyDescent="0.3">
      <c r="L6542" s="36"/>
      <c r="R6542" s="34"/>
      <c r="AC6542" s="36"/>
    </row>
    <row r="6543" spans="12:29" x14ac:dyDescent="0.3">
      <c r="L6543" s="36"/>
      <c r="R6543" s="34"/>
      <c r="AC6543" s="36"/>
    </row>
    <row r="6544" spans="12:29" x14ac:dyDescent="0.3">
      <c r="L6544" s="36"/>
      <c r="R6544" s="34"/>
      <c r="AC6544" s="36"/>
    </row>
    <row r="6545" spans="12:29" x14ac:dyDescent="0.3">
      <c r="L6545" s="36"/>
      <c r="R6545" s="34"/>
      <c r="AC6545" s="36"/>
    </row>
    <row r="6546" spans="12:29" x14ac:dyDescent="0.3">
      <c r="L6546" s="36"/>
      <c r="R6546" s="34"/>
      <c r="AC6546" s="36"/>
    </row>
    <row r="6547" spans="12:29" x14ac:dyDescent="0.3">
      <c r="L6547" s="36"/>
      <c r="R6547" s="34"/>
      <c r="AC6547" s="36"/>
    </row>
    <row r="6548" spans="12:29" x14ac:dyDescent="0.3">
      <c r="L6548" s="36"/>
      <c r="R6548" s="34"/>
      <c r="AC6548" s="36"/>
    </row>
    <row r="6549" spans="12:29" x14ac:dyDescent="0.3">
      <c r="L6549" s="36"/>
      <c r="R6549" s="34"/>
      <c r="AC6549" s="36"/>
    </row>
    <row r="6550" spans="12:29" x14ac:dyDescent="0.3">
      <c r="L6550" s="36"/>
      <c r="R6550" s="34"/>
      <c r="AC6550" s="36"/>
    </row>
    <row r="6551" spans="12:29" x14ac:dyDescent="0.3">
      <c r="L6551" s="36"/>
      <c r="R6551" s="34"/>
      <c r="AC6551" s="36"/>
    </row>
    <row r="6552" spans="12:29" x14ac:dyDescent="0.3">
      <c r="L6552" s="36"/>
      <c r="R6552" s="34"/>
      <c r="AC6552" s="36"/>
    </row>
    <row r="6553" spans="12:29" x14ac:dyDescent="0.3">
      <c r="L6553" s="36"/>
      <c r="R6553" s="34"/>
      <c r="AC6553" s="36"/>
    </row>
    <row r="6554" spans="12:29" x14ac:dyDescent="0.3">
      <c r="L6554" s="36"/>
      <c r="R6554" s="34"/>
      <c r="AC6554" s="36"/>
    </row>
    <row r="6555" spans="12:29" x14ac:dyDescent="0.3">
      <c r="L6555" s="36"/>
      <c r="R6555" s="34"/>
      <c r="AC6555" s="36"/>
    </row>
    <row r="6556" spans="12:29" x14ac:dyDescent="0.3">
      <c r="L6556" s="36"/>
      <c r="R6556" s="34"/>
      <c r="AC6556" s="36"/>
    </row>
    <row r="6557" spans="12:29" x14ac:dyDescent="0.3">
      <c r="L6557" s="36"/>
      <c r="R6557" s="34"/>
      <c r="AC6557" s="36"/>
    </row>
    <row r="6558" spans="12:29" x14ac:dyDescent="0.3">
      <c r="L6558" s="36"/>
      <c r="R6558" s="34"/>
      <c r="AC6558" s="36"/>
    </row>
    <row r="6559" spans="12:29" x14ac:dyDescent="0.3">
      <c r="L6559" s="36"/>
      <c r="R6559" s="34"/>
      <c r="AC6559" s="36"/>
    </row>
    <row r="6560" spans="12:29" x14ac:dyDescent="0.3">
      <c r="L6560" s="36"/>
      <c r="R6560" s="34"/>
      <c r="AC6560" s="36"/>
    </row>
    <row r="6561" spans="12:29" x14ac:dyDescent="0.3">
      <c r="L6561" s="36"/>
      <c r="R6561" s="34"/>
      <c r="AC6561" s="36"/>
    </row>
    <row r="6562" spans="12:29" x14ac:dyDescent="0.3">
      <c r="L6562" s="36"/>
      <c r="R6562" s="34"/>
      <c r="AC6562" s="36"/>
    </row>
    <row r="6563" spans="12:29" x14ac:dyDescent="0.3">
      <c r="L6563" s="36"/>
      <c r="R6563" s="34"/>
      <c r="AC6563" s="36"/>
    </row>
    <row r="6564" spans="12:29" x14ac:dyDescent="0.3">
      <c r="L6564" s="36"/>
      <c r="R6564" s="34"/>
      <c r="AC6564" s="36"/>
    </row>
    <row r="6565" spans="12:29" x14ac:dyDescent="0.3">
      <c r="L6565" s="36"/>
      <c r="R6565" s="34"/>
      <c r="AC6565" s="36"/>
    </row>
    <row r="6566" spans="12:29" x14ac:dyDescent="0.3">
      <c r="L6566" s="36"/>
      <c r="R6566" s="34"/>
      <c r="AC6566" s="36"/>
    </row>
    <row r="6567" spans="12:29" x14ac:dyDescent="0.3">
      <c r="L6567" s="36"/>
      <c r="R6567" s="34"/>
      <c r="AC6567" s="36"/>
    </row>
    <row r="6568" spans="12:29" x14ac:dyDescent="0.3">
      <c r="L6568" s="36"/>
      <c r="R6568" s="34"/>
      <c r="AC6568" s="36"/>
    </row>
    <row r="6569" spans="12:29" x14ac:dyDescent="0.3">
      <c r="L6569" s="36"/>
      <c r="R6569" s="34"/>
      <c r="AC6569" s="36"/>
    </row>
    <row r="6570" spans="12:29" x14ac:dyDescent="0.3">
      <c r="L6570" s="36"/>
      <c r="R6570" s="34"/>
      <c r="AC6570" s="36"/>
    </row>
    <row r="6571" spans="12:29" x14ac:dyDescent="0.3">
      <c r="L6571" s="36"/>
      <c r="R6571" s="34"/>
      <c r="AC6571" s="36"/>
    </row>
    <row r="6572" spans="12:29" x14ac:dyDescent="0.3">
      <c r="L6572" s="36"/>
      <c r="R6572" s="34"/>
      <c r="AC6572" s="36"/>
    </row>
    <row r="6573" spans="12:29" x14ac:dyDescent="0.3">
      <c r="L6573" s="36"/>
      <c r="R6573" s="34"/>
      <c r="AC6573" s="36"/>
    </row>
    <row r="6574" spans="12:29" x14ac:dyDescent="0.3">
      <c r="L6574" s="36"/>
      <c r="R6574" s="34"/>
      <c r="AC6574" s="36"/>
    </row>
    <row r="6575" spans="12:29" x14ac:dyDescent="0.3">
      <c r="L6575" s="36"/>
      <c r="R6575" s="34"/>
      <c r="AC6575" s="36"/>
    </row>
    <row r="6576" spans="12:29" x14ac:dyDescent="0.3">
      <c r="L6576" s="36"/>
      <c r="R6576" s="34"/>
      <c r="AC6576" s="36"/>
    </row>
    <row r="6577" spans="12:29" x14ac:dyDescent="0.3">
      <c r="L6577" s="36"/>
      <c r="R6577" s="34"/>
      <c r="AC6577" s="36"/>
    </row>
    <row r="6578" spans="12:29" x14ac:dyDescent="0.3">
      <c r="L6578" s="36"/>
      <c r="R6578" s="34"/>
      <c r="AC6578" s="36"/>
    </row>
    <row r="6579" spans="12:29" x14ac:dyDescent="0.3">
      <c r="L6579" s="36"/>
      <c r="R6579" s="34"/>
      <c r="AC6579" s="36"/>
    </row>
    <row r="6580" spans="12:29" x14ac:dyDescent="0.3">
      <c r="L6580" s="36"/>
      <c r="R6580" s="34"/>
      <c r="AC6580" s="36"/>
    </row>
    <row r="6581" spans="12:29" x14ac:dyDescent="0.3">
      <c r="L6581" s="36"/>
      <c r="R6581" s="34"/>
      <c r="AC6581" s="36"/>
    </row>
    <row r="6582" spans="12:29" x14ac:dyDescent="0.3">
      <c r="L6582" s="36"/>
      <c r="R6582" s="34"/>
      <c r="AC6582" s="36"/>
    </row>
    <row r="6583" spans="12:29" x14ac:dyDescent="0.3">
      <c r="L6583" s="36"/>
      <c r="R6583" s="34"/>
      <c r="AC6583" s="36"/>
    </row>
    <row r="6584" spans="12:29" x14ac:dyDescent="0.3">
      <c r="L6584" s="36"/>
      <c r="R6584" s="34"/>
      <c r="AC6584" s="36"/>
    </row>
    <row r="6585" spans="12:29" x14ac:dyDescent="0.3">
      <c r="L6585" s="36"/>
      <c r="R6585" s="34"/>
      <c r="AC6585" s="36"/>
    </row>
    <row r="6586" spans="12:29" x14ac:dyDescent="0.3">
      <c r="L6586" s="36"/>
      <c r="R6586" s="34"/>
      <c r="AC6586" s="36"/>
    </row>
    <row r="6587" spans="12:29" x14ac:dyDescent="0.3">
      <c r="L6587" s="36"/>
      <c r="R6587" s="34"/>
      <c r="AC6587" s="36"/>
    </row>
    <row r="6588" spans="12:29" x14ac:dyDescent="0.3">
      <c r="L6588" s="36"/>
      <c r="R6588" s="34"/>
      <c r="AC6588" s="36"/>
    </row>
    <row r="6589" spans="12:29" x14ac:dyDescent="0.3">
      <c r="L6589" s="36"/>
      <c r="R6589" s="34"/>
      <c r="AC6589" s="36"/>
    </row>
    <row r="6590" spans="12:29" x14ac:dyDescent="0.3">
      <c r="L6590" s="36"/>
      <c r="R6590" s="34"/>
      <c r="AC6590" s="36"/>
    </row>
    <row r="6591" spans="12:29" x14ac:dyDescent="0.3">
      <c r="L6591" s="36"/>
      <c r="R6591" s="34"/>
      <c r="AC6591" s="36"/>
    </row>
    <row r="6592" spans="12:29" x14ac:dyDescent="0.3">
      <c r="L6592" s="36"/>
      <c r="R6592" s="34"/>
      <c r="AC6592" s="36"/>
    </row>
    <row r="6593" spans="12:29" x14ac:dyDescent="0.3">
      <c r="L6593" s="36"/>
      <c r="R6593" s="34"/>
      <c r="AC6593" s="36"/>
    </row>
    <row r="6594" spans="12:29" x14ac:dyDescent="0.3">
      <c r="L6594" s="36"/>
      <c r="R6594" s="34"/>
      <c r="AC6594" s="36"/>
    </row>
    <row r="6595" spans="12:29" x14ac:dyDescent="0.3">
      <c r="L6595" s="36"/>
      <c r="R6595" s="34"/>
      <c r="AC6595" s="36"/>
    </row>
    <row r="6596" spans="12:29" x14ac:dyDescent="0.3">
      <c r="L6596" s="36"/>
      <c r="R6596" s="34"/>
      <c r="AC6596" s="36"/>
    </row>
    <row r="6597" spans="12:29" x14ac:dyDescent="0.3">
      <c r="L6597" s="36"/>
      <c r="R6597" s="34"/>
      <c r="AC6597" s="36"/>
    </row>
    <row r="6598" spans="12:29" x14ac:dyDescent="0.3">
      <c r="L6598" s="36"/>
      <c r="R6598" s="34"/>
      <c r="AC6598" s="36"/>
    </row>
    <row r="6599" spans="12:29" x14ac:dyDescent="0.3">
      <c r="L6599" s="36"/>
      <c r="R6599" s="34"/>
      <c r="AC6599" s="36"/>
    </row>
    <row r="6600" spans="12:29" x14ac:dyDescent="0.3">
      <c r="L6600" s="36"/>
      <c r="R6600" s="34"/>
      <c r="AC6600" s="36"/>
    </row>
    <row r="6601" spans="12:29" x14ac:dyDescent="0.3">
      <c r="L6601" s="36"/>
      <c r="R6601" s="34"/>
      <c r="AC6601" s="36"/>
    </row>
    <row r="6602" spans="12:29" x14ac:dyDescent="0.3">
      <c r="L6602" s="36"/>
      <c r="R6602" s="34"/>
      <c r="AC6602" s="36"/>
    </row>
    <row r="6603" spans="12:29" x14ac:dyDescent="0.3">
      <c r="L6603" s="36"/>
      <c r="R6603" s="34"/>
      <c r="AC6603" s="36"/>
    </row>
    <row r="6604" spans="12:29" x14ac:dyDescent="0.3">
      <c r="L6604" s="36"/>
      <c r="R6604" s="34"/>
      <c r="AC6604" s="36"/>
    </row>
    <row r="6605" spans="12:29" x14ac:dyDescent="0.3">
      <c r="L6605" s="36"/>
      <c r="R6605" s="34"/>
      <c r="AC6605" s="36"/>
    </row>
    <row r="6606" spans="12:29" x14ac:dyDescent="0.3">
      <c r="L6606" s="36"/>
      <c r="R6606" s="34"/>
      <c r="AC6606" s="36"/>
    </row>
    <row r="6607" spans="12:29" x14ac:dyDescent="0.3">
      <c r="L6607" s="36"/>
      <c r="R6607" s="34"/>
      <c r="AC6607" s="36"/>
    </row>
    <row r="6608" spans="12:29" x14ac:dyDescent="0.3">
      <c r="L6608" s="36"/>
      <c r="R6608" s="34"/>
      <c r="AC6608" s="36"/>
    </row>
    <row r="6609" spans="12:29" x14ac:dyDescent="0.3">
      <c r="L6609" s="36"/>
      <c r="R6609" s="34"/>
      <c r="AC6609" s="36"/>
    </row>
    <row r="6610" spans="12:29" x14ac:dyDescent="0.3">
      <c r="L6610" s="36"/>
      <c r="R6610" s="34"/>
      <c r="AC6610" s="36"/>
    </row>
    <row r="6611" spans="12:29" x14ac:dyDescent="0.3">
      <c r="L6611" s="36"/>
      <c r="R6611" s="34"/>
      <c r="AC6611" s="36"/>
    </row>
    <row r="6612" spans="12:29" x14ac:dyDescent="0.3">
      <c r="L6612" s="36"/>
      <c r="R6612" s="34"/>
      <c r="AC6612" s="36"/>
    </row>
    <row r="6613" spans="12:29" x14ac:dyDescent="0.3">
      <c r="L6613" s="36"/>
      <c r="R6613" s="34"/>
      <c r="AC6613" s="36"/>
    </row>
    <row r="6614" spans="12:29" x14ac:dyDescent="0.3">
      <c r="L6614" s="36"/>
      <c r="R6614" s="34"/>
      <c r="AC6614" s="36"/>
    </row>
    <row r="6615" spans="12:29" x14ac:dyDescent="0.3">
      <c r="L6615" s="36"/>
      <c r="R6615" s="34"/>
      <c r="AC6615" s="36"/>
    </row>
    <row r="6616" spans="12:29" x14ac:dyDescent="0.3">
      <c r="L6616" s="36"/>
      <c r="R6616" s="34"/>
      <c r="AC6616" s="36"/>
    </row>
    <row r="6617" spans="12:29" x14ac:dyDescent="0.3">
      <c r="L6617" s="36"/>
      <c r="R6617" s="34"/>
      <c r="AC6617" s="36"/>
    </row>
    <row r="6618" spans="12:29" x14ac:dyDescent="0.3">
      <c r="L6618" s="36"/>
      <c r="R6618" s="34"/>
      <c r="AC6618" s="36"/>
    </row>
    <row r="6619" spans="12:29" x14ac:dyDescent="0.3">
      <c r="L6619" s="36"/>
      <c r="R6619" s="34"/>
      <c r="AC6619" s="36"/>
    </row>
    <row r="6620" spans="12:29" x14ac:dyDescent="0.3">
      <c r="L6620" s="36"/>
      <c r="R6620" s="34"/>
      <c r="AC6620" s="36"/>
    </row>
    <row r="6621" spans="12:29" x14ac:dyDescent="0.3">
      <c r="L6621" s="36"/>
      <c r="R6621" s="34"/>
      <c r="AC6621" s="36"/>
    </row>
    <row r="6622" spans="12:29" x14ac:dyDescent="0.3">
      <c r="L6622" s="36"/>
      <c r="R6622" s="34"/>
      <c r="AC6622" s="36"/>
    </row>
    <row r="6623" spans="12:29" x14ac:dyDescent="0.3">
      <c r="L6623" s="36"/>
      <c r="R6623" s="34"/>
      <c r="AC6623" s="36"/>
    </row>
    <row r="6624" spans="12:29" x14ac:dyDescent="0.3">
      <c r="L6624" s="36"/>
      <c r="R6624" s="34"/>
      <c r="AC6624" s="36"/>
    </row>
    <row r="6625" spans="12:29" x14ac:dyDescent="0.3">
      <c r="L6625" s="36"/>
      <c r="R6625" s="34"/>
      <c r="AC6625" s="36"/>
    </row>
    <row r="6626" spans="12:29" x14ac:dyDescent="0.3">
      <c r="L6626" s="36"/>
      <c r="R6626" s="34"/>
      <c r="AC6626" s="36"/>
    </row>
    <row r="6627" spans="12:29" x14ac:dyDescent="0.3">
      <c r="L6627" s="36"/>
      <c r="R6627" s="34"/>
      <c r="AC6627" s="36"/>
    </row>
    <row r="6628" spans="12:29" x14ac:dyDescent="0.3">
      <c r="L6628" s="36"/>
      <c r="R6628" s="34"/>
      <c r="AC6628" s="36"/>
    </row>
    <row r="6629" spans="12:29" x14ac:dyDescent="0.3">
      <c r="L6629" s="36"/>
      <c r="R6629" s="34"/>
      <c r="AC6629" s="36"/>
    </row>
    <row r="6630" spans="12:29" x14ac:dyDescent="0.3">
      <c r="L6630" s="36"/>
      <c r="R6630" s="34"/>
      <c r="AC6630" s="36"/>
    </row>
    <row r="6631" spans="12:29" x14ac:dyDescent="0.3">
      <c r="L6631" s="36"/>
      <c r="R6631" s="34"/>
      <c r="AC6631" s="36"/>
    </row>
    <row r="6632" spans="12:29" x14ac:dyDescent="0.3">
      <c r="L6632" s="36"/>
      <c r="R6632" s="34"/>
      <c r="AC6632" s="36"/>
    </row>
    <row r="6633" spans="12:29" x14ac:dyDescent="0.3">
      <c r="L6633" s="36"/>
      <c r="R6633" s="34"/>
      <c r="AC6633" s="36"/>
    </row>
    <row r="6634" spans="12:29" x14ac:dyDescent="0.3">
      <c r="L6634" s="36"/>
      <c r="R6634" s="34"/>
      <c r="AC6634" s="36"/>
    </row>
    <row r="6635" spans="12:29" x14ac:dyDescent="0.3">
      <c r="L6635" s="36"/>
      <c r="R6635" s="34"/>
      <c r="AC6635" s="36"/>
    </row>
    <row r="6636" spans="12:29" x14ac:dyDescent="0.3">
      <c r="L6636" s="36"/>
      <c r="R6636" s="34"/>
      <c r="AC6636" s="36"/>
    </row>
    <row r="6637" spans="12:29" x14ac:dyDescent="0.3">
      <c r="L6637" s="36"/>
      <c r="R6637" s="34"/>
      <c r="AC6637" s="36"/>
    </row>
    <row r="6638" spans="12:29" x14ac:dyDescent="0.3">
      <c r="L6638" s="36"/>
      <c r="R6638" s="34"/>
      <c r="AC6638" s="36"/>
    </row>
    <row r="6639" spans="12:29" x14ac:dyDescent="0.3">
      <c r="L6639" s="36"/>
      <c r="R6639" s="34"/>
      <c r="AC6639" s="36"/>
    </row>
    <row r="6640" spans="12:29" x14ac:dyDescent="0.3">
      <c r="L6640" s="36"/>
      <c r="R6640" s="34"/>
      <c r="AC6640" s="36"/>
    </row>
    <row r="6641" spans="12:29" x14ac:dyDescent="0.3">
      <c r="L6641" s="36"/>
      <c r="R6641" s="34"/>
      <c r="AC6641" s="36"/>
    </row>
    <row r="6642" spans="12:29" x14ac:dyDescent="0.3">
      <c r="L6642" s="36"/>
      <c r="R6642" s="34"/>
      <c r="AC6642" s="36"/>
    </row>
    <row r="6643" spans="12:29" x14ac:dyDescent="0.3">
      <c r="L6643" s="36"/>
      <c r="R6643" s="34"/>
      <c r="AC6643" s="36"/>
    </row>
    <row r="6644" spans="12:29" x14ac:dyDescent="0.3">
      <c r="L6644" s="36"/>
      <c r="R6644" s="34"/>
      <c r="AC6644" s="36"/>
    </row>
    <row r="6645" spans="12:29" x14ac:dyDescent="0.3">
      <c r="L6645" s="36"/>
      <c r="R6645" s="34"/>
      <c r="AC6645" s="36"/>
    </row>
    <row r="6646" spans="12:29" x14ac:dyDescent="0.3">
      <c r="L6646" s="36"/>
      <c r="R6646" s="34"/>
      <c r="AC6646" s="36"/>
    </row>
    <row r="6647" spans="12:29" x14ac:dyDescent="0.3">
      <c r="L6647" s="36"/>
      <c r="R6647" s="34"/>
      <c r="AC6647" s="36"/>
    </row>
    <row r="6648" spans="12:29" x14ac:dyDescent="0.3">
      <c r="L6648" s="36"/>
      <c r="R6648" s="34"/>
      <c r="AC6648" s="36"/>
    </row>
    <row r="6649" spans="12:29" x14ac:dyDescent="0.3">
      <c r="L6649" s="36"/>
      <c r="R6649" s="34"/>
      <c r="AC6649" s="36"/>
    </row>
    <row r="6650" spans="12:29" x14ac:dyDescent="0.3">
      <c r="L6650" s="36"/>
      <c r="R6650" s="34"/>
      <c r="AC6650" s="36"/>
    </row>
    <row r="6651" spans="12:29" x14ac:dyDescent="0.3">
      <c r="L6651" s="36"/>
      <c r="R6651" s="34"/>
      <c r="AC6651" s="36"/>
    </row>
    <row r="6652" spans="12:29" x14ac:dyDescent="0.3">
      <c r="L6652" s="36"/>
      <c r="R6652" s="34"/>
      <c r="AC6652" s="36"/>
    </row>
    <row r="6653" spans="12:29" x14ac:dyDescent="0.3">
      <c r="L6653" s="36"/>
      <c r="R6653" s="34"/>
      <c r="AC6653" s="36"/>
    </row>
    <row r="6654" spans="12:29" x14ac:dyDescent="0.3">
      <c r="L6654" s="36"/>
      <c r="R6654" s="34"/>
      <c r="AC6654" s="36"/>
    </row>
    <row r="6655" spans="12:29" x14ac:dyDescent="0.3">
      <c r="L6655" s="36"/>
      <c r="R6655" s="34"/>
      <c r="AC6655" s="36"/>
    </row>
    <row r="6656" spans="12:29" x14ac:dyDescent="0.3">
      <c r="L6656" s="36"/>
      <c r="R6656" s="34"/>
      <c r="AC6656" s="36"/>
    </row>
    <row r="6657" spans="12:29" x14ac:dyDescent="0.3">
      <c r="L6657" s="36"/>
      <c r="R6657" s="34"/>
      <c r="AC6657" s="36"/>
    </row>
    <row r="6658" spans="12:29" x14ac:dyDescent="0.3">
      <c r="L6658" s="36"/>
      <c r="R6658" s="34"/>
      <c r="AC6658" s="36"/>
    </row>
    <row r="6659" spans="12:29" x14ac:dyDescent="0.3">
      <c r="L6659" s="36"/>
      <c r="R6659" s="34"/>
      <c r="AC6659" s="36"/>
    </row>
    <row r="6660" spans="12:29" x14ac:dyDescent="0.3">
      <c r="L6660" s="36"/>
      <c r="R6660" s="34"/>
      <c r="AC6660" s="36"/>
    </row>
    <row r="6661" spans="12:29" x14ac:dyDescent="0.3">
      <c r="L6661" s="36"/>
      <c r="R6661" s="34"/>
      <c r="AC6661" s="36"/>
    </row>
    <row r="6662" spans="12:29" x14ac:dyDescent="0.3">
      <c r="L6662" s="36"/>
      <c r="R6662" s="34"/>
      <c r="AC6662" s="36"/>
    </row>
    <row r="6663" spans="12:29" x14ac:dyDescent="0.3">
      <c r="L6663" s="36"/>
      <c r="R6663" s="34"/>
      <c r="AC6663" s="36"/>
    </row>
    <row r="6664" spans="12:29" x14ac:dyDescent="0.3">
      <c r="L6664" s="36"/>
      <c r="R6664" s="34"/>
      <c r="AC6664" s="36"/>
    </row>
    <row r="6665" spans="12:29" x14ac:dyDescent="0.3">
      <c r="L6665" s="36"/>
      <c r="R6665" s="34"/>
      <c r="AC6665" s="36"/>
    </row>
    <row r="6666" spans="12:29" x14ac:dyDescent="0.3">
      <c r="L6666" s="36"/>
      <c r="R6666" s="34"/>
      <c r="AC6666" s="36"/>
    </row>
    <row r="6667" spans="12:29" x14ac:dyDescent="0.3">
      <c r="L6667" s="36"/>
      <c r="R6667" s="34"/>
      <c r="AC6667" s="36"/>
    </row>
    <row r="6668" spans="12:29" x14ac:dyDescent="0.3">
      <c r="L6668" s="36"/>
      <c r="R6668" s="34"/>
      <c r="AC6668" s="36"/>
    </row>
    <row r="6669" spans="12:29" x14ac:dyDescent="0.3">
      <c r="L6669" s="36"/>
      <c r="R6669" s="34"/>
      <c r="AC6669" s="36"/>
    </row>
    <row r="6670" spans="12:29" x14ac:dyDescent="0.3">
      <c r="L6670" s="36"/>
      <c r="R6670" s="34"/>
      <c r="AC6670" s="36"/>
    </row>
    <row r="6671" spans="12:29" x14ac:dyDescent="0.3">
      <c r="L6671" s="36"/>
      <c r="R6671" s="34"/>
      <c r="AC6671" s="36"/>
    </row>
    <row r="6672" spans="12:29" x14ac:dyDescent="0.3">
      <c r="L6672" s="36"/>
      <c r="R6672" s="34"/>
      <c r="AC6672" s="36"/>
    </row>
    <row r="6673" spans="12:29" x14ac:dyDescent="0.3">
      <c r="L6673" s="36"/>
      <c r="R6673" s="34"/>
      <c r="AC6673" s="36"/>
    </row>
    <row r="6674" spans="12:29" x14ac:dyDescent="0.3">
      <c r="L6674" s="36"/>
      <c r="R6674" s="34"/>
      <c r="AC6674" s="36"/>
    </row>
    <row r="6675" spans="12:29" x14ac:dyDescent="0.3">
      <c r="L6675" s="36"/>
      <c r="R6675" s="34"/>
      <c r="AC6675" s="36"/>
    </row>
    <row r="6676" spans="12:29" x14ac:dyDescent="0.3">
      <c r="L6676" s="36"/>
      <c r="R6676" s="34"/>
      <c r="AC6676" s="36"/>
    </row>
    <row r="6677" spans="12:29" x14ac:dyDescent="0.3">
      <c r="L6677" s="36"/>
      <c r="R6677" s="34"/>
      <c r="AC6677" s="36"/>
    </row>
    <row r="6678" spans="12:29" x14ac:dyDescent="0.3">
      <c r="L6678" s="36"/>
      <c r="R6678" s="34"/>
      <c r="AC6678" s="36"/>
    </row>
    <row r="6679" spans="12:29" x14ac:dyDescent="0.3">
      <c r="L6679" s="36"/>
      <c r="R6679" s="34"/>
      <c r="AC6679" s="36"/>
    </row>
    <row r="6680" spans="12:29" x14ac:dyDescent="0.3">
      <c r="L6680" s="36"/>
      <c r="R6680" s="34"/>
      <c r="AC6680" s="36"/>
    </row>
    <row r="6681" spans="12:29" x14ac:dyDescent="0.3">
      <c r="L6681" s="36"/>
      <c r="R6681" s="34"/>
      <c r="AC6681" s="36"/>
    </row>
    <row r="6682" spans="12:29" x14ac:dyDescent="0.3">
      <c r="L6682" s="36"/>
      <c r="R6682" s="34"/>
      <c r="AC6682" s="36"/>
    </row>
    <row r="6683" spans="12:29" x14ac:dyDescent="0.3">
      <c r="L6683" s="36"/>
      <c r="R6683" s="34"/>
      <c r="AC6683" s="36"/>
    </row>
    <row r="6684" spans="12:29" x14ac:dyDescent="0.3">
      <c r="L6684" s="36"/>
      <c r="R6684" s="34"/>
      <c r="AC6684" s="36"/>
    </row>
    <row r="6685" spans="12:29" x14ac:dyDescent="0.3">
      <c r="L6685" s="36"/>
      <c r="R6685" s="34"/>
      <c r="AC6685" s="36"/>
    </row>
    <row r="6686" spans="12:29" x14ac:dyDescent="0.3">
      <c r="L6686" s="36"/>
      <c r="R6686" s="34"/>
      <c r="AC6686" s="36"/>
    </row>
    <row r="6687" spans="12:29" x14ac:dyDescent="0.3">
      <c r="L6687" s="36"/>
      <c r="R6687" s="34"/>
      <c r="AC6687" s="36"/>
    </row>
    <row r="6688" spans="12:29" x14ac:dyDescent="0.3">
      <c r="L6688" s="36"/>
      <c r="R6688" s="34"/>
      <c r="AC6688" s="36"/>
    </row>
    <row r="6689" spans="12:29" x14ac:dyDescent="0.3">
      <c r="L6689" s="36"/>
      <c r="R6689" s="34"/>
      <c r="AC6689" s="36"/>
    </row>
    <row r="6690" spans="12:29" x14ac:dyDescent="0.3">
      <c r="L6690" s="36"/>
      <c r="R6690" s="34"/>
      <c r="AC6690" s="36"/>
    </row>
    <row r="6691" spans="12:29" x14ac:dyDescent="0.3">
      <c r="L6691" s="36"/>
      <c r="R6691" s="34"/>
      <c r="AC6691" s="36"/>
    </row>
    <row r="6692" spans="12:29" x14ac:dyDescent="0.3">
      <c r="L6692" s="36"/>
      <c r="R6692" s="34"/>
      <c r="AC6692" s="36"/>
    </row>
    <row r="6693" spans="12:29" x14ac:dyDescent="0.3">
      <c r="L6693" s="36"/>
      <c r="R6693" s="34"/>
      <c r="AC6693" s="36"/>
    </row>
    <row r="6694" spans="12:29" x14ac:dyDescent="0.3">
      <c r="L6694" s="36"/>
      <c r="R6694" s="34"/>
      <c r="AC6694" s="36"/>
    </row>
    <row r="6695" spans="12:29" x14ac:dyDescent="0.3">
      <c r="L6695" s="36"/>
      <c r="R6695" s="34"/>
      <c r="AC6695" s="36"/>
    </row>
    <row r="6696" spans="12:29" x14ac:dyDescent="0.3">
      <c r="L6696" s="36"/>
      <c r="R6696" s="34"/>
      <c r="AC6696" s="36"/>
    </row>
    <row r="6697" spans="12:29" x14ac:dyDescent="0.3">
      <c r="L6697" s="36"/>
      <c r="R6697" s="34"/>
      <c r="AC6697" s="36"/>
    </row>
    <row r="6698" spans="12:29" x14ac:dyDescent="0.3">
      <c r="L6698" s="36"/>
      <c r="R6698" s="34"/>
      <c r="AC6698" s="36"/>
    </row>
    <row r="6699" spans="12:29" x14ac:dyDescent="0.3">
      <c r="L6699" s="36"/>
      <c r="R6699" s="34"/>
      <c r="AC6699" s="36"/>
    </row>
    <row r="6700" spans="12:29" x14ac:dyDescent="0.3">
      <c r="L6700" s="36"/>
      <c r="R6700" s="34"/>
      <c r="AC6700" s="36"/>
    </row>
    <row r="6701" spans="12:29" x14ac:dyDescent="0.3">
      <c r="L6701" s="36"/>
      <c r="R6701" s="34"/>
      <c r="AC6701" s="36"/>
    </row>
    <row r="6702" spans="12:29" x14ac:dyDescent="0.3">
      <c r="L6702" s="36"/>
      <c r="R6702" s="34"/>
      <c r="AC6702" s="36"/>
    </row>
    <row r="6703" spans="12:29" x14ac:dyDescent="0.3">
      <c r="L6703" s="36"/>
      <c r="R6703" s="34"/>
      <c r="AC6703" s="36"/>
    </row>
    <row r="6704" spans="12:29" x14ac:dyDescent="0.3">
      <c r="L6704" s="36"/>
      <c r="R6704" s="34"/>
      <c r="AC6704" s="36"/>
    </row>
    <row r="6705" spans="12:29" x14ac:dyDescent="0.3">
      <c r="L6705" s="36"/>
      <c r="R6705" s="34"/>
      <c r="AC6705" s="36"/>
    </row>
    <row r="6706" spans="12:29" x14ac:dyDescent="0.3">
      <c r="L6706" s="36"/>
      <c r="R6706" s="34"/>
      <c r="AC6706" s="36"/>
    </row>
    <row r="6707" spans="12:29" x14ac:dyDescent="0.3">
      <c r="L6707" s="36"/>
      <c r="R6707" s="34"/>
      <c r="AC6707" s="36"/>
    </row>
    <row r="6708" spans="12:29" x14ac:dyDescent="0.3">
      <c r="L6708" s="36"/>
      <c r="R6708" s="34"/>
      <c r="AC6708" s="36"/>
    </row>
    <row r="6709" spans="12:29" x14ac:dyDescent="0.3">
      <c r="L6709" s="36"/>
      <c r="R6709" s="34"/>
      <c r="AC6709" s="36"/>
    </row>
    <row r="6710" spans="12:29" x14ac:dyDescent="0.3">
      <c r="L6710" s="36"/>
      <c r="R6710" s="34"/>
      <c r="AC6710" s="36"/>
    </row>
    <row r="6711" spans="12:29" x14ac:dyDescent="0.3">
      <c r="L6711" s="36"/>
      <c r="R6711" s="34"/>
      <c r="AC6711" s="36"/>
    </row>
    <row r="6712" spans="12:29" x14ac:dyDescent="0.3">
      <c r="L6712" s="36"/>
      <c r="R6712" s="34"/>
      <c r="AC6712" s="36"/>
    </row>
    <row r="6713" spans="12:29" x14ac:dyDescent="0.3">
      <c r="L6713" s="36"/>
      <c r="R6713" s="34"/>
      <c r="AC6713" s="36"/>
    </row>
    <row r="6714" spans="12:29" x14ac:dyDescent="0.3">
      <c r="L6714" s="36"/>
      <c r="R6714" s="34"/>
      <c r="AC6714" s="36"/>
    </row>
    <row r="6715" spans="12:29" x14ac:dyDescent="0.3">
      <c r="L6715" s="36"/>
      <c r="R6715" s="34"/>
      <c r="AC6715" s="36"/>
    </row>
    <row r="6716" spans="12:29" x14ac:dyDescent="0.3">
      <c r="L6716" s="36"/>
      <c r="R6716" s="34"/>
      <c r="AC6716" s="36"/>
    </row>
    <row r="6717" spans="12:29" x14ac:dyDescent="0.3">
      <c r="L6717" s="36"/>
      <c r="R6717" s="34"/>
      <c r="AC6717" s="36"/>
    </row>
    <row r="6718" spans="12:29" x14ac:dyDescent="0.3">
      <c r="L6718" s="36"/>
      <c r="R6718" s="34"/>
      <c r="AC6718" s="36"/>
    </row>
    <row r="6719" spans="12:29" x14ac:dyDescent="0.3">
      <c r="L6719" s="36"/>
      <c r="R6719" s="34"/>
      <c r="AC6719" s="36"/>
    </row>
    <row r="6720" spans="12:29" x14ac:dyDescent="0.3">
      <c r="L6720" s="36"/>
      <c r="R6720" s="34"/>
      <c r="AC6720" s="36"/>
    </row>
    <row r="6721" spans="12:29" x14ac:dyDescent="0.3">
      <c r="L6721" s="36"/>
      <c r="R6721" s="34"/>
      <c r="AC6721" s="36"/>
    </row>
    <row r="6722" spans="12:29" x14ac:dyDescent="0.3">
      <c r="L6722" s="36"/>
      <c r="R6722" s="34"/>
      <c r="AC6722" s="36"/>
    </row>
    <row r="6723" spans="12:29" x14ac:dyDescent="0.3">
      <c r="L6723" s="36"/>
      <c r="R6723" s="34"/>
      <c r="AC6723" s="36"/>
    </row>
    <row r="6724" spans="12:29" x14ac:dyDescent="0.3">
      <c r="L6724" s="36"/>
      <c r="R6724" s="34"/>
      <c r="AC6724" s="36"/>
    </row>
    <row r="6725" spans="12:29" x14ac:dyDescent="0.3">
      <c r="L6725" s="36"/>
      <c r="R6725" s="34"/>
      <c r="AC6725" s="36"/>
    </row>
    <row r="6726" spans="12:29" x14ac:dyDescent="0.3">
      <c r="L6726" s="36"/>
      <c r="R6726" s="34"/>
      <c r="AC6726" s="36"/>
    </row>
    <row r="6727" spans="12:29" x14ac:dyDescent="0.3">
      <c r="L6727" s="36"/>
      <c r="R6727" s="34"/>
      <c r="AC6727" s="36"/>
    </row>
    <row r="6728" spans="12:29" x14ac:dyDescent="0.3">
      <c r="L6728" s="36"/>
      <c r="R6728" s="34"/>
      <c r="AC6728" s="36"/>
    </row>
    <row r="6729" spans="12:29" x14ac:dyDescent="0.3">
      <c r="L6729" s="36"/>
      <c r="R6729" s="34"/>
      <c r="AC6729" s="36"/>
    </row>
    <row r="6730" spans="12:29" x14ac:dyDescent="0.3">
      <c r="L6730" s="36"/>
      <c r="R6730" s="34"/>
      <c r="AC6730" s="36"/>
    </row>
    <row r="6731" spans="12:29" x14ac:dyDescent="0.3">
      <c r="L6731" s="36"/>
      <c r="R6731" s="34"/>
      <c r="AC6731" s="36"/>
    </row>
    <row r="6732" spans="12:29" x14ac:dyDescent="0.3">
      <c r="L6732" s="36"/>
      <c r="R6732" s="34"/>
      <c r="AC6732" s="36"/>
    </row>
    <row r="6733" spans="12:29" x14ac:dyDescent="0.3">
      <c r="L6733" s="36"/>
      <c r="R6733" s="34"/>
      <c r="AC6733" s="36"/>
    </row>
    <row r="6734" spans="12:29" x14ac:dyDescent="0.3">
      <c r="L6734" s="36"/>
      <c r="R6734" s="34"/>
      <c r="AC6734" s="36"/>
    </row>
    <row r="6735" spans="12:29" x14ac:dyDescent="0.3">
      <c r="L6735" s="36"/>
      <c r="R6735" s="34"/>
      <c r="AC6735" s="36"/>
    </row>
    <row r="6736" spans="12:29" x14ac:dyDescent="0.3">
      <c r="L6736" s="36"/>
      <c r="R6736" s="34"/>
      <c r="AC6736" s="36"/>
    </row>
    <row r="6737" spans="12:29" x14ac:dyDescent="0.3">
      <c r="L6737" s="36"/>
      <c r="R6737" s="34"/>
      <c r="AC6737" s="36"/>
    </row>
    <row r="6738" spans="12:29" x14ac:dyDescent="0.3">
      <c r="L6738" s="36"/>
      <c r="R6738" s="34"/>
      <c r="AC6738" s="36"/>
    </row>
    <row r="6739" spans="12:29" x14ac:dyDescent="0.3">
      <c r="L6739" s="36"/>
      <c r="R6739" s="34"/>
      <c r="AC6739" s="36"/>
    </row>
    <row r="6740" spans="12:29" x14ac:dyDescent="0.3">
      <c r="L6740" s="36"/>
      <c r="R6740" s="34"/>
      <c r="AC6740" s="36"/>
    </row>
    <row r="6741" spans="12:29" x14ac:dyDescent="0.3">
      <c r="L6741" s="36"/>
      <c r="R6741" s="34"/>
      <c r="AC6741" s="36"/>
    </row>
    <row r="6742" spans="12:29" x14ac:dyDescent="0.3">
      <c r="L6742" s="36"/>
      <c r="R6742" s="34"/>
      <c r="AC6742" s="36"/>
    </row>
    <row r="6743" spans="12:29" x14ac:dyDescent="0.3">
      <c r="L6743" s="36"/>
      <c r="R6743" s="34"/>
      <c r="AC6743" s="36"/>
    </row>
    <row r="6744" spans="12:29" x14ac:dyDescent="0.3">
      <c r="L6744" s="36"/>
      <c r="R6744" s="34"/>
      <c r="AC6744" s="36"/>
    </row>
    <row r="6745" spans="12:29" x14ac:dyDescent="0.3">
      <c r="L6745" s="36"/>
      <c r="R6745" s="34"/>
      <c r="AC6745" s="36"/>
    </row>
    <row r="6746" spans="12:29" x14ac:dyDescent="0.3">
      <c r="L6746" s="36"/>
      <c r="R6746" s="34"/>
      <c r="AC6746" s="36"/>
    </row>
    <row r="6747" spans="12:29" x14ac:dyDescent="0.3">
      <c r="L6747" s="36"/>
      <c r="R6747" s="34"/>
      <c r="AC6747" s="36"/>
    </row>
    <row r="6748" spans="12:29" x14ac:dyDescent="0.3">
      <c r="L6748" s="36"/>
      <c r="R6748" s="34"/>
      <c r="AC6748" s="36"/>
    </row>
    <row r="6749" spans="12:29" x14ac:dyDescent="0.3">
      <c r="L6749" s="36"/>
      <c r="R6749" s="34"/>
      <c r="AC6749" s="36"/>
    </row>
    <row r="6750" spans="12:29" x14ac:dyDescent="0.3">
      <c r="L6750" s="36"/>
      <c r="R6750" s="34"/>
      <c r="AC6750" s="36"/>
    </row>
    <row r="6751" spans="12:29" x14ac:dyDescent="0.3">
      <c r="L6751" s="36"/>
      <c r="R6751" s="34"/>
      <c r="AC6751" s="36"/>
    </row>
    <row r="6752" spans="12:29" x14ac:dyDescent="0.3">
      <c r="L6752" s="36"/>
      <c r="R6752" s="34"/>
      <c r="AC6752" s="36"/>
    </row>
    <row r="6753" spans="12:29" x14ac:dyDescent="0.3">
      <c r="L6753" s="36"/>
      <c r="R6753" s="34"/>
      <c r="AC6753" s="36"/>
    </row>
    <row r="6754" spans="12:29" x14ac:dyDescent="0.3">
      <c r="L6754" s="36"/>
      <c r="R6754" s="34"/>
      <c r="AC6754" s="36"/>
    </row>
    <row r="6755" spans="12:29" x14ac:dyDescent="0.3">
      <c r="L6755" s="36"/>
      <c r="R6755" s="34"/>
      <c r="AC6755" s="36"/>
    </row>
    <row r="6756" spans="12:29" x14ac:dyDescent="0.3">
      <c r="L6756" s="36"/>
      <c r="R6756" s="34"/>
      <c r="AC6756" s="36"/>
    </row>
    <row r="6757" spans="12:29" x14ac:dyDescent="0.3">
      <c r="L6757" s="36"/>
      <c r="R6757" s="34"/>
      <c r="AC6757" s="36"/>
    </row>
    <row r="6758" spans="12:29" x14ac:dyDescent="0.3">
      <c r="L6758" s="36"/>
      <c r="R6758" s="34"/>
      <c r="AC6758" s="36"/>
    </row>
    <row r="6759" spans="12:29" x14ac:dyDescent="0.3">
      <c r="L6759" s="36"/>
      <c r="R6759" s="34"/>
      <c r="AC6759" s="36"/>
    </row>
    <row r="6760" spans="12:29" x14ac:dyDescent="0.3">
      <c r="L6760" s="36"/>
      <c r="R6760" s="34"/>
      <c r="AC6760" s="36"/>
    </row>
    <row r="6761" spans="12:29" x14ac:dyDescent="0.3">
      <c r="L6761" s="36"/>
      <c r="R6761" s="34"/>
      <c r="AC6761" s="36"/>
    </row>
    <row r="6762" spans="12:29" x14ac:dyDescent="0.3">
      <c r="L6762" s="36"/>
      <c r="R6762" s="34"/>
      <c r="AC6762" s="36"/>
    </row>
    <row r="6763" spans="12:29" x14ac:dyDescent="0.3">
      <c r="L6763" s="36"/>
      <c r="R6763" s="34"/>
      <c r="AC6763" s="36"/>
    </row>
    <row r="6764" spans="12:29" x14ac:dyDescent="0.3">
      <c r="L6764" s="36"/>
      <c r="R6764" s="34"/>
      <c r="AC6764" s="36"/>
    </row>
    <row r="6765" spans="12:29" x14ac:dyDescent="0.3">
      <c r="L6765" s="36"/>
      <c r="R6765" s="34"/>
      <c r="AC6765" s="36"/>
    </row>
    <row r="6766" spans="12:29" x14ac:dyDescent="0.3">
      <c r="L6766" s="36"/>
      <c r="R6766" s="34"/>
      <c r="AC6766" s="36"/>
    </row>
    <row r="6767" spans="12:29" x14ac:dyDescent="0.3">
      <c r="L6767" s="36"/>
      <c r="R6767" s="34"/>
      <c r="AC6767" s="36"/>
    </row>
    <row r="6768" spans="12:29" x14ac:dyDescent="0.3">
      <c r="L6768" s="36"/>
      <c r="R6768" s="34"/>
      <c r="AC6768" s="36"/>
    </row>
    <row r="6769" spans="12:29" x14ac:dyDescent="0.3">
      <c r="L6769" s="36"/>
      <c r="R6769" s="34"/>
      <c r="AC6769" s="36"/>
    </row>
    <row r="6770" spans="12:29" x14ac:dyDescent="0.3">
      <c r="L6770" s="36"/>
      <c r="R6770" s="34"/>
      <c r="AC6770" s="36"/>
    </row>
    <row r="6771" spans="12:29" x14ac:dyDescent="0.3">
      <c r="L6771" s="36"/>
      <c r="R6771" s="34"/>
      <c r="AC6771" s="36"/>
    </row>
    <row r="6772" spans="12:29" x14ac:dyDescent="0.3">
      <c r="L6772" s="36"/>
      <c r="R6772" s="34"/>
      <c r="AC6772" s="36"/>
    </row>
    <row r="6773" spans="12:29" x14ac:dyDescent="0.3">
      <c r="L6773" s="36"/>
      <c r="R6773" s="34"/>
      <c r="AC6773" s="36"/>
    </row>
    <row r="6774" spans="12:29" x14ac:dyDescent="0.3">
      <c r="L6774" s="36"/>
      <c r="R6774" s="34"/>
      <c r="AC6774" s="36"/>
    </row>
    <row r="6775" spans="12:29" x14ac:dyDescent="0.3">
      <c r="L6775" s="36"/>
      <c r="R6775" s="34"/>
      <c r="AC6775" s="36"/>
    </row>
    <row r="6776" spans="12:29" x14ac:dyDescent="0.3">
      <c r="L6776" s="36"/>
      <c r="R6776" s="34"/>
      <c r="AC6776" s="36"/>
    </row>
    <row r="6777" spans="12:29" x14ac:dyDescent="0.3">
      <c r="L6777" s="36"/>
      <c r="R6777" s="34"/>
      <c r="AC6777" s="36"/>
    </row>
    <row r="6778" spans="12:29" x14ac:dyDescent="0.3">
      <c r="L6778" s="36"/>
      <c r="R6778" s="34"/>
      <c r="AC6778" s="36"/>
    </row>
    <row r="6779" spans="12:29" x14ac:dyDescent="0.3">
      <c r="L6779" s="36"/>
      <c r="R6779" s="34"/>
      <c r="AC6779" s="36"/>
    </row>
    <row r="6780" spans="12:29" x14ac:dyDescent="0.3">
      <c r="L6780" s="36"/>
      <c r="R6780" s="34"/>
      <c r="AC6780" s="36"/>
    </row>
    <row r="6781" spans="12:29" x14ac:dyDescent="0.3">
      <c r="L6781" s="36"/>
      <c r="R6781" s="34"/>
      <c r="AC6781" s="36"/>
    </row>
    <row r="6782" spans="12:29" x14ac:dyDescent="0.3">
      <c r="L6782" s="36"/>
      <c r="R6782" s="34"/>
      <c r="AC6782" s="36"/>
    </row>
    <row r="6783" spans="12:29" x14ac:dyDescent="0.3">
      <c r="L6783" s="36"/>
      <c r="R6783" s="34"/>
      <c r="AC6783" s="36"/>
    </row>
    <row r="6784" spans="12:29" x14ac:dyDescent="0.3">
      <c r="L6784" s="36"/>
      <c r="R6784" s="34"/>
      <c r="AC6784" s="36"/>
    </row>
    <row r="6785" spans="12:29" x14ac:dyDescent="0.3">
      <c r="L6785" s="36"/>
      <c r="R6785" s="34"/>
      <c r="AC6785" s="36"/>
    </row>
    <row r="6786" spans="12:29" x14ac:dyDescent="0.3">
      <c r="L6786" s="36"/>
      <c r="R6786" s="34"/>
      <c r="AC6786" s="36"/>
    </row>
    <row r="6787" spans="12:29" x14ac:dyDescent="0.3">
      <c r="L6787" s="36"/>
      <c r="R6787" s="34"/>
      <c r="AC6787" s="36"/>
    </row>
    <row r="6788" spans="12:29" x14ac:dyDescent="0.3">
      <c r="L6788" s="36"/>
      <c r="R6788" s="34"/>
      <c r="AC6788" s="36"/>
    </row>
    <row r="6789" spans="12:29" x14ac:dyDescent="0.3">
      <c r="L6789" s="36"/>
      <c r="R6789" s="34"/>
      <c r="AC6789" s="36"/>
    </row>
    <row r="6790" spans="12:29" x14ac:dyDescent="0.3">
      <c r="L6790" s="36"/>
      <c r="R6790" s="34"/>
      <c r="AC6790" s="36"/>
    </row>
    <row r="6791" spans="12:29" x14ac:dyDescent="0.3">
      <c r="L6791" s="36"/>
      <c r="R6791" s="34"/>
      <c r="AC6791" s="36"/>
    </row>
    <row r="6792" spans="12:29" x14ac:dyDescent="0.3">
      <c r="L6792" s="36"/>
      <c r="R6792" s="34"/>
      <c r="AC6792" s="36"/>
    </row>
    <row r="6793" spans="12:29" x14ac:dyDescent="0.3">
      <c r="L6793" s="36"/>
      <c r="R6793" s="34"/>
      <c r="AC6793" s="36"/>
    </row>
    <row r="6794" spans="12:29" x14ac:dyDescent="0.3">
      <c r="L6794" s="36"/>
      <c r="R6794" s="34"/>
      <c r="AC6794" s="36"/>
    </row>
    <row r="6795" spans="12:29" x14ac:dyDescent="0.3">
      <c r="L6795" s="36"/>
      <c r="R6795" s="34"/>
      <c r="AC6795" s="36"/>
    </row>
    <row r="6796" spans="12:29" x14ac:dyDescent="0.3">
      <c r="L6796" s="36"/>
      <c r="R6796" s="34"/>
      <c r="AC6796" s="36"/>
    </row>
    <row r="6797" spans="12:29" x14ac:dyDescent="0.3">
      <c r="L6797" s="36"/>
      <c r="R6797" s="34"/>
      <c r="AC6797" s="36"/>
    </row>
    <row r="6798" spans="12:29" x14ac:dyDescent="0.3">
      <c r="L6798" s="36"/>
      <c r="R6798" s="34"/>
      <c r="AC6798" s="36"/>
    </row>
    <row r="6799" spans="12:29" x14ac:dyDescent="0.3">
      <c r="L6799" s="36"/>
      <c r="R6799" s="34"/>
      <c r="AC6799" s="36"/>
    </row>
    <row r="6800" spans="12:29" x14ac:dyDescent="0.3">
      <c r="L6800" s="36"/>
      <c r="R6800" s="34"/>
      <c r="AC6800" s="36"/>
    </row>
    <row r="6801" spans="12:29" x14ac:dyDescent="0.3">
      <c r="L6801" s="36"/>
      <c r="R6801" s="34"/>
      <c r="AC6801" s="36"/>
    </row>
    <row r="6802" spans="12:29" x14ac:dyDescent="0.3">
      <c r="L6802" s="36"/>
      <c r="R6802" s="34"/>
      <c r="AC6802" s="36"/>
    </row>
    <row r="6803" spans="12:29" x14ac:dyDescent="0.3">
      <c r="L6803" s="36"/>
      <c r="R6803" s="34"/>
      <c r="AC6803" s="36"/>
    </row>
    <row r="6804" spans="12:29" x14ac:dyDescent="0.3">
      <c r="L6804" s="36"/>
      <c r="R6804" s="34"/>
      <c r="AC6804" s="36"/>
    </row>
    <row r="6805" spans="12:29" x14ac:dyDescent="0.3">
      <c r="L6805" s="36"/>
      <c r="R6805" s="34"/>
      <c r="AC6805" s="36"/>
    </row>
    <row r="6806" spans="12:29" x14ac:dyDescent="0.3">
      <c r="L6806" s="36"/>
      <c r="R6806" s="34"/>
      <c r="AC6806" s="36"/>
    </row>
    <row r="6807" spans="12:29" x14ac:dyDescent="0.3">
      <c r="L6807" s="36"/>
      <c r="R6807" s="34"/>
      <c r="AC6807" s="36"/>
    </row>
    <row r="6808" spans="12:29" x14ac:dyDescent="0.3">
      <c r="L6808" s="36"/>
      <c r="R6808" s="34"/>
      <c r="AC6808" s="36"/>
    </row>
    <row r="6809" spans="12:29" x14ac:dyDescent="0.3">
      <c r="L6809" s="36"/>
      <c r="R6809" s="34"/>
      <c r="AC6809" s="36"/>
    </row>
    <row r="6810" spans="12:29" x14ac:dyDescent="0.3">
      <c r="L6810" s="36"/>
      <c r="R6810" s="34"/>
      <c r="AC6810" s="36"/>
    </row>
    <row r="6811" spans="12:29" x14ac:dyDescent="0.3">
      <c r="L6811" s="36"/>
      <c r="R6811" s="34"/>
      <c r="AC6811" s="36"/>
    </row>
    <row r="6812" spans="12:29" x14ac:dyDescent="0.3">
      <c r="L6812" s="36"/>
      <c r="R6812" s="34"/>
      <c r="AC6812" s="36"/>
    </row>
    <row r="6813" spans="12:29" x14ac:dyDescent="0.3">
      <c r="L6813" s="36"/>
      <c r="R6813" s="34"/>
      <c r="AC6813" s="36"/>
    </row>
    <row r="6814" spans="12:29" x14ac:dyDescent="0.3">
      <c r="L6814" s="36"/>
      <c r="R6814" s="34"/>
      <c r="AC6814" s="36"/>
    </row>
    <row r="6815" spans="12:29" x14ac:dyDescent="0.3">
      <c r="L6815" s="36"/>
      <c r="R6815" s="34"/>
      <c r="AC6815" s="36"/>
    </row>
    <row r="6816" spans="12:29" x14ac:dyDescent="0.3">
      <c r="L6816" s="36"/>
      <c r="R6816" s="34"/>
      <c r="AC6816" s="36"/>
    </row>
    <row r="6817" spans="12:29" x14ac:dyDescent="0.3">
      <c r="L6817" s="36"/>
      <c r="R6817" s="34"/>
      <c r="AC6817" s="36"/>
    </row>
    <row r="6818" spans="12:29" x14ac:dyDescent="0.3">
      <c r="L6818" s="36"/>
      <c r="R6818" s="34"/>
      <c r="AC6818" s="36"/>
    </row>
    <row r="6819" spans="12:29" x14ac:dyDescent="0.3">
      <c r="L6819" s="36"/>
      <c r="R6819" s="34"/>
      <c r="AC6819" s="36"/>
    </row>
    <row r="6820" spans="12:29" x14ac:dyDescent="0.3">
      <c r="L6820" s="36"/>
      <c r="R6820" s="34"/>
      <c r="AC6820" s="36"/>
    </row>
    <row r="6821" spans="12:29" x14ac:dyDescent="0.3">
      <c r="L6821" s="36"/>
      <c r="R6821" s="34"/>
      <c r="AC6821" s="36"/>
    </row>
    <row r="6822" spans="12:29" x14ac:dyDescent="0.3">
      <c r="L6822" s="36"/>
      <c r="R6822" s="34"/>
      <c r="AC6822" s="36"/>
    </row>
    <row r="6823" spans="12:29" x14ac:dyDescent="0.3">
      <c r="L6823" s="36"/>
      <c r="R6823" s="34"/>
      <c r="AC6823" s="36"/>
    </row>
    <row r="6824" spans="12:29" x14ac:dyDescent="0.3">
      <c r="L6824" s="36"/>
      <c r="R6824" s="34"/>
      <c r="AC6824" s="36"/>
    </row>
    <row r="6825" spans="12:29" x14ac:dyDescent="0.3">
      <c r="L6825" s="36"/>
      <c r="R6825" s="34"/>
      <c r="AC6825" s="36"/>
    </row>
    <row r="6826" spans="12:29" x14ac:dyDescent="0.3">
      <c r="L6826" s="36"/>
      <c r="R6826" s="34"/>
      <c r="AC6826" s="36"/>
    </row>
    <row r="6827" spans="12:29" x14ac:dyDescent="0.3">
      <c r="L6827" s="36"/>
      <c r="R6827" s="34"/>
      <c r="AC6827" s="36"/>
    </row>
    <row r="6828" spans="12:29" x14ac:dyDescent="0.3">
      <c r="L6828" s="36"/>
      <c r="R6828" s="34"/>
      <c r="AC6828" s="36"/>
    </row>
    <row r="6829" spans="12:29" x14ac:dyDescent="0.3">
      <c r="L6829" s="36"/>
      <c r="R6829" s="34"/>
      <c r="AC6829" s="36"/>
    </row>
    <row r="6830" spans="12:29" x14ac:dyDescent="0.3">
      <c r="L6830" s="36"/>
      <c r="R6830" s="34"/>
      <c r="AC6830" s="36"/>
    </row>
    <row r="6831" spans="12:29" x14ac:dyDescent="0.3">
      <c r="L6831" s="36"/>
      <c r="R6831" s="34"/>
      <c r="AC6831" s="36"/>
    </row>
    <row r="6832" spans="12:29" x14ac:dyDescent="0.3">
      <c r="L6832" s="36"/>
      <c r="R6832" s="34"/>
      <c r="AC6832" s="36"/>
    </row>
    <row r="6833" spans="12:29" x14ac:dyDescent="0.3">
      <c r="L6833" s="36"/>
      <c r="R6833" s="34"/>
      <c r="AC6833" s="36"/>
    </row>
    <row r="6834" spans="12:29" x14ac:dyDescent="0.3">
      <c r="L6834" s="36"/>
      <c r="R6834" s="34"/>
      <c r="AC6834" s="36"/>
    </row>
    <row r="6835" spans="12:29" x14ac:dyDescent="0.3">
      <c r="L6835" s="36"/>
      <c r="R6835" s="34"/>
      <c r="AC6835" s="36"/>
    </row>
    <row r="6836" spans="12:29" x14ac:dyDescent="0.3">
      <c r="L6836" s="36"/>
      <c r="R6836" s="34"/>
      <c r="AC6836" s="36"/>
    </row>
    <row r="6837" spans="12:29" x14ac:dyDescent="0.3">
      <c r="L6837" s="36"/>
      <c r="R6837" s="34"/>
      <c r="AC6837" s="36"/>
    </row>
    <row r="6838" spans="12:29" x14ac:dyDescent="0.3">
      <c r="L6838" s="36"/>
      <c r="R6838" s="34"/>
      <c r="AC6838" s="36"/>
    </row>
    <row r="6839" spans="12:29" x14ac:dyDescent="0.3">
      <c r="L6839" s="36"/>
      <c r="R6839" s="34"/>
      <c r="AC6839" s="36"/>
    </row>
    <row r="6840" spans="12:29" x14ac:dyDescent="0.3">
      <c r="L6840" s="36"/>
      <c r="R6840" s="34"/>
      <c r="AC6840" s="36"/>
    </row>
    <row r="6841" spans="12:29" x14ac:dyDescent="0.3">
      <c r="L6841" s="36"/>
      <c r="R6841" s="34"/>
      <c r="AC6841" s="36"/>
    </row>
    <row r="6842" spans="12:29" x14ac:dyDescent="0.3">
      <c r="L6842" s="36"/>
      <c r="R6842" s="34"/>
      <c r="AC6842" s="36"/>
    </row>
    <row r="6843" spans="12:29" x14ac:dyDescent="0.3">
      <c r="L6843" s="36"/>
      <c r="R6843" s="34"/>
      <c r="AC6843" s="36"/>
    </row>
    <row r="6844" spans="12:29" x14ac:dyDescent="0.3">
      <c r="L6844" s="36"/>
      <c r="R6844" s="34"/>
      <c r="AC6844" s="36"/>
    </row>
    <row r="6845" spans="12:29" x14ac:dyDescent="0.3">
      <c r="L6845" s="36"/>
      <c r="R6845" s="34"/>
      <c r="AC6845" s="36"/>
    </row>
    <row r="6846" spans="12:29" x14ac:dyDescent="0.3">
      <c r="L6846" s="36"/>
      <c r="R6846" s="34"/>
      <c r="AC6846" s="36"/>
    </row>
    <row r="6847" spans="12:29" x14ac:dyDescent="0.3">
      <c r="L6847" s="36"/>
      <c r="R6847" s="34"/>
      <c r="AC6847" s="36"/>
    </row>
    <row r="6848" spans="12:29" x14ac:dyDescent="0.3">
      <c r="L6848" s="36"/>
      <c r="R6848" s="34"/>
      <c r="AC6848" s="36"/>
    </row>
    <row r="6849" spans="12:29" x14ac:dyDescent="0.3">
      <c r="L6849" s="36"/>
      <c r="R6849" s="34"/>
      <c r="AC6849" s="36"/>
    </row>
    <row r="6850" spans="12:29" x14ac:dyDescent="0.3">
      <c r="L6850" s="36"/>
      <c r="R6850" s="34"/>
      <c r="AC6850" s="36"/>
    </row>
    <row r="6851" spans="12:29" x14ac:dyDescent="0.3">
      <c r="L6851" s="36"/>
      <c r="R6851" s="34"/>
      <c r="AC6851" s="36"/>
    </row>
    <row r="6852" spans="12:29" x14ac:dyDescent="0.3">
      <c r="L6852" s="36"/>
      <c r="R6852" s="34"/>
      <c r="AC6852" s="36"/>
    </row>
    <row r="6853" spans="12:29" x14ac:dyDescent="0.3">
      <c r="L6853" s="36"/>
      <c r="R6853" s="34"/>
      <c r="AC6853" s="36"/>
    </row>
    <row r="6854" spans="12:29" x14ac:dyDescent="0.3">
      <c r="L6854" s="36"/>
      <c r="R6854" s="34"/>
      <c r="AC6854" s="36"/>
    </row>
    <row r="6855" spans="12:29" x14ac:dyDescent="0.3">
      <c r="L6855" s="36"/>
      <c r="R6855" s="34"/>
      <c r="AC6855" s="36"/>
    </row>
    <row r="6856" spans="12:29" x14ac:dyDescent="0.3">
      <c r="L6856" s="36"/>
      <c r="R6856" s="34"/>
      <c r="AC6856" s="36"/>
    </row>
    <row r="6857" spans="12:29" x14ac:dyDescent="0.3">
      <c r="L6857" s="36"/>
      <c r="R6857" s="34"/>
      <c r="AC6857" s="36"/>
    </row>
    <row r="6858" spans="12:29" x14ac:dyDescent="0.3">
      <c r="L6858" s="36"/>
      <c r="R6858" s="34"/>
      <c r="AC6858" s="36"/>
    </row>
    <row r="6859" spans="12:29" x14ac:dyDescent="0.3">
      <c r="L6859" s="36"/>
      <c r="R6859" s="34"/>
      <c r="AC6859" s="36"/>
    </row>
    <row r="6860" spans="12:29" x14ac:dyDescent="0.3">
      <c r="L6860" s="36"/>
      <c r="R6860" s="34"/>
      <c r="AC6860" s="36"/>
    </row>
    <row r="6861" spans="12:29" x14ac:dyDescent="0.3">
      <c r="L6861" s="36"/>
      <c r="R6861" s="34"/>
      <c r="AC6861" s="36"/>
    </row>
    <row r="6862" spans="12:29" x14ac:dyDescent="0.3">
      <c r="L6862" s="36"/>
      <c r="R6862" s="34"/>
      <c r="AC6862" s="36"/>
    </row>
    <row r="6863" spans="12:29" x14ac:dyDescent="0.3">
      <c r="L6863" s="36"/>
      <c r="R6863" s="34"/>
      <c r="AC6863" s="36"/>
    </row>
    <row r="6864" spans="12:29" x14ac:dyDescent="0.3">
      <c r="L6864" s="36"/>
      <c r="R6864" s="34"/>
      <c r="AC6864" s="36"/>
    </row>
    <row r="6865" spans="12:29" x14ac:dyDescent="0.3">
      <c r="L6865" s="36"/>
      <c r="R6865" s="34"/>
      <c r="AC6865" s="36"/>
    </row>
    <row r="6866" spans="12:29" x14ac:dyDescent="0.3">
      <c r="L6866" s="36"/>
      <c r="R6866" s="34"/>
      <c r="AC6866" s="36"/>
    </row>
    <row r="6867" spans="12:29" x14ac:dyDescent="0.3">
      <c r="L6867" s="36"/>
      <c r="R6867" s="34"/>
      <c r="AC6867" s="36"/>
    </row>
    <row r="6868" spans="12:29" x14ac:dyDescent="0.3">
      <c r="L6868" s="36"/>
      <c r="R6868" s="34"/>
      <c r="AC6868" s="36"/>
    </row>
    <row r="6869" spans="12:29" x14ac:dyDescent="0.3">
      <c r="L6869" s="36"/>
      <c r="R6869" s="34"/>
      <c r="AC6869" s="36"/>
    </row>
    <row r="6870" spans="12:29" x14ac:dyDescent="0.3">
      <c r="L6870" s="36"/>
      <c r="R6870" s="34"/>
      <c r="AC6870" s="36"/>
    </row>
    <row r="6871" spans="12:29" x14ac:dyDescent="0.3">
      <c r="L6871" s="36"/>
      <c r="R6871" s="34"/>
      <c r="AC6871" s="36"/>
    </row>
    <row r="6872" spans="12:29" x14ac:dyDescent="0.3">
      <c r="L6872" s="36"/>
      <c r="R6872" s="34"/>
      <c r="AC6872" s="36"/>
    </row>
    <row r="6873" spans="12:29" x14ac:dyDescent="0.3">
      <c r="L6873" s="36"/>
      <c r="R6873" s="34"/>
      <c r="AC6873" s="36"/>
    </row>
    <row r="6874" spans="12:29" x14ac:dyDescent="0.3">
      <c r="L6874" s="36"/>
      <c r="R6874" s="34"/>
      <c r="AC6874" s="36"/>
    </row>
    <row r="6875" spans="12:29" x14ac:dyDescent="0.3">
      <c r="L6875" s="36"/>
      <c r="R6875" s="34"/>
      <c r="AC6875" s="36"/>
    </row>
    <row r="6876" spans="12:29" x14ac:dyDescent="0.3">
      <c r="L6876" s="36"/>
      <c r="R6876" s="34"/>
      <c r="AC6876" s="36"/>
    </row>
    <row r="6877" spans="12:29" x14ac:dyDescent="0.3">
      <c r="L6877" s="36"/>
      <c r="R6877" s="34"/>
      <c r="AC6877" s="36"/>
    </row>
    <row r="6878" spans="12:29" x14ac:dyDescent="0.3">
      <c r="L6878" s="36"/>
      <c r="R6878" s="34"/>
      <c r="AC6878" s="36"/>
    </row>
    <row r="6879" spans="12:29" x14ac:dyDescent="0.3">
      <c r="L6879" s="36"/>
      <c r="R6879" s="34"/>
      <c r="AC6879" s="36"/>
    </row>
    <row r="6880" spans="12:29" x14ac:dyDescent="0.3">
      <c r="L6880" s="36"/>
      <c r="R6880" s="34"/>
      <c r="AC6880" s="36"/>
    </row>
    <row r="6881" spans="12:29" x14ac:dyDescent="0.3">
      <c r="L6881" s="36"/>
      <c r="R6881" s="34"/>
      <c r="AC6881" s="36"/>
    </row>
    <row r="6882" spans="12:29" x14ac:dyDescent="0.3">
      <c r="L6882" s="36"/>
      <c r="R6882" s="34"/>
      <c r="AC6882" s="36"/>
    </row>
    <row r="6883" spans="12:29" x14ac:dyDescent="0.3">
      <c r="L6883" s="36"/>
      <c r="R6883" s="34"/>
      <c r="AC6883" s="36"/>
    </row>
    <row r="6884" spans="12:29" x14ac:dyDescent="0.3">
      <c r="L6884" s="36"/>
      <c r="R6884" s="34"/>
      <c r="AC6884" s="36"/>
    </row>
    <row r="6885" spans="12:29" x14ac:dyDescent="0.3">
      <c r="L6885" s="36"/>
      <c r="R6885" s="34"/>
      <c r="AC6885" s="36"/>
    </row>
    <row r="6886" spans="12:29" x14ac:dyDescent="0.3">
      <c r="L6886" s="36"/>
      <c r="R6886" s="34"/>
      <c r="AC6886" s="36"/>
    </row>
    <row r="6887" spans="12:29" x14ac:dyDescent="0.3">
      <c r="L6887" s="36"/>
      <c r="R6887" s="34"/>
      <c r="AC6887" s="36"/>
    </row>
    <row r="6888" spans="12:29" x14ac:dyDescent="0.3">
      <c r="L6888" s="36"/>
      <c r="R6888" s="34"/>
      <c r="AC6888" s="36"/>
    </row>
    <row r="6889" spans="12:29" x14ac:dyDescent="0.3">
      <c r="L6889" s="36"/>
      <c r="R6889" s="34"/>
      <c r="AC6889" s="36"/>
    </row>
    <row r="6890" spans="12:29" x14ac:dyDescent="0.3">
      <c r="L6890" s="36"/>
      <c r="R6890" s="34"/>
      <c r="AC6890" s="36"/>
    </row>
    <row r="6891" spans="12:29" x14ac:dyDescent="0.3">
      <c r="L6891" s="36"/>
      <c r="R6891" s="34"/>
      <c r="AC6891" s="36"/>
    </row>
    <row r="6892" spans="12:29" x14ac:dyDescent="0.3">
      <c r="L6892" s="36"/>
      <c r="R6892" s="34"/>
      <c r="AC6892" s="36"/>
    </row>
    <row r="6893" spans="12:29" x14ac:dyDescent="0.3">
      <c r="L6893" s="36"/>
      <c r="R6893" s="34"/>
      <c r="AC6893" s="36"/>
    </row>
    <row r="6894" spans="12:29" x14ac:dyDescent="0.3">
      <c r="L6894" s="36"/>
      <c r="R6894" s="34"/>
      <c r="AC6894" s="36"/>
    </row>
    <row r="6895" spans="12:29" x14ac:dyDescent="0.3">
      <c r="L6895" s="36"/>
      <c r="R6895" s="34"/>
      <c r="AC6895" s="36"/>
    </row>
    <row r="6896" spans="12:29" x14ac:dyDescent="0.3">
      <c r="L6896" s="36"/>
      <c r="R6896" s="34"/>
      <c r="AC6896" s="36"/>
    </row>
    <row r="6897" spans="12:29" x14ac:dyDescent="0.3">
      <c r="L6897" s="36"/>
      <c r="R6897" s="34"/>
      <c r="AC6897" s="36"/>
    </row>
    <row r="6898" spans="12:29" x14ac:dyDescent="0.3">
      <c r="L6898" s="36"/>
      <c r="R6898" s="34"/>
      <c r="AC6898" s="36"/>
    </row>
    <row r="6899" spans="12:29" x14ac:dyDescent="0.3">
      <c r="L6899" s="36"/>
      <c r="R6899" s="34"/>
      <c r="AC6899" s="36"/>
    </row>
    <row r="6900" spans="12:29" x14ac:dyDescent="0.3">
      <c r="L6900" s="36"/>
      <c r="R6900" s="34"/>
      <c r="AC6900" s="36"/>
    </row>
    <row r="6901" spans="12:29" x14ac:dyDescent="0.3">
      <c r="L6901" s="36"/>
      <c r="R6901" s="34"/>
      <c r="AC6901" s="36"/>
    </row>
    <row r="6902" spans="12:29" x14ac:dyDescent="0.3">
      <c r="L6902" s="36"/>
      <c r="R6902" s="34"/>
      <c r="AC6902" s="36"/>
    </row>
    <row r="6903" spans="12:29" x14ac:dyDescent="0.3">
      <c r="L6903" s="36"/>
      <c r="R6903" s="34"/>
      <c r="AC6903" s="36"/>
    </row>
    <row r="6904" spans="12:29" x14ac:dyDescent="0.3">
      <c r="L6904" s="36"/>
      <c r="R6904" s="34"/>
      <c r="AC6904" s="36"/>
    </row>
    <row r="6905" spans="12:29" x14ac:dyDescent="0.3">
      <c r="L6905" s="36"/>
      <c r="R6905" s="34"/>
      <c r="AC6905" s="36"/>
    </row>
    <row r="6906" spans="12:29" x14ac:dyDescent="0.3">
      <c r="L6906" s="36"/>
      <c r="R6906" s="34"/>
      <c r="AC6906" s="36"/>
    </row>
    <row r="6907" spans="12:29" x14ac:dyDescent="0.3">
      <c r="L6907" s="36"/>
      <c r="R6907" s="34"/>
      <c r="AC6907" s="36"/>
    </row>
    <row r="6908" spans="12:29" x14ac:dyDescent="0.3">
      <c r="L6908" s="36"/>
      <c r="R6908" s="34"/>
      <c r="AC6908" s="36"/>
    </row>
    <row r="6909" spans="12:29" x14ac:dyDescent="0.3">
      <c r="L6909" s="36"/>
      <c r="R6909" s="34"/>
      <c r="AC6909" s="36"/>
    </row>
    <row r="6910" spans="12:29" x14ac:dyDescent="0.3">
      <c r="L6910" s="36"/>
      <c r="R6910" s="34"/>
      <c r="AC6910" s="36"/>
    </row>
    <row r="6911" spans="12:29" x14ac:dyDescent="0.3">
      <c r="L6911" s="36"/>
      <c r="R6911" s="34"/>
      <c r="AC6911" s="36"/>
    </row>
    <row r="6912" spans="12:29" x14ac:dyDescent="0.3">
      <c r="L6912" s="36"/>
      <c r="R6912" s="34"/>
      <c r="AC6912" s="36"/>
    </row>
    <row r="6913" spans="12:29" x14ac:dyDescent="0.3">
      <c r="L6913" s="36"/>
      <c r="R6913" s="34"/>
      <c r="AC6913" s="36"/>
    </row>
    <row r="6914" spans="12:29" x14ac:dyDescent="0.3">
      <c r="L6914" s="36"/>
      <c r="R6914" s="34"/>
      <c r="AC6914" s="36"/>
    </row>
    <row r="6915" spans="12:29" x14ac:dyDescent="0.3">
      <c r="L6915" s="36"/>
      <c r="R6915" s="34"/>
      <c r="AC6915" s="36"/>
    </row>
    <row r="6916" spans="12:29" x14ac:dyDescent="0.3">
      <c r="L6916" s="36"/>
      <c r="R6916" s="34"/>
      <c r="AC6916" s="36"/>
    </row>
    <row r="6917" spans="12:29" x14ac:dyDescent="0.3">
      <c r="L6917" s="36"/>
      <c r="R6917" s="34"/>
      <c r="AC6917" s="36"/>
    </row>
    <row r="6918" spans="12:29" x14ac:dyDescent="0.3">
      <c r="L6918" s="36"/>
      <c r="R6918" s="34"/>
      <c r="AC6918" s="36"/>
    </row>
    <row r="6919" spans="12:29" x14ac:dyDescent="0.3">
      <c r="L6919" s="36"/>
      <c r="R6919" s="34"/>
      <c r="AC6919" s="36"/>
    </row>
    <row r="6920" spans="12:29" x14ac:dyDescent="0.3">
      <c r="L6920" s="36"/>
      <c r="R6920" s="34"/>
      <c r="AC6920" s="36"/>
    </row>
    <row r="6921" spans="12:29" x14ac:dyDescent="0.3">
      <c r="L6921" s="36"/>
      <c r="R6921" s="34"/>
      <c r="AC6921" s="36"/>
    </row>
    <row r="6922" spans="12:29" x14ac:dyDescent="0.3">
      <c r="L6922" s="36"/>
      <c r="R6922" s="34"/>
      <c r="AC6922" s="36"/>
    </row>
    <row r="6923" spans="12:29" x14ac:dyDescent="0.3">
      <c r="L6923" s="36"/>
      <c r="R6923" s="34"/>
      <c r="AC6923" s="36"/>
    </row>
    <row r="6924" spans="12:29" x14ac:dyDescent="0.3">
      <c r="L6924" s="36"/>
      <c r="R6924" s="34"/>
      <c r="AC6924" s="36"/>
    </row>
    <row r="6925" spans="12:29" x14ac:dyDescent="0.3">
      <c r="L6925" s="36"/>
      <c r="R6925" s="34"/>
      <c r="AC6925" s="36"/>
    </row>
    <row r="6926" spans="12:29" x14ac:dyDescent="0.3">
      <c r="L6926" s="36"/>
      <c r="R6926" s="34"/>
      <c r="AC6926" s="36"/>
    </row>
    <row r="6927" spans="12:29" x14ac:dyDescent="0.3">
      <c r="L6927" s="36"/>
      <c r="R6927" s="34"/>
      <c r="AC6927" s="36"/>
    </row>
    <row r="6928" spans="12:29" x14ac:dyDescent="0.3">
      <c r="L6928" s="36"/>
      <c r="R6928" s="34"/>
      <c r="AC6928" s="36"/>
    </row>
    <row r="6929" spans="12:29" x14ac:dyDescent="0.3">
      <c r="L6929" s="36"/>
      <c r="R6929" s="34"/>
      <c r="AC6929" s="36"/>
    </row>
    <row r="6930" spans="12:29" x14ac:dyDescent="0.3">
      <c r="L6930" s="36"/>
      <c r="R6930" s="34"/>
      <c r="AC6930" s="36"/>
    </row>
    <row r="6931" spans="12:29" x14ac:dyDescent="0.3">
      <c r="L6931" s="36"/>
      <c r="R6931" s="34"/>
      <c r="AC6931" s="36"/>
    </row>
    <row r="6932" spans="12:29" x14ac:dyDescent="0.3">
      <c r="L6932" s="36"/>
      <c r="R6932" s="34"/>
      <c r="AC6932" s="36"/>
    </row>
    <row r="6933" spans="12:29" x14ac:dyDescent="0.3">
      <c r="L6933" s="36"/>
      <c r="R6933" s="34"/>
      <c r="AC6933" s="36"/>
    </row>
    <row r="6934" spans="12:29" x14ac:dyDescent="0.3">
      <c r="L6934" s="36"/>
      <c r="R6934" s="34"/>
      <c r="AC6934" s="36"/>
    </row>
    <row r="6935" spans="12:29" x14ac:dyDescent="0.3">
      <c r="L6935" s="36"/>
      <c r="R6935" s="34"/>
      <c r="AC6935" s="36"/>
    </row>
    <row r="6936" spans="12:29" x14ac:dyDescent="0.3">
      <c r="L6936" s="36"/>
      <c r="R6936" s="34"/>
      <c r="AC6936" s="36"/>
    </row>
    <row r="6937" spans="12:29" x14ac:dyDescent="0.3">
      <c r="L6937" s="36"/>
      <c r="R6937" s="34"/>
      <c r="AC6937" s="36"/>
    </row>
    <row r="6938" spans="12:29" x14ac:dyDescent="0.3">
      <c r="L6938" s="36"/>
      <c r="R6938" s="34"/>
      <c r="AC6938" s="36"/>
    </row>
    <row r="6939" spans="12:29" x14ac:dyDescent="0.3">
      <c r="L6939" s="36"/>
      <c r="R6939" s="34"/>
      <c r="AC6939" s="36"/>
    </row>
    <row r="6940" spans="12:29" x14ac:dyDescent="0.3">
      <c r="L6940" s="36"/>
      <c r="R6940" s="34"/>
      <c r="AC6940" s="36"/>
    </row>
    <row r="6941" spans="12:29" x14ac:dyDescent="0.3">
      <c r="L6941" s="36"/>
      <c r="R6941" s="34"/>
      <c r="AC6941" s="36"/>
    </row>
    <row r="6942" spans="12:29" x14ac:dyDescent="0.3">
      <c r="L6942" s="36"/>
      <c r="R6942" s="34"/>
      <c r="AC6942" s="36"/>
    </row>
    <row r="6943" spans="12:29" x14ac:dyDescent="0.3">
      <c r="L6943" s="36"/>
      <c r="R6943" s="34"/>
      <c r="AC6943" s="36"/>
    </row>
    <row r="6944" spans="12:29" x14ac:dyDescent="0.3">
      <c r="L6944" s="36"/>
      <c r="R6944" s="34"/>
      <c r="AC6944" s="36"/>
    </row>
    <row r="6945" spans="12:29" x14ac:dyDescent="0.3">
      <c r="L6945" s="36"/>
      <c r="R6945" s="34"/>
      <c r="AC6945" s="36"/>
    </row>
    <row r="6946" spans="12:29" x14ac:dyDescent="0.3">
      <c r="L6946" s="36"/>
      <c r="R6946" s="34"/>
      <c r="AC6946" s="36"/>
    </row>
    <row r="6947" spans="12:29" x14ac:dyDescent="0.3">
      <c r="L6947" s="36"/>
      <c r="R6947" s="34"/>
      <c r="AC6947" s="36"/>
    </row>
    <row r="6948" spans="12:29" x14ac:dyDescent="0.3">
      <c r="L6948" s="36"/>
      <c r="R6948" s="34"/>
      <c r="AC6948" s="36"/>
    </row>
    <row r="6949" spans="12:29" x14ac:dyDescent="0.3">
      <c r="L6949" s="36"/>
      <c r="R6949" s="34"/>
      <c r="AC6949" s="36"/>
    </row>
    <row r="6950" spans="12:29" x14ac:dyDescent="0.3">
      <c r="L6950" s="36"/>
      <c r="R6950" s="34"/>
      <c r="AC6950" s="36"/>
    </row>
    <row r="6951" spans="12:29" x14ac:dyDescent="0.3">
      <c r="L6951" s="36"/>
      <c r="R6951" s="34"/>
      <c r="AC6951" s="36"/>
    </row>
    <row r="6952" spans="12:29" x14ac:dyDescent="0.3">
      <c r="L6952" s="36"/>
      <c r="R6952" s="34"/>
      <c r="AC6952" s="36"/>
    </row>
    <row r="6953" spans="12:29" x14ac:dyDescent="0.3">
      <c r="L6953" s="36"/>
      <c r="R6953" s="34"/>
      <c r="AC6953" s="36"/>
    </row>
    <row r="6954" spans="12:29" x14ac:dyDescent="0.3">
      <c r="L6954" s="36"/>
      <c r="R6954" s="34"/>
      <c r="AC6954" s="36"/>
    </row>
    <row r="6955" spans="12:29" x14ac:dyDescent="0.3">
      <c r="L6955" s="36"/>
      <c r="R6955" s="34"/>
      <c r="AC6955" s="36"/>
    </row>
    <row r="6956" spans="12:29" x14ac:dyDescent="0.3">
      <c r="L6956" s="36"/>
      <c r="R6956" s="34"/>
      <c r="AC6956" s="36"/>
    </row>
    <row r="6957" spans="12:29" x14ac:dyDescent="0.3">
      <c r="L6957" s="36"/>
      <c r="R6957" s="34"/>
      <c r="AC6957" s="36"/>
    </row>
    <row r="6958" spans="12:29" x14ac:dyDescent="0.3">
      <c r="L6958" s="36"/>
      <c r="R6958" s="34"/>
      <c r="AC6958" s="36"/>
    </row>
    <row r="6959" spans="12:29" x14ac:dyDescent="0.3">
      <c r="L6959" s="36"/>
      <c r="R6959" s="34"/>
      <c r="AC6959" s="36"/>
    </row>
    <row r="6960" spans="12:29" x14ac:dyDescent="0.3">
      <c r="L6960" s="36"/>
      <c r="R6960" s="34"/>
      <c r="AC6960" s="36"/>
    </row>
    <row r="6961" spans="12:29" x14ac:dyDescent="0.3">
      <c r="L6961" s="36"/>
      <c r="R6961" s="34"/>
      <c r="AC6961" s="36"/>
    </row>
    <row r="6962" spans="12:29" x14ac:dyDescent="0.3">
      <c r="L6962" s="36"/>
      <c r="R6962" s="34"/>
      <c r="AC6962" s="36"/>
    </row>
    <row r="6963" spans="12:29" x14ac:dyDescent="0.3">
      <c r="L6963" s="36"/>
      <c r="R6963" s="34"/>
      <c r="AC6963" s="36"/>
    </row>
    <row r="6964" spans="12:29" x14ac:dyDescent="0.3">
      <c r="L6964" s="36"/>
      <c r="R6964" s="34"/>
      <c r="AC6964" s="36"/>
    </row>
    <row r="6965" spans="12:29" x14ac:dyDescent="0.3">
      <c r="L6965" s="36"/>
      <c r="R6965" s="34"/>
      <c r="AC6965" s="36"/>
    </row>
    <row r="6966" spans="12:29" x14ac:dyDescent="0.3">
      <c r="L6966" s="36"/>
      <c r="R6966" s="34"/>
      <c r="AC6966" s="36"/>
    </row>
    <row r="6967" spans="12:29" x14ac:dyDescent="0.3">
      <c r="L6967" s="36"/>
      <c r="R6967" s="34"/>
      <c r="AC6967" s="36"/>
    </row>
    <row r="6968" spans="12:29" x14ac:dyDescent="0.3">
      <c r="L6968" s="36"/>
      <c r="R6968" s="34"/>
      <c r="AC6968" s="36"/>
    </row>
    <row r="6969" spans="12:29" x14ac:dyDescent="0.3">
      <c r="L6969" s="36"/>
      <c r="R6969" s="34"/>
      <c r="AC6969" s="36"/>
    </row>
    <row r="6970" spans="12:29" x14ac:dyDescent="0.3">
      <c r="L6970" s="36"/>
      <c r="R6970" s="34"/>
      <c r="AC6970" s="36"/>
    </row>
    <row r="6971" spans="12:29" x14ac:dyDescent="0.3">
      <c r="L6971" s="36"/>
      <c r="R6971" s="34"/>
      <c r="AC6971" s="36"/>
    </row>
    <row r="6972" spans="12:29" x14ac:dyDescent="0.3">
      <c r="L6972" s="36"/>
      <c r="R6972" s="34"/>
      <c r="AC6972" s="36"/>
    </row>
    <row r="6973" spans="12:29" x14ac:dyDescent="0.3">
      <c r="L6973" s="36"/>
      <c r="R6973" s="34"/>
      <c r="AC6973" s="36"/>
    </row>
    <row r="6974" spans="12:29" x14ac:dyDescent="0.3">
      <c r="L6974" s="36"/>
      <c r="R6974" s="34"/>
      <c r="AC6974" s="36"/>
    </row>
    <row r="6975" spans="12:29" x14ac:dyDescent="0.3">
      <c r="L6975" s="36"/>
      <c r="R6975" s="34"/>
      <c r="AC6975" s="36"/>
    </row>
    <row r="6976" spans="12:29" x14ac:dyDescent="0.3">
      <c r="L6976" s="36"/>
      <c r="R6976" s="34"/>
      <c r="AC6976" s="36"/>
    </row>
    <row r="6977" spans="12:29" x14ac:dyDescent="0.3">
      <c r="L6977" s="36"/>
      <c r="R6977" s="34"/>
      <c r="AC6977" s="36"/>
    </row>
    <row r="6978" spans="12:29" x14ac:dyDescent="0.3">
      <c r="L6978" s="36"/>
      <c r="R6978" s="34"/>
      <c r="AC6978" s="36"/>
    </row>
    <row r="6979" spans="12:29" x14ac:dyDescent="0.3">
      <c r="L6979" s="36"/>
      <c r="R6979" s="34"/>
      <c r="AC6979" s="36"/>
    </row>
    <row r="6980" spans="12:29" x14ac:dyDescent="0.3">
      <c r="L6980" s="36"/>
      <c r="R6980" s="34"/>
      <c r="AC6980" s="36"/>
    </row>
    <row r="6981" spans="12:29" x14ac:dyDescent="0.3">
      <c r="L6981" s="36"/>
      <c r="R6981" s="34"/>
      <c r="AC6981" s="36"/>
    </row>
    <row r="6982" spans="12:29" x14ac:dyDescent="0.3">
      <c r="L6982" s="36"/>
      <c r="R6982" s="34"/>
      <c r="AC6982" s="36"/>
    </row>
    <row r="6983" spans="12:29" x14ac:dyDescent="0.3">
      <c r="L6983" s="36"/>
      <c r="R6983" s="34"/>
      <c r="AC6983" s="36"/>
    </row>
    <row r="6984" spans="12:29" x14ac:dyDescent="0.3">
      <c r="L6984" s="36"/>
      <c r="R6984" s="34"/>
      <c r="AC6984" s="36"/>
    </row>
    <row r="6985" spans="12:29" x14ac:dyDescent="0.3">
      <c r="L6985" s="36"/>
      <c r="R6985" s="34"/>
      <c r="AC6985" s="36"/>
    </row>
    <row r="6986" spans="12:29" x14ac:dyDescent="0.3">
      <c r="L6986" s="36"/>
      <c r="R6986" s="34"/>
      <c r="AC6986" s="36"/>
    </row>
    <row r="6987" spans="12:29" x14ac:dyDescent="0.3">
      <c r="L6987" s="36"/>
      <c r="R6987" s="34"/>
      <c r="AC6987" s="36"/>
    </row>
    <row r="6988" spans="12:29" x14ac:dyDescent="0.3">
      <c r="L6988" s="36"/>
      <c r="R6988" s="34"/>
      <c r="AC6988" s="36"/>
    </row>
    <row r="6989" spans="12:29" x14ac:dyDescent="0.3">
      <c r="L6989" s="36"/>
      <c r="R6989" s="34"/>
      <c r="AC6989" s="36"/>
    </row>
    <row r="6990" spans="12:29" x14ac:dyDescent="0.3">
      <c r="L6990" s="36"/>
      <c r="R6990" s="34"/>
      <c r="AC6990" s="36"/>
    </row>
    <row r="6991" spans="12:29" x14ac:dyDescent="0.3">
      <c r="L6991" s="36"/>
      <c r="R6991" s="34"/>
      <c r="AC6991" s="36"/>
    </row>
    <row r="6992" spans="12:29" x14ac:dyDescent="0.3">
      <c r="L6992" s="36"/>
      <c r="R6992" s="34"/>
      <c r="AC6992" s="36"/>
    </row>
    <row r="6993" spans="12:29" x14ac:dyDescent="0.3">
      <c r="L6993" s="36"/>
      <c r="R6993" s="34"/>
      <c r="AC6993" s="36"/>
    </row>
    <row r="6994" spans="12:29" x14ac:dyDescent="0.3">
      <c r="L6994" s="36"/>
      <c r="R6994" s="34"/>
      <c r="AC6994" s="36"/>
    </row>
    <row r="6995" spans="12:29" x14ac:dyDescent="0.3">
      <c r="L6995" s="36"/>
      <c r="R6995" s="34"/>
      <c r="AC6995" s="36"/>
    </row>
    <row r="6996" spans="12:29" x14ac:dyDescent="0.3">
      <c r="L6996" s="36"/>
      <c r="R6996" s="34"/>
      <c r="AC6996" s="36"/>
    </row>
    <row r="6997" spans="12:29" x14ac:dyDescent="0.3">
      <c r="L6997" s="36"/>
      <c r="R6997" s="34"/>
      <c r="AC6997" s="36"/>
    </row>
    <row r="6998" spans="12:29" x14ac:dyDescent="0.3">
      <c r="L6998" s="36"/>
      <c r="R6998" s="34"/>
      <c r="AC6998" s="36"/>
    </row>
    <row r="6999" spans="12:29" x14ac:dyDescent="0.3">
      <c r="L6999" s="36"/>
      <c r="R6999" s="34"/>
      <c r="AC6999" s="36"/>
    </row>
    <row r="7000" spans="12:29" x14ac:dyDescent="0.3">
      <c r="L7000" s="36"/>
      <c r="R7000" s="34"/>
      <c r="AC7000" s="36"/>
    </row>
    <row r="7001" spans="12:29" x14ac:dyDescent="0.3">
      <c r="L7001" s="36"/>
      <c r="R7001" s="34"/>
      <c r="AC7001" s="36"/>
    </row>
    <row r="7002" spans="12:29" x14ac:dyDescent="0.3">
      <c r="L7002" s="36"/>
      <c r="R7002" s="34"/>
      <c r="AC7002" s="36"/>
    </row>
    <row r="7003" spans="12:29" x14ac:dyDescent="0.3">
      <c r="L7003" s="36"/>
      <c r="R7003" s="34"/>
      <c r="AC7003" s="36"/>
    </row>
    <row r="7004" spans="12:29" x14ac:dyDescent="0.3">
      <c r="L7004" s="36"/>
      <c r="R7004" s="34"/>
      <c r="AC7004" s="36"/>
    </row>
    <row r="7005" spans="12:29" x14ac:dyDescent="0.3">
      <c r="L7005" s="36"/>
      <c r="R7005" s="34"/>
      <c r="AC7005" s="36"/>
    </row>
    <row r="7006" spans="12:29" x14ac:dyDescent="0.3">
      <c r="L7006" s="36"/>
      <c r="R7006" s="34"/>
      <c r="AC7006" s="36"/>
    </row>
    <row r="7007" spans="12:29" x14ac:dyDescent="0.3">
      <c r="L7007" s="36"/>
      <c r="R7007" s="34"/>
      <c r="AC7007" s="36"/>
    </row>
    <row r="7008" spans="12:29" x14ac:dyDescent="0.3">
      <c r="L7008" s="36"/>
      <c r="R7008" s="34"/>
      <c r="AC7008" s="36"/>
    </row>
    <row r="7009" spans="12:29" x14ac:dyDescent="0.3">
      <c r="L7009" s="36"/>
      <c r="R7009" s="34"/>
      <c r="AC7009" s="36"/>
    </row>
    <row r="7010" spans="12:29" x14ac:dyDescent="0.3">
      <c r="L7010" s="36"/>
      <c r="R7010" s="34"/>
      <c r="AC7010" s="36"/>
    </row>
    <row r="7011" spans="12:29" x14ac:dyDescent="0.3">
      <c r="L7011" s="36"/>
      <c r="R7011" s="34"/>
      <c r="AC7011" s="36"/>
    </row>
    <row r="7012" spans="12:29" x14ac:dyDescent="0.3">
      <c r="L7012" s="36"/>
      <c r="R7012" s="34"/>
      <c r="AC7012" s="36"/>
    </row>
    <row r="7013" spans="12:29" x14ac:dyDescent="0.3">
      <c r="L7013" s="36"/>
      <c r="R7013" s="34"/>
      <c r="AC7013" s="36"/>
    </row>
    <row r="7014" spans="12:29" x14ac:dyDescent="0.3">
      <c r="L7014" s="36"/>
      <c r="R7014" s="34"/>
      <c r="AC7014" s="36"/>
    </row>
    <row r="7015" spans="12:29" x14ac:dyDescent="0.3">
      <c r="L7015" s="36"/>
      <c r="R7015" s="34"/>
      <c r="AC7015" s="36"/>
    </row>
    <row r="7016" spans="12:29" x14ac:dyDescent="0.3">
      <c r="L7016" s="36"/>
      <c r="R7016" s="34"/>
      <c r="AC7016" s="36"/>
    </row>
    <row r="7017" spans="12:29" x14ac:dyDescent="0.3">
      <c r="L7017" s="36"/>
      <c r="R7017" s="34"/>
      <c r="AC7017" s="36"/>
    </row>
    <row r="7018" spans="12:29" x14ac:dyDescent="0.3">
      <c r="L7018" s="36"/>
      <c r="R7018" s="34"/>
      <c r="AC7018" s="36"/>
    </row>
    <row r="7019" spans="12:29" x14ac:dyDescent="0.3">
      <c r="L7019" s="36"/>
      <c r="R7019" s="34"/>
      <c r="AC7019" s="36"/>
    </row>
    <row r="7020" spans="12:29" x14ac:dyDescent="0.3">
      <c r="L7020" s="36"/>
      <c r="R7020" s="34"/>
      <c r="AC7020" s="36"/>
    </row>
    <row r="7021" spans="12:29" x14ac:dyDescent="0.3">
      <c r="L7021" s="36"/>
      <c r="R7021" s="34"/>
      <c r="AC7021" s="36"/>
    </row>
    <row r="7022" spans="12:29" x14ac:dyDescent="0.3">
      <c r="L7022" s="36"/>
      <c r="R7022" s="34"/>
      <c r="AC7022" s="36"/>
    </row>
    <row r="7023" spans="12:29" x14ac:dyDescent="0.3">
      <c r="L7023" s="36"/>
      <c r="R7023" s="34"/>
      <c r="AC7023" s="36"/>
    </row>
    <row r="7024" spans="12:29" x14ac:dyDescent="0.3">
      <c r="L7024" s="36"/>
      <c r="R7024" s="34"/>
      <c r="AC7024" s="36"/>
    </row>
    <row r="7025" spans="12:29" x14ac:dyDescent="0.3">
      <c r="L7025" s="36"/>
      <c r="R7025" s="34"/>
      <c r="AC7025" s="36"/>
    </row>
    <row r="7026" spans="12:29" x14ac:dyDescent="0.3">
      <c r="L7026" s="36"/>
      <c r="R7026" s="34"/>
      <c r="AC7026" s="36"/>
    </row>
    <row r="7027" spans="12:29" x14ac:dyDescent="0.3">
      <c r="L7027" s="36"/>
      <c r="R7027" s="34"/>
      <c r="AC7027" s="36"/>
    </row>
    <row r="7028" spans="12:29" x14ac:dyDescent="0.3">
      <c r="L7028" s="36"/>
      <c r="R7028" s="34"/>
      <c r="AC7028" s="36"/>
    </row>
    <row r="7029" spans="12:29" x14ac:dyDescent="0.3">
      <c r="L7029" s="36"/>
      <c r="R7029" s="34"/>
      <c r="AC7029" s="36"/>
    </row>
    <row r="7030" spans="12:29" x14ac:dyDescent="0.3">
      <c r="L7030" s="36"/>
      <c r="R7030" s="34"/>
      <c r="AC7030" s="36"/>
    </row>
    <row r="7031" spans="12:29" x14ac:dyDescent="0.3">
      <c r="L7031" s="36"/>
      <c r="R7031" s="34"/>
      <c r="AC7031" s="36"/>
    </row>
    <row r="7032" spans="12:29" x14ac:dyDescent="0.3">
      <c r="L7032" s="36"/>
      <c r="R7032" s="34"/>
      <c r="AC7032" s="36"/>
    </row>
    <row r="7033" spans="12:29" x14ac:dyDescent="0.3">
      <c r="L7033" s="36"/>
      <c r="R7033" s="34"/>
      <c r="AC7033" s="36"/>
    </row>
    <row r="7034" spans="12:29" x14ac:dyDescent="0.3">
      <c r="L7034" s="36"/>
      <c r="R7034" s="34"/>
      <c r="AC7034" s="36"/>
    </row>
    <row r="7035" spans="12:29" x14ac:dyDescent="0.3">
      <c r="L7035" s="36"/>
      <c r="R7035" s="34"/>
      <c r="AC7035" s="36"/>
    </row>
    <row r="7036" spans="12:29" x14ac:dyDescent="0.3">
      <c r="L7036" s="36"/>
      <c r="R7036" s="34"/>
      <c r="AC7036" s="36"/>
    </row>
    <row r="7037" spans="12:29" x14ac:dyDescent="0.3">
      <c r="L7037" s="36"/>
      <c r="R7037" s="34"/>
      <c r="AC7037" s="36"/>
    </row>
    <row r="7038" spans="12:29" x14ac:dyDescent="0.3">
      <c r="L7038" s="36"/>
      <c r="R7038" s="34"/>
      <c r="AC7038" s="36"/>
    </row>
    <row r="7039" spans="12:29" x14ac:dyDescent="0.3">
      <c r="L7039" s="36"/>
      <c r="R7039" s="34"/>
      <c r="AC7039" s="36"/>
    </row>
    <row r="7040" spans="12:29" x14ac:dyDescent="0.3">
      <c r="L7040" s="36"/>
      <c r="R7040" s="34"/>
      <c r="AC7040" s="36"/>
    </row>
    <row r="7041" spans="12:29" x14ac:dyDescent="0.3">
      <c r="L7041" s="36"/>
      <c r="R7041" s="34"/>
      <c r="AC7041" s="36"/>
    </row>
    <row r="7042" spans="12:29" x14ac:dyDescent="0.3">
      <c r="L7042" s="36"/>
      <c r="R7042" s="34"/>
      <c r="AC7042" s="36"/>
    </row>
    <row r="7043" spans="12:29" x14ac:dyDescent="0.3">
      <c r="L7043" s="36"/>
      <c r="R7043" s="34"/>
      <c r="AC7043" s="36"/>
    </row>
    <row r="7044" spans="12:29" x14ac:dyDescent="0.3">
      <c r="L7044" s="36"/>
      <c r="R7044" s="34"/>
      <c r="AC7044" s="36"/>
    </row>
    <row r="7045" spans="12:29" x14ac:dyDescent="0.3">
      <c r="L7045" s="36"/>
      <c r="R7045" s="34"/>
      <c r="AC7045" s="36"/>
    </row>
    <row r="7046" spans="12:29" x14ac:dyDescent="0.3">
      <c r="L7046" s="36"/>
      <c r="R7046" s="34"/>
      <c r="AC7046" s="36"/>
    </row>
    <row r="7047" spans="12:29" x14ac:dyDescent="0.3">
      <c r="L7047" s="36"/>
      <c r="R7047" s="34"/>
      <c r="AC7047" s="36"/>
    </row>
    <row r="7048" spans="12:29" x14ac:dyDescent="0.3">
      <c r="L7048" s="36"/>
      <c r="R7048" s="34"/>
      <c r="AC7048" s="36"/>
    </row>
    <row r="7049" spans="12:29" x14ac:dyDescent="0.3">
      <c r="L7049" s="36"/>
      <c r="R7049" s="34"/>
      <c r="AC7049" s="36"/>
    </row>
    <row r="7050" spans="12:29" x14ac:dyDescent="0.3">
      <c r="L7050" s="36"/>
      <c r="R7050" s="34"/>
      <c r="AC7050" s="36"/>
    </row>
    <row r="7051" spans="12:29" x14ac:dyDescent="0.3">
      <c r="L7051" s="36"/>
      <c r="R7051" s="34"/>
      <c r="AC7051" s="36"/>
    </row>
    <row r="7052" spans="12:29" x14ac:dyDescent="0.3">
      <c r="L7052" s="36"/>
      <c r="R7052" s="34"/>
      <c r="AC7052" s="36"/>
    </row>
    <row r="7053" spans="12:29" x14ac:dyDescent="0.3">
      <c r="L7053" s="36"/>
      <c r="R7053" s="34"/>
      <c r="AC7053" s="36"/>
    </row>
    <row r="7054" spans="12:29" x14ac:dyDescent="0.3">
      <c r="L7054" s="36"/>
      <c r="R7054" s="34"/>
      <c r="AC7054" s="36"/>
    </row>
    <row r="7055" spans="12:29" x14ac:dyDescent="0.3">
      <c r="L7055" s="36"/>
      <c r="R7055" s="34"/>
      <c r="AC7055" s="36"/>
    </row>
    <row r="7056" spans="12:29" x14ac:dyDescent="0.3">
      <c r="L7056" s="36"/>
      <c r="R7056" s="34"/>
      <c r="AC7056" s="36"/>
    </row>
    <row r="7057" spans="12:29" x14ac:dyDescent="0.3">
      <c r="L7057" s="36"/>
      <c r="R7057" s="34"/>
      <c r="AC7057" s="36"/>
    </row>
    <row r="7058" spans="12:29" x14ac:dyDescent="0.3">
      <c r="L7058" s="36"/>
      <c r="R7058" s="34"/>
      <c r="AC7058" s="36"/>
    </row>
    <row r="7059" spans="12:29" x14ac:dyDescent="0.3">
      <c r="L7059" s="36"/>
      <c r="R7059" s="34"/>
      <c r="AC7059" s="36"/>
    </row>
    <row r="7060" spans="12:29" x14ac:dyDescent="0.3">
      <c r="L7060" s="36"/>
      <c r="R7060" s="34"/>
      <c r="AC7060" s="36"/>
    </row>
    <row r="7061" spans="12:29" x14ac:dyDescent="0.3">
      <c r="L7061" s="36"/>
      <c r="R7061" s="34"/>
      <c r="AC7061" s="36"/>
    </row>
    <row r="7062" spans="12:29" x14ac:dyDescent="0.3">
      <c r="L7062" s="36"/>
      <c r="R7062" s="34"/>
      <c r="AC7062" s="36"/>
    </row>
    <row r="7063" spans="12:29" x14ac:dyDescent="0.3">
      <c r="L7063" s="36"/>
      <c r="R7063" s="34"/>
      <c r="AC7063" s="36"/>
    </row>
    <row r="7064" spans="12:29" x14ac:dyDescent="0.3">
      <c r="L7064" s="36"/>
      <c r="R7064" s="34"/>
      <c r="AC7064" s="36"/>
    </row>
    <row r="7065" spans="12:29" x14ac:dyDescent="0.3">
      <c r="L7065" s="36"/>
      <c r="R7065" s="34"/>
      <c r="AC7065" s="36"/>
    </row>
    <row r="7066" spans="12:29" x14ac:dyDescent="0.3">
      <c r="L7066" s="36"/>
      <c r="R7066" s="34"/>
      <c r="AC7066" s="36"/>
    </row>
    <row r="7067" spans="12:29" x14ac:dyDescent="0.3">
      <c r="L7067" s="36"/>
      <c r="R7067" s="34"/>
      <c r="AC7067" s="36"/>
    </row>
    <row r="7068" spans="12:29" x14ac:dyDescent="0.3">
      <c r="L7068" s="36"/>
      <c r="R7068" s="34"/>
      <c r="AC7068" s="36"/>
    </row>
    <row r="7069" spans="12:29" x14ac:dyDescent="0.3">
      <c r="L7069" s="36"/>
      <c r="R7069" s="34"/>
      <c r="AC7069" s="36"/>
    </row>
    <row r="7070" spans="12:29" x14ac:dyDescent="0.3">
      <c r="L7070" s="36"/>
      <c r="R7070" s="34"/>
      <c r="AC7070" s="36"/>
    </row>
    <row r="7071" spans="12:29" x14ac:dyDescent="0.3">
      <c r="L7071" s="36"/>
      <c r="R7071" s="34"/>
      <c r="AC7071" s="36"/>
    </row>
    <row r="7072" spans="12:29" x14ac:dyDescent="0.3">
      <c r="L7072" s="36"/>
      <c r="R7072" s="34"/>
      <c r="AC7072" s="36"/>
    </row>
    <row r="7073" spans="12:29" x14ac:dyDescent="0.3">
      <c r="L7073" s="36"/>
      <c r="R7073" s="34"/>
      <c r="AC7073" s="36"/>
    </row>
    <row r="7074" spans="12:29" x14ac:dyDescent="0.3">
      <c r="L7074" s="36"/>
      <c r="R7074" s="34"/>
      <c r="AC7074" s="36"/>
    </row>
    <row r="7075" spans="12:29" x14ac:dyDescent="0.3">
      <c r="L7075" s="36"/>
      <c r="R7075" s="34"/>
      <c r="AC7075" s="36"/>
    </row>
    <row r="7076" spans="12:29" x14ac:dyDescent="0.3">
      <c r="L7076" s="36"/>
      <c r="R7076" s="34"/>
      <c r="AC7076" s="36"/>
    </row>
    <row r="7077" spans="12:29" x14ac:dyDescent="0.3">
      <c r="L7077" s="36"/>
      <c r="R7077" s="34"/>
      <c r="AC7077" s="36"/>
    </row>
    <row r="7078" spans="12:29" x14ac:dyDescent="0.3">
      <c r="L7078" s="36"/>
      <c r="R7078" s="34"/>
      <c r="AC7078" s="36"/>
    </row>
    <row r="7079" spans="12:29" x14ac:dyDescent="0.3">
      <c r="L7079" s="36"/>
      <c r="R7079" s="34"/>
      <c r="AC7079" s="36"/>
    </row>
    <row r="7080" spans="12:29" x14ac:dyDescent="0.3">
      <c r="L7080" s="36"/>
      <c r="R7080" s="34"/>
      <c r="AC7080" s="36"/>
    </row>
    <row r="7081" spans="12:29" x14ac:dyDescent="0.3">
      <c r="L7081" s="36"/>
      <c r="R7081" s="34"/>
      <c r="AC7081" s="36"/>
    </row>
    <row r="7082" spans="12:29" x14ac:dyDescent="0.3">
      <c r="L7082" s="36"/>
      <c r="R7082" s="34"/>
      <c r="AC7082" s="36"/>
    </row>
    <row r="7083" spans="12:29" x14ac:dyDescent="0.3">
      <c r="L7083" s="36"/>
      <c r="R7083" s="34"/>
      <c r="AC7083" s="36"/>
    </row>
    <row r="7084" spans="12:29" x14ac:dyDescent="0.3">
      <c r="L7084" s="36"/>
      <c r="R7084" s="34"/>
      <c r="AC7084" s="36"/>
    </row>
    <row r="7085" spans="12:29" x14ac:dyDescent="0.3">
      <c r="L7085" s="36"/>
      <c r="R7085" s="34"/>
      <c r="AC7085" s="36"/>
    </row>
    <row r="7086" spans="12:29" x14ac:dyDescent="0.3">
      <c r="L7086" s="36"/>
      <c r="R7086" s="34"/>
      <c r="AC7086" s="36"/>
    </row>
    <row r="7087" spans="12:29" x14ac:dyDescent="0.3">
      <c r="L7087" s="36"/>
      <c r="R7087" s="34"/>
      <c r="AC7087" s="36"/>
    </row>
    <row r="7088" spans="12:29" x14ac:dyDescent="0.3">
      <c r="L7088" s="36"/>
      <c r="R7088" s="34"/>
      <c r="AC7088" s="36"/>
    </row>
    <row r="7089" spans="12:29" x14ac:dyDescent="0.3">
      <c r="L7089" s="36"/>
      <c r="R7089" s="34"/>
      <c r="AC7089" s="36"/>
    </row>
    <row r="7090" spans="12:29" x14ac:dyDescent="0.3">
      <c r="L7090" s="36"/>
      <c r="R7090" s="34"/>
      <c r="AC7090" s="36"/>
    </row>
    <row r="7091" spans="12:29" x14ac:dyDescent="0.3">
      <c r="L7091" s="36"/>
      <c r="R7091" s="34"/>
      <c r="AC7091" s="36"/>
    </row>
    <row r="7092" spans="12:29" x14ac:dyDescent="0.3">
      <c r="L7092" s="36"/>
      <c r="R7092" s="34"/>
      <c r="AC7092" s="36"/>
    </row>
    <row r="7093" spans="12:29" x14ac:dyDescent="0.3">
      <c r="L7093" s="36"/>
      <c r="R7093" s="34"/>
      <c r="AC7093" s="36"/>
    </row>
    <row r="7094" spans="12:29" x14ac:dyDescent="0.3">
      <c r="L7094" s="36"/>
      <c r="R7094" s="34"/>
      <c r="AC7094" s="36"/>
    </row>
    <row r="7095" spans="12:29" x14ac:dyDescent="0.3">
      <c r="L7095" s="36"/>
      <c r="R7095" s="34"/>
      <c r="AC7095" s="36"/>
    </row>
    <row r="7096" spans="12:29" x14ac:dyDescent="0.3">
      <c r="L7096" s="36"/>
      <c r="R7096" s="34"/>
      <c r="AC7096" s="36"/>
    </row>
    <row r="7097" spans="12:29" x14ac:dyDescent="0.3">
      <c r="L7097" s="36"/>
      <c r="R7097" s="34"/>
      <c r="AC7097" s="36"/>
    </row>
    <row r="7098" spans="12:29" x14ac:dyDescent="0.3">
      <c r="L7098" s="36"/>
      <c r="R7098" s="34"/>
      <c r="AC7098" s="36"/>
    </row>
    <row r="7099" spans="12:29" x14ac:dyDescent="0.3">
      <c r="L7099" s="36"/>
      <c r="R7099" s="34"/>
      <c r="AC7099" s="36"/>
    </row>
    <row r="7100" spans="12:29" x14ac:dyDescent="0.3">
      <c r="L7100" s="36"/>
      <c r="R7100" s="34"/>
      <c r="AC7100" s="36"/>
    </row>
    <row r="7101" spans="12:29" x14ac:dyDescent="0.3">
      <c r="L7101" s="36"/>
      <c r="R7101" s="34"/>
      <c r="AC7101" s="36"/>
    </row>
    <row r="7102" spans="12:29" x14ac:dyDescent="0.3">
      <c r="L7102" s="36"/>
      <c r="R7102" s="34"/>
      <c r="AC7102" s="36"/>
    </row>
    <row r="7103" spans="12:29" x14ac:dyDescent="0.3">
      <c r="L7103" s="36"/>
      <c r="R7103" s="34"/>
      <c r="AC7103" s="36"/>
    </row>
    <row r="7104" spans="12:29" x14ac:dyDescent="0.3">
      <c r="L7104" s="36"/>
      <c r="R7104" s="34"/>
      <c r="AC7104" s="36"/>
    </row>
    <row r="7105" spans="12:29" x14ac:dyDescent="0.3">
      <c r="L7105" s="36"/>
      <c r="R7105" s="34"/>
      <c r="AC7105" s="36"/>
    </row>
    <row r="7106" spans="12:29" x14ac:dyDescent="0.3">
      <c r="L7106" s="36"/>
      <c r="R7106" s="34"/>
      <c r="AC7106" s="36"/>
    </row>
    <row r="7107" spans="12:29" x14ac:dyDescent="0.3">
      <c r="L7107" s="36"/>
      <c r="R7107" s="34"/>
      <c r="AC7107" s="36"/>
    </row>
    <row r="7108" spans="12:29" x14ac:dyDescent="0.3">
      <c r="L7108" s="36"/>
      <c r="R7108" s="34"/>
      <c r="AC7108" s="36"/>
    </row>
    <row r="7109" spans="12:29" x14ac:dyDescent="0.3">
      <c r="L7109" s="36"/>
      <c r="R7109" s="34"/>
      <c r="AC7109" s="36"/>
    </row>
    <row r="7110" spans="12:29" x14ac:dyDescent="0.3">
      <c r="L7110" s="36"/>
      <c r="R7110" s="34"/>
      <c r="AC7110" s="36"/>
    </row>
    <row r="7111" spans="12:29" x14ac:dyDescent="0.3">
      <c r="L7111" s="36"/>
      <c r="R7111" s="34"/>
      <c r="AC7111" s="36"/>
    </row>
    <row r="7112" spans="12:29" x14ac:dyDescent="0.3">
      <c r="L7112" s="36"/>
      <c r="R7112" s="34"/>
      <c r="AC7112" s="36"/>
    </row>
    <row r="7113" spans="12:29" x14ac:dyDescent="0.3">
      <c r="L7113" s="36"/>
      <c r="R7113" s="34"/>
      <c r="AC7113" s="36"/>
    </row>
    <row r="7114" spans="12:29" x14ac:dyDescent="0.3">
      <c r="L7114" s="36"/>
      <c r="R7114" s="34"/>
      <c r="AC7114" s="36"/>
    </row>
    <row r="7115" spans="12:29" x14ac:dyDescent="0.3">
      <c r="L7115" s="36"/>
      <c r="R7115" s="34"/>
      <c r="AC7115" s="36"/>
    </row>
    <row r="7116" spans="12:29" x14ac:dyDescent="0.3">
      <c r="L7116" s="36"/>
      <c r="R7116" s="34"/>
      <c r="AC7116" s="36"/>
    </row>
    <row r="7117" spans="12:29" x14ac:dyDescent="0.3">
      <c r="L7117" s="36"/>
      <c r="R7117" s="34"/>
      <c r="AC7117" s="36"/>
    </row>
    <row r="7118" spans="12:29" x14ac:dyDescent="0.3">
      <c r="L7118" s="36"/>
      <c r="R7118" s="34"/>
      <c r="AC7118" s="36"/>
    </row>
    <row r="7119" spans="12:29" x14ac:dyDescent="0.3">
      <c r="L7119" s="36"/>
      <c r="R7119" s="34"/>
      <c r="AC7119" s="36"/>
    </row>
    <row r="7120" spans="12:29" x14ac:dyDescent="0.3">
      <c r="L7120" s="36"/>
      <c r="R7120" s="34"/>
      <c r="AC7120" s="36"/>
    </row>
    <row r="7121" spans="12:29" x14ac:dyDescent="0.3">
      <c r="L7121" s="36"/>
      <c r="R7121" s="34"/>
      <c r="AC7121" s="36"/>
    </row>
    <row r="7122" spans="12:29" x14ac:dyDescent="0.3">
      <c r="L7122" s="36"/>
      <c r="R7122" s="34"/>
      <c r="AC7122" s="36"/>
    </row>
    <row r="7123" spans="12:29" x14ac:dyDescent="0.3">
      <c r="L7123" s="36"/>
      <c r="R7123" s="34"/>
      <c r="AC7123" s="36"/>
    </row>
    <row r="7124" spans="12:29" x14ac:dyDescent="0.3">
      <c r="L7124" s="36"/>
      <c r="R7124" s="34"/>
      <c r="AC7124" s="36"/>
    </row>
    <row r="7125" spans="12:29" x14ac:dyDescent="0.3">
      <c r="L7125" s="36"/>
      <c r="R7125" s="34"/>
      <c r="AC7125" s="36"/>
    </row>
    <row r="7126" spans="12:29" x14ac:dyDescent="0.3">
      <c r="L7126" s="36"/>
      <c r="R7126" s="34"/>
      <c r="AC7126" s="36"/>
    </row>
    <row r="7127" spans="12:29" x14ac:dyDescent="0.3">
      <c r="L7127" s="36"/>
      <c r="R7127" s="34"/>
      <c r="AC7127" s="36"/>
    </row>
    <row r="7128" spans="12:29" x14ac:dyDescent="0.3">
      <c r="L7128" s="36"/>
      <c r="R7128" s="34"/>
      <c r="AC7128" s="36"/>
    </row>
    <row r="7129" spans="12:29" x14ac:dyDescent="0.3">
      <c r="L7129" s="36"/>
      <c r="R7129" s="34"/>
      <c r="AC7129" s="36"/>
    </row>
    <row r="7130" spans="12:29" x14ac:dyDescent="0.3">
      <c r="L7130" s="36"/>
      <c r="R7130" s="34"/>
      <c r="AC7130" s="36"/>
    </row>
    <row r="7131" spans="12:29" x14ac:dyDescent="0.3">
      <c r="L7131" s="36"/>
      <c r="R7131" s="34"/>
      <c r="AC7131" s="36"/>
    </row>
    <row r="7132" spans="12:29" x14ac:dyDescent="0.3">
      <c r="L7132" s="36"/>
      <c r="R7132" s="34"/>
      <c r="AC7132" s="36"/>
    </row>
    <row r="7133" spans="12:29" x14ac:dyDescent="0.3">
      <c r="L7133" s="36"/>
      <c r="R7133" s="34"/>
      <c r="AC7133" s="36"/>
    </row>
    <row r="7134" spans="12:29" x14ac:dyDescent="0.3">
      <c r="L7134" s="36"/>
      <c r="R7134" s="34"/>
      <c r="AC7134" s="36"/>
    </row>
    <row r="7135" spans="12:29" x14ac:dyDescent="0.3">
      <c r="L7135" s="36"/>
      <c r="R7135" s="34"/>
      <c r="AC7135" s="36"/>
    </row>
    <row r="7136" spans="12:29" x14ac:dyDescent="0.3">
      <c r="L7136" s="36"/>
      <c r="R7136" s="34"/>
      <c r="AC7136" s="36"/>
    </row>
    <row r="7137" spans="12:29" x14ac:dyDescent="0.3">
      <c r="L7137" s="36"/>
      <c r="R7137" s="34"/>
      <c r="AC7137" s="36"/>
    </row>
    <row r="7138" spans="12:29" x14ac:dyDescent="0.3">
      <c r="L7138" s="36"/>
      <c r="R7138" s="34"/>
      <c r="AC7138" s="36"/>
    </row>
    <row r="7139" spans="12:29" x14ac:dyDescent="0.3">
      <c r="L7139" s="36"/>
      <c r="R7139" s="34"/>
      <c r="AC7139" s="36"/>
    </row>
    <row r="7140" spans="12:29" x14ac:dyDescent="0.3">
      <c r="L7140" s="36"/>
      <c r="R7140" s="34"/>
      <c r="AC7140" s="36"/>
    </row>
    <row r="7141" spans="12:29" x14ac:dyDescent="0.3">
      <c r="L7141" s="36"/>
      <c r="R7141" s="34"/>
      <c r="AC7141" s="36"/>
    </row>
    <row r="7142" spans="12:29" x14ac:dyDescent="0.3">
      <c r="L7142" s="36"/>
      <c r="R7142" s="34"/>
      <c r="AC7142" s="36"/>
    </row>
    <row r="7143" spans="12:29" x14ac:dyDescent="0.3">
      <c r="L7143" s="36"/>
      <c r="R7143" s="34"/>
      <c r="AC7143" s="36"/>
    </row>
    <row r="7144" spans="12:29" x14ac:dyDescent="0.3">
      <c r="L7144" s="36"/>
      <c r="R7144" s="34"/>
      <c r="AC7144" s="36"/>
    </row>
    <row r="7145" spans="12:29" x14ac:dyDescent="0.3">
      <c r="L7145" s="36"/>
      <c r="R7145" s="34"/>
      <c r="AC7145" s="36"/>
    </row>
    <row r="7146" spans="12:29" x14ac:dyDescent="0.3">
      <c r="L7146" s="36"/>
      <c r="R7146" s="34"/>
      <c r="AC7146" s="36"/>
    </row>
    <row r="7147" spans="12:29" x14ac:dyDescent="0.3">
      <c r="L7147" s="36"/>
      <c r="R7147" s="34"/>
      <c r="AC7147" s="36"/>
    </row>
    <row r="7148" spans="12:29" x14ac:dyDescent="0.3">
      <c r="L7148" s="36"/>
      <c r="R7148" s="34"/>
      <c r="AC7148" s="36"/>
    </row>
    <row r="7149" spans="12:29" x14ac:dyDescent="0.3">
      <c r="L7149" s="36"/>
      <c r="R7149" s="34"/>
      <c r="AC7149" s="36"/>
    </row>
    <row r="7150" spans="12:29" x14ac:dyDescent="0.3">
      <c r="L7150" s="36"/>
      <c r="R7150" s="34"/>
      <c r="AC7150" s="36"/>
    </row>
    <row r="7151" spans="12:29" x14ac:dyDescent="0.3">
      <c r="L7151" s="36"/>
      <c r="R7151" s="34"/>
      <c r="AC7151" s="36"/>
    </row>
    <row r="7152" spans="12:29" x14ac:dyDescent="0.3">
      <c r="L7152" s="36"/>
      <c r="R7152" s="34"/>
      <c r="AC7152" s="36"/>
    </row>
    <row r="7153" spans="12:29" x14ac:dyDescent="0.3">
      <c r="L7153" s="36"/>
      <c r="R7153" s="34"/>
      <c r="AC7153" s="36"/>
    </row>
    <row r="7154" spans="12:29" x14ac:dyDescent="0.3">
      <c r="L7154" s="36"/>
      <c r="R7154" s="34"/>
      <c r="AC7154" s="36"/>
    </row>
    <row r="7155" spans="12:29" x14ac:dyDescent="0.3">
      <c r="L7155" s="36"/>
      <c r="R7155" s="34"/>
      <c r="AC7155" s="36"/>
    </row>
    <row r="7156" spans="12:29" x14ac:dyDescent="0.3">
      <c r="L7156" s="36"/>
      <c r="R7156" s="34"/>
      <c r="AC7156" s="36"/>
    </row>
    <row r="7157" spans="12:29" x14ac:dyDescent="0.3">
      <c r="L7157" s="36"/>
      <c r="R7157" s="34"/>
      <c r="AC7157" s="36"/>
    </row>
    <row r="7158" spans="12:29" x14ac:dyDescent="0.3">
      <c r="L7158" s="36"/>
      <c r="R7158" s="34"/>
      <c r="AC7158" s="36"/>
    </row>
    <row r="7159" spans="12:29" x14ac:dyDescent="0.3">
      <c r="L7159" s="36"/>
      <c r="R7159" s="34"/>
      <c r="AC7159" s="36"/>
    </row>
    <row r="7160" spans="12:29" x14ac:dyDescent="0.3">
      <c r="L7160" s="36"/>
      <c r="R7160" s="34"/>
      <c r="AC7160" s="36"/>
    </row>
    <row r="7161" spans="12:29" x14ac:dyDescent="0.3">
      <c r="L7161" s="36"/>
      <c r="R7161" s="34"/>
      <c r="AC7161" s="36"/>
    </row>
    <row r="7162" spans="12:29" x14ac:dyDescent="0.3">
      <c r="L7162" s="36"/>
      <c r="R7162" s="34"/>
      <c r="AC7162" s="36"/>
    </row>
    <row r="7163" spans="12:29" x14ac:dyDescent="0.3">
      <c r="L7163" s="36"/>
      <c r="R7163" s="34"/>
      <c r="AC7163" s="36"/>
    </row>
    <row r="7164" spans="12:29" x14ac:dyDescent="0.3">
      <c r="L7164" s="36"/>
      <c r="R7164" s="34"/>
      <c r="AC7164" s="36"/>
    </row>
    <row r="7165" spans="12:29" x14ac:dyDescent="0.3">
      <c r="L7165" s="36"/>
      <c r="R7165" s="34"/>
      <c r="AC7165" s="36"/>
    </row>
    <row r="7166" spans="12:29" x14ac:dyDescent="0.3">
      <c r="L7166" s="36"/>
      <c r="R7166" s="34"/>
      <c r="AC7166" s="36"/>
    </row>
    <row r="7167" spans="12:29" x14ac:dyDescent="0.3">
      <c r="L7167" s="36"/>
      <c r="R7167" s="34"/>
      <c r="AC7167" s="36"/>
    </row>
    <row r="7168" spans="12:29" x14ac:dyDescent="0.3">
      <c r="L7168" s="36"/>
      <c r="R7168" s="34"/>
      <c r="AC7168" s="36"/>
    </row>
    <row r="7169" spans="12:29" x14ac:dyDescent="0.3">
      <c r="L7169" s="36"/>
      <c r="R7169" s="34"/>
      <c r="AC7169" s="36"/>
    </row>
    <row r="7170" spans="12:29" x14ac:dyDescent="0.3">
      <c r="L7170" s="36"/>
      <c r="R7170" s="34"/>
      <c r="AC7170" s="36"/>
    </row>
    <row r="7171" spans="12:29" x14ac:dyDescent="0.3">
      <c r="L7171" s="36"/>
      <c r="R7171" s="34"/>
      <c r="AC7171" s="36"/>
    </row>
    <row r="7172" spans="12:29" x14ac:dyDescent="0.3">
      <c r="L7172" s="36"/>
      <c r="R7172" s="34"/>
      <c r="AC7172" s="36"/>
    </row>
    <row r="7173" spans="12:29" x14ac:dyDescent="0.3">
      <c r="L7173" s="36"/>
      <c r="R7173" s="34"/>
      <c r="AC7173" s="36"/>
    </row>
    <row r="7174" spans="12:29" x14ac:dyDescent="0.3">
      <c r="L7174" s="36"/>
      <c r="R7174" s="34"/>
      <c r="AC7174" s="36"/>
    </row>
    <row r="7175" spans="12:29" x14ac:dyDescent="0.3">
      <c r="L7175" s="36"/>
      <c r="R7175" s="34"/>
      <c r="AC7175" s="36"/>
    </row>
    <row r="7176" spans="12:29" x14ac:dyDescent="0.3">
      <c r="L7176" s="36"/>
      <c r="R7176" s="34"/>
      <c r="AC7176" s="36"/>
    </row>
    <row r="7177" spans="12:29" x14ac:dyDescent="0.3">
      <c r="L7177" s="36"/>
      <c r="R7177" s="34"/>
      <c r="AC7177" s="36"/>
    </row>
    <row r="7178" spans="12:29" x14ac:dyDescent="0.3">
      <c r="L7178" s="36"/>
      <c r="R7178" s="34"/>
      <c r="AC7178" s="36"/>
    </row>
    <row r="7179" spans="12:29" x14ac:dyDescent="0.3">
      <c r="L7179" s="36"/>
      <c r="R7179" s="34"/>
      <c r="AC7179" s="36"/>
    </row>
    <row r="7180" spans="12:29" x14ac:dyDescent="0.3">
      <c r="L7180" s="36"/>
      <c r="R7180" s="34"/>
      <c r="AC7180" s="36"/>
    </row>
    <row r="7181" spans="12:29" x14ac:dyDescent="0.3">
      <c r="L7181" s="36"/>
      <c r="R7181" s="34"/>
      <c r="AC7181" s="36"/>
    </row>
    <row r="7182" spans="12:29" x14ac:dyDescent="0.3">
      <c r="L7182" s="36"/>
      <c r="R7182" s="34"/>
      <c r="AC7182" s="36"/>
    </row>
    <row r="7183" spans="12:29" x14ac:dyDescent="0.3">
      <c r="L7183" s="36"/>
      <c r="R7183" s="34"/>
      <c r="AC7183" s="36"/>
    </row>
    <row r="7184" spans="12:29" x14ac:dyDescent="0.3">
      <c r="L7184" s="36"/>
      <c r="R7184" s="34"/>
      <c r="AC7184" s="36"/>
    </row>
    <row r="7185" spans="12:29" x14ac:dyDescent="0.3">
      <c r="L7185" s="36"/>
      <c r="R7185" s="34"/>
      <c r="AC7185" s="36"/>
    </row>
    <row r="7186" spans="12:29" x14ac:dyDescent="0.3">
      <c r="L7186" s="36"/>
      <c r="R7186" s="34"/>
      <c r="AC7186" s="36"/>
    </row>
    <row r="7187" spans="12:29" x14ac:dyDescent="0.3">
      <c r="L7187" s="36"/>
      <c r="R7187" s="34"/>
      <c r="AC7187" s="36"/>
    </row>
    <row r="7188" spans="12:29" x14ac:dyDescent="0.3">
      <c r="L7188" s="36"/>
      <c r="R7188" s="34"/>
      <c r="AC7188" s="36"/>
    </row>
    <row r="7189" spans="12:29" x14ac:dyDescent="0.3">
      <c r="L7189" s="36"/>
      <c r="R7189" s="34"/>
      <c r="AC7189" s="36"/>
    </row>
    <row r="7190" spans="12:29" x14ac:dyDescent="0.3">
      <c r="L7190" s="36"/>
      <c r="R7190" s="34"/>
      <c r="AC7190" s="36"/>
    </row>
    <row r="7191" spans="12:29" x14ac:dyDescent="0.3">
      <c r="L7191" s="36"/>
      <c r="R7191" s="34"/>
      <c r="AC7191" s="36"/>
    </row>
    <row r="7192" spans="12:29" x14ac:dyDescent="0.3">
      <c r="L7192" s="36"/>
      <c r="R7192" s="34"/>
      <c r="AC7192" s="36"/>
    </row>
    <row r="7193" spans="12:29" x14ac:dyDescent="0.3">
      <c r="L7193" s="36"/>
      <c r="R7193" s="34"/>
      <c r="AC7193" s="36"/>
    </row>
    <row r="7194" spans="12:29" x14ac:dyDescent="0.3">
      <c r="L7194" s="36"/>
      <c r="R7194" s="34"/>
      <c r="AC7194" s="36"/>
    </row>
    <row r="7195" spans="12:29" x14ac:dyDescent="0.3">
      <c r="L7195" s="36"/>
      <c r="R7195" s="34"/>
      <c r="AC7195" s="36"/>
    </row>
    <row r="7196" spans="12:29" x14ac:dyDescent="0.3">
      <c r="L7196" s="36"/>
      <c r="R7196" s="34"/>
      <c r="AC7196" s="36"/>
    </row>
    <row r="7197" spans="12:29" x14ac:dyDescent="0.3">
      <c r="L7197" s="36"/>
      <c r="R7197" s="34"/>
      <c r="AC7197" s="36"/>
    </row>
    <row r="7198" spans="12:29" x14ac:dyDescent="0.3">
      <c r="L7198" s="36"/>
      <c r="R7198" s="34"/>
      <c r="AC7198" s="36"/>
    </row>
    <row r="7199" spans="12:29" x14ac:dyDescent="0.3">
      <c r="L7199" s="36"/>
      <c r="R7199" s="34"/>
      <c r="AC7199" s="36"/>
    </row>
    <row r="7200" spans="12:29" x14ac:dyDescent="0.3">
      <c r="L7200" s="36"/>
      <c r="R7200" s="34"/>
      <c r="AC7200" s="36"/>
    </row>
    <row r="7201" spans="12:29" x14ac:dyDescent="0.3">
      <c r="L7201" s="36"/>
      <c r="R7201" s="34"/>
      <c r="AC7201" s="36"/>
    </row>
    <row r="7202" spans="12:29" x14ac:dyDescent="0.3">
      <c r="L7202" s="36"/>
      <c r="R7202" s="34"/>
      <c r="AC7202" s="36"/>
    </row>
    <row r="7203" spans="12:29" x14ac:dyDescent="0.3">
      <c r="L7203" s="36"/>
      <c r="R7203" s="34"/>
      <c r="AC7203" s="36"/>
    </row>
    <row r="7204" spans="12:29" x14ac:dyDescent="0.3">
      <c r="L7204" s="36"/>
      <c r="R7204" s="34"/>
      <c r="AC7204" s="36"/>
    </row>
    <row r="7205" spans="12:29" x14ac:dyDescent="0.3">
      <c r="L7205" s="36"/>
      <c r="R7205" s="34"/>
      <c r="AC7205" s="36"/>
    </row>
    <row r="7206" spans="12:29" x14ac:dyDescent="0.3">
      <c r="L7206" s="36"/>
      <c r="R7206" s="34"/>
      <c r="AC7206" s="36"/>
    </row>
    <row r="7207" spans="12:29" x14ac:dyDescent="0.3">
      <c r="L7207" s="36"/>
      <c r="R7207" s="34"/>
      <c r="AC7207" s="36"/>
    </row>
    <row r="7208" spans="12:29" x14ac:dyDescent="0.3">
      <c r="L7208" s="36"/>
      <c r="R7208" s="34"/>
      <c r="AC7208" s="36"/>
    </row>
    <row r="7209" spans="12:29" x14ac:dyDescent="0.3">
      <c r="L7209" s="36"/>
      <c r="R7209" s="34"/>
      <c r="AC7209" s="36"/>
    </row>
    <row r="7210" spans="12:29" x14ac:dyDescent="0.3">
      <c r="L7210" s="36"/>
      <c r="R7210" s="34"/>
      <c r="AC7210" s="36"/>
    </row>
    <row r="7211" spans="12:29" x14ac:dyDescent="0.3">
      <c r="L7211" s="36"/>
      <c r="R7211" s="34"/>
      <c r="AC7211" s="36"/>
    </row>
    <row r="7212" spans="12:29" x14ac:dyDescent="0.3">
      <c r="L7212" s="36"/>
      <c r="R7212" s="34"/>
      <c r="AC7212" s="36"/>
    </row>
    <row r="7213" spans="12:29" x14ac:dyDescent="0.3">
      <c r="L7213" s="36"/>
      <c r="R7213" s="34"/>
      <c r="AC7213" s="36"/>
    </row>
    <row r="7214" spans="12:29" x14ac:dyDescent="0.3">
      <c r="L7214" s="36"/>
      <c r="R7214" s="34"/>
      <c r="AC7214" s="36"/>
    </row>
    <row r="7215" spans="12:29" x14ac:dyDescent="0.3">
      <c r="L7215" s="36"/>
      <c r="R7215" s="34"/>
      <c r="AC7215" s="36"/>
    </row>
    <row r="7216" spans="12:29" x14ac:dyDescent="0.3">
      <c r="L7216" s="36"/>
      <c r="R7216" s="34"/>
      <c r="AC7216" s="36"/>
    </row>
    <row r="7217" spans="12:29" x14ac:dyDescent="0.3">
      <c r="L7217" s="36"/>
      <c r="R7217" s="34"/>
      <c r="AC7217" s="36"/>
    </row>
    <row r="7218" spans="12:29" x14ac:dyDescent="0.3">
      <c r="L7218" s="36"/>
      <c r="R7218" s="34"/>
      <c r="AC7218" s="36"/>
    </row>
    <row r="7219" spans="12:29" x14ac:dyDescent="0.3">
      <c r="L7219" s="36"/>
      <c r="R7219" s="34"/>
      <c r="AC7219" s="36"/>
    </row>
    <row r="7220" spans="12:29" x14ac:dyDescent="0.3">
      <c r="L7220" s="36"/>
      <c r="R7220" s="34"/>
      <c r="AC7220" s="36"/>
    </row>
    <row r="7221" spans="12:29" x14ac:dyDescent="0.3">
      <c r="L7221" s="36"/>
      <c r="R7221" s="34"/>
      <c r="AC7221" s="36"/>
    </row>
    <row r="7222" spans="12:29" x14ac:dyDescent="0.3">
      <c r="L7222" s="36"/>
      <c r="R7222" s="34"/>
      <c r="AC7222" s="36"/>
    </row>
    <row r="7223" spans="12:29" x14ac:dyDescent="0.3">
      <c r="L7223" s="36"/>
      <c r="R7223" s="34"/>
      <c r="AC7223" s="36"/>
    </row>
    <row r="7224" spans="12:29" x14ac:dyDescent="0.3">
      <c r="L7224" s="36"/>
      <c r="R7224" s="34"/>
      <c r="AC7224" s="36"/>
    </row>
    <row r="7225" spans="12:29" x14ac:dyDescent="0.3">
      <c r="L7225" s="36"/>
      <c r="R7225" s="34"/>
      <c r="AC7225" s="36"/>
    </row>
    <row r="7226" spans="12:29" x14ac:dyDescent="0.3">
      <c r="L7226" s="36"/>
      <c r="R7226" s="34"/>
      <c r="AC7226" s="36"/>
    </row>
    <row r="7227" spans="12:29" x14ac:dyDescent="0.3">
      <c r="L7227" s="36"/>
      <c r="R7227" s="34"/>
      <c r="AC7227" s="36"/>
    </row>
    <row r="7228" spans="12:29" x14ac:dyDescent="0.3">
      <c r="L7228" s="36"/>
      <c r="R7228" s="34"/>
      <c r="AC7228" s="36"/>
    </row>
    <row r="7229" spans="12:29" x14ac:dyDescent="0.3">
      <c r="L7229" s="36"/>
      <c r="R7229" s="34"/>
      <c r="AC7229" s="36"/>
    </row>
    <row r="7230" spans="12:29" x14ac:dyDescent="0.3">
      <c r="L7230" s="36"/>
      <c r="R7230" s="34"/>
      <c r="AC7230" s="36"/>
    </row>
    <row r="7231" spans="12:29" x14ac:dyDescent="0.3">
      <c r="L7231" s="36"/>
      <c r="R7231" s="34"/>
      <c r="AC7231" s="36"/>
    </row>
    <row r="7232" spans="12:29" x14ac:dyDescent="0.3">
      <c r="L7232" s="36"/>
      <c r="R7232" s="34"/>
      <c r="AC7232" s="36"/>
    </row>
    <row r="7233" spans="12:29" x14ac:dyDescent="0.3">
      <c r="L7233" s="36"/>
      <c r="R7233" s="34"/>
      <c r="AC7233" s="36"/>
    </row>
    <row r="7234" spans="12:29" x14ac:dyDescent="0.3">
      <c r="L7234" s="36"/>
      <c r="R7234" s="34"/>
      <c r="AC7234" s="36"/>
    </row>
    <row r="7235" spans="12:29" x14ac:dyDescent="0.3">
      <c r="L7235" s="36"/>
      <c r="R7235" s="34"/>
      <c r="AC7235" s="36"/>
    </row>
    <row r="7236" spans="12:29" x14ac:dyDescent="0.3">
      <c r="L7236" s="36"/>
      <c r="R7236" s="34"/>
      <c r="AC7236" s="36"/>
    </row>
    <row r="7237" spans="12:29" x14ac:dyDescent="0.3">
      <c r="L7237" s="36"/>
      <c r="R7237" s="34"/>
      <c r="AC7237" s="36"/>
    </row>
    <row r="7238" spans="12:29" x14ac:dyDescent="0.3">
      <c r="L7238" s="36"/>
      <c r="R7238" s="34"/>
      <c r="AC7238" s="36"/>
    </row>
    <row r="7239" spans="12:29" x14ac:dyDescent="0.3">
      <c r="L7239" s="36"/>
      <c r="R7239" s="34"/>
      <c r="AC7239" s="36"/>
    </row>
    <row r="7240" spans="12:29" x14ac:dyDescent="0.3">
      <c r="L7240" s="36"/>
      <c r="R7240" s="34"/>
      <c r="AC7240" s="36"/>
    </row>
    <row r="7241" spans="12:29" x14ac:dyDescent="0.3">
      <c r="L7241" s="36"/>
      <c r="R7241" s="34"/>
      <c r="AC7241" s="36"/>
    </row>
    <row r="7242" spans="12:29" x14ac:dyDescent="0.3">
      <c r="L7242" s="36"/>
      <c r="R7242" s="34"/>
      <c r="AC7242" s="36"/>
    </row>
    <row r="7243" spans="12:29" x14ac:dyDescent="0.3">
      <c r="L7243" s="36"/>
      <c r="R7243" s="34"/>
      <c r="AC7243" s="36"/>
    </row>
    <row r="7244" spans="12:29" x14ac:dyDescent="0.3">
      <c r="L7244" s="36"/>
      <c r="R7244" s="34"/>
      <c r="AC7244" s="36"/>
    </row>
    <row r="7245" spans="12:29" x14ac:dyDescent="0.3">
      <c r="L7245" s="36"/>
      <c r="R7245" s="34"/>
      <c r="AC7245" s="36"/>
    </row>
    <row r="7246" spans="12:29" x14ac:dyDescent="0.3">
      <c r="L7246" s="36"/>
      <c r="R7246" s="34"/>
      <c r="AC7246" s="36"/>
    </row>
    <row r="7247" spans="12:29" x14ac:dyDescent="0.3">
      <c r="L7247" s="36"/>
      <c r="R7247" s="34"/>
      <c r="AC7247" s="36"/>
    </row>
    <row r="7248" spans="12:29" x14ac:dyDescent="0.3">
      <c r="L7248" s="36"/>
      <c r="R7248" s="34"/>
      <c r="AC7248" s="36"/>
    </row>
    <row r="7249" spans="12:29" x14ac:dyDescent="0.3">
      <c r="L7249" s="36"/>
      <c r="R7249" s="34"/>
      <c r="AC7249" s="36"/>
    </row>
    <row r="7250" spans="12:29" x14ac:dyDescent="0.3">
      <c r="L7250" s="36"/>
      <c r="R7250" s="34"/>
      <c r="AC7250" s="36"/>
    </row>
    <row r="7251" spans="12:29" x14ac:dyDescent="0.3">
      <c r="L7251" s="36"/>
      <c r="R7251" s="34"/>
      <c r="AC7251" s="36"/>
    </row>
    <row r="7252" spans="12:29" x14ac:dyDescent="0.3">
      <c r="L7252" s="36"/>
      <c r="R7252" s="34"/>
      <c r="AC7252" s="36"/>
    </row>
    <row r="7253" spans="12:29" x14ac:dyDescent="0.3">
      <c r="L7253" s="36"/>
      <c r="R7253" s="34"/>
      <c r="AC7253" s="36"/>
    </row>
    <row r="7254" spans="12:29" x14ac:dyDescent="0.3">
      <c r="L7254" s="36"/>
      <c r="R7254" s="34"/>
      <c r="AC7254" s="36"/>
    </row>
    <row r="7255" spans="12:29" x14ac:dyDescent="0.3">
      <c r="L7255" s="36"/>
      <c r="R7255" s="34"/>
      <c r="AC7255" s="36"/>
    </row>
    <row r="7256" spans="12:29" x14ac:dyDescent="0.3">
      <c r="L7256" s="36"/>
      <c r="R7256" s="34"/>
      <c r="AC7256" s="36"/>
    </row>
    <row r="7257" spans="12:29" x14ac:dyDescent="0.3">
      <c r="L7257" s="36"/>
      <c r="R7257" s="34"/>
      <c r="AC7257" s="36"/>
    </row>
    <row r="7258" spans="12:29" x14ac:dyDescent="0.3">
      <c r="L7258" s="36"/>
      <c r="R7258" s="34"/>
      <c r="AC7258" s="36"/>
    </row>
    <row r="7259" spans="12:29" x14ac:dyDescent="0.3">
      <c r="L7259" s="36"/>
      <c r="R7259" s="34"/>
      <c r="AC7259" s="36"/>
    </row>
    <row r="7260" spans="12:29" x14ac:dyDescent="0.3">
      <c r="L7260" s="36"/>
      <c r="R7260" s="34"/>
      <c r="AC7260" s="36"/>
    </row>
    <row r="7261" spans="12:29" x14ac:dyDescent="0.3">
      <c r="L7261" s="36"/>
      <c r="R7261" s="34"/>
      <c r="AC7261" s="36"/>
    </row>
    <row r="7262" spans="12:29" x14ac:dyDescent="0.3">
      <c r="L7262" s="36"/>
      <c r="R7262" s="34"/>
      <c r="AC7262" s="36"/>
    </row>
    <row r="7263" spans="12:29" x14ac:dyDescent="0.3">
      <c r="L7263" s="36"/>
      <c r="R7263" s="34"/>
      <c r="AC7263" s="36"/>
    </row>
    <row r="7264" spans="12:29" x14ac:dyDescent="0.3">
      <c r="L7264" s="36"/>
      <c r="R7264" s="34"/>
      <c r="AC7264" s="36"/>
    </row>
    <row r="7265" spans="12:29" x14ac:dyDescent="0.3">
      <c r="L7265" s="36"/>
      <c r="R7265" s="34"/>
      <c r="AC7265" s="36"/>
    </row>
    <row r="7266" spans="12:29" x14ac:dyDescent="0.3">
      <c r="L7266" s="36"/>
      <c r="R7266" s="34"/>
      <c r="AC7266" s="36"/>
    </row>
    <row r="7267" spans="12:29" x14ac:dyDescent="0.3">
      <c r="L7267" s="36"/>
      <c r="R7267" s="34"/>
      <c r="AC7267" s="36"/>
    </row>
    <row r="7268" spans="12:29" x14ac:dyDescent="0.3">
      <c r="L7268" s="36"/>
      <c r="R7268" s="34"/>
      <c r="AC7268" s="36"/>
    </row>
    <row r="7269" spans="12:29" x14ac:dyDescent="0.3">
      <c r="L7269" s="36"/>
      <c r="R7269" s="34"/>
      <c r="AC7269" s="36"/>
    </row>
    <row r="7270" spans="12:29" x14ac:dyDescent="0.3">
      <c r="L7270" s="36"/>
      <c r="R7270" s="34"/>
      <c r="AC7270" s="36"/>
    </row>
    <row r="7271" spans="12:29" x14ac:dyDescent="0.3">
      <c r="L7271" s="36"/>
      <c r="R7271" s="34"/>
      <c r="AC7271" s="36"/>
    </row>
    <row r="7272" spans="12:29" x14ac:dyDescent="0.3">
      <c r="L7272" s="36"/>
      <c r="R7272" s="34"/>
      <c r="AC7272" s="36"/>
    </row>
    <row r="7273" spans="12:29" x14ac:dyDescent="0.3">
      <c r="L7273" s="36"/>
      <c r="R7273" s="34"/>
      <c r="AC7273" s="36"/>
    </row>
    <row r="7274" spans="12:29" x14ac:dyDescent="0.3">
      <c r="L7274" s="36"/>
      <c r="R7274" s="34"/>
      <c r="AC7274" s="36"/>
    </row>
    <row r="7275" spans="12:29" x14ac:dyDescent="0.3">
      <c r="L7275" s="36"/>
      <c r="R7275" s="34"/>
      <c r="AC7275" s="36"/>
    </row>
    <row r="7276" spans="12:29" x14ac:dyDescent="0.3">
      <c r="L7276" s="36"/>
      <c r="R7276" s="34"/>
      <c r="AC7276" s="36"/>
    </row>
    <row r="7277" spans="12:29" x14ac:dyDescent="0.3">
      <c r="L7277" s="36"/>
      <c r="R7277" s="34"/>
      <c r="AC7277" s="36"/>
    </row>
    <row r="7278" spans="12:29" x14ac:dyDescent="0.3">
      <c r="L7278" s="36"/>
      <c r="R7278" s="34"/>
      <c r="AC7278" s="36"/>
    </row>
    <row r="7279" spans="12:29" x14ac:dyDescent="0.3">
      <c r="L7279" s="36"/>
      <c r="R7279" s="34"/>
      <c r="AC7279" s="36"/>
    </row>
    <row r="7280" spans="12:29" x14ac:dyDescent="0.3">
      <c r="L7280" s="36"/>
      <c r="R7280" s="34"/>
      <c r="AC7280" s="36"/>
    </row>
    <row r="7281" spans="12:29" x14ac:dyDescent="0.3">
      <c r="L7281" s="36"/>
      <c r="R7281" s="34"/>
      <c r="AC7281" s="36"/>
    </row>
    <row r="7282" spans="12:29" x14ac:dyDescent="0.3">
      <c r="L7282" s="36"/>
      <c r="R7282" s="34"/>
      <c r="AC7282" s="36"/>
    </row>
    <row r="7283" spans="12:29" x14ac:dyDescent="0.3">
      <c r="L7283" s="36"/>
      <c r="R7283" s="34"/>
      <c r="AC7283" s="36"/>
    </row>
    <row r="7284" spans="12:29" x14ac:dyDescent="0.3">
      <c r="L7284" s="36"/>
      <c r="R7284" s="34"/>
      <c r="AC7284" s="36"/>
    </row>
    <row r="7285" spans="12:29" x14ac:dyDescent="0.3">
      <c r="L7285" s="36"/>
      <c r="R7285" s="34"/>
      <c r="AC7285" s="36"/>
    </row>
    <row r="7286" spans="12:29" x14ac:dyDescent="0.3">
      <c r="L7286" s="36"/>
      <c r="R7286" s="34"/>
      <c r="AC7286" s="36"/>
    </row>
    <row r="7287" spans="12:29" x14ac:dyDescent="0.3">
      <c r="L7287" s="36"/>
      <c r="R7287" s="34"/>
      <c r="AC7287" s="36"/>
    </row>
    <row r="7288" spans="12:29" x14ac:dyDescent="0.3">
      <c r="L7288" s="36"/>
      <c r="R7288" s="34"/>
      <c r="AC7288" s="36"/>
    </row>
    <row r="7289" spans="12:29" x14ac:dyDescent="0.3">
      <c r="L7289" s="36"/>
      <c r="R7289" s="34"/>
      <c r="AC7289" s="36"/>
    </row>
    <row r="7290" spans="12:29" x14ac:dyDescent="0.3">
      <c r="L7290" s="36"/>
      <c r="R7290" s="34"/>
      <c r="AC7290" s="36"/>
    </row>
    <row r="7291" spans="12:29" x14ac:dyDescent="0.3">
      <c r="L7291" s="36"/>
      <c r="R7291" s="34"/>
      <c r="AC7291" s="36"/>
    </row>
    <row r="7292" spans="12:29" x14ac:dyDescent="0.3">
      <c r="L7292" s="36"/>
      <c r="R7292" s="34"/>
      <c r="AC7292" s="36"/>
    </row>
    <row r="7293" spans="12:29" x14ac:dyDescent="0.3">
      <c r="L7293" s="36"/>
      <c r="R7293" s="34"/>
      <c r="AC7293" s="36"/>
    </row>
    <row r="7294" spans="12:29" x14ac:dyDescent="0.3">
      <c r="L7294" s="36"/>
      <c r="R7294" s="34"/>
      <c r="AC7294" s="36"/>
    </row>
    <row r="7295" spans="12:29" x14ac:dyDescent="0.3">
      <c r="L7295" s="36"/>
      <c r="R7295" s="34"/>
      <c r="AC7295" s="36"/>
    </row>
    <row r="7296" spans="12:29" x14ac:dyDescent="0.3">
      <c r="L7296" s="36"/>
      <c r="R7296" s="34"/>
      <c r="AC7296" s="36"/>
    </row>
    <row r="7297" spans="12:29" x14ac:dyDescent="0.3">
      <c r="L7297" s="36"/>
      <c r="R7297" s="34"/>
      <c r="AC7297" s="36"/>
    </row>
    <row r="7298" spans="12:29" x14ac:dyDescent="0.3">
      <c r="L7298" s="36"/>
      <c r="R7298" s="34"/>
      <c r="AC7298" s="36"/>
    </row>
    <row r="7299" spans="12:29" x14ac:dyDescent="0.3">
      <c r="L7299" s="36"/>
      <c r="R7299" s="34"/>
      <c r="AC7299" s="36"/>
    </row>
    <row r="7300" spans="12:29" x14ac:dyDescent="0.3">
      <c r="L7300" s="36"/>
      <c r="R7300" s="34"/>
      <c r="AC7300" s="36"/>
    </row>
    <row r="7301" spans="12:29" x14ac:dyDescent="0.3">
      <c r="L7301" s="36"/>
      <c r="R7301" s="34"/>
      <c r="AC7301" s="36"/>
    </row>
    <row r="7302" spans="12:29" x14ac:dyDescent="0.3">
      <c r="L7302" s="36"/>
      <c r="R7302" s="34"/>
      <c r="AC7302" s="36"/>
    </row>
    <row r="7303" spans="12:29" x14ac:dyDescent="0.3">
      <c r="L7303" s="36"/>
      <c r="R7303" s="34"/>
      <c r="AC7303" s="36"/>
    </row>
    <row r="7304" spans="12:29" x14ac:dyDescent="0.3">
      <c r="L7304" s="36"/>
      <c r="R7304" s="34"/>
      <c r="AC7304" s="36"/>
    </row>
    <row r="7305" spans="12:29" x14ac:dyDescent="0.3">
      <c r="L7305" s="36"/>
      <c r="R7305" s="34"/>
      <c r="AC7305" s="36"/>
    </row>
    <row r="7306" spans="12:29" x14ac:dyDescent="0.3">
      <c r="L7306" s="36"/>
      <c r="R7306" s="34"/>
      <c r="AC7306" s="36"/>
    </row>
    <row r="7307" spans="12:29" x14ac:dyDescent="0.3">
      <c r="L7307" s="36"/>
      <c r="R7307" s="34"/>
      <c r="AC7307" s="36"/>
    </row>
    <row r="7308" spans="12:29" x14ac:dyDescent="0.3">
      <c r="L7308" s="36"/>
      <c r="R7308" s="34"/>
      <c r="AC7308" s="36"/>
    </row>
    <row r="7309" spans="12:29" x14ac:dyDescent="0.3">
      <c r="L7309" s="36"/>
      <c r="R7309" s="34"/>
      <c r="AC7309" s="36"/>
    </row>
    <row r="7310" spans="12:29" x14ac:dyDescent="0.3">
      <c r="L7310" s="36"/>
      <c r="R7310" s="34"/>
      <c r="AC7310" s="36"/>
    </row>
    <row r="7311" spans="12:29" x14ac:dyDescent="0.3">
      <c r="L7311" s="36"/>
      <c r="R7311" s="34"/>
      <c r="AC7311" s="36"/>
    </row>
    <row r="7312" spans="12:29" x14ac:dyDescent="0.3">
      <c r="L7312" s="36"/>
      <c r="R7312" s="34"/>
      <c r="AC7312" s="36"/>
    </row>
    <row r="7313" spans="12:29" x14ac:dyDescent="0.3">
      <c r="L7313" s="36"/>
      <c r="R7313" s="34"/>
      <c r="AC7313" s="36"/>
    </row>
    <row r="7314" spans="12:29" x14ac:dyDescent="0.3">
      <c r="L7314" s="36"/>
      <c r="R7314" s="34"/>
      <c r="AC7314" s="36"/>
    </row>
    <row r="7315" spans="12:29" x14ac:dyDescent="0.3">
      <c r="L7315" s="36"/>
      <c r="R7315" s="34"/>
      <c r="AC7315" s="36"/>
    </row>
    <row r="7316" spans="12:29" x14ac:dyDescent="0.3">
      <c r="L7316" s="36"/>
      <c r="R7316" s="34"/>
      <c r="AC7316" s="36"/>
    </row>
    <row r="7317" spans="12:29" x14ac:dyDescent="0.3">
      <c r="L7317" s="36"/>
      <c r="R7317" s="34"/>
      <c r="AC7317" s="36"/>
    </row>
    <row r="7318" spans="12:29" x14ac:dyDescent="0.3">
      <c r="L7318" s="36"/>
      <c r="R7318" s="34"/>
      <c r="AC7318" s="36"/>
    </row>
    <row r="7319" spans="12:29" x14ac:dyDescent="0.3">
      <c r="L7319" s="36"/>
      <c r="R7319" s="34"/>
      <c r="AC7319" s="36"/>
    </row>
    <row r="7320" spans="12:29" x14ac:dyDescent="0.3">
      <c r="L7320" s="36"/>
      <c r="R7320" s="34"/>
      <c r="AC7320" s="36"/>
    </row>
    <row r="7321" spans="12:29" x14ac:dyDescent="0.3">
      <c r="L7321" s="36"/>
      <c r="R7321" s="34"/>
      <c r="AC7321" s="36"/>
    </row>
    <row r="7322" spans="12:29" x14ac:dyDescent="0.3">
      <c r="L7322" s="36"/>
      <c r="R7322" s="34"/>
      <c r="AC7322" s="36"/>
    </row>
    <row r="7323" spans="12:29" x14ac:dyDescent="0.3">
      <c r="L7323" s="36"/>
      <c r="R7323" s="34"/>
      <c r="AC7323" s="36"/>
    </row>
    <row r="7324" spans="12:29" x14ac:dyDescent="0.3">
      <c r="L7324" s="36"/>
      <c r="R7324" s="34"/>
      <c r="AC7324" s="36"/>
    </row>
    <row r="7325" spans="12:29" x14ac:dyDescent="0.3">
      <c r="L7325" s="36"/>
      <c r="R7325" s="34"/>
      <c r="AC7325" s="36"/>
    </row>
    <row r="7326" spans="12:29" x14ac:dyDescent="0.3">
      <c r="L7326" s="36"/>
      <c r="R7326" s="34"/>
      <c r="AC7326" s="36"/>
    </row>
    <row r="7327" spans="12:29" x14ac:dyDescent="0.3">
      <c r="L7327" s="36"/>
      <c r="R7327" s="34"/>
      <c r="AC7327" s="36"/>
    </row>
    <row r="7328" spans="12:29" x14ac:dyDescent="0.3">
      <c r="L7328" s="36"/>
      <c r="R7328" s="34"/>
      <c r="AC7328" s="36"/>
    </row>
    <row r="7329" spans="12:29" x14ac:dyDescent="0.3">
      <c r="L7329" s="36"/>
      <c r="R7329" s="34"/>
      <c r="AC7329" s="36"/>
    </row>
    <row r="7330" spans="12:29" x14ac:dyDescent="0.3">
      <c r="L7330" s="36"/>
      <c r="R7330" s="34"/>
      <c r="AC7330" s="36"/>
    </row>
    <row r="7331" spans="12:29" x14ac:dyDescent="0.3">
      <c r="L7331" s="36"/>
      <c r="R7331" s="34"/>
      <c r="AC7331" s="36"/>
    </row>
    <row r="7332" spans="12:29" x14ac:dyDescent="0.3">
      <c r="L7332" s="36"/>
      <c r="R7332" s="34"/>
      <c r="AC7332" s="36"/>
    </row>
    <row r="7333" spans="12:29" x14ac:dyDescent="0.3">
      <c r="L7333" s="36"/>
      <c r="R7333" s="34"/>
      <c r="AC7333" s="36"/>
    </row>
    <row r="7334" spans="12:29" x14ac:dyDescent="0.3">
      <c r="L7334" s="36"/>
      <c r="R7334" s="34"/>
      <c r="AC7334" s="36"/>
    </row>
    <row r="7335" spans="12:29" x14ac:dyDescent="0.3">
      <c r="L7335" s="36"/>
      <c r="R7335" s="34"/>
      <c r="AC7335" s="36"/>
    </row>
    <row r="7336" spans="12:29" x14ac:dyDescent="0.3">
      <c r="L7336" s="36"/>
      <c r="R7336" s="34"/>
      <c r="AC7336" s="36"/>
    </row>
    <row r="7337" spans="12:29" x14ac:dyDescent="0.3">
      <c r="L7337" s="36"/>
      <c r="R7337" s="34"/>
      <c r="AC7337" s="36"/>
    </row>
    <row r="7338" spans="12:29" x14ac:dyDescent="0.3">
      <c r="L7338" s="36"/>
      <c r="R7338" s="34"/>
      <c r="AC7338" s="36"/>
    </row>
    <row r="7339" spans="12:29" x14ac:dyDescent="0.3">
      <c r="L7339" s="36"/>
      <c r="R7339" s="34"/>
      <c r="AC7339" s="36"/>
    </row>
    <row r="7340" spans="12:29" x14ac:dyDescent="0.3">
      <c r="L7340" s="36"/>
      <c r="R7340" s="34"/>
      <c r="AC7340" s="36"/>
    </row>
    <row r="7341" spans="12:29" x14ac:dyDescent="0.3">
      <c r="L7341" s="36"/>
      <c r="R7341" s="34"/>
      <c r="AC7341" s="36"/>
    </row>
    <row r="7342" spans="12:29" x14ac:dyDescent="0.3">
      <c r="L7342" s="36"/>
      <c r="R7342" s="34"/>
      <c r="AC7342" s="36"/>
    </row>
    <row r="7343" spans="12:29" x14ac:dyDescent="0.3">
      <c r="L7343" s="36"/>
      <c r="R7343" s="34"/>
      <c r="AC7343" s="36"/>
    </row>
    <row r="7344" spans="12:29" x14ac:dyDescent="0.3">
      <c r="L7344" s="36"/>
      <c r="R7344" s="34"/>
      <c r="AC7344" s="36"/>
    </row>
    <row r="7345" spans="12:29" x14ac:dyDescent="0.3">
      <c r="L7345" s="36"/>
      <c r="R7345" s="34"/>
      <c r="AC7345" s="36"/>
    </row>
    <row r="7346" spans="12:29" x14ac:dyDescent="0.3">
      <c r="L7346" s="36"/>
      <c r="R7346" s="34"/>
      <c r="AC7346" s="36"/>
    </row>
    <row r="7347" spans="12:29" x14ac:dyDescent="0.3">
      <c r="L7347" s="36"/>
      <c r="R7347" s="34"/>
      <c r="AC7347" s="36"/>
    </row>
    <row r="7348" spans="12:29" x14ac:dyDescent="0.3">
      <c r="L7348" s="36"/>
      <c r="R7348" s="34"/>
      <c r="AC7348" s="36"/>
    </row>
    <row r="7349" spans="12:29" x14ac:dyDescent="0.3">
      <c r="L7349" s="36"/>
      <c r="R7349" s="34"/>
      <c r="AC7349" s="36"/>
    </row>
    <row r="7350" spans="12:29" x14ac:dyDescent="0.3">
      <c r="L7350" s="36"/>
      <c r="R7350" s="34"/>
      <c r="AC7350" s="36"/>
    </row>
    <row r="7351" spans="12:29" x14ac:dyDescent="0.3">
      <c r="L7351" s="36"/>
      <c r="R7351" s="34"/>
      <c r="AC7351" s="36"/>
    </row>
    <row r="7352" spans="12:29" x14ac:dyDescent="0.3">
      <c r="L7352" s="36"/>
      <c r="R7352" s="34"/>
      <c r="AC7352" s="36"/>
    </row>
    <row r="7353" spans="12:29" x14ac:dyDescent="0.3">
      <c r="L7353" s="36"/>
      <c r="R7353" s="34"/>
      <c r="AC7353" s="36"/>
    </row>
    <row r="7354" spans="12:29" x14ac:dyDescent="0.3">
      <c r="L7354" s="36"/>
      <c r="R7354" s="34"/>
      <c r="AC7354" s="36"/>
    </row>
    <row r="7355" spans="12:29" x14ac:dyDescent="0.3">
      <c r="L7355" s="36"/>
      <c r="R7355" s="34"/>
      <c r="AC7355" s="36"/>
    </row>
    <row r="7356" spans="12:29" x14ac:dyDescent="0.3">
      <c r="L7356" s="36"/>
      <c r="R7356" s="34"/>
      <c r="AC7356" s="36"/>
    </row>
    <row r="7357" spans="12:29" x14ac:dyDescent="0.3">
      <c r="L7357" s="36"/>
      <c r="R7357" s="34"/>
      <c r="AC7357" s="36"/>
    </row>
    <row r="7358" spans="12:29" x14ac:dyDescent="0.3">
      <c r="L7358" s="36"/>
      <c r="R7358" s="34"/>
      <c r="AC7358" s="36"/>
    </row>
    <row r="7359" spans="12:29" x14ac:dyDescent="0.3">
      <c r="L7359" s="36"/>
      <c r="R7359" s="34"/>
      <c r="AC7359" s="36"/>
    </row>
    <row r="7360" spans="12:29" x14ac:dyDescent="0.3">
      <c r="L7360" s="36"/>
      <c r="R7360" s="34"/>
      <c r="AC7360" s="36"/>
    </row>
    <row r="7361" spans="12:29" x14ac:dyDescent="0.3">
      <c r="L7361" s="36"/>
      <c r="R7361" s="34"/>
      <c r="AC7361" s="36"/>
    </row>
    <row r="7362" spans="12:29" x14ac:dyDescent="0.3">
      <c r="L7362" s="36"/>
      <c r="R7362" s="34"/>
      <c r="AC7362" s="36"/>
    </row>
    <row r="7363" spans="12:29" x14ac:dyDescent="0.3">
      <c r="L7363" s="36"/>
      <c r="R7363" s="34"/>
      <c r="AC7363" s="36"/>
    </row>
    <row r="7364" spans="12:29" x14ac:dyDescent="0.3">
      <c r="L7364" s="36"/>
      <c r="R7364" s="34"/>
      <c r="AC7364" s="36"/>
    </row>
    <row r="7365" spans="12:29" x14ac:dyDescent="0.3">
      <c r="L7365" s="36"/>
      <c r="R7365" s="34"/>
      <c r="AC7365" s="36"/>
    </row>
    <row r="7366" spans="12:29" x14ac:dyDescent="0.3">
      <c r="L7366" s="36"/>
      <c r="R7366" s="34"/>
      <c r="AC7366" s="36"/>
    </row>
    <row r="7367" spans="12:29" x14ac:dyDescent="0.3">
      <c r="L7367" s="36"/>
      <c r="R7367" s="34"/>
      <c r="AC7367" s="36"/>
    </row>
    <row r="7368" spans="12:29" x14ac:dyDescent="0.3">
      <c r="L7368" s="36"/>
      <c r="R7368" s="34"/>
      <c r="AC7368" s="36"/>
    </row>
    <row r="7369" spans="12:29" x14ac:dyDescent="0.3">
      <c r="L7369" s="36"/>
      <c r="R7369" s="34"/>
      <c r="AC7369" s="36"/>
    </row>
    <row r="7370" spans="12:29" x14ac:dyDescent="0.3">
      <c r="L7370" s="36"/>
      <c r="R7370" s="34"/>
      <c r="AC7370" s="36"/>
    </row>
    <row r="7371" spans="12:29" x14ac:dyDescent="0.3">
      <c r="L7371" s="36"/>
      <c r="R7371" s="34"/>
      <c r="AC7371" s="36"/>
    </row>
    <row r="7372" spans="12:29" x14ac:dyDescent="0.3">
      <c r="L7372" s="36"/>
      <c r="R7372" s="34"/>
      <c r="AC7372" s="36"/>
    </row>
    <row r="7373" spans="12:29" x14ac:dyDescent="0.3">
      <c r="L7373" s="36"/>
      <c r="R7373" s="34"/>
      <c r="AC7373" s="36"/>
    </row>
    <row r="7374" spans="12:29" x14ac:dyDescent="0.3">
      <c r="L7374" s="36"/>
      <c r="R7374" s="34"/>
      <c r="AC7374" s="36"/>
    </row>
    <row r="7375" spans="12:29" x14ac:dyDescent="0.3">
      <c r="L7375" s="36"/>
      <c r="R7375" s="34"/>
      <c r="AC7375" s="36"/>
    </row>
    <row r="7376" spans="12:29" x14ac:dyDescent="0.3">
      <c r="L7376" s="36"/>
      <c r="R7376" s="34"/>
      <c r="AC7376" s="36"/>
    </row>
    <row r="7377" spans="12:29" x14ac:dyDescent="0.3">
      <c r="L7377" s="36"/>
      <c r="R7377" s="34"/>
      <c r="AC7377" s="36"/>
    </row>
    <row r="7378" spans="12:29" x14ac:dyDescent="0.3">
      <c r="L7378" s="36"/>
      <c r="R7378" s="34"/>
      <c r="AC7378" s="36"/>
    </row>
    <row r="7379" spans="12:29" x14ac:dyDescent="0.3">
      <c r="L7379" s="36"/>
      <c r="R7379" s="34"/>
      <c r="AC7379" s="36"/>
    </row>
    <row r="7380" spans="12:29" x14ac:dyDescent="0.3">
      <c r="L7380" s="36"/>
      <c r="R7380" s="34"/>
      <c r="AC7380" s="36"/>
    </row>
    <row r="7381" spans="12:29" x14ac:dyDescent="0.3">
      <c r="L7381" s="36"/>
      <c r="R7381" s="34"/>
      <c r="AC7381" s="36"/>
    </row>
    <row r="7382" spans="12:29" x14ac:dyDescent="0.3">
      <c r="L7382" s="36"/>
      <c r="R7382" s="34"/>
      <c r="AC7382" s="36"/>
    </row>
    <row r="7383" spans="12:29" x14ac:dyDescent="0.3">
      <c r="L7383" s="36"/>
      <c r="R7383" s="34"/>
      <c r="AC7383" s="36"/>
    </row>
    <row r="7384" spans="12:29" x14ac:dyDescent="0.3">
      <c r="L7384" s="36"/>
      <c r="R7384" s="34"/>
      <c r="AC7384" s="36"/>
    </row>
    <row r="7385" spans="12:29" x14ac:dyDescent="0.3">
      <c r="L7385" s="36"/>
      <c r="R7385" s="34"/>
      <c r="AC7385" s="36"/>
    </row>
    <row r="7386" spans="12:29" x14ac:dyDescent="0.3">
      <c r="L7386" s="36"/>
      <c r="R7386" s="34"/>
      <c r="AC7386" s="36"/>
    </row>
    <row r="7387" spans="12:29" x14ac:dyDescent="0.3">
      <c r="L7387" s="36"/>
      <c r="R7387" s="34"/>
      <c r="AC7387" s="36"/>
    </row>
    <row r="7388" spans="12:29" x14ac:dyDescent="0.3">
      <c r="L7388" s="36"/>
      <c r="R7388" s="34"/>
      <c r="AC7388" s="36"/>
    </row>
    <row r="7389" spans="12:29" x14ac:dyDescent="0.3">
      <c r="L7389" s="36"/>
      <c r="R7389" s="34"/>
      <c r="AC7389" s="36"/>
    </row>
    <row r="7390" spans="12:29" x14ac:dyDescent="0.3">
      <c r="L7390" s="36"/>
      <c r="R7390" s="34"/>
      <c r="AC7390" s="36"/>
    </row>
    <row r="7391" spans="12:29" x14ac:dyDescent="0.3">
      <c r="L7391" s="36"/>
      <c r="R7391" s="34"/>
      <c r="AC7391" s="36"/>
    </row>
    <row r="7392" spans="12:29" x14ac:dyDescent="0.3">
      <c r="L7392" s="36"/>
      <c r="R7392" s="34"/>
      <c r="AC7392" s="36"/>
    </row>
    <row r="7393" spans="12:29" x14ac:dyDescent="0.3">
      <c r="L7393" s="36"/>
      <c r="R7393" s="34"/>
      <c r="AC7393" s="36"/>
    </row>
    <row r="7394" spans="12:29" x14ac:dyDescent="0.3">
      <c r="L7394" s="36"/>
      <c r="R7394" s="34"/>
      <c r="AC7394" s="36"/>
    </row>
    <row r="7395" spans="12:29" x14ac:dyDescent="0.3">
      <c r="L7395" s="36"/>
      <c r="R7395" s="34"/>
      <c r="AC7395" s="36"/>
    </row>
    <row r="7396" spans="12:29" x14ac:dyDescent="0.3">
      <c r="L7396" s="36"/>
      <c r="R7396" s="34"/>
      <c r="AC7396" s="36"/>
    </row>
    <row r="7397" spans="12:29" x14ac:dyDescent="0.3">
      <c r="L7397" s="36"/>
      <c r="R7397" s="34"/>
      <c r="AC7397" s="36"/>
    </row>
    <row r="7398" spans="12:29" x14ac:dyDescent="0.3">
      <c r="L7398" s="36"/>
      <c r="R7398" s="34"/>
      <c r="AC7398" s="36"/>
    </row>
    <row r="7399" spans="12:29" x14ac:dyDescent="0.3">
      <c r="L7399" s="36"/>
      <c r="R7399" s="34"/>
      <c r="AC7399" s="36"/>
    </row>
    <row r="7400" spans="12:29" x14ac:dyDescent="0.3">
      <c r="L7400" s="36"/>
      <c r="R7400" s="34"/>
      <c r="AC7400" s="36"/>
    </row>
    <row r="7401" spans="12:29" x14ac:dyDescent="0.3">
      <c r="L7401" s="36"/>
      <c r="R7401" s="34"/>
      <c r="AC7401" s="36"/>
    </row>
    <row r="7402" spans="12:29" x14ac:dyDescent="0.3">
      <c r="L7402" s="36"/>
      <c r="R7402" s="34"/>
      <c r="AC7402" s="36"/>
    </row>
    <row r="7403" spans="12:29" x14ac:dyDescent="0.3">
      <c r="L7403" s="36"/>
      <c r="R7403" s="34"/>
      <c r="AC7403" s="36"/>
    </row>
    <row r="7404" spans="12:29" x14ac:dyDescent="0.3">
      <c r="L7404" s="36"/>
      <c r="R7404" s="34"/>
      <c r="AC7404" s="36"/>
    </row>
    <row r="7405" spans="12:29" x14ac:dyDescent="0.3">
      <c r="L7405" s="36"/>
      <c r="R7405" s="34"/>
      <c r="AC7405" s="36"/>
    </row>
    <row r="7406" spans="12:29" x14ac:dyDescent="0.3">
      <c r="L7406" s="36"/>
      <c r="R7406" s="34"/>
      <c r="AC7406" s="36"/>
    </row>
    <row r="7407" spans="12:29" x14ac:dyDescent="0.3">
      <c r="L7407" s="36"/>
      <c r="R7407" s="34"/>
      <c r="AC7407" s="36"/>
    </row>
    <row r="7408" spans="12:29" x14ac:dyDescent="0.3">
      <c r="L7408" s="36"/>
      <c r="R7408" s="34"/>
      <c r="AC7408" s="36"/>
    </row>
    <row r="7409" spans="12:29" x14ac:dyDescent="0.3">
      <c r="L7409" s="36"/>
      <c r="R7409" s="34"/>
      <c r="AC7409" s="36"/>
    </row>
    <row r="7410" spans="12:29" x14ac:dyDescent="0.3">
      <c r="L7410" s="36"/>
      <c r="R7410" s="34"/>
      <c r="AC7410" s="36"/>
    </row>
    <row r="7411" spans="12:29" x14ac:dyDescent="0.3">
      <c r="L7411" s="36"/>
      <c r="R7411" s="34"/>
      <c r="AC7411" s="36"/>
    </row>
    <row r="7412" spans="12:29" x14ac:dyDescent="0.3">
      <c r="L7412" s="36"/>
      <c r="R7412" s="34"/>
      <c r="AC7412" s="36"/>
    </row>
    <row r="7413" spans="12:29" x14ac:dyDescent="0.3">
      <c r="L7413" s="36"/>
      <c r="R7413" s="34"/>
      <c r="AC7413" s="36"/>
    </row>
    <row r="7414" spans="12:29" x14ac:dyDescent="0.3">
      <c r="L7414" s="36"/>
      <c r="R7414" s="34"/>
      <c r="AC7414" s="36"/>
    </row>
    <row r="7415" spans="12:29" x14ac:dyDescent="0.3">
      <c r="L7415" s="36"/>
      <c r="R7415" s="34"/>
      <c r="AC7415" s="36"/>
    </row>
    <row r="7416" spans="12:29" x14ac:dyDescent="0.3">
      <c r="L7416" s="36"/>
      <c r="R7416" s="34"/>
      <c r="AC7416" s="36"/>
    </row>
    <row r="7417" spans="12:29" x14ac:dyDescent="0.3">
      <c r="L7417" s="36"/>
      <c r="R7417" s="34"/>
      <c r="AC7417" s="36"/>
    </row>
    <row r="7418" spans="12:29" x14ac:dyDescent="0.3">
      <c r="L7418" s="36"/>
      <c r="R7418" s="34"/>
      <c r="AC7418" s="36"/>
    </row>
    <row r="7419" spans="12:29" x14ac:dyDescent="0.3">
      <c r="L7419" s="36"/>
      <c r="R7419" s="34"/>
      <c r="AC7419" s="36"/>
    </row>
    <row r="7420" spans="12:29" x14ac:dyDescent="0.3">
      <c r="L7420" s="36"/>
      <c r="R7420" s="34"/>
      <c r="AC7420" s="36"/>
    </row>
    <row r="7421" spans="12:29" x14ac:dyDescent="0.3">
      <c r="L7421" s="36"/>
      <c r="R7421" s="34"/>
      <c r="AC7421" s="36"/>
    </row>
    <row r="7422" spans="12:29" x14ac:dyDescent="0.3">
      <c r="L7422" s="36"/>
      <c r="R7422" s="34"/>
      <c r="AC7422" s="36"/>
    </row>
    <row r="7423" spans="12:29" x14ac:dyDescent="0.3">
      <c r="L7423" s="36"/>
      <c r="R7423" s="34"/>
      <c r="AC7423" s="36"/>
    </row>
    <row r="7424" spans="12:29" x14ac:dyDescent="0.3">
      <c r="L7424" s="36"/>
      <c r="R7424" s="34"/>
      <c r="AC7424" s="36"/>
    </row>
    <row r="7425" spans="12:29" x14ac:dyDescent="0.3">
      <c r="L7425" s="36"/>
      <c r="R7425" s="34"/>
      <c r="AC7425" s="36"/>
    </row>
    <row r="7426" spans="12:29" x14ac:dyDescent="0.3">
      <c r="L7426" s="36"/>
      <c r="R7426" s="34"/>
      <c r="AC7426" s="36"/>
    </row>
    <row r="7427" spans="12:29" x14ac:dyDescent="0.3">
      <c r="L7427" s="36"/>
      <c r="R7427" s="34"/>
      <c r="AC7427" s="36"/>
    </row>
    <row r="7428" spans="12:29" x14ac:dyDescent="0.3">
      <c r="L7428" s="36"/>
      <c r="R7428" s="34"/>
      <c r="AC7428" s="36"/>
    </row>
    <row r="7429" spans="12:29" x14ac:dyDescent="0.3">
      <c r="L7429" s="36"/>
      <c r="R7429" s="34"/>
      <c r="AC7429" s="36"/>
    </row>
    <row r="7430" spans="12:29" x14ac:dyDescent="0.3">
      <c r="L7430" s="36"/>
      <c r="R7430" s="34"/>
      <c r="AC7430" s="36"/>
    </row>
    <row r="7431" spans="12:29" x14ac:dyDescent="0.3">
      <c r="L7431" s="36"/>
      <c r="R7431" s="34"/>
      <c r="AC7431" s="36"/>
    </row>
    <row r="7432" spans="12:29" x14ac:dyDescent="0.3">
      <c r="L7432" s="36"/>
      <c r="R7432" s="34"/>
      <c r="AC7432" s="36"/>
    </row>
    <row r="7433" spans="12:29" x14ac:dyDescent="0.3">
      <c r="L7433" s="36"/>
      <c r="R7433" s="34"/>
      <c r="AC7433" s="36"/>
    </row>
    <row r="7434" spans="12:29" x14ac:dyDescent="0.3">
      <c r="L7434" s="36"/>
      <c r="R7434" s="34"/>
      <c r="AC7434" s="36"/>
    </row>
    <row r="7435" spans="12:29" x14ac:dyDescent="0.3">
      <c r="L7435" s="36"/>
      <c r="R7435" s="34"/>
      <c r="AC7435" s="36"/>
    </row>
    <row r="7436" spans="12:29" x14ac:dyDescent="0.3">
      <c r="L7436" s="36"/>
      <c r="R7436" s="34"/>
      <c r="AC7436" s="36"/>
    </row>
    <row r="7437" spans="12:29" x14ac:dyDescent="0.3">
      <c r="L7437" s="36"/>
      <c r="R7437" s="34"/>
      <c r="AC7437" s="36"/>
    </row>
    <row r="7438" spans="12:29" x14ac:dyDescent="0.3">
      <c r="L7438" s="36"/>
      <c r="R7438" s="34"/>
      <c r="AC7438" s="36"/>
    </row>
    <row r="7439" spans="12:29" x14ac:dyDescent="0.3">
      <c r="L7439" s="36"/>
      <c r="R7439" s="34"/>
      <c r="AC7439" s="36"/>
    </row>
    <row r="7440" spans="12:29" x14ac:dyDescent="0.3">
      <c r="L7440" s="36"/>
      <c r="R7440" s="34"/>
      <c r="AC7440" s="36"/>
    </row>
    <row r="7441" spans="12:29" x14ac:dyDescent="0.3">
      <c r="L7441" s="36"/>
      <c r="R7441" s="34"/>
      <c r="AC7441" s="36"/>
    </row>
    <row r="7442" spans="12:29" x14ac:dyDescent="0.3">
      <c r="L7442" s="36"/>
      <c r="R7442" s="34"/>
      <c r="AC7442" s="36"/>
    </row>
    <row r="7443" spans="12:29" x14ac:dyDescent="0.3">
      <c r="L7443" s="36"/>
      <c r="R7443" s="34"/>
      <c r="AC7443" s="36"/>
    </row>
    <row r="7444" spans="12:29" x14ac:dyDescent="0.3">
      <c r="L7444" s="36"/>
      <c r="R7444" s="34"/>
      <c r="AC7444" s="36"/>
    </row>
    <row r="7445" spans="12:29" x14ac:dyDescent="0.3">
      <c r="L7445" s="36"/>
      <c r="R7445" s="34"/>
      <c r="AC7445" s="36"/>
    </row>
    <row r="7446" spans="12:29" x14ac:dyDescent="0.3">
      <c r="L7446" s="36"/>
      <c r="R7446" s="34"/>
      <c r="AC7446" s="36"/>
    </row>
    <row r="7447" spans="12:29" x14ac:dyDescent="0.3">
      <c r="L7447" s="36"/>
      <c r="R7447" s="34"/>
      <c r="AC7447" s="36"/>
    </row>
    <row r="7448" spans="12:29" x14ac:dyDescent="0.3">
      <c r="L7448" s="36"/>
      <c r="R7448" s="34"/>
      <c r="AC7448" s="36"/>
    </row>
    <row r="7449" spans="12:29" x14ac:dyDescent="0.3">
      <c r="L7449" s="36"/>
      <c r="R7449" s="34"/>
      <c r="AC7449" s="36"/>
    </row>
    <row r="7450" spans="12:29" x14ac:dyDescent="0.3">
      <c r="L7450" s="36"/>
      <c r="R7450" s="34"/>
      <c r="AC7450" s="36"/>
    </row>
    <row r="7451" spans="12:29" x14ac:dyDescent="0.3">
      <c r="L7451" s="36"/>
      <c r="R7451" s="34"/>
      <c r="AC7451" s="36"/>
    </row>
    <row r="7452" spans="12:29" x14ac:dyDescent="0.3">
      <c r="L7452" s="36"/>
      <c r="R7452" s="34"/>
      <c r="AC7452" s="36"/>
    </row>
    <row r="7453" spans="12:29" x14ac:dyDescent="0.3">
      <c r="L7453" s="36"/>
      <c r="R7453" s="34"/>
      <c r="AC7453" s="36"/>
    </row>
    <row r="7454" spans="12:29" x14ac:dyDescent="0.3">
      <c r="L7454" s="36"/>
      <c r="R7454" s="34"/>
      <c r="AC7454" s="36"/>
    </row>
    <row r="7455" spans="12:29" x14ac:dyDescent="0.3">
      <c r="L7455" s="36"/>
      <c r="R7455" s="34"/>
      <c r="AC7455" s="36"/>
    </row>
    <row r="7456" spans="12:29" x14ac:dyDescent="0.3">
      <c r="L7456" s="36"/>
      <c r="R7456" s="34"/>
      <c r="AC7456" s="36"/>
    </row>
    <row r="7457" spans="12:29" x14ac:dyDescent="0.3">
      <c r="L7457" s="36"/>
      <c r="R7457" s="34"/>
      <c r="AC7457" s="36"/>
    </row>
    <row r="7458" spans="12:29" x14ac:dyDescent="0.3">
      <c r="L7458" s="36"/>
      <c r="R7458" s="34"/>
      <c r="AC7458" s="36"/>
    </row>
    <row r="7459" spans="12:29" x14ac:dyDescent="0.3">
      <c r="L7459" s="36"/>
      <c r="R7459" s="34"/>
      <c r="AC7459" s="36"/>
    </row>
    <row r="7460" spans="12:29" x14ac:dyDescent="0.3">
      <c r="L7460" s="36"/>
      <c r="R7460" s="34"/>
      <c r="AC7460" s="36"/>
    </row>
    <row r="7461" spans="12:29" x14ac:dyDescent="0.3">
      <c r="L7461" s="36"/>
      <c r="R7461" s="34"/>
      <c r="AC7461" s="36"/>
    </row>
    <row r="7462" spans="12:29" x14ac:dyDescent="0.3">
      <c r="L7462" s="36"/>
      <c r="R7462" s="34"/>
      <c r="AC7462" s="36"/>
    </row>
    <row r="7463" spans="12:29" x14ac:dyDescent="0.3">
      <c r="L7463" s="36"/>
      <c r="R7463" s="34"/>
      <c r="AC7463" s="36"/>
    </row>
    <row r="7464" spans="12:29" x14ac:dyDescent="0.3">
      <c r="L7464" s="36"/>
      <c r="R7464" s="34"/>
      <c r="AC7464" s="36"/>
    </row>
    <row r="7465" spans="12:29" x14ac:dyDescent="0.3">
      <c r="L7465" s="36"/>
      <c r="R7465" s="34"/>
      <c r="AC7465" s="36"/>
    </row>
    <row r="7466" spans="12:29" x14ac:dyDescent="0.3">
      <c r="L7466" s="36"/>
      <c r="R7466" s="34"/>
      <c r="AC7466" s="36"/>
    </row>
    <row r="7467" spans="12:29" x14ac:dyDescent="0.3">
      <c r="L7467" s="36"/>
      <c r="R7467" s="34"/>
      <c r="AC7467" s="36"/>
    </row>
    <row r="7468" spans="12:29" x14ac:dyDescent="0.3">
      <c r="L7468" s="36"/>
      <c r="R7468" s="34"/>
      <c r="AC7468" s="36"/>
    </row>
    <row r="7469" spans="12:29" x14ac:dyDescent="0.3">
      <c r="L7469" s="36"/>
      <c r="R7469" s="34"/>
      <c r="AC7469" s="36"/>
    </row>
    <row r="7470" spans="12:29" x14ac:dyDescent="0.3">
      <c r="L7470" s="36"/>
      <c r="R7470" s="34"/>
      <c r="AC7470" s="36"/>
    </row>
    <row r="7471" spans="12:29" x14ac:dyDescent="0.3">
      <c r="L7471" s="36"/>
      <c r="R7471" s="34"/>
      <c r="AC7471" s="36"/>
    </row>
    <row r="7472" spans="12:29" x14ac:dyDescent="0.3">
      <c r="L7472" s="36"/>
      <c r="R7472" s="34"/>
      <c r="AC7472" s="36"/>
    </row>
    <row r="7473" spans="12:29" x14ac:dyDescent="0.3">
      <c r="L7473" s="36"/>
      <c r="R7473" s="34"/>
      <c r="AC7473" s="36"/>
    </row>
    <row r="7474" spans="12:29" x14ac:dyDescent="0.3">
      <c r="L7474" s="36"/>
      <c r="R7474" s="34"/>
      <c r="AC7474" s="36"/>
    </row>
    <row r="7475" spans="12:29" x14ac:dyDescent="0.3">
      <c r="L7475" s="36"/>
      <c r="R7475" s="34"/>
      <c r="AC7475" s="36"/>
    </row>
    <row r="7476" spans="12:29" x14ac:dyDescent="0.3">
      <c r="L7476" s="36"/>
      <c r="R7476" s="34"/>
      <c r="AC7476" s="36"/>
    </row>
    <row r="7477" spans="12:29" x14ac:dyDescent="0.3">
      <c r="L7477" s="36"/>
      <c r="R7477" s="34"/>
      <c r="AC7477" s="36"/>
    </row>
    <row r="7478" spans="12:29" x14ac:dyDescent="0.3">
      <c r="L7478" s="36"/>
      <c r="R7478" s="34"/>
      <c r="AC7478" s="36"/>
    </row>
    <row r="7479" spans="12:29" x14ac:dyDescent="0.3">
      <c r="L7479" s="36"/>
      <c r="R7479" s="34"/>
      <c r="AC7479" s="36"/>
    </row>
    <row r="7480" spans="12:29" x14ac:dyDescent="0.3">
      <c r="L7480" s="36"/>
      <c r="R7480" s="34"/>
      <c r="AC7480" s="36"/>
    </row>
    <row r="7481" spans="12:29" x14ac:dyDescent="0.3">
      <c r="L7481" s="36"/>
      <c r="R7481" s="34"/>
      <c r="AC7481" s="36"/>
    </row>
    <row r="7482" spans="12:29" x14ac:dyDescent="0.3">
      <c r="L7482" s="36"/>
      <c r="R7482" s="34"/>
      <c r="AC7482" s="36"/>
    </row>
    <row r="7483" spans="12:29" x14ac:dyDescent="0.3">
      <c r="L7483" s="36"/>
      <c r="R7483" s="34"/>
      <c r="AC7483" s="36"/>
    </row>
    <row r="7484" spans="12:29" x14ac:dyDescent="0.3">
      <c r="L7484" s="36"/>
      <c r="R7484" s="34"/>
      <c r="AC7484" s="36"/>
    </row>
    <row r="7485" spans="12:29" x14ac:dyDescent="0.3">
      <c r="L7485" s="36"/>
      <c r="R7485" s="34"/>
      <c r="AC7485" s="36"/>
    </row>
    <row r="7486" spans="12:29" x14ac:dyDescent="0.3">
      <c r="L7486" s="36"/>
      <c r="R7486" s="34"/>
      <c r="AC7486" s="36"/>
    </row>
    <row r="7487" spans="12:29" x14ac:dyDescent="0.3">
      <c r="L7487" s="36"/>
      <c r="R7487" s="34"/>
      <c r="AC7487" s="36"/>
    </row>
    <row r="7488" spans="12:29" x14ac:dyDescent="0.3">
      <c r="L7488" s="36"/>
      <c r="R7488" s="34"/>
      <c r="AC7488" s="36"/>
    </row>
    <row r="7489" spans="12:29" x14ac:dyDescent="0.3">
      <c r="L7489" s="36"/>
      <c r="R7489" s="34"/>
      <c r="AC7489" s="36"/>
    </row>
    <row r="7490" spans="12:29" x14ac:dyDescent="0.3">
      <c r="L7490" s="36"/>
      <c r="R7490" s="34"/>
      <c r="AC7490" s="36"/>
    </row>
    <row r="7491" spans="12:29" x14ac:dyDescent="0.3">
      <c r="L7491" s="36"/>
      <c r="R7491" s="34"/>
      <c r="AC7491" s="36"/>
    </row>
    <row r="7492" spans="12:29" x14ac:dyDescent="0.3">
      <c r="L7492" s="36"/>
      <c r="R7492" s="34"/>
      <c r="AC7492" s="36"/>
    </row>
    <row r="7493" spans="12:29" x14ac:dyDescent="0.3">
      <c r="L7493" s="36"/>
      <c r="R7493" s="34"/>
      <c r="AC7493" s="36"/>
    </row>
    <row r="7494" spans="12:29" x14ac:dyDescent="0.3">
      <c r="L7494" s="36"/>
      <c r="R7494" s="34"/>
      <c r="AC7494" s="36"/>
    </row>
    <row r="7495" spans="12:29" x14ac:dyDescent="0.3">
      <c r="L7495" s="36"/>
      <c r="R7495" s="34"/>
      <c r="AC7495" s="36"/>
    </row>
    <row r="7496" spans="12:29" x14ac:dyDescent="0.3">
      <c r="L7496" s="36"/>
      <c r="R7496" s="34"/>
      <c r="AC7496" s="36"/>
    </row>
    <row r="7497" spans="12:29" x14ac:dyDescent="0.3">
      <c r="L7497" s="36"/>
      <c r="R7497" s="34"/>
      <c r="AC7497" s="36"/>
    </row>
    <row r="7498" spans="12:29" x14ac:dyDescent="0.3">
      <c r="L7498" s="36"/>
      <c r="R7498" s="34"/>
      <c r="AC7498" s="36"/>
    </row>
    <row r="7499" spans="12:29" x14ac:dyDescent="0.3">
      <c r="L7499" s="36"/>
      <c r="R7499" s="34"/>
      <c r="AC7499" s="36"/>
    </row>
    <row r="7500" spans="12:29" x14ac:dyDescent="0.3">
      <c r="L7500" s="36"/>
      <c r="R7500" s="34"/>
      <c r="AC7500" s="36"/>
    </row>
    <row r="7501" spans="12:29" x14ac:dyDescent="0.3">
      <c r="L7501" s="36"/>
      <c r="R7501" s="34"/>
      <c r="AC7501" s="36"/>
    </row>
    <row r="7502" spans="12:29" x14ac:dyDescent="0.3">
      <c r="L7502" s="36"/>
      <c r="R7502" s="34"/>
      <c r="AC7502" s="36"/>
    </row>
    <row r="7503" spans="12:29" x14ac:dyDescent="0.3">
      <c r="L7503" s="36"/>
      <c r="R7503" s="34"/>
      <c r="AC7503" s="36"/>
    </row>
    <row r="7504" spans="12:29" x14ac:dyDescent="0.3">
      <c r="L7504" s="36"/>
      <c r="R7504" s="34"/>
      <c r="AC7504" s="36"/>
    </row>
    <row r="7505" spans="12:29" x14ac:dyDescent="0.3">
      <c r="L7505" s="36"/>
      <c r="R7505" s="34"/>
      <c r="AC7505" s="36"/>
    </row>
    <row r="7506" spans="12:29" x14ac:dyDescent="0.3">
      <c r="L7506" s="36"/>
      <c r="R7506" s="34"/>
      <c r="AC7506" s="36"/>
    </row>
    <row r="7507" spans="12:29" x14ac:dyDescent="0.3">
      <c r="L7507" s="36"/>
      <c r="R7507" s="34"/>
      <c r="AC7507" s="36"/>
    </row>
    <row r="7508" spans="12:29" x14ac:dyDescent="0.3">
      <c r="L7508" s="36"/>
      <c r="R7508" s="34"/>
      <c r="AC7508" s="36"/>
    </row>
    <row r="7509" spans="12:29" x14ac:dyDescent="0.3">
      <c r="L7509" s="36"/>
      <c r="R7509" s="34"/>
      <c r="AC7509" s="36"/>
    </row>
    <row r="7510" spans="12:29" x14ac:dyDescent="0.3">
      <c r="L7510" s="36"/>
      <c r="R7510" s="34"/>
      <c r="AC7510" s="36"/>
    </row>
    <row r="7511" spans="12:29" x14ac:dyDescent="0.3">
      <c r="L7511" s="36"/>
      <c r="R7511" s="34"/>
      <c r="AC7511" s="36"/>
    </row>
    <row r="7512" spans="12:29" x14ac:dyDescent="0.3">
      <c r="L7512" s="36"/>
      <c r="R7512" s="34"/>
      <c r="AC7512" s="36"/>
    </row>
    <row r="7513" spans="12:29" x14ac:dyDescent="0.3">
      <c r="L7513" s="36"/>
      <c r="R7513" s="34"/>
      <c r="AC7513" s="36"/>
    </row>
    <row r="7514" spans="12:29" x14ac:dyDescent="0.3">
      <c r="L7514" s="36"/>
      <c r="R7514" s="34"/>
      <c r="AC7514" s="36"/>
    </row>
    <row r="7515" spans="12:29" x14ac:dyDescent="0.3">
      <c r="L7515" s="36"/>
      <c r="R7515" s="34"/>
      <c r="AC7515" s="36"/>
    </row>
    <row r="7516" spans="12:29" x14ac:dyDescent="0.3">
      <c r="L7516" s="36"/>
      <c r="R7516" s="34"/>
      <c r="AC7516" s="36"/>
    </row>
    <row r="7517" spans="12:29" x14ac:dyDescent="0.3">
      <c r="L7517" s="36"/>
      <c r="R7517" s="34"/>
      <c r="AC7517" s="36"/>
    </row>
    <row r="7518" spans="12:29" x14ac:dyDescent="0.3">
      <c r="L7518" s="36"/>
      <c r="R7518" s="34"/>
      <c r="AC7518" s="36"/>
    </row>
    <row r="7519" spans="12:29" x14ac:dyDescent="0.3">
      <c r="L7519" s="36"/>
      <c r="R7519" s="34"/>
      <c r="AC7519" s="36"/>
    </row>
    <row r="7520" spans="12:29" x14ac:dyDescent="0.3">
      <c r="L7520" s="36"/>
      <c r="R7520" s="34"/>
      <c r="AC7520" s="36"/>
    </row>
    <row r="7521" spans="12:29" x14ac:dyDescent="0.3">
      <c r="L7521" s="36"/>
      <c r="R7521" s="34"/>
      <c r="AC7521" s="36"/>
    </row>
    <row r="7522" spans="12:29" x14ac:dyDescent="0.3">
      <c r="L7522" s="36"/>
      <c r="R7522" s="34"/>
      <c r="AC7522" s="36"/>
    </row>
    <row r="7523" spans="12:29" x14ac:dyDescent="0.3">
      <c r="L7523" s="36"/>
      <c r="R7523" s="34"/>
      <c r="AC7523" s="36"/>
    </row>
    <row r="7524" spans="12:29" x14ac:dyDescent="0.3">
      <c r="L7524" s="36"/>
      <c r="R7524" s="34"/>
      <c r="AC7524" s="36"/>
    </row>
    <row r="7525" spans="12:29" x14ac:dyDescent="0.3">
      <c r="L7525" s="36"/>
      <c r="R7525" s="34"/>
      <c r="AC7525" s="36"/>
    </row>
    <row r="7526" spans="12:29" x14ac:dyDescent="0.3">
      <c r="L7526" s="36"/>
      <c r="R7526" s="34"/>
      <c r="AC7526" s="36"/>
    </row>
    <row r="7527" spans="12:29" x14ac:dyDescent="0.3">
      <c r="L7527" s="36"/>
      <c r="R7527" s="34"/>
      <c r="AC7527" s="36"/>
    </row>
    <row r="7528" spans="12:29" x14ac:dyDescent="0.3">
      <c r="L7528" s="36"/>
      <c r="R7528" s="34"/>
      <c r="AC7528" s="36"/>
    </row>
    <row r="7529" spans="12:29" x14ac:dyDescent="0.3">
      <c r="L7529" s="36"/>
      <c r="R7529" s="34"/>
      <c r="AC7529" s="36"/>
    </row>
    <row r="7530" spans="12:29" x14ac:dyDescent="0.3">
      <c r="L7530" s="36"/>
      <c r="R7530" s="34"/>
      <c r="AC7530" s="36"/>
    </row>
    <row r="7531" spans="12:29" x14ac:dyDescent="0.3">
      <c r="L7531" s="36"/>
      <c r="R7531" s="34"/>
      <c r="AC7531" s="36"/>
    </row>
    <row r="7532" spans="12:29" x14ac:dyDescent="0.3">
      <c r="L7532" s="36"/>
      <c r="R7532" s="34"/>
      <c r="AC7532" s="36"/>
    </row>
    <row r="7533" spans="12:29" x14ac:dyDescent="0.3">
      <c r="L7533" s="36"/>
      <c r="R7533" s="34"/>
      <c r="AC7533" s="36"/>
    </row>
    <row r="7534" spans="12:29" x14ac:dyDescent="0.3">
      <c r="L7534" s="36"/>
      <c r="R7534" s="34"/>
      <c r="AC7534" s="36"/>
    </row>
    <row r="7535" spans="12:29" x14ac:dyDescent="0.3">
      <c r="L7535" s="36"/>
      <c r="R7535" s="34"/>
      <c r="AC7535" s="36"/>
    </row>
    <row r="7536" spans="12:29" x14ac:dyDescent="0.3">
      <c r="L7536" s="36"/>
      <c r="R7536" s="34"/>
      <c r="AC7536" s="36"/>
    </row>
    <row r="7537" spans="12:29" x14ac:dyDescent="0.3">
      <c r="L7537" s="36"/>
      <c r="R7537" s="34"/>
      <c r="AC7537" s="36"/>
    </row>
    <row r="7538" spans="12:29" x14ac:dyDescent="0.3">
      <c r="L7538" s="36"/>
      <c r="R7538" s="34"/>
      <c r="AC7538" s="36"/>
    </row>
    <row r="7539" spans="12:29" x14ac:dyDescent="0.3">
      <c r="L7539" s="36"/>
      <c r="R7539" s="34"/>
      <c r="AC7539" s="36"/>
    </row>
    <row r="7540" spans="12:29" x14ac:dyDescent="0.3">
      <c r="L7540" s="36"/>
      <c r="R7540" s="34"/>
      <c r="AC7540" s="36"/>
    </row>
    <row r="7541" spans="12:29" x14ac:dyDescent="0.3">
      <c r="L7541" s="36"/>
      <c r="R7541" s="34"/>
      <c r="AC7541" s="36"/>
    </row>
    <row r="7542" spans="12:29" x14ac:dyDescent="0.3">
      <c r="L7542" s="36"/>
      <c r="R7542" s="34"/>
      <c r="AC7542" s="36"/>
    </row>
    <row r="7543" spans="12:29" x14ac:dyDescent="0.3">
      <c r="L7543" s="36"/>
      <c r="R7543" s="34"/>
      <c r="AC7543" s="36"/>
    </row>
    <row r="7544" spans="12:29" x14ac:dyDescent="0.3">
      <c r="L7544" s="36"/>
      <c r="R7544" s="34"/>
      <c r="AC7544" s="36"/>
    </row>
    <row r="7545" spans="12:29" x14ac:dyDescent="0.3">
      <c r="L7545" s="36"/>
      <c r="R7545" s="34"/>
      <c r="AC7545" s="36"/>
    </row>
    <row r="7546" spans="12:29" x14ac:dyDescent="0.3">
      <c r="L7546" s="36"/>
      <c r="R7546" s="34"/>
      <c r="AC7546" s="36"/>
    </row>
    <row r="7547" spans="12:29" x14ac:dyDescent="0.3">
      <c r="L7547" s="36"/>
      <c r="R7547" s="34"/>
      <c r="AC7547" s="36"/>
    </row>
    <row r="7548" spans="12:29" x14ac:dyDescent="0.3">
      <c r="L7548" s="36"/>
      <c r="R7548" s="34"/>
      <c r="AC7548" s="36"/>
    </row>
    <row r="7549" spans="12:29" x14ac:dyDescent="0.3">
      <c r="L7549" s="36"/>
      <c r="R7549" s="34"/>
      <c r="AC7549" s="36"/>
    </row>
    <row r="7550" spans="12:29" x14ac:dyDescent="0.3">
      <c r="L7550" s="36"/>
      <c r="R7550" s="34"/>
      <c r="AC7550" s="36"/>
    </row>
    <row r="7551" spans="12:29" x14ac:dyDescent="0.3">
      <c r="L7551" s="36"/>
      <c r="R7551" s="34"/>
      <c r="AC7551" s="36"/>
    </row>
    <row r="7552" spans="12:29" x14ac:dyDescent="0.3">
      <c r="L7552" s="36"/>
      <c r="R7552" s="34"/>
      <c r="AC7552" s="36"/>
    </row>
    <row r="7553" spans="12:29" x14ac:dyDescent="0.3">
      <c r="L7553" s="36"/>
      <c r="R7553" s="34"/>
      <c r="AC7553" s="36"/>
    </row>
    <row r="7554" spans="12:29" x14ac:dyDescent="0.3">
      <c r="L7554" s="36"/>
      <c r="R7554" s="34"/>
      <c r="AC7554" s="36"/>
    </row>
    <row r="7555" spans="12:29" x14ac:dyDescent="0.3">
      <c r="L7555" s="36"/>
      <c r="R7555" s="34"/>
      <c r="AC7555" s="36"/>
    </row>
    <row r="7556" spans="12:29" x14ac:dyDescent="0.3">
      <c r="L7556" s="36"/>
      <c r="R7556" s="34"/>
      <c r="AC7556" s="36"/>
    </row>
    <row r="7557" spans="12:29" x14ac:dyDescent="0.3">
      <c r="L7557" s="36"/>
      <c r="R7557" s="34"/>
      <c r="AC7557" s="36"/>
    </row>
    <row r="7558" spans="12:29" x14ac:dyDescent="0.3">
      <c r="L7558" s="36"/>
      <c r="R7558" s="34"/>
      <c r="AC7558" s="36"/>
    </row>
    <row r="7559" spans="12:29" x14ac:dyDescent="0.3">
      <c r="L7559" s="36"/>
      <c r="R7559" s="34"/>
      <c r="AC7559" s="36"/>
    </row>
    <row r="7560" spans="12:29" x14ac:dyDescent="0.3">
      <c r="L7560" s="36"/>
      <c r="R7560" s="34"/>
      <c r="AC7560" s="36"/>
    </row>
    <row r="7561" spans="12:29" x14ac:dyDescent="0.3">
      <c r="L7561" s="36"/>
      <c r="R7561" s="34"/>
      <c r="AC7561" s="36"/>
    </row>
    <row r="7562" spans="12:29" x14ac:dyDescent="0.3">
      <c r="L7562" s="36"/>
      <c r="R7562" s="34"/>
      <c r="AC7562" s="36"/>
    </row>
    <row r="7563" spans="12:29" x14ac:dyDescent="0.3">
      <c r="L7563" s="36"/>
      <c r="R7563" s="34"/>
      <c r="AC7563" s="36"/>
    </row>
    <row r="7564" spans="12:29" x14ac:dyDescent="0.3">
      <c r="L7564" s="36"/>
      <c r="R7564" s="34"/>
      <c r="AC7564" s="36"/>
    </row>
    <row r="7565" spans="12:29" x14ac:dyDescent="0.3">
      <c r="L7565" s="36"/>
      <c r="R7565" s="34"/>
      <c r="AC7565" s="36"/>
    </row>
    <row r="7566" spans="12:29" x14ac:dyDescent="0.3">
      <c r="L7566" s="36"/>
      <c r="R7566" s="34"/>
      <c r="AC7566" s="36"/>
    </row>
    <row r="7567" spans="12:29" x14ac:dyDescent="0.3">
      <c r="L7567" s="36"/>
      <c r="R7567" s="34"/>
      <c r="AC7567" s="36"/>
    </row>
    <row r="7568" spans="12:29" x14ac:dyDescent="0.3">
      <c r="L7568" s="36"/>
      <c r="R7568" s="34"/>
      <c r="AC7568" s="36"/>
    </row>
    <row r="7569" spans="12:29" x14ac:dyDescent="0.3">
      <c r="L7569" s="36"/>
      <c r="R7569" s="34"/>
      <c r="AC7569" s="36"/>
    </row>
    <row r="7570" spans="12:29" x14ac:dyDescent="0.3">
      <c r="L7570" s="36"/>
      <c r="R7570" s="34"/>
      <c r="AC7570" s="36"/>
    </row>
    <row r="7571" spans="12:29" x14ac:dyDescent="0.3">
      <c r="L7571" s="36"/>
      <c r="R7571" s="34"/>
      <c r="AC7571" s="36"/>
    </row>
    <row r="7572" spans="12:29" x14ac:dyDescent="0.3">
      <c r="L7572" s="36"/>
      <c r="R7572" s="34"/>
      <c r="AC7572" s="36"/>
    </row>
    <row r="7573" spans="12:29" x14ac:dyDescent="0.3">
      <c r="L7573" s="36"/>
      <c r="R7573" s="34"/>
      <c r="AC7573" s="36"/>
    </row>
    <row r="7574" spans="12:29" x14ac:dyDescent="0.3">
      <c r="L7574" s="36"/>
      <c r="R7574" s="34"/>
      <c r="AC7574" s="36"/>
    </row>
    <row r="7575" spans="12:29" x14ac:dyDescent="0.3">
      <c r="L7575" s="36"/>
      <c r="R7575" s="34"/>
      <c r="AC7575" s="36"/>
    </row>
    <row r="7576" spans="12:29" x14ac:dyDescent="0.3">
      <c r="L7576" s="36"/>
      <c r="R7576" s="34"/>
      <c r="AC7576" s="36"/>
    </row>
    <row r="7577" spans="12:29" x14ac:dyDescent="0.3">
      <c r="L7577" s="36"/>
      <c r="R7577" s="34"/>
      <c r="AC7577" s="36"/>
    </row>
    <row r="7578" spans="12:29" x14ac:dyDescent="0.3">
      <c r="L7578" s="36"/>
      <c r="R7578" s="34"/>
      <c r="AC7578" s="36"/>
    </row>
    <row r="7579" spans="12:29" x14ac:dyDescent="0.3">
      <c r="L7579" s="36"/>
      <c r="R7579" s="34"/>
      <c r="AC7579" s="36"/>
    </row>
    <row r="7580" spans="12:29" x14ac:dyDescent="0.3">
      <c r="L7580" s="36"/>
      <c r="R7580" s="34"/>
      <c r="AC7580" s="36"/>
    </row>
    <row r="7581" spans="12:29" x14ac:dyDescent="0.3">
      <c r="L7581" s="36"/>
      <c r="R7581" s="34"/>
      <c r="AC7581" s="36"/>
    </row>
    <row r="7582" spans="12:29" x14ac:dyDescent="0.3">
      <c r="L7582" s="36"/>
      <c r="R7582" s="34"/>
      <c r="AC7582" s="36"/>
    </row>
    <row r="7583" spans="12:29" x14ac:dyDescent="0.3">
      <c r="L7583" s="36"/>
      <c r="R7583" s="34"/>
      <c r="AC7583" s="36"/>
    </row>
    <row r="7584" spans="12:29" x14ac:dyDescent="0.3">
      <c r="L7584" s="36"/>
      <c r="R7584" s="34"/>
      <c r="AC7584" s="36"/>
    </row>
    <row r="7585" spans="12:29" x14ac:dyDescent="0.3">
      <c r="L7585" s="36"/>
      <c r="R7585" s="34"/>
      <c r="AC7585" s="36"/>
    </row>
    <row r="7586" spans="12:29" x14ac:dyDescent="0.3">
      <c r="L7586" s="36"/>
      <c r="R7586" s="34"/>
      <c r="AC7586" s="36"/>
    </row>
    <row r="7587" spans="12:29" x14ac:dyDescent="0.3">
      <c r="L7587" s="36"/>
      <c r="R7587" s="34"/>
      <c r="AC7587" s="36"/>
    </row>
    <row r="7588" spans="12:29" x14ac:dyDescent="0.3">
      <c r="L7588" s="36"/>
      <c r="R7588" s="34"/>
      <c r="AC7588" s="36"/>
    </row>
    <row r="7589" spans="12:29" x14ac:dyDescent="0.3">
      <c r="L7589" s="36"/>
      <c r="R7589" s="34"/>
      <c r="AC7589" s="36"/>
    </row>
    <row r="7590" spans="12:29" x14ac:dyDescent="0.3">
      <c r="L7590" s="36"/>
      <c r="R7590" s="34"/>
      <c r="AC7590" s="36"/>
    </row>
    <row r="7591" spans="12:29" x14ac:dyDescent="0.3">
      <c r="L7591" s="36"/>
      <c r="R7591" s="34"/>
      <c r="AC7591" s="36"/>
    </row>
    <row r="7592" spans="12:29" x14ac:dyDescent="0.3">
      <c r="L7592" s="36"/>
      <c r="R7592" s="34"/>
      <c r="AC7592" s="36"/>
    </row>
    <row r="7593" spans="12:29" x14ac:dyDescent="0.3">
      <c r="L7593" s="36"/>
      <c r="R7593" s="34"/>
      <c r="AC7593" s="36"/>
    </row>
    <row r="7594" spans="12:29" x14ac:dyDescent="0.3">
      <c r="L7594" s="36"/>
      <c r="R7594" s="34"/>
      <c r="AC7594" s="36"/>
    </row>
    <row r="7595" spans="12:29" x14ac:dyDescent="0.3">
      <c r="L7595" s="36"/>
      <c r="R7595" s="34"/>
      <c r="AC7595" s="36"/>
    </row>
    <row r="7596" spans="12:29" x14ac:dyDescent="0.3">
      <c r="L7596" s="36"/>
      <c r="R7596" s="34"/>
      <c r="AC7596" s="36"/>
    </row>
    <row r="7597" spans="12:29" x14ac:dyDescent="0.3">
      <c r="L7597" s="36"/>
      <c r="R7597" s="34"/>
      <c r="AC7597" s="36"/>
    </row>
    <row r="7598" spans="12:29" x14ac:dyDescent="0.3">
      <c r="L7598" s="36"/>
      <c r="R7598" s="34"/>
      <c r="AC7598" s="36"/>
    </row>
    <row r="7599" spans="12:29" x14ac:dyDescent="0.3">
      <c r="L7599" s="36"/>
      <c r="R7599" s="34"/>
      <c r="AC7599" s="36"/>
    </row>
    <row r="7600" spans="12:29" x14ac:dyDescent="0.3">
      <c r="L7600" s="36"/>
      <c r="R7600" s="34"/>
      <c r="AC7600" s="36"/>
    </row>
    <row r="7601" spans="12:29" x14ac:dyDescent="0.3">
      <c r="L7601" s="36"/>
      <c r="R7601" s="34"/>
      <c r="AC7601" s="36"/>
    </row>
    <row r="7602" spans="12:29" x14ac:dyDescent="0.3">
      <c r="L7602" s="36"/>
      <c r="R7602" s="34"/>
      <c r="AC7602" s="36"/>
    </row>
    <row r="7603" spans="12:29" x14ac:dyDescent="0.3">
      <c r="L7603" s="36"/>
      <c r="R7603" s="34"/>
      <c r="AC7603" s="36"/>
    </row>
    <row r="7604" spans="12:29" x14ac:dyDescent="0.3">
      <c r="L7604" s="36"/>
      <c r="R7604" s="34"/>
      <c r="AC7604" s="36"/>
    </row>
    <row r="7605" spans="12:29" x14ac:dyDescent="0.3">
      <c r="L7605" s="36"/>
      <c r="R7605" s="34"/>
      <c r="AC7605" s="36"/>
    </row>
    <row r="7606" spans="12:29" x14ac:dyDescent="0.3">
      <c r="L7606" s="36"/>
      <c r="R7606" s="34"/>
      <c r="AC7606" s="36"/>
    </row>
    <row r="7607" spans="12:29" x14ac:dyDescent="0.3">
      <c r="L7607" s="36"/>
      <c r="R7607" s="34"/>
      <c r="AC7607" s="36"/>
    </row>
    <row r="7608" spans="12:29" x14ac:dyDescent="0.3">
      <c r="L7608" s="36"/>
      <c r="R7608" s="34"/>
      <c r="AC7608" s="36"/>
    </row>
    <row r="7609" spans="12:29" x14ac:dyDescent="0.3">
      <c r="L7609" s="36"/>
      <c r="R7609" s="34"/>
      <c r="AC7609" s="36"/>
    </row>
    <row r="7610" spans="12:29" x14ac:dyDescent="0.3">
      <c r="L7610" s="36"/>
      <c r="R7610" s="34"/>
      <c r="AC7610" s="36"/>
    </row>
    <row r="7611" spans="12:29" x14ac:dyDescent="0.3">
      <c r="L7611" s="36"/>
      <c r="R7611" s="34"/>
      <c r="AC7611" s="36"/>
    </row>
    <row r="7612" spans="12:29" x14ac:dyDescent="0.3">
      <c r="L7612" s="36"/>
      <c r="R7612" s="34"/>
      <c r="AC7612" s="36"/>
    </row>
    <row r="7613" spans="12:29" x14ac:dyDescent="0.3">
      <c r="L7613" s="36"/>
      <c r="R7613" s="34"/>
      <c r="AC7613" s="36"/>
    </row>
    <row r="7614" spans="12:29" x14ac:dyDescent="0.3">
      <c r="L7614" s="36"/>
      <c r="R7614" s="34"/>
      <c r="AC7614" s="36"/>
    </row>
    <row r="7615" spans="12:29" x14ac:dyDescent="0.3">
      <c r="L7615" s="36"/>
      <c r="R7615" s="34"/>
      <c r="AC7615" s="36"/>
    </row>
    <row r="7616" spans="12:29" x14ac:dyDescent="0.3">
      <c r="L7616" s="36"/>
      <c r="R7616" s="34"/>
      <c r="AC7616" s="36"/>
    </row>
    <row r="7617" spans="12:29" x14ac:dyDescent="0.3">
      <c r="L7617" s="36"/>
      <c r="R7617" s="34"/>
      <c r="AC7617" s="36"/>
    </row>
    <row r="7618" spans="12:29" x14ac:dyDescent="0.3">
      <c r="L7618" s="36"/>
      <c r="R7618" s="34"/>
      <c r="AC7618" s="36"/>
    </row>
    <row r="7619" spans="12:29" x14ac:dyDescent="0.3">
      <c r="L7619" s="36"/>
      <c r="R7619" s="34"/>
      <c r="AC7619" s="36"/>
    </row>
    <row r="7620" spans="12:29" x14ac:dyDescent="0.3">
      <c r="L7620" s="36"/>
      <c r="R7620" s="34"/>
      <c r="AC7620" s="36"/>
    </row>
    <row r="7621" spans="12:29" x14ac:dyDescent="0.3">
      <c r="L7621" s="36"/>
      <c r="R7621" s="34"/>
      <c r="AC7621" s="36"/>
    </row>
    <row r="7622" spans="12:29" x14ac:dyDescent="0.3">
      <c r="L7622" s="36"/>
      <c r="R7622" s="34"/>
      <c r="AC7622" s="36"/>
    </row>
    <row r="7623" spans="12:29" x14ac:dyDescent="0.3">
      <c r="L7623" s="36"/>
      <c r="R7623" s="34"/>
      <c r="AC7623" s="36"/>
    </row>
    <row r="7624" spans="12:29" x14ac:dyDescent="0.3">
      <c r="L7624" s="36"/>
      <c r="R7624" s="34"/>
      <c r="AC7624" s="36"/>
    </row>
    <row r="7625" spans="12:29" x14ac:dyDescent="0.3">
      <c r="L7625" s="36"/>
      <c r="R7625" s="34"/>
      <c r="AC7625" s="36"/>
    </row>
    <row r="7626" spans="12:29" x14ac:dyDescent="0.3">
      <c r="L7626" s="36"/>
      <c r="R7626" s="34"/>
      <c r="AC7626" s="36"/>
    </row>
    <row r="7627" spans="12:29" x14ac:dyDescent="0.3">
      <c r="L7627" s="36"/>
      <c r="R7627" s="34"/>
      <c r="AC7627" s="36"/>
    </row>
    <row r="7628" spans="12:29" x14ac:dyDescent="0.3">
      <c r="L7628" s="36"/>
      <c r="R7628" s="34"/>
      <c r="AC7628" s="36"/>
    </row>
    <row r="7629" spans="12:29" x14ac:dyDescent="0.3">
      <c r="L7629" s="36"/>
      <c r="R7629" s="34"/>
      <c r="AC7629" s="36"/>
    </row>
    <row r="7630" spans="12:29" x14ac:dyDescent="0.3">
      <c r="L7630" s="36"/>
      <c r="R7630" s="34"/>
      <c r="AC7630" s="36"/>
    </row>
    <row r="7631" spans="12:29" x14ac:dyDescent="0.3">
      <c r="L7631" s="36"/>
      <c r="R7631" s="34"/>
      <c r="AC7631" s="36"/>
    </row>
    <row r="7632" spans="12:29" x14ac:dyDescent="0.3">
      <c r="L7632" s="36"/>
      <c r="R7632" s="34"/>
      <c r="AC7632" s="36"/>
    </row>
    <row r="7633" spans="12:29" x14ac:dyDescent="0.3">
      <c r="L7633" s="36"/>
      <c r="R7633" s="34"/>
      <c r="AC7633" s="36"/>
    </row>
    <row r="7634" spans="12:29" x14ac:dyDescent="0.3">
      <c r="L7634" s="36"/>
      <c r="R7634" s="34"/>
      <c r="AC7634" s="36"/>
    </row>
    <row r="7635" spans="12:29" x14ac:dyDescent="0.3">
      <c r="L7635" s="36"/>
      <c r="R7635" s="34"/>
      <c r="AC7635" s="36"/>
    </row>
    <row r="7636" spans="12:29" x14ac:dyDescent="0.3">
      <c r="L7636" s="36"/>
      <c r="R7636" s="34"/>
      <c r="AC7636" s="36"/>
    </row>
    <row r="7637" spans="12:29" x14ac:dyDescent="0.3">
      <c r="L7637" s="36"/>
      <c r="R7637" s="34"/>
      <c r="AC7637" s="36"/>
    </row>
    <row r="7638" spans="12:29" x14ac:dyDescent="0.3">
      <c r="L7638" s="36"/>
      <c r="R7638" s="34"/>
      <c r="AC7638" s="36"/>
    </row>
    <row r="7639" spans="12:29" x14ac:dyDescent="0.3">
      <c r="L7639" s="36"/>
      <c r="R7639" s="34"/>
      <c r="AC7639" s="36"/>
    </row>
    <row r="7640" spans="12:29" x14ac:dyDescent="0.3">
      <c r="L7640" s="36"/>
      <c r="R7640" s="34"/>
      <c r="AC7640" s="36"/>
    </row>
    <row r="7641" spans="12:29" x14ac:dyDescent="0.3">
      <c r="L7641" s="36"/>
      <c r="R7641" s="34"/>
      <c r="AC7641" s="36"/>
    </row>
    <row r="7642" spans="12:29" x14ac:dyDescent="0.3">
      <c r="L7642" s="36"/>
      <c r="R7642" s="34"/>
      <c r="AC7642" s="36"/>
    </row>
    <row r="7643" spans="12:29" x14ac:dyDescent="0.3">
      <c r="L7643" s="36"/>
      <c r="R7643" s="34"/>
      <c r="AC7643" s="36"/>
    </row>
    <row r="7644" spans="12:29" x14ac:dyDescent="0.3">
      <c r="L7644" s="36"/>
      <c r="R7644" s="34"/>
      <c r="AC7644" s="36"/>
    </row>
    <row r="7645" spans="12:29" x14ac:dyDescent="0.3">
      <c r="L7645" s="36"/>
      <c r="R7645" s="34"/>
      <c r="AC7645" s="36"/>
    </row>
    <row r="7646" spans="12:29" x14ac:dyDescent="0.3">
      <c r="L7646" s="36"/>
      <c r="R7646" s="34"/>
      <c r="AC7646" s="36"/>
    </row>
    <row r="7647" spans="12:29" x14ac:dyDescent="0.3">
      <c r="L7647" s="36"/>
      <c r="R7647" s="34"/>
      <c r="AC7647" s="36"/>
    </row>
    <row r="7648" spans="12:29" x14ac:dyDescent="0.3">
      <c r="L7648" s="36"/>
      <c r="R7648" s="34"/>
      <c r="AC7648" s="36"/>
    </row>
    <row r="7649" spans="12:29" x14ac:dyDescent="0.3">
      <c r="L7649" s="36"/>
      <c r="R7649" s="34"/>
      <c r="AC7649" s="36"/>
    </row>
    <row r="7650" spans="12:29" x14ac:dyDescent="0.3">
      <c r="L7650" s="36"/>
      <c r="R7650" s="34"/>
      <c r="AC7650" s="36"/>
    </row>
    <row r="7651" spans="12:29" x14ac:dyDescent="0.3">
      <c r="L7651" s="36"/>
      <c r="R7651" s="34"/>
      <c r="AC7651" s="36"/>
    </row>
    <row r="7652" spans="12:29" x14ac:dyDescent="0.3">
      <c r="L7652" s="36"/>
      <c r="R7652" s="34"/>
      <c r="AC7652" s="36"/>
    </row>
    <row r="7653" spans="12:29" x14ac:dyDescent="0.3">
      <c r="L7653" s="36"/>
      <c r="R7653" s="34"/>
      <c r="AC7653" s="36"/>
    </row>
    <row r="7654" spans="12:29" x14ac:dyDescent="0.3">
      <c r="L7654" s="36"/>
      <c r="R7654" s="34"/>
      <c r="AC7654" s="36"/>
    </row>
    <row r="7655" spans="12:29" x14ac:dyDescent="0.3">
      <c r="L7655" s="36"/>
      <c r="R7655" s="34"/>
      <c r="AC7655" s="36"/>
    </row>
    <row r="7656" spans="12:29" x14ac:dyDescent="0.3">
      <c r="L7656" s="36"/>
      <c r="R7656" s="34"/>
      <c r="AC7656" s="36"/>
    </row>
    <row r="7657" spans="12:29" x14ac:dyDescent="0.3">
      <c r="L7657" s="36"/>
      <c r="R7657" s="34"/>
      <c r="AC7657" s="36"/>
    </row>
    <row r="7658" spans="12:29" x14ac:dyDescent="0.3">
      <c r="L7658" s="36"/>
      <c r="R7658" s="34"/>
      <c r="AC7658" s="36"/>
    </row>
    <row r="7659" spans="12:29" x14ac:dyDescent="0.3">
      <c r="L7659" s="36"/>
      <c r="R7659" s="34"/>
      <c r="AC7659" s="36"/>
    </row>
    <row r="7660" spans="12:29" x14ac:dyDescent="0.3">
      <c r="L7660" s="36"/>
      <c r="R7660" s="34"/>
      <c r="AC7660" s="36"/>
    </row>
    <row r="7661" spans="12:29" x14ac:dyDescent="0.3">
      <c r="L7661" s="36"/>
      <c r="R7661" s="34"/>
      <c r="AC7661" s="36"/>
    </row>
    <row r="7662" spans="12:29" x14ac:dyDescent="0.3">
      <c r="L7662" s="36"/>
      <c r="R7662" s="34"/>
      <c r="AC7662" s="36"/>
    </row>
    <row r="7663" spans="12:29" x14ac:dyDescent="0.3">
      <c r="L7663" s="36"/>
      <c r="R7663" s="34"/>
      <c r="AC7663" s="36"/>
    </row>
    <row r="7664" spans="12:29" x14ac:dyDescent="0.3">
      <c r="L7664" s="36"/>
      <c r="R7664" s="34"/>
      <c r="AC7664" s="36"/>
    </row>
    <row r="7665" spans="12:29" x14ac:dyDescent="0.3">
      <c r="L7665" s="36"/>
      <c r="R7665" s="34"/>
      <c r="AC7665" s="36"/>
    </row>
    <row r="7666" spans="12:29" x14ac:dyDescent="0.3">
      <c r="L7666" s="36"/>
      <c r="R7666" s="34"/>
      <c r="AC7666" s="36"/>
    </row>
    <row r="7667" spans="12:29" x14ac:dyDescent="0.3">
      <c r="L7667" s="36"/>
      <c r="R7667" s="34"/>
      <c r="AC7667" s="36"/>
    </row>
    <row r="7668" spans="12:29" x14ac:dyDescent="0.3">
      <c r="L7668" s="36"/>
      <c r="R7668" s="34"/>
      <c r="AC7668" s="36"/>
    </row>
    <row r="7669" spans="12:29" x14ac:dyDescent="0.3">
      <c r="L7669" s="36"/>
      <c r="R7669" s="34"/>
      <c r="AC7669" s="36"/>
    </row>
    <row r="7670" spans="12:29" x14ac:dyDescent="0.3">
      <c r="L7670" s="36"/>
      <c r="R7670" s="34"/>
      <c r="AC7670" s="36"/>
    </row>
    <row r="7671" spans="12:29" x14ac:dyDescent="0.3">
      <c r="L7671" s="36"/>
      <c r="R7671" s="34"/>
      <c r="AC7671" s="36"/>
    </row>
    <row r="7672" spans="12:29" x14ac:dyDescent="0.3">
      <c r="L7672" s="36"/>
      <c r="R7672" s="34"/>
      <c r="AC7672" s="36"/>
    </row>
    <row r="7673" spans="12:29" x14ac:dyDescent="0.3">
      <c r="L7673" s="36"/>
      <c r="R7673" s="34"/>
      <c r="AC7673" s="36"/>
    </row>
    <row r="7674" spans="12:29" x14ac:dyDescent="0.3">
      <c r="L7674" s="36"/>
      <c r="R7674" s="34"/>
      <c r="AC7674" s="36"/>
    </row>
    <row r="7675" spans="12:29" x14ac:dyDescent="0.3">
      <c r="L7675" s="36"/>
      <c r="R7675" s="34"/>
      <c r="AC7675" s="36"/>
    </row>
    <row r="7676" spans="12:29" x14ac:dyDescent="0.3">
      <c r="L7676" s="36"/>
      <c r="R7676" s="34"/>
      <c r="AC7676" s="36"/>
    </row>
    <row r="7677" spans="12:29" x14ac:dyDescent="0.3">
      <c r="L7677" s="36"/>
      <c r="R7677" s="34"/>
      <c r="AC7677" s="36"/>
    </row>
    <row r="7678" spans="12:29" x14ac:dyDescent="0.3">
      <c r="L7678" s="36"/>
      <c r="R7678" s="34"/>
      <c r="AC7678" s="36"/>
    </row>
    <row r="7679" spans="12:29" x14ac:dyDescent="0.3">
      <c r="L7679" s="36"/>
      <c r="R7679" s="34"/>
      <c r="AC7679" s="36"/>
    </row>
    <row r="7680" spans="12:29" x14ac:dyDescent="0.3">
      <c r="L7680" s="36"/>
      <c r="R7680" s="34"/>
      <c r="AC7680" s="36"/>
    </row>
    <row r="7681" spans="12:29" x14ac:dyDescent="0.3">
      <c r="L7681" s="36"/>
      <c r="R7681" s="34"/>
      <c r="AC7681" s="36"/>
    </row>
    <row r="7682" spans="12:29" x14ac:dyDescent="0.3">
      <c r="L7682" s="36"/>
      <c r="R7682" s="34"/>
      <c r="AC7682" s="36"/>
    </row>
    <row r="7683" spans="12:29" x14ac:dyDescent="0.3">
      <c r="L7683" s="36"/>
      <c r="R7683" s="34"/>
      <c r="AC7683" s="36"/>
    </row>
    <row r="7684" spans="12:29" x14ac:dyDescent="0.3">
      <c r="L7684" s="36"/>
      <c r="R7684" s="34"/>
      <c r="AC7684" s="36"/>
    </row>
    <row r="7685" spans="12:29" x14ac:dyDescent="0.3">
      <c r="L7685" s="36"/>
      <c r="R7685" s="34"/>
      <c r="AC7685" s="36"/>
    </row>
    <row r="7686" spans="12:29" x14ac:dyDescent="0.3">
      <c r="L7686" s="36"/>
      <c r="R7686" s="34"/>
      <c r="AC7686" s="36"/>
    </row>
    <row r="7687" spans="12:29" x14ac:dyDescent="0.3">
      <c r="L7687" s="36"/>
      <c r="R7687" s="34"/>
      <c r="AC7687" s="36"/>
    </row>
    <row r="7688" spans="12:29" x14ac:dyDescent="0.3">
      <c r="L7688" s="36"/>
      <c r="R7688" s="34"/>
      <c r="AC7688" s="36"/>
    </row>
    <row r="7689" spans="12:29" x14ac:dyDescent="0.3">
      <c r="L7689" s="36"/>
      <c r="R7689" s="34"/>
      <c r="AC7689" s="36"/>
    </row>
    <row r="7690" spans="12:29" x14ac:dyDescent="0.3">
      <c r="L7690" s="36"/>
      <c r="R7690" s="34"/>
      <c r="AC7690" s="36"/>
    </row>
    <row r="7691" spans="12:29" x14ac:dyDescent="0.3">
      <c r="L7691" s="36"/>
      <c r="R7691" s="34"/>
      <c r="AC7691" s="36"/>
    </row>
    <row r="7692" spans="12:29" x14ac:dyDescent="0.3">
      <c r="L7692" s="36"/>
      <c r="R7692" s="34"/>
      <c r="AC7692" s="36"/>
    </row>
    <row r="7693" spans="12:29" x14ac:dyDescent="0.3">
      <c r="L7693" s="36"/>
      <c r="R7693" s="34"/>
      <c r="AC7693" s="36"/>
    </row>
    <row r="7694" spans="12:29" x14ac:dyDescent="0.3">
      <c r="L7694" s="36"/>
      <c r="R7694" s="34"/>
      <c r="AC7694" s="36"/>
    </row>
    <row r="7695" spans="12:29" x14ac:dyDescent="0.3">
      <c r="L7695" s="36"/>
      <c r="R7695" s="34"/>
      <c r="AC7695" s="36"/>
    </row>
    <row r="7696" spans="12:29" x14ac:dyDescent="0.3">
      <c r="L7696" s="36"/>
      <c r="R7696" s="34"/>
      <c r="AC7696" s="36"/>
    </row>
    <row r="7697" spans="12:29" x14ac:dyDescent="0.3">
      <c r="L7697" s="36"/>
      <c r="R7697" s="34"/>
      <c r="AC7697" s="36"/>
    </row>
    <row r="7698" spans="12:29" x14ac:dyDescent="0.3">
      <c r="L7698" s="36"/>
      <c r="R7698" s="34"/>
      <c r="AC7698" s="36"/>
    </row>
    <row r="7699" spans="12:29" x14ac:dyDescent="0.3">
      <c r="L7699" s="36"/>
      <c r="R7699" s="34"/>
      <c r="AC7699" s="36"/>
    </row>
    <row r="7700" spans="12:29" x14ac:dyDescent="0.3">
      <c r="L7700" s="36"/>
      <c r="R7700" s="34"/>
      <c r="AC7700" s="36"/>
    </row>
    <row r="7701" spans="12:29" x14ac:dyDescent="0.3">
      <c r="L7701" s="36"/>
      <c r="R7701" s="34"/>
      <c r="AC7701" s="36"/>
    </row>
    <row r="7702" spans="12:29" x14ac:dyDescent="0.3">
      <c r="L7702" s="36"/>
      <c r="R7702" s="34"/>
      <c r="AC7702" s="36"/>
    </row>
    <row r="7703" spans="12:29" x14ac:dyDescent="0.3">
      <c r="L7703" s="36"/>
      <c r="R7703" s="34"/>
      <c r="AC7703" s="36"/>
    </row>
    <row r="7704" spans="12:29" x14ac:dyDescent="0.3">
      <c r="L7704" s="36"/>
      <c r="R7704" s="34"/>
      <c r="AC7704" s="36"/>
    </row>
    <row r="7705" spans="12:29" x14ac:dyDescent="0.3">
      <c r="L7705" s="36"/>
      <c r="R7705" s="34"/>
      <c r="AC7705" s="36"/>
    </row>
    <row r="7706" spans="12:29" x14ac:dyDescent="0.3">
      <c r="L7706" s="36"/>
      <c r="R7706" s="34"/>
      <c r="AC7706" s="36"/>
    </row>
    <row r="7707" spans="12:29" x14ac:dyDescent="0.3">
      <c r="L7707" s="36"/>
      <c r="R7707" s="34"/>
      <c r="AC7707" s="36"/>
    </row>
    <row r="7708" spans="12:29" x14ac:dyDescent="0.3">
      <c r="L7708" s="36"/>
      <c r="R7708" s="34"/>
      <c r="AC7708" s="36"/>
    </row>
    <row r="7709" spans="12:29" x14ac:dyDescent="0.3">
      <c r="L7709" s="36"/>
      <c r="R7709" s="34"/>
      <c r="AC7709" s="36"/>
    </row>
    <row r="7710" spans="12:29" x14ac:dyDescent="0.3">
      <c r="L7710" s="36"/>
      <c r="R7710" s="34"/>
      <c r="AC7710" s="36"/>
    </row>
    <row r="7711" spans="12:29" x14ac:dyDescent="0.3">
      <c r="L7711" s="36"/>
      <c r="R7711" s="34"/>
      <c r="AC7711" s="36"/>
    </row>
    <row r="7712" spans="12:29" x14ac:dyDescent="0.3">
      <c r="L7712" s="36"/>
      <c r="R7712" s="34"/>
      <c r="AC7712" s="36"/>
    </row>
    <row r="7713" spans="12:29" x14ac:dyDescent="0.3">
      <c r="L7713" s="36"/>
      <c r="R7713" s="34"/>
      <c r="AC7713" s="36"/>
    </row>
    <row r="7714" spans="12:29" x14ac:dyDescent="0.3">
      <c r="L7714" s="36"/>
      <c r="R7714" s="34"/>
      <c r="AC7714" s="36"/>
    </row>
    <row r="7715" spans="12:29" x14ac:dyDescent="0.3">
      <c r="L7715" s="36"/>
      <c r="R7715" s="34"/>
      <c r="AC7715" s="36"/>
    </row>
    <row r="7716" spans="12:29" x14ac:dyDescent="0.3">
      <c r="L7716" s="36"/>
      <c r="R7716" s="34"/>
      <c r="AC7716" s="36"/>
    </row>
    <row r="7717" spans="12:29" x14ac:dyDescent="0.3">
      <c r="L7717" s="36"/>
      <c r="R7717" s="34"/>
      <c r="AC7717" s="36"/>
    </row>
    <row r="7718" spans="12:29" x14ac:dyDescent="0.3">
      <c r="L7718" s="36"/>
      <c r="R7718" s="34"/>
      <c r="AC7718" s="36"/>
    </row>
    <row r="7719" spans="12:29" x14ac:dyDescent="0.3">
      <c r="L7719" s="36"/>
      <c r="R7719" s="34"/>
      <c r="AC7719" s="36"/>
    </row>
    <row r="7720" spans="12:29" x14ac:dyDescent="0.3">
      <c r="L7720" s="36"/>
      <c r="R7720" s="34"/>
      <c r="AC7720" s="36"/>
    </row>
    <row r="7721" spans="12:29" x14ac:dyDescent="0.3">
      <c r="L7721" s="36"/>
      <c r="R7721" s="34"/>
      <c r="AC7721" s="36"/>
    </row>
    <row r="7722" spans="12:29" x14ac:dyDescent="0.3">
      <c r="L7722" s="36"/>
      <c r="R7722" s="34"/>
      <c r="AC7722" s="36"/>
    </row>
    <row r="7723" spans="12:29" x14ac:dyDescent="0.3">
      <c r="L7723" s="36"/>
      <c r="R7723" s="34"/>
      <c r="AC7723" s="36"/>
    </row>
    <row r="7724" spans="12:29" x14ac:dyDescent="0.3">
      <c r="L7724" s="36"/>
      <c r="R7724" s="34"/>
      <c r="AC7724" s="36"/>
    </row>
    <row r="7725" spans="12:29" x14ac:dyDescent="0.3">
      <c r="L7725" s="36"/>
      <c r="R7725" s="34"/>
      <c r="AC7725" s="36"/>
    </row>
    <row r="7726" spans="12:29" x14ac:dyDescent="0.3">
      <c r="L7726" s="36"/>
      <c r="R7726" s="34"/>
      <c r="AC7726" s="36"/>
    </row>
    <row r="7727" spans="12:29" x14ac:dyDescent="0.3">
      <c r="L7727" s="36"/>
      <c r="R7727" s="34"/>
      <c r="AC7727" s="36"/>
    </row>
    <row r="7728" spans="12:29" x14ac:dyDescent="0.3">
      <c r="L7728" s="36"/>
      <c r="R7728" s="34"/>
      <c r="AC7728" s="36"/>
    </row>
    <row r="7729" spans="12:29" x14ac:dyDescent="0.3">
      <c r="L7729" s="36"/>
      <c r="R7729" s="34"/>
      <c r="AC7729" s="36"/>
    </row>
    <row r="7730" spans="12:29" x14ac:dyDescent="0.3">
      <c r="L7730" s="36"/>
      <c r="R7730" s="34"/>
      <c r="AC7730" s="36"/>
    </row>
    <row r="7731" spans="12:29" x14ac:dyDescent="0.3">
      <c r="L7731" s="36"/>
      <c r="R7731" s="34"/>
      <c r="AC7731" s="36"/>
    </row>
    <row r="7732" spans="12:29" x14ac:dyDescent="0.3">
      <c r="L7732" s="36"/>
      <c r="R7732" s="34"/>
      <c r="AC7732" s="36"/>
    </row>
    <row r="7733" spans="12:29" x14ac:dyDescent="0.3">
      <c r="L7733" s="36"/>
      <c r="R7733" s="34"/>
      <c r="AC7733" s="36"/>
    </row>
    <row r="7734" spans="12:29" x14ac:dyDescent="0.3">
      <c r="L7734" s="36"/>
      <c r="R7734" s="34"/>
      <c r="AC7734" s="36"/>
    </row>
    <row r="7735" spans="12:29" x14ac:dyDescent="0.3">
      <c r="L7735" s="36"/>
      <c r="R7735" s="34"/>
      <c r="AC7735" s="36"/>
    </row>
    <row r="7736" spans="12:29" x14ac:dyDescent="0.3">
      <c r="L7736" s="36"/>
      <c r="R7736" s="34"/>
      <c r="AC7736" s="36"/>
    </row>
    <row r="7737" spans="12:29" x14ac:dyDescent="0.3">
      <c r="L7737" s="36"/>
      <c r="R7737" s="34"/>
      <c r="AC7737" s="36"/>
    </row>
    <row r="7738" spans="12:29" x14ac:dyDescent="0.3">
      <c r="L7738" s="36"/>
      <c r="R7738" s="34"/>
      <c r="AC7738" s="36"/>
    </row>
    <row r="7739" spans="12:29" x14ac:dyDescent="0.3">
      <c r="L7739" s="36"/>
      <c r="R7739" s="34"/>
      <c r="AC7739" s="36"/>
    </row>
    <row r="7740" spans="12:29" x14ac:dyDescent="0.3">
      <c r="L7740" s="36"/>
      <c r="R7740" s="34"/>
      <c r="AC7740" s="36"/>
    </row>
    <row r="7741" spans="12:29" x14ac:dyDescent="0.3">
      <c r="L7741" s="36"/>
      <c r="R7741" s="34"/>
      <c r="AC7741" s="36"/>
    </row>
    <row r="7742" spans="12:29" x14ac:dyDescent="0.3">
      <c r="L7742" s="36"/>
      <c r="R7742" s="34"/>
      <c r="AC7742" s="36"/>
    </row>
    <row r="7743" spans="12:29" x14ac:dyDescent="0.3">
      <c r="L7743" s="36"/>
      <c r="R7743" s="34"/>
      <c r="AC7743" s="36"/>
    </row>
    <row r="7744" spans="12:29" x14ac:dyDescent="0.3">
      <c r="L7744" s="36"/>
      <c r="R7744" s="34"/>
      <c r="AC7744" s="36"/>
    </row>
    <row r="7745" spans="12:29" x14ac:dyDescent="0.3">
      <c r="L7745" s="36"/>
      <c r="R7745" s="34"/>
      <c r="AC7745" s="36"/>
    </row>
    <row r="7746" spans="12:29" x14ac:dyDescent="0.3">
      <c r="L7746" s="36"/>
      <c r="R7746" s="34"/>
      <c r="AC7746" s="36"/>
    </row>
    <row r="7747" spans="12:29" x14ac:dyDescent="0.3">
      <c r="L7747" s="36"/>
      <c r="R7747" s="34"/>
      <c r="AC7747" s="36"/>
    </row>
    <row r="7748" spans="12:29" x14ac:dyDescent="0.3">
      <c r="L7748" s="36"/>
      <c r="R7748" s="34"/>
      <c r="AC7748" s="36"/>
    </row>
    <row r="7749" spans="12:29" x14ac:dyDescent="0.3">
      <c r="L7749" s="36"/>
      <c r="R7749" s="34"/>
      <c r="AC7749" s="36"/>
    </row>
    <row r="7750" spans="12:29" x14ac:dyDescent="0.3">
      <c r="L7750" s="36"/>
      <c r="R7750" s="34"/>
      <c r="AC7750" s="36"/>
    </row>
    <row r="7751" spans="12:29" x14ac:dyDescent="0.3">
      <c r="L7751" s="36"/>
      <c r="R7751" s="34"/>
      <c r="AC7751" s="36"/>
    </row>
    <row r="7752" spans="12:29" x14ac:dyDescent="0.3">
      <c r="L7752" s="36"/>
      <c r="R7752" s="34"/>
      <c r="AC7752" s="36"/>
    </row>
    <row r="7753" spans="12:29" x14ac:dyDescent="0.3">
      <c r="L7753" s="36"/>
      <c r="R7753" s="34"/>
      <c r="AC7753" s="36"/>
    </row>
    <row r="7754" spans="12:29" x14ac:dyDescent="0.3">
      <c r="L7754" s="36"/>
      <c r="R7754" s="34"/>
      <c r="AC7754" s="36"/>
    </row>
    <row r="7755" spans="12:29" x14ac:dyDescent="0.3">
      <c r="L7755" s="36"/>
      <c r="R7755" s="34"/>
      <c r="AC7755" s="36"/>
    </row>
    <row r="7756" spans="12:29" x14ac:dyDescent="0.3">
      <c r="L7756" s="36"/>
      <c r="R7756" s="34"/>
      <c r="AC7756" s="36"/>
    </row>
    <row r="7757" spans="12:29" x14ac:dyDescent="0.3">
      <c r="L7757" s="36"/>
      <c r="R7757" s="34"/>
      <c r="AC7757" s="36"/>
    </row>
    <row r="7758" spans="12:29" x14ac:dyDescent="0.3">
      <c r="L7758" s="36"/>
      <c r="R7758" s="34"/>
      <c r="AC7758" s="36"/>
    </row>
    <row r="7759" spans="12:29" x14ac:dyDescent="0.3">
      <c r="L7759" s="36"/>
      <c r="R7759" s="34"/>
      <c r="AC7759" s="36"/>
    </row>
    <row r="7760" spans="12:29" x14ac:dyDescent="0.3">
      <c r="L7760" s="36"/>
      <c r="R7760" s="34"/>
      <c r="AC7760" s="36"/>
    </row>
    <row r="7761" spans="12:29" x14ac:dyDescent="0.3">
      <c r="L7761" s="36"/>
      <c r="R7761" s="34"/>
      <c r="AC7761" s="36"/>
    </row>
    <row r="7762" spans="12:29" x14ac:dyDescent="0.3">
      <c r="L7762" s="36"/>
      <c r="R7762" s="34"/>
      <c r="AC7762" s="36"/>
    </row>
    <row r="7763" spans="12:29" x14ac:dyDescent="0.3">
      <c r="L7763" s="36"/>
      <c r="R7763" s="34"/>
      <c r="AC7763" s="36"/>
    </row>
    <row r="7764" spans="12:29" x14ac:dyDescent="0.3">
      <c r="L7764" s="36"/>
      <c r="R7764" s="34"/>
      <c r="AC7764" s="36"/>
    </row>
    <row r="7765" spans="12:29" x14ac:dyDescent="0.3">
      <c r="L7765" s="36"/>
      <c r="R7765" s="34"/>
      <c r="AC7765" s="36"/>
    </row>
    <row r="7766" spans="12:29" x14ac:dyDescent="0.3">
      <c r="L7766" s="36"/>
      <c r="R7766" s="34"/>
      <c r="AC7766" s="36"/>
    </row>
    <row r="7767" spans="12:29" x14ac:dyDescent="0.3">
      <c r="L7767" s="36"/>
      <c r="R7767" s="34"/>
      <c r="AC7767" s="36"/>
    </row>
    <row r="7768" spans="12:29" x14ac:dyDescent="0.3">
      <c r="L7768" s="36"/>
      <c r="R7768" s="34"/>
      <c r="AC7768" s="36"/>
    </row>
    <row r="7769" spans="12:29" x14ac:dyDescent="0.3">
      <c r="L7769" s="36"/>
      <c r="R7769" s="34"/>
      <c r="AC7769" s="36"/>
    </row>
    <row r="7770" spans="12:29" x14ac:dyDescent="0.3">
      <c r="L7770" s="36"/>
      <c r="R7770" s="34"/>
      <c r="AC7770" s="36"/>
    </row>
    <row r="7771" spans="12:29" x14ac:dyDescent="0.3">
      <c r="L7771" s="36"/>
      <c r="R7771" s="34"/>
      <c r="AC7771" s="36"/>
    </row>
    <row r="7772" spans="12:29" x14ac:dyDescent="0.3">
      <c r="L7772" s="36"/>
      <c r="R7772" s="34"/>
      <c r="AC7772" s="36"/>
    </row>
    <row r="7773" spans="12:29" x14ac:dyDescent="0.3">
      <c r="L7773" s="36"/>
      <c r="R7773" s="34"/>
      <c r="AC7773" s="36"/>
    </row>
    <row r="7774" spans="12:29" x14ac:dyDescent="0.3">
      <c r="L7774" s="36"/>
      <c r="R7774" s="34"/>
      <c r="AC7774" s="36"/>
    </row>
    <row r="7775" spans="12:29" x14ac:dyDescent="0.3">
      <c r="L7775" s="36"/>
      <c r="R7775" s="34"/>
      <c r="AC7775" s="36"/>
    </row>
    <row r="7776" spans="12:29" x14ac:dyDescent="0.3">
      <c r="L7776" s="36"/>
      <c r="R7776" s="34"/>
      <c r="AC7776" s="36"/>
    </row>
    <row r="7777" spans="12:29" x14ac:dyDescent="0.3">
      <c r="L7777" s="36"/>
      <c r="R7777" s="34"/>
      <c r="AC7777" s="36"/>
    </row>
    <row r="7778" spans="12:29" x14ac:dyDescent="0.3">
      <c r="L7778" s="36"/>
      <c r="R7778" s="34"/>
      <c r="AC7778" s="36"/>
    </row>
    <row r="7779" spans="12:29" x14ac:dyDescent="0.3">
      <c r="L7779" s="36"/>
      <c r="R7779" s="34"/>
      <c r="AC7779" s="36"/>
    </row>
    <row r="7780" spans="12:29" x14ac:dyDescent="0.3">
      <c r="L7780" s="36"/>
      <c r="R7780" s="34"/>
      <c r="AC7780" s="36"/>
    </row>
    <row r="7781" spans="12:29" x14ac:dyDescent="0.3">
      <c r="L7781" s="36"/>
      <c r="R7781" s="34"/>
      <c r="AC7781" s="36"/>
    </row>
    <row r="7782" spans="12:29" x14ac:dyDescent="0.3">
      <c r="L7782" s="36"/>
      <c r="R7782" s="34"/>
      <c r="AC7782" s="36"/>
    </row>
    <row r="7783" spans="12:29" x14ac:dyDescent="0.3">
      <c r="L7783" s="36"/>
      <c r="R7783" s="34"/>
      <c r="AC7783" s="36"/>
    </row>
    <row r="7784" spans="12:29" x14ac:dyDescent="0.3">
      <c r="L7784" s="36"/>
      <c r="R7784" s="34"/>
      <c r="AC7784" s="36"/>
    </row>
    <row r="7785" spans="12:29" x14ac:dyDescent="0.3">
      <c r="L7785" s="36"/>
      <c r="R7785" s="34"/>
      <c r="AC7785" s="36"/>
    </row>
    <row r="7786" spans="12:29" x14ac:dyDescent="0.3">
      <c r="L7786" s="36"/>
      <c r="R7786" s="34"/>
      <c r="AC7786" s="36"/>
    </row>
    <row r="7787" spans="12:29" x14ac:dyDescent="0.3">
      <c r="L7787" s="36"/>
      <c r="R7787" s="34"/>
      <c r="AC7787" s="36"/>
    </row>
    <row r="7788" spans="12:29" x14ac:dyDescent="0.3">
      <c r="L7788" s="36"/>
      <c r="R7788" s="34"/>
      <c r="AC7788" s="36"/>
    </row>
    <row r="7789" spans="12:29" x14ac:dyDescent="0.3">
      <c r="L7789" s="36"/>
      <c r="R7789" s="34"/>
      <c r="AC7789" s="36"/>
    </row>
    <row r="7790" spans="12:29" x14ac:dyDescent="0.3">
      <c r="L7790" s="36"/>
      <c r="R7790" s="34"/>
      <c r="AC7790" s="36"/>
    </row>
    <row r="7791" spans="12:29" x14ac:dyDescent="0.3">
      <c r="L7791" s="36"/>
      <c r="R7791" s="34"/>
      <c r="AC7791" s="36"/>
    </row>
    <row r="7792" spans="12:29" x14ac:dyDescent="0.3">
      <c r="L7792" s="36"/>
      <c r="R7792" s="34"/>
      <c r="AC7792" s="36"/>
    </row>
    <row r="7793" spans="12:29" x14ac:dyDescent="0.3">
      <c r="L7793" s="36"/>
      <c r="R7793" s="34"/>
      <c r="AC7793" s="36"/>
    </row>
    <row r="7794" spans="12:29" x14ac:dyDescent="0.3">
      <c r="L7794" s="36"/>
      <c r="R7794" s="34"/>
      <c r="AC7794" s="36"/>
    </row>
    <row r="7795" spans="12:29" x14ac:dyDescent="0.3">
      <c r="L7795" s="36"/>
      <c r="R7795" s="34"/>
      <c r="AC7795" s="36"/>
    </row>
    <row r="7796" spans="12:29" x14ac:dyDescent="0.3">
      <c r="L7796" s="36"/>
      <c r="R7796" s="34"/>
      <c r="AC7796" s="36"/>
    </row>
    <row r="7797" spans="12:29" x14ac:dyDescent="0.3">
      <c r="L7797" s="36"/>
      <c r="R7797" s="34"/>
      <c r="AC7797" s="36"/>
    </row>
    <row r="7798" spans="12:29" x14ac:dyDescent="0.3">
      <c r="L7798" s="36"/>
      <c r="R7798" s="34"/>
      <c r="AC7798" s="36"/>
    </row>
    <row r="7799" spans="12:29" x14ac:dyDescent="0.3">
      <c r="L7799" s="36"/>
      <c r="R7799" s="34"/>
      <c r="AC7799" s="36"/>
    </row>
    <row r="7800" spans="12:29" x14ac:dyDescent="0.3">
      <c r="L7800" s="36"/>
      <c r="R7800" s="34"/>
      <c r="AC7800" s="36"/>
    </row>
    <row r="7801" spans="12:29" x14ac:dyDescent="0.3">
      <c r="L7801" s="36"/>
      <c r="R7801" s="34"/>
      <c r="AC7801" s="36"/>
    </row>
    <row r="7802" spans="12:29" x14ac:dyDescent="0.3">
      <c r="L7802" s="36"/>
      <c r="R7802" s="34"/>
      <c r="AC7802" s="36"/>
    </row>
    <row r="7803" spans="12:29" x14ac:dyDescent="0.3">
      <c r="L7803" s="36"/>
      <c r="R7803" s="34"/>
      <c r="AC7803" s="36"/>
    </row>
    <row r="7804" spans="12:29" x14ac:dyDescent="0.3">
      <c r="L7804" s="36"/>
      <c r="R7804" s="34"/>
      <c r="AC7804" s="36"/>
    </row>
    <row r="7805" spans="12:29" x14ac:dyDescent="0.3">
      <c r="L7805" s="36"/>
      <c r="R7805" s="34"/>
      <c r="AC7805" s="36"/>
    </row>
    <row r="7806" spans="12:29" x14ac:dyDescent="0.3">
      <c r="L7806" s="36"/>
      <c r="R7806" s="34"/>
      <c r="AC7806" s="36"/>
    </row>
    <row r="7807" spans="12:29" x14ac:dyDescent="0.3">
      <c r="L7807" s="36"/>
      <c r="R7807" s="34"/>
      <c r="AC7807" s="36"/>
    </row>
    <row r="7808" spans="12:29" x14ac:dyDescent="0.3">
      <c r="L7808" s="36"/>
      <c r="R7808" s="34"/>
      <c r="AC7808" s="36"/>
    </row>
    <row r="7809" spans="12:29" x14ac:dyDescent="0.3">
      <c r="L7809" s="36"/>
      <c r="R7809" s="34"/>
      <c r="AC7809" s="36"/>
    </row>
    <row r="7810" spans="12:29" x14ac:dyDescent="0.3">
      <c r="L7810" s="36"/>
      <c r="R7810" s="34"/>
      <c r="AC7810" s="36"/>
    </row>
    <row r="7811" spans="12:29" x14ac:dyDescent="0.3">
      <c r="L7811" s="36"/>
      <c r="R7811" s="34"/>
      <c r="AC7811" s="36"/>
    </row>
    <row r="7812" spans="12:29" x14ac:dyDescent="0.3">
      <c r="L7812" s="36"/>
      <c r="R7812" s="34"/>
      <c r="AC7812" s="36"/>
    </row>
    <row r="7813" spans="12:29" x14ac:dyDescent="0.3">
      <c r="L7813" s="36"/>
      <c r="R7813" s="34"/>
      <c r="AC7813" s="36"/>
    </row>
    <row r="7814" spans="12:29" x14ac:dyDescent="0.3">
      <c r="L7814" s="36"/>
      <c r="R7814" s="34"/>
      <c r="AC7814" s="36"/>
    </row>
    <row r="7815" spans="12:29" x14ac:dyDescent="0.3">
      <c r="L7815" s="36"/>
      <c r="R7815" s="34"/>
      <c r="AC7815" s="36"/>
    </row>
    <row r="7816" spans="12:29" x14ac:dyDescent="0.3">
      <c r="L7816" s="36"/>
      <c r="R7816" s="34"/>
      <c r="AC7816" s="36"/>
    </row>
    <row r="7817" spans="12:29" x14ac:dyDescent="0.3">
      <c r="L7817" s="36"/>
      <c r="R7817" s="34"/>
      <c r="AC7817" s="36"/>
    </row>
    <row r="7818" spans="12:29" x14ac:dyDescent="0.3">
      <c r="L7818" s="36"/>
      <c r="R7818" s="34"/>
      <c r="AC7818" s="36"/>
    </row>
    <row r="7819" spans="12:29" x14ac:dyDescent="0.3">
      <c r="L7819" s="36"/>
      <c r="R7819" s="34"/>
      <c r="AC7819" s="36"/>
    </row>
    <row r="7820" spans="12:29" x14ac:dyDescent="0.3">
      <c r="L7820" s="36"/>
      <c r="R7820" s="34"/>
      <c r="AC7820" s="36"/>
    </row>
    <row r="7821" spans="12:29" x14ac:dyDescent="0.3">
      <c r="L7821" s="36"/>
      <c r="R7821" s="34"/>
      <c r="AC7821" s="36"/>
    </row>
    <row r="7822" spans="12:29" x14ac:dyDescent="0.3">
      <c r="L7822" s="36"/>
      <c r="R7822" s="34"/>
      <c r="AC7822" s="36"/>
    </row>
    <row r="7823" spans="12:29" x14ac:dyDescent="0.3">
      <c r="L7823" s="36"/>
      <c r="R7823" s="34"/>
      <c r="AC7823" s="36"/>
    </row>
    <row r="7824" spans="12:29" x14ac:dyDescent="0.3">
      <c r="L7824" s="36"/>
      <c r="R7824" s="34"/>
      <c r="AC7824" s="36"/>
    </row>
    <row r="7825" spans="12:29" x14ac:dyDescent="0.3">
      <c r="L7825" s="36"/>
      <c r="R7825" s="34"/>
      <c r="AC7825" s="36"/>
    </row>
    <row r="7826" spans="12:29" x14ac:dyDescent="0.3">
      <c r="L7826" s="36"/>
      <c r="R7826" s="34"/>
      <c r="AC7826" s="36"/>
    </row>
    <row r="7827" spans="12:29" x14ac:dyDescent="0.3">
      <c r="L7827" s="36"/>
      <c r="R7827" s="34"/>
      <c r="AC7827" s="36"/>
    </row>
    <row r="7828" spans="12:29" x14ac:dyDescent="0.3">
      <c r="L7828" s="36"/>
      <c r="R7828" s="34"/>
      <c r="AC7828" s="36"/>
    </row>
    <row r="7829" spans="12:29" x14ac:dyDescent="0.3">
      <c r="L7829" s="36"/>
      <c r="R7829" s="34"/>
      <c r="AC7829" s="36"/>
    </row>
    <row r="7830" spans="12:29" x14ac:dyDescent="0.3">
      <c r="L7830" s="36"/>
      <c r="R7830" s="34"/>
      <c r="AC7830" s="36"/>
    </row>
    <row r="7831" spans="12:29" x14ac:dyDescent="0.3">
      <c r="L7831" s="36"/>
      <c r="R7831" s="34"/>
      <c r="AC7831" s="36"/>
    </row>
    <row r="7832" spans="12:29" x14ac:dyDescent="0.3">
      <c r="L7832" s="36"/>
      <c r="R7832" s="34"/>
      <c r="AC7832" s="36"/>
    </row>
    <row r="7833" spans="12:29" x14ac:dyDescent="0.3">
      <c r="L7833" s="36"/>
      <c r="R7833" s="34"/>
      <c r="AC7833" s="36"/>
    </row>
    <row r="7834" spans="12:29" x14ac:dyDescent="0.3">
      <c r="L7834" s="36"/>
      <c r="R7834" s="34"/>
      <c r="AC7834" s="36"/>
    </row>
    <row r="7835" spans="12:29" x14ac:dyDescent="0.3">
      <c r="L7835" s="36"/>
      <c r="R7835" s="34"/>
      <c r="AC7835" s="36"/>
    </row>
    <row r="7836" spans="12:29" x14ac:dyDescent="0.3">
      <c r="L7836" s="36"/>
      <c r="R7836" s="34"/>
      <c r="AC7836" s="36"/>
    </row>
    <row r="7837" spans="12:29" x14ac:dyDescent="0.3">
      <c r="L7837" s="36"/>
      <c r="R7837" s="34"/>
      <c r="AC7837" s="36"/>
    </row>
    <row r="7838" spans="12:29" x14ac:dyDescent="0.3">
      <c r="L7838" s="36"/>
      <c r="R7838" s="34"/>
      <c r="AC7838" s="36"/>
    </row>
    <row r="7839" spans="12:29" x14ac:dyDescent="0.3">
      <c r="L7839" s="36"/>
      <c r="R7839" s="34"/>
      <c r="AC7839" s="36"/>
    </row>
    <row r="7840" spans="12:29" x14ac:dyDescent="0.3">
      <c r="L7840" s="36"/>
      <c r="R7840" s="34"/>
      <c r="AC7840" s="36"/>
    </row>
    <row r="7841" spans="12:29" x14ac:dyDescent="0.3">
      <c r="L7841" s="36"/>
      <c r="R7841" s="34"/>
      <c r="AC7841" s="36"/>
    </row>
    <row r="7842" spans="12:29" x14ac:dyDescent="0.3">
      <c r="L7842" s="36"/>
      <c r="R7842" s="34"/>
      <c r="AC7842" s="36"/>
    </row>
    <row r="7843" spans="12:29" x14ac:dyDescent="0.3">
      <c r="L7843" s="36"/>
      <c r="R7843" s="34"/>
      <c r="AC7843" s="36"/>
    </row>
    <row r="7844" spans="12:29" x14ac:dyDescent="0.3">
      <c r="L7844" s="36"/>
      <c r="R7844" s="34"/>
      <c r="AC7844" s="36"/>
    </row>
    <row r="7845" spans="12:29" x14ac:dyDescent="0.3">
      <c r="L7845" s="36"/>
      <c r="R7845" s="34"/>
      <c r="AC7845" s="36"/>
    </row>
    <row r="7846" spans="12:29" x14ac:dyDescent="0.3">
      <c r="L7846" s="36"/>
      <c r="R7846" s="34"/>
      <c r="AC7846" s="36"/>
    </row>
    <row r="7847" spans="12:29" x14ac:dyDescent="0.3">
      <c r="L7847" s="36"/>
      <c r="R7847" s="34"/>
      <c r="AC7847" s="36"/>
    </row>
    <row r="7848" spans="12:29" x14ac:dyDescent="0.3">
      <c r="L7848" s="36"/>
      <c r="R7848" s="34"/>
      <c r="AC7848" s="36"/>
    </row>
    <row r="7849" spans="12:29" x14ac:dyDescent="0.3">
      <c r="L7849" s="36"/>
      <c r="R7849" s="34"/>
      <c r="AC7849" s="36"/>
    </row>
    <row r="7850" spans="12:29" x14ac:dyDescent="0.3">
      <c r="L7850" s="36"/>
      <c r="R7850" s="34"/>
      <c r="AC7850" s="36"/>
    </row>
    <row r="7851" spans="12:29" x14ac:dyDescent="0.3">
      <c r="L7851" s="36"/>
      <c r="R7851" s="34"/>
      <c r="AC7851" s="36"/>
    </row>
    <row r="7852" spans="12:29" x14ac:dyDescent="0.3">
      <c r="L7852" s="36"/>
      <c r="R7852" s="34"/>
      <c r="AC7852" s="36"/>
    </row>
    <row r="7853" spans="12:29" x14ac:dyDescent="0.3">
      <c r="L7853" s="36"/>
      <c r="R7853" s="34"/>
      <c r="AC7853" s="36"/>
    </row>
    <row r="7854" spans="12:29" x14ac:dyDescent="0.3">
      <c r="L7854" s="36"/>
      <c r="R7854" s="34"/>
      <c r="AC7854" s="36"/>
    </row>
    <row r="7855" spans="12:29" x14ac:dyDescent="0.3">
      <c r="L7855" s="36"/>
      <c r="R7855" s="34"/>
      <c r="AC7855" s="36"/>
    </row>
    <row r="7856" spans="12:29" x14ac:dyDescent="0.3">
      <c r="L7856" s="36"/>
      <c r="R7856" s="34"/>
      <c r="AC7856" s="36"/>
    </row>
    <row r="7857" spans="12:29" x14ac:dyDescent="0.3">
      <c r="L7857" s="36"/>
      <c r="R7857" s="34"/>
      <c r="AC7857" s="36"/>
    </row>
    <row r="7858" spans="12:29" x14ac:dyDescent="0.3">
      <c r="L7858" s="36"/>
      <c r="R7858" s="34"/>
      <c r="AC7858" s="36"/>
    </row>
    <row r="7859" spans="12:29" x14ac:dyDescent="0.3">
      <c r="L7859" s="36"/>
      <c r="R7859" s="34"/>
      <c r="AC7859" s="36"/>
    </row>
    <row r="7860" spans="12:29" x14ac:dyDescent="0.3">
      <c r="L7860" s="36"/>
      <c r="R7860" s="34"/>
      <c r="AC7860" s="36"/>
    </row>
    <row r="7861" spans="12:29" x14ac:dyDescent="0.3">
      <c r="L7861" s="36"/>
      <c r="R7861" s="34"/>
      <c r="AC7861" s="36"/>
    </row>
    <row r="7862" spans="12:29" x14ac:dyDescent="0.3">
      <c r="L7862" s="36"/>
      <c r="R7862" s="34"/>
      <c r="AC7862" s="36"/>
    </row>
    <row r="7863" spans="12:29" x14ac:dyDescent="0.3">
      <c r="L7863" s="36"/>
      <c r="R7863" s="34"/>
      <c r="AC7863" s="36"/>
    </row>
    <row r="7864" spans="12:29" x14ac:dyDescent="0.3">
      <c r="L7864" s="36"/>
      <c r="R7864" s="34"/>
      <c r="AC7864" s="36"/>
    </row>
    <row r="7865" spans="12:29" x14ac:dyDescent="0.3">
      <c r="L7865" s="36"/>
      <c r="R7865" s="34"/>
      <c r="AC7865" s="36"/>
    </row>
    <row r="7866" spans="12:29" x14ac:dyDescent="0.3">
      <c r="L7866" s="36"/>
      <c r="R7866" s="34"/>
      <c r="AC7866" s="36"/>
    </row>
    <row r="7867" spans="12:29" x14ac:dyDescent="0.3">
      <c r="L7867" s="36"/>
      <c r="R7867" s="34"/>
      <c r="AC7867" s="36"/>
    </row>
    <row r="7868" spans="12:29" x14ac:dyDescent="0.3">
      <c r="L7868" s="36"/>
      <c r="R7868" s="34"/>
      <c r="AC7868" s="36"/>
    </row>
    <row r="7869" spans="12:29" x14ac:dyDescent="0.3">
      <c r="L7869" s="36"/>
      <c r="R7869" s="34"/>
      <c r="AC7869" s="36"/>
    </row>
    <row r="7870" spans="12:29" x14ac:dyDescent="0.3">
      <c r="L7870" s="36"/>
      <c r="R7870" s="34"/>
      <c r="AC7870" s="36"/>
    </row>
    <row r="7871" spans="12:29" x14ac:dyDescent="0.3">
      <c r="L7871" s="36"/>
      <c r="R7871" s="34"/>
      <c r="AC7871" s="36"/>
    </row>
    <row r="7872" spans="12:29" x14ac:dyDescent="0.3">
      <c r="L7872" s="36"/>
      <c r="R7872" s="34"/>
      <c r="AC7872" s="36"/>
    </row>
    <row r="7873" spans="12:29" x14ac:dyDescent="0.3">
      <c r="L7873" s="36"/>
      <c r="R7873" s="34"/>
      <c r="AC7873" s="36"/>
    </row>
    <row r="7874" spans="12:29" x14ac:dyDescent="0.3">
      <c r="L7874" s="36"/>
      <c r="R7874" s="34"/>
      <c r="AC7874" s="36"/>
    </row>
    <row r="7875" spans="12:29" x14ac:dyDescent="0.3">
      <c r="L7875" s="36"/>
      <c r="R7875" s="34"/>
      <c r="AC7875" s="36"/>
    </row>
    <row r="7876" spans="12:29" x14ac:dyDescent="0.3">
      <c r="L7876" s="36"/>
      <c r="R7876" s="34"/>
      <c r="AC7876" s="36"/>
    </row>
    <row r="7877" spans="12:29" x14ac:dyDescent="0.3">
      <c r="L7877" s="36"/>
      <c r="R7877" s="34"/>
      <c r="AC7877" s="36"/>
    </row>
    <row r="7878" spans="12:29" x14ac:dyDescent="0.3">
      <c r="L7878" s="36"/>
      <c r="R7878" s="34"/>
      <c r="AC7878" s="36"/>
    </row>
    <row r="7879" spans="12:29" x14ac:dyDescent="0.3">
      <c r="L7879" s="36"/>
      <c r="R7879" s="34"/>
      <c r="AC7879" s="36"/>
    </row>
    <row r="7880" spans="12:29" x14ac:dyDescent="0.3">
      <c r="L7880" s="36"/>
      <c r="R7880" s="34"/>
      <c r="AC7880" s="36"/>
    </row>
    <row r="7881" spans="12:29" x14ac:dyDescent="0.3">
      <c r="L7881" s="36"/>
      <c r="R7881" s="34"/>
      <c r="AC7881" s="36"/>
    </row>
    <row r="7882" spans="12:29" x14ac:dyDescent="0.3">
      <c r="L7882" s="36"/>
      <c r="R7882" s="34"/>
      <c r="AC7882" s="36"/>
    </row>
    <row r="7883" spans="12:29" x14ac:dyDescent="0.3">
      <c r="L7883" s="36"/>
      <c r="R7883" s="34"/>
      <c r="AC7883" s="36"/>
    </row>
    <row r="7884" spans="12:29" x14ac:dyDescent="0.3">
      <c r="L7884" s="36"/>
      <c r="R7884" s="34"/>
      <c r="AC7884" s="36"/>
    </row>
    <row r="7885" spans="12:29" x14ac:dyDescent="0.3">
      <c r="L7885" s="36"/>
      <c r="R7885" s="34"/>
      <c r="AC7885" s="36"/>
    </row>
    <row r="7886" spans="12:29" x14ac:dyDescent="0.3">
      <c r="L7886" s="36"/>
      <c r="R7886" s="34"/>
      <c r="AC7886" s="36"/>
    </row>
    <row r="7887" spans="12:29" x14ac:dyDescent="0.3">
      <c r="L7887" s="36"/>
      <c r="R7887" s="34"/>
      <c r="AC7887" s="36"/>
    </row>
    <row r="7888" spans="12:29" x14ac:dyDescent="0.3">
      <c r="L7888" s="36"/>
      <c r="R7888" s="34"/>
      <c r="AC7888" s="36"/>
    </row>
    <row r="7889" spans="12:29" x14ac:dyDescent="0.3">
      <c r="L7889" s="36"/>
      <c r="R7889" s="34"/>
      <c r="AC7889" s="36"/>
    </row>
    <row r="7890" spans="12:29" x14ac:dyDescent="0.3">
      <c r="L7890" s="36"/>
      <c r="R7890" s="34"/>
      <c r="AC7890" s="36"/>
    </row>
    <row r="7891" spans="12:29" x14ac:dyDescent="0.3">
      <c r="L7891" s="36"/>
      <c r="R7891" s="34"/>
      <c r="AC7891" s="36"/>
    </row>
    <row r="7892" spans="12:29" x14ac:dyDescent="0.3">
      <c r="L7892" s="36"/>
      <c r="R7892" s="34"/>
      <c r="AC7892" s="36"/>
    </row>
    <row r="7893" spans="12:29" x14ac:dyDescent="0.3">
      <c r="L7893" s="36"/>
      <c r="R7893" s="34"/>
      <c r="AC7893" s="36"/>
    </row>
    <row r="7894" spans="12:29" x14ac:dyDescent="0.3">
      <c r="L7894" s="36"/>
      <c r="R7894" s="34"/>
      <c r="AC7894" s="36"/>
    </row>
    <row r="7895" spans="12:29" x14ac:dyDescent="0.3">
      <c r="L7895" s="36"/>
      <c r="R7895" s="34"/>
      <c r="AC7895" s="36"/>
    </row>
    <row r="7896" spans="12:29" x14ac:dyDescent="0.3">
      <c r="L7896" s="36"/>
      <c r="R7896" s="34"/>
      <c r="AC7896" s="36"/>
    </row>
    <row r="7897" spans="12:29" x14ac:dyDescent="0.3">
      <c r="L7897" s="36"/>
      <c r="R7897" s="34"/>
      <c r="AC7897" s="36"/>
    </row>
    <row r="7898" spans="12:29" x14ac:dyDescent="0.3">
      <c r="L7898" s="36"/>
      <c r="R7898" s="34"/>
      <c r="AC7898" s="36"/>
    </row>
    <row r="7899" spans="12:29" x14ac:dyDescent="0.3">
      <c r="L7899" s="36"/>
      <c r="R7899" s="34"/>
      <c r="AC7899" s="36"/>
    </row>
    <row r="7900" spans="12:29" x14ac:dyDescent="0.3">
      <c r="L7900" s="36"/>
      <c r="R7900" s="34"/>
      <c r="AC7900" s="36"/>
    </row>
    <row r="7901" spans="12:29" x14ac:dyDescent="0.3">
      <c r="L7901" s="36"/>
      <c r="R7901" s="34"/>
      <c r="AC7901" s="36"/>
    </row>
    <row r="7902" spans="12:29" x14ac:dyDescent="0.3">
      <c r="L7902" s="36"/>
      <c r="R7902" s="34"/>
      <c r="AC7902" s="36"/>
    </row>
    <row r="7903" spans="12:29" x14ac:dyDescent="0.3">
      <c r="L7903" s="36"/>
      <c r="R7903" s="34"/>
      <c r="AC7903" s="36"/>
    </row>
    <row r="7904" spans="12:29" x14ac:dyDescent="0.3">
      <c r="L7904" s="36"/>
      <c r="R7904" s="34"/>
      <c r="AC7904" s="36"/>
    </row>
    <row r="7905" spans="12:29" x14ac:dyDescent="0.3">
      <c r="L7905" s="36"/>
      <c r="R7905" s="34"/>
      <c r="AC7905" s="36"/>
    </row>
    <row r="7906" spans="12:29" x14ac:dyDescent="0.3">
      <c r="L7906" s="36"/>
      <c r="R7906" s="34"/>
      <c r="AC7906" s="36"/>
    </row>
    <row r="7907" spans="12:29" x14ac:dyDescent="0.3">
      <c r="L7907" s="36"/>
      <c r="R7907" s="34"/>
      <c r="AC7907" s="36"/>
    </row>
    <row r="7908" spans="12:29" x14ac:dyDescent="0.3">
      <c r="L7908" s="36"/>
      <c r="R7908" s="34"/>
      <c r="AC7908" s="36"/>
    </row>
    <row r="7909" spans="12:29" x14ac:dyDescent="0.3">
      <c r="L7909" s="36"/>
      <c r="R7909" s="34"/>
      <c r="AC7909" s="36"/>
    </row>
    <row r="7910" spans="12:29" x14ac:dyDescent="0.3">
      <c r="L7910" s="36"/>
      <c r="R7910" s="34"/>
      <c r="AC7910" s="36"/>
    </row>
    <row r="7911" spans="12:29" x14ac:dyDescent="0.3">
      <c r="L7911" s="36"/>
      <c r="R7911" s="34"/>
      <c r="AC7911" s="36"/>
    </row>
    <row r="7912" spans="12:29" x14ac:dyDescent="0.3">
      <c r="L7912" s="36"/>
      <c r="R7912" s="34"/>
      <c r="AC7912" s="36"/>
    </row>
    <row r="7913" spans="12:29" x14ac:dyDescent="0.3">
      <c r="L7913" s="36"/>
      <c r="R7913" s="34"/>
      <c r="AC7913" s="36"/>
    </row>
    <row r="7914" spans="12:29" x14ac:dyDescent="0.3">
      <c r="L7914" s="36"/>
      <c r="R7914" s="34"/>
      <c r="AC7914" s="36"/>
    </row>
    <row r="7915" spans="12:29" x14ac:dyDescent="0.3">
      <c r="L7915" s="36"/>
      <c r="R7915" s="34"/>
      <c r="AC7915" s="36"/>
    </row>
    <row r="7916" spans="12:29" x14ac:dyDescent="0.3">
      <c r="L7916" s="36"/>
      <c r="R7916" s="34"/>
      <c r="AC7916" s="36"/>
    </row>
    <row r="7917" spans="12:29" x14ac:dyDescent="0.3">
      <c r="L7917" s="36"/>
      <c r="R7917" s="34"/>
      <c r="AC7917" s="36"/>
    </row>
    <row r="7918" spans="12:29" x14ac:dyDescent="0.3">
      <c r="L7918" s="36"/>
      <c r="R7918" s="34"/>
      <c r="AC7918" s="36"/>
    </row>
    <row r="7919" spans="12:29" x14ac:dyDescent="0.3">
      <c r="L7919" s="36"/>
      <c r="R7919" s="34"/>
      <c r="AC7919" s="36"/>
    </row>
    <row r="7920" spans="12:29" x14ac:dyDescent="0.3">
      <c r="L7920" s="36"/>
      <c r="R7920" s="34"/>
      <c r="AC7920" s="36"/>
    </row>
    <row r="7921" spans="12:29" x14ac:dyDescent="0.3">
      <c r="L7921" s="36"/>
      <c r="R7921" s="34"/>
      <c r="AC7921" s="36"/>
    </row>
    <row r="7922" spans="12:29" x14ac:dyDescent="0.3">
      <c r="L7922" s="36"/>
      <c r="R7922" s="34"/>
      <c r="AC7922" s="36"/>
    </row>
    <row r="7923" spans="12:29" x14ac:dyDescent="0.3">
      <c r="L7923" s="36"/>
      <c r="R7923" s="34"/>
      <c r="AC7923" s="36"/>
    </row>
    <row r="7924" spans="12:29" x14ac:dyDescent="0.3">
      <c r="L7924" s="36"/>
      <c r="R7924" s="34"/>
      <c r="AC7924" s="36"/>
    </row>
    <row r="7925" spans="12:29" x14ac:dyDescent="0.3">
      <c r="L7925" s="36"/>
      <c r="R7925" s="34"/>
      <c r="AC7925" s="36"/>
    </row>
    <row r="7926" spans="12:29" x14ac:dyDescent="0.3">
      <c r="L7926" s="36"/>
      <c r="R7926" s="34"/>
      <c r="AC7926" s="36"/>
    </row>
    <row r="7927" spans="12:29" x14ac:dyDescent="0.3">
      <c r="L7927" s="36"/>
      <c r="R7927" s="34"/>
      <c r="AC7927" s="36"/>
    </row>
    <row r="7928" spans="12:29" x14ac:dyDescent="0.3">
      <c r="L7928" s="36"/>
      <c r="R7928" s="34"/>
      <c r="AC7928" s="36"/>
    </row>
    <row r="7929" spans="12:29" x14ac:dyDescent="0.3">
      <c r="L7929" s="36"/>
      <c r="R7929" s="34"/>
      <c r="AC7929" s="36"/>
    </row>
    <row r="7930" spans="12:29" x14ac:dyDescent="0.3">
      <c r="L7930" s="36"/>
      <c r="R7930" s="34"/>
      <c r="AC7930" s="36"/>
    </row>
    <row r="7931" spans="12:29" x14ac:dyDescent="0.3">
      <c r="L7931" s="36"/>
      <c r="R7931" s="34"/>
      <c r="AC7931" s="36"/>
    </row>
    <row r="7932" spans="12:29" x14ac:dyDescent="0.3">
      <c r="L7932" s="36"/>
      <c r="R7932" s="34"/>
      <c r="AC7932" s="36"/>
    </row>
    <row r="7933" spans="12:29" x14ac:dyDescent="0.3">
      <c r="L7933" s="36"/>
      <c r="R7933" s="34"/>
      <c r="AC7933" s="36"/>
    </row>
    <row r="7934" spans="12:29" x14ac:dyDescent="0.3">
      <c r="L7934" s="36"/>
      <c r="R7934" s="34"/>
      <c r="AC7934" s="36"/>
    </row>
    <row r="7935" spans="12:29" x14ac:dyDescent="0.3">
      <c r="L7935" s="36"/>
      <c r="R7935" s="34"/>
      <c r="AC7935" s="36"/>
    </row>
    <row r="7936" spans="12:29" x14ac:dyDescent="0.3">
      <c r="L7936" s="36"/>
      <c r="R7936" s="34"/>
      <c r="AC7936" s="36"/>
    </row>
    <row r="7937" spans="12:29" x14ac:dyDescent="0.3">
      <c r="L7937" s="36"/>
      <c r="R7937" s="34"/>
      <c r="AC7937" s="36"/>
    </row>
    <row r="7938" spans="12:29" x14ac:dyDescent="0.3">
      <c r="L7938" s="36"/>
      <c r="R7938" s="34"/>
      <c r="AC7938" s="36"/>
    </row>
    <row r="7939" spans="12:29" x14ac:dyDescent="0.3">
      <c r="L7939" s="36"/>
      <c r="R7939" s="34"/>
      <c r="AC7939" s="36"/>
    </row>
    <row r="7940" spans="12:29" x14ac:dyDescent="0.3">
      <c r="L7940" s="36"/>
      <c r="R7940" s="34"/>
      <c r="AC7940" s="36"/>
    </row>
    <row r="7941" spans="12:29" x14ac:dyDescent="0.3">
      <c r="L7941" s="36"/>
      <c r="R7941" s="34"/>
      <c r="AC7941" s="36"/>
    </row>
    <row r="7942" spans="12:29" x14ac:dyDescent="0.3">
      <c r="L7942" s="36"/>
      <c r="R7942" s="34"/>
      <c r="AC7942" s="36"/>
    </row>
    <row r="7943" spans="12:29" x14ac:dyDescent="0.3">
      <c r="L7943" s="36"/>
      <c r="R7943" s="34"/>
      <c r="AC7943" s="36"/>
    </row>
    <row r="7944" spans="12:29" x14ac:dyDescent="0.3">
      <c r="L7944" s="36"/>
      <c r="R7944" s="34"/>
      <c r="AC7944" s="36"/>
    </row>
    <row r="7945" spans="12:29" x14ac:dyDescent="0.3">
      <c r="L7945" s="36"/>
      <c r="R7945" s="34"/>
      <c r="AC7945" s="36"/>
    </row>
    <row r="7946" spans="12:29" x14ac:dyDescent="0.3">
      <c r="L7946" s="36"/>
      <c r="R7946" s="34"/>
      <c r="AC7946" s="36"/>
    </row>
    <row r="7947" spans="12:29" x14ac:dyDescent="0.3">
      <c r="L7947" s="36"/>
      <c r="R7947" s="34"/>
      <c r="AC7947" s="36"/>
    </row>
    <row r="7948" spans="12:29" x14ac:dyDescent="0.3">
      <c r="L7948" s="36"/>
      <c r="R7948" s="34"/>
      <c r="AC7948" s="36"/>
    </row>
    <row r="7949" spans="12:29" x14ac:dyDescent="0.3">
      <c r="L7949" s="36"/>
      <c r="R7949" s="34"/>
      <c r="AC7949" s="36"/>
    </row>
    <row r="7950" spans="12:29" x14ac:dyDescent="0.3">
      <c r="L7950" s="36"/>
      <c r="R7950" s="34"/>
      <c r="AC7950" s="36"/>
    </row>
    <row r="7951" spans="12:29" x14ac:dyDescent="0.3">
      <c r="L7951" s="36"/>
      <c r="R7951" s="34"/>
      <c r="AC7951" s="36"/>
    </row>
    <row r="7952" spans="12:29" x14ac:dyDescent="0.3">
      <c r="L7952" s="36"/>
      <c r="R7952" s="34"/>
      <c r="AC7952" s="36"/>
    </row>
    <row r="7953" spans="12:29" x14ac:dyDescent="0.3">
      <c r="L7953" s="36"/>
      <c r="R7953" s="34"/>
      <c r="AC7953" s="36"/>
    </row>
    <row r="7954" spans="12:29" x14ac:dyDescent="0.3">
      <c r="L7954" s="36"/>
      <c r="R7954" s="34"/>
      <c r="AC7954" s="36"/>
    </row>
    <row r="7955" spans="12:29" x14ac:dyDescent="0.3">
      <c r="L7955" s="36"/>
      <c r="R7955" s="34"/>
      <c r="AC7955" s="36"/>
    </row>
    <row r="7956" spans="12:29" x14ac:dyDescent="0.3">
      <c r="L7956" s="36"/>
      <c r="R7956" s="34"/>
      <c r="AC7956" s="36"/>
    </row>
    <row r="7957" spans="12:29" x14ac:dyDescent="0.3">
      <c r="L7957" s="36"/>
      <c r="R7957" s="34"/>
      <c r="AC7957" s="36"/>
    </row>
    <row r="7958" spans="12:29" x14ac:dyDescent="0.3">
      <c r="L7958" s="36"/>
      <c r="R7958" s="34"/>
      <c r="AC7958" s="36"/>
    </row>
    <row r="7959" spans="12:29" x14ac:dyDescent="0.3">
      <c r="L7959" s="36"/>
      <c r="R7959" s="34"/>
      <c r="AC7959" s="36"/>
    </row>
    <row r="7960" spans="12:29" x14ac:dyDescent="0.3">
      <c r="L7960" s="36"/>
      <c r="R7960" s="34"/>
      <c r="AC7960" s="36"/>
    </row>
    <row r="7961" spans="12:29" x14ac:dyDescent="0.3">
      <c r="L7961" s="36"/>
      <c r="R7961" s="34"/>
      <c r="AC7961" s="36"/>
    </row>
    <row r="7962" spans="12:29" x14ac:dyDescent="0.3">
      <c r="L7962" s="36"/>
      <c r="R7962" s="34"/>
      <c r="AC7962" s="36"/>
    </row>
    <row r="7963" spans="12:29" x14ac:dyDescent="0.3">
      <c r="L7963" s="36"/>
      <c r="R7963" s="34"/>
      <c r="AC7963" s="36"/>
    </row>
    <row r="7964" spans="12:29" x14ac:dyDescent="0.3">
      <c r="L7964" s="36"/>
      <c r="R7964" s="34"/>
      <c r="AC7964" s="36"/>
    </row>
    <row r="7965" spans="12:29" x14ac:dyDescent="0.3">
      <c r="L7965" s="36"/>
      <c r="R7965" s="34"/>
      <c r="AC7965" s="36"/>
    </row>
    <row r="7966" spans="12:29" x14ac:dyDescent="0.3">
      <c r="L7966" s="36"/>
      <c r="R7966" s="34"/>
      <c r="AC7966" s="36"/>
    </row>
    <row r="7967" spans="12:29" x14ac:dyDescent="0.3">
      <c r="L7967" s="36"/>
      <c r="R7967" s="34"/>
      <c r="AC7967" s="36"/>
    </row>
    <row r="7968" spans="12:29" x14ac:dyDescent="0.3">
      <c r="L7968" s="36"/>
      <c r="R7968" s="34"/>
      <c r="AC7968" s="36"/>
    </row>
    <row r="7969" spans="12:29" x14ac:dyDescent="0.3">
      <c r="L7969" s="36"/>
      <c r="R7969" s="34"/>
      <c r="AC7969" s="36"/>
    </row>
    <row r="7970" spans="12:29" x14ac:dyDescent="0.3">
      <c r="L7970" s="36"/>
      <c r="R7970" s="34"/>
      <c r="AC7970" s="36"/>
    </row>
    <row r="7971" spans="12:29" x14ac:dyDescent="0.3">
      <c r="L7971" s="36"/>
      <c r="R7971" s="34"/>
      <c r="AC7971" s="36"/>
    </row>
    <row r="7972" spans="12:29" x14ac:dyDescent="0.3">
      <c r="L7972" s="36"/>
      <c r="R7972" s="34"/>
      <c r="AC7972" s="36"/>
    </row>
    <row r="7973" spans="12:29" x14ac:dyDescent="0.3">
      <c r="L7973" s="36"/>
      <c r="R7973" s="34"/>
      <c r="AC7973" s="36"/>
    </row>
    <row r="7974" spans="12:29" x14ac:dyDescent="0.3">
      <c r="L7974" s="36"/>
      <c r="R7974" s="34"/>
      <c r="AC7974" s="36"/>
    </row>
    <row r="7975" spans="12:29" x14ac:dyDescent="0.3">
      <c r="L7975" s="36"/>
      <c r="R7975" s="34"/>
      <c r="AC7975" s="36"/>
    </row>
    <row r="7976" spans="12:29" x14ac:dyDescent="0.3">
      <c r="L7976" s="36"/>
      <c r="R7976" s="34"/>
      <c r="AC7976" s="36"/>
    </row>
    <row r="7977" spans="12:29" x14ac:dyDescent="0.3">
      <c r="L7977" s="36"/>
      <c r="R7977" s="34"/>
      <c r="AC7977" s="36"/>
    </row>
    <row r="7978" spans="12:29" x14ac:dyDescent="0.3">
      <c r="L7978" s="36"/>
      <c r="R7978" s="34"/>
      <c r="AC7978" s="36"/>
    </row>
    <row r="7979" spans="12:29" x14ac:dyDescent="0.3">
      <c r="L7979" s="36"/>
      <c r="R7979" s="34"/>
      <c r="AC7979" s="36"/>
    </row>
    <row r="7980" spans="12:29" x14ac:dyDescent="0.3">
      <c r="L7980" s="36"/>
      <c r="R7980" s="34"/>
      <c r="AC7980" s="36"/>
    </row>
    <row r="7981" spans="12:29" x14ac:dyDescent="0.3">
      <c r="L7981" s="36"/>
      <c r="R7981" s="34"/>
      <c r="AC7981" s="36"/>
    </row>
    <row r="7982" spans="12:29" x14ac:dyDescent="0.3">
      <c r="L7982" s="36"/>
      <c r="R7982" s="34"/>
      <c r="AC7982" s="36"/>
    </row>
    <row r="7983" spans="12:29" x14ac:dyDescent="0.3">
      <c r="L7983" s="36"/>
      <c r="R7983" s="34"/>
      <c r="AC7983" s="36"/>
    </row>
    <row r="7984" spans="12:29" x14ac:dyDescent="0.3">
      <c r="L7984" s="36"/>
      <c r="R7984" s="34"/>
      <c r="AC7984" s="36"/>
    </row>
    <row r="7985" spans="12:29" x14ac:dyDescent="0.3">
      <c r="L7985" s="36"/>
      <c r="R7985" s="34"/>
      <c r="AC7985" s="36"/>
    </row>
    <row r="7986" spans="12:29" x14ac:dyDescent="0.3">
      <c r="L7986" s="36"/>
      <c r="R7986" s="34"/>
      <c r="AC7986" s="36"/>
    </row>
    <row r="7987" spans="12:29" x14ac:dyDescent="0.3">
      <c r="L7987" s="36"/>
      <c r="R7987" s="34"/>
      <c r="AC7987" s="36"/>
    </row>
    <row r="7988" spans="12:29" x14ac:dyDescent="0.3">
      <c r="L7988" s="36"/>
      <c r="R7988" s="34"/>
      <c r="AC7988" s="36"/>
    </row>
    <row r="7989" spans="12:29" x14ac:dyDescent="0.3">
      <c r="L7989" s="36"/>
      <c r="R7989" s="34"/>
      <c r="AC7989" s="36"/>
    </row>
    <row r="7990" spans="12:29" x14ac:dyDescent="0.3">
      <c r="L7990" s="36"/>
      <c r="R7990" s="34"/>
      <c r="AC7990" s="36"/>
    </row>
    <row r="7991" spans="12:29" x14ac:dyDescent="0.3">
      <c r="L7991" s="36"/>
      <c r="R7991" s="34"/>
      <c r="AC7991" s="36"/>
    </row>
    <row r="7992" spans="12:29" x14ac:dyDescent="0.3">
      <c r="L7992" s="36"/>
      <c r="R7992" s="34"/>
      <c r="AC7992" s="36"/>
    </row>
    <row r="7993" spans="12:29" x14ac:dyDescent="0.3">
      <c r="L7993" s="36"/>
      <c r="R7993" s="34"/>
      <c r="AC7993" s="36"/>
    </row>
    <row r="7994" spans="12:29" x14ac:dyDescent="0.3">
      <c r="L7994" s="36"/>
      <c r="R7994" s="34"/>
      <c r="AC7994" s="36"/>
    </row>
    <row r="7995" spans="12:29" x14ac:dyDescent="0.3">
      <c r="L7995" s="36"/>
      <c r="R7995" s="34"/>
      <c r="AC7995" s="36"/>
    </row>
    <row r="7996" spans="12:29" x14ac:dyDescent="0.3">
      <c r="L7996" s="36"/>
      <c r="R7996" s="34"/>
      <c r="AC7996" s="36"/>
    </row>
    <row r="7997" spans="12:29" x14ac:dyDescent="0.3">
      <c r="L7997" s="36"/>
      <c r="R7997" s="34"/>
      <c r="AC7997" s="36"/>
    </row>
    <row r="7998" spans="12:29" x14ac:dyDescent="0.3">
      <c r="L7998" s="36"/>
      <c r="R7998" s="34"/>
      <c r="AC7998" s="36"/>
    </row>
    <row r="7999" spans="12:29" x14ac:dyDescent="0.3">
      <c r="L7999" s="36"/>
      <c r="R7999" s="34"/>
      <c r="AC7999" s="36"/>
    </row>
    <row r="8000" spans="12:29" x14ac:dyDescent="0.3">
      <c r="L8000" s="36"/>
      <c r="R8000" s="34"/>
      <c r="AC8000" s="36"/>
    </row>
    <row r="8001" spans="12:29" x14ac:dyDescent="0.3">
      <c r="L8001" s="36"/>
      <c r="R8001" s="34"/>
      <c r="AC8001" s="36"/>
    </row>
    <row r="8002" spans="12:29" x14ac:dyDescent="0.3">
      <c r="L8002" s="36"/>
      <c r="R8002" s="34"/>
      <c r="AC8002" s="36"/>
    </row>
    <row r="8003" spans="12:29" x14ac:dyDescent="0.3">
      <c r="L8003" s="36"/>
      <c r="R8003" s="34"/>
      <c r="AC8003" s="36"/>
    </row>
    <row r="8004" spans="12:29" x14ac:dyDescent="0.3">
      <c r="L8004" s="36"/>
      <c r="R8004" s="34"/>
      <c r="AC8004" s="36"/>
    </row>
    <row r="8005" spans="12:29" x14ac:dyDescent="0.3">
      <c r="L8005" s="36"/>
      <c r="R8005" s="34"/>
      <c r="AC8005" s="36"/>
    </row>
    <row r="8006" spans="12:29" x14ac:dyDescent="0.3">
      <c r="L8006" s="36"/>
      <c r="R8006" s="34"/>
      <c r="AC8006" s="36"/>
    </row>
    <row r="8007" spans="12:29" x14ac:dyDescent="0.3">
      <c r="L8007" s="36"/>
      <c r="R8007" s="34"/>
      <c r="AC8007" s="36"/>
    </row>
    <row r="8008" spans="12:29" x14ac:dyDescent="0.3">
      <c r="L8008" s="36"/>
      <c r="R8008" s="34"/>
      <c r="AC8008" s="36"/>
    </row>
    <row r="8009" spans="12:29" x14ac:dyDescent="0.3">
      <c r="L8009" s="36"/>
      <c r="R8009" s="34"/>
      <c r="AC8009" s="36"/>
    </row>
    <row r="8010" spans="12:29" x14ac:dyDescent="0.3">
      <c r="L8010" s="36"/>
      <c r="R8010" s="34"/>
      <c r="AC8010" s="36"/>
    </row>
    <row r="8011" spans="12:29" x14ac:dyDescent="0.3">
      <c r="L8011" s="36"/>
      <c r="R8011" s="34"/>
      <c r="AC8011" s="36"/>
    </row>
    <row r="8012" spans="12:29" x14ac:dyDescent="0.3">
      <c r="L8012" s="36"/>
      <c r="R8012" s="34"/>
      <c r="AC8012" s="36"/>
    </row>
    <row r="8013" spans="12:29" x14ac:dyDescent="0.3">
      <c r="L8013" s="36"/>
      <c r="R8013" s="34"/>
      <c r="AC8013" s="36"/>
    </row>
    <row r="8014" spans="12:29" x14ac:dyDescent="0.3">
      <c r="L8014" s="36"/>
      <c r="R8014" s="34"/>
      <c r="AC8014" s="36"/>
    </row>
    <row r="8015" spans="12:29" x14ac:dyDescent="0.3">
      <c r="L8015" s="36"/>
      <c r="R8015" s="34"/>
      <c r="AC8015" s="36"/>
    </row>
    <row r="8016" spans="12:29" x14ac:dyDescent="0.3">
      <c r="L8016" s="36"/>
      <c r="R8016" s="34"/>
      <c r="AC8016" s="36"/>
    </row>
    <row r="8017" spans="12:29" x14ac:dyDescent="0.3">
      <c r="L8017" s="36"/>
      <c r="R8017" s="34"/>
      <c r="AC8017" s="36"/>
    </row>
    <row r="8018" spans="12:29" x14ac:dyDescent="0.3">
      <c r="L8018" s="36"/>
      <c r="R8018" s="34"/>
      <c r="AC8018" s="36"/>
    </row>
    <row r="8019" spans="12:29" x14ac:dyDescent="0.3">
      <c r="L8019" s="36"/>
      <c r="R8019" s="34"/>
      <c r="AC8019" s="36"/>
    </row>
    <row r="8020" spans="12:29" x14ac:dyDescent="0.3">
      <c r="L8020" s="36"/>
      <c r="R8020" s="34"/>
      <c r="AC8020" s="36"/>
    </row>
    <row r="8021" spans="12:29" x14ac:dyDescent="0.3">
      <c r="L8021" s="36"/>
      <c r="R8021" s="34"/>
      <c r="AC8021" s="36"/>
    </row>
    <row r="8022" spans="12:29" x14ac:dyDescent="0.3">
      <c r="L8022" s="36"/>
      <c r="R8022" s="34"/>
      <c r="AC8022" s="36"/>
    </row>
    <row r="8023" spans="12:29" x14ac:dyDescent="0.3">
      <c r="L8023" s="36"/>
      <c r="R8023" s="34"/>
      <c r="AC8023" s="36"/>
    </row>
    <row r="8024" spans="12:29" x14ac:dyDescent="0.3">
      <c r="L8024" s="36"/>
      <c r="R8024" s="34"/>
      <c r="AC8024" s="36"/>
    </row>
    <row r="8025" spans="12:29" x14ac:dyDescent="0.3">
      <c r="L8025" s="36"/>
      <c r="R8025" s="34"/>
      <c r="AC8025" s="36"/>
    </row>
    <row r="8026" spans="12:29" x14ac:dyDescent="0.3">
      <c r="L8026" s="36"/>
      <c r="R8026" s="34"/>
      <c r="AC8026" s="36"/>
    </row>
    <row r="8027" spans="12:29" x14ac:dyDescent="0.3">
      <c r="L8027" s="36"/>
      <c r="R8027" s="34"/>
      <c r="AC8027" s="36"/>
    </row>
    <row r="8028" spans="12:29" x14ac:dyDescent="0.3">
      <c r="L8028" s="36"/>
      <c r="R8028" s="34"/>
      <c r="AC8028" s="36"/>
    </row>
    <row r="8029" spans="12:29" x14ac:dyDescent="0.3">
      <c r="L8029" s="36"/>
      <c r="R8029" s="34"/>
      <c r="AC8029" s="36"/>
    </row>
    <row r="8030" spans="12:29" x14ac:dyDescent="0.3">
      <c r="L8030" s="36"/>
      <c r="R8030" s="34"/>
      <c r="AC8030" s="36"/>
    </row>
    <row r="8031" spans="12:29" x14ac:dyDescent="0.3">
      <c r="L8031" s="36"/>
      <c r="R8031" s="34"/>
      <c r="AC8031" s="36"/>
    </row>
    <row r="8032" spans="12:29" x14ac:dyDescent="0.3">
      <c r="L8032" s="36"/>
      <c r="R8032" s="34"/>
      <c r="AC8032" s="36"/>
    </row>
    <row r="8033" spans="12:29" x14ac:dyDescent="0.3">
      <c r="L8033" s="36"/>
      <c r="R8033" s="34"/>
      <c r="AC8033" s="36"/>
    </row>
    <row r="8034" spans="12:29" x14ac:dyDescent="0.3">
      <c r="L8034" s="36"/>
      <c r="R8034" s="34"/>
      <c r="AC8034" s="36"/>
    </row>
    <row r="8035" spans="12:29" x14ac:dyDescent="0.3">
      <c r="L8035" s="36"/>
      <c r="R8035" s="34"/>
      <c r="AC8035" s="36"/>
    </row>
    <row r="8036" spans="12:29" x14ac:dyDescent="0.3">
      <c r="L8036" s="36"/>
      <c r="R8036" s="34"/>
      <c r="AC8036" s="36"/>
    </row>
    <row r="8037" spans="12:29" x14ac:dyDescent="0.3">
      <c r="L8037" s="36"/>
      <c r="R8037" s="34"/>
      <c r="AC8037" s="36"/>
    </row>
    <row r="8038" spans="12:29" x14ac:dyDescent="0.3">
      <c r="L8038" s="36"/>
      <c r="R8038" s="34"/>
      <c r="AC8038" s="36"/>
    </row>
    <row r="8039" spans="12:29" x14ac:dyDescent="0.3">
      <c r="L8039" s="36"/>
      <c r="R8039" s="34"/>
      <c r="AC8039" s="36"/>
    </row>
    <row r="8040" spans="12:29" x14ac:dyDescent="0.3">
      <c r="L8040" s="36"/>
      <c r="R8040" s="34"/>
      <c r="AC8040" s="36"/>
    </row>
    <row r="8041" spans="12:29" x14ac:dyDescent="0.3">
      <c r="L8041" s="36"/>
      <c r="R8041" s="34"/>
      <c r="AC8041" s="36"/>
    </row>
    <row r="8042" spans="12:29" x14ac:dyDescent="0.3">
      <c r="L8042" s="36"/>
      <c r="R8042" s="34"/>
      <c r="AC8042" s="36"/>
    </row>
    <row r="8043" spans="12:29" x14ac:dyDescent="0.3">
      <c r="L8043" s="36"/>
      <c r="R8043" s="34"/>
      <c r="AC8043" s="36"/>
    </row>
    <row r="8044" spans="12:29" x14ac:dyDescent="0.3">
      <c r="L8044" s="36"/>
      <c r="R8044" s="34"/>
      <c r="AC8044" s="36"/>
    </row>
    <row r="8045" spans="12:29" x14ac:dyDescent="0.3">
      <c r="L8045" s="36"/>
      <c r="R8045" s="34"/>
      <c r="AC8045" s="36"/>
    </row>
    <row r="8046" spans="12:29" x14ac:dyDescent="0.3">
      <c r="L8046" s="36"/>
      <c r="R8046" s="34"/>
      <c r="AC8046" s="36"/>
    </row>
    <row r="8047" spans="12:29" x14ac:dyDescent="0.3">
      <c r="L8047" s="36"/>
      <c r="R8047" s="34"/>
      <c r="AC8047" s="36"/>
    </row>
    <row r="8048" spans="12:29" x14ac:dyDescent="0.3">
      <c r="L8048" s="36"/>
      <c r="R8048" s="34"/>
      <c r="AC8048" s="36"/>
    </row>
    <row r="8049" spans="12:29" x14ac:dyDescent="0.3">
      <c r="L8049" s="36"/>
      <c r="R8049" s="34"/>
      <c r="AC8049" s="36"/>
    </row>
    <row r="8050" spans="12:29" x14ac:dyDescent="0.3">
      <c r="L8050" s="36"/>
      <c r="R8050" s="34"/>
      <c r="AC8050" s="36"/>
    </row>
    <row r="8051" spans="12:29" x14ac:dyDescent="0.3">
      <c r="L8051" s="36"/>
      <c r="R8051" s="34"/>
      <c r="AC8051" s="36"/>
    </row>
    <row r="8052" spans="12:29" x14ac:dyDescent="0.3">
      <c r="L8052" s="36"/>
      <c r="R8052" s="34"/>
      <c r="AC8052" s="36"/>
    </row>
    <row r="8053" spans="12:29" x14ac:dyDescent="0.3">
      <c r="L8053" s="36"/>
      <c r="R8053" s="34"/>
      <c r="AC8053" s="36"/>
    </row>
    <row r="8054" spans="12:29" x14ac:dyDescent="0.3">
      <c r="L8054" s="36"/>
      <c r="R8054" s="34"/>
      <c r="AC8054" s="36"/>
    </row>
    <row r="8055" spans="12:29" x14ac:dyDescent="0.3">
      <c r="L8055" s="36"/>
      <c r="R8055" s="34"/>
      <c r="AC8055" s="36"/>
    </row>
    <row r="8056" spans="12:29" x14ac:dyDescent="0.3">
      <c r="L8056" s="36"/>
      <c r="R8056" s="34"/>
      <c r="AC8056" s="36"/>
    </row>
    <row r="8057" spans="12:29" x14ac:dyDescent="0.3">
      <c r="L8057" s="36"/>
      <c r="R8057" s="34"/>
      <c r="AC8057" s="36"/>
    </row>
    <row r="8058" spans="12:29" x14ac:dyDescent="0.3">
      <c r="L8058" s="36"/>
      <c r="R8058" s="34"/>
      <c r="AC8058" s="36"/>
    </row>
    <row r="8059" spans="12:29" x14ac:dyDescent="0.3">
      <c r="L8059" s="36"/>
      <c r="R8059" s="34"/>
      <c r="AC8059" s="36"/>
    </row>
    <row r="8060" spans="12:29" x14ac:dyDescent="0.3">
      <c r="L8060" s="36"/>
      <c r="R8060" s="34"/>
      <c r="AC8060" s="36"/>
    </row>
    <row r="8061" spans="12:29" x14ac:dyDescent="0.3">
      <c r="L8061" s="36"/>
      <c r="R8061" s="34"/>
      <c r="AC8061" s="36"/>
    </row>
    <row r="8062" spans="12:29" x14ac:dyDescent="0.3">
      <c r="L8062" s="36"/>
      <c r="R8062" s="34"/>
      <c r="AC8062" s="36"/>
    </row>
    <row r="8063" spans="12:29" x14ac:dyDescent="0.3">
      <c r="L8063" s="36"/>
      <c r="R8063" s="34"/>
      <c r="AC8063" s="36"/>
    </row>
    <row r="8064" spans="12:29" x14ac:dyDescent="0.3">
      <c r="L8064" s="36"/>
      <c r="R8064" s="34"/>
      <c r="AC8064" s="36"/>
    </row>
    <row r="8065" spans="12:29" x14ac:dyDescent="0.3">
      <c r="L8065" s="36"/>
      <c r="R8065" s="34"/>
      <c r="AC8065" s="36"/>
    </row>
    <row r="8066" spans="12:29" x14ac:dyDescent="0.3">
      <c r="L8066" s="36"/>
      <c r="R8066" s="34"/>
      <c r="AC8066" s="36"/>
    </row>
    <row r="8067" spans="12:29" x14ac:dyDescent="0.3">
      <c r="L8067" s="36"/>
      <c r="R8067" s="34"/>
      <c r="AC8067" s="36"/>
    </row>
    <row r="8068" spans="12:29" x14ac:dyDescent="0.3">
      <c r="L8068" s="36"/>
      <c r="R8068" s="34"/>
      <c r="AC8068" s="36"/>
    </row>
    <row r="8069" spans="12:29" x14ac:dyDescent="0.3">
      <c r="L8069" s="36"/>
      <c r="R8069" s="34"/>
      <c r="AC8069" s="36"/>
    </row>
    <row r="8070" spans="12:29" x14ac:dyDescent="0.3">
      <c r="L8070" s="36"/>
      <c r="R8070" s="34"/>
      <c r="AC8070" s="36"/>
    </row>
    <row r="8071" spans="12:29" x14ac:dyDescent="0.3">
      <c r="L8071" s="36"/>
      <c r="R8071" s="34"/>
      <c r="AC8071" s="36"/>
    </row>
    <row r="8072" spans="12:29" x14ac:dyDescent="0.3">
      <c r="L8072" s="36"/>
      <c r="R8072" s="34"/>
      <c r="AC8072" s="36"/>
    </row>
    <row r="8073" spans="12:29" x14ac:dyDescent="0.3">
      <c r="L8073" s="36"/>
      <c r="R8073" s="34"/>
      <c r="AC8073" s="36"/>
    </row>
    <row r="8074" spans="12:29" x14ac:dyDescent="0.3">
      <c r="L8074" s="36"/>
      <c r="R8074" s="34"/>
      <c r="AC8074" s="36"/>
    </row>
    <row r="8075" spans="12:29" x14ac:dyDescent="0.3">
      <c r="L8075" s="36"/>
      <c r="R8075" s="34"/>
      <c r="AC8075" s="36"/>
    </row>
    <row r="8076" spans="12:29" x14ac:dyDescent="0.3">
      <c r="L8076" s="36"/>
      <c r="R8076" s="34"/>
      <c r="AC8076" s="36"/>
    </row>
    <row r="8077" spans="12:29" x14ac:dyDescent="0.3">
      <c r="L8077" s="36"/>
      <c r="R8077" s="34"/>
      <c r="AC8077" s="36"/>
    </row>
    <row r="8078" spans="12:29" x14ac:dyDescent="0.3">
      <c r="L8078" s="36"/>
      <c r="R8078" s="34"/>
      <c r="AC8078" s="36"/>
    </row>
    <row r="8079" spans="12:29" x14ac:dyDescent="0.3">
      <c r="L8079" s="36"/>
      <c r="R8079" s="34"/>
      <c r="AC8079" s="36"/>
    </row>
    <row r="8080" spans="12:29" x14ac:dyDescent="0.3">
      <c r="L8080" s="36"/>
      <c r="R8080" s="34"/>
      <c r="AC8080" s="36"/>
    </row>
    <row r="8081" spans="12:29" x14ac:dyDescent="0.3">
      <c r="L8081" s="36"/>
      <c r="R8081" s="34"/>
      <c r="AC8081" s="36"/>
    </row>
    <row r="8082" spans="12:29" x14ac:dyDescent="0.3">
      <c r="L8082" s="36"/>
      <c r="R8082" s="34"/>
      <c r="AC8082" s="36"/>
    </row>
    <row r="8083" spans="12:29" x14ac:dyDescent="0.3">
      <c r="L8083" s="36"/>
      <c r="R8083" s="34"/>
      <c r="AC8083" s="36"/>
    </row>
    <row r="8084" spans="12:29" x14ac:dyDescent="0.3">
      <c r="L8084" s="36"/>
      <c r="R8084" s="34"/>
      <c r="AC8084" s="36"/>
    </row>
    <row r="8085" spans="12:29" x14ac:dyDescent="0.3">
      <c r="L8085" s="36"/>
      <c r="R8085" s="34"/>
      <c r="AC8085" s="36"/>
    </row>
    <row r="8086" spans="12:29" x14ac:dyDescent="0.3">
      <c r="L8086" s="36"/>
      <c r="R8086" s="34"/>
      <c r="AC8086" s="36"/>
    </row>
    <row r="8087" spans="12:29" x14ac:dyDescent="0.3">
      <c r="L8087" s="36"/>
      <c r="R8087" s="34"/>
      <c r="AC8087" s="36"/>
    </row>
    <row r="8088" spans="12:29" x14ac:dyDescent="0.3">
      <c r="L8088" s="36"/>
      <c r="R8088" s="34"/>
      <c r="AC8088" s="36"/>
    </row>
    <row r="8089" spans="12:29" x14ac:dyDescent="0.3">
      <c r="L8089" s="36"/>
      <c r="R8089" s="34"/>
      <c r="AC8089" s="36"/>
    </row>
    <row r="8090" spans="12:29" x14ac:dyDescent="0.3">
      <c r="L8090" s="36"/>
      <c r="R8090" s="34"/>
      <c r="AC8090" s="36"/>
    </row>
    <row r="8091" spans="12:29" x14ac:dyDescent="0.3">
      <c r="L8091" s="36"/>
      <c r="R8091" s="34"/>
      <c r="AC8091" s="36"/>
    </row>
    <row r="8092" spans="12:29" x14ac:dyDescent="0.3">
      <c r="L8092" s="36"/>
      <c r="R8092" s="34"/>
      <c r="AC8092" s="36"/>
    </row>
    <row r="8093" spans="12:29" x14ac:dyDescent="0.3">
      <c r="L8093" s="36"/>
      <c r="R8093" s="34"/>
      <c r="AC8093" s="36"/>
    </row>
    <row r="8094" spans="12:29" x14ac:dyDescent="0.3">
      <c r="L8094" s="36"/>
      <c r="R8094" s="34"/>
      <c r="AC8094" s="36"/>
    </row>
    <row r="8095" spans="12:29" x14ac:dyDescent="0.3">
      <c r="L8095" s="36"/>
      <c r="R8095" s="34"/>
      <c r="AC8095" s="36"/>
    </row>
    <row r="8096" spans="12:29" x14ac:dyDescent="0.3">
      <c r="L8096" s="36"/>
      <c r="R8096" s="34"/>
      <c r="AC8096" s="36"/>
    </row>
    <row r="8097" spans="12:29" x14ac:dyDescent="0.3">
      <c r="L8097" s="36"/>
      <c r="R8097" s="34"/>
      <c r="AC8097" s="36"/>
    </row>
    <row r="8098" spans="12:29" x14ac:dyDescent="0.3">
      <c r="L8098" s="36"/>
      <c r="R8098" s="34"/>
      <c r="AC8098" s="36"/>
    </row>
    <row r="8099" spans="12:29" x14ac:dyDescent="0.3">
      <c r="L8099" s="36"/>
      <c r="R8099" s="34"/>
      <c r="AC8099" s="36"/>
    </row>
    <row r="8100" spans="12:29" x14ac:dyDescent="0.3">
      <c r="L8100" s="36"/>
      <c r="R8100" s="34"/>
      <c r="AC8100" s="36"/>
    </row>
    <row r="8101" spans="12:29" x14ac:dyDescent="0.3">
      <c r="L8101" s="36"/>
      <c r="R8101" s="34"/>
      <c r="AC8101" s="36"/>
    </row>
    <row r="8102" spans="12:29" x14ac:dyDescent="0.3">
      <c r="L8102" s="36"/>
      <c r="R8102" s="34"/>
      <c r="AC8102" s="36"/>
    </row>
    <row r="8103" spans="12:29" x14ac:dyDescent="0.3">
      <c r="L8103" s="36"/>
      <c r="R8103" s="34"/>
      <c r="AC8103" s="36"/>
    </row>
    <row r="8104" spans="12:29" x14ac:dyDescent="0.3">
      <c r="L8104" s="36"/>
      <c r="R8104" s="34"/>
      <c r="AC8104" s="36"/>
    </row>
    <row r="8105" spans="12:29" x14ac:dyDescent="0.3">
      <c r="L8105" s="36"/>
      <c r="R8105" s="34"/>
      <c r="AC8105" s="36"/>
    </row>
    <row r="8106" spans="12:29" x14ac:dyDescent="0.3">
      <c r="L8106" s="36"/>
      <c r="R8106" s="34"/>
      <c r="AC8106" s="36"/>
    </row>
    <row r="8107" spans="12:29" x14ac:dyDescent="0.3">
      <c r="L8107" s="36"/>
      <c r="R8107" s="34"/>
      <c r="AC8107" s="36"/>
    </row>
    <row r="8108" spans="12:29" x14ac:dyDescent="0.3">
      <c r="L8108" s="36"/>
      <c r="R8108" s="34"/>
      <c r="AC8108" s="36"/>
    </row>
    <row r="8109" spans="12:29" x14ac:dyDescent="0.3">
      <c r="L8109" s="36"/>
      <c r="R8109" s="34"/>
      <c r="AC8109" s="36"/>
    </row>
    <row r="8110" spans="12:29" x14ac:dyDescent="0.3">
      <c r="L8110" s="36"/>
      <c r="R8110" s="34"/>
      <c r="AC8110" s="36"/>
    </row>
    <row r="8111" spans="12:29" x14ac:dyDescent="0.3">
      <c r="L8111" s="36"/>
      <c r="R8111" s="34"/>
      <c r="AC8111" s="36"/>
    </row>
    <row r="8112" spans="12:29" x14ac:dyDescent="0.3">
      <c r="L8112" s="36"/>
      <c r="R8112" s="34"/>
      <c r="AC8112" s="36"/>
    </row>
    <row r="8113" spans="12:29" x14ac:dyDescent="0.3">
      <c r="L8113" s="36"/>
      <c r="R8113" s="34"/>
      <c r="AC8113" s="36"/>
    </row>
    <row r="8114" spans="12:29" x14ac:dyDescent="0.3">
      <c r="L8114" s="36"/>
      <c r="R8114" s="34"/>
      <c r="AC8114" s="36"/>
    </row>
    <row r="8115" spans="12:29" x14ac:dyDescent="0.3">
      <c r="L8115" s="36"/>
      <c r="R8115" s="34"/>
      <c r="AC8115" s="36"/>
    </row>
    <row r="8116" spans="12:29" x14ac:dyDescent="0.3">
      <c r="L8116" s="36"/>
      <c r="R8116" s="34"/>
      <c r="AC8116" s="36"/>
    </row>
    <row r="8117" spans="12:29" x14ac:dyDescent="0.3">
      <c r="L8117" s="36"/>
      <c r="R8117" s="34"/>
      <c r="AC8117" s="36"/>
    </row>
    <row r="8118" spans="12:29" x14ac:dyDescent="0.3">
      <c r="L8118" s="36"/>
      <c r="R8118" s="34"/>
      <c r="AC8118" s="36"/>
    </row>
    <row r="8119" spans="12:29" x14ac:dyDescent="0.3">
      <c r="L8119" s="36"/>
      <c r="R8119" s="34"/>
      <c r="AC8119" s="36"/>
    </row>
    <row r="8120" spans="12:29" x14ac:dyDescent="0.3">
      <c r="L8120" s="36"/>
      <c r="R8120" s="34"/>
      <c r="AC8120" s="36"/>
    </row>
    <row r="8121" spans="12:29" x14ac:dyDescent="0.3">
      <c r="L8121" s="36"/>
      <c r="R8121" s="34"/>
      <c r="AC8121" s="36"/>
    </row>
    <row r="8122" spans="12:29" x14ac:dyDescent="0.3">
      <c r="L8122" s="36"/>
      <c r="R8122" s="34"/>
      <c r="AC8122" s="36"/>
    </row>
    <row r="8123" spans="12:29" x14ac:dyDescent="0.3">
      <c r="L8123" s="36"/>
      <c r="R8123" s="34"/>
      <c r="AC8123" s="36"/>
    </row>
    <row r="8124" spans="12:29" x14ac:dyDescent="0.3">
      <c r="L8124" s="36"/>
      <c r="R8124" s="34"/>
      <c r="AC8124" s="36"/>
    </row>
    <row r="8125" spans="12:29" x14ac:dyDescent="0.3">
      <c r="L8125" s="36"/>
      <c r="R8125" s="34"/>
      <c r="AC8125" s="36"/>
    </row>
    <row r="8126" spans="12:29" x14ac:dyDescent="0.3">
      <c r="L8126" s="36"/>
      <c r="R8126" s="34"/>
      <c r="AC8126" s="36"/>
    </row>
    <row r="8127" spans="12:29" x14ac:dyDescent="0.3">
      <c r="L8127" s="36"/>
      <c r="R8127" s="34"/>
      <c r="AC8127" s="36"/>
    </row>
    <row r="8128" spans="12:29" x14ac:dyDescent="0.3">
      <c r="L8128" s="36"/>
      <c r="R8128" s="34"/>
      <c r="AC8128" s="36"/>
    </row>
    <row r="8129" spans="12:29" x14ac:dyDescent="0.3">
      <c r="L8129" s="36"/>
      <c r="R8129" s="34"/>
      <c r="AC8129" s="36"/>
    </row>
    <row r="8130" spans="12:29" x14ac:dyDescent="0.3">
      <c r="L8130" s="36"/>
      <c r="R8130" s="34"/>
      <c r="AC8130" s="36"/>
    </row>
    <row r="8131" spans="12:29" x14ac:dyDescent="0.3">
      <c r="L8131" s="36"/>
      <c r="R8131" s="34"/>
      <c r="AC8131" s="36"/>
    </row>
    <row r="8132" spans="12:29" x14ac:dyDescent="0.3">
      <c r="L8132" s="36"/>
      <c r="R8132" s="34"/>
      <c r="AC8132" s="36"/>
    </row>
    <row r="8133" spans="12:29" x14ac:dyDescent="0.3">
      <c r="L8133" s="36"/>
      <c r="R8133" s="34"/>
      <c r="AC8133" s="36"/>
    </row>
    <row r="8134" spans="12:29" x14ac:dyDescent="0.3">
      <c r="L8134" s="36"/>
      <c r="R8134" s="34"/>
      <c r="AC8134" s="36"/>
    </row>
    <row r="8135" spans="12:29" x14ac:dyDescent="0.3">
      <c r="L8135" s="36"/>
      <c r="R8135" s="34"/>
      <c r="AC8135" s="36"/>
    </row>
    <row r="8136" spans="12:29" x14ac:dyDescent="0.3">
      <c r="L8136" s="36"/>
      <c r="R8136" s="34"/>
      <c r="AC8136" s="36"/>
    </row>
    <row r="8137" spans="12:29" x14ac:dyDescent="0.3">
      <c r="L8137" s="36"/>
      <c r="R8137" s="34"/>
      <c r="AC8137" s="36"/>
    </row>
  </sheetData>
  <sheetProtection sheet="1" objects="1" scenarios="1"/>
  <mergeCells count="251">
    <mergeCell ref="B1:AN1"/>
    <mergeCell ref="AD33:AM34"/>
    <mergeCell ref="D23:E23"/>
    <mergeCell ref="B6:E6"/>
    <mergeCell ref="B11:C11"/>
    <mergeCell ref="B12:C12"/>
    <mergeCell ref="D20:E20"/>
    <mergeCell ref="B21:C21"/>
    <mergeCell ref="B13:C13"/>
    <mergeCell ref="D7:E7"/>
    <mergeCell ref="D11:E11"/>
    <mergeCell ref="B9:C9"/>
    <mergeCell ref="B33:K34"/>
    <mergeCell ref="B36:E36"/>
    <mergeCell ref="D12:E12"/>
    <mergeCell ref="D13:E13"/>
    <mergeCell ref="B30:E30"/>
    <mergeCell ref="B29:E29"/>
    <mergeCell ref="B25:E25"/>
    <mergeCell ref="B28:E28"/>
    <mergeCell ref="B27:E27"/>
    <mergeCell ref="B26:E26"/>
    <mergeCell ref="B16:C16"/>
    <mergeCell ref="D16:E16"/>
    <mergeCell ref="B15:E15"/>
    <mergeCell ref="B17:C17"/>
    <mergeCell ref="B18:C18"/>
    <mergeCell ref="B19:C19"/>
    <mergeCell ref="B20:C20"/>
    <mergeCell ref="D17:E17"/>
    <mergeCell ref="D18:E18"/>
    <mergeCell ref="D19:E19"/>
    <mergeCell ref="B22:C22"/>
    <mergeCell ref="B23:C23"/>
    <mergeCell ref="D21:E21"/>
    <mergeCell ref="D22:E22"/>
    <mergeCell ref="M3:N3"/>
    <mergeCell ref="M4:N4"/>
    <mergeCell ref="P3:Q3"/>
    <mergeCell ref="P4:Q4"/>
    <mergeCell ref="M9:M12"/>
    <mergeCell ref="N9:N12"/>
    <mergeCell ref="P9:P12"/>
    <mergeCell ref="Q9:Q12"/>
    <mergeCell ref="B10:C10"/>
    <mergeCell ref="B7:C7"/>
    <mergeCell ref="B8:C8"/>
    <mergeCell ref="B3:K4"/>
    <mergeCell ref="J2:K2"/>
    <mergeCell ref="B2:I2"/>
    <mergeCell ref="D8:E8"/>
    <mergeCell ref="D9:E9"/>
    <mergeCell ref="D10:E10"/>
    <mergeCell ref="M2:Q2"/>
    <mergeCell ref="S3:AB4"/>
    <mergeCell ref="AD2:AM2"/>
    <mergeCell ref="AD3:AM4"/>
    <mergeCell ref="B40:C40"/>
    <mergeCell ref="D40:E40"/>
    <mergeCell ref="B41:C41"/>
    <mergeCell ref="D41:E41"/>
    <mergeCell ref="B42:C42"/>
    <mergeCell ref="D42:E42"/>
    <mergeCell ref="B43:C43"/>
    <mergeCell ref="D43:E43"/>
    <mergeCell ref="B37:C37"/>
    <mergeCell ref="D37:E37"/>
    <mergeCell ref="B38:C38"/>
    <mergeCell ref="D38:E38"/>
    <mergeCell ref="B39:C39"/>
    <mergeCell ref="D39:E39"/>
    <mergeCell ref="B47:C47"/>
    <mergeCell ref="D47:E47"/>
    <mergeCell ref="B48:C48"/>
    <mergeCell ref="D48:E48"/>
    <mergeCell ref="B49:C49"/>
    <mergeCell ref="D49:E49"/>
    <mergeCell ref="B46:C46"/>
    <mergeCell ref="D46:E46"/>
    <mergeCell ref="B45:E45"/>
    <mergeCell ref="B67:C67"/>
    <mergeCell ref="D67:E67"/>
    <mergeCell ref="B55:E55"/>
    <mergeCell ref="B56:E56"/>
    <mergeCell ref="B57:E57"/>
    <mergeCell ref="B58:E58"/>
    <mergeCell ref="B50:C50"/>
    <mergeCell ref="D50:E50"/>
    <mergeCell ref="B51:C51"/>
    <mergeCell ref="D51:E51"/>
    <mergeCell ref="B52:C52"/>
    <mergeCell ref="D52:E52"/>
    <mergeCell ref="B53:C53"/>
    <mergeCell ref="D53:E53"/>
    <mergeCell ref="B59:E59"/>
    <mergeCell ref="B60:E60"/>
    <mergeCell ref="B63:K64"/>
    <mergeCell ref="B66:E66"/>
    <mergeCell ref="B75:E75"/>
    <mergeCell ref="B72:C72"/>
    <mergeCell ref="D72:E72"/>
    <mergeCell ref="B73:C73"/>
    <mergeCell ref="D73:E73"/>
    <mergeCell ref="B68:C68"/>
    <mergeCell ref="D68:E68"/>
    <mergeCell ref="B69:C69"/>
    <mergeCell ref="D69:E69"/>
    <mergeCell ref="B71:C71"/>
    <mergeCell ref="D71:E71"/>
    <mergeCell ref="B70:C70"/>
    <mergeCell ref="D70:E70"/>
    <mergeCell ref="B90:E90"/>
    <mergeCell ref="B85:E85"/>
    <mergeCell ref="B86:E86"/>
    <mergeCell ref="B87:E87"/>
    <mergeCell ref="B88:E88"/>
    <mergeCell ref="B89:E89"/>
    <mergeCell ref="B93:K94"/>
    <mergeCell ref="B96:E96"/>
    <mergeCell ref="D76:E76"/>
    <mergeCell ref="B77:C77"/>
    <mergeCell ref="D77:E77"/>
    <mergeCell ref="B76:C76"/>
    <mergeCell ref="B78:C78"/>
    <mergeCell ref="D78:E78"/>
    <mergeCell ref="B79:C79"/>
    <mergeCell ref="D79:E79"/>
    <mergeCell ref="B80:C80"/>
    <mergeCell ref="D80:E80"/>
    <mergeCell ref="B81:C81"/>
    <mergeCell ref="D81:E81"/>
    <mergeCell ref="B110:C110"/>
    <mergeCell ref="D110:E110"/>
    <mergeCell ref="B106:C106"/>
    <mergeCell ref="D106:E106"/>
    <mergeCell ref="B107:C107"/>
    <mergeCell ref="D107:E107"/>
    <mergeCell ref="B108:C108"/>
    <mergeCell ref="D108:E108"/>
    <mergeCell ref="B109:C109"/>
    <mergeCell ref="D109:E109"/>
    <mergeCell ref="B103:C103"/>
    <mergeCell ref="D103:E103"/>
    <mergeCell ref="B105:E105"/>
    <mergeCell ref="B100:C100"/>
    <mergeCell ref="D100:E100"/>
    <mergeCell ref="B101:C101"/>
    <mergeCell ref="B115:E115"/>
    <mergeCell ref="B116:E116"/>
    <mergeCell ref="B117:E117"/>
    <mergeCell ref="B118:E118"/>
    <mergeCell ref="B119:E119"/>
    <mergeCell ref="B82:C82"/>
    <mergeCell ref="D82:E82"/>
    <mergeCell ref="B83:C83"/>
    <mergeCell ref="D83:E83"/>
    <mergeCell ref="B111:C111"/>
    <mergeCell ref="D111:E111"/>
    <mergeCell ref="B112:C112"/>
    <mergeCell ref="D112:E112"/>
    <mergeCell ref="B113:C113"/>
    <mergeCell ref="D113:E113"/>
    <mergeCell ref="D101:E101"/>
    <mergeCell ref="B102:C102"/>
    <mergeCell ref="D102:E102"/>
    <mergeCell ref="B97:C97"/>
    <mergeCell ref="D97:E97"/>
    <mergeCell ref="B98:C98"/>
    <mergeCell ref="D98:E98"/>
    <mergeCell ref="B99:C99"/>
    <mergeCell ref="D99:E99"/>
    <mergeCell ref="B128:C128"/>
    <mergeCell ref="D128:E128"/>
    <mergeCell ref="B129:C129"/>
    <mergeCell ref="D129:E129"/>
    <mergeCell ref="B130:C130"/>
    <mergeCell ref="D130:E130"/>
    <mergeCell ref="B120:E120"/>
    <mergeCell ref="B123:K124"/>
    <mergeCell ref="B126:E126"/>
    <mergeCell ref="B127:C127"/>
    <mergeCell ref="D127:E127"/>
    <mergeCell ref="D136:E136"/>
    <mergeCell ref="B137:C137"/>
    <mergeCell ref="D137:E137"/>
    <mergeCell ref="B131:C131"/>
    <mergeCell ref="D131:E131"/>
    <mergeCell ref="B132:C132"/>
    <mergeCell ref="D132:E132"/>
    <mergeCell ref="B133:C133"/>
    <mergeCell ref="D133:E133"/>
    <mergeCell ref="P42:P45"/>
    <mergeCell ref="Q42:Q45"/>
    <mergeCell ref="M47:N47"/>
    <mergeCell ref="P47:Q47"/>
    <mergeCell ref="B150:E150"/>
    <mergeCell ref="B145:E145"/>
    <mergeCell ref="B146:E146"/>
    <mergeCell ref="B147:E147"/>
    <mergeCell ref="B148:E148"/>
    <mergeCell ref="B149:E149"/>
    <mergeCell ref="B141:C141"/>
    <mergeCell ref="D141:E141"/>
    <mergeCell ref="B142:C142"/>
    <mergeCell ref="D142:E142"/>
    <mergeCell ref="B143:C143"/>
    <mergeCell ref="D143:E143"/>
    <mergeCell ref="B138:C138"/>
    <mergeCell ref="D138:E138"/>
    <mergeCell ref="B139:C139"/>
    <mergeCell ref="D139:E139"/>
    <mergeCell ref="B140:C140"/>
    <mergeCell ref="D140:E140"/>
    <mergeCell ref="B135:E135"/>
    <mergeCell ref="B136:C136"/>
    <mergeCell ref="M14:N14"/>
    <mergeCell ref="M15:N34"/>
    <mergeCell ref="P14:Q14"/>
    <mergeCell ref="P15:Q34"/>
    <mergeCell ref="M80:N80"/>
    <mergeCell ref="P80:Q80"/>
    <mergeCell ref="M81:N100"/>
    <mergeCell ref="P81:Q100"/>
    <mergeCell ref="M68:N69"/>
    <mergeCell ref="P68:Q69"/>
    <mergeCell ref="P35:Q36"/>
    <mergeCell ref="M35:N36"/>
    <mergeCell ref="M48:N67"/>
    <mergeCell ref="P48:Q67"/>
    <mergeCell ref="M70:N70"/>
    <mergeCell ref="P70:Q70"/>
    <mergeCell ref="M75:M78"/>
    <mergeCell ref="N75:N78"/>
    <mergeCell ref="P75:P78"/>
    <mergeCell ref="Q75:Q78"/>
    <mergeCell ref="M37:N37"/>
    <mergeCell ref="P37:Q37"/>
    <mergeCell ref="M42:M45"/>
    <mergeCell ref="N42:N45"/>
    <mergeCell ref="X59:Z59"/>
    <mergeCell ref="S60:W64"/>
    <mergeCell ref="X67:Z67"/>
    <mergeCell ref="S68:W72"/>
    <mergeCell ref="S2:AB2"/>
    <mergeCell ref="X35:Z35"/>
    <mergeCell ref="S36:W40"/>
    <mergeCell ref="X43:Z43"/>
    <mergeCell ref="S44:W48"/>
    <mergeCell ref="X51:Z51"/>
    <mergeCell ref="S52:W56"/>
    <mergeCell ref="S33:AB34"/>
  </mergeCells>
  <phoneticPr fontId="6" type="noConversion"/>
  <hyperlinks>
    <hyperlink ref="N7" r:id="rId1" display="www.etinaude.tk" xr:uid="{DF6CAB1C-4FD1-488F-B83F-867802BDC92D}"/>
    <hyperlink ref="N9" r:id="rId2" display="https://www.linkedin.com/in/etienne-naude-880b51198/ " xr:uid="{DC00D621-5E6A-4913-B881-F60085318248}"/>
    <hyperlink ref="N40" r:id="rId3" display="www.etinaude.tk" xr:uid="{D72BB7CD-D532-4C7C-9D90-B162285C8AE7}"/>
    <hyperlink ref="N42" r:id="rId4" display="https://www.linkedin.com/in/etienne-naude-880b51198/ " xr:uid="{8DDCDB39-D78C-4DC1-AE44-E2AE5B8BDA91}"/>
    <hyperlink ref="N73" r:id="rId5" display="www.etinaude.tk" xr:uid="{AB64F78F-71D0-48A3-98DD-61AB2F43C739}"/>
    <hyperlink ref="N75" r:id="rId6" display="https://www.linkedin.com/in/etienne-naude-880b51198/ " xr:uid="{E558D40A-0226-4F50-965D-5909CA058C6C}"/>
  </hyperlinks>
  <pageMargins left="0.7" right="0.7" top="0.75" bottom="0.75" header="0.3" footer="0.3"/>
  <pageSetup paperSize="9" orientation="portrait" horizontalDpi="300" verticalDpi="300" r:id="rId7"/>
  <drawing r:id="rId8"/>
  <legacyDrawing r:id="rId9"/>
  <mc:AlternateContent xmlns:mc="http://schemas.openxmlformats.org/markup-compatibility/2006">
    <mc:Choice Requires="x14">
      <controls>
        <mc:AlternateContent xmlns:mc="http://schemas.openxmlformats.org/markup-compatibility/2006">
          <mc:Choice Requires="x14">
            <control shapeId="1025" r:id="rId10" name="Button 1">
              <controlPr defaultSize="0" print="0" autoFill="0" autoPict="0" macro="[0]!Go_to_companies">
                <anchor moveWithCells="1" sizeWithCells="1">
                  <from>
                    <xdr:col>9</xdr:col>
                    <xdr:colOff>19050</xdr:colOff>
                    <xdr:row>1</xdr:row>
                    <xdr:rowOff>25400</xdr:rowOff>
                  </from>
                  <to>
                    <xdr:col>10</xdr:col>
                    <xdr:colOff>622300</xdr:colOff>
                    <xdr:row>1</xdr:row>
                    <xdr:rowOff>209550</xdr:rowOff>
                  </to>
                </anchor>
              </controlPr>
            </control>
          </mc:Choice>
        </mc:AlternateContent>
        <mc:AlternateContent xmlns:mc="http://schemas.openxmlformats.org/markup-compatibility/2006">
          <mc:Choice Requires="x14">
            <control shapeId="1027" r:id="rId11" name="Button 3">
              <controlPr defaultSize="0" print="0" autoFill="0" autoPict="0" macro="[0]!Go_to_linkedin">
                <anchor moveWithCells="1" sizeWithCells="1">
                  <from>
                    <xdr:col>16</xdr:col>
                    <xdr:colOff>1257300</xdr:colOff>
                    <xdr:row>1</xdr:row>
                    <xdr:rowOff>19050</xdr:rowOff>
                  </from>
                  <to>
                    <xdr:col>17</xdr:col>
                    <xdr:colOff>12700</xdr:colOff>
                    <xdr:row>1</xdr:row>
                    <xdr:rowOff>203200</xdr:rowOff>
                  </to>
                </anchor>
              </controlPr>
            </control>
          </mc:Choice>
        </mc:AlternateContent>
        <mc:AlternateContent xmlns:mc="http://schemas.openxmlformats.org/markup-compatibility/2006">
          <mc:Choice Requires="x14">
            <control shapeId="1028" r:id="rId12" name="Button 4">
              <controlPr defaultSize="0" print="0" autoFill="0" autoPict="0" macro="[0]!Go_to_finance">
                <anchor moveWithCells="1" sizeWithCells="1">
                  <from>
                    <xdr:col>26</xdr:col>
                    <xdr:colOff>19050</xdr:colOff>
                    <xdr:row>1</xdr:row>
                    <xdr:rowOff>25400</xdr:rowOff>
                  </from>
                  <to>
                    <xdr:col>27</xdr:col>
                    <xdr:colOff>622300</xdr:colOff>
                    <xdr:row>1</xdr:row>
                    <xdr:rowOff>209550</xdr:rowOff>
                  </to>
                </anchor>
              </controlPr>
            </control>
          </mc:Choice>
        </mc:AlternateContent>
        <mc:AlternateContent xmlns:mc="http://schemas.openxmlformats.org/markup-compatibility/2006">
          <mc:Choice Requires="x14">
            <control shapeId="1029" r:id="rId13" name="Button 5">
              <controlPr defaultSize="0" print="0" autoFill="0" autoPict="0" macro="[0]!Go_to_trends">
                <anchor moveWithCells="1" sizeWithCells="1">
                  <from>
                    <xdr:col>37</xdr:col>
                    <xdr:colOff>19050</xdr:colOff>
                    <xdr:row>1</xdr:row>
                    <xdr:rowOff>25400</xdr:rowOff>
                  </from>
                  <to>
                    <xdr:col>38</xdr:col>
                    <xdr:colOff>622300</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687F1-45DB-43F2-BF28-EBE66A00F89D}">
  <sheetPr codeName="Sheet2"/>
  <dimension ref="A1:AH782"/>
  <sheetViews>
    <sheetView workbookViewId="0">
      <selection activeCell="J11" sqref="J11"/>
    </sheetView>
  </sheetViews>
  <sheetFormatPr defaultRowHeight="14.5" x14ac:dyDescent="0.35"/>
  <cols>
    <col min="1" max="5" width="11.26953125" bestFit="1" customWidth="1"/>
    <col min="6" max="6" width="12.1796875" bestFit="1" customWidth="1"/>
    <col min="7" max="9" width="11.26953125" bestFit="1" customWidth="1"/>
    <col min="10" max="34" width="12.26953125" bestFit="1" customWidth="1"/>
  </cols>
  <sheetData>
    <row r="1" spans="1:34" x14ac:dyDescent="0.35">
      <c r="A1" t="s">
        <v>23</v>
      </c>
      <c r="B1" t="s">
        <v>24</v>
      </c>
      <c r="C1" t="s">
        <v>25</v>
      </c>
      <c r="D1" t="s">
        <v>26</v>
      </c>
      <c r="E1" t="s">
        <v>27</v>
      </c>
      <c r="F1" t="s">
        <v>28</v>
      </c>
      <c r="G1" t="s">
        <v>29</v>
      </c>
      <c r="H1" t="s">
        <v>30</v>
      </c>
      <c r="I1" t="s">
        <v>31</v>
      </c>
      <c r="J1" t="s">
        <v>32</v>
      </c>
      <c r="K1" t="s">
        <v>33</v>
      </c>
      <c r="L1" t="s">
        <v>34</v>
      </c>
      <c r="M1" t="s">
        <v>35</v>
      </c>
      <c r="N1" t="s">
        <v>36</v>
      </c>
      <c r="O1" t="s">
        <v>37</v>
      </c>
      <c r="P1" t="s">
        <v>38</v>
      </c>
      <c r="Q1" t="s">
        <v>39</v>
      </c>
      <c r="R1" t="s">
        <v>40</v>
      </c>
      <c r="S1" t="s">
        <v>41</v>
      </c>
      <c r="T1" t="s">
        <v>42</v>
      </c>
      <c r="U1" t="s">
        <v>43</v>
      </c>
      <c r="V1" t="s">
        <v>44</v>
      </c>
      <c r="W1" t="s">
        <v>45</v>
      </c>
      <c r="X1" t="s">
        <v>46</v>
      </c>
      <c r="Y1" t="s">
        <v>47</v>
      </c>
      <c r="Z1" t="s">
        <v>48</v>
      </c>
      <c r="AA1" t="s">
        <v>49</v>
      </c>
      <c r="AB1" t="s">
        <v>50</v>
      </c>
      <c r="AC1" t="s">
        <v>51</v>
      </c>
      <c r="AD1" t="s">
        <v>52</v>
      </c>
      <c r="AE1" t="s">
        <v>53</v>
      </c>
      <c r="AF1" t="s">
        <v>54</v>
      </c>
      <c r="AG1" t="s">
        <v>55</v>
      </c>
      <c r="AH1" t="s">
        <v>56</v>
      </c>
    </row>
    <row r="2" spans="1:34" x14ac:dyDescent="0.35">
      <c r="A2">
        <v>1.5375000000000001</v>
      </c>
      <c r="B2">
        <v>8.4220000000000006</v>
      </c>
      <c r="C2">
        <v>158.6</v>
      </c>
      <c r="D2">
        <v>55.095999999999997</v>
      </c>
      <c r="E2">
        <v>7.4588999999999999</v>
      </c>
      <c r="F2">
        <v>355.11</v>
      </c>
      <c r="G2">
        <v>27.533999999999999</v>
      </c>
      <c r="H2">
        <v>1.7199</v>
      </c>
      <c r="I2">
        <v>4.8391000000000002</v>
      </c>
      <c r="J2">
        <v>10.942299999999999</v>
      </c>
      <c r="K2">
        <v>16935.13</v>
      </c>
      <c r="L2">
        <v>83.168499999999995</v>
      </c>
      <c r="M2">
        <v>5.7866</v>
      </c>
      <c r="N2">
        <v>83.196100000000001</v>
      </c>
      <c r="O2">
        <v>7.57</v>
      </c>
      <c r="P2">
        <v>117.01</v>
      </c>
      <c r="Q2">
        <v>35.176000000000002</v>
      </c>
      <c r="R2">
        <v>1.0523</v>
      </c>
      <c r="S2">
        <v>1.5508</v>
      </c>
      <c r="T2">
        <v>4.5349000000000004</v>
      </c>
      <c r="U2">
        <v>1.9558</v>
      </c>
      <c r="V2">
        <v>7.6007999999999996</v>
      </c>
      <c r="W2">
        <v>7.6963999999999997</v>
      </c>
      <c r="X2">
        <v>11.6775</v>
      </c>
      <c r="Y2">
        <v>1.82</v>
      </c>
      <c r="Z2">
        <v>20.441299999999998</v>
      </c>
      <c r="AA2">
        <v>1.0867</v>
      </c>
      <c r="AB2">
        <v>26.389500000000002</v>
      </c>
      <c r="AC2">
        <v>3.85</v>
      </c>
      <c r="AD2">
        <v>0.87919999999999998</v>
      </c>
      <c r="AE2">
        <v>1339.66</v>
      </c>
      <c r="AF2">
        <v>4.7436999999999996</v>
      </c>
      <c r="AG2" t="s">
        <v>57</v>
      </c>
      <c r="AH2" s="5">
        <v>43943</v>
      </c>
    </row>
    <row r="7" spans="1:34" x14ac:dyDescent="0.35">
      <c r="C7" t="s">
        <v>58</v>
      </c>
      <c r="D7" t="s">
        <v>59</v>
      </c>
    </row>
    <row r="9" spans="1:34" x14ac:dyDescent="0.35">
      <c r="A9" t="s">
        <v>60</v>
      </c>
    </row>
    <row r="10" spans="1:34" x14ac:dyDescent="0.35">
      <c r="A10" t="s">
        <v>61</v>
      </c>
    </row>
    <row r="11" spans="1:34" x14ac:dyDescent="0.35">
      <c r="A11" t="s">
        <v>62</v>
      </c>
    </row>
    <row r="12" spans="1:34" x14ac:dyDescent="0.35">
      <c r="A12" t="s">
        <v>63</v>
      </c>
    </row>
    <row r="13" spans="1:34" x14ac:dyDescent="0.35">
      <c r="A13" t="s">
        <v>64</v>
      </c>
    </row>
    <row r="14" spans="1:34" x14ac:dyDescent="0.35">
      <c r="A14" t="s">
        <v>65</v>
      </c>
    </row>
    <row r="15" spans="1:34" x14ac:dyDescent="0.35">
      <c r="A15" t="s">
        <v>66</v>
      </c>
    </row>
    <row r="16" spans="1:34" x14ac:dyDescent="0.35">
      <c r="A16" t="s">
        <v>67</v>
      </c>
    </row>
    <row r="17" spans="1:1" x14ac:dyDescent="0.35">
      <c r="A17" t="s">
        <v>68</v>
      </c>
    </row>
    <row r="18" spans="1:1" x14ac:dyDescent="0.35">
      <c r="A18" t="s">
        <v>69</v>
      </c>
    </row>
    <row r="19" spans="1:1" x14ac:dyDescent="0.35">
      <c r="A19" t="s">
        <v>70</v>
      </c>
    </row>
    <row r="20" spans="1:1" x14ac:dyDescent="0.35">
      <c r="A20" t="s">
        <v>71</v>
      </c>
    </row>
    <row r="21" spans="1:1" x14ac:dyDescent="0.35">
      <c r="A21" t="s">
        <v>72</v>
      </c>
    </row>
    <row r="22" spans="1:1" x14ac:dyDescent="0.35">
      <c r="A22" t="s">
        <v>73</v>
      </c>
    </row>
    <row r="23" spans="1:1" x14ac:dyDescent="0.35">
      <c r="A23" t="s">
        <v>74</v>
      </c>
    </row>
    <row r="24" spans="1:1" x14ac:dyDescent="0.35">
      <c r="A24" t="s">
        <v>75</v>
      </c>
    </row>
    <row r="25" spans="1:1" x14ac:dyDescent="0.35">
      <c r="A25" t="s">
        <v>76</v>
      </c>
    </row>
    <row r="26" spans="1:1" x14ac:dyDescent="0.35">
      <c r="A26" t="s">
        <v>77</v>
      </c>
    </row>
    <row r="27" spans="1:1" x14ac:dyDescent="0.35">
      <c r="A27" t="s">
        <v>78</v>
      </c>
    </row>
    <row r="28" spans="1:1" x14ac:dyDescent="0.35">
      <c r="A28" t="s">
        <v>79</v>
      </c>
    </row>
    <row r="29" spans="1:1" x14ac:dyDescent="0.35">
      <c r="A29" t="s">
        <v>80</v>
      </c>
    </row>
    <row r="30" spans="1:1" x14ac:dyDescent="0.35">
      <c r="A30" t="s">
        <v>70</v>
      </c>
    </row>
    <row r="31" spans="1:1" x14ac:dyDescent="0.35">
      <c r="A31" t="s">
        <v>81</v>
      </c>
    </row>
    <row r="32" spans="1:1" x14ac:dyDescent="0.35">
      <c r="A32" t="s">
        <v>82</v>
      </c>
    </row>
    <row r="33" spans="1:1" x14ac:dyDescent="0.35">
      <c r="A33" t="s">
        <v>83</v>
      </c>
    </row>
    <row r="34" spans="1:1" x14ac:dyDescent="0.35">
      <c r="A34" t="s">
        <v>84</v>
      </c>
    </row>
    <row r="35" spans="1:1" x14ac:dyDescent="0.35">
      <c r="A35" t="s">
        <v>85</v>
      </c>
    </row>
    <row r="36" spans="1:1" x14ac:dyDescent="0.35">
      <c r="A36" t="s">
        <v>86</v>
      </c>
    </row>
    <row r="37" spans="1:1" x14ac:dyDescent="0.35">
      <c r="A37" t="s">
        <v>87</v>
      </c>
    </row>
    <row r="38" spans="1:1" x14ac:dyDescent="0.35">
      <c r="A38" t="s">
        <v>88</v>
      </c>
    </row>
    <row r="39" spans="1:1" x14ac:dyDescent="0.35">
      <c r="A39" t="s">
        <v>89</v>
      </c>
    </row>
    <row r="40" spans="1:1" x14ac:dyDescent="0.35">
      <c r="A40" t="s">
        <v>90</v>
      </c>
    </row>
    <row r="41" spans="1:1" x14ac:dyDescent="0.35">
      <c r="A41" t="s">
        <v>91</v>
      </c>
    </row>
    <row r="42" spans="1:1" x14ac:dyDescent="0.35">
      <c r="A42" t="s">
        <v>92</v>
      </c>
    </row>
    <row r="43" spans="1:1" x14ac:dyDescent="0.35">
      <c r="A43" t="s">
        <v>93</v>
      </c>
    </row>
    <row r="44" spans="1:1" x14ac:dyDescent="0.35">
      <c r="A44" t="s">
        <v>94</v>
      </c>
    </row>
    <row r="45" spans="1:1" x14ac:dyDescent="0.35">
      <c r="A45" t="s">
        <v>70</v>
      </c>
    </row>
    <row r="46" spans="1:1" x14ac:dyDescent="0.35">
      <c r="A46" t="s">
        <v>95</v>
      </c>
    </row>
    <row r="47" spans="1:1" x14ac:dyDescent="0.35">
      <c r="A47" t="s">
        <v>96</v>
      </c>
    </row>
    <row r="48" spans="1:1" x14ac:dyDescent="0.35">
      <c r="A48" t="s">
        <v>83</v>
      </c>
    </row>
    <row r="49" spans="1:1" x14ac:dyDescent="0.35">
      <c r="A49" t="s">
        <v>84</v>
      </c>
    </row>
    <row r="50" spans="1:1" x14ac:dyDescent="0.35">
      <c r="A50" t="s">
        <v>97</v>
      </c>
    </row>
    <row r="51" spans="1:1" x14ac:dyDescent="0.35">
      <c r="A51" t="s">
        <v>98</v>
      </c>
    </row>
    <row r="52" spans="1:1" x14ac:dyDescent="0.35">
      <c r="A52" t="s">
        <v>99</v>
      </c>
    </row>
    <row r="53" spans="1:1" x14ac:dyDescent="0.35">
      <c r="A53" t="s">
        <v>100</v>
      </c>
    </row>
    <row r="54" spans="1:1" x14ac:dyDescent="0.35">
      <c r="A54" t="s">
        <v>101</v>
      </c>
    </row>
    <row r="55" spans="1:1" x14ac:dyDescent="0.35">
      <c r="A55" t="s">
        <v>102</v>
      </c>
    </row>
    <row r="56" spans="1:1" x14ac:dyDescent="0.35">
      <c r="A56" t="s">
        <v>103</v>
      </c>
    </row>
    <row r="57" spans="1:1" x14ac:dyDescent="0.35">
      <c r="A57" t="s">
        <v>104</v>
      </c>
    </row>
    <row r="58" spans="1:1" x14ac:dyDescent="0.35">
      <c r="A58" t="s">
        <v>105</v>
      </c>
    </row>
    <row r="59" spans="1:1" x14ac:dyDescent="0.35">
      <c r="A59" t="s">
        <v>94</v>
      </c>
    </row>
    <row r="60" spans="1:1" x14ac:dyDescent="0.35">
      <c r="A60" t="s">
        <v>70</v>
      </c>
    </row>
    <row r="61" spans="1:1" x14ac:dyDescent="0.35">
      <c r="A61" t="s">
        <v>106</v>
      </c>
    </row>
    <row r="62" spans="1:1" x14ac:dyDescent="0.35">
      <c r="A62" t="s">
        <v>107</v>
      </c>
    </row>
    <row r="63" spans="1:1" x14ac:dyDescent="0.35">
      <c r="A63" t="s">
        <v>83</v>
      </c>
    </row>
    <row r="64" spans="1:1" x14ac:dyDescent="0.35">
      <c r="A64" t="s">
        <v>84</v>
      </c>
    </row>
    <row r="65" spans="1:1" x14ac:dyDescent="0.35">
      <c r="A65" t="s">
        <v>108</v>
      </c>
    </row>
    <row r="66" spans="1:1" x14ac:dyDescent="0.35">
      <c r="A66" t="s">
        <v>109</v>
      </c>
    </row>
    <row r="67" spans="1:1" x14ac:dyDescent="0.35">
      <c r="A67" t="s">
        <v>110</v>
      </c>
    </row>
    <row r="68" spans="1:1" x14ac:dyDescent="0.35">
      <c r="A68" t="s">
        <v>111</v>
      </c>
    </row>
    <row r="69" spans="1:1" x14ac:dyDescent="0.35">
      <c r="A69" t="s">
        <v>112</v>
      </c>
    </row>
    <row r="70" spans="1:1" x14ac:dyDescent="0.35">
      <c r="A70" t="s">
        <v>113</v>
      </c>
    </row>
    <row r="71" spans="1:1" x14ac:dyDescent="0.35">
      <c r="A71" t="s">
        <v>114</v>
      </c>
    </row>
    <row r="72" spans="1:1" x14ac:dyDescent="0.35">
      <c r="A72" t="s">
        <v>115</v>
      </c>
    </row>
    <row r="73" spans="1:1" x14ac:dyDescent="0.35">
      <c r="A73" t="s">
        <v>116</v>
      </c>
    </row>
    <row r="74" spans="1:1" x14ac:dyDescent="0.35">
      <c r="A74" t="s">
        <v>94</v>
      </c>
    </row>
    <row r="75" spans="1:1" x14ac:dyDescent="0.35">
      <c r="A75" t="s">
        <v>70</v>
      </c>
    </row>
    <row r="76" spans="1:1" x14ac:dyDescent="0.35">
      <c r="A76" t="s">
        <v>117</v>
      </c>
    </row>
    <row r="77" spans="1:1" x14ac:dyDescent="0.35">
      <c r="A77" t="s">
        <v>118</v>
      </c>
    </row>
    <row r="78" spans="1:1" x14ac:dyDescent="0.35">
      <c r="A78" t="s">
        <v>83</v>
      </c>
    </row>
    <row r="79" spans="1:1" x14ac:dyDescent="0.35">
      <c r="A79" t="s">
        <v>84</v>
      </c>
    </row>
    <row r="80" spans="1:1" x14ac:dyDescent="0.35">
      <c r="A80" t="s">
        <v>119</v>
      </c>
    </row>
    <row r="81" spans="1:1" x14ac:dyDescent="0.35">
      <c r="A81" t="s">
        <v>120</v>
      </c>
    </row>
    <row r="82" spans="1:1" x14ac:dyDescent="0.35">
      <c r="A82" t="s">
        <v>121</v>
      </c>
    </row>
    <row r="83" spans="1:1" x14ac:dyDescent="0.35">
      <c r="A83" t="s">
        <v>122</v>
      </c>
    </row>
    <row r="84" spans="1:1" x14ac:dyDescent="0.35">
      <c r="A84" t="s">
        <v>123</v>
      </c>
    </row>
    <row r="85" spans="1:1" x14ac:dyDescent="0.35">
      <c r="A85" t="s">
        <v>102</v>
      </c>
    </row>
    <row r="86" spans="1:1" x14ac:dyDescent="0.35">
      <c r="A86" t="s">
        <v>124</v>
      </c>
    </row>
    <row r="87" spans="1:1" x14ac:dyDescent="0.35">
      <c r="A87" t="s">
        <v>125</v>
      </c>
    </row>
    <row r="88" spans="1:1" x14ac:dyDescent="0.35">
      <c r="A88" t="s">
        <v>126</v>
      </c>
    </row>
    <row r="89" spans="1:1" x14ac:dyDescent="0.35">
      <c r="A89" t="s">
        <v>94</v>
      </c>
    </row>
    <row r="90" spans="1:1" x14ac:dyDescent="0.35">
      <c r="A90" t="s">
        <v>70</v>
      </c>
    </row>
    <row r="91" spans="1:1" x14ac:dyDescent="0.35">
      <c r="A91" t="s">
        <v>127</v>
      </c>
    </row>
    <row r="92" spans="1:1" x14ac:dyDescent="0.35">
      <c r="A92" t="s">
        <v>128</v>
      </c>
    </row>
    <row r="93" spans="1:1" x14ac:dyDescent="0.35">
      <c r="A93" t="s">
        <v>83</v>
      </c>
    </row>
    <row r="94" spans="1:1" x14ac:dyDescent="0.35">
      <c r="A94" t="s">
        <v>84</v>
      </c>
    </row>
    <row r="95" spans="1:1" x14ac:dyDescent="0.35">
      <c r="A95" t="s">
        <v>129</v>
      </c>
    </row>
    <row r="96" spans="1:1" x14ac:dyDescent="0.35">
      <c r="A96" t="s">
        <v>130</v>
      </c>
    </row>
    <row r="97" spans="1:1" x14ac:dyDescent="0.35">
      <c r="A97" t="s">
        <v>131</v>
      </c>
    </row>
    <row r="98" spans="1:1" x14ac:dyDescent="0.35">
      <c r="A98" t="s">
        <v>132</v>
      </c>
    </row>
    <row r="99" spans="1:1" x14ac:dyDescent="0.35">
      <c r="A99" t="s">
        <v>133</v>
      </c>
    </row>
    <row r="100" spans="1:1" x14ac:dyDescent="0.35">
      <c r="A100" t="s">
        <v>102</v>
      </c>
    </row>
    <row r="101" spans="1:1" x14ac:dyDescent="0.35">
      <c r="A101" t="s">
        <v>134</v>
      </c>
    </row>
    <row r="102" spans="1:1" x14ac:dyDescent="0.35">
      <c r="A102" t="s">
        <v>135</v>
      </c>
    </row>
    <row r="103" spans="1:1" x14ac:dyDescent="0.35">
      <c r="A103" t="s">
        <v>136</v>
      </c>
    </row>
    <row r="104" spans="1:1" x14ac:dyDescent="0.35">
      <c r="A104" t="s">
        <v>94</v>
      </c>
    </row>
    <row r="105" spans="1:1" x14ac:dyDescent="0.35">
      <c r="A105" t="s">
        <v>70</v>
      </c>
    </row>
    <row r="106" spans="1:1" x14ac:dyDescent="0.35">
      <c r="A106" t="s">
        <v>137</v>
      </c>
    </row>
    <row r="107" spans="1:1" x14ac:dyDescent="0.35">
      <c r="A107" t="s">
        <v>138</v>
      </c>
    </row>
    <row r="108" spans="1:1" x14ac:dyDescent="0.35">
      <c r="A108" t="s">
        <v>83</v>
      </c>
    </row>
    <row r="109" spans="1:1" x14ac:dyDescent="0.35">
      <c r="A109" t="s">
        <v>84</v>
      </c>
    </row>
    <row r="110" spans="1:1" x14ac:dyDescent="0.35">
      <c r="A110" t="s">
        <v>139</v>
      </c>
    </row>
    <row r="111" spans="1:1" x14ac:dyDescent="0.35">
      <c r="A111" t="s">
        <v>140</v>
      </c>
    </row>
    <row r="112" spans="1:1" x14ac:dyDescent="0.35">
      <c r="A112" t="s">
        <v>141</v>
      </c>
    </row>
    <row r="113" spans="1:1" x14ac:dyDescent="0.35">
      <c r="A113" t="s">
        <v>142</v>
      </c>
    </row>
    <row r="114" spans="1:1" x14ac:dyDescent="0.35">
      <c r="A114" t="s">
        <v>143</v>
      </c>
    </row>
    <row r="115" spans="1:1" x14ac:dyDescent="0.35">
      <c r="A115" t="s">
        <v>102</v>
      </c>
    </row>
    <row r="116" spans="1:1" x14ac:dyDescent="0.35">
      <c r="A116" t="s">
        <v>144</v>
      </c>
    </row>
    <row r="117" spans="1:1" x14ac:dyDescent="0.35">
      <c r="A117" t="s">
        <v>145</v>
      </c>
    </row>
    <row r="118" spans="1:1" x14ac:dyDescent="0.35">
      <c r="A118" t="s">
        <v>146</v>
      </c>
    </row>
    <row r="119" spans="1:1" x14ac:dyDescent="0.35">
      <c r="A119" t="s">
        <v>94</v>
      </c>
    </row>
    <row r="120" spans="1:1" x14ac:dyDescent="0.35">
      <c r="A120" t="s">
        <v>70</v>
      </c>
    </row>
    <row r="121" spans="1:1" x14ac:dyDescent="0.35">
      <c r="A121" t="s">
        <v>147</v>
      </c>
    </row>
    <row r="122" spans="1:1" x14ac:dyDescent="0.35">
      <c r="A122" t="s">
        <v>148</v>
      </c>
    </row>
    <row r="123" spans="1:1" x14ac:dyDescent="0.35">
      <c r="A123" t="s">
        <v>149</v>
      </c>
    </row>
    <row r="124" spans="1:1" x14ac:dyDescent="0.35">
      <c r="A124" t="s">
        <v>84</v>
      </c>
    </row>
    <row r="125" spans="1:1" x14ac:dyDescent="0.35">
      <c r="A125" t="s">
        <v>108</v>
      </c>
    </row>
    <row r="126" spans="1:1" x14ac:dyDescent="0.35">
      <c r="A126" t="s">
        <v>109</v>
      </c>
    </row>
    <row r="127" spans="1:1" x14ac:dyDescent="0.35">
      <c r="A127" t="s">
        <v>110</v>
      </c>
    </row>
    <row r="128" spans="1:1" x14ac:dyDescent="0.35">
      <c r="A128" t="s">
        <v>150</v>
      </c>
    </row>
    <row r="129" spans="1:1" x14ac:dyDescent="0.35">
      <c r="A129" t="s">
        <v>151</v>
      </c>
    </row>
    <row r="130" spans="1:1" x14ac:dyDescent="0.35">
      <c r="A130" t="s">
        <v>152</v>
      </c>
    </row>
    <row r="131" spans="1:1" x14ac:dyDescent="0.35">
      <c r="A131" t="s">
        <v>153</v>
      </c>
    </row>
    <row r="132" spans="1:1" x14ac:dyDescent="0.35">
      <c r="A132" t="s">
        <v>154</v>
      </c>
    </row>
    <row r="133" spans="1:1" x14ac:dyDescent="0.35">
      <c r="A133" t="s">
        <v>155</v>
      </c>
    </row>
    <row r="134" spans="1:1" x14ac:dyDescent="0.35">
      <c r="A134" t="s">
        <v>94</v>
      </c>
    </row>
    <row r="135" spans="1:1" x14ac:dyDescent="0.35">
      <c r="A135" t="s">
        <v>70</v>
      </c>
    </row>
    <row r="136" spans="1:1" x14ac:dyDescent="0.35">
      <c r="A136" t="s">
        <v>156</v>
      </c>
    </row>
    <row r="137" spans="1:1" x14ac:dyDescent="0.35">
      <c r="A137" t="s">
        <v>157</v>
      </c>
    </row>
    <row r="138" spans="1:1" x14ac:dyDescent="0.35">
      <c r="A138" t="s">
        <v>83</v>
      </c>
    </row>
    <row r="139" spans="1:1" x14ac:dyDescent="0.35">
      <c r="A139" t="s">
        <v>84</v>
      </c>
    </row>
    <row r="140" spans="1:1" x14ac:dyDescent="0.35">
      <c r="A140" t="s">
        <v>158</v>
      </c>
    </row>
    <row r="141" spans="1:1" x14ac:dyDescent="0.35">
      <c r="A141" t="s">
        <v>159</v>
      </c>
    </row>
    <row r="142" spans="1:1" x14ac:dyDescent="0.35">
      <c r="A142" t="s">
        <v>160</v>
      </c>
    </row>
    <row r="143" spans="1:1" x14ac:dyDescent="0.35">
      <c r="A143" t="s">
        <v>161</v>
      </c>
    </row>
    <row r="144" spans="1:1" x14ac:dyDescent="0.35">
      <c r="A144" t="s">
        <v>162</v>
      </c>
    </row>
    <row r="145" spans="1:1" x14ac:dyDescent="0.35">
      <c r="A145" t="s">
        <v>102</v>
      </c>
    </row>
    <row r="146" spans="1:1" x14ac:dyDescent="0.35">
      <c r="A146" t="s">
        <v>163</v>
      </c>
    </row>
    <row r="147" spans="1:1" x14ac:dyDescent="0.35">
      <c r="A147" t="s">
        <v>164</v>
      </c>
    </row>
    <row r="148" spans="1:1" x14ac:dyDescent="0.35">
      <c r="A148" t="s">
        <v>165</v>
      </c>
    </row>
    <row r="149" spans="1:1" x14ac:dyDescent="0.35">
      <c r="A149" t="s">
        <v>94</v>
      </c>
    </row>
    <row r="150" spans="1:1" x14ac:dyDescent="0.35">
      <c r="A150" t="s">
        <v>70</v>
      </c>
    </row>
    <row r="151" spans="1:1" x14ac:dyDescent="0.35">
      <c r="A151" t="s">
        <v>166</v>
      </c>
    </row>
    <row r="152" spans="1:1" x14ac:dyDescent="0.35">
      <c r="A152" t="s">
        <v>167</v>
      </c>
    </row>
    <row r="153" spans="1:1" x14ac:dyDescent="0.35">
      <c r="A153" t="s">
        <v>83</v>
      </c>
    </row>
    <row r="154" spans="1:1" x14ac:dyDescent="0.35">
      <c r="A154" t="s">
        <v>84</v>
      </c>
    </row>
    <row r="155" spans="1:1" x14ac:dyDescent="0.35">
      <c r="A155" t="s">
        <v>168</v>
      </c>
    </row>
    <row r="156" spans="1:1" x14ac:dyDescent="0.35">
      <c r="A156" t="s">
        <v>169</v>
      </c>
    </row>
    <row r="157" spans="1:1" x14ac:dyDescent="0.35">
      <c r="A157" t="s">
        <v>170</v>
      </c>
    </row>
    <row r="158" spans="1:1" x14ac:dyDescent="0.35">
      <c r="A158" t="s">
        <v>171</v>
      </c>
    </row>
    <row r="159" spans="1:1" x14ac:dyDescent="0.35">
      <c r="A159" t="s">
        <v>172</v>
      </c>
    </row>
    <row r="160" spans="1:1" x14ac:dyDescent="0.35">
      <c r="A160" t="s">
        <v>102</v>
      </c>
    </row>
    <row r="161" spans="1:1" x14ac:dyDescent="0.35">
      <c r="A161" t="s">
        <v>173</v>
      </c>
    </row>
    <row r="162" spans="1:1" x14ac:dyDescent="0.35">
      <c r="A162" t="s">
        <v>174</v>
      </c>
    </row>
    <row r="163" spans="1:1" x14ac:dyDescent="0.35">
      <c r="A163" t="s">
        <v>175</v>
      </c>
    </row>
    <row r="164" spans="1:1" x14ac:dyDescent="0.35">
      <c r="A164" t="s">
        <v>94</v>
      </c>
    </row>
    <row r="165" spans="1:1" x14ac:dyDescent="0.35">
      <c r="A165" t="s">
        <v>70</v>
      </c>
    </row>
    <row r="166" spans="1:1" x14ac:dyDescent="0.35">
      <c r="A166" t="s">
        <v>176</v>
      </c>
    </row>
    <row r="167" spans="1:1" x14ac:dyDescent="0.35">
      <c r="A167" t="s">
        <v>177</v>
      </c>
    </row>
    <row r="168" spans="1:1" x14ac:dyDescent="0.35">
      <c r="A168" t="s">
        <v>83</v>
      </c>
    </row>
    <row r="169" spans="1:1" x14ac:dyDescent="0.35">
      <c r="A169" t="s">
        <v>178</v>
      </c>
    </row>
    <row r="170" spans="1:1" x14ac:dyDescent="0.35">
      <c r="A170" t="s">
        <v>168</v>
      </c>
    </row>
    <row r="171" spans="1:1" x14ac:dyDescent="0.35">
      <c r="A171" t="s">
        <v>169</v>
      </c>
    </row>
    <row r="172" spans="1:1" x14ac:dyDescent="0.35">
      <c r="A172" t="s">
        <v>170</v>
      </c>
    </row>
    <row r="173" spans="1:1" x14ac:dyDescent="0.35">
      <c r="A173" t="s">
        <v>179</v>
      </c>
    </row>
    <row r="174" spans="1:1" x14ac:dyDescent="0.35">
      <c r="A174" t="s">
        <v>180</v>
      </c>
    </row>
    <row r="175" spans="1:1" x14ac:dyDescent="0.35">
      <c r="A175" t="s">
        <v>102</v>
      </c>
    </row>
    <row r="176" spans="1:1" x14ac:dyDescent="0.35">
      <c r="A176" t="s">
        <v>181</v>
      </c>
    </row>
    <row r="177" spans="1:1" x14ac:dyDescent="0.35">
      <c r="A177" t="s">
        <v>182</v>
      </c>
    </row>
    <row r="178" spans="1:1" x14ac:dyDescent="0.35">
      <c r="A178" t="s">
        <v>183</v>
      </c>
    </row>
    <row r="179" spans="1:1" x14ac:dyDescent="0.35">
      <c r="A179" t="s">
        <v>94</v>
      </c>
    </row>
    <row r="180" spans="1:1" x14ac:dyDescent="0.35">
      <c r="A180" t="s">
        <v>70</v>
      </c>
    </row>
    <row r="181" spans="1:1" x14ac:dyDescent="0.35">
      <c r="A181" t="s">
        <v>184</v>
      </c>
    </row>
    <row r="182" spans="1:1" x14ac:dyDescent="0.35">
      <c r="A182" t="s">
        <v>185</v>
      </c>
    </row>
    <row r="183" spans="1:1" x14ac:dyDescent="0.35">
      <c r="A183" t="s">
        <v>83</v>
      </c>
    </row>
    <row r="184" spans="1:1" x14ac:dyDescent="0.35">
      <c r="A184" t="s">
        <v>84</v>
      </c>
    </row>
    <row r="185" spans="1:1" x14ac:dyDescent="0.35">
      <c r="A185" t="s">
        <v>186</v>
      </c>
    </row>
    <row r="186" spans="1:1" x14ac:dyDescent="0.35">
      <c r="A186" t="s">
        <v>187</v>
      </c>
    </row>
    <row r="187" spans="1:1" x14ac:dyDescent="0.35">
      <c r="A187" t="s">
        <v>188</v>
      </c>
    </row>
    <row r="188" spans="1:1" x14ac:dyDescent="0.35">
      <c r="A188" t="s">
        <v>171</v>
      </c>
    </row>
    <row r="189" spans="1:1" x14ac:dyDescent="0.35">
      <c r="A189" t="s">
        <v>189</v>
      </c>
    </row>
    <row r="190" spans="1:1" x14ac:dyDescent="0.35">
      <c r="A190" t="s">
        <v>102</v>
      </c>
    </row>
    <row r="191" spans="1:1" x14ac:dyDescent="0.35">
      <c r="A191" t="s">
        <v>190</v>
      </c>
    </row>
    <row r="192" spans="1:1" x14ac:dyDescent="0.35">
      <c r="A192" t="s">
        <v>174</v>
      </c>
    </row>
    <row r="193" spans="1:1" x14ac:dyDescent="0.35">
      <c r="A193" t="s">
        <v>191</v>
      </c>
    </row>
    <row r="194" spans="1:1" x14ac:dyDescent="0.35">
      <c r="A194" t="s">
        <v>94</v>
      </c>
    </row>
    <row r="195" spans="1:1" x14ac:dyDescent="0.35">
      <c r="A195" t="s">
        <v>70</v>
      </c>
    </row>
    <row r="196" spans="1:1" x14ac:dyDescent="0.35">
      <c r="A196" t="s">
        <v>192</v>
      </c>
    </row>
    <row r="197" spans="1:1" x14ac:dyDescent="0.35">
      <c r="A197" t="s">
        <v>193</v>
      </c>
    </row>
    <row r="198" spans="1:1" x14ac:dyDescent="0.35">
      <c r="A198" t="s">
        <v>149</v>
      </c>
    </row>
    <row r="199" spans="1:1" x14ac:dyDescent="0.35">
      <c r="A199" t="s">
        <v>84</v>
      </c>
    </row>
    <row r="200" spans="1:1" x14ac:dyDescent="0.35">
      <c r="A200" t="s">
        <v>158</v>
      </c>
    </row>
    <row r="201" spans="1:1" x14ac:dyDescent="0.35">
      <c r="A201" t="s">
        <v>159</v>
      </c>
    </row>
    <row r="202" spans="1:1" x14ac:dyDescent="0.35">
      <c r="A202" t="s">
        <v>160</v>
      </c>
    </row>
    <row r="203" spans="1:1" x14ac:dyDescent="0.35">
      <c r="A203" t="s">
        <v>194</v>
      </c>
    </row>
    <row r="204" spans="1:1" x14ac:dyDescent="0.35">
      <c r="A204" t="s">
        <v>195</v>
      </c>
    </row>
    <row r="205" spans="1:1" x14ac:dyDescent="0.35">
      <c r="A205" t="s">
        <v>102</v>
      </c>
    </row>
    <row r="206" spans="1:1" x14ac:dyDescent="0.35">
      <c r="A206" t="s">
        <v>196</v>
      </c>
    </row>
    <row r="207" spans="1:1" x14ac:dyDescent="0.35">
      <c r="A207" t="s">
        <v>197</v>
      </c>
    </row>
    <row r="208" spans="1:1" x14ac:dyDescent="0.35">
      <c r="A208" t="s">
        <v>198</v>
      </c>
    </row>
    <row r="209" spans="1:1" x14ac:dyDescent="0.35">
      <c r="A209" t="s">
        <v>94</v>
      </c>
    </row>
    <row r="210" spans="1:1" x14ac:dyDescent="0.35">
      <c r="A210" t="s">
        <v>70</v>
      </c>
    </row>
    <row r="211" spans="1:1" x14ac:dyDescent="0.35">
      <c r="A211" t="s">
        <v>199</v>
      </c>
    </row>
    <row r="212" spans="1:1" x14ac:dyDescent="0.35">
      <c r="A212" t="s">
        <v>200</v>
      </c>
    </row>
    <row r="213" spans="1:1" x14ac:dyDescent="0.35">
      <c r="A213" t="s">
        <v>83</v>
      </c>
    </row>
    <row r="214" spans="1:1" x14ac:dyDescent="0.35">
      <c r="A214" t="s">
        <v>178</v>
      </c>
    </row>
    <row r="215" spans="1:1" x14ac:dyDescent="0.35">
      <c r="A215" t="s">
        <v>97</v>
      </c>
    </row>
    <row r="216" spans="1:1" x14ac:dyDescent="0.35">
      <c r="A216" t="s">
        <v>98</v>
      </c>
    </row>
    <row r="217" spans="1:1" x14ac:dyDescent="0.35">
      <c r="A217" t="s">
        <v>99</v>
      </c>
    </row>
    <row r="218" spans="1:1" x14ac:dyDescent="0.35">
      <c r="A218" t="s">
        <v>201</v>
      </c>
    </row>
    <row r="219" spans="1:1" x14ac:dyDescent="0.35">
      <c r="A219" t="s">
        <v>202</v>
      </c>
    </row>
    <row r="220" spans="1:1" x14ac:dyDescent="0.35">
      <c r="A220" t="s">
        <v>102</v>
      </c>
    </row>
    <row r="221" spans="1:1" x14ac:dyDescent="0.35">
      <c r="A221" t="s">
        <v>203</v>
      </c>
    </row>
    <row r="222" spans="1:1" x14ac:dyDescent="0.35">
      <c r="A222" t="s">
        <v>204</v>
      </c>
    </row>
    <row r="223" spans="1:1" x14ac:dyDescent="0.35">
      <c r="A223" t="s">
        <v>205</v>
      </c>
    </row>
    <row r="224" spans="1:1" x14ac:dyDescent="0.35">
      <c r="A224" t="s">
        <v>94</v>
      </c>
    </row>
    <row r="225" spans="1:1" x14ac:dyDescent="0.35">
      <c r="A225" t="s">
        <v>70</v>
      </c>
    </row>
    <row r="226" spans="1:1" x14ac:dyDescent="0.35">
      <c r="A226" t="s">
        <v>206</v>
      </c>
    </row>
    <row r="227" spans="1:1" x14ac:dyDescent="0.35">
      <c r="A227" t="s">
        <v>207</v>
      </c>
    </row>
    <row r="228" spans="1:1" x14ac:dyDescent="0.35">
      <c r="A228" t="s">
        <v>149</v>
      </c>
    </row>
    <row r="229" spans="1:1" x14ac:dyDescent="0.35">
      <c r="A229" t="s">
        <v>84</v>
      </c>
    </row>
    <row r="230" spans="1:1" x14ac:dyDescent="0.35">
      <c r="A230" t="s">
        <v>208</v>
      </c>
    </row>
    <row r="231" spans="1:1" x14ac:dyDescent="0.35">
      <c r="A231" t="s">
        <v>209</v>
      </c>
    </row>
    <row r="232" spans="1:1" x14ac:dyDescent="0.35">
      <c r="A232" t="s">
        <v>210</v>
      </c>
    </row>
    <row r="233" spans="1:1" x14ac:dyDescent="0.35">
      <c r="A233" t="s">
        <v>211</v>
      </c>
    </row>
    <row r="234" spans="1:1" x14ac:dyDescent="0.35">
      <c r="A234" t="s">
        <v>212</v>
      </c>
    </row>
    <row r="235" spans="1:1" x14ac:dyDescent="0.35">
      <c r="A235" t="s">
        <v>102</v>
      </c>
    </row>
    <row r="236" spans="1:1" x14ac:dyDescent="0.35">
      <c r="A236" t="s">
        <v>213</v>
      </c>
    </row>
    <row r="237" spans="1:1" x14ac:dyDescent="0.35">
      <c r="A237" t="s">
        <v>214</v>
      </c>
    </row>
    <row r="238" spans="1:1" x14ac:dyDescent="0.35">
      <c r="A238" t="s">
        <v>215</v>
      </c>
    </row>
    <row r="239" spans="1:1" x14ac:dyDescent="0.35">
      <c r="A239" t="s">
        <v>94</v>
      </c>
    </row>
    <row r="240" spans="1:1" x14ac:dyDescent="0.35">
      <c r="A240" t="s">
        <v>70</v>
      </c>
    </row>
    <row r="241" spans="1:1" x14ac:dyDescent="0.35">
      <c r="A241" t="s">
        <v>216</v>
      </c>
    </row>
    <row r="242" spans="1:1" x14ac:dyDescent="0.35">
      <c r="A242" t="s">
        <v>217</v>
      </c>
    </row>
    <row r="243" spans="1:1" x14ac:dyDescent="0.35">
      <c r="A243" t="s">
        <v>149</v>
      </c>
    </row>
    <row r="244" spans="1:1" x14ac:dyDescent="0.35">
      <c r="A244" t="s">
        <v>84</v>
      </c>
    </row>
    <row r="245" spans="1:1" x14ac:dyDescent="0.35">
      <c r="A245" t="s">
        <v>139</v>
      </c>
    </row>
    <row r="246" spans="1:1" x14ac:dyDescent="0.35">
      <c r="A246" t="s">
        <v>140</v>
      </c>
    </row>
    <row r="247" spans="1:1" x14ac:dyDescent="0.35">
      <c r="A247" t="s">
        <v>141</v>
      </c>
    </row>
    <row r="248" spans="1:1" x14ac:dyDescent="0.35">
      <c r="A248" t="s">
        <v>218</v>
      </c>
    </row>
    <row r="249" spans="1:1" x14ac:dyDescent="0.35">
      <c r="A249" t="s">
        <v>219</v>
      </c>
    </row>
    <row r="250" spans="1:1" x14ac:dyDescent="0.35">
      <c r="A250" t="s">
        <v>102</v>
      </c>
    </row>
    <row r="251" spans="1:1" x14ac:dyDescent="0.35">
      <c r="A251" t="s">
        <v>220</v>
      </c>
    </row>
    <row r="252" spans="1:1" x14ac:dyDescent="0.35">
      <c r="A252" t="s">
        <v>221</v>
      </c>
    </row>
    <row r="253" spans="1:1" x14ac:dyDescent="0.35">
      <c r="A253" t="s">
        <v>222</v>
      </c>
    </row>
    <row r="254" spans="1:1" x14ac:dyDescent="0.35">
      <c r="A254" t="s">
        <v>94</v>
      </c>
    </row>
    <row r="255" spans="1:1" x14ac:dyDescent="0.35">
      <c r="A255" t="s">
        <v>70</v>
      </c>
    </row>
    <row r="256" spans="1:1" x14ac:dyDescent="0.35">
      <c r="A256" t="s">
        <v>223</v>
      </c>
    </row>
    <row r="257" spans="1:1" x14ac:dyDescent="0.35">
      <c r="A257" t="s">
        <v>224</v>
      </c>
    </row>
    <row r="258" spans="1:1" x14ac:dyDescent="0.35">
      <c r="A258" t="s">
        <v>83</v>
      </c>
    </row>
    <row r="259" spans="1:1" x14ac:dyDescent="0.35">
      <c r="A259" t="s">
        <v>84</v>
      </c>
    </row>
    <row r="260" spans="1:1" x14ac:dyDescent="0.35">
      <c r="A260" t="s">
        <v>225</v>
      </c>
    </row>
    <row r="261" spans="1:1" x14ac:dyDescent="0.35">
      <c r="A261" t="s">
        <v>226</v>
      </c>
    </row>
    <row r="262" spans="1:1" x14ac:dyDescent="0.35">
      <c r="A262" t="s">
        <v>227</v>
      </c>
    </row>
    <row r="263" spans="1:1" x14ac:dyDescent="0.35">
      <c r="A263" t="s">
        <v>228</v>
      </c>
    </row>
    <row r="264" spans="1:1" x14ac:dyDescent="0.35">
      <c r="A264" t="s">
        <v>229</v>
      </c>
    </row>
    <row r="265" spans="1:1" x14ac:dyDescent="0.35">
      <c r="A265" t="s">
        <v>230</v>
      </c>
    </row>
    <row r="266" spans="1:1" x14ac:dyDescent="0.35">
      <c r="A266" t="s">
        <v>231</v>
      </c>
    </row>
    <row r="267" spans="1:1" x14ac:dyDescent="0.35">
      <c r="A267" t="s">
        <v>232</v>
      </c>
    </row>
    <row r="268" spans="1:1" x14ac:dyDescent="0.35">
      <c r="A268" t="s">
        <v>233</v>
      </c>
    </row>
    <row r="269" spans="1:1" x14ac:dyDescent="0.35">
      <c r="A269" t="s">
        <v>94</v>
      </c>
    </row>
    <row r="270" spans="1:1" x14ac:dyDescent="0.35">
      <c r="A270" t="s">
        <v>70</v>
      </c>
    </row>
    <row r="271" spans="1:1" x14ac:dyDescent="0.35">
      <c r="A271" t="s">
        <v>234</v>
      </c>
    </row>
    <row r="272" spans="1:1" x14ac:dyDescent="0.35">
      <c r="A272" t="s">
        <v>235</v>
      </c>
    </row>
    <row r="273" spans="1:1" x14ac:dyDescent="0.35">
      <c r="A273" t="s">
        <v>236</v>
      </c>
    </row>
    <row r="274" spans="1:1" x14ac:dyDescent="0.35">
      <c r="A274" t="s">
        <v>84</v>
      </c>
    </row>
    <row r="275" spans="1:1" x14ac:dyDescent="0.35">
      <c r="A275" t="s">
        <v>237</v>
      </c>
    </row>
    <row r="276" spans="1:1" x14ac:dyDescent="0.35">
      <c r="A276" t="s">
        <v>238</v>
      </c>
    </row>
    <row r="277" spans="1:1" x14ac:dyDescent="0.35">
      <c r="A277" t="s">
        <v>188</v>
      </c>
    </row>
    <row r="278" spans="1:1" x14ac:dyDescent="0.35">
      <c r="A278" t="s">
        <v>239</v>
      </c>
    </row>
    <row r="279" spans="1:1" x14ac:dyDescent="0.35">
      <c r="A279" t="s">
        <v>240</v>
      </c>
    </row>
    <row r="280" spans="1:1" x14ac:dyDescent="0.35">
      <c r="A280" t="s">
        <v>241</v>
      </c>
    </row>
    <row r="281" spans="1:1" x14ac:dyDescent="0.35">
      <c r="A281" t="s">
        <v>242</v>
      </c>
    </row>
    <row r="282" spans="1:1" x14ac:dyDescent="0.35">
      <c r="A282" t="s">
        <v>243</v>
      </c>
    </row>
    <row r="283" spans="1:1" x14ac:dyDescent="0.35">
      <c r="A283" t="s">
        <v>244</v>
      </c>
    </row>
    <row r="284" spans="1:1" x14ac:dyDescent="0.35">
      <c r="A284" t="s">
        <v>94</v>
      </c>
    </row>
    <row r="285" spans="1:1" x14ac:dyDescent="0.35">
      <c r="A285" t="s">
        <v>70</v>
      </c>
    </row>
    <row r="286" spans="1:1" x14ac:dyDescent="0.35">
      <c r="A286" t="s">
        <v>245</v>
      </c>
    </row>
    <row r="287" spans="1:1" x14ac:dyDescent="0.35">
      <c r="A287" t="s">
        <v>246</v>
      </c>
    </row>
    <row r="288" spans="1:1" x14ac:dyDescent="0.35">
      <c r="A288" t="s">
        <v>83</v>
      </c>
    </row>
    <row r="289" spans="1:1" x14ac:dyDescent="0.35">
      <c r="A289" t="s">
        <v>84</v>
      </c>
    </row>
    <row r="290" spans="1:1" x14ac:dyDescent="0.35">
      <c r="A290" t="s">
        <v>247</v>
      </c>
    </row>
    <row r="291" spans="1:1" x14ac:dyDescent="0.35">
      <c r="A291" t="s">
        <v>248</v>
      </c>
    </row>
    <row r="292" spans="1:1" x14ac:dyDescent="0.35">
      <c r="A292" t="s">
        <v>249</v>
      </c>
    </row>
    <row r="293" spans="1:1" x14ac:dyDescent="0.35">
      <c r="A293" t="s">
        <v>250</v>
      </c>
    </row>
    <row r="294" spans="1:1" x14ac:dyDescent="0.35">
      <c r="A294" t="s">
        <v>251</v>
      </c>
    </row>
    <row r="295" spans="1:1" x14ac:dyDescent="0.35">
      <c r="A295" t="s">
        <v>102</v>
      </c>
    </row>
    <row r="296" spans="1:1" x14ac:dyDescent="0.35">
      <c r="A296" t="s">
        <v>252</v>
      </c>
    </row>
    <row r="297" spans="1:1" x14ac:dyDescent="0.35">
      <c r="A297" t="s">
        <v>253</v>
      </c>
    </row>
    <row r="298" spans="1:1" x14ac:dyDescent="0.35">
      <c r="A298" t="s">
        <v>254</v>
      </c>
    </row>
    <row r="299" spans="1:1" x14ac:dyDescent="0.35">
      <c r="A299" t="s">
        <v>94</v>
      </c>
    </row>
    <row r="300" spans="1:1" x14ac:dyDescent="0.35">
      <c r="A300" t="s">
        <v>70</v>
      </c>
    </row>
    <row r="301" spans="1:1" x14ac:dyDescent="0.35">
      <c r="A301" t="s">
        <v>255</v>
      </c>
    </row>
    <row r="302" spans="1:1" x14ac:dyDescent="0.35">
      <c r="A302" t="s">
        <v>256</v>
      </c>
    </row>
    <row r="303" spans="1:1" x14ac:dyDescent="0.35">
      <c r="A303" t="s">
        <v>83</v>
      </c>
    </row>
    <row r="304" spans="1:1" x14ac:dyDescent="0.35">
      <c r="A304" t="s">
        <v>84</v>
      </c>
    </row>
    <row r="305" spans="1:1" x14ac:dyDescent="0.35">
      <c r="A305" t="s">
        <v>208</v>
      </c>
    </row>
    <row r="306" spans="1:1" x14ac:dyDescent="0.35">
      <c r="A306" t="s">
        <v>209</v>
      </c>
    </row>
    <row r="307" spans="1:1" x14ac:dyDescent="0.35">
      <c r="A307" t="s">
        <v>210</v>
      </c>
    </row>
    <row r="308" spans="1:1" x14ac:dyDescent="0.35">
      <c r="A308" t="s">
        <v>257</v>
      </c>
    </row>
    <row r="309" spans="1:1" x14ac:dyDescent="0.35">
      <c r="A309" t="s">
        <v>258</v>
      </c>
    </row>
    <row r="310" spans="1:1" x14ac:dyDescent="0.35">
      <c r="A310" t="s">
        <v>102</v>
      </c>
    </row>
    <row r="311" spans="1:1" x14ac:dyDescent="0.35">
      <c r="A311" t="s">
        <v>259</v>
      </c>
    </row>
    <row r="312" spans="1:1" x14ac:dyDescent="0.35">
      <c r="A312" t="s">
        <v>260</v>
      </c>
    </row>
    <row r="313" spans="1:1" x14ac:dyDescent="0.35">
      <c r="A313" t="s">
        <v>261</v>
      </c>
    </row>
    <row r="314" spans="1:1" x14ac:dyDescent="0.35">
      <c r="A314" t="s">
        <v>94</v>
      </c>
    </row>
    <row r="315" spans="1:1" x14ac:dyDescent="0.35">
      <c r="A315" t="s">
        <v>70</v>
      </c>
    </row>
    <row r="316" spans="1:1" x14ac:dyDescent="0.35">
      <c r="A316" t="s">
        <v>262</v>
      </c>
    </row>
    <row r="317" spans="1:1" x14ac:dyDescent="0.35">
      <c r="A317" t="s">
        <v>263</v>
      </c>
    </row>
    <row r="318" spans="1:1" x14ac:dyDescent="0.35">
      <c r="A318" t="s">
        <v>264</v>
      </c>
    </row>
    <row r="319" spans="1:1" x14ac:dyDescent="0.35">
      <c r="A319" t="s">
        <v>84</v>
      </c>
    </row>
    <row r="320" spans="1:1" x14ac:dyDescent="0.35">
      <c r="A320" t="s">
        <v>265</v>
      </c>
    </row>
    <row r="321" spans="1:1" x14ac:dyDescent="0.35">
      <c r="A321" t="s">
        <v>266</v>
      </c>
    </row>
    <row r="322" spans="1:1" x14ac:dyDescent="0.35">
      <c r="A322" t="s">
        <v>267</v>
      </c>
    </row>
    <row r="323" spans="1:1" x14ac:dyDescent="0.35">
      <c r="A323" t="s">
        <v>268</v>
      </c>
    </row>
    <row r="324" spans="1:1" x14ac:dyDescent="0.35">
      <c r="A324" t="s">
        <v>269</v>
      </c>
    </row>
    <row r="325" spans="1:1" x14ac:dyDescent="0.35">
      <c r="A325" t="s">
        <v>102</v>
      </c>
    </row>
    <row r="326" spans="1:1" x14ac:dyDescent="0.35">
      <c r="A326" t="s">
        <v>270</v>
      </c>
    </row>
    <row r="327" spans="1:1" x14ac:dyDescent="0.35">
      <c r="A327" t="s">
        <v>271</v>
      </c>
    </row>
    <row r="328" spans="1:1" x14ac:dyDescent="0.35">
      <c r="A328" t="s">
        <v>272</v>
      </c>
    </row>
    <row r="329" spans="1:1" x14ac:dyDescent="0.35">
      <c r="A329" t="s">
        <v>94</v>
      </c>
    </row>
    <row r="330" spans="1:1" x14ac:dyDescent="0.35">
      <c r="A330" t="s">
        <v>70</v>
      </c>
    </row>
    <row r="331" spans="1:1" x14ac:dyDescent="0.35">
      <c r="A331" t="s">
        <v>273</v>
      </c>
    </row>
    <row r="332" spans="1:1" x14ac:dyDescent="0.35">
      <c r="A332" t="s">
        <v>274</v>
      </c>
    </row>
    <row r="333" spans="1:1" x14ac:dyDescent="0.35">
      <c r="A333" t="s">
        <v>149</v>
      </c>
    </row>
    <row r="334" spans="1:1" x14ac:dyDescent="0.35">
      <c r="A334" t="s">
        <v>84</v>
      </c>
    </row>
    <row r="335" spans="1:1" x14ac:dyDescent="0.35">
      <c r="A335" t="s">
        <v>247</v>
      </c>
    </row>
    <row r="336" spans="1:1" x14ac:dyDescent="0.35">
      <c r="A336" t="s">
        <v>248</v>
      </c>
    </row>
    <row r="337" spans="1:1" x14ac:dyDescent="0.35">
      <c r="A337" t="s">
        <v>249</v>
      </c>
    </row>
    <row r="338" spans="1:1" x14ac:dyDescent="0.35">
      <c r="A338" t="s">
        <v>275</v>
      </c>
    </row>
    <row r="339" spans="1:1" x14ac:dyDescent="0.35">
      <c r="A339" t="s">
        <v>276</v>
      </c>
    </row>
    <row r="340" spans="1:1" x14ac:dyDescent="0.35">
      <c r="A340" t="s">
        <v>102</v>
      </c>
    </row>
    <row r="341" spans="1:1" x14ac:dyDescent="0.35">
      <c r="A341" t="s">
        <v>277</v>
      </c>
    </row>
    <row r="342" spans="1:1" x14ac:dyDescent="0.35">
      <c r="A342" t="s">
        <v>278</v>
      </c>
    </row>
    <row r="343" spans="1:1" x14ac:dyDescent="0.35">
      <c r="A343" t="s">
        <v>279</v>
      </c>
    </row>
    <row r="344" spans="1:1" x14ac:dyDescent="0.35">
      <c r="A344" t="s">
        <v>94</v>
      </c>
    </row>
    <row r="345" spans="1:1" x14ac:dyDescent="0.35">
      <c r="A345" t="s">
        <v>70</v>
      </c>
    </row>
    <row r="346" spans="1:1" x14ac:dyDescent="0.35">
      <c r="A346" t="s">
        <v>280</v>
      </c>
    </row>
    <row r="347" spans="1:1" x14ac:dyDescent="0.35">
      <c r="A347" t="s">
        <v>281</v>
      </c>
    </row>
    <row r="348" spans="1:1" x14ac:dyDescent="0.35">
      <c r="A348" t="s">
        <v>149</v>
      </c>
    </row>
    <row r="349" spans="1:1" x14ac:dyDescent="0.35">
      <c r="A349" t="s">
        <v>84</v>
      </c>
    </row>
    <row r="350" spans="1:1" x14ac:dyDescent="0.35">
      <c r="A350" t="s">
        <v>119</v>
      </c>
    </row>
    <row r="351" spans="1:1" x14ac:dyDescent="0.35">
      <c r="A351" t="s">
        <v>120</v>
      </c>
    </row>
    <row r="352" spans="1:1" x14ac:dyDescent="0.35">
      <c r="A352" t="s">
        <v>121</v>
      </c>
    </row>
    <row r="353" spans="1:1" x14ac:dyDescent="0.35">
      <c r="A353" t="s">
        <v>282</v>
      </c>
    </row>
    <row r="354" spans="1:1" x14ac:dyDescent="0.35">
      <c r="A354" t="s">
        <v>283</v>
      </c>
    </row>
    <row r="355" spans="1:1" x14ac:dyDescent="0.35">
      <c r="A355" t="s">
        <v>102</v>
      </c>
    </row>
    <row r="356" spans="1:1" x14ac:dyDescent="0.35">
      <c r="A356" t="s">
        <v>284</v>
      </c>
    </row>
    <row r="357" spans="1:1" x14ac:dyDescent="0.35">
      <c r="A357" t="s">
        <v>285</v>
      </c>
    </row>
    <row r="358" spans="1:1" x14ac:dyDescent="0.35">
      <c r="A358" t="s">
        <v>286</v>
      </c>
    </row>
    <row r="359" spans="1:1" x14ac:dyDescent="0.35">
      <c r="A359" t="s">
        <v>94</v>
      </c>
    </row>
    <row r="360" spans="1:1" x14ac:dyDescent="0.35">
      <c r="A360" t="s">
        <v>70</v>
      </c>
    </row>
    <row r="361" spans="1:1" x14ac:dyDescent="0.35">
      <c r="A361" t="s">
        <v>287</v>
      </c>
    </row>
    <row r="362" spans="1:1" x14ac:dyDescent="0.35">
      <c r="A362" t="s">
        <v>288</v>
      </c>
    </row>
    <row r="363" spans="1:1" x14ac:dyDescent="0.35">
      <c r="A363" t="s">
        <v>83</v>
      </c>
    </row>
    <row r="364" spans="1:1" x14ac:dyDescent="0.35">
      <c r="A364" t="s">
        <v>84</v>
      </c>
    </row>
    <row r="365" spans="1:1" x14ac:dyDescent="0.35">
      <c r="A365" t="s">
        <v>289</v>
      </c>
    </row>
    <row r="366" spans="1:1" x14ac:dyDescent="0.35">
      <c r="A366" t="s">
        <v>290</v>
      </c>
    </row>
    <row r="367" spans="1:1" x14ac:dyDescent="0.35">
      <c r="A367" t="s">
        <v>291</v>
      </c>
    </row>
    <row r="368" spans="1:1" x14ac:dyDescent="0.35">
      <c r="A368" t="s">
        <v>292</v>
      </c>
    </row>
    <row r="369" spans="1:1" x14ac:dyDescent="0.35">
      <c r="A369" t="s">
        <v>293</v>
      </c>
    </row>
    <row r="370" spans="1:1" x14ac:dyDescent="0.35">
      <c r="A370" t="s">
        <v>294</v>
      </c>
    </row>
    <row r="371" spans="1:1" x14ac:dyDescent="0.35">
      <c r="A371" t="s">
        <v>295</v>
      </c>
    </row>
    <row r="372" spans="1:1" x14ac:dyDescent="0.35">
      <c r="A372" t="s">
        <v>296</v>
      </c>
    </row>
    <row r="373" spans="1:1" x14ac:dyDescent="0.35">
      <c r="A373" t="s">
        <v>297</v>
      </c>
    </row>
    <row r="374" spans="1:1" x14ac:dyDescent="0.35">
      <c r="A374" t="s">
        <v>94</v>
      </c>
    </row>
    <row r="375" spans="1:1" x14ac:dyDescent="0.35">
      <c r="A375" t="s">
        <v>70</v>
      </c>
    </row>
    <row r="376" spans="1:1" x14ac:dyDescent="0.35">
      <c r="A376" t="s">
        <v>298</v>
      </c>
    </row>
    <row r="377" spans="1:1" x14ac:dyDescent="0.35">
      <c r="A377" t="s">
        <v>299</v>
      </c>
    </row>
    <row r="378" spans="1:1" x14ac:dyDescent="0.35">
      <c r="A378" t="s">
        <v>83</v>
      </c>
    </row>
    <row r="379" spans="1:1" x14ac:dyDescent="0.35">
      <c r="A379" t="s">
        <v>84</v>
      </c>
    </row>
    <row r="380" spans="1:1" x14ac:dyDescent="0.35">
      <c r="A380" t="s">
        <v>300</v>
      </c>
    </row>
    <row r="381" spans="1:1" x14ac:dyDescent="0.35">
      <c r="A381" t="s">
        <v>301</v>
      </c>
    </row>
    <row r="382" spans="1:1" x14ac:dyDescent="0.35">
      <c r="A382" t="s">
        <v>302</v>
      </c>
    </row>
    <row r="383" spans="1:1" x14ac:dyDescent="0.35">
      <c r="A383" t="s">
        <v>303</v>
      </c>
    </row>
    <row r="384" spans="1:1" x14ac:dyDescent="0.35">
      <c r="A384" t="s">
        <v>304</v>
      </c>
    </row>
    <row r="385" spans="1:1" x14ac:dyDescent="0.35">
      <c r="A385" t="s">
        <v>102</v>
      </c>
    </row>
    <row r="386" spans="1:1" x14ac:dyDescent="0.35">
      <c r="A386" t="s">
        <v>305</v>
      </c>
    </row>
    <row r="387" spans="1:1" x14ac:dyDescent="0.35">
      <c r="A387" t="s">
        <v>306</v>
      </c>
    </row>
    <row r="388" spans="1:1" x14ac:dyDescent="0.35">
      <c r="A388" t="s">
        <v>307</v>
      </c>
    </row>
    <row r="389" spans="1:1" x14ac:dyDescent="0.35">
      <c r="A389" t="s">
        <v>94</v>
      </c>
    </row>
    <row r="390" spans="1:1" x14ac:dyDescent="0.35">
      <c r="A390" t="s">
        <v>70</v>
      </c>
    </row>
    <row r="391" spans="1:1" x14ac:dyDescent="0.35">
      <c r="A391" t="s">
        <v>308</v>
      </c>
    </row>
    <row r="392" spans="1:1" x14ac:dyDescent="0.35">
      <c r="A392" t="s">
        <v>309</v>
      </c>
    </row>
    <row r="393" spans="1:1" x14ac:dyDescent="0.35">
      <c r="A393" t="s">
        <v>149</v>
      </c>
    </row>
    <row r="394" spans="1:1" x14ac:dyDescent="0.35">
      <c r="A394" t="s">
        <v>84</v>
      </c>
    </row>
    <row r="395" spans="1:1" x14ac:dyDescent="0.35">
      <c r="A395" t="s">
        <v>310</v>
      </c>
    </row>
    <row r="396" spans="1:1" x14ac:dyDescent="0.35">
      <c r="A396" t="s">
        <v>311</v>
      </c>
    </row>
    <row r="397" spans="1:1" x14ac:dyDescent="0.35">
      <c r="A397" t="s">
        <v>312</v>
      </c>
    </row>
    <row r="398" spans="1:1" x14ac:dyDescent="0.35">
      <c r="A398" t="s">
        <v>313</v>
      </c>
    </row>
    <row r="399" spans="1:1" x14ac:dyDescent="0.35">
      <c r="A399" t="s">
        <v>314</v>
      </c>
    </row>
    <row r="400" spans="1:1" x14ac:dyDescent="0.35">
      <c r="A400" t="s">
        <v>102</v>
      </c>
    </row>
    <row r="401" spans="1:1" x14ac:dyDescent="0.35">
      <c r="A401" t="s">
        <v>315</v>
      </c>
    </row>
    <row r="402" spans="1:1" x14ac:dyDescent="0.35">
      <c r="A402" t="s">
        <v>316</v>
      </c>
    </row>
    <row r="403" spans="1:1" x14ac:dyDescent="0.35">
      <c r="A403" t="s">
        <v>317</v>
      </c>
    </row>
    <row r="404" spans="1:1" x14ac:dyDescent="0.35">
      <c r="A404" t="s">
        <v>94</v>
      </c>
    </row>
    <row r="405" spans="1:1" x14ac:dyDescent="0.35">
      <c r="A405" t="s">
        <v>70</v>
      </c>
    </row>
    <row r="406" spans="1:1" x14ac:dyDescent="0.35">
      <c r="A406" t="s">
        <v>318</v>
      </c>
    </row>
    <row r="407" spans="1:1" x14ac:dyDescent="0.35">
      <c r="A407" t="s">
        <v>319</v>
      </c>
    </row>
    <row r="408" spans="1:1" x14ac:dyDescent="0.35">
      <c r="A408" t="s">
        <v>149</v>
      </c>
    </row>
    <row r="409" spans="1:1" x14ac:dyDescent="0.35">
      <c r="A409" t="s">
        <v>84</v>
      </c>
    </row>
    <row r="410" spans="1:1" x14ac:dyDescent="0.35">
      <c r="A410" t="s">
        <v>320</v>
      </c>
    </row>
    <row r="411" spans="1:1" x14ac:dyDescent="0.35">
      <c r="A411" t="s">
        <v>321</v>
      </c>
    </row>
    <row r="412" spans="1:1" x14ac:dyDescent="0.35">
      <c r="A412" t="s">
        <v>322</v>
      </c>
    </row>
    <row r="413" spans="1:1" x14ac:dyDescent="0.35">
      <c r="A413" t="s">
        <v>323</v>
      </c>
    </row>
    <row r="414" spans="1:1" x14ac:dyDescent="0.35">
      <c r="A414" t="s">
        <v>324</v>
      </c>
    </row>
    <row r="415" spans="1:1" x14ac:dyDescent="0.35">
      <c r="A415" t="s">
        <v>102</v>
      </c>
    </row>
    <row r="416" spans="1:1" x14ac:dyDescent="0.35">
      <c r="A416" t="s">
        <v>325</v>
      </c>
    </row>
    <row r="417" spans="1:1" x14ac:dyDescent="0.35">
      <c r="A417" t="s">
        <v>326</v>
      </c>
    </row>
    <row r="418" spans="1:1" x14ac:dyDescent="0.35">
      <c r="A418" t="s">
        <v>327</v>
      </c>
    </row>
    <row r="419" spans="1:1" x14ac:dyDescent="0.35">
      <c r="A419" t="s">
        <v>94</v>
      </c>
    </row>
    <row r="420" spans="1:1" x14ac:dyDescent="0.35">
      <c r="A420" t="s">
        <v>70</v>
      </c>
    </row>
    <row r="421" spans="1:1" x14ac:dyDescent="0.35">
      <c r="A421" t="s">
        <v>328</v>
      </c>
    </row>
    <row r="422" spans="1:1" x14ac:dyDescent="0.35">
      <c r="A422" t="s">
        <v>329</v>
      </c>
    </row>
    <row r="423" spans="1:1" x14ac:dyDescent="0.35">
      <c r="A423" t="s">
        <v>83</v>
      </c>
    </row>
    <row r="424" spans="1:1" x14ac:dyDescent="0.35">
      <c r="A424" t="s">
        <v>84</v>
      </c>
    </row>
    <row r="425" spans="1:1" x14ac:dyDescent="0.35">
      <c r="A425" t="s">
        <v>237</v>
      </c>
    </row>
    <row r="426" spans="1:1" x14ac:dyDescent="0.35">
      <c r="A426" t="s">
        <v>238</v>
      </c>
    </row>
    <row r="427" spans="1:1" x14ac:dyDescent="0.35">
      <c r="A427" t="s">
        <v>188</v>
      </c>
    </row>
    <row r="428" spans="1:1" x14ac:dyDescent="0.35">
      <c r="A428" t="s">
        <v>330</v>
      </c>
    </row>
    <row r="429" spans="1:1" x14ac:dyDescent="0.35">
      <c r="A429" t="s">
        <v>331</v>
      </c>
    </row>
    <row r="430" spans="1:1" x14ac:dyDescent="0.35">
      <c r="A430" t="s">
        <v>332</v>
      </c>
    </row>
    <row r="431" spans="1:1" x14ac:dyDescent="0.35">
      <c r="A431" t="s">
        <v>333</v>
      </c>
    </row>
    <row r="432" spans="1:1" x14ac:dyDescent="0.35">
      <c r="A432" t="s">
        <v>334</v>
      </c>
    </row>
    <row r="433" spans="1:1" x14ac:dyDescent="0.35">
      <c r="A433" t="s">
        <v>335</v>
      </c>
    </row>
    <row r="434" spans="1:1" x14ac:dyDescent="0.35">
      <c r="A434" t="s">
        <v>94</v>
      </c>
    </row>
    <row r="435" spans="1:1" x14ac:dyDescent="0.35">
      <c r="A435" t="s">
        <v>70</v>
      </c>
    </row>
    <row r="436" spans="1:1" x14ac:dyDescent="0.35">
      <c r="A436" t="s">
        <v>336</v>
      </c>
    </row>
    <row r="437" spans="1:1" x14ac:dyDescent="0.35">
      <c r="A437" t="s">
        <v>337</v>
      </c>
    </row>
    <row r="438" spans="1:1" x14ac:dyDescent="0.35">
      <c r="A438" t="s">
        <v>338</v>
      </c>
    </row>
    <row r="439" spans="1:1" x14ac:dyDescent="0.35">
      <c r="A439" t="s">
        <v>84</v>
      </c>
    </row>
    <row r="440" spans="1:1" x14ac:dyDescent="0.35">
      <c r="A440" t="s">
        <v>339</v>
      </c>
    </row>
    <row r="441" spans="1:1" x14ac:dyDescent="0.35">
      <c r="A441" t="s">
        <v>340</v>
      </c>
    </row>
    <row r="442" spans="1:1" x14ac:dyDescent="0.35">
      <c r="A442" t="s">
        <v>341</v>
      </c>
    </row>
    <row r="443" spans="1:1" x14ac:dyDescent="0.35">
      <c r="A443" t="s">
        <v>342</v>
      </c>
    </row>
    <row r="444" spans="1:1" x14ac:dyDescent="0.35">
      <c r="A444" t="s">
        <v>343</v>
      </c>
    </row>
    <row r="445" spans="1:1" x14ac:dyDescent="0.35">
      <c r="A445" t="s">
        <v>344</v>
      </c>
    </row>
    <row r="446" spans="1:1" x14ac:dyDescent="0.35">
      <c r="A446" t="s">
        <v>345</v>
      </c>
    </row>
    <row r="447" spans="1:1" x14ac:dyDescent="0.35">
      <c r="A447" t="s">
        <v>346</v>
      </c>
    </row>
    <row r="448" spans="1:1" x14ac:dyDescent="0.35">
      <c r="A448" t="s">
        <v>347</v>
      </c>
    </row>
    <row r="449" spans="1:1" x14ac:dyDescent="0.35">
      <c r="A449" t="s">
        <v>94</v>
      </c>
    </row>
    <row r="450" spans="1:1" x14ac:dyDescent="0.35">
      <c r="A450" t="s">
        <v>70</v>
      </c>
    </row>
    <row r="451" spans="1:1" x14ac:dyDescent="0.35">
      <c r="A451" t="s">
        <v>348</v>
      </c>
    </row>
    <row r="452" spans="1:1" x14ac:dyDescent="0.35">
      <c r="A452" t="s">
        <v>349</v>
      </c>
    </row>
    <row r="453" spans="1:1" x14ac:dyDescent="0.35">
      <c r="A453" t="s">
        <v>149</v>
      </c>
    </row>
    <row r="454" spans="1:1" x14ac:dyDescent="0.35">
      <c r="A454" t="s">
        <v>350</v>
      </c>
    </row>
    <row r="455" spans="1:1" x14ac:dyDescent="0.35">
      <c r="A455" t="s">
        <v>320</v>
      </c>
    </row>
    <row r="456" spans="1:1" x14ac:dyDescent="0.35">
      <c r="A456" t="s">
        <v>321</v>
      </c>
    </row>
    <row r="457" spans="1:1" x14ac:dyDescent="0.35">
      <c r="A457" t="s">
        <v>322</v>
      </c>
    </row>
    <row r="458" spans="1:1" x14ac:dyDescent="0.35">
      <c r="A458" t="s">
        <v>351</v>
      </c>
    </row>
    <row r="459" spans="1:1" x14ac:dyDescent="0.35">
      <c r="A459" t="s">
        <v>352</v>
      </c>
    </row>
    <row r="460" spans="1:1" x14ac:dyDescent="0.35">
      <c r="A460" t="s">
        <v>102</v>
      </c>
    </row>
    <row r="461" spans="1:1" x14ac:dyDescent="0.35">
      <c r="A461" t="s">
        <v>353</v>
      </c>
    </row>
    <row r="462" spans="1:1" x14ac:dyDescent="0.35">
      <c r="A462" t="s">
        <v>354</v>
      </c>
    </row>
    <row r="463" spans="1:1" x14ac:dyDescent="0.35">
      <c r="A463" t="s">
        <v>355</v>
      </c>
    </row>
    <row r="464" spans="1:1" x14ac:dyDescent="0.35">
      <c r="A464" t="s">
        <v>94</v>
      </c>
    </row>
    <row r="465" spans="1:1" x14ac:dyDescent="0.35">
      <c r="A465" t="s">
        <v>70</v>
      </c>
    </row>
    <row r="466" spans="1:1" x14ac:dyDescent="0.35">
      <c r="A466" t="s">
        <v>356</v>
      </c>
    </row>
    <row r="467" spans="1:1" x14ac:dyDescent="0.35">
      <c r="A467" t="s">
        <v>357</v>
      </c>
    </row>
    <row r="468" spans="1:1" x14ac:dyDescent="0.35">
      <c r="A468" t="s">
        <v>83</v>
      </c>
    </row>
    <row r="469" spans="1:1" x14ac:dyDescent="0.35">
      <c r="A469" t="s">
        <v>84</v>
      </c>
    </row>
    <row r="470" spans="1:1" x14ac:dyDescent="0.35">
      <c r="A470" t="s">
        <v>358</v>
      </c>
    </row>
    <row r="471" spans="1:1" x14ac:dyDescent="0.35">
      <c r="A471" t="s">
        <v>359</v>
      </c>
    </row>
    <row r="472" spans="1:1" x14ac:dyDescent="0.35">
      <c r="A472" t="s">
        <v>360</v>
      </c>
    </row>
    <row r="473" spans="1:1" x14ac:dyDescent="0.35">
      <c r="A473" t="s">
        <v>361</v>
      </c>
    </row>
    <row r="474" spans="1:1" x14ac:dyDescent="0.35">
      <c r="A474" t="s">
        <v>362</v>
      </c>
    </row>
    <row r="475" spans="1:1" x14ac:dyDescent="0.35">
      <c r="A475" t="s">
        <v>363</v>
      </c>
    </row>
    <row r="476" spans="1:1" x14ac:dyDescent="0.35">
      <c r="A476" t="s">
        <v>364</v>
      </c>
    </row>
    <row r="477" spans="1:1" x14ac:dyDescent="0.35">
      <c r="A477" t="s">
        <v>365</v>
      </c>
    </row>
    <row r="478" spans="1:1" x14ac:dyDescent="0.35">
      <c r="A478" t="s">
        <v>366</v>
      </c>
    </row>
    <row r="479" spans="1:1" x14ac:dyDescent="0.35">
      <c r="A479" t="s">
        <v>94</v>
      </c>
    </row>
    <row r="480" spans="1:1" x14ac:dyDescent="0.35">
      <c r="A480" t="s">
        <v>70</v>
      </c>
    </row>
    <row r="481" spans="1:1" x14ac:dyDescent="0.35">
      <c r="A481" t="s">
        <v>367</v>
      </c>
    </row>
    <row r="482" spans="1:1" x14ac:dyDescent="0.35">
      <c r="A482" t="s">
        <v>368</v>
      </c>
    </row>
    <row r="483" spans="1:1" x14ac:dyDescent="0.35">
      <c r="A483" t="s">
        <v>83</v>
      </c>
    </row>
    <row r="484" spans="1:1" x14ac:dyDescent="0.35">
      <c r="A484" t="s">
        <v>84</v>
      </c>
    </row>
    <row r="485" spans="1:1" x14ac:dyDescent="0.35">
      <c r="A485" t="s">
        <v>320</v>
      </c>
    </row>
    <row r="486" spans="1:1" x14ac:dyDescent="0.35">
      <c r="A486" t="s">
        <v>321</v>
      </c>
    </row>
    <row r="487" spans="1:1" x14ac:dyDescent="0.35">
      <c r="A487" t="s">
        <v>322</v>
      </c>
    </row>
    <row r="488" spans="1:1" x14ac:dyDescent="0.35">
      <c r="A488" t="s">
        <v>369</v>
      </c>
    </row>
    <row r="489" spans="1:1" x14ac:dyDescent="0.35">
      <c r="A489" t="s">
        <v>370</v>
      </c>
    </row>
    <row r="490" spans="1:1" x14ac:dyDescent="0.35">
      <c r="A490" t="s">
        <v>102</v>
      </c>
    </row>
    <row r="491" spans="1:1" x14ac:dyDescent="0.35">
      <c r="A491" t="s">
        <v>371</v>
      </c>
    </row>
    <row r="492" spans="1:1" x14ac:dyDescent="0.35">
      <c r="A492" t="s">
        <v>372</v>
      </c>
    </row>
    <row r="493" spans="1:1" x14ac:dyDescent="0.35">
      <c r="A493" t="s">
        <v>373</v>
      </c>
    </row>
    <row r="494" spans="1:1" x14ac:dyDescent="0.35">
      <c r="A494" t="s">
        <v>94</v>
      </c>
    </row>
    <row r="495" spans="1:1" x14ac:dyDescent="0.35">
      <c r="A495" t="s">
        <v>70</v>
      </c>
    </row>
    <row r="496" spans="1:1" x14ac:dyDescent="0.35">
      <c r="A496" t="s">
        <v>374</v>
      </c>
    </row>
    <row r="497" spans="1:1" x14ac:dyDescent="0.35">
      <c r="A497" t="s">
        <v>375</v>
      </c>
    </row>
    <row r="498" spans="1:1" x14ac:dyDescent="0.35">
      <c r="A498" t="s">
        <v>83</v>
      </c>
    </row>
    <row r="499" spans="1:1" x14ac:dyDescent="0.35">
      <c r="A499" t="s">
        <v>84</v>
      </c>
    </row>
    <row r="500" spans="1:1" x14ac:dyDescent="0.35">
      <c r="A500" t="s">
        <v>339</v>
      </c>
    </row>
    <row r="501" spans="1:1" x14ac:dyDescent="0.35">
      <c r="A501" t="s">
        <v>340</v>
      </c>
    </row>
    <row r="502" spans="1:1" x14ac:dyDescent="0.35">
      <c r="A502" t="s">
        <v>341</v>
      </c>
    </row>
    <row r="503" spans="1:1" x14ac:dyDescent="0.35">
      <c r="A503" t="s">
        <v>376</v>
      </c>
    </row>
    <row r="504" spans="1:1" x14ac:dyDescent="0.35">
      <c r="A504" t="s">
        <v>377</v>
      </c>
    </row>
    <row r="505" spans="1:1" x14ac:dyDescent="0.35">
      <c r="A505" t="s">
        <v>378</v>
      </c>
    </row>
    <row r="506" spans="1:1" x14ac:dyDescent="0.35">
      <c r="A506" t="s">
        <v>379</v>
      </c>
    </row>
    <row r="507" spans="1:1" x14ac:dyDescent="0.35">
      <c r="A507" t="s">
        <v>380</v>
      </c>
    </row>
    <row r="508" spans="1:1" x14ac:dyDescent="0.35">
      <c r="A508" t="s">
        <v>381</v>
      </c>
    </row>
    <row r="509" spans="1:1" x14ac:dyDescent="0.35">
      <c r="A509" t="s">
        <v>94</v>
      </c>
    </row>
    <row r="510" spans="1:1" x14ac:dyDescent="0.35">
      <c r="A510" t="s">
        <v>70</v>
      </c>
    </row>
    <row r="511" spans="1:1" x14ac:dyDescent="0.35">
      <c r="A511" t="s">
        <v>382</v>
      </c>
    </row>
    <row r="512" spans="1:1" x14ac:dyDescent="0.35">
      <c r="A512" t="s">
        <v>383</v>
      </c>
    </row>
    <row r="513" spans="1:1" x14ac:dyDescent="0.35">
      <c r="A513" t="s">
        <v>149</v>
      </c>
    </row>
    <row r="514" spans="1:1" x14ac:dyDescent="0.35">
      <c r="A514" t="s">
        <v>84</v>
      </c>
    </row>
    <row r="515" spans="1:1" x14ac:dyDescent="0.35">
      <c r="A515" t="s">
        <v>384</v>
      </c>
    </row>
    <row r="516" spans="1:1" x14ac:dyDescent="0.35">
      <c r="A516" t="s">
        <v>385</v>
      </c>
    </row>
    <row r="517" spans="1:1" x14ac:dyDescent="0.35">
      <c r="A517" t="s">
        <v>386</v>
      </c>
    </row>
    <row r="518" spans="1:1" x14ac:dyDescent="0.35">
      <c r="A518" t="s">
        <v>387</v>
      </c>
    </row>
    <row r="519" spans="1:1" x14ac:dyDescent="0.35">
      <c r="A519" t="s">
        <v>388</v>
      </c>
    </row>
    <row r="520" spans="1:1" x14ac:dyDescent="0.35">
      <c r="A520" t="s">
        <v>102</v>
      </c>
    </row>
    <row r="521" spans="1:1" x14ac:dyDescent="0.35">
      <c r="A521" t="s">
        <v>389</v>
      </c>
    </row>
    <row r="522" spans="1:1" x14ac:dyDescent="0.35">
      <c r="A522" t="s">
        <v>390</v>
      </c>
    </row>
    <row r="523" spans="1:1" x14ac:dyDescent="0.35">
      <c r="A523" t="s">
        <v>391</v>
      </c>
    </row>
    <row r="524" spans="1:1" x14ac:dyDescent="0.35">
      <c r="A524" t="s">
        <v>94</v>
      </c>
    </row>
    <row r="525" spans="1:1" x14ac:dyDescent="0.35">
      <c r="A525" t="s">
        <v>70</v>
      </c>
    </row>
    <row r="526" spans="1:1" x14ac:dyDescent="0.35">
      <c r="A526" t="s">
        <v>392</v>
      </c>
    </row>
    <row r="527" spans="1:1" x14ac:dyDescent="0.35">
      <c r="A527" t="s">
        <v>393</v>
      </c>
    </row>
    <row r="528" spans="1:1" x14ac:dyDescent="0.35">
      <c r="A528" t="s">
        <v>83</v>
      </c>
    </row>
    <row r="529" spans="1:1" x14ac:dyDescent="0.35">
      <c r="A529" t="s">
        <v>84</v>
      </c>
    </row>
    <row r="530" spans="1:1" x14ac:dyDescent="0.35">
      <c r="A530" t="s">
        <v>394</v>
      </c>
    </row>
    <row r="531" spans="1:1" x14ac:dyDescent="0.35">
      <c r="A531" t="s">
        <v>395</v>
      </c>
    </row>
    <row r="532" spans="1:1" x14ac:dyDescent="0.35">
      <c r="A532" t="s">
        <v>396</v>
      </c>
    </row>
    <row r="533" spans="1:1" x14ac:dyDescent="0.35">
      <c r="A533" t="s">
        <v>397</v>
      </c>
    </row>
    <row r="534" spans="1:1" x14ac:dyDescent="0.35">
      <c r="A534" t="s">
        <v>398</v>
      </c>
    </row>
    <row r="535" spans="1:1" x14ac:dyDescent="0.35">
      <c r="A535" t="s">
        <v>399</v>
      </c>
    </row>
    <row r="536" spans="1:1" x14ac:dyDescent="0.35">
      <c r="A536" t="s">
        <v>400</v>
      </c>
    </row>
    <row r="537" spans="1:1" x14ac:dyDescent="0.35">
      <c r="A537" t="s">
        <v>401</v>
      </c>
    </row>
    <row r="538" spans="1:1" x14ac:dyDescent="0.35">
      <c r="A538" t="s">
        <v>402</v>
      </c>
    </row>
    <row r="539" spans="1:1" x14ac:dyDescent="0.35">
      <c r="A539" t="s">
        <v>94</v>
      </c>
    </row>
    <row r="540" spans="1:1" x14ac:dyDescent="0.35">
      <c r="A540" t="s">
        <v>70</v>
      </c>
    </row>
    <row r="541" spans="1:1" x14ac:dyDescent="0.35">
      <c r="A541" t="s">
        <v>403</v>
      </c>
    </row>
    <row r="542" spans="1:1" x14ac:dyDescent="0.35">
      <c r="A542" t="s">
        <v>404</v>
      </c>
    </row>
    <row r="543" spans="1:1" x14ac:dyDescent="0.35">
      <c r="A543" t="s">
        <v>83</v>
      </c>
    </row>
    <row r="544" spans="1:1" x14ac:dyDescent="0.35">
      <c r="A544" t="s">
        <v>84</v>
      </c>
    </row>
    <row r="545" spans="1:1" x14ac:dyDescent="0.35">
      <c r="A545" t="s">
        <v>265</v>
      </c>
    </row>
    <row r="546" spans="1:1" x14ac:dyDescent="0.35">
      <c r="A546" t="s">
        <v>266</v>
      </c>
    </row>
    <row r="547" spans="1:1" x14ac:dyDescent="0.35">
      <c r="A547" t="s">
        <v>267</v>
      </c>
    </row>
    <row r="548" spans="1:1" x14ac:dyDescent="0.35">
      <c r="A548" t="s">
        <v>405</v>
      </c>
    </row>
    <row r="549" spans="1:1" x14ac:dyDescent="0.35">
      <c r="A549" t="s">
        <v>406</v>
      </c>
    </row>
    <row r="550" spans="1:1" x14ac:dyDescent="0.35">
      <c r="A550" t="s">
        <v>102</v>
      </c>
    </row>
    <row r="551" spans="1:1" x14ac:dyDescent="0.35">
      <c r="A551" t="s">
        <v>407</v>
      </c>
    </row>
    <row r="552" spans="1:1" x14ac:dyDescent="0.35">
      <c r="A552" t="s">
        <v>408</v>
      </c>
    </row>
    <row r="553" spans="1:1" x14ac:dyDescent="0.35">
      <c r="A553" t="s">
        <v>409</v>
      </c>
    </row>
    <row r="554" spans="1:1" x14ac:dyDescent="0.35">
      <c r="A554" t="s">
        <v>94</v>
      </c>
    </row>
    <row r="555" spans="1:1" x14ac:dyDescent="0.35">
      <c r="A555" t="s">
        <v>70</v>
      </c>
    </row>
    <row r="556" spans="1:1" x14ac:dyDescent="0.35">
      <c r="A556" t="s">
        <v>410</v>
      </c>
    </row>
    <row r="557" spans="1:1" x14ac:dyDescent="0.35">
      <c r="A557" t="s">
        <v>411</v>
      </c>
    </row>
    <row r="558" spans="1:1" x14ac:dyDescent="0.35">
      <c r="A558" t="s">
        <v>149</v>
      </c>
    </row>
    <row r="559" spans="1:1" x14ac:dyDescent="0.35">
      <c r="A559" t="s">
        <v>84</v>
      </c>
    </row>
    <row r="560" spans="1:1" x14ac:dyDescent="0.35">
      <c r="A560" t="s">
        <v>168</v>
      </c>
    </row>
    <row r="561" spans="1:1" x14ac:dyDescent="0.35">
      <c r="A561" t="s">
        <v>169</v>
      </c>
    </row>
    <row r="562" spans="1:1" x14ac:dyDescent="0.35">
      <c r="A562" t="s">
        <v>170</v>
      </c>
    </row>
    <row r="563" spans="1:1" x14ac:dyDescent="0.35">
      <c r="A563" t="s">
        <v>412</v>
      </c>
    </row>
    <row r="564" spans="1:1" x14ac:dyDescent="0.35">
      <c r="A564" t="s">
        <v>413</v>
      </c>
    </row>
    <row r="565" spans="1:1" x14ac:dyDescent="0.35">
      <c r="A565" t="s">
        <v>102</v>
      </c>
    </row>
    <row r="566" spans="1:1" x14ac:dyDescent="0.35">
      <c r="A566" t="s">
        <v>414</v>
      </c>
    </row>
    <row r="567" spans="1:1" x14ac:dyDescent="0.35">
      <c r="A567" t="s">
        <v>415</v>
      </c>
    </row>
    <row r="568" spans="1:1" x14ac:dyDescent="0.35">
      <c r="A568" t="s">
        <v>416</v>
      </c>
    </row>
    <row r="569" spans="1:1" x14ac:dyDescent="0.35">
      <c r="A569" t="s">
        <v>94</v>
      </c>
    </row>
    <row r="570" spans="1:1" x14ac:dyDescent="0.35">
      <c r="A570" t="s">
        <v>70</v>
      </c>
    </row>
    <row r="571" spans="1:1" x14ac:dyDescent="0.35">
      <c r="A571" t="s">
        <v>417</v>
      </c>
    </row>
    <row r="572" spans="1:1" x14ac:dyDescent="0.35">
      <c r="A572" t="s">
        <v>418</v>
      </c>
    </row>
    <row r="573" spans="1:1" x14ac:dyDescent="0.35">
      <c r="A573" t="s">
        <v>149</v>
      </c>
    </row>
    <row r="574" spans="1:1" x14ac:dyDescent="0.35">
      <c r="A574" t="s">
        <v>178</v>
      </c>
    </row>
    <row r="575" spans="1:1" x14ac:dyDescent="0.35">
      <c r="A575" t="s">
        <v>168</v>
      </c>
    </row>
    <row r="576" spans="1:1" x14ac:dyDescent="0.35">
      <c r="A576" t="s">
        <v>169</v>
      </c>
    </row>
    <row r="577" spans="1:1" x14ac:dyDescent="0.35">
      <c r="A577" t="s">
        <v>170</v>
      </c>
    </row>
    <row r="578" spans="1:1" x14ac:dyDescent="0.35">
      <c r="A578" t="s">
        <v>419</v>
      </c>
    </row>
    <row r="579" spans="1:1" x14ac:dyDescent="0.35">
      <c r="A579" t="s">
        <v>420</v>
      </c>
    </row>
    <row r="580" spans="1:1" x14ac:dyDescent="0.35">
      <c r="A580" t="s">
        <v>102</v>
      </c>
    </row>
    <row r="581" spans="1:1" x14ac:dyDescent="0.35">
      <c r="A581" t="s">
        <v>421</v>
      </c>
    </row>
    <row r="582" spans="1:1" x14ac:dyDescent="0.35">
      <c r="A582" t="s">
        <v>422</v>
      </c>
    </row>
    <row r="583" spans="1:1" x14ac:dyDescent="0.35">
      <c r="A583" t="s">
        <v>423</v>
      </c>
    </row>
    <row r="584" spans="1:1" x14ac:dyDescent="0.35">
      <c r="A584" t="s">
        <v>94</v>
      </c>
    </row>
    <row r="585" spans="1:1" x14ac:dyDescent="0.35">
      <c r="A585" t="s">
        <v>70</v>
      </c>
    </row>
    <row r="586" spans="1:1" x14ac:dyDescent="0.35">
      <c r="A586" t="s">
        <v>424</v>
      </c>
    </row>
    <row r="587" spans="1:1" x14ac:dyDescent="0.35">
      <c r="A587" t="s">
        <v>425</v>
      </c>
    </row>
    <row r="588" spans="1:1" x14ac:dyDescent="0.35">
      <c r="A588" t="s">
        <v>149</v>
      </c>
    </row>
    <row r="589" spans="1:1" x14ac:dyDescent="0.35">
      <c r="A589" t="s">
        <v>84</v>
      </c>
    </row>
    <row r="590" spans="1:1" x14ac:dyDescent="0.35">
      <c r="A590" t="s">
        <v>358</v>
      </c>
    </row>
    <row r="591" spans="1:1" x14ac:dyDescent="0.35">
      <c r="A591" t="s">
        <v>359</v>
      </c>
    </row>
    <row r="592" spans="1:1" x14ac:dyDescent="0.35">
      <c r="A592" t="s">
        <v>360</v>
      </c>
    </row>
    <row r="593" spans="1:1" x14ac:dyDescent="0.35">
      <c r="A593" t="s">
        <v>426</v>
      </c>
    </row>
    <row r="594" spans="1:1" x14ac:dyDescent="0.35">
      <c r="A594" t="s">
        <v>427</v>
      </c>
    </row>
    <row r="595" spans="1:1" x14ac:dyDescent="0.35">
      <c r="A595" t="s">
        <v>428</v>
      </c>
    </row>
    <row r="596" spans="1:1" x14ac:dyDescent="0.35">
      <c r="A596" t="s">
        <v>429</v>
      </c>
    </row>
    <row r="597" spans="1:1" x14ac:dyDescent="0.35">
      <c r="A597" t="s">
        <v>430</v>
      </c>
    </row>
    <row r="598" spans="1:1" x14ac:dyDescent="0.35">
      <c r="A598" t="s">
        <v>431</v>
      </c>
    </row>
    <row r="599" spans="1:1" x14ac:dyDescent="0.35">
      <c r="A599" t="s">
        <v>94</v>
      </c>
    </row>
    <row r="600" spans="1:1" x14ac:dyDescent="0.35">
      <c r="A600" t="s">
        <v>70</v>
      </c>
    </row>
    <row r="601" spans="1:1" x14ac:dyDescent="0.35">
      <c r="A601" t="s">
        <v>432</v>
      </c>
    </row>
    <row r="602" spans="1:1" x14ac:dyDescent="0.35">
      <c r="A602" t="s">
        <v>433</v>
      </c>
    </row>
    <row r="603" spans="1:1" x14ac:dyDescent="0.35">
      <c r="A603" t="s">
        <v>149</v>
      </c>
    </row>
    <row r="604" spans="1:1" x14ac:dyDescent="0.35">
      <c r="A604" t="s">
        <v>84</v>
      </c>
    </row>
    <row r="605" spans="1:1" x14ac:dyDescent="0.35">
      <c r="A605" t="s">
        <v>265</v>
      </c>
    </row>
    <row r="606" spans="1:1" x14ac:dyDescent="0.35">
      <c r="A606" t="s">
        <v>266</v>
      </c>
    </row>
    <row r="607" spans="1:1" x14ac:dyDescent="0.35">
      <c r="A607" t="s">
        <v>267</v>
      </c>
    </row>
    <row r="608" spans="1:1" x14ac:dyDescent="0.35">
      <c r="A608" t="s">
        <v>434</v>
      </c>
    </row>
    <row r="609" spans="1:1" x14ac:dyDescent="0.35">
      <c r="A609" t="s">
        <v>435</v>
      </c>
    </row>
    <row r="610" spans="1:1" x14ac:dyDescent="0.35">
      <c r="A610" t="s">
        <v>102</v>
      </c>
    </row>
    <row r="611" spans="1:1" x14ac:dyDescent="0.35">
      <c r="A611" t="s">
        <v>436</v>
      </c>
    </row>
    <row r="612" spans="1:1" x14ac:dyDescent="0.35">
      <c r="A612" t="s">
        <v>437</v>
      </c>
    </row>
    <row r="613" spans="1:1" x14ac:dyDescent="0.35">
      <c r="A613" t="s">
        <v>438</v>
      </c>
    </row>
    <row r="614" spans="1:1" x14ac:dyDescent="0.35">
      <c r="A614" t="s">
        <v>94</v>
      </c>
    </row>
    <row r="615" spans="1:1" x14ac:dyDescent="0.35">
      <c r="A615" t="s">
        <v>70</v>
      </c>
    </row>
    <row r="616" spans="1:1" x14ac:dyDescent="0.35">
      <c r="A616" t="s">
        <v>439</v>
      </c>
    </row>
    <row r="617" spans="1:1" x14ac:dyDescent="0.35">
      <c r="A617" t="s">
        <v>440</v>
      </c>
    </row>
    <row r="618" spans="1:1" x14ac:dyDescent="0.35">
      <c r="A618" t="s">
        <v>149</v>
      </c>
    </row>
    <row r="619" spans="1:1" x14ac:dyDescent="0.35">
      <c r="A619" t="s">
        <v>84</v>
      </c>
    </row>
    <row r="620" spans="1:1" x14ac:dyDescent="0.35">
      <c r="A620" t="s">
        <v>441</v>
      </c>
    </row>
    <row r="621" spans="1:1" x14ac:dyDescent="0.35">
      <c r="A621" t="s">
        <v>442</v>
      </c>
    </row>
    <row r="622" spans="1:1" x14ac:dyDescent="0.35">
      <c r="A622" t="s">
        <v>443</v>
      </c>
    </row>
    <row r="623" spans="1:1" x14ac:dyDescent="0.35">
      <c r="A623" t="s">
        <v>419</v>
      </c>
    </row>
    <row r="624" spans="1:1" x14ac:dyDescent="0.35">
      <c r="A624" t="s">
        <v>444</v>
      </c>
    </row>
    <row r="625" spans="1:1" x14ac:dyDescent="0.35">
      <c r="A625" t="s">
        <v>445</v>
      </c>
    </row>
    <row r="626" spans="1:1" x14ac:dyDescent="0.35">
      <c r="A626" t="s">
        <v>446</v>
      </c>
    </row>
    <row r="627" spans="1:1" x14ac:dyDescent="0.35">
      <c r="A627" t="s">
        <v>447</v>
      </c>
    </row>
    <row r="628" spans="1:1" x14ac:dyDescent="0.35">
      <c r="A628" t="s">
        <v>448</v>
      </c>
    </row>
    <row r="629" spans="1:1" x14ac:dyDescent="0.35">
      <c r="A629" t="s">
        <v>94</v>
      </c>
    </row>
    <row r="630" spans="1:1" x14ac:dyDescent="0.35">
      <c r="A630" t="s">
        <v>70</v>
      </c>
    </row>
    <row r="631" spans="1:1" x14ac:dyDescent="0.35">
      <c r="A631" t="s">
        <v>449</v>
      </c>
    </row>
    <row r="632" spans="1:1" x14ac:dyDescent="0.35">
      <c r="A632" t="s">
        <v>450</v>
      </c>
    </row>
    <row r="633" spans="1:1" x14ac:dyDescent="0.35">
      <c r="A633" t="s">
        <v>83</v>
      </c>
    </row>
    <row r="634" spans="1:1" x14ac:dyDescent="0.35">
      <c r="A634" t="s">
        <v>84</v>
      </c>
    </row>
    <row r="635" spans="1:1" x14ac:dyDescent="0.35">
      <c r="A635" t="s">
        <v>441</v>
      </c>
    </row>
    <row r="636" spans="1:1" x14ac:dyDescent="0.35">
      <c r="A636" t="s">
        <v>442</v>
      </c>
    </row>
    <row r="637" spans="1:1" x14ac:dyDescent="0.35">
      <c r="A637" t="s">
        <v>443</v>
      </c>
    </row>
    <row r="638" spans="1:1" x14ac:dyDescent="0.35">
      <c r="A638" t="s">
        <v>451</v>
      </c>
    </row>
    <row r="639" spans="1:1" x14ac:dyDescent="0.35">
      <c r="A639" t="s">
        <v>452</v>
      </c>
    </row>
    <row r="640" spans="1:1" x14ac:dyDescent="0.35">
      <c r="A640" t="s">
        <v>453</v>
      </c>
    </row>
    <row r="641" spans="1:1" x14ac:dyDescent="0.35">
      <c r="A641" t="s">
        <v>454</v>
      </c>
    </row>
    <row r="642" spans="1:1" x14ac:dyDescent="0.35">
      <c r="A642" t="s">
        <v>455</v>
      </c>
    </row>
    <row r="643" spans="1:1" x14ac:dyDescent="0.35">
      <c r="A643" t="s">
        <v>456</v>
      </c>
    </row>
    <row r="644" spans="1:1" x14ac:dyDescent="0.35">
      <c r="A644" t="s">
        <v>94</v>
      </c>
    </row>
    <row r="645" spans="1:1" x14ac:dyDescent="0.35">
      <c r="A645" t="s">
        <v>70</v>
      </c>
    </row>
    <row r="646" spans="1:1" x14ac:dyDescent="0.35">
      <c r="A646" t="s">
        <v>457</v>
      </c>
    </row>
    <row r="647" spans="1:1" x14ac:dyDescent="0.35">
      <c r="A647" t="s">
        <v>458</v>
      </c>
    </row>
    <row r="648" spans="1:1" x14ac:dyDescent="0.35">
      <c r="A648" t="s">
        <v>459</v>
      </c>
    </row>
    <row r="649" spans="1:1" x14ac:dyDescent="0.35">
      <c r="A649" t="s">
        <v>460</v>
      </c>
    </row>
    <row r="650" spans="1:1" x14ac:dyDescent="0.35">
      <c r="A650" t="s">
        <v>339</v>
      </c>
    </row>
    <row r="651" spans="1:1" x14ac:dyDescent="0.35">
      <c r="A651" t="s">
        <v>340</v>
      </c>
    </row>
    <row r="652" spans="1:1" x14ac:dyDescent="0.35">
      <c r="A652" t="s">
        <v>341</v>
      </c>
    </row>
    <row r="653" spans="1:1" x14ac:dyDescent="0.35">
      <c r="A653" t="s">
        <v>461</v>
      </c>
    </row>
    <row r="654" spans="1:1" x14ac:dyDescent="0.35">
      <c r="A654" t="s">
        <v>462</v>
      </c>
    </row>
    <row r="655" spans="1:1" x14ac:dyDescent="0.35">
      <c r="A655" t="s">
        <v>463</v>
      </c>
    </row>
    <row r="656" spans="1:1" x14ac:dyDescent="0.35">
      <c r="A656" t="s">
        <v>464</v>
      </c>
    </row>
    <row r="657" spans="1:1" x14ac:dyDescent="0.35">
      <c r="A657" t="s">
        <v>465</v>
      </c>
    </row>
    <row r="658" spans="1:1" x14ac:dyDescent="0.35">
      <c r="A658" t="s">
        <v>466</v>
      </c>
    </row>
    <row r="659" spans="1:1" x14ac:dyDescent="0.35">
      <c r="A659" t="s">
        <v>94</v>
      </c>
    </row>
    <row r="660" spans="1:1" x14ac:dyDescent="0.35">
      <c r="A660" t="s">
        <v>70</v>
      </c>
    </row>
    <row r="661" spans="1:1" x14ac:dyDescent="0.35">
      <c r="A661" t="s">
        <v>467</v>
      </c>
    </row>
    <row r="662" spans="1:1" x14ac:dyDescent="0.35">
      <c r="A662" t="s">
        <v>468</v>
      </c>
    </row>
    <row r="663" spans="1:1" x14ac:dyDescent="0.35">
      <c r="A663" t="s">
        <v>469</v>
      </c>
    </row>
    <row r="664" spans="1:1" x14ac:dyDescent="0.35">
      <c r="A664" t="s">
        <v>84</v>
      </c>
    </row>
    <row r="665" spans="1:1" x14ac:dyDescent="0.35">
      <c r="A665" t="s">
        <v>247</v>
      </c>
    </row>
    <row r="666" spans="1:1" x14ac:dyDescent="0.35">
      <c r="A666" t="s">
        <v>248</v>
      </c>
    </row>
    <row r="667" spans="1:1" x14ac:dyDescent="0.35">
      <c r="A667" t="s">
        <v>249</v>
      </c>
    </row>
    <row r="668" spans="1:1" x14ac:dyDescent="0.35">
      <c r="A668" t="s">
        <v>470</v>
      </c>
    </row>
    <row r="669" spans="1:1" x14ac:dyDescent="0.35">
      <c r="A669" t="s">
        <v>471</v>
      </c>
    </row>
    <row r="670" spans="1:1" x14ac:dyDescent="0.35">
      <c r="A670" t="s">
        <v>102</v>
      </c>
    </row>
    <row r="671" spans="1:1" x14ac:dyDescent="0.35">
      <c r="A671" t="s">
        <v>472</v>
      </c>
    </row>
    <row r="672" spans="1:1" x14ac:dyDescent="0.35">
      <c r="A672" t="s">
        <v>473</v>
      </c>
    </row>
    <row r="673" spans="1:1" x14ac:dyDescent="0.35">
      <c r="A673" t="s">
        <v>474</v>
      </c>
    </row>
    <row r="674" spans="1:1" x14ac:dyDescent="0.35">
      <c r="A674" t="s">
        <v>94</v>
      </c>
    </row>
    <row r="675" spans="1:1" x14ac:dyDescent="0.35">
      <c r="A675" t="s">
        <v>70</v>
      </c>
    </row>
    <row r="676" spans="1:1" x14ac:dyDescent="0.35">
      <c r="A676" t="s">
        <v>475</v>
      </c>
    </row>
    <row r="677" spans="1:1" x14ac:dyDescent="0.35">
      <c r="A677" t="s">
        <v>476</v>
      </c>
    </row>
    <row r="678" spans="1:1" x14ac:dyDescent="0.35">
      <c r="A678" t="s">
        <v>149</v>
      </c>
    </row>
    <row r="679" spans="1:1" x14ac:dyDescent="0.35">
      <c r="A679" t="s">
        <v>84</v>
      </c>
    </row>
    <row r="680" spans="1:1" x14ac:dyDescent="0.35">
      <c r="A680" t="s">
        <v>129</v>
      </c>
    </row>
    <row r="681" spans="1:1" x14ac:dyDescent="0.35">
      <c r="A681" t="s">
        <v>130</v>
      </c>
    </row>
    <row r="682" spans="1:1" x14ac:dyDescent="0.35">
      <c r="A682" t="s">
        <v>131</v>
      </c>
    </row>
    <row r="683" spans="1:1" x14ac:dyDescent="0.35">
      <c r="A683" t="s">
        <v>477</v>
      </c>
    </row>
    <row r="684" spans="1:1" x14ac:dyDescent="0.35">
      <c r="A684" t="s">
        <v>478</v>
      </c>
    </row>
    <row r="685" spans="1:1" x14ac:dyDescent="0.35">
      <c r="A685" t="s">
        <v>102</v>
      </c>
    </row>
    <row r="686" spans="1:1" x14ac:dyDescent="0.35">
      <c r="A686" t="s">
        <v>479</v>
      </c>
    </row>
    <row r="687" spans="1:1" x14ac:dyDescent="0.35">
      <c r="A687" t="s">
        <v>480</v>
      </c>
    </row>
    <row r="688" spans="1:1" x14ac:dyDescent="0.35">
      <c r="A688" t="s">
        <v>481</v>
      </c>
    </row>
    <row r="689" spans="1:1" x14ac:dyDescent="0.35">
      <c r="A689" t="s">
        <v>94</v>
      </c>
    </row>
    <row r="690" spans="1:1" x14ac:dyDescent="0.35">
      <c r="A690" t="s">
        <v>70</v>
      </c>
    </row>
    <row r="691" spans="1:1" x14ac:dyDescent="0.35">
      <c r="A691" t="s">
        <v>482</v>
      </c>
    </row>
    <row r="692" spans="1:1" x14ac:dyDescent="0.35">
      <c r="A692" t="s">
        <v>483</v>
      </c>
    </row>
    <row r="693" spans="1:1" x14ac:dyDescent="0.35">
      <c r="A693" t="s">
        <v>469</v>
      </c>
    </row>
    <row r="694" spans="1:1" x14ac:dyDescent="0.35">
      <c r="A694" t="s">
        <v>84</v>
      </c>
    </row>
    <row r="695" spans="1:1" x14ac:dyDescent="0.35">
      <c r="A695" t="s">
        <v>265</v>
      </c>
    </row>
    <row r="696" spans="1:1" x14ac:dyDescent="0.35">
      <c r="A696" t="s">
        <v>266</v>
      </c>
    </row>
    <row r="697" spans="1:1" x14ac:dyDescent="0.35">
      <c r="A697" t="s">
        <v>267</v>
      </c>
    </row>
    <row r="698" spans="1:1" x14ac:dyDescent="0.35">
      <c r="A698" t="s">
        <v>484</v>
      </c>
    </row>
    <row r="699" spans="1:1" x14ac:dyDescent="0.35">
      <c r="A699" t="s">
        <v>485</v>
      </c>
    </row>
    <row r="700" spans="1:1" x14ac:dyDescent="0.35">
      <c r="A700" t="s">
        <v>102</v>
      </c>
    </row>
    <row r="701" spans="1:1" x14ac:dyDescent="0.35">
      <c r="A701" t="s">
        <v>486</v>
      </c>
    </row>
    <row r="702" spans="1:1" x14ac:dyDescent="0.35">
      <c r="A702" t="s">
        <v>487</v>
      </c>
    </row>
    <row r="703" spans="1:1" x14ac:dyDescent="0.35">
      <c r="A703" t="s">
        <v>488</v>
      </c>
    </row>
    <row r="704" spans="1:1" x14ac:dyDescent="0.35">
      <c r="A704" t="s">
        <v>94</v>
      </c>
    </row>
    <row r="705" spans="1:1" x14ac:dyDescent="0.35">
      <c r="A705" t="s">
        <v>70</v>
      </c>
    </row>
    <row r="706" spans="1:1" x14ac:dyDescent="0.35">
      <c r="A706" t="s">
        <v>489</v>
      </c>
    </row>
    <row r="707" spans="1:1" x14ac:dyDescent="0.35">
      <c r="A707" t="s">
        <v>490</v>
      </c>
    </row>
    <row r="708" spans="1:1" x14ac:dyDescent="0.35">
      <c r="A708" t="s">
        <v>149</v>
      </c>
    </row>
    <row r="709" spans="1:1" x14ac:dyDescent="0.35">
      <c r="A709" t="s">
        <v>84</v>
      </c>
    </row>
    <row r="710" spans="1:1" x14ac:dyDescent="0.35">
      <c r="A710" t="s">
        <v>186</v>
      </c>
    </row>
    <row r="711" spans="1:1" x14ac:dyDescent="0.35">
      <c r="A711" t="s">
        <v>187</v>
      </c>
    </row>
    <row r="712" spans="1:1" x14ac:dyDescent="0.35">
      <c r="A712" t="s">
        <v>188</v>
      </c>
    </row>
    <row r="713" spans="1:1" x14ac:dyDescent="0.35">
      <c r="A713" t="s">
        <v>412</v>
      </c>
    </row>
    <row r="714" spans="1:1" x14ac:dyDescent="0.35">
      <c r="A714" t="s">
        <v>491</v>
      </c>
    </row>
    <row r="715" spans="1:1" x14ac:dyDescent="0.35">
      <c r="A715" t="s">
        <v>102</v>
      </c>
    </row>
    <row r="716" spans="1:1" x14ac:dyDescent="0.35">
      <c r="A716" t="s">
        <v>492</v>
      </c>
    </row>
    <row r="717" spans="1:1" x14ac:dyDescent="0.35">
      <c r="A717" t="s">
        <v>415</v>
      </c>
    </row>
    <row r="718" spans="1:1" x14ac:dyDescent="0.35">
      <c r="A718" t="s">
        <v>493</v>
      </c>
    </row>
    <row r="719" spans="1:1" x14ac:dyDescent="0.35">
      <c r="A719" t="s">
        <v>94</v>
      </c>
    </row>
    <row r="720" spans="1:1" x14ac:dyDescent="0.35">
      <c r="A720" t="s">
        <v>70</v>
      </c>
    </row>
    <row r="721" spans="1:1" x14ac:dyDescent="0.35">
      <c r="A721" t="s">
        <v>494</v>
      </c>
    </row>
    <row r="722" spans="1:1" x14ac:dyDescent="0.35">
      <c r="A722" t="s">
        <v>495</v>
      </c>
    </row>
    <row r="723" spans="1:1" x14ac:dyDescent="0.35">
      <c r="A723" t="s">
        <v>338</v>
      </c>
    </row>
    <row r="724" spans="1:1" x14ac:dyDescent="0.35">
      <c r="A724" t="s">
        <v>350</v>
      </c>
    </row>
    <row r="725" spans="1:1" x14ac:dyDescent="0.35">
      <c r="A725" t="s">
        <v>496</v>
      </c>
    </row>
    <row r="726" spans="1:1" x14ac:dyDescent="0.35">
      <c r="A726" t="s">
        <v>497</v>
      </c>
    </row>
    <row r="727" spans="1:1" x14ac:dyDescent="0.35">
      <c r="A727" t="s">
        <v>498</v>
      </c>
    </row>
    <row r="728" spans="1:1" x14ac:dyDescent="0.35">
      <c r="A728" t="s">
        <v>499</v>
      </c>
    </row>
    <row r="729" spans="1:1" x14ac:dyDescent="0.35">
      <c r="A729" t="s">
        <v>500</v>
      </c>
    </row>
    <row r="730" spans="1:1" x14ac:dyDescent="0.35">
      <c r="A730" t="s">
        <v>501</v>
      </c>
    </row>
    <row r="731" spans="1:1" x14ac:dyDescent="0.35">
      <c r="A731" t="s">
        <v>502</v>
      </c>
    </row>
    <row r="732" spans="1:1" x14ac:dyDescent="0.35">
      <c r="A732" t="s">
        <v>503</v>
      </c>
    </row>
    <row r="733" spans="1:1" x14ac:dyDescent="0.35">
      <c r="A733" t="s">
        <v>504</v>
      </c>
    </row>
    <row r="734" spans="1:1" x14ac:dyDescent="0.35">
      <c r="A734" t="s">
        <v>94</v>
      </c>
    </row>
    <row r="735" spans="1:1" x14ac:dyDescent="0.35">
      <c r="A735" t="s">
        <v>70</v>
      </c>
    </row>
    <row r="736" spans="1:1" x14ac:dyDescent="0.35">
      <c r="A736" t="s">
        <v>505</v>
      </c>
    </row>
    <row r="737" spans="1:1" x14ac:dyDescent="0.35">
      <c r="A737" t="s">
        <v>506</v>
      </c>
    </row>
    <row r="738" spans="1:1" x14ac:dyDescent="0.35">
      <c r="A738" t="s">
        <v>83</v>
      </c>
    </row>
    <row r="739" spans="1:1" x14ac:dyDescent="0.35">
      <c r="A739" t="s">
        <v>84</v>
      </c>
    </row>
    <row r="740" spans="1:1" x14ac:dyDescent="0.35">
      <c r="A740" t="s">
        <v>310</v>
      </c>
    </row>
    <row r="741" spans="1:1" x14ac:dyDescent="0.35">
      <c r="A741" t="s">
        <v>311</v>
      </c>
    </row>
    <row r="742" spans="1:1" x14ac:dyDescent="0.35">
      <c r="A742" t="s">
        <v>312</v>
      </c>
    </row>
    <row r="743" spans="1:1" x14ac:dyDescent="0.35">
      <c r="A743" t="s">
        <v>507</v>
      </c>
    </row>
    <row r="744" spans="1:1" x14ac:dyDescent="0.35">
      <c r="A744" t="s">
        <v>508</v>
      </c>
    </row>
    <row r="745" spans="1:1" x14ac:dyDescent="0.35">
      <c r="A745" t="s">
        <v>102</v>
      </c>
    </row>
    <row r="746" spans="1:1" x14ac:dyDescent="0.35">
      <c r="A746" t="s">
        <v>509</v>
      </c>
    </row>
    <row r="747" spans="1:1" x14ac:dyDescent="0.35">
      <c r="A747" t="s">
        <v>510</v>
      </c>
    </row>
    <row r="748" spans="1:1" x14ac:dyDescent="0.35">
      <c r="A748" t="s">
        <v>511</v>
      </c>
    </row>
    <row r="749" spans="1:1" x14ac:dyDescent="0.35">
      <c r="A749" t="s">
        <v>94</v>
      </c>
    </row>
    <row r="750" spans="1:1" x14ac:dyDescent="0.35">
      <c r="A750" t="s">
        <v>70</v>
      </c>
    </row>
    <row r="751" spans="1:1" x14ac:dyDescent="0.35">
      <c r="A751" t="s">
        <v>512</v>
      </c>
    </row>
    <row r="752" spans="1:1" x14ac:dyDescent="0.35">
      <c r="A752" t="s">
        <v>513</v>
      </c>
    </row>
    <row r="753" spans="1:1" x14ac:dyDescent="0.35">
      <c r="A753" t="s">
        <v>514</v>
      </c>
    </row>
    <row r="754" spans="1:1" x14ac:dyDescent="0.35">
      <c r="A754" t="s">
        <v>84</v>
      </c>
    </row>
    <row r="755" spans="1:1" x14ac:dyDescent="0.35">
      <c r="A755" t="s">
        <v>237</v>
      </c>
    </row>
    <row r="756" spans="1:1" x14ac:dyDescent="0.35">
      <c r="A756" t="s">
        <v>238</v>
      </c>
    </row>
    <row r="757" spans="1:1" x14ac:dyDescent="0.35">
      <c r="A757" t="s">
        <v>188</v>
      </c>
    </row>
    <row r="758" spans="1:1" x14ac:dyDescent="0.35">
      <c r="A758" t="s">
        <v>515</v>
      </c>
    </row>
    <row r="759" spans="1:1" x14ac:dyDescent="0.35">
      <c r="A759" t="s">
        <v>516</v>
      </c>
    </row>
    <row r="760" spans="1:1" x14ac:dyDescent="0.35">
      <c r="A760" t="s">
        <v>517</v>
      </c>
    </row>
    <row r="761" spans="1:1" x14ac:dyDescent="0.35">
      <c r="A761" t="s">
        <v>518</v>
      </c>
    </row>
    <row r="762" spans="1:1" x14ac:dyDescent="0.35">
      <c r="A762" t="s">
        <v>519</v>
      </c>
    </row>
    <row r="763" spans="1:1" x14ac:dyDescent="0.35">
      <c r="A763" t="s">
        <v>520</v>
      </c>
    </row>
    <row r="764" spans="1:1" x14ac:dyDescent="0.35">
      <c r="A764" t="s">
        <v>94</v>
      </c>
    </row>
    <row r="765" spans="1:1" x14ac:dyDescent="0.35">
      <c r="A765" t="s">
        <v>70</v>
      </c>
    </row>
    <row r="766" spans="1:1" x14ac:dyDescent="0.35">
      <c r="A766" t="s">
        <v>521</v>
      </c>
    </row>
    <row r="767" spans="1:1" x14ac:dyDescent="0.35">
      <c r="A767" t="s">
        <v>522</v>
      </c>
    </row>
    <row r="768" spans="1:1" x14ac:dyDescent="0.35">
      <c r="A768" t="s">
        <v>149</v>
      </c>
    </row>
    <row r="769" spans="1:1" x14ac:dyDescent="0.35">
      <c r="A769" t="s">
        <v>84</v>
      </c>
    </row>
    <row r="770" spans="1:1" x14ac:dyDescent="0.35">
      <c r="A770" t="s">
        <v>237</v>
      </c>
    </row>
    <row r="771" spans="1:1" x14ac:dyDescent="0.35">
      <c r="A771" t="s">
        <v>238</v>
      </c>
    </row>
    <row r="772" spans="1:1" x14ac:dyDescent="0.35">
      <c r="A772" t="s">
        <v>188</v>
      </c>
    </row>
    <row r="773" spans="1:1" x14ac:dyDescent="0.35">
      <c r="A773" t="s">
        <v>523</v>
      </c>
    </row>
    <row r="774" spans="1:1" x14ac:dyDescent="0.35">
      <c r="A774" t="s">
        <v>524</v>
      </c>
    </row>
    <row r="775" spans="1:1" x14ac:dyDescent="0.35">
      <c r="A775" t="s">
        <v>525</v>
      </c>
    </row>
    <row r="776" spans="1:1" x14ac:dyDescent="0.35">
      <c r="A776" t="s">
        <v>526</v>
      </c>
    </row>
    <row r="777" spans="1:1" x14ac:dyDescent="0.35">
      <c r="A777" t="s">
        <v>527</v>
      </c>
    </row>
    <row r="778" spans="1:1" x14ac:dyDescent="0.35">
      <c r="A778" t="s">
        <v>528</v>
      </c>
    </row>
    <row r="779" spans="1:1" x14ac:dyDescent="0.35">
      <c r="A779" t="s">
        <v>78</v>
      </c>
    </row>
    <row r="780" spans="1:1" x14ac:dyDescent="0.35">
      <c r="A780" t="s">
        <v>529</v>
      </c>
    </row>
    <row r="781" spans="1:1" x14ac:dyDescent="0.35">
      <c r="A781" t="s">
        <v>530</v>
      </c>
    </row>
    <row r="782" spans="1:1" x14ac:dyDescent="0.35">
      <c r="A782" t="s">
        <v>531</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B7D5-BC33-4792-B003-DEE2F6BE0065}">
  <sheetPr codeName="Sheet4"/>
  <dimension ref="A1:Z1048576"/>
  <sheetViews>
    <sheetView workbookViewId="0">
      <selection activeCell="M13" sqref="M13"/>
    </sheetView>
  </sheetViews>
  <sheetFormatPr defaultColWidth="0" defaultRowHeight="14.5" x14ac:dyDescent="0.35"/>
  <cols>
    <col min="1" max="1" width="2.81640625" style="10" customWidth="1"/>
    <col min="2" max="2" width="8.7265625" style="24" customWidth="1"/>
    <col min="3" max="5" width="5.36328125" customWidth="1"/>
    <col min="6" max="6" width="2.81640625" style="10" customWidth="1"/>
    <col min="7" max="7" width="8.7265625" style="24" customWidth="1"/>
    <col min="8" max="10" width="5.36328125" customWidth="1"/>
    <col min="11" max="11" width="2.81640625" style="10" customWidth="1"/>
    <col min="12" max="12" width="8.7265625" style="24" customWidth="1"/>
    <col min="13" max="15" width="5.36328125" customWidth="1"/>
    <col min="16" max="16" width="2.81640625" style="10" customWidth="1"/>
    <col min="17" max="17" width="8.7265625" style="24" customWidth="1"/>
    <col min="18" max="20" width="5.36328125" customWidth="1"/>
    <col min="21" max="21" width="2.81640625" style="10" customWidth="1"/>
    <col min="22" max="22" width="8.7265625" style="24" customWidth="1"/>
    <col min="23" max="25" width="5.36328125" customWidth="1"/>
    <col min="26" max="26" width="2.81640625" style="10" customWidth="1"/>
    <col min="27" max="16384" width="8.7265625" hidden="1"/>
  </cols>
  <sheetData>
    <row r="1" spans="2:25" ht="25" customHeight="1" x14ac:dyDescent="0.35">
      <c r="B1" s="189"/>
      <c r="C1" s="189"/>
      <c r="D1" s="189"/>
      <c r="E1" s="189"/>
      <c r="G1" s="189"/>
      <c r="H1" s="189"/>
      <c r="I1" s="189"/>
      <c r="J1" s="189"/>
      <c r="L1" s="189"/>
      <c r="M1" s="189"/>
      <c r="N1" s="189"/>
      <c r="O1" s="189"/>
      <c r="Q1" s="189"/>
      <c r="R1" s="189"/>
      <c r="S1" s="189"/>
      <c r="T1" s="189"/>
      <c r="V1" s="189"/>
      <c r="W1" s="189"/>
      <c r="X1" s="189"/>
      <c r="Y1" s="189"/>
    </row>
    <row r="2" spans="2:25" x14ac:dyDescent="0.35">
      <c r="B2" s="15" t="s">
        <v>533</v>
      </c>
      <c r="C2" s="16">
        <v>1</v>
      </c>
      <c r="D2" s="16">
        <v>2</v>
      </c>
      <c r="E2" s="17">
        <v>3</v>
      </c>
      <c r="G2" s="15" t="s">
        <v>533</v>
      </c>
      <c r="H2" s="16">
        <v>1</v>
      </c>
      <c r="I2" s="16">
        <v>2</v>
      </c>
      <c r="J2" s="17">
        <v>3</v>
      </c>
      <c r="L2" s="15" t="s">
        <v>533</v>
      </c>
      <c r="M2" s="16">
        <v>1</v>
      </c>
      <c r="N2" s="16">
        <v>2</v>
      </c>
      <c r="O2" s="17">
        <v>3</v>
      </c>
      <c r="Q2" s="15" t="s">
        <v>533</v>
      </c>
      <c r="R2" s="16">
        <v>1</v>
      </c>
      <c r="S2" s="16">
        <v>2</v>
      </c>
      <c r="T2" s="17">
        <v>3</v>
      </c>
      <c r="V2" s="15" t="s">
        <v>533</v>
      </c>
      <c r="W2" s="16">
        <v>1</v>
      </c>
      <c r="X2" s="16">
        <v>2</v>
      </c>
      <c r="Y2" s="17">
        <v>3</v>
      </c>
    </row>
    <row r="3" spans="2:25" x14ac:dyDescent="0.35">
      <c r="B3" s="20"/>
      <c r="C3" s="11"/>
      <c r="D3" s="11"/>
      <c r="E3" s="12"/>
      <c r="G3" s="20"/>
      <c r="H3" s="11"/>
      <c r="I3" s="11"/>
      <c r="J3" s="12"/>
      <c r="L3" s="20"/>
      <c r="M3" s="11"/>
      <c r="N3" s="11"/>
      <c r="O3" s="12"/>
      <c r="Q3" s="20"/>
      <c r="R3" s="11"/>
      <c r="S3" s="11"/>
      <c r="T3" s="12"/>
      <c r="V3" s="20"/>
      <c r="W3" s="11"/>
      <c r="X3" s="11"/>
      <c r="Y3" s="12"/>
    </row>
    <row r="4" spans="2:25" x14ac:dyDescent="0.35">
      <c r="B4" s="21"/>
      <c r="C4" s="6"/>
      <c r="D4" s="8"/>
      <c r="E4" s="13"/>
      <c r="G4" s="21"/>
      <c r="H4" s="8"/>
      <c r="I4" s="8"/>
      <c r="J4" s="13"/>
      <c r="L4" s="21"/>
      <c r="M4" s="8"/>
      <c r="N4" s="8"/>
      <c r="O4" s="13"/>
      <c r="Q4" s="21"/>
      <c r="R4" s="8"/>
      <c r="S4" s="8"/>
      <c r="T4" s="13"/>
      <c r="V4" s="21"/>
      <c r="W4" s="8"/>
      <c r="X4" s="8"/>
      <c r="Y4" s="13"/>
    </row>
    <row r="5" spans="2:25" x14ac:dyDescent="0.35">
      <c r="B5" s="22"/>
      <c r="C5" s="7"/>
      <c r="D5" s="9"/>
      <c r="E5" s="14"/>
      <c r="G5" s="22"/>
      <c r="H5" s="9"/>
      <c r="I5" s="9"/>
      <c r="J5" s="14"/>
      <c r="L5" s="22"/>
      <c r="M5" s="9"/>
      <c r="N5" s="9"/>
      <c r="O5" s="14"/>
      <c r="Q5" s="22"/>
      <c r="R5" s="9"/>
      <c r="S5" s="9"/>
      <c r="T5" s="14"/>
      <c r="V5" s="22"/>
      <c r="W5" s="9"/>
      <c r="X5" s="9"/>
      <c r="Y5" s="14"/>
    </row>
    <row r="6" spans="2:25" x14ac:dyDescent="0.35">
      <c r="B6" s="21"/>
      <c r="C6" s="6"/>
      <c r="D6" s="8"/>
      <c r="E6" s="13"/>
      <c r="G6" s="21"/>
      <c r="H6" s="8"/>
      <c r="I6" s="8"/>
      <c r="J6" s="13"/>
      <c r="L6" s="21"/>
      <c r="M6" s="8"/>
      <c r="N6" s="8"/>
      <c r="O6" s="13"/>
      <c r="Q6" s="21"/>
      <c r="R6" s="8"/>
      <c r="S6" s="8"/>
      <c r="T6" s="13"/>
      <c r="V6" s="21"/>
      <c r="W6" s="8"/>
      <c r="X6" s="8"/>
      <c r="Y6" s="13"/>
    </row>
    <row r="7" spans="2:25" x14ac:dyDescent="0.35">
      <c r="B7" s="22"/>
      <c r="C7" s="7"/>
      <c r="D7" s="9"/>
      <c r="E7" s="14"/>
      <c r="G7" s="22"/>
      <c r="H7" s="9"/>
      <c r="I7" s="9"/>
      <c r="J7" s="14"/>
      <c r="L7" s="22"/>
      <c r="M7" s="9"/>
      <c r="N7" s="9"/>
      <c r="O7" s="14"/>
      <c r="Q7" s="22"/>
      <c r="R7" s="9"/>
      <c r="S7" s="9"/>
      <c r="T7" s="14"/>
      <c r="V7" s="22"/>
      <c r="W7" s="9"/>
      <c r="X7" s="9"/>
      <c r="Y7" s="14"/>
    </row>
    <row r="8" spans="2:25" x14ac:dyDescent="0.35">
      <c r="B8" s="21"/>
      <c r="C8" s="6"/>
      <c r="D8" s="8"/>
      <c r="E8" s="13"/>
      <c r="G8" s="21"/>
      <c r="H8" s="8"/>
      <c r="I8" s="8"/>
      <c r="J8" s="13"/>
      <c r="L8" s="21"/>
      <c r="M8" s="8"/>
      <c r="N8" s="8"/>
      <c r="O8" s="13"/>
      <c r="Q8" s="21"/>
      <c r="R8" s="8"/>
      <c r="S8" s="8"/>
      <c r="T8" s="13"/>
      <c r="V8" s="21"/>
      <c r="W8" s="8"/>
      <c r="X8" s="8"/>
      <c r="Y8" s="13"/>
    </row>
    <row r="9" spans="2:25" x14ac:dyDescent="0.35">
      <c r="B9" s="22"/>
      <c r="C9" s="7"/>
      <c r="D9" s="9"/>
      <c r="E9" s="14"/>
      <c r="G9" s="22"/>
      <c r="H9" s="9"/>
      <c r="I9" s="9"/>
      <c r="J9" s="14"/>
      <c r="L9" s="22"/>
      <c r="M9" s="9"/>
      <c r="N9" s="9"/>
      <c r="O9" s="14"/>
      <c r="Q9" s="22"/>
      <c r="R9" s="9"/>
      <c r="S9" s="9"/>
      <c r="T9" s="14"/>
      <c r="V9" s="22"/>
      <c r="W9" s="9"/>
      <c r="X9" s="9"/>
      <c r="Y9" s="14"/>
    </row>
    <row r="10" spans="2:25" x14ac:dyDescent="0.35">
      <c r="B10" s="21"/>
      <c r="C10" s="6"/>
      <c r="D10" s="8"/>
      <c r="E10" s="13"/>
      <c r="G10" s="21"/>
      <c r="H10" s="8"/>
      <c r="I10" s="8"/>
      <c r="J10" s="13"/>
      <c r="L10" s="21"/>
      <c r="M10" s="8"/>
      <c r="N10" s="8"/>
      <c r="O10" s="13"/>
      <c r="Q10" s="21"/>
      <c r="R10" s="8"/>
      <c r="S10" s="8"/>
      <c r="T10" s="13"/>
      <c r="V10" s="21"/>
      <c r="W10" s="8"/>
      <c r="X10" s="8"/>
      <c r="Y10" s="13"/>
    </row>
    <row r="11" spans="2:25" x14ac:dyDescent="0.35">
      <c r="B11" s="22"/>
      <c r="C11" s="7"/>
      <c r="D11" s="9"/>
      <c r="E11" s="14"/>
      <c r="G11" s="22"/>
      <c r="H11" s="9"/>
      <c r="I11" s="9"/>
      <c r="J11" s="14"/>
      <c r="L11" s="22"/>
      <c r="M11" s="9"/>
      <c r="N11" s="9"/>
      <c r="O11" s="14"/>
      <c r="Q11" s="22"/>
      <c r="R11" s="9"/>
      <c r="S11" s="9"/>
      <c r="T11" s="14"/>
      <c r="V11" s="22"/>
      <c r="W11" s="9"/>
      <c r="X11" s="9"/>
      <c r="Y11" s="14"/>
    </row>
    <row r="12" spans="2:25" x14ac:dyDescent="0.35">
      <c r="B12" s="21"/>
      <c r="C12" s="6"/>
      <c r="D12" s="8"/>
      <c r="E12" s="13"/>
      <c r="G12" s="21"/>
      <c r="H12" s="8"/>
      <c r="I12" s="8"/>
      <c r="J12" s="13"/>
      <c r="L12" s="21"/>
      <c r="M12" s="8"/>
      <c r="N12" s="8"/>
      <c r="O12" s="13"/>
      <c r="Q12" s="21"/>
      <c r="R12" s="8"/>
      <c r="S12" s="8"/>
      <c r="T12" s="13"/>
      <c r="V12" s="21"/>
      <c r="W12" s="8"/>
      <c r="X12" s="8"/>
      <c r="Y12" s="13"/>
    </row>
    <row r="13" spans="2:25" x14ac:dyDescent="0.35">
      <c r="B13" s="22"/>
      <c r="C13" s="7"/>
      <c r="D13" s="9"/>
      <c r="E13" s="14"/>
      <c r="G13" s="22"/>
      <c r="H13" s="9"/>
      <c r="I13" s="9"/>
      <c r="J13" s="14"/>
      <c r="L13" s="22"/>
      <c r="M13" s="9"/>
      <c r="N13" s="9"/>
      <c r="O13" s="14"/>
      <c r="Q13" s="22"/>
      <c r="R13" s="9"/>
      <c r="S13" s="9"/>
      <c r="T13" s="14"/>
      <c r="V13" s="22"/>
      <c r="W13" s="9"/>
      <c r="X13" s="9"/>
      <c r="Y13" s="14"/>
    </row>
    <row r="14" spans="2:25" x14ac:dyDescent="0.35">
      <c r="B14" s="21"/>
      <c r="C14" s="6"/>
      <c r="D14" s="8"/>
      <c r="E14" s="13"/>
      <c r="G14" s="21"/>
      <c r="H14" s="8"/>
      <c r="I14" s="8"/>
      <c r="J14" s="13"/>
      <c r="L14" s="21"/>
      <c r="M14" s="8"/>
      <c r="N14" s="8"/>
      <c r="O14" s="13"/>
      <c r="Q14" s="21"/>
      <c r="R14" s="8"/>
      <c r="S14" s="8"/>
      <c r="T14" s="13"/>
      <c r="V14" s="21"/>
      <c r="W14" s="8"/>
      <c r="X14" s="8"/>
      <c r="Y14" s="13"/>
    </row>
    <row r="15" spans="2:25" x14ac:dyDescent="0.35">
      <c r="B15" s="22"/>
      <c r="C15" s="7"/>
      <c r="D15" s="9"/>
      <c r="E15" s="14"/>
      <c r="G15" s="22"/>
      <c r="H15" s="9"/>
      <c r="I15" s="9"/>
      <c r="J15" s="14"/>
      <c r="L15" s="22"/>
      <c r="M15" s="9"/>
      <c r="N15" s="9"/>
      <c r="O15" s="14"/>
      <c r="Q15" s="22"/>
      <c r="R15" s="9"/>
      <c r="S15" s="9"/>
      <c r="T15" s="14"/>
      <c r="V15" s="22"/>
      <c r="W15" s="9"/>
      <c r="X15" s="9"/>
      <c r="Y15" s="14"/>
    </row>
    <row r="16" spans="2:25" x14ac:dyDescent="0.35">
      <c r="B16" s="21"/>
      <c r="C16" s="6"/>
      <c r="D16" s="8"/>
      <c r="E16" s="13"/>
      <c r="G16" s="21"/>
      <c r="H16" s="8"/>
      <c r="I16" s="8"/>
      <c r="J16" s="13"/>
      <c r="L16" s="21"/>
      <c r="M16" s="8"/>
      <c r="N16" s="8"/>
      <c r="O16" s="13"/>
      <c r="Q16" s="21"/>
      <c r="R16" s="8"/>
      <c r="S16" s="8"/>
      <c r="T16" s="13"/>
      <c r="V16" s="21"/>
      <c r="W16" s="8"/>
      <c r="X16" s="8"/>
      <c r="Y16" s="13"/>
    </row>
    <row r="17" spans="2:25" x14ac:dyDescent="0.35">
      <c r="B17" s="22"/>
      <c r="C17" s="7"/>
      <c r="D17" s="9"/>
      <c r="E17" s="14"/>
      <c r="G17" s="22"/>
      <c r="H17" s="9"/>
      <c r="I17" s="9"/>
      <c r="J17" s="14"/>
      <c r="L17" s="22"/>
      <c r="M17" s="9"/>
      <c r="N17" s="9"/>
      <c r="O17" s="14"/>
      <c r="Q17" s="22"/>
      <c r="R17" s="9"/>
      <c r="S17" s="9"/>
      <c r="T17" s="14"/>
      <c r="V17" s="22"/>
      <c r="W17" s="9"/>
      <c r="X17" s="9"/>
      <c r="Y17" s="14"/>
    </row>
    <row r="18" spans="2:25" x14ac:dyDescent="0.35">
      <c r="B18" s="21"/>
      <c r="C18" s="6"/>
      <c r="D18" s="8"/>
      <c r="E18" s="13"/>
      <c r="G18" s="21"/>
      <c r="H18" s="8"/>
      <c r="I18" s="8"/>
      <c r="J18" s="13"/>
      <c r="L18" s="21"/>
      <c r="M18" s="8"/>
      <c r="N18" s="8"/>
      <c r="O18" s="13"/>
      <c r="Q18" s="21"/>
      <c r="R18" s="8"/>
      <c r="S18" s="8"/>
      <c r="T18" s="13"/>
      <c r="V18" s="21"/>
      <c r="W18" s="8"/>
      <c r="X18" s="8"/>
      <c r="Y18" s="13"/>
    </row>
    <row r="19" spans="2:25" x14ac:dyDescent="0.35">
      <c r="B19" s="22"/>
      <c r="C19" s="7"/>
      <c r="D19" s="9"/>
      <c r="E19" s="14"/>
      <c r="G19" s="22"/>
      <c r="H19" s="9"/>
      <c r="I19" s="9"/>
      <c r="J19" s="14"/>
      <c r="L19" s="22"/>
      <c r="M19" s="9"/>
      <c r="N19" s="9"/>
      <c r="O19" s="14"/>
      <c r="Q19" s="22"/>
      <c r="R19" s="9"/>
      <c r="S19" s="9"/>
      <c r="T19" s="14"/>
      <c r="V19" s="22"/>
      <c r="W19" s="9"/>
      <c r="X19" s="9"/>
      <c r="Y19" s="14"/>
    </row>
    <row r="20" spans="2:25" x14ac:dyDescent="0.35">
      <c r="B20" s="21"/>
      <c r="C20" s="6"/>
      <c r="D20" s="8"/>
      <c r="E20" s="13"/>
      <c r="G20" s="21"/>
      <c r="H20" s="8"/>
      <c r="I20" s="8"/>
      <c r="J20" s="13"/>
      <c r="L20" s="21"/>
      <c r="M20" s="8"/>
      <c r="N20" s="8"/>
      <c r="O20" s="13"/>
      <c r="Q20" s="21"/>
      <c r="R20" s="8"/>
      <c r="S20" s="8"/>
      <c r="T20" s="13"/>
      <c r="V20" s="21"/>
      <c r="W20" s="8"/>
      <c r="X20" s="8"/>
      <c r="Y20" s="13"/>
    </row>
    <row r="21" spans="2:25" x14ac:dyDescent="0.35">
      <c r="B21" s="22"/>
      <c r="C21" s="7"/>
      <c r="D21" s="9"/>
      <c r="E21" s="14"/>
      <c r="G21" s="22"/>
      <c r="H21" s="9"/>
      <c r="I21" s="9"/>
      <c r="J21" s="14"/>
      <c r="L21" s="22"/>
      <c r="M21" s="9"/>
      <c r="N21" s="9"/>
      <c r="O21" s="14"/>
      <c r="Q21" s="22"/>
      <c r="R21" s="9"/>
      <c r="S21" s="9"/>
      <c r="T21" s="14"/>
      <c r="V21" s="22"/>
      <c r="W21" s="9"/>
      <c r="X21" s="9"/>
      <c r="Y21" s="14"/>
    </row>
    <row r="22" spans="2:25" x14ac:dyDescent="0.35">
      <c r="B22" s="21"/>
      <c r="C22" s="6"/>
      <c r="D22" s="8"/>
      <c r="E22" s="13"/>
      <c r="G22" s="21"/>
      <c r="H22" s="8"/>
      <c r="I22" s="8"/>
      <c r="J22" s="13"/>
      <c r="L22" s="21"/>
      <c r="M22" s="8"/>
      <c r="N22" s="8"/>
      <c r="O22" s="13"/>
      <c r="Q22" s="21"/>
      <c r="R22" s="8"/>
      <c r="S22" s="8"/>
      <c r="T22" s="13"/>
      <c r="V22" s="21"/>
      <c r="W22" s="8"/>
      <c r="X22" s="8"/>
      <c r="Y22" s="13"/>
    </row>
    <row r="23" spans="2:25" x14ac:dyDescent="0.35">
      <c r="B23" s="22"/>
      <c r="C23" s="7"/>
      <c r="D23" s="9"/>
      <c r="E23" s="14"/>
      <c r="G23" s="22"/>
      <c r="H23" s="9"/>
      <c r="I23" s="9"/>
      <c r="J23" s="14"/>
      <c r="L23" s="22"/>
      <c r="M23" s="9"/>
      <c r="N23" s="9"/>
      <c r="O23" s="14"/>
      <c r="Q23" s="22"/>
      <c r="R23" s="9"/>
      <c r="S23" s="9"/>
      <c r="T23" s="14"/>
      <c r="V23" s="22"/>
      <c r="W23" s="9"/>
      <c r="X23" s="9"/>
      <c r="Y23" s="14"/>
    </row>
    <row r="24" spans="2:25" x14ac:dyDescent="0.35">
      <c r="B24" s="21"/>
      <c r="C24" s="6"/>
      <c r="D24" s="8"/>
      <c r="E24" s="13"/>
      <c r="G24" s="21"/>
      <c r="H24" s="8"/>
      <c r="I24" s="8"/>
      <c r="J24" s="13"/>
      <c r="L24" s="21"/>
      <c r="M24" s="8"/>
      <c r="N24" s="8"/>
      <c r="O24" s="13"/>
      <c r="Q24" s="21"/>
      <c r="R24" s="8"/>
      <c r="S24" s="8"/>
      <c r="T24" s="13"/>
      <c r="V24" s="21"/>
      <c r="W24" s="8"/>
      <c r="X24" s="8"/>
      <c r="Y24" s="13"/>
    </row>
    <row r="25" spans="2:25" x14ac:dyDescent="0.35">
      <c r="B25" s="22"/>
      <c r="C25" s="7"/>
      <c r="D25" s="9"/>
      <c r="E25" s="14"/>
      <c r="G25" s="22"/>
      <c r="H25" s="9"/>
      <c r="I25" s="9"/>
      <c r="J25" s="14"/>
      <c r="L25" s="22"/>
      <c r="M25" s="9"/>
      <c r="N25" s="9"/>
      <c r="O25" s="14"/>
      <c r="Q25" s="22"/>
      <c r="R25" s="9"/>
      <c r="S25" s="9"/>
      <c r="T25" s="14"/>
      <c r="V25" s="22"/>
      <c r="W25" s="9"/>
      <c r="X25" s="9"/>
      <c r="Y25" s="14"/>
    </row>
    <row r="26" spans="2:25" x14ac:dyDescent="0.35">
      <c r="B26" s="21"/>
      <c r="C26" s="6"/>
      <c r="D26" s="8"/>
      <c r="E26" s="13"/>
      <c r="G26" s="21"/>
      <c r="H26" s="8"/>
      <c r="I26" s="8"/>
      <c r="J26" s="13"/>
      <c r="L26" s="21"/>
      <c r="M26" s="8"/>
      <c r="N26" s="8"/>
      <c r="O26" s="13"/>
      <c r="Q26" s="21"/>
      <c r="R26" s="8"/>
      <c r="S26" s="8"/>
      <c r="T26" s="13"/>
      <c r="V26" s="21"/>
      <c r="W26" s="8"/>
      <c r="X26" s="8"/>
      <c r="Y26" s="13"/>
    </row>
    <row r="27" spans="2:25" x14ac:dyDescent="0.35">
      <c r="B27" s="22"/>
      <c r="C27" s="7"/>
      <c r="D27" s="9"/>
      <c r="E27" s="14"/>
      <c r="G27" s="22"/>
      <c r="H27" s="9"/>
      <c r="I27" s="9"/>
      <c r="J27" s="14"/>
      <c r="L27" s="22"/>
      <c r="M27" s="9"/>
      <c r="N27" s="9"/>
      <c r="O27" s="14"/>
      <c r="Q27" s="22"/>
      <c r="R27" s="9"/>
      <c r="S27" s="9"/>
      <c r="T27" s="14"/>
      <c r="V27" s="22"/>
      <c r="W27" s="9"/>
      <c r="X27" s="9"/>
      <c r="Y27" s="14"/>
    </row>
    <row r="28" spans="2:25" x14ac:dyDescent="0.35">
      <c r="B28" s="21"/>
      <c r="C28" s="6"/>
      <c r="D28" s="8"/>
      <c r="E28" s="13"/>
      <c r="G28" s="21"/>
      <c r="H28" s="8"/>
      <c r="I28" s="8"/>
      <c r="J28" s="13"/>
      <c r="L28" s="21"/>
      <c r="M28" s="8"/>
      <c r="N28" s="8"/>
      <c r="O28" s="13"/>
      <c r="Q28" s="21"/>
      <c r="R28" s="8"/>
      <c r="S28" s="8"/>
      <c r="T28" s="13"/>
      <c r="V28" s="21"/>
      <c r="W28" s="8"/>
      <c r="X28" s="8"/>
      <c r="Y28" s="13"/>
    </row>
    <row r="29" spans="2:25" x14ac:dyDescent="0.35">
      <c r="B29" s="22"/>
      <c r="C29" s="7"/>
      <c r="D29" s="9"/>
      <c r="E29" s="14"/>
      <c r="G29" s="22"/>
      <c r="H29" s="9"/>
      <c r="I29" s="9"/>
      <c r="J29" s="14"/>
      <c r="L29" s="22"/>
      <c r="M29" s="9"/>
      <c r="N29" s="9"/>
      <c r="O29" s="14"/>
      <c r="Q29" s="22"/>
      <c r="R29" s="9"/>
      <c r="S29" s="9"/>
      <c r="T29" s="14"/>
      <c r="V29" s="22"/>
      <c r="W29" s="9"/>
      <c r="X29" s="9"/>
      <c r="Y29" s="14"/>
    </row>
    <row r="30" spans="2:25" x14ac:dyDescent="0.35">
      <c r="B30" s="21"/>
      <c r="C30" s="6"/>
      <c r="D30" s="8"/>
      <c r="E30" s="13"/>
      <c r="G30" s="21"/>
      <c r="H30" s="8"/>
      <c r="I30" s="8"/>
      <c r="J30" s="13"/>
      <c r="L30" s="21"/>
      <c r="M30" s="8"/>
      <c r="N30" s="8"/>
      <c r="O30" s="13"/>
      <c r="Q30" s="21"/>
      <c r="R30" s="8"/>
      <c r="S30" s="8"/>
      <c r="T30" s="13"/>
      <c r="V30" s="21"/>
      <c r="W30" s="8"/>
      <c r="X30" s="8"/>
      <c r="Y30" s="13"/>
    </row>
    <row r="31" spans="2:25" x14ac:dyDescent="0.35">
      <c r="B31" s="22"/>
      <c r="C31" s="7"/>
      <c r="D31" s="9"/>
      <c r="E31" s="14"/>
      <c r="G31" s="22"/>
      <c r="H31" s="9"/>
      <c r="I31" s="9"/>
      <c r="J31" s="14"/>
      <c r="L31" s="22"/>
      <c r="M31" s="9"/>
      <c r="N31" s="9"/>
      <c r="O31" s="14"/>
      <c r="Q31" s="22"/>
      <c r="R31" s="9"/>
      <c r="S31" s="9"/>
      <c r="T31" s="14"/>
      <c r="V31" s="22"/>
      <c r="W31" s="9"/>
      <c r="X31" s="9"/>
      <c r="Y31" s="14"/>
    </row>
    <row r="32" spans="2:25" x14ac:dyDescent="0.35">
      <c r="B32" s="21"/>
      <c r="C32" s="6"/>
      <c r="D32" s="8"/>
      <c r="E32" s="13"/>
      <c r="G32" s="21"/>
      <c r="H32" s="8"/>
      <c r="I32" s="8"/>
      <c r="J32" s="13"/>
      <c r="L32" s="21"/>
      <c r="M32" s="8"/>
      <c r="N32" s="8"/>
      <c r="O32" s="13"/>
      <c r="Q32" s="21"/>
      <c r="R32" s="8"/>
      <c r="S32" s="8"/>
      <c r="T32" s="13"/>
      <c r="V32" s="21"/>
      <c r="W32" s="8"/>
      <c r="X32" s="8"/>
      <c r="Y32" s="13"/>
    </row>
    <row r="33" spans="2:25" x14ac:dyDescent="0.35">
      <c r="B33" s="22"/>
      <c r="C33" s="7"/>
      <c r="D33" s="9"/>
      <c r="E33" s="14"/>
      <c r="G33" s="22"/>
      <c r="H33" s="9"/>
      <c r="I33" s="9"/>
      <c r="J33" s="14"/>
      <c r="L33" s="22"/>
      <c r="M33" s="9"/>
      <c r="N33" s="9"/>
      <c r="O33" s="14"/>
      <c r="Q33" s="22"/>
      <c r="R33" s="9"/>
      <c r="S33" s="9"/>
      <c r="T33" s="14"/>
      <c r="V33" s="22"/>
      <c r="W33" s="9"/>
      <c r="X33" s="9"/>
      <c r="Y33" s="14"/>
    </row>
    <row r="34" spans="2:25" x14ac:dyDescent="0.35">
      <c r="B34" s="21"/>
      <c r="C34" s="6"/>
      <c r="D34" s="8"/>
      <c r="E34" s="13"/>
      <c r="G34" s="21"/>
      <c r="H34" s="8"/>
      <c r="I34" s="8"/>
      <c r="J34" s="13"/>
      <c r="L34" s="21"/>
      <c r="M34" s="8"/>
      <c r="N34" s="8"/>
      <c r="O34" s="13"/>
      <c r="Q34" s="21"/>
      <c r="R34" s="8"/>
      <c r="S34" s="8"/>
      <c r="T34" s="13"/>
      <c r="V34" s="21"/>
      <c r="W34" s="8"/>
      <c r="X34" s="8"/>
      <c r="Y34" s="13"/>
    </row>
    <row r="35" spans="2:25" x14ac:dyDescent="0.35">
      <c r="B35" s="22"/>
      <c r="C35" s="7"/>
      <c r="D35" s="9"/>
      <c r="E35" s="14"/>
      <c r="G35" s="22"/>
      <c r="H35" s="9"/>
      <c r="I35" s="9"/>
      <c r="J35" s="14"/>
      <c r="L35" s="22"/>
      <c r="M35" s="9"/>
      <c r="N35" s="9"/>
      <c r="O35" s="14"/>
      <c r="Q35" s="22"/>
      <c r="R35" s="9"/>
      <c r="S35" s="9"/>
      <c r="T35" s="14"/>
      <c r="V35" s="22"/>
      <c r="W35" s="9"/>
      <c r="X35" s="9"/>
      <c r="Y35" s="14"/>
    </row>
    <row r="36" spans="2:25" x14ac:dyDescent="0.35">
      <c r="B36" s="21"/>
      <c r="C36" s="6"/>
      <c r="D36" s="8"/>
      <c r="E36" s="13"/>
      <c r="G36" s="21"/>
      <c r="H36" s="8"/>
      <c r="I36" s="8"/>
      <c r="J36" s="13"/>
      <c r="L36" s="21"/>
      <c r="M36" s="8"/>
      <c r="N36" s="8"/>
      <c r="O36" s="13"/>
      <c r="Q36" s="21"/>
      <c r="R36" s="8"/>
      <c r="S36" s="8"/>
      <c r="T36" s="13"/>
      <c r="V36" s="21"/>
      <c r="W36" s="8"/>
      <c r="X36" s="8"/>
      <c r="Y36" s="13"/>
    </row>
    <row r="37" spans="2:25" x14ac:dyDescent="0.35">
      <c r="B37" s="22"/>
      <c r="C37" s="7"/>
      <c r="D37" s="9"/>
      <c r="E37" s="14"/>
      <c r="G37" s="22"/>
      <c r="H37" s="9"/>
      <c r="I37" s="9"/>
      <c r="J37" s="14"/>
      <c r="L37" s="22"/>
      <c r="M37" s="9"/>
      <c r="N37" s="9"/>
      <c r="O37" s="14"/>
      <c r="Q37" s="22"/>
      <c r="R37" s="9"/>
      <c r="S37" s="9"/>
      <c r="T37" s="14"/>
      <c r="V37" s="22"/>
      <c r="W37" s="9"/>
      <c r="X37" s="9"/>
      <c r="Y37" s="14"/>
    </row>
    <row r="38" spans="2:25" x14ac:dyDescent="0.35">
      <c r="B38" s="21"/>
      <c r="C38" s="6"/>
      <c r="D38" s="8"/>
      <c r="E38" s="13"/>
      <c r="G38" s="21"/>
      <c r="H38" s="8"/>
      <c r="I38" s="8"/>
      <c r="J38" s="13"/>
      <c r="L38" s="21"/>
      <c r="M38" s="8"/>
      <c r="N38" s="8"/>
      <c r="O38" s="13"/>
      <c r="Q38" s="21"/>
      <c r="R38" s="8"/>
      <c r="S38" s="8"/>
      <c r="T38" s="13"/>
      <c r="V38" s="21"/>
      <c r="W38" s="8"/>
      <c r="X38" s="8"/>
      <c r="Y38" s="13"/>
    </row>
    <row r="39" spans="2:25" x14ac:dyDescent="0.35">
      <c r="B39" s="22"/>
      <c r="C39" s="7"/>
      <c r="D39" s="9"/>
      <c r="E39" s="14"/>
      <c r="G39" s="22"/>
      <c r="H39" s="9"/>
      <c r="I39" s="9"/>
      <c r="J39" s="14"/>
      <c r="L39" s="22"/>
      <c r="M39" s="9"/>
      <c r="N39" s="9"/>
      <c r="O39" s="14"/>
      <c r="Q39" s="22"/>
      <c r="R39" s="9"/>
      <c r="S39" s="9"/>
      <c r="T39" s="14"/>
      <c r="V39" s="22"/>
      <c r="W39" s="9"/>
      <c r="X39" s="9"/>
      <c r="Y39" s="14"/>
    </row>
    <row r="40" spans="2:25" x14ac:dyDescent="0.35">
      <c r="B40" s="21"/>
      <c r="C40" s="6"/>
      <c r="D40" s="8"/>
      <c r="E40" s="13"/>
      <c r="G40" s="21"/>
      <c r="H40" s="8"/>
      <c r="I40" s="8"/>
      <c r="J40" s="13"/>
      <c r="L40" s="21"/>
      <c r="M40" s="8"/>
      <c r="N40" s="8"/>
      <c r="O40" s="13"/>
      <c r="Q40" s="21"/>
      <c r="R40" s="8"/>
      <c r="S40" s="8"/>
      <c r="T40" s="13"/>
      <c r="V40" s="21"/>
      <c r="W40" s="8"/>
      <c r="X40" s="8"/>
      <c r="Y40" s="13"/>
    </row>
    <row r="41" spans="2:25" x14ac:dyDescent="0.35">
      <c r="B41" s="22"/>
      <c r="C41" s="7"/>
      <c r="D41" s="9"/>
      <c r="E41" s="14"/>
      <c r="G41" s="22"/>
      <c r="H41" s="9"/>
      <c r="I41" s="9"/>
      <c r="J41" s="14"/>
      <c r="L41" s="22"/>
      <c r="M41" s="9"/>
      <c r="N41" s="9"/>
      <c r="O41" s="14"/>
      <c r="Q41" s="22"/>
      <c r="R41" s="9"/>
      <c r="S41" s="9"/>
      <c r="T41" s="14"/>
      <c r="V41" s="22"/>
      <c r="W41" s="9"/>
      <c r="X41" s="9"/>
      <c r="Y41" s="14"/>
    </row>
    <row r="42" spans="2:25" x14ac:dyDescent="0.35">
      <c r="B42" s="21"/>
      <c r="C42" s="6"/>
      <c r="D42" s="8"/>
      <c r="E42" s="13"/>
      <c r="G42" s="21"/>
      <c r="H42" s="8"/>
      <c r="I42" s="8"/>
      <c r="J42" s="13"/>
      <c r="L42" s="21"/>
      <c r="M42" s="8"/>
      <c r="N42" s="8"/>
      <c r="O42" s="13"/>
      <c r="Q42" s="21"/>
      <c r="R42" s="8"/>
      <c r="S42" s="8"/>
      <c r="T42" s="13"/>
      <c r="V42" s="21"/>
      <c r="W42" s="8"/>
      <c r="X42" s="8"/>
      <c r="Y42" s="13"/>
    </row>
    <row r="43" spans="2:25" x14ac:dyDescent="0.35">
      <c r="B43" s="22"/>
      <c r="C43" s="7"/>
      <c r="D43" s="9"/>
      <c r="E43" s="14"/>
      <c r="G43" s="22"/>
      <c r="H43" s="9"/>
      <c r="I43" s="9"/>
      <c r="J43" s="14"/>
      <c r="L43" s="22"/>
      <c r="M43" s="9"/>
      <c r="N43" s="9"/>
      <c r="O43" s="14"/>
      <c r="Q43" s="22"/>
      <c r="R43" s="9"/>
      <c r="S43" s="9"/>
      <c r="T43" s="14"/>
      <c r="V43" s="22"/>
      <c r="W43" s="9"/>
      <c r="X43" s="9"/>
      <c r="Y43" s="14"/>
    </row>
    <row r="44" spans="2:25" x14ac:dyDescent="0.35">
      <c r="B44" s="21"/>
      <c r="C44" s="6"/>
      <c r="D44" s="8"/>
      <c r="E44" s="13"/>
      <c r="G44" s="21"/>
      <c r="H44" s="8"/>
      <c r="I44" s="8"/>
      <c r="J44" s="13"/>
      <c r="L44" s="21"/>
      <c r="M44" s="8"/>
      <c r="N44" s="8"/>
      <c r="O44" s="13"/>
      <c r="Q44" s="21"/>
      <c r="R44" s="8"/>
      <c r="S44" s="8"/>
      <c r="T44" s="13"/>
      <c r="V44" s="21"/>
      <c r="W44" s="8"/>
      <c r="X44" s="8"/>
      <c r="Y44" s="13"/>
    </row>
    <row r="45" spans="2:25" x14ac:dyDescent="0.35">
      <c r="B45" s="22"/>
      <c r="C45" s="7"/>
      <c r="D45" s="9"/>
      <c r="E45" s="14"/>
      <c r="G45" s="22"/>
      <c r="H45" s="9"/>
      <c r="I45" s="9"/>
      <c r="J45" s="14"/>
      <c r="L45" s="22"/>
      <c r="M45" s="9"/>
      <c r="N45" s="9"/>
      <c r="O45" s="14"/>
      <c r="Q45" s="22"/>
      <c r="R45" s="9"/>
      <c r="S45" s="9"/>
      <c r="T45" s="14"/>
      <c r="V45" s="22"/>
      <c r="W45" s="9"/>
      <c r="X45" s="9"/>
      <c r="Y45" s="14"/>
    </row>
    <row r="46" spans="2:25" x14ac:dyDescent="0.35">
      <c r="B46" s="21"/>
      <c r="C46" s="6"/>
      <c r="D46" s="8"/>
      <c r="E46" s="13"/>
      <c r="G46" s="21"/>
      <c r="H46" s="8"/>
      <c r="I46" s="8"/>
      <c r="J46" s="13"/>
      <c r="L46" s="21"/>
      <c r="M46" s="8"/>
      <c r="N46" s="8"/>
      <c r="O46" s="13"/>
      <c r="Q46" s="21"/>
      <c r="R46" s="8"/>
      <c r="S46" s="8"/>
      <c r="T46" s="13"/>
      <c r="V46" s="21"/>
      <c r="W46" s="8"/>
      <c r="X46" s="8"/>
      <c r="Y46" s="13"/>
    </row>
    <row r="47" spans="2:25" x14ac:dyDescent="0.35">
      <c r="B47" s="22"/>
      <c r="C47" s="7"/>
      <c r="D47" s="9"/>
      <c r="E47" s="14"/>
      <c r="G47" s="22"/>
      <c r="H47" s="9"/>
      <c r="I47" s="9"/>
      <c r="J47" s="14"/>
      <c r="L47" s="22"/>
      <c r="M47" s="9"/>
      <c r="N47" s="9"/>
      <c r="O47" s="14"/>
      <c r="Q47" s="22"/>
      <c r="R47" s="9"/>
      <c r="S47" s="9"/>
      <c r="T47" s="14"/>
      <c r="V47" s="22"/>
      <c r="W47" s="9"/>
      <c r="X47" s="9"/>
      <c r="Y47" s="14"/>
    </row>
    <row r="48" spans="2:25" x14ac:dyDescent="0.35">
      <c r="B48" s="21"/>
      <c r="C48" s="6"/>
      <c r="D48" s="8"/>
      <c r="E48" s="13"/>
      <c r="G48" s="21"/>
      <c r="H48" s="8"/>
      <c r="I48" s="8"/>
      <c r="J48" s="13"/>
      <c r="L48" s="21"/>
      <c r="M48" s="8"/>
      <c r="N48" s="8"/>
      <c r="O48" s="13"/>
      <c r="Q48" s="21"/>
      <c r="R48" s="8"/>
      <c r="S48" s="8"/>
      <c r="T48" s="13"/>
      <c r="V48" s="21"/>
      <c r="W48" s="8"/>
      <c r="X48" s="8"/>
      <c r="Y48" s="13"/>
    </row>
    <row r="49" spans="2:25" x14ac:dyDescent="0.35">
      <c r="B49" s="22"/>
      <c r="C49" s="7"/>
      <c r="D49" s="9"/>
      <c r="E49" s="14"/>
      <c r="G49" s="22"/>
      <c r="H49" s="9"/>
      <c r="I49" s="9"/>
      <c r="J49" s="14"/>
      <c r="L49" s="22"/>
      <c r="M49" s="9"/>
      <c r="N49" s="9"/>
      <c r="O49" s="14"/>
      <c r="Q49" s="22"/>
      <c r="R49" s="9"/>
      <c r="S49" s="9"/>
      <c r="T49" s="14"/>
      <c r="V49" s="22"/>
      <c r="W49" s="9"/>
      <c r="X49" s="9"/>
      <c r="Y49" s="14"/>
    </row>
    <row r="50" spans="2:25" x14ac:dyDescent="0.35">
      <c r="B50" s="21"/>
      <c r="C50" s="6"/>
      <c r="D50" s="8"/>
      <c r="E50" s="13"/>
      <c r="G50" s="21"/>
      <c r="H50" s="8"/>
      <c r="I50" s="8"/>
      <c r="J50" s="13"/>
      <c r="L50" s="21"/>
      <c r="M50" s="8"/>
      <c r="N50" s="8"/>
      <c r="O50" s="13"/>
      <c r="Q50" s="21"/>
      <c r="R50" s="8"/>
      <c r="S50" s="8"/>
      <c r="T50" s="13"/>
      <c r="V50" s="21"/>
      <c r="W50" s="8"/>
      <c r="X50" s="8"/>
      <c r="Y50" s="13"/>
    </row>
    <row r="51" spans="2:25" x14ac:dyDescent="0.35">
      <c r="B51" s="22"/>
      <c r="C51" s="7"/>
      <c r="D51" s="9"/>
      <c r="E51" s="14"/>
      <c r="G51" s="22"/>
      <c r="H51" s="9"/>
      <c r="I51" s="9"/>
      <c r="J51" s="14"/>
      <c r="L51" s="22"/>
      <c r="M51" s="9"/>
      <c r="N51" s="9"/>
      <c r="O51" s="14"/>
      <c r="Q51" s="22"/>
      <c r="R51" s="9"/>
      <c r="S51" s="9"/>
      <c r="T51" s="14"/>
      <c r="V51" s="22"/>
      <c r="W51" s="9"/>
      <c r="X51" s="9"/>
      <c r="Y51" s="14"/>
    </row>
    <row r="52" spans="2:25" x14ac:dyDescent="0.35">
      <c r="B52" s="21"/>
      <c r="C52" s="6"/>
      <c r="D52" s="8"/>
      <c r="E52" s="13"/>
      <c r="G52" s="21"/>
      <c r="H52" s="8"/>
      <c r="I52" s="8"/>
      <c r="J52" s="13"/>
      <c r="L52" s="21"/>
      <c r="M52" s="8"/>
      <c r="N52" s="8"/>
      <c r="O52" s="13"/>
      <c r="Q52" s="21"/>
      <c r="R52" s="8"/>
      <c r="S52" s="8"/>
      <c r="T52" s="13"/>
      <c r="V52" s="21"/>
      <c r="W52" s="8"/>
      <c r="X52" s="8"/>
      <c r="Y52" s="13"/>
    </row>
    <row r="53" spans="2:25" x14ac:dyDescent="0.35">
      <c r="B53" s="22"/>
      <c r="C53" s="7"/>
      <c r="D53" s="9"/>
      <c r="E53" s="14"/>
      <c r="G53" s="22"/>
      <c r="H53" s="9"/>
      <c r="I53" s="9"/>
      <c r="J53" s="14"/>
      <c r="L53" s="22"/>
      <c r="M53" s="9"/>
      <c r="N53" s="9"/>
      <c r="O53" s="14"/>
      <c r="Q53" s="22"/>
      <c r="R53" s="9"/>
      <c r="S53" s="9"/>
      <c r="T53" s="14"/>
      <c r="V53" s="22"/>
      <c r="W53" s="9"/>
      <c r="X53" s="9"/>
      <c r="Y53" s="14"/>
    </row>
    <row r="54" spans="2:25" x14ac:dyDescent="0.35">
      <c r="B54" s="21"/>
      <c r="C54" s="6"/>
      <c r="D54" s="8"/>
      <c r="E54" s="13"/>
      <c r="G54" s="21"/>
      <c r="H54" s="8"/>
      <c r="I54" s="8"/>
      <c r="J54" s="13"/>
      <c r="L54" s="21"/>
      <c r="M54" s="8"/>
      <c r="N54" s="8"/>
      <c r="O54" s="13"/>
      <c r="Q54" s="21"/>
      <c r="R54" s="8"/>
      <c r="S54" s="8"/>
      <c r="T54" s="13"/>
      <c r="V54" s="21"/>
      <c r="W54" s="8"/>
      <c r="X54" s="8"/>
      <c r="Y54" s="13"/>
    </row>
    <row r="55" spans="2:25" x14ac:dyDescent="0.35">
      <c r="B55" s="22"/>
      <c r="C55" s="7"/>
      <c r="D55" s="9"/>
      <c r="E55" s="14"/>
      <c r="G55" s="22"/>
      <c r="H55" s="9"/>
      <c r="I55" s="9"/>
      <c r="J55" s="14"/>
      <c r="L55" s="22"/>
      <c r="M55" s="9"/>
      <c r="N55" s="9"/>
      <c r="O55" s="14"/>
      <c r="Q55" s="22"/>
      <c r="R55" s="9"/>
      <c r="S55" s="9"/>
      <c r="T55" s="14"/>
      <c r="V55" s="22"/>
      <c r="W55" s="9"/>
      <c r="X55" s="9"/>
      <c r="Y55" s="14"/>
    </row>
    <row r="56" spans="2:25" x14ac:dyDescent="0.35">
      <c r="B56" s="21"/>
      <c r="C56" s="6"/>
      <c r="D56" s="8"/>
      <c r="E56" s="13"/>
      <c r="G56" s="21"/>
      <c r="H56" s="8"/>
      <c r="I56" s="8"/>
      <c r="J56" s="13"/>
      <c r="L56" s="21"/>
      <c r="M56" s="8"/>
      <c r="N56" s="8"/>
      <c r="O56" s="13"/>
      <c r="Q56" s="21"/>
      <c r="R56" s="8"/>
      <c r="S56" s="8"/>
      <c r="T56" s="13"/>
      <c r="V56" s="21"/>
      <c r="W56" s="8"/>
      <c r="X56" s="8"/>
      <c r="Y56" s="13"/>
    </row>
    <row r="57" spans="2:25" x14ac:dyDescent="0.35">
      <c r="B57" s="22"/>
      <c r="C57" s="7"/>
      <c r="D57" s="9"/>
      <c r="E57" s="14"/>
      <c r="G57" s="22"/>
      <c r="H57" s="9"/>
      <c r="I57" s="9"/>
      <c r="J57" s="14"/>
      <c r="L57" s="22"/>
      <c r="M57" s="9"/>
      <c r="N57" s="9"/>
      <c r="O57" s="14"/>
      <c r="Q57" s="22"/>
      <c r="R57" s="9"/>
      <c r="S57" s="9"/>
      <c r="T57" s="14"/>
      <c r="V57" s="22"/>
      <c r="W57" s="9"/>
      <c r="X57" s="9"/>
      <c r="Y57" s="14"/>
    </row>
    <row r="58" spans="2:25" x14ac:dyDescent="0.35">
      <c r="B58" s="21"/>
      <c r="C58" s="6"/>
      <c r="D58" s="8"/>
      <c r="E58" s="13"/>
      <c r="G58" s="21"/>
      <c r="H58" s="8"/>
      <c r="I58" s="8"/>
      <c r="J58" s="13"/>
      <c r="L58" s="21"/>
      <c r="M58" s="8"/>
      <c r="N58" s="8"/>
      <c r="O58" s="13"/>
      <c r="Q58" s="21"/>
      <c r="R58" s="8"/>
      <c r="S58" s="8"/>
      <c r="T58" s="13"/>
      <c r="V58" s="21"/>
      <c r="W58" s="8"/>
      <c r="X58" s="8"/>
      <c r="Y58" s="13"/>
    </row>
    <row r="59" spans="2:25" x14ac:dyDescent="0.35">
      <c r="B59" s="22"/>
      <c r="C59" s="7"/>
      <c r="D59" s="9"/>
      <c r="E59" s="14"/>
      <c r="G59" s="22"/>
      <c r="H59" s="9"/>
      <c r="I59" s="9"/>
      <c r="J59" s="14"/>
      <c r="L59" s="22"/>
      <c r="M59" s="9"/>
      <c r="N59" s="9"/>
      <c r="O59" s="14"/>
      <c r="Q59" s="22"/>
      <c r="R59" s="9"/>
      <c r="S59" s="9"/>
      <c r="T59" s="14"/>
      <c r="V59" s="22"/>
      <c r="W59" s="9"/>
      <c r="X59" s="9"/>
      <c r="Y59" s="14"/>
    </row>
    <row r="60" spans="2:25" x14ac:dyDescent="0.35">
      <c r="B60" s="21"/>
      <c r="C60" s="6"/>
      <c r="D60" s="8"/>
      <c r="E60" s="13"/>
      <c r="G60" s="21"/>
      <c r="H60" s="8"/>
      <c r="I60" s="8"/>
      <c r="J60" s="13"/>
      <c r="L60" s="21"/>
      <c r="M60" s="8"/>
      <c r="N60" s="8"/>
      <c r="O60" s="13"/>
      <c r="Q60" s="21"/>
      <c r="R60" s="8"/>
      <c r="S60" s="8"/>
      <c r="T60" s="13"/>
      <c r="V60" s="21"/>
      <c r="W60" s="8"/>
      <c r="X60" s="8"/>
      <c r="Y60" s="13"/>
    </row>
    <row r="61" spans="2:25" x14ac:dyDescent="0.35">
      <c r="B61" s="22"/>
      <c r="C61" s="7"/>
      <c r="D61" s="9"/>
      <c r="E61" s="14"/>
      <c r="G61" s="22"/>
      <c r="H61" s="9"/>
      <c r="I61" s="9"/>
      <c r="J61" s="14"/>
      <c r="L61" s="22"/>
      <c r="M61" s="9"/>
      <c r="N61" s="9"/>
      <c r="O61" s="14"/>
      <c r="Q61" s="22"/>
      <c r="R61" s="9"/>
      <c r="S61" s="9"/>
      <c r="T61" s="14"/>
      <c r="V61" s="22"/>
      <c r="W61" s="9"/>
      <c r="X61" s="9"/>
      <c r="Y61" s="14"/>
    </row>
    <row r="62" spans="2:25" x14ac:dyDescent="0.35">
      <c r="B62" s="21"/>
      <c r="C62" s="6"/>
      <c r="D62" s="8"/>
      <c r="E62" s="13"/>
      <c r="G62" s="21"/>
      <c r="H62" s="8"/>
      <c r="I62" s="8"/>
      <c r="J62" s="13"/>
      <c r="L62" s="21"/>
      <c r="M62" s="8"/>
      <c r="N62" s="8"/>
      <c r="O62" s="13"/>
      <c r="Q62" s="21"/>
      <c r="R62" s="8"/>
      <c r="S62" s="8"/>
      <c r="T62" s="13"/>
      <c r="V62" s="21"/>
      <c r="W62" s="8"/>
      <c r="X62" s="8"/>
      <c r="Y62" s="13"/>
    </row>
    <row r="63" spans="2:25" x14ac:dyDescent="0.35">
      <c r="B63" s="22"/>
      <c r="C63" s="7"/>
      <c r="D63" s="9"/>
      <c r="E63" s="14"/>
      <c r="G63" s="22"/>
      <c r="H63" s="9"/>
      <c r="I63" s="9"/>
      <c r="J63" s="14"/>
      <c r="L63" s="22"/>
      <c r="M63" s="9"/>
      <c r="N63" s="9"/>
      <c r="O63" s="14"/>
      <c r="Q63" s="22"/>
      <c r="R63" s="9"/>
      <c r="S63" s="9"/>
      <c r="T63" s="14"/>
      <c r="V63" s="22"/>
      <c r="W63" s="9"/>
      <c r="X63" s="9"/>
      <c r="Y63" s="14"/>
    </row>
    <row r="64" spans="2:25" x14ac:dyDescent="0.35">
      <c r="B64" s="21"/>
      <c r="C64" s="6"/>
      <c r="D64" s="8"/>
      <c r="E64" s="13"/>
      <c r="G64" s="21"/>
      <c r="H64" s="8"/>
      <c r="I64" s="8"/>
      <c r="J64" s="13"/>
      <c r="L64" s="21"/>
      <c r="M64" s="8"/>
      <c r="N64" s="8"/>
      <c r="O64" s="13"/>
      <c r="Q64" s="21"/>
      <c r="R64" s="8"/>
      <c r="S64" s="8"/>
      <c r="T64" s="13"/>
      <c r="V64" s="21"/>
      <c r="W64" s="8"/>
      <c r="X64" s="8"/>
      <c r="Y64" s="13"/>
    </row>
    <row r="65" spans="2:25" x14ac:dyDescent="0.35">
      <c r="B65" s="22"/>
      <c r="C65" s="7"/>
      <c r="D65" s="9"/>
      <c r="E65" s="14"/>
      <c r="G65" s="22"/>
      <c r="H65" s="9"/>
      <c r="I65" s="9"/>
      <c r="J65" s="14"/>
      <c r="L65" s="22"/>
      <c r="M65" s="9"/>
      <c r="N65" s="9"/>
      <c r="O65" s="14"/>
      <c r="Q65" s="22"/>
      <c r="R65" s="9"/>
      <c r="S65" s="9"/>
      <c r="T65" s="14"/>
      <c r="V65" s="22"/>
      <c r="W65" s="9"/>
      <c r="X65" s="9"/>
      <c r="Y65" s="14"/>
    </row>
    <row r="66" spans="2:25" x14ac:dyDescent="0.35">
      <c r="B66" s="21"/>
      <c r="C66" s="6"/>
      <c r="D66" s="8"/>
      <c r="E66" s="13"/>
      <c r="G66" s="21"/>
      <c r="H66" s="8"/>
      <c r="I66" s="8"/>
      <c r="J66" s="13"/>
      <c r="L66" s="21"/>
      <c r="M66" s="8"/>
      <c r="N66" s="8"/>
      <c r="O66" s="13"/>
      <c r="Q66" s="21"/>
      <c r="R66" s="8"/>
      <c r="S66" s="8"/>
      <c r="T66" s="13"/>
      <c r="V66" s="21"/>
      <c r="W66" s="8"/>
      <c r="X66" s="8"/>
      <c r="Y66" s="13"/>
    </row>
    <row r="67" spans="2:25" x14ac:dyDescent="0.35">
      <c r="B67" s="22"/>
      <c r="C67" s="7"/>
      <c r="D67" s="9"/>
      <c r="E67" s="14"/>
      <c r="G67" s="22"/>
      <c r="H67" s="9"/>
      <c r="I67" s="9"/>
      <c r="J67" s="14"/>
      <c r="L67" s="22"/>
      <c r="M67" s="9"/>
      <c r="N67" s="9"/>
      <c r="O67" s="14"/>
      <c r="Q67" s="22"/>
      <c r="R67" s="9"/>
      <c r="S67" s="9"/>
      <c r="T67" s="14"/>
      <c r="V67" s="22"/>
      <c r="W67" s="9"/>
      <c r="X67" s="9"/>
      <c r="Y67" s="14"/>
    </row>
    <row r="68" spans="2:25" x14ac:dyDescent="0.35">
      <c r="B68" s="21"/>
      <c r="C68" s="6"/>
      <c r="D68" s="8"/>
      <c r="E68" s="13"/>
      <c r="G68" s="21"/>
      <c r="H68" s="8"/>
      <c r="I68" s="8"/>
      <c r="J68" s="13"/>
      <c r="L68" s="21"/>
      <c r="M68" s="8"/>
      <c r="N68" s="8"/>
      <c r="O68" s="13"/>
      <c r="Q68" s="21"/>
      <c r="R68" s="8"/>
      <c r="S68" s="8"/>
      <c r="T68" s="13"/>
      <c r="V68" s="21"/>
      <c r="W68" s="8"/>
      <c r="X68" s="8"/>
      <c r="Y68" s="13"/>
    </row>
    <row r="69" spans="2:25" x14ac:dyDescent="0.35">
      <c r="B69" s="22"/>
      <c r="C69" s="7"/>
      <c r="D69" s="9"/>
      <c r="E69" s="14"/>
      <c r="G69" s="22"/>
      <c r="H69" s="9"/>
      <c r="I69" s="9"/>
      <c r="J69" s="14"/>
      <c r="L69" s="22"/>
      <c r="M69" s="9"/>
      <c r="N69" s="9"/>
      <c r="O69" s="14"/>
      <c r="Q69" s="22"/>
      <c r="R69" s="9"/>
      <c r="S69" s="9"/>
      <c r="T69" s="14"/>
      <c r="V69" s="22"/>
      <c r="W69" s="9"/>
      <c r="X69" s="9"/>
      <c r="Y69" s="14"/>
    </row>
    <row r="70" spans="2:25" x14ac:dyDescent="0.35">
      <c r="B70" s="21"/>
      <c r="C70" s="6"/>
      <c r="D70" s="8"/>
      <c r="E70" s="13"/>
      <c r="G70" s="21"/>
      <c r="H70" s="8"/>
      <c r="I70" s="8"/>
      <c r="J70" s="13"/>
      <c r="L70" s="21"/>
      <c r="M70" s="8"/>
      <c r="N70" s="8"/>
      <c r="O70" s="13"/>
      <c r="Q70" s="21"/>
      <c r="R70" s="8"/>
      <c r="S70" s="8"/>
      <c r="T70" s="13"/>
      <c r="V70" s="21"/>
      <c r="W70" s="8"/>
      <c r="X70" s="8"/>
      <c r="Y70" s="13"/>
    </row>
    <row r="71" spans="2:25" x14ac:dyDescent="0.35">
      <c r="B71" s="22"/>
      <c r="C71" s="7"/>
      <c r="D71" s="9"/>
      <c r="E71" s="14"/>
      <c r="G71" s="22"/>
      <c r="H71" s="9"/>
      <c r="I71" s="9"/>
      <c r="J71" s="14"/>
      <c r="L71" s="22"/>
      <c r="M71" s="9"/>
      <c r="N71" s="9"/>
      <c r="O71" s="14"/>
      <c r="Q71" s="22"/>
      <c r="R71" s="9"/>
      <c r="S71" s="9"/>
      <c r="T71" s="14"/>
      <c r="V71" s="22"/>
      <c r="W71" s="9"/>
      <c r="X71" s="9"/>
      <c r="Y71" s="14"/>
    </row>
    <row r="72" spans="2:25" x14ac:dyDescent="0.35">
      <c r="B72" s="21"/>
      <c r="C72" s="6"/>
      <c r="D72" s="8"/>
      <c r="E72" s="13"/>
      <c r="G72" s="21"/>
      <c r="H72" s="8"/>
      <c r="I72" s="8"/>
      <c r="J72" s="13"/>
      <c r="L72" s="21"/>
      <c r="M72" s="8"/>
      <c r="N72" s="8"/>
      <c r="O72" s="13"/>
      <c r="Q72" s="21"/>
      <c r="R72" s="8"/>
      <c r="S72" s="8"/>
      <c r="T72" s="13"/>
      <c r="V72" s="21"/>
      <c r="W72" s="8"/>
      <c r="X72" s="8"/>
      <c r="Y72" s="13"/>
    </row>
    <row r="73" spans="2:25" x14ac:dyDescent="0.35">
      <c r="B73" s="22"/>
      <c r="C73" s="7"/>
      <c r="D73" s="9"/>
      <c r="E73" s="14"/>
      <c r="G73" s="22"/>
      <c r="H73" s="9"/>
      <c r="I73" s="9"/>
      <c r="J73" s="14"/>
      <c r="L73" s="22"/>
      <c r="M73" s="9"/>
      <c r="N73" s="9"/>
      <c r="O73" s="14"/>
      <c r="Q73" s="22"/>
      <c r="R73" s="9"/>
      <c r="S73" s="9"/>
      <c r="T73" s="14"/>
      <c r="V73" s="22"/>
      <c r="W73" s="9"/>
      <c r="X73" s="9"/>
      <c r="Y73" s="14"/>
    </row>
    <row r="74" spans="2:25" x14ac:dyDescent="0.35">
      <c r="B74" s="21"/>
      <c r="C74" s="6"/>
      <c r="D74" s="8"/>
      <c r="E74" s="13"/>
      <c r="G74" s="21"/>
      <c r="H74" s="8"/>
      <c r="I74" s="8"/>
      <c r="J74" s="13"/>
      <c r="L74" s="21"/>
      <c r="M74" s="8"/>
      <c r="N74" s="8"/>
      <c r="O74" s="13"/>
      <c r="Q74" s="21"/>
      <c r="R74" s="8"/>
      <c r="S74" s="8"/>
      <c r="T74" s="13"/>
      <c r="V74" s="21"/>
      <c r="W74" s="8"/>
      <c r="X74" s="8"/>
      <c r="Y74" s="13"/>
    </row>
    <row r="75" spans="2:25" x14ac:dyDescent="0.35">
      <c r="B75" s="22"/>
      <c r="C75" s="7"/>
      <c r="D75" s="9"/>
      <c r="E75" s="14"/>
      <c r="G75" s="22"/>
      <c r="H75" s="9"/>
      <c r="I75" s="9"/>
      <c r="J75" s="14"/>
      <c r="L75" s="22"/>
      <c r="M75" s="9"/>
      <c r="N75" s="9"/>
      <c r="O75" s="14"/>
      <c r="Q75" s="22"/>
      <c r="R75" s="9"/>
      <c r="S75" s="9"/>
      <c r="T75" s="14"/>
      <c r="V75" s="22"/>
      <c r="W75" s="9"/>
      <c r="X75" s="9"/>
      <c r="Y75" s="14"/>
    </row>
    <row r="76" spans="2:25" x14ac:dyDescent="0.35">
      <c r="B76" s="21"/>
      <c r="C76" s="6"/>
      <c r="D76" s="8"/>
      <c r="E76" s="13"/>
      <c r="G76" s="21"/>
      <c r="H76" s="8"/>
      <c r="I76" s="8"/>
      <c r="J76" s="13"/>
      <c r="L76" s="21"/>
      <c r="M76" s="8"/>
      <c r="N76" s="8"/>
      <c r="O76" s="13"/>
      <c r="Q76" s="21"/>
      <c r="R76" s="8"/>
      <c r="S76" s="8"/>
      <c r="T76" s="13"/>
      <c r="V76" s="21"/>
      <c r="W76" s="8"/>
      <c r="X76" s="8"/>
      <c r="Y76" s="13"/>
    </row>
    <row r="77" spans="2:25" x14ac:dyDescent="0.35">
      <c r="B77" s="22"/>
      <c r="C77" s="7"/>
      <c r="D77" s="9"/>
      <c r="E77" s="14"/>
      <c r="G77" s="22"/>
      <c r="H77" s="9"/>
      <c r="I77" s="9"/>
      <c r="J77" s="14"/>
      <c r="L77" s="22"/>
      <c r="M77" s="9"/>
      <c r="N77" s="9"/>
      <c r="O77" s="14"/>
      <c r="Q77" s="22"/>
      <c r="R77" s="9"/>
      <c r="S77" s="9"/>
      <c r="T77" s="14"/>
      <c r="V77" s="22"/>
      <c r="W77" s="9"/>
      <c r="X77" s="9"/>
      <c r="Y77" s="14"/>
    </row>
    <row r="78" spans="2:25" x14ac:dyDescent="0.35">
      <c r="B78" s="21"/>
      <c r="C78" s="6"/>
      <c r="D78" s="8"/>
      <c r="E78" s="13"/>
      <c r="G78" s="21"/>
      <c r="H78" s="8"/>
      <c r="I78" s="8"/>
      <c r="J78" s="13"/>
      <c r="L78" s="21"/>
      <c r="M78" s="8"/>
      <c r="N78" s="8"/>
      <c r="O78" s="13"/>
      <c r="Q78" s="21"/>
      <c r="R78" s="8"/>
      <c r="S78" s="8"/>
      <c r="T78" s="13"/>
      <c r="V78" s="21"/>
      <c r="W78" s="8"/>
      <c r="X78" s="8"/>
      <c r="Y78" s="13"/>
    </row>
    <row r="79" spans="2:25" x14ac:dyDescent="0.35">
      <c r="B79" s="22"/>
      <c r="C79" s="7"/>
      <c r="D79" s="9"/>
      <c r="E79" s="14"/>
      <c r="G79" s="22"/>
      <c r="H79" s="9"/>
      <c r="I79" s="9"/>
      <c r="J79" s="14"/>
      <c r="L79" s="22"/>
      <c r="M79" s="9"/>
      <c r="N79" s="9"/>
      <c r="O79" s="14"/>
      <c r="Q79" s="22"/>
      <c r="R79" s="9"/>
      <c r="S79" s="9"/>
      <c r="T79" s="14"/>
      <c r="V79" s="22"/>
      <c r="W79" s="9"/>
      <c r="X79" s="9"/>
      <c r="Y79" s="14"/>
    </row>
    <row r="80" spans="2:25" x14ac:dyDescent="0.35">
      <c r="B80" s="21"/>
      <c r="C80" s="6"/>
      <c r="D80" s="8"/>
      <c r="E80" s="13"/>
      <c r="G80" s="21"/>
      <c r="H80" s="8"/>
      <c r="I80" s="8"/>
      <c r="J80" s="13"/>
      <c r="L80" s="21"/>
      <c r="M80" s="8"/>
      <c r="N80" s="8"/>
      <c r="O80" s="13"/>
      <c r="Q80" s="21"/>
      <c r="R80" s="8"/>
      <c r="S80" s="8"/>
      <c r="T80" s="13"/>
      <c r="V80" s="21"/>
      <c r="W80" s="8"/>
      <c r="X80" s="8"/>
      <c r="Y80" s="13"/>
    </row>
    <row r="81" spans="2:25" x14ac:dyDescent="0.35">
      <c r="B81" s="22"/>
      <c r="C81" s="7"/>
      <c r="D81" s="9"/>
      <c r="E81" s="14"/>
      <c r="G81" s="22"/>
      <c r="H81" s="9"/>
      <c r="I81" s="9"/>
      <c r="J81" s="14"/>
      <c r="L81" s="22"/>
      <c r="M81" s="9"/>
      <c r="N81" s="9"/>
      <c r="O81" s="14"/>
      <c r="Q81" s="22"/>
      <c r="R81" s="9"/>
      <c r="S81" s="9"/>
      <c r="T81" s="14"/>
      <c r="V81" s="22"/>
      <c r="W81" s="9"/>
      <c r="X81" s="9"/>
      <c r="Y81" s="14"/>
    </row>
    <row r="82" spans="2:25" x14ac:dyDescent="0.35">
      <c r="B82" s="21"/>
      <c r="C82" s="6"/>
      <c r="D82" s="8"/>
      <c r="E82" s="13"/>
      <c r="G82" s="21"/>
      <c r="H82" s="8"/>
      <c r="I82" s="8"/>
      <c r="J82" s="13"/>
      <c r="L82" s="21"/>
      <c r="M82" s="8"/>
      <c r="N82" s="8"/>
      <c r="O82" s="13"/>
      <c r="Q82" s="21"/>
      <c r="R82" s="8"/>
      <c r="S82" s="8"/>
      <c r="T82" s="13"/>
      <c r="V82" s="21"/>
      <c r="W82" s="8"/>
      <c r="X82" s="8"/>
      <c r="Y82" s="13"/>
    </row>
    <row r="83" spans="2:25" x14ac:dyDescent="0.35">
      <c r="B83" s="22"/>
      <c r="C83" s="7"/>
      <c r="D83" s="9"/>
      <c r="E83" s="14"/>
      <c r="G83" s="22"/>
      <c r="H83" s="9"/>
      <c r="I83" s="9"/>
      <c r="J83" s="14"/>
      <c r="L83" s="22"/>
      <c r="M83" s="9"/>
      <c r="N83" s="9"/>
      <c r="O83" s="14"/>
      <c r="Q83" s="22"/>
      <c r="R83" s="9"/>
      <c r="S83" s="9"/>
      <c r="T83" s="14"/>
      <c r="V83" s="22"/>
      <c r="W83" s="9"/>
      <c r="X83" s="9"/>
      <c r="Y83" s="14"/>
    </row>
    <row r="84" spans="2:25" x14ac:dyDescent="0.35">
      <c r="B84" s="21"/>
      <c r="C84" s="6"/>
      <c r="D84" s="8"/>
      <c r="E84" s="13"/>
      <c r="G84" s="21"/>
      <c r="H84" s="8"/>
      <c r="I84" s="8"/>
      <c r="J84" s="13"/>
      <c r="L84" s="21"/>
      <c r="M84" s="8"/>
      <c r="N84" s="8"/>
      <c r="O84" s="13"/>
      <c r="Q84" s="21"/>
      <c r="R84" s="8"/>
      <c r="S84" s="8"/>
      <c r="T84" s="13"/>
      <c r="V84" s="21"/>
      <c r="W84" s="8"/>
      <c r="X84" s="8"/>
      <c r="Y84" s="13"/>
    </row>
    <row r="85" spans="2:25" x14ac:dyDescent="0.35">
      <c r="B85" s="22"/>
      <c r="C85" s="7"/>
      <c r="D85" s="9"/>
      <c r="E85" s="14"/>
      <c r="G85" s="22"/>
      <c r="H85" s="9"/>
      <c r="I85" s="9"/>
      <c r="J85" s="14"/>
      <c r="L85" s="22"/>
      <c r="M85" s="9"/>
      <c r="N85" s="9"/>
      <c r="O85" s="14"/>
      <c r="Q85" s="22"/>
      <c r="R85" s="9"/>
      <c r="S85" s="9"/>
      <c r="T85" s="14"/>
      <c r="V85" s="22"/>
      <c r="W85" s="9"/>
      <c r="X85" s="9"/>
      <c r="Y85" s="14"/>
    </row>
    <row r="86" spans="2:25" x14ac:dyDescent="0.35">
      <c r="B86" s="21"/>
      <c r="C86" s="6"/>
      <c r="D86" s="8"/>
      <c r="E86" s="13"/>
      <c r="G86" s="21"/>
      <c r="H86" s="8"/>
      <c r="I86" s="8"/>
      <c r="J86" s="13"/>
      <c r="L86" s="21"/>
      <c r="M86" s="8"/>
      <c r="N86" s="8"/>
      <c r="O86" s="13"/>
      <c r="Q86" s="21"/>
      <c r="R86" s="8"/>
      <c r="S86" s="8"/>
      <c r="T86" s="13"/>
      <c r="V86" s="21"/>
      <c r="W86" s="8"/>
      <c r="X86" s="8"/>
      <c r="Y86" s="13"/>
    </row>
    <row r="87" spans="2:25" x14ac:dyDescent="0.35">
      <c r="B87" s="22"/>
      <c r="C87" s="7"/>
      <c r="D87" s="9"/>
      <c r="E87" s="14"/>
      <c r="G87" s="22"/>
      <c r="H87" s="9"/>
      <c r="I87" s="9"/>
      <c r="J87" s="14"/>
      <c r="L87" s="22"/>
      <c r="M87" s="9"/>
      <c r="N87" s="9"/>
      <c r="O87" s="14"/>
      <c r="Q87" s="22"/>
      <c r="R87" s="9"/>
      <c r="S87" s="9"/>
      <c r="T87" s="14"/>
      <c r="V87" s="22"/>
      <c r="W87" s="9"/>
      <c r="X87" s="9"/>
      <c r="Y87" s="14"/>
    </row>
    <row r="88" spans="2:25" x14ac:dyDescent="0.35">
      <c r="B88" s="21"/>
      <c r="C88" s="6"/>
      <c r="D88" s="8"/>
      <c r="E88" s="13"/>
      <c r="G88" s="21"/>
      <c r="H88" s="8"/>
      <c r="I88" s="8"/>
      <c r="J88" s="13"/>
      <c r="L88" s="21"/>
      <c r="M88" s="8"/>
      <c r="N88" s="8"/>
      <c r="O88" s="13"/>
      <c r="Q88" s="21"/>
      <c r="R88" s="8"/>
      <c r="S88" s="8"/>
      <c r="T88" s="13"/>
      <c r="V88" s="21"/>
      <c r="W88" s="8"/>
      <c r="X88" s="8"/>
      <c r="Y88" s="13"/>
    </row>
    <row r="89" spans="2:25" x14ac:dyDescent="0.35">
      <c r="B89" s="22"/>
      <c r="C89" s="7"/>
      <c r="D89" s="9"/>
      <c r="E89" s="14"/>
      <c r="G89" s="22"/>
      <c r="H89" s="9"/>
      <c r="I89" s="9"/>
      <c r="J89" s="14"/>
      <c r="L89" s="22"/>
      <c r="M89" s="9"/>
      <c r="N89" s="9"/>
      <c r="O89" s="14"/>
      <c r="Q89" s="22"/>
      <c r="R89" s="9"/>
      <c r="S89" s="9"/>
      <c r="T89" s="14"/>
      <c r="V89" s="22"/>
      <c r="W89" s="9"/>
      <c r="X89" s="9"/>
      <c r="Y89" s="14"/>
    </row>
    <row r="90" spans="2:25" x14ac:dyDescent="0.35">
      <c r="B90" s="21"/>
      <c r="C90" s="6"/>
      <c r="D90" s="8"/>
      <c r="E90" s="13"/>
      <c r="G90" s="21"/>
      <c r="H90" s="8"/>
      <c r="I90" s="8"/>
      <c r="J90" s="13"/>
      <c r="L90" s="21"/>
      <c r="M90" s="8"/>
      <c r="N90" s="8"/>
      <c r="O90" s="13"/>
      <c r="Q90" s="21"/>
      <c r="R90" s="8"/>
      <c r="S90" s="8"/>
      <c r="T90" s="13"/>
      <c r="V90" s="21"/>
      <c r="W90" s="8"/>
      <c r="X90" s="8"/>
      <c r="Y90" s="13"/>
    </row>
    <row r="91" spans="2:25" x14ac:dyDescent="0.35">
      <c r="B91" s="22"/>
      <c r="C91" s="7"/>
      <c r="D91" s="9"/>
      <c r="E91" s="14"/>
      <c r="G91" s="22"/>
      <c r="H91" s="9"/>
      <c r="I91" s="9"/>
      <c r="J91" s="14"/>
      <c r="L91" s="22"/>
      <c r="M91" s="9"/>
      <c r="N91" s="9"/>
      <c r="O91" s="14"/>
      <c r="Q91" s="22"/>
      <c r="R91" s="9"/>
      <c r="S91" s="9"/>
      <c r="T91" s="14"/>
      <c r="V91" s="22"/>
      <c r="W91" s="9"/>
      <c r="X91" s="9"/>
      <c r="Y91" s="14"/>
    </row>
    <row r="92" spans="2:25" x14ac:dyDescent="0.35">
      <c r="B92" s="21"/>
      <c r="C92" s="6"/>
      <c r="D92" s="8"/>
      <c r="E92" s="13"/>
      <c r="G92" s="21"/>
      <c r="H92" s="8"/>
      <c r="I92" s="8"/>
      <c r="J92" s="13"/>
      <c r="L92" s="21"/>
      <c r="M92" s="8"/>
      <c r="N92" s="8"/>
      <c r="O92" s="13"/>
      <c r="Q92" s="21"/>
      <c r="R92" s="8"/>
      <c r="S92" s="8"/>
      <c r="T92" s="13"/>
      <c r="V92" s="21"/>
      <c r="W92" s="8"/>
      <c r="X92" s="8"/>
      <c r="Y92" s="13"/>
    </row>
    <row r="93" spans="2:25" x14ac:dyDescent="0.35">
      <c r="B93" s="22"/>
      <c r="C93" s="7"/>
      <c r="D93" s="9"/>
      <c r="E93" s="14"/>
      <c r="G93" s="22"/>
      <c r="H93" s="9"/>
      <c r="I93" s="9"/>
      <c r="J93" s="14"/>
      <c r="L93" s="22"/>
      <c r="M93" s="9"/>
      <c r="N93" s="9"/>
      <c r="O93" s="14"/>
      <c r="Q93" s="22"/>
      <c r="R93" s="9"/>
      <c r="S93" s="9"/>
      <c r="T93" s="14"/>
      <c r="V93" s="22"/>
      <c r="W93" s="9"/>
      <c r="X93" s="9"/>
      <c r="Y93" s="14"/>
    </row>
    <row r="94" spans="2:25" x14ac:dyDescent="0.35">
      <c r="B94" s="21"/>
      <c r="C94" s="6"/>
      <c r="D94" s="8"/>
      <c r="E94" s="13"/>
      <c r="G94" s="21"/>
      <c r="H94" s="8"/>
      <c r="I94" s="8"/>
      <c r="J94" s="13"/>
      <c r="L94" s="21"/>
      <c r="M94" s="8"/>
      <c r="N94" s="8"/>
      <c r="O94" s="13"/>
      <c r="Q94" s="21"/>
      <c r="R94" s="8"/>
      <c r="S94" s="8"/>
      <c r="T94" s="13"/>
      <c r="V94" s="21"/>
      <c r="W94" s="8"/>
      <c r="X94" s="8"/>
      <c r="Y94" s="13"/>
    </row>
    <row r="95" spans="2:25" x14ac:dyDescent="0.35">
      <c r="B95" s="22"/>
      <c r="C95" s="7"/>
      <c r="D95" s="9"/>
      <c r="E95" s="14"/>
      <c r="G95" s="22"/>
      <c r="H95" s="9"/>
      <c r="I95" s="9"/>
      <c r="J95" s="14"/>
      <c r="L95" s="22"/>
      <c r="M95" s="9"/>
      <c r="N95" s="9"/>
      <c r="O95" s="14"/>
      <c r="Q95" s="22"/>
      <c r="R95" s="9"/>
      <c r="S95" s="9"/>
      <c r="T95" s="14"/>
      <c r="V95" s="22"/>
      <c r="W95" s="9"/>
      <c r="X95" s="9"/>
      <c r="Y95" s="14"/>
    </row>
    <row r="96" spans="2:25" x14ac:dyDescent="0.35">
      <c r="B96" s="21"/>
      <c r="C96" s="6"/>
      <c r="D96" s="8"/>
      <c r="E96" s="13"/>
      <c r="G96" s="21"/>
      <c r="H96" s="8"/>
      <c r="I96" s="8"/>
      <c r="J96" s="13"/>
      <c r="L96" s="21"/>
      <c r="M96" s="8"/>
      <c r="N96" s="8"/>
      <c r="O96" s="13"/>
      <c r="Q96" s="21"/>
      <c r="R96" s="8"/>
      <c r="S96" s="8"/>
      <c r="T96" s="13"/>
      <c r="V96" s="21"/>
      <c r="W96" s="8"/>
      <c r="X96" s="8"/>
      <c r="Y96" s="13"/>
    </row>
    <row r="97" spans="2:25" x14ac:dyDescent="0.35">
      <c r="B97" s="22"/>
      <c r="C97" s="7"/>
      <c r="D97" s="9"/>
      <c r="E97" s="14"/>
      <c r="G97" s="22"/>
      <c r="H97" s="9"/>
      <c r="I97" s="9"/>
      <c r="J97" s="14"/>
      <c r="L97" s="22"/>
      <c r="M97" s="9"/>
      <c r="N97" s="9"/>
      <c r="O97" s="14"/>
      <c r="Q97" s="22"/>
      <c r="R97" s="9"/>
      <c r="S97" s="9"/>
      <c r="T97" s="14"/>
      <c r="V97" s="22"/>
      <c r="W97" s="9"/>
      <c r="X97" s="9"/>
      <c r="Y97" s="14"/>
    </row>
    <row r="98" spans="2:25" x14ac:dyDescent="0.35">
      <c r="B98" s="21"/>
      <c r="C98" s="6"/>
      <c r="D98" s="8"/>
      <c r="E98" s="13"/>
      <c r="G98" s="21"/>
      <c r="H98" s="8"/>
      <c r="I98" s="8"/>
      <c r="J98" s="13"/>
      <c r="L98" s="21"/>
      <c r="M98" s="8"/>
      <c r="N98" s="8"/>
      <c r="O98" s="13"/>
      <c r="Q98" s="21"/>
      <c r="R98" s="8"/>
      <c r="S98" s="8"/>
      <c r="T98" s="13"/>
      <c r="V98" s="21"/>
      <c r="W98" s="8"/>
      <c r="X98" s="8"/>
      <c r="Y98" s="13"/>
    </row>
    <row r="99" spans="2:25" x14ac:dyDescent="0.35">
      <c r="B99" s="22"/>
      <c r="C99" s="7"/>
      <c r="D99" s="9"/>
      <c r="E99" s="14"/>
      <c r="G99" s="22"/>
      <c r="H99" s="9"/>
      <c r="I99" s="9"/>
      <c r="J99" s="14"/>
      <c r="L99" s="22"/>
      <c r="M99" s="9"/>
      <c r="N99" s="9"/>
      <c r="O99" s="14"/>
      <c r="Q99" s="22"/>
      <c r="R99" s="9"/>
      <c r="S99" s="9"/>
      <c r="T99" s="14"/>
      <c r="V99" s="22"/>
      <c r="W99" s="9"/>
      <c r="X99" s="9"/>
      <c r="Y99" s="14"/>
    </row>
    <row r="100" spans="2:25" x14ac:dyDescent="0.35">
      <c r="B100" s="21"/>
      <c r="C100" s="6"/>
      <c r="D100" s="8"/>
      <c r="E100" s="13"/>
      <c r="G100" s="21"/>
      <c r="H100" s="8"/>
      <c r="I100" s="8"/>
      <c r="J100" s="13"/>
      <c r="L100" s="21"/>
      <c r="M100" s="8"/>
      <c r="N100" s="8"/>
      <c r="O100" s="13"/>
      <c r="Q100" s="21"/>
      <c r="R100" s="8"/>
      <c r="S100" s="8"/>
      <c r="T100" s="13"/>
      <c r="V100" s="21"/>
      <c r="W100" s="8"/>
      <c r="X100" s="8"/>
      <c r="Y100" s="13"/>
    </row>
    <row r="101" spans="2:25" x14ac:dyDescent="0.35">
      <c r="B101" s="22"/>
      <c r="C101" s="7"/>
      <c r="D101" s="9"/>
      <c r="E101" s="14"/>
      <c r="G101" s="22"/>
      <c r="H101" s="9"/>
      <c r="I101" s="9"/>
      <c r="J101" s="14"/>
      <c r="L101" s="22"/>
      <c r="M101" s="9"/>
      <c r="N101" s="9"/>
      <c r="O101" s="14"/>
      <c r="Q101" s="22"/>
      <c r="R101" s="9"/>
      <c r="S101" s="9"/>
      <c r="T101" s="14"/>
      <c r="V101" s="22"/>
      <c r="W101" s="9"/>
      <c r="X101" s="9"/>
      <c r="Y101" s="14"/>
    </row>
    <row r="102" spans="2:25" x14ac:dyDescent="0.35">
      <c r="B102" s="21"/>
      <c r="C102" s="6"/>
      <c r="D102" s="8"/>
      <c r="E102" s="13"/>
      <c r="G102" s="21"/>
      <c r="H102" s="8"/>
      <c r="I102" s="8"/>
      <c r="J102" s="13"/>
      <c r="L102" s="21"/>
      <c r="M102" s="8"/>
      <c r="N102" s="8"/>
      <c r="O102" s="13"/>
      <c r="Q102" s="21"/>
      <c r="R102" s="8"/>
      <c r="S102" s="8"/>
      <c r="T102" s="13"/>
      <c r="V102" s="21"/>
      <c r="W102" s="8"/>
      <c r="X102" s="8"/>
      <c r="Y102" s="13"/>
    </row>
    <row r="103" spans="2:25" x14ac:dyDescent="0.35">
      <c r="B103" s="22"/>
      <c r="C103" s="7"/>
      <c r="D103" s="9"/>
      <c r="E103" s="14"/>
      <c r="G103" s="22"/>
      <c r="H103" s="9"/>
      <c r="I103" s="9"/>
      <c r="J103" s="14"/>
      <c r="L103" s="22"/>
      <c r="M103" s="9"/>
      <c r="N103" s="9"/>
      <c r="O103" s="14"/>
      <c r="Q103" s="22"/>
      <c r="R103" s="9"/>
      <c r="S103" s="9"/>
      <c r="T103" s="14"/>
      <c r="V103" s="22"/>
      <c r="W103" s="9"/>
      <c r="X103" s="9"/>
      <c r="Y103" s="14"/>
    </row>
    <row r="104" spans="2:25" x14ac:dyDescent="0.35">
      <c r="B104" s="21"/>
      <c r="C104" s="6"/>
      <c r="D104" s="8"/>
      <c r="E104" s="13"/>
      <c r="G104" s="21"/>
      <c r="H104" s="8"/>
      <c r="I104" s="8"/>
      <c r="J104" s="13"/>
      <c r="L104" s="21"/>
      <c r="M104" s="8"/>
      <c r="N104" s="8"/>
      <c r="O104" s="13"/>
      <c r="Q104" s="21"/>
      <c r="R104" s="8"/>
      <c r="S104" s="8"/>
      <c r="T104" s="13"/>
      <c r="V104" s="21"/>
      <c r="W104" s="8"/>
      <c r="X104" s="8"/>
      <c r="Y104" s="13"/>
    </row>
    <row r="105" spans="2:25" x14ac:dyDescent="0.35">
      <c r="B105" s="22"/>
      <c r="C105" s="7"/>
      <c r="D105" s="9"/>
      <c r="E105" s="14"/>
      <c r="G105" s="22"/>
      <c r="H105" s="9"/>
      <c r="I105" s="9"/>
      <c r="J105" s="14"/>
      <c r="L105" s="22"/>
      <c r="M105" s="9"/>
      <c r="N105" s="9"/>
      <c r="O105" s="14"/>
      <c r="Q105" s="22"/>
      <c r="R105" s="9"/>
      <c r="S105" s="9"/>
      <c r="T105" s="14"/>
      <c r="V105" s="22"/>
      <c r="W105" s="9"/>
      <c r="X105" s="9"/>
      <c r="Y105" s="14"/>
    </row>
    <row r="106" spans="2:25" x14ac:dyDescent="0.35">
      <c r="B106" s="21"/>
      <c r="C106" s="6"/>
      <c r="D106" s="8"/>
      <c r="E106" s="13"/>
      <c r="G106" s="21"/>
      <c r="H106" s="8"/>
      <c r="I106" s="8"/>
      <c r="J106" s="13"/>
      <c r="L106" s="21"/>
      <c r="M106" s="8"/>
      <c r="N106" s="8"/>
      <c r="O106" s="13"/>
      <c r="Q106" s="21"/>
      <c r="R106" s="8"/>
      <c r="S106" s="8"/>
      <c r="T106" s="13"/>
      <c r="V106" s="21"/>
      <c r="W106" s="8"/>
      <c r="X106" s="8"/>
      <c r="Y106" s="13"/>
    </row>
    <row r="107" spans="2:25" x14ac:dyDescent="0.35">
      <c r="B107" s="22"/>
      <c r="C107" s="7"/>
      <c r="D107" s="9"/>
      <c r="E107" s="14"/>
      <c r="G107" s="22"/>
      <c r="H107" s="9"/>
      <c r="I107" s="9"/>
      <c r="J107" s="14"/>
      <c r="L107" s="22"/>
      <c r="M107" s="9"/>
      <c r="N107" s="9"/>
      <c r="O107" s="14"/>
      <c r="Q107" s="22"/>
      <c r="R107" s="9"/>
      <c r="S107" s="9"/>
      <c r="T107" s="14"/>
      <c r="V107" s="22"/>
      <c r="W107" s="9"/>
      <c r="X107" s="9"/>
      <c r="Y107" s="14"/>
    </row>
    <row r="108" spans="2:25" x14ac:dyDescent="0.35">
      <c r="B108" s="21"/>
      <c r="C108" s="6"/>
      <c r="D108" s="8"/>
      <c r="E108" s="13"/>
      <c r="G108" s="21"/>
      <c r="H108" s="8"/>
      <c r="I108" s="8"/>
      <c r="J108" s="13"/>
      <c r="L108" s="21"/>
      <c r="M108" s="8"/>
      <c r="N108" s="8"/>
      <c r="O108" s="13"/>
      <c r="Q108" s="21"/>
      <c r="R108" s="8"/>
      <c r="S108" s="8"/>
      <c r="T108" s="13"/>
      <c r="V108" s="21"/>
      <c r="W108" s="8"/>
      <c r="X108" s="8"/>
      <c r="Y108" s="13"/>
    </row>
    <row r="109" spans="2:25" x14ac:dyDescent="0.35">
      <c r="B109" s="22"/>
      <c r="C109" s="7"/>
      <c r="D109" s="9"/>
      <c r="E109" s="14"/>
      <c r="G109" s="22"/>
      <c r="H109" s="9"/>
      <c r="I109" s="9"/>
      <c r="J109" s="14"/>
      <c r="L109" s="22"/>
      <c r="M109" s="9"/>
      <c r="N109" s="9"/>
      <c r="O109" s="14"/>
      <c r="Q109" s="22"/>
      <c r="R109" s="9"/>
      <c r="S109" s="9"/>
      <c r="T109" s="14"/>
      <c r="V109" s="22"/>
      <c r="W109" s="9"/>
      <c r="X109" s="9"/>
      <c r="Y109" s="14"/>
    </row>
    <row r="110" spans="2:25" x14ac:dyDescent="0.35">
      <c r="B110" s="21"/>
      <c r="C110" s="6"/>
      <c r="D110" s="8"/>
      <c r="E110" s="13"/>
      <c r="G110" s="21"/>
      <c r="H110" s="8"/>
      <c r="I110" s="8"/>
      <c r="J110" s="13"/>
      <c r="L110" s="21"/>
      <c r="M110" s="8"/>
      <c r="N110" s="8"/>
      <c r="O110" s="13"/>
      <c r="Q110" s="21"/>
      <c r="R110" s="8"/>
      <c r="S110" s="8"/>
      <c r="T110" s="13"/>
      <c r="V110" s="21"/>
      <c r="W110" s="8"/>
      <c r="X110" s="8"/>
      <c r="Y110" s="13"/>
    </row>
    <row r="111" spans="2:25" x14ac:dyDescent="0.35">
      <c r="B111" s="22"/>
      <c r="C111" s="7"/>
      <c r="D111" s="9"/>
      <c r="E111" s="14"/>
      <c r="G111" s="22"/>
      <c r="H111" s="9"/>
      <c r="I111" s="9"/>
      <c r="J111" s="14"/>
      <c r="L111" s="22"/>
      <c r="M111" s="9"/>
      <c r="N111" s="9"/>
      <c r="O111" s="14"/>
      <c r="Q111" s="22"/>
      <c r="R111" s="9"/>
      <c r="S111" s="9"/>
      <c r="T111" s="14"/>
      <c r="V111" s="22"/>
      <c r="W111" s="9"/>
      <c r="X111" s="9"/>
      <c r="Y111" s="14"/>
    </row>
    <row r="112" spans="2:25" x14ac:dyDescent="0.35">
      <c r="B112" s="21"/>
      <c r="C112" s="6"/>
      <c r="D112" s="8"/>
      <c r="E112" s="13"/>
      <c r="G112" s="21"/>
      <c r="H112" s="8"/>
      <c r="I112" s="8"/>
      <c r="J112" s="13"/>
      <c r="L112" s="21"/>
      <c r="M112" s="8"/>
      <c r="N112" s="8"/>
      <c r="O112" s="13"/>
      <c r="Q112" s="21"/>
      <c r="R112" s="8"/>
      <c r="S112" s="8"/>
      <c r="T112" s="13"/>
      <c r="V112" s="21"/>
      <c r="W112" s="8"/>
      <c r="X112" s="8"/>
      <c r="Y112" s="13"/>
    </row>
    <row r="113" spans="2:25" x14ac:dyDescent="0.35">
      <c r="B113" s="22"/>
      <c r="C113" s="7"/>
      <c r="D113" s="9"/>
      <c r="E113" s="14"/>
      <c r="G113" s="22"/>
      <c r="H113" s="9"/>
      <c r="I113" s="9"/>
      <c r="J113" s="14"/>
      <c r="L113" s="22"/>
      <c r="M113" s="9"/>
      <c r="N113" s="9"/>
      <c r="O113" s="14"/>
      <c r="Q113" s="22"/>
      <c r="R113" s="9"/>
      <c r="S113" s="9"/>
      <c r="T113" s="14"/>
      <c r="V113" s="22"/>
      <c r="W113" s="9"/>
      <c r="X113" s="9"/>
      <c r="Y113" s="14"/>
    </row>
    <row r="114" spans="2:25" x14ac:dyDescent="0.35">
      <c r="B114" s="21"/>
      <c r="C114" s="6"/>
      <c r="D114" s="8"/>
      <c r="E114" s="13"/>
      <c r="G114" s="21"/>
      <c r="H114" s="8"/>
      <c r="I114" s="8"/>
      <c r="J114" s="13"/>
      <c r="L114" s="21"/>
      <c r="M114" s="8"/>
      <c r="N114" s="8"/>
      <c r="O114" s="13"/>
      <c r="Q114" s="21"/>
      <c r="R114" s="8"/>
      <c r="S114" s="8"/>
      <c r="T114" s="13"/>
      <c r="V114" s="21"/>
      <c r="W114" s="8"/>
      <c r="X114" s="8"/>
      <c r="Y114" s="13"/>
    </row>
    <row r="115" spans="2:25" x14ac:dyDescent="0.35">
      <c r="B115" s="22"/>
      <c r="C115" s="7"/>
      <c r="D115" s="9"/>
      <c r="E115" s="14"/>
      <c r="G115" s="22"/>
      <c r="H115" s="9"/>
      <c r="I115" s="9"/>
      <c r="J115" s="14"/>
      <c r="L115" s="22"/>
      <c r="M115" s="9"/>
      <c r="N115" s="9"/>
      <c r="O115" s="14"/>
      <c r="Q115" s="22"/>
      <c r="R115" s="9"/>
      <c r="S115" s="9"/>
      <c r="T115" s="14"/>
      <c r="V115" s="22"/>
      <c r="W115" s="9"/>
      <c r="X115" s="9"/>
      <c r="Y115" s="14"/>
    </row>
    <row r="116" spans="2:25" x14ac:dyDescent="0.35">
      <c r="B116" s="21"/>
      <c r="C116" s="6"/>
      <c r="D116" s="8"/>
      <c r="E116" s="13"/>
      <c r="G116" s="21"/>
      <c r="H116" s="8"/>
      <c r="I116" s="8"/>
      <c r="J116" s="13"/>
      <c r="L116" s="21"/>
      <c r="M116" s="8"/>
      <c r="N116" s="8"/>
      <c r="O116" s="13"/>
      <c r="Q116" s="21"/>
      <c r="R116" s="8"/>
      <c r="S116" s="8"/>
      <c r="T116" s="13"/>
      <c r="V116" s="21"/>
      <c r="W116" s="8"/>
      <c r="X116" s="8"/>
      <c r="Y116" s="13"/>
    </row>
    <row r="117" spans="2:25" x14ac:dyDescent="0.35">
      <c r="B117" s="22"/>
      <c r="C117" s="7"/>
      <c r="D117" s="9"/>
      <c r="E117" s="14"/>
      <c r="G117" s="22"/>
      <c r="H117" s="9"/>
      <c r="I117" s="9"/>
      <c r="J117" s="14"/>
      <c r="L117" s="22"/>
      <c r="M117" s="9"/>
      <c r="N117" s="9"/>
      <c r="O117" s="14"/>
      <c r="Q117" s="22"/>
      <c r="R117" s="9"/>
      <c r="S117" s="9"/>
      <c r="T117" s="14"/>
      <c r="V117" s="22"/>
      <c r="W117" s="9"/>
      <c r="X117" s="9"/>
      <c r="Y117" s="14"/>
    </row>
    <row r="118" spans="2:25" x14ac:dyDescent="0.35">
      <c r="B118" s="21"/>
      <c r="C118" s="6"/>
      <c r="D118" s="8"/>
      <c r="E118" s="13"/>
      <c r="G118" s="21"/>
      <c r="H118" s="8"/>
      <c r="I118" s="8"/>
      <c r="J118" s="13"/>
      <c r="L118" s="21"/>
      <c r="M118" s="8"/>
      <c r="N118" s="8"/>
      <c r="O118" s="13"/>
      <c r="Q118" s="21"/>
      <c r="R118" s="8"/>
      <c r="S118" s="8"/>
      <c r="T118" s="13"/>
      <c r="V118" s="21"/>
      <c r="W118" s="8"/>
      <c r="X118" s="8"/>
      <c r="Y118" s="13"/>
    </row>
    <row r="119" spans="2:25" x14ac:dyDescent="0.35">
      <c r="B119" s="22"/>
      <c r="C119" s="7"/>
      <c r="D119" s="9"/>
      <c r="E119" s="14"/>
      <c r="G119" s="22"/>
      <c r="H119" s="9"/>
      <c r="I119" s="9"/>
      <c r="J119" s="14"/>
      <c r="L119" s="22"/>
      <c r="M119" s="9"/>
      <c r="N119" s="9"/>
      <c r="O119" s="14"/>
      <c r="Q119" s="22"/>
      <c r="R119" s="9"/>
      <c r="S119" s="9"/>
      <c r="T119" s="14"/>
      <c r="V119" s="22"/>
      <c r="W119" s="9"/>
      <c r="X119" s="9"/>
      <c r="Y119" s="14"/>
    </row>
    <row r="120" spans="2:25" x14ac:dyDescent="0.35">
      <c r="B120" s="21"/>
      <c r="C120" s="6"/>
      <c r="D120" s="8"/>
      <c r="E120" s="13"/>
      <c r="G120" s="21"/>
      <c r="H120" s="8"/>
      <c r="I120" s="8"/>
      <c r="J120" s="13"/>
      <c r="L120" s="21"/>
      <c r="M120" s="8"/>
      <c r="N120" s="8"/>
      <c r="O120" s="13"/>
      <c r="Q120" s="21"/>
      <c r="R120" s="8"/>
      <c r="S120" s="8"/>
      <c r="T120" s="13"/>
      <c r="V120" s="21"/>
      <c r="W120" s="8"/>
      <c r="X120" s="8"/>
      <c r="Y120" s="13"/>
    </row>
    <row r="121" spans="2:25" x14ac:dyDescent="0.35">
      <c r="B121" s="22"/>
      <c r="C121" s="7"/>
      <c r="D121" s="9"/>
      <c r="E121" s="14"/>
      <c r="G121" s="22"/>
      <c r="H121" s="9"/>
      <c r="I121" s="9"/>
      <c r="J121" s="14"/>
      <c r="L121" s="22"/>
      <c r="M121" s="9"/>
      <c r="N121" s="9"/>
      <c r="O121" s="14"/>
      <c r="Q121" s="22"/>
      <c r="R121" s="9"/>
      <c r="S121" s="9"/>
      <c r="T121" s="14"/>
      <c r="V121" s="22"/>
      <c r="W121" s="9"/>
      <c r="X121" s="9"/>
      <c r="Y121" s="14"/>
    </row>
    <row r="122" spans="2:25" x14ac:dyDescent="0.35">
      <c r="B122" s="21"/>
      <c r="C122" s="6"/>
      <c r="D122" s="8"/>
      <c r="E122" s="13"/>
      <c r="G122" s="21"/>
      <c r="H122" s="8"/>
      <c r="I122" s="8"/>
      <c r="J122" s="13"/>
      <c r="L122" s="21"/>
      <c r="M122" s="8"/>
      <c r="N122" s="8"/>
      <c r="O122" s="13"/>
      <c r="Q122" s="21"/>
      <c r="R122" s="8"/>
      <c r="S122" s="8"/>
      <c r="T122" s="13"/>
      <c r="V122" s="21"/>
      <c r="W122" s="8"/>
      <c r="X122" s="8"/>
      <c r="Y122" s="13"/>
    </row>
    <row r="123" spans="2:25" x14ac:dyDescent="0.35">
      <c r="B123" s="22"/>
      <c r="C123" s="7"/>
      <c r="D123" s="9"/>
      <c r="E123" s="14"/>
      <c r="G123" s="22"/>
      <c r="H123" s="9"/>
      <c r="I123" s="9"/>
      <c r="J123" s="14"/>
      <c r="L123" s="22"/>
      <c r="M123" s="9"/>
      <c r="N123" s="9"/>
      <c r="O123" s="14"/>
      <c r="Q123" s="22"/>
      <c r="R123" s="9"/>
      <c r="S123" s="9"/>
      <c r="T123" s="14"/>
      <c r="V123" s="22"/>
      <c r="W123" s="9"/>
      <c r="X123" s="9"/>
      <c r="Y123" s="14"/>
    </row>
    <row r="124" spans="2:25" x14ac:dyDescent="0.35">
      <c r="B124" s="21"/>
      <c r="C124" s="6"/>
      <c r="D124" s="8"/>
      <c r="E124" s="13"/>
      <c r="G124" s="21"/>
      <c r="H124" s="8"/>
      <c r="I124" s="8"/>
      <c r="J124" s="13"/>
      <c r="L124" s="21"/>
      <c r="M124" s="8"/>
      <c r="N124" s="8"/>
      <c r="O124" s="13"/>
      <c r="Q124" s="21"/>
      <c r="R124" s="8"/>
      <c r="S124" s="8"/>
      <c r="T124" s="13"/>
      <c r="V124" s="21"/>
      <c r="W124" s="8"/>
      <c r="X124" s="8"/>
      <c r="Y124" s="13"/>
    </row>
    <row r="125" spans="2:25" x14ac:dyDescent="0.35">
      <c r="B125" s="22"/>
      <c r="C125" s="7"/>
      <c r="D125" s="9"/>
      <c r="E125" s="14"/>
      <c r="G125" s="22"/>
      <c r="H125" s="9"/>
      <c r="I125" s="9"/>
      <c r="J125" s="14"/>
      <c r="L125" s="22"/>
      <c r="M125" s="9"/>
      <c r="N125" s="9"/>
      <c r="O125" s="14"/>
      <c r="Q125" s="22"/>
      <c r="R125" s="9"/>
      <c r="S125" s="9"/>
      <c r="T125" s="14"/>
      <c r="V125" s="22"/>
      <c r="W125" s="9"/>
      <c r="X125" s="9"/>
      <c r="Y125" s="14"/>
    </row>
    <row r="126" spans="2:25" x14ac:dyDescent="0.35">
      <c r="B126" s="21"/>
      <c r="C126" s="6"/>
      <c r="D126" s="8"/>
      <c r="E126" s="13"/>
      <c r="G126" s="21"/>
      <c r="H126" s="8"/>
      <c r="I126" s="8"/>
      <c r="J126" s="13"/>
      <c r="L126" s="21"/>
      <c r="M126" s="8"/>
      <c r="N126" s="8"/>
      <c r="O126" s="13"/>
      <c r="Q126" s="21"/>
      <c r="R126" s="8"/>
      <c r="S126" s="8"/>
      <c r="T126" s="13"/>
      <c r="V126" s="21"/>
      <c r="W126" s="8"/>
      <c r="X126" s="8"/>
      <c r="Y126" s="13"/>
    </row>
    <row r="127" spans="2:25" x14ac:dyDescent="0.35">
      <c r="B127" s="22"/>
      <c r="C127" s="7"/>
      <c r="D127" s="9"/>
      <c r="E127" s="14"/>
      <c r="G127" s="22"/>
      <c r="H127" s="9"/>
      <c r="I127" s="9"/>
      <c r="J127" s="14"/>
      <c r="L127" s="22"/>
      <c r="M127" s="9"/>
      <c r="N127" s="9"/>
      <c r="O127" s="14"/>
      <c r="Q127" s="22"/>
      <c r="R127" s="9"/>
      <c r="S127" s="9"/>
      <c r="T127" s="14"/>
      <c r="V127" s="22"/>
      <c r="W127" s="9"/>
      <c r="X127" s="9"/>
      <c r="Y127" s="14"/>
    </row>
    <row r="128" spans="2:25" x14ac:dyDescent="0.35">
      <c r="B128" s="21"/>
      <c r="C128" s="6"/>
      <c r="D128" s="8"/>
      <c r="E128" s="13"/>
      <c r="G128" s="21"/>
      <c r="H128" s="8"/>
      <c r="I128" s="8"/>
      <c r="J128" s="13"/>
      <c r="L128" s="21"/>
      <c r="M128" s="8"/>
      <c r="N128" s="8"/>
      <c r="O128" s="13"/>
      <c r="Q128" s="21"/>
      <c r="R128" s="8"/>
      <c r="S128" s="8"/>
      <c r="T128" s="13"/>
      <c r="V128" s="21"/>
      <c r="W128" s="8"/>
      <c r="X128" s="8"/>
      <c r="Y128" s="13"/>
    </row>
    <row r="129" spans="2:25" x14ac:dyDescent="0.35">
      <c r="B129" s="22"/>
      <c r="C129" s="7"/>
      <c r="D129" s="9"/>
      <c r="E129" s="14"/>
      <c r="G129" s="22"/>
      <c r="H129" s="9"/>
      <c r="I129" s="9"/>
      <c r="J129" s="14"/>
      <c r="L129" s="22"/>
      <c r="M129" s="9"/>
      <c r="N129" s="9"/>
      <c r="O129" s="14"/>
      <c r="Q129" s="22"/>
      <c r="R129" s="9"/>
      <c r="S129" s="9"/>
      <c r="T129" s="14"/>
      <c r="V129" s="22"/>
      <c r="W129" s="9"/>
      <c r="X129" s="9"/>
      <c r="Y129" s="14"/>
    </row>
    <row r="130" spans="2:25" x14ac:dyDescent="0.35">
      <c r="B130" s="21"/>
      <c r="C130" s="6"/>
      <c r="D130" s="8"/>
      <c r="E130" s="13"/>
      <c r="G130" s="21"/>
      <c r="H130" s="8"/>
      <c r="I130" s="8"/>
      <c r="J130" s="13"/>
      <c r="L130" s="21"/>
      <c r="M130" s="8"/>
      <c r="N130" s="8"/>
      <c r="O130" s="13"/>
      <c r="Q130" s="21"/>
      <c r="R130" s="8"/>
      <c r="S130" s="8"/>
      <c r="T130" s="13"/>
      <c r="V130" s="21"/>
      <c r="W130" s="8"/>
      <c r="X130" s="8"/>
      <c r="Y130" s="13"/>
    </row>
    <row r="131" spans="2:25" x14ac:dyDescent="0.35">
      <c r="B131" s="22"/>
      <c r="C131" s="7"/>
      <c r="D131" s="9"/>
      <c r="E131" s="14"/>
      <c r="G131" s="22"/>
      <c r="H131" s="9"/>
      <c r="I131" s="9"/>
      <c r="J131" s="14"/>
      <c r="L131" s="22"/>
      <c r="M131" s="9"/>
      <c r="N131" s="9"/>
      <c r="O131" s="14"/>
      <c r="Q131" s="22"/>
      <c r="R131" s="9"/>
      <c r="S131" s="9"/>
      <c r="T131" s="14"/>
      <c r="V131" s="22"/>
      <c r="W131" s="9"/>
      <c r="X131" s="9"/>
      <c r="Y131" s="14"/>
    </row>
    <row r="132" spans="2:25" x14ac:dyDescent="0.35">
      <c r="B132" s="21"/>
      <c r="C132" s="6"/>
      <c r="D132" s="8"/>
      <c r="E132" s="13"/>
      <c r="G132" s="21"/>
      <c r="H132" s="8"/>
      <c r="I132" s="8"/>
      <c r="J132" s="13"/>
      <c r="L132" s="21"/>
      <c r="M132" s="8"/>
      <c r="N132" s="8"/>
      <c r="O132" s="13"/>
      <c r="Q132" s="21"/>
      <c r="R132" s="8"/>
      <c r="S132" s="8"/>
      <c r="T132" s="13"/>
      <c r="V132" s="21"/>
      <c r="W132" s="8"/>
      <c r="X132" s="8"/>
      <c r="Y132" s="13"/>
    </row>
    <row r="133" spans="2:25" x14ac:dyDescent="0.35">
      <c r="B133" s="22"/>
      <c r="C133" s="7"/>
      <c r="D133" s="9"/>
      <c r="E133" s="14"/>
      <c r="G133" s="22"/>
      <c r="H133" s="9"/>
      <c r="I133" s="9"/>
      <c r="J133" s="14"/>
      <c r="L133" s="22"/>
      <c r="M133" s="9"/>
      <c r="N133" s="9"/>
      <c r="O133" s="14"/>
      <c r="Q133" s="22"/>
      <c r="R133" s="9"/>
      <c r="S133" s="9"/>
      <c r="T133" s="14"/>
      <c r="V133" s="22"/>
      <c r="W133" s="9"/>
      <c r="X133" s="9"/>
      <c r="Y133" s="14"/>
    </row>
    <row r="134" spans="2:25" x14ac:dyDescent="0.35">
      <c r="B134" s="21"/>
      <c r="C134" s="6"/>
      <c r="D134" s="8"/>
      <c r="E134" s="13"/>
      <c r="G134" s="21"/>
      <c r="H134" s="8"/>
      <c r="I134" s="8"/>
      <c r="J134" s="13"/>
      <c r="L134" s="21"/>
      <c r="M134" s="8"/>
      <c r="N134" s="8"/>
      <c r="O134" s="13"/>
      <c r="Q134" s="21"/>
      <c r="R134" s="8"/>
      <c r="S134" s="8"/>
      <c r="T134" s="13"/>
      <c r="V134" s="21"/>
      <c r="W134" s="8"/>
      <c r="X134" s="8"/>
      <c r="Y134" s="13"/>
    </row>
    <row r="135" spans="2:25" x14ac:dyDescent="0.35">
      <c r="B135" s="22"/>
      <c r="C135" s="7"/>
      <c r="D135" s="9"/>
      <c r="E135" s="14"/>
      <c r="G135" s="22"/>
      <c r="H135" s="9"/>
      <c r="I135" s="9"/>
      <c r="J135" s="14"/>
      <c r="L135" s="22"/>
      <c r="M135" s="9"/>
      <c r="N135" s="9"/>
      <c r="O135" s="14"/>
      <c r="Q135" s="22"/>
      <c r="R135" s="9"/>
      <c r="S135" s="9"/>
      <c r="T135" s="14"/>
      <c r="V135" s="22"/>
      <c r="W135" s="9"/>
      <c r="X135" s="9"/>
      <c r="Y135" s="14"/>
    </row>
    <row r="136" spans="2:25" x14ac:dyDescent="0.35">
      <c r="B136" s="21"/>
      <c r="C136" s="6"/>
      <c r="D136" s="8"/>
      <c r="E136" s="13"/>
      <c r="G136" s="21"/>
      <c r="H136" s="8"/>
      <c r="I136" s="8"/>
      <c r="J136" s="13"/>
      <c r="L136" s="21"/>
      <c r="M136" s="8"/>
      <c r="N136" s="8"/>
      <c r="O136" s="13"/>
      <c r="Q136" s="21"/>
      <c r="R136" s="8"/>
      <c r="S136" s="8"/>
      <c r="T136" s="13"/>
      <c r="V136" s="21"/>
      <c r="W136" s="8"/>
      <c r="X136" s="8"/>
      <c r="Y136" s="13"/>
    </row>
    <row r="137" spans="2:25" x14ac:dyDescent="0.35">
      <c r="B137" s="22"/>
      <c r="C137" s="7"/>
      <c r="D137" s="9"/>
      <c r="E137" s="14"/>
      <c r="G137" s="22"/>
      <c r="H137" s="9"/>
      <c r="I137" s="9"/>
      <c r="J137" s="14"/>
      <c r="L137" s="22"/>
      <c r="M137" s="9"/>
      <c r="N137" s="9"/>
      <c r="O137" s="14"/>
      <c r="Q137" s="22"/>
      <c r="R137" s="9"/>
      <c r="S137" s="9"/>
      <c r="T137" s="14"/>
      <c r="V137" s="22"/>
      <c r="W137" s="9"/>
      <c r="X137" s="9"/>
      <c r="Y137" s="14"/>
    </row>
    <row r="138" spans="2:25" x14ac:dyDescent="0.35">
      <c r="B138" s="21"/>
      <c r="C138" s="6"/>
      <c r="D138" s="8"/>
      <c r="E138" s="13"/>
      <c r="G138" s="21"/>
      <c r="H138" s="8"/>
      <c r="I138" s="8"/>
      <c r="J138" s="13"/>
      <c r="L138" s="21"/>
      <c r="M138" s="8"/>
      <c r="N138" s="8"/>
      <c r="O138" s="13"/>
      <c r="Q138" s="21"/>
      <c r="R138" s="8"/>
      <c r="S138" s="8"/>
      <c r="T138" s="13"/>
      <c r="V138" s="21"/>
      <c r="W138" s="8"/>
      <c r="X138" s="8"/>
      <c r="Y138" s="13"/>
    </row>
    <row r="139" spans="2:25" x14ac:dyDescent="0.35">
      <c r="B139" s="22"/>
      <c r="C139" s="7"/>
      <c r="D139" s="9"/>
      <c r="E139" s="14"/>
      <c r="G139" s="22"/>
      <c r="H139" s="9"/>
      <c r="I139" s="9"/>
      <c r="J139" s="14"/>
      <c r="L139" s="22"/>
      <c r="M139" s="9"/>
      <c r="N139" s="9"/>
      <c r="O139" s="14"/>
      <c r="Q139" s="22"/>
      <c r="R139" s="9"/>
      <c r="S139" s="9"/>
      <c r="T139" s="14"/>
      <c r="V139" s="22"/>
      <c r="W139" s="9"/>
      <c r="X139" s="9"/>
      <c r="Y139" s="14"/>
    </row>
    <row r="140" spans="2:25" x14ac:dyDescent="0.35">
      <c r="B140" s="21"/>
      <c r="C140" s="6"/>
      <c r="D140" s="8"/>
      <c r="E140" s="13"/>
      <c r="G140" s="21"/>
      <c r="H140" s="8"/>
      <c r="I140" s="8"/>
      <c r="J140" s="13"/>
      <c r="L140" s="21"/>
      <c r="M140" s="8"/>
      <c r="N140" s="8"/>
      <c r="O140" s="13"/>
      <c r="Q140" s="21"/>
      <c r="R140" s="8"/>
      <c r="S140" s="8"/>
      <c r="T140" s="13"/>
      <c r="V140" s="21"/>
      <c r="W140" s="8"/>
      <c r="X140" s="8"/>
      <c r="Y140" s="13"/>
    </row>
    <row r="141" spans="2:25" x14ac:dyDescent="0.35">
      <c r="B141" s="22"/>
      <c r="C141" s="7"/>
      <c r="D141" s="9"/>
      <c r="E141" s="14"/>
      <c r="G141" s="22"/>
      <c r="H141" s="9"/>
      <c r="I141" s="9"/>
      <c r="J141" s="14"/>
      <c r="L141" s="22"/>
      <c r="M141" s="9"/>
      <c r="N141" s="9"/>
      <c r="O141" s="14"/>
      <c r="Q141" s="22"/>
      <c r="R141" s="9"/>
      <c r="S141" s="9"/>
      <c r="T141" s="14"/>
      <c r="V141" s="22"/>
      <c r="W141" s="9"/>
      <c r="X141" s="9"/>
      <c r="Y141" s="14"/>
    </row>
    <row r="142" spans="2:25" x14ac:dyDescent="0.35">
      <c r="B142" s="21"/>
      <c r="C142" s="6"/>
      <c r="D142" s="8"/>
      <c r="E142" s="13"/>
      <c r="G142" s="21"/>
      <c r="H142" s="8"/>
      <c r="I142" s="8"/>
      <c r="J142" s="13"/>
      <c r="L142" s="21"/>
      <c r="M142" s="8"/>
      <c r="N142" s="8"/>
      <c r="O142" s="13"/>
      <c r="Q142" s="21"/>
      <c r="R142" s="8"/>
      <c r="S142" s="8"/>
      <c r="T142" s="13"/>
      <c r="V142" s="21"/>
      <c r="W142" s="8"/>
      <c r="X142" s="8"/>
      <c r="Y142" s="13"/>
    </row>
    <row r="143" spans="2:25" x14ac:dyDescent="0.35">
      <c r="B143" s="22"/>
      <c r="C143" s="7"/>
      <c r="D143" s="9"/>
      <c r="E143" s="14"/>
      <c r="G143" s="22"/>
      <c r="H143" s="9"/>
      <c r="I143" s="9"/>
      <c r="J143" s="14"/>
      <c r="L143" s="22"/>
      <c r="M143" s="9"/>
      <c r="N143" s="9"/>
      <c r="O143" s="14"/>
      <c r="Q143" s="22"/>
      <c r="R143" s="9"/>
      <c r="S143" s="9"/>
      <c r="T143" s="14"/>
      <c r="V143" s="22"/>
      <c r="W143" s="9"/>
      <c r="X143" s="9"/>
      <c r="Y143" s="14"/>
    </row>
    <row r="144" spans="2:25" x14ac:dyDescent="0.35">
      <c r="B144" s="21"/>
      <c r="C144" s="6"/>
      <c r="D144" s="8"/>
      <c r="E144" s="13"/>
      <c r="G144" s="21"/>
      <c r="H144" s="8"/>
      <c r="I144" s="8"/>
      <c r="J144" s="13"/>
      <c r="L144" s="21"/>
      <c r="M144" s="8"/>
      <c r="N144" s="8"/>
      <c r="O144" s="13"/>
      <c r="Q144" s="21"/>
      <c r="R144" s="8"/>
      <c r="S144" s="8"/>
      <c r="T144" s="13"/>
      <c r="V144" s="21"/>
      <c r="W144" s="8"/>
      <c r="X144" s="8"/>
      <c r="Y144" s="13"/>
    </row>
    <row r="145" spans="2:25" x14ac:dyDescent="0.35">
      <c r="B145" s="22"/>
      <c r="C145" s="7"/>
      <c r="D145" s="9"/>
      <c r="E145" s="14"/>
      <c r="G145" s="22"/>
      <c r="H145" s="9"/>
      <c r="I145" s="9"/>
      <c r="J145" s="14"/>
      <c r="L145" s="22"/>
      <c r="M145" s="9"/>
      <c r="N145" s="9"/>
      <c r="O145" s="14"/>
      <c r="Q145" s="22"/>
      <c r="R145" s="9"/>
      <c r="S145" s="9"/>
      <c r="T145" s="14"/>
      <c r="V145" s="22"/>
      <c r="W145" s="9"/>
      <c r="X145" s="9"/>
      <c r="Y145" s="14"/>
    </row>
    <row r="146" spans="2:25" x14ac:dyDescent="0.35">
      <c r="B146" s="21"/>
      <c r="C146" s="6"/>
      <c r="D146" s="8"/>
      <c r="E146" s="13"/>
      <c r="G146" s="21"/>
      <c r="H146" s="8"/>
      <c r="I146" s="8"/>
      <c r="J146" s="13"/>
      <c r="L146" s="21"/>
      <c r="M146" s="8"/>
      <c r="N146" s="8"/>
      <c r="O146" s="13"/>
      <c r="Q146" s="21"/>
      <c r="R146" s="8"/>
      <c r="S146" s="8"/>
      <c r="T146" s="13"/>
      <c r="V146" s="21"/>
      <c r="W146" s="8"/>
      <c r="X146" s="8"/>
      <c r="Y146" s="13"/>
    </row>
    <row r="147" spans="2:25" x14ac:dyDescent="0.35">
      <c r="B147" s="22"/>
      <c r="C147" s="7"/>
      <c r="D147" s="9"/>
      <c r="E147" s="14"/>
      <c r="G147" s="22"/>
      <c r="H147" s="9"/>
      <c r="I147" s="9"/>
      <c r="J147" s="14"/>
      <c r="L147" s="22"/>
      <c r="M147" s="9"/>
      <c r="N147" s="9"/>
      <c r="O147" s="14"/>
      <c r="Q147" s="22"/>
      <c r="R147" s="9"/>
      <c r="S147" s="9"/>
      <c r="T147" s="14"/>
      <c r="V147" s="22"/>
      <c r="W147" s="9"/>
      <c r="X147" s="9"/>
      <c r="Y147" s="14"/>
    </row>
    <row r="148" spans="2:25" x14ac:dyDescent="0.35">
      <c r="B148" s="21"/>
      <c r="C148" s="6"/>
      <c r="D148" s="8"/>
      <c r="E148" s="13"/>
      <c r="G148" s="21"/>
      <c r="H148" s="8"/>
      <c r="I148" s="8"/>
      <c r="J148" s="13"/>
      <c r="L148" s="21"/>
      <c r="M148" s="8"/>
      <c r="N148" s="8"/>
      <c r="O148" s="13"/>
      <c r="Q148" s="21"/>
      <c r="R148" s="8"/>
      <c r="S148" s="8"/>
      <c r="T148" s="13"/>
      <c r="V148" s="21"/>
      <c r="W148" s="8"/>
      <c r="X148" s="8"/>
      <c r="Y148" s="13"/>
    </row>
    <row r="149" spans="2:25" x14ac:dyDescent="0.35">
      <c r="B149" s="22"/>
      <c r="C149" s="7"/>
      <c r="D149" s="9"/>
      <c r="E149" s="14"/>
      <c r="G149" s="22"/>
      <c r="H149" s="9"/>
      <c r="I149" s="9"/>
      <c r="J149" s="14"/>
      <c r="L149" s="22"/>
      <c r="M149" s="9"/>
      <c r="N149" s="9"/>
      <c r="O149" s="14"/>
      <c r="Q149" s="22"/>
      <c r="R149" s="9"/>
      <c r="S149" s="9"/>
      <c r="T149" s="14"/>
      <c r="V149" s="22"/>
      <c r="W149" s="9"/>
      <c r="X149" s="9"/>
      <c r="Y149" s="14"/>
    </row>
    <row r="150" spans="2:25" x14ac:dyDescent="0.35">
      <c r="B150" s="21"/>
      <c r="C150" s="6"/>
      <c r="D150" s="8"/>
      <c r="E150" s="13"/>
      <c r="G150" s="21"/>
      <c r="H150" s="8"/>
      <c r="I150" s="8"/>
      <c r="J150" s="13"/>
      <c r="L150" s="21"/>
      <c r="M150" s="8"/>
      <c r="N150" s="8"/>
      <c r="O150" s="13"/>
      <c r="Q150" s="21"/>
      <c r="R150" s="8"/>
      <c r="S150" s="8"/>
      <c r="T150" s="13"/>
      <c r="V150" s="21"/>
      <c r="W150" s="8"/>
      <c r="X150" s="8"/>
      <c r="Y150" s="13"/>
    </row>
    <row r="151" spans="2:25" x14ac:dyDescent="0.35">
      <c r="B151" s="22"/>
      <c r="C151" s="7"/>
      <c r="D151" s="9"/>
      <c r="E151" s="14"/>
      <c r="G151" s="22"/>
      <c r="H151" s="9"/>
      <c r="I151" s="9"/>
      <c r="J151" s="14"/>
      <c r="L151" s="22"/>
      <c r="M151" s="9"/>
      <c r="N151" s="9"/>
      <c r="O151" s="14"/>
      <c r="Q151" s="22"/>
      <c r="R151" s="9"/>
      <c r="S151" s="9"/>
      <c r="T151" s="14"/>
      <c r="V151" s="22"/>
      <c r="W151" s="9"/>
      <c r="X151" s="9"/>
      <c r="Y151" s="14"/>
    </row>
    <row r="152" spans="2:25" x14ac:dyDescent="0.35">
      <c r="B152" s="21"/>
      <c r="C152" s="6"/>
      <c r="D152" s="8"/>
      <c r="E152" s="13"/>
      <c r="G152" s="21"/>
      <c r="H152" s="8"/>
      <c r="I152" s="8"/>
      <c r="J152" s="13"/>
      <c r="L152" s="21"/>
      <c r="M152" s="8"/>
      <c r="N152" s="8"/>
      <c r="O152" s="13"/>
      <c r="Q152" s="21"/>
      <c r="R152" s="8"/>
      <c r="S152" s="8"/>
      <c r="T152" s="13"/>
      <c r="V152" s="21"/>
      <c r="W152" s="8"/>
      <c r="X152" s="8"/>
      <c r="Y152" s="13"/>
    </row>
    <row r="153" spans="2:25" x14ac:dyDescent="0.35">
      <c r="B153" s="22"/>
      <c r="C153" s="7"/>
      <c r="D153" s="9"/>
      <c r="E153" s="14"/>
      <c r="G153" s="22"/>
      <c r="H153" s="9"/>
      <c r="I153" s="9"/>
      <c r="J153" s="14"/>
      <c r="L153" s="22"/>
      <c r="M153" s="9"/>
      <c r="N153" s="9"/>
      <c r="O153" s="14"/>
      <c r="Q153" s="22"/>
      <c r="R153" s="9"/>
      <c r="S153" s="9"/>
      <c r="T153" s="14"/>
      <c r="V153" s="22"/>
      <c r="W153" s="9"/>
      <c r="X153" s="9"/>
      <c r="Y153" s="14"/>
    </row>
    <row r="154" spans="2:25" x14ac:dyDescent="0.35">
      <c r="B154" s="21"/>
      <c r="C154" s="6"/>
      <c r="D154" s="8"/>
      <c r="E154" s="13"/>
      <c r="G154" s="21"/>
      <c r="H154" s="8"/>
      <c r="I154" s="8"/>
      <c r="J154" s="13"/>
      <c r="L154" s="21"/>
      <c r="M154" s="8"/>
      <c r="N154" s="8"/>
      <c r="O154" s="13"/>
      <c r="Q154" s="21"/>
      <c r="R154" s="8"/>
      <c r="S154" s="8"/>
      <c r="T154" s="13"/>
      <c r="V154" s="21"/>
      <c r="W154" s="8"/>
      <c r="X154" s="8"/>
      <c r="Y154" s="13"/>
    </row>
    <row r="155" spans="2:25" x14ac:dyDescent="0.35">
      <c r="B155" s="22"/>
      <c r="C155" s="7"/>
      <c r="D155" s="9"/>
      <c r="E155" s="14"/>
      <c r="G155" s="22"/>
      <c r="H155" s="9"/>
      <c r="I155" s="9"/>
      <c r="J155" s="14"/>
      <c r="L155" s="22"/>
      <c r="M155" s="9"/>
      <c r="N155" s="9"/>
      <c r="O155" s="14"/>
      <c r="Q155" s="22"/>
      <c r="R155" s="9"/>
      <c r="S155" s="9"/>
      <c r="T155" s="14"/>
      <c r="V155" s="22"/>
      <c r="W155" s="9"/>
      <c r="X155" s="9"/>
      <c r="Y155" s="14"/>
    </row>
    <row r="156" spans="2:25" x14ac:dyDescent="0.35">
      <c r="B156" s="21"/>
      <c r="C156" s="6"/>
      <c r="D156" s="8"/>
      <c r="E156" s="13"/>
      <c r="G156" s="21"/>
      <c r="H156" s="8"/>
      <c r="I156" s="8"/>
      <c r="J156" s="13"/>
      <c r="L156" s="21"/>
      <c r="M156" s="8"/>
      <c r="N156" s="8"/>
      <c r="O156" s="13"/>
      <c r="Q156" s="21"/>
      <c r="R156" s="8"/>
      <c r="S156" s="8"/>
      <c r="T156" s="13"/>
      <c r="V156" s="21"/>
      <c r="W156" s="8"/>
      <c r="X156" s="8"/>
      <c r="Y156" s="13"/>
    </row>
    <row r="157" spans="2:25" x14ac:dyDescent="0.35">
      <c r="B157" s="22"/>
      <c r="C157" s="7"/>
      <c r="D157" s="9"/>
      <c r="E157" s="14"/>
      <c r="G157" s="22"/>
      <c r="H157" s="9"/>
      <c r="I157" s="9"/>
      <c r="J157" s="14"/>
      <c r="L157" s="22"/>
      <c r="M157" s="9"/>
      <c r="N157" s="9"/>
      <c r="O157" s="14"/>
      <c r="Q157" s="22"/>
      <c r="R157" s="9"/>
      <c r="S157" s="9"/>
      <c r="T157" s="14"/>
      <c r="V157" s="22"/>
      <c r="W157" s="9"/>
      <c r="X157" s="9"/>
      <c r="Y157" s="14"/>
    </row>
    <row r="158" spans="2:25" x14ac:dyDescent="0.35">
      <c r="B158" s="21"/>
      <c r="C158" s="6"/>
      <c r="D158" s="8"/>
      <c r="E158" s="13"/>
      <c r="G158" s="21"/>
      <c r="H158" s="8"/>
      <c r="I158" s="8"/>
      <c r="J158" s="13"/>
      <c r="L158" s="21"/>
      <c r="M158" s="8"/>
      <c r="N158" s="8"/>
      <c r="O158" s="13"/>
      <c r="Q158" s="21"/>
      <c r="R158" s="8"/>
      <c r="S158" s="8"/>
      <c r="T158" s="13"/>
      <c r="V158" s="21"/>
      <c r="W158" s="8"/>
      <c r="X158" s="8"/>
      <c r="Y158" s="13"/>
    </row>
    <row r="159" spans="2:25" x14ac:dyDescent="0.35">
      <c r="B159" s="22"/>
      <c r="C159" s="7"/>
      <c r="D159" s="9"/>
      <c r="E159" s="14"/>
      <c r="G159" s="22"/>
      <c r="H159" s="9"/>
      <c r="I159" s="9"/>
      <c r="J159" s="14"/>
      <c r="L159" s="22"/>
      <c r="M159" s="9"/>
      <c r="N159" s="9"/>
      <c r="O159" s="14"/>
      <c r="Q159" s="22"/>
      <c r="R159" s="9"/>
      <c r="S159" s="9"/>
      <c r="T159" s="14"/>
      <c r="V159" s="22"/>
      <c r="W159" s="9"/>
      <c r="X159" s="9"/>
      <c r="Y159" s="14"/>
    </row>
    <row r="160" spans="2:25" x14ac:dyDescent="0.35">
      <c r="B160" s="21"/>
      <c r="C160" s="6"/>
      <c r="D160" s="8"/>
      <c r="E160" s="13"/>
      <c r="G160" s="21"/>
      <c r="H160" s="8"/>
      <c r="I160" s="8"/>
      <c r="J160" s="13"/>
      <c r="L160" s="21"/>
      <c r="M160" s="8"/>
      <c r="N160" s="8"/>
      <c r="O160" s="13"/>
      <c r="Q160" s="21"/>
      <c r="R160" s="8"/>
      <c r="S160" s="8"/>
      <c r="T160" s="13"/>
      <c r="V160" s="21"/>
      <c r="W160" s="8"/>
      <c r="X160" s="8"/>
      <c r="Y160" s="13"/>
    </row>
    <row r="161" spans="2:25" x14ac:dyDescent="0.35">
      <c r="B161" s="22"/>
      <c r="C161" s="7"/>
      <c r="D161" s="9"/>
      <c r="E161" s="14"/>
      <c r="G161" s="22"/>
      <c r="H161" s="9"/>
      <c r="I161" s="9"/>
      <c r="J161" s="14"/>
      <c r="L161" s="22"/>
      <c r="M161" s="9"/>
      <c r="N161" s="9"/>
      <c r="O161" s="14"/>
      <c r="Q161" s="22"/>
      <c r="R161" s="9"/>
      <c r="S161" s="9"/>
      <c r="T161" s="14"/>
      <c r="V161" s="22"/>
      <c r="W161" s="9"/>
      <c r="X161" s="9"/>
      <c r="Y161" s="14"/>
    </row>
    <row r="162" spans="2:25" x14ac:dyDescent="0.35">
      <c r="B162" s="21"/>
      <c r="C162" s="6"/>
      <c r="D162" s="8"/>
      <c r="E162" s="13"/>
      <c r="G162" s="21"/>
      <c r="H162" s="8"/>
      <c r="I162" s="8"/>
      <c r="J162" s="13"/>
      <c r="L162" s="21"/>
      <c r="M162" s="8"/>
      <c r="N162" s="8"/>
      <c r="O162" s="13"/>
      <c r="Q162" s="21"/>
      <c r="R162" s="8"/>
      <c r="S162" s="8"/>
      <c r="T162" s="13"/>
      <c r="V162" s="21"/>
      <c r="W162" s="8"/>
      <c r="X162" s="8"/>
      <c r="Y162" s="13"/>
    </row>
    <row r="163" spans="2:25" x14ac:dyDescent="0.35">
      <c r="B163" s="22"/>
      <c r="C163" s="7"/>
      <c r="D163" s="9"/>
      <c r="E163" s="14"/>
      <c r="G163" s="22"/>
      <c r="H163" s="9"/>
      <c r="I163" s="9"/>
      <c r="J163" s="14"/>
      <c r="L163" s="22"/>
      <c r="M163" s="9"/>
      <c r="N163" s="9"/>
      <c r="O163" s="14"/>
      <c r="Q163" s="22"/>
      <c r="R163" s="9"/>
      <c r="S163" s="9"/>
      <c r="T163" s="14"/>
      <c r="V163" s="22"/>
      <c r="W163" s="9"/>
      <c r="X163" s="9"/>
      <c r="Y163" s="14"/>
    </row>
    <row r="164" spans="2:25" x14ac:dyDescent="0.35">
      <c r="B164" s="21"/>
      <c r="C164" s="6"/>
      <c r="D164" s="8"/>
      <c r="E164" s="13"/>
      <c r="G164" s="21"/>
      <c r="H164" s="8"/>
      <c r="I164" s="8"/>
      <c r="J164" s="13"/>
      <c r="L164" s="21"/>
      <c r="M164" s="8"/>
      <c r="N164" s="8"/>
      <c r="O164" s="13"/>
      <c r="Q164" s="21"/>
      <c r="R164" s="8"/>
      <c r="S164" s="8"/>
      <c r="T164" s="13"/>
      <c r="V164" s="21"/>
      <c r="W164" s="8"/>
      <c r="X164" s="8"/>
      <c r="Y164" s="13"/>
    </row>
    <row r="165" spans="2:25" x14ac:dyDescent="0.35">
      <c r="B165" s="22"/>
      <c r="C165" s="7"/>
      <c r="D165" s="9"/>
      <c r="E165" s="14"/>
      <c r="G165" s="22"/>
      <c r="H165" s="9"/>
      <c r="I165" s="9"/>
      <c r="J165" s="14"/>
      <c r="L165" s="22"/>
      <c r="M165" s="9"/>
      <c r="N165" s="9"/>
      <c r="O165" s="14"/>
      <c r="Q165" s="22"/>
      <c r="R165" s="9"/>
      <c r="S165" s="9"/>
      <c r="T165" s="14"/>
      <c r="V165" s="22"/>
      <c r="W165" s="9"/>
      <c r="X165" s="9"/>
      <c r="Y165" s="14"/>
    </row>
    <row r="166" spans="2:25" x14ac:dyDescent="0.35">
      <c r="B166" s="21"/>
      <c r="C166" s="6"/>
      <c r="D166" s="8"/>
      <c r="E166" s="13"/>
      <c r="G166" s="21"/>
      <c r="H166" s="8"/>
      <c r="I166" s="8"/>
      <c r="J166" s="13"/>
      <c r="L166" s="21"/>
      <c r="M166" s="8"/>
      <c r="N166" s="8"/>
      <c r="O166" s="13"/>
      <c r="Q166" s="21"/>
      <c r="R166" s="8"/>
      <c r="S166" s="8"/>
      <c r="T166" s="13"/>
      <c r="V166" s="21"/>
      <c r="W166" s="8"/>
      <c r="X166" s="8"/>
      <c r="Y166" s="13"/>
    </row>
    <row r="167" spans="2:25" x14ac:dyDescent="0.35">
      <c r="B167" s="22"/>
      <c r="C167" s="7"/>
      <c r="D167" s="9"/>
      <c r="E167" s="14"/>
      <c r="G167" s="22"/>
      <c r="H167" s="9"/>
      <c r="I167" s="9"/>
      <c r="J167" s="14"/>
      <c r="L167" s="22"/>
      <c r="M167" s="9"/>
      <c r="N167" s="9"/>
      <c r="O167" s="14"/>
      <c r="Q167" s="22"/>
      <c r="R167" s="9"/>
      <c r="S167" s="9"/>
      <c r="T167" s="14"/>
      <c r="V167" s="22"/>
      <c r="W167" s="9"/>
      <c r="X167" s="9"/>
      <c r="Y167" s="14"/>
    </row>
    <row r="168" spans="2:25" x14ac:dyDescent="0.35">
      <c r="B168" s="21"/>
      <c r="C168" s="6"/>
      <c r="D168" s="8"/>
      <c r="E168" s="13"/>
      <c r="G168" s="21"/>
      <c r="H168" s="8"/>
      <c r="I168" s="8"/>
      <c r="J168" s="13"/>
      <c r="L168" s="21"/>
      <c r="M168" s="8"/>
      <c r="N168" s="8"/>
      <c r="O168" s="13"/>
      <c r="Q168" s="21"/>
      <c r="R168" s="8"/>
      <c r="S168" s="8"/>
      <c r="T168" s="13"/>
      <c r="V168" s="21"/>
      <c r="W168" s="8"/>
      <c r="X168" s="8"/>
      <c r="Y168" s="13"/>
    </row>
    <row r="169" spans="2:25" x14ac:dyDescent="0.35">
      <c r="B169" s="22"/>
      <c r="C169" s="7"/>
      <c r="D169" s="9"/>
      <c r="E169" s="14"/>
      <c r="G169" s="22"/>
      <c r="H169" s="9"/>
      <c r="I169" s="9"/>
      <c r="J169" s="14"/>
      <c r="L169" s="22"/>
      <c r="M169" s="9"/>
      <c r="N169" s="9"/>
      <c r="O169" s="14"/>
      <c r="Q169" s="22"/>
      <c r="R169" s="9"/>
      <c r="S169" s="9"/>
      <c r="T169" s="14"/>
      <c r="V169" s="22"/>
      <c r="W169" s="9"/>
      <c r="X169" s="9"/>
      <c r="Y169" s="14"/>
    </row>
    <row r="170" spans="2:25" x14ac:dyDescent="0.35">
      <c r="B170" s="21"/>
      <c r="C170" s="6"/>
      <c r="D170" s="8"/>
      <c r="E170" s="13"/>
      <c r="G170" s="21"/>
      <c r="H170" s="8"/>
      <c r="I170" s="8"/>
      <c r="J170" s="13"/>
      <c r="L170" s="21"/>
      <c r="M170" s="8"/>
      <c r="N170" s="8"/>
      <c r="O170" s="13"/>
      <c r="Q170" s="21"/>
      <c r="R170" s="8"/>
      <c r="S170" s="8"/>
      <c r="T170" s="13"/>
      <c r="V170" s="21"/>
      <c r="W170" s="8"/>
      <c r="X170" s="8"/>
      <c r="Y170" s="13"/>
    </row>
    <row r="171" spans="2:25" x14ac:dyDescent="0.35">
      <c r="B171" s="22"/>
      <c r="C171" s="7"/>
      <c r="D171" s="9"/>
      <c r="E171" s="14"/>
      <c r="G171" s="22"/>
      <c r="H171" s="9"/>
      <c r="I171" s="9"/>
      <c r="J171" s="14"/>
      <c r="L171" s="22"/>
      <c r="M171" s="9"/>
      <c r="N171" s="9"/>
      <c r="O171" s="14"/>
      <c r="Q171" s="22"/>
      <c r="R171" s="9"/>
      <c r="S171" s="9"/>
      <c r="T171" s="14"/>
      <c r="V171" s="22"/>
      <c r="W171" s="9"/>
      <c r="X171" s="9"/>
      <c r="Y171" s="14"/>
    </row>
    <row r="172" spans="2:25" x14ac:dyDescent="0.35">
      <c r="B172" s="21"/>
      <c r="C172" s="6"/>
      <c r="D172" s="8"/>
      <c r="E172" s="13"/>
      <c r="G172" s="21"/>
      <c r="H172" s="8"/>
      <c r="I172" s="8"/>
      <c r="J172" s="13"/>
      <c r="L172" s="21"/>
      <c r="M172" s="8"/>
      <c r="N172" s="8"/>
      <c r="O172" s="13"/>
      <c r="Q172" s="21"/>
      <c r="R172" s="8"/>
      <c r="S172" s="8"/>
      <c r="T172" s="13"/>
      <c r="V172" s="21"/>
      <c r="W172" s="8"/>
      <c r="X172" s="8"/>
      <c r="Y172" s="13"/>
    </row>
    <row r="173" spans="2:25" x14ac:dyDescent="0.35">
      <c r="B173" s="22"/>
      <c r="C173" s="7"/>
      <c r="D173" s="9"/>
      <c r="E173" s="14"/>
      <c r="G173" s="22"/>
      <c r="H173" s="9"/>
      <c r="I173" s="9"/>
      <c r="J173" s="14"/>
      <c r="L173" s="22"/>
      <c r="M173" s="9"/>
      <c r="N173" s="9"/>
      <c r="O173" s="14"/>
      <c r="Q173" s="22"/>
      <c r="R173" s="9"/>
      <c r="S173" s="9"/>
      <c r="T173" s="14"/>
      <c r="V173" s="22"/>
      <c r="W173" s="9"/>
      <c r="X173" s="9"/>
      <c r="Y173" s="14"/>
    </row>
    <row r="174" spans="2:25" x14ac:dyDescent="0.35">
      <c r="B174" s="21"/>
      <c r="C174" s="6"/>
      <c r="D174" s="8"/>
      <c r="E174" s="13"/>
      <c r="G174" s="21"/>
      <c r="H174" s="8"/>
      <c r="I174" s="8"/>
      <c r="J174" s="13"/>
      <c r="L174" s="21"/>
      <c r="M174" s="8"/>
      <c r="N174" s="8"/>
      <c r="O174" s="13"/>
      <c r="Q174" s="21"/>
      <c r="R174" s="8"/>
      <c r="S174" s="8"/>
      <c r="T174" s="13"/>
      <c r="V174" s="21"/>
      <c r="W174" s="8"/>
      <c r="X174" s="8"/>
      <c r="Y174" s="13"/>
    </row>
    <row r="175" spans="2:25" x14ac:dyDescent="0.35">
      <c r="B175" s="22"/>
      <c r="C175" s="7"/>
      <c r="D175" s="9"/>
      <c r="E175" s="14"/>
      <c r="G175" s="22"/>
      <c r="H175" s="9"/>
      <c r="I175" s="9"/>
      <c r="J175" s="14"/>
      <c r="L175" s="22"/>
      <c r="M175" s="9"/>
      <c r="N175" s="9"/>
      <c r="O175" s="14"/>
      <c r="Q175" s="22"/>
      <c r="R175" s="9"/>
      <c r="S175" s="9"/>
      <c r="T175" s="14"/>
      <c r="V175" s="22"/>
      <c r="W175" s="9"/>
      <c r="X175" s="9"/>
      <c r="Y175" s="14"/>
    </row>
    <row r="176" spans="2:25" x14ac:dyDescent="0.35">
      <c r="B176" s="21"/>
      <c r="C176" s="6"/>
      <c r="D176" s="8"/>
      <c r="E176" s="13"/>
      <c r="G176" s="21"/>
      <c r="H176" s="8"/>
      <c r="I176" s="8"/>
      <c r="J176" s="13"/>
      <c r="L176" s="21"/>
      <c r="M176" s="8"/>
      <c r="N176" s="8"/>
      <c r="O176" s="13"/>
      <c r="Q176" s="21"/>
      <c r="R176" s="8"/>
      <c r="S176" s="8"/>
      <c r="T176" s="13"/>
      <c r="V176" s="21"/>
      <c r="W176" s="8"/>
      <c r="X176" s="8"/>
      <c r="Y176" s="13"/>
    </row>
    <row r="177" spans="2:25" x14ac:dyDescent="0.35">
      <c r="B177" s="22"/>
      <c r="C177" s="7"/>
      <c r="D177" s="9"/>
      <c r="E177" s="14"/>
      <c r="G177" s="22"/>
      <c r="H177" s="9"/>
      <c r="I177" s="9"/>
      <c r="J177" s="14"/>
      <c r="L177" s="22"/>
      <c r="M177" s="9"/>
      <c r="N177" s="9"/>
      <c r="O177" s="14"/>
      <c r="Q177" s="22"/>
      <c r="R177" s="9"/>
      <c r="S177" s="9"/>
      <c r="T177" s="14"/>
      <c r="V177" s="22"/>
      <c r="W177" s="9"/>
      <c r="X177" s="9"/>
      <c r="Y177" s="14"/>
    </row>
    <row r="178" spans="2:25" x14ac:dyDescent="0.35">
      <c r="B178" s="21"/>
      <c r="C178" s="6"/>
      <c r="D178" s="8"/>
      <c r="E178" s="13"/>
      <c r="G178" s="21"/>
      <c r="H178" s="8"/>
      <c r="I178" s="8"/>
      <c r="J178" s="13"/>
      <c r="L178" s="21"/>
      <c r="M178" s="8"/>
      <c r="N178" s="8"/>
      <c r="O178" s="13"/>
      <c r="Q178" s="21"/>
      <c r="R178" s="8"/>
      <c r="S178" s="8"/>
      <c r="T178" s="13"/>
      <c r="V178" s="21"/>
      <c r="W178" s="8"/>
      <c r="X178" s="8"/>
      <c r="Y178" s="13"/>
    </row>
    <row r="179" spans="2:25" x14ac:dyDescent="0.35">
      <c r="B179" s="22"/>
      <c r="C179" s="7"/>
      <c r="D179" s="9"/>
      <c r="E179" s="14"/>
      <c r="G179" s="22"/>
      <c r="H179" s="9"/>
      <c r="I179" s="9"/>
      <c r="J179" s="14"/>
      <c r="L179" s="22"/>
      <c r="M179" s="9"/>
      <c r="N179" s="9"/>
      <c r="O179" s="14"/>
      <c r="Q179" s="22"/>
      <c r="R179" s="9"/>
      <c r="S179" s="9"/>
      <c r="T179" s="14"/>
      <c r="V179" s="22"/>
      <c r="W179" s="9"/>
      <c r="X179" s="9"/>
      <c r="Y179" s="14"/>
    </row>
    <row r="180" spans="2:25" x14ac:dyDescent="0.35">
      <c r="B180" s="21"/>
      <c r="C180" s="6"/>
      <c r="D180" s="8"/>
      <c r="E180" s="13"/>
      <c r="G180" s="21"/>
      <c r="H180" s="8"/>
      <c r="I180" s="8"/>
      <c r="J180" s="13"/>
      <c r="L180" s="21"/>
      <c r="M180" s="8"/>
      <c r="N180" s="8"/>
      <c r="O180" s="13"/>
      <c r="Q180" s="21"/>
      <c r="R180" s="8"/>
      <c r="S180" s="8"/>
      <c r="T180" s="13"/>
      <c r="V180" s="21"/>
      <c r="W180" s="8"/>
      <c r="X180" s="8"/>
      <c r="Y180" s="13"/>
    </row>
    <row r="181" spans="2:25" x14ac:dyDescent="0.35">
      <c r="B181" s="22"/>
      <c r="C181" s="7"/>
      <c r="D181" s="9"/>
      <c r="E181" s="14"/>
      <c r="G181" s="22"/>
      <c r="H181" s="9"/>
      <c r="I181" s="9"/>
      <c r="J181" s="14"/>
      <c r="L181" s="22"/>
      <c r="M181" s="9"/>
      <c r="N181" s="9"/>
      <c r="O181" s="14"/>
      <c r="Q181" s="22"/>
      <c r="R181" s="9"/>
      <c r="S181" s="9"/>
      <c r="T181" s="14"/>
      <c r="V181" s="22"/>
      <c r="W181" s="9"/>
      <c r="X181" s="9"/>
      <c r="Y181" s="14"/>
    </row>
    <row r="182" spans="2:25" x14ac:dyDescent="0.35">
      <c r="B182" s="21"/>
      <c r="C182" s="6"/>
      <c r="D182" s="8"/>
      <c r="E182" s="13"/>
      <c r="G182" s="21"/>
      <c r="H182" s="8"/>
      <c r="I182" s="8"/>
      <c r="J182" s="13"/>
      <c r="L182" s="21"/>
      <c r="M182" s="8"/>
      <c r="N182" s="8"/>
      <c r="O182" s="13"/>
      <c r="Q182" s="21"/>
      <c r="R182" s="8"/>
      <c r="S182" s="8"/>
      <c r="T182" s="13"/>
      <c r="V182" s="21"/>
      <c r="W182" s="8"/>
      <c r="X182" s="8"/>
      <c r="Y182" s="13"/>
    </row>
    <row r="183" spans="2:25" x14ac:dyDescent="0.35">
      <c r="B183" s="22"/>
      <c r="C183" s="7"/>
      <c r="D183" s="9"/>
      <c r="E183" s="14"/>
      <c r="G183" s="22"/>
      <c r="H183" s="9"/>
      <c r="I183" s="9"/>
      <c r="J183" s="14"/>
      <c r="L183" s="22"/>
      <c r="M183" s="9"/>
      <c r="N183" s="9"/>
      <c r="O183" s="14"/>
      <c r="Q183" s="22"/>
      <c r="R183" s="9"/>
      <c r="S183" s="9"/>
      <c r="T183" s="14"/>
      <c r="V183" s="22"/>
      <c r="W183" s="9"/>
      <c r="X183" s="9"/>
      <c r="Y183" s="14"/>
    </row>
    <row r="184" spans="2:25" x14ac:dyDescent="0.35">
      <c r="B184" s="21"/>
      <c r="C184" s="6"/>
      <c r="D184" s="8"/>
      <c r="E184" s="13"/>
      <c r="G184" s="21"/>
      <c r="H184" s="8"/>
      <c r="I184" s="8"/>
      <c r="J184" s="13"/>
      <c r="L184" s="21"/>
      <c r="M184" s="8"/>
      <c r="N184" s="8"/>
      <c r="O184" s="13"/>
      <c r="Q184" s="21"/>
      <c r="R184" s="8"/>
      <c r="S184" s="8"/>
      <c r="T184" s="13"/>
      <c r="V184" s="21"/>
      <c r="W184" s="8"/>
      <c r="X184" s="8"/>
      <c r="Y184" s="13"/>
    </row>
    <row r="185" spans="2:25" x14ac:dyDescent="0.35">
      <c r="B185" s="22"/>
      <c r="C185" s="7"/>
      <c r="D185" s="9"/>
      <c r="E185" s="14"/>
      <c r="G185" s="22"/>
      <c r="H185" s="9"/>
      <c r="I185" s="9"/>
      <c r="J185" s="14"/>
      <c r="L185" s="22"/>
      <c r="M185" s="9"/>
      <c r="N185" s="9"/>
      <c r="O185" s="14"/>
      <c r="Q185" s="22"/>
      <c r="R185" s="9"/>
      <c r="S185" s="9"/>
      <c r="T185" s="14"/>
      <c r="V185" s="22"/>
      <c r="W185" s="9"/>
      <c r="X185" s="9"/>
      <c r="Y185" s="14"/>
    </row>
    <row r="186" spans="2:25" x14ac:dyDescent="0.35">
      <c r="B186" s="21"/>
      <c r="C186" s="6"/>
      <c r="D186" s="8"/>
      <c r="E186" s="13"/>
      <c r="G186" s="21"/>
      <c r="H186" s="8"/>
      <c r="I186" s="8"/>
      <c r="J186" s="13"/>
      <c r="L186" s="21"/>
      <c r="M186" s="8"/>
      <c r="N186" s="8"/>
      <c r="O186" s="13"/>
      <c r="Q186" s="21"/>
      <c r="R186" s="8"/>
      <c r="S186" s="8"/>
      <c r="T186" s="13"/>
      <c r="V186" s="21"/>
      <c r="W186" s="8"/>
      <c r="X186" s="8"/>
      <c r="Y186" s="13"/>
    </row>
    <row r="187" spans="2:25" x14ac:dyDescent="0.35">
      <c r="B187" s="22"/>
      <c r="C187" s="7"/>
      <c r="D187" s="9"/>
      <c r="E187" s="14"/>
      <c r="G187" s="22"/>
      <c r="H187" s="9"/>
      <c r="I187" s="9"/>
      <c r="J187" s="14"/>
      <c r="L187" s="22"/>
      <c r="M187" s="9"/>
      <c r="N187" s="9"/>
      <c r="O187" s="14"/>
      <c r="Q187" s="22"/>
      <c r="R187" s="9"/>
      <c r="S187" s="9"/>
      <c r="T187" s="14"/>
      <c r="V187" s="22"/>
      <c r="W187" s="9"/>
      <c r="X187" s="9"/>
      <c r="Y187" s="14"/>
    </row>
    <row r="188" spans="2:25" x14ac:dyDescent="0.35">
      <c r="B188" s="21"/>
      <c r="C188" s="6"/>
      <c r="D188" s="8"/>
      <c r="E188" s="13"/>
      <c r="G188" s="21"/>
      <c r="H188" s="8"/>
      <c r="I188" s="8"/>
      <c r="J188" s="13"/>
      <c r="L188" s="21"/>
      <c r="M188" s="8"/>
      <c r="N188" s="8"/>
      <c r="O188" s="13"/>
      <c r="Q188" s="21"/>
      <c r="R188" s="8"/>
      <c r="S188" s="8"/>
      <c r="T188" s="13"/>
      <c r="V188" s="21"/>
      <c r="W188" s="8"/>
      <c r="X188" s="8"/>
      <c r="Y188" s="13"/>
    </row>
    <row r="189" spans="2:25" x14ac:dyDescent="0.35">
      <c r="B189" s="22"/>
      <c r="C189" s="7"/>
      <c r="D189" s="9"/>
      <c r="E189" s="14"/>
      <c r="G189" s="22"/>
      <c r="H189" s="9"/>
      <c r="I189" s="9"/>
      <c r="J189" s="14"/>
      <c r="L189" s="22"/>
      <c r="M189" s="9"/>
      <c r="N189" s="9"/>
      <c r="O189" s="14"/>
      <c r="Q189" s="22"/>
      <c r="R189" s="9"/>
      <c r="S189" s="9"/>
      <c r="T189" s="14"/>
      <c r="V189" s="22"/>
      <c r="W189" s="9"/>
      <c r="X189" s="9"/>
      <c r="Y189" s="14"/>
    </row>
    <row r="190" spans="2:25" x14ac:dyDescent="0.35">
      <c r="B190" s="21"/>
      <c r="C190" s="6"/>
      <c r="D190" s="8"/>
      <c r="E190" s="13"/>
      <c r="G190" s="21"/>
      <c r="H190" s="8"/>
      <c r="I190" s="8"/>
      <c r="J190" s="13"/>
      <c r="L190" s="21"/>
      <c r="M190" s="8"/>
      <c r="N190" s="8"/>
      <c r="O190" s="13"/>
      <c r="Q190" s="21"/>
      <c r="R190" s="8"/>
      <c r="S190" s="8"/>
      <c r="T190" s="13"/>
      <c r="V190" s="21"/>
      <c r="W190" s="8"/>
      <c r="X190" s="8"/>
      <c r="Y190" s="13"/>
    </row>
    <row r="191" spans="2:25" x14ac:dyDescent="0.35">
      <c r="B191" s="22"/>
      <c r="C191" s="7"/>
      <c r="D191" s="9"/>
      <c r="E191" s="14"/>
      <c r="G191" s="22"/>
      <c r="H191" s="9"/>
      <c r="I191" s="9"/>
      <c r="J191" s="14"/>
      <c r="L191" s="22"/>
      <c r="M191" s="9"/>
      <c r="N191" s="9"/>
      <c r="O191" s="14"/>
      <c r="Q191" s="22"/>
      <c r="R191" s="9"/>
      <c r="S191" s="9"/>
      <c r="T191" s="14"/>
      <c r="V191" s="22"/>
      <c r="W191" s="9"/>
      <c r="X191" s="9"/>
      <c r="Y191" s="14"/>
    </row>
    <row r="192" spans="2:25" x14ac:dyDescent="0.35">
      <c r="B192" s="21"/>
      <c r="C192" s="6"/>
      <c r="D192" s="8"/>
      <c r="E192" s="13"/>
      <c r="G192" s="21"/>
      <c r="H192" s="8"/>
      <c r="I192" s="8"/>
      <c r="J192" s="13"/>
      <c r="L192" s="21"/>
      <c r="M192" s="8"/>
      <c r="N192" s="8"/>
      <c r="O192" s="13"/>
      <c r="Q192" s="21"/>
      <c r="R192" s="8"/>
      <c r="S192" s="8"/>
      <c r="T192" s="13"/>
      <c r="V192" s="21"/>
      <c r="W192" s="8"/>
      <c r="X192" s="8"/>
      <c r="Y192" s="13"/>
    </row>
    <row r="193" spans="2:25" x14ac:dyDescent="0.35">
      <c r="B193" s="22"/>
      <c r="C193" s="7"/>
      <c r="D193" s="9"/>
      <c r="E193" s="14"/>
      <c r="G193" s="22"/>
      <c r="H193" s="9"/>
      <c r="I193" s="9"/>
      <c r="J193" s="14"/>
      <c r="L193" s="22"/>
      <c r="M193" s="9"/>
      <c r="N193" s="9"/>
      <c r="O193" s="14"/>
      <c r="Q193" s="22"/>
      <c r="R193" s="9"/>
      <c r="S193" s="9"/>
      <c r="T193" s="14"/>
      <c r="V193" s="22"/>
      <c r="W193" s="9"/>
      <c r="X193" s="9"/>
      <c r="Y193" s="14"/>
    </row>
    <row r="194" spans="2:25" x14ac:dyDescent="0.35">
      <c r="B194" s="21"/>
      <c r="C194" s="6"/>
      <c r="D194" s="8"/>
      <c r="E194" s="13"/>
      <c r="G194" s="21"/>
      <c r="H194" s="8"/>
      <c r="I194" s="8"/>
      <c r="J194" s="13"/>
      <c r="L194" s="21"/>
      <c r="M194" s="8"/>
      <c r="N194" s="8"/>
      <c r="O194" s="13"/>
      <c r="Q194" s="21"/>
      <c r="R194" s="8"/>
      <c r="S194" s="8"/>
      <c r="T194" s="13"/>
      <c r="V194" s="21"/>
      <c r="W194" s="8"/>
      <c r="X194" s="8"/>
      <c r="Y194" s="13"/>
    </row>
    <row r="195" spans="2:25" x14ac:dyDescent="0.35">
      <c r="B195" s="22"/>
      <c r="C195" s="7"/>
      <c r="D195" s="9"/>
      <c r="E195" s="14"/>
      <c r="G195" s="22"/>
      <c r="H195" s="9"/>
      <c r="I195" s="9"/>
      <c r="J195" s="14"/>
      <c r="L195" s="22"/>
      <c r="M195" s="9"/>
      <c r="N195" s="9"/>
      <c r="O195" s="14"/>
      <c r="Q195" s="22"/>
      <c r="R195" s="9"/>
      <c r="S195" s="9"/>
      <c r="T195" s="14"/>
      <c r="V195" s="22"/>
      <c r="W195" s="9"/>
      <c r="X195" s="9"/>
      <c r="Y195" s="14"/>
    </row>
    <row r="196" spans="2:25" x14ac:dyDescent="0.35">
      <c r="B196" s="21"/>
      <c r="C196" s="6"/>
      <c r="D196" s="8"/>
      <c r="E196" s="13"/>
      <c r="G196" s="21"/>
      <c r="H196" s="8"/>
      <c r="I196" s="8"/>
      <c r="J196" s="13"/>
      <c r="L196" s="21"/>
      <c r="M196" s="8"/>
      <c r="N196" s="8"/>
      <c r="O196" s="13"/>
      <c r="Q196" s="21"/>
      <c r="R196" s="8"/>
      <c r="S196" s="8"/>
      <c r="T196" s="13"/>
      <c r="V196" s="21"/>
      <c r="W196" s="8"/>
      <c r="X196" s="8"/>
      <c r="Y196" s="13"/>
    </row>
    <row r="197" spans="2:25" x14ac:dyDescent="0.35">
      <c r="B197" s="22"/>
      <c r="C197" s="7"/>
      <c r="D197" s="9"/>
      <c r="E197" s="14"/>
      <c r="G197" s="22"/>
      <c r="H197" s="9"/>
      <c r="I197" s="9"/>
      <c r="J197" s="14"/>
      <c r="L197" s="22"/>
      <c r="M197" s="9"/>
      <c r="N197" s="9"/>
      <c r="O197" s="14"/>
      <c r="Q197" s="22"/>
      <c r="R197" s="9"/>
      <c r="S197" s="9"/>
      <c r="T197" s="14"/>
      <c r="V197" s="22"/>
      <c r="W197" s="9"/>
      <c r="X197" s="9"/>
      <c r="Y197" s="14"/>
    </row>
    <row r="198" spans="2:25" x14ac:dyDescent="0.35">
      <c r="B198" s="21"/>
      <c r="C198" s="6"/>
      <c r="D198" s="8"/>
      <c r="E198" s="13"/>
      <c r="G198" s="21"/>
      <c r="H198" s="8"/>
      <c r="I198" s="8"/>
      <c r="J198" s="13"/>
      <c r="L198" s="21"/>
      <c r="M198" s="8"/>
      <c r="N198" s="8"/>
      <c r="O198" s="13"/>
      <c r="Q198" s="21"/>
      <c r="R198" s="8"/>
      <c r="S198" s="8"/>
      <c r="T198" s="13"/>
      <c r="V198" s="21"/>
      <c r="W198" s="8"/>
      <c r="X198" s="8"/>
      <c r="Y198" s="13"/>
    </row>
    <row r="199" spans="2:25" x14ac:dyDescent="0.35">
      <c r="B199" s="22"/>
      <c r="C199" s="7"/>
      <c r="D199" s="9"/>
      <c r="E199" s="14"/>
      <c r="G199" s="22"/>
      <c r="H199" s="9"/>
      <c r="I199" s="9"/>
      <c r="J199" s="14"/>
      <c r="L199" s="22"/>
      <c r="M199" s="9"/>
      <c r="N199" s="9"/>
      <c r="O199" s="14"/>
      <c r="Q199" s="22"/>
      <c r="R199" s="9"/>
      <c r="S199" s="9"/>
      <c r="T199" s="14"/>
      <c r="V199" s="22"/>
      <c r="W199" s="9"/>
      <c r="X199" s="9"/>
      <c r="Y199" s="14"/>
    </row>
    <row r="200" spans="2:25" x14ac:dyDescent="0.35">
      <c r="B200" s="23"/>
      <c r="C200" s="18"/>
      <c r="D200" s="18"/>
      <c r="E200" s="19"/>
      <c r="G200" s="23"/>
      <c r="H200" s="18"/>
      <c r="I200" s="18"/>
      <c r="J200" s="19"/>
      <c r="L200" s="23"/>
      <c r="M200" s="18"/>
      <c r="N200" s="18"/>
      <c r="O200" s="19"/>
      <c r="Q200" s="23"/>
      <c r="R200" s="18"/>
      <c r="S200" s="18"/>
      <c r="T200" s="19"/>
      <c r="V200" s="23"/>
      <c r="W200" s="18"/>
      <c r="X200" s="18"/>
      <c r="Y200" s="19"/>
    </row>
    <row r="1048576" ht="1.5" customHeight="1" x14ac:dyDescent="0.35"/>
  </sheetData>
  <mergeCells count="5">
    <mergeCell ref="V1:Y1"/>
    <mergeCell ref="Q1:T1"/>
    <mergeCell ref="L1:O1"/>
    <mergeCell ref="G1:J1"/>
    <mergeCell ref="B1:E1"/>
  </mergeCells>
  <phoneticPr fontId="6" type="noConversion"/>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topLeftCell="A28" zoomScale="85" zoomScaleNormal="85" workbookViewId="0">
      <selection activeCell="G41" sqref="G41"/>
    </sheetView>
  </sheetViews>
  <sheetFormatPr defaultColWidth="0" defaultRowHeight="14" x14ac:dyDescent="0.3"/>
  <cols>
    <col min="1" max="1" width="2.81640625" style="61" customWidth="1"/>
    <col min="2" max="2" width="20" style="71" customWidth="1"/>
    <col min="3" max="3" width="27.36328125" style="72" customWidth="1"/>
    <col min="4" max="4" width="2.81640625" style="61" customWidth="1"/>
    <col min="5" max="5" width="20" style="71" customWidth="1"/>
    <col min="6" max="6" width="27.36328125" style="72" customWidth="1"/>
    <col min="7" max="7" width="128.1796875" style="61" customWidth="1"/>
    <col min="8" max="16384" width="8.7265625" style="29" hidden="1"/>
  </cols>
  <sheetData>
    <row r="1" spans="2:7" ht="30" x14ac:dyDescent="0.3">
      <c r="B1" s="128" t="s">
        <v>564</v>
      </c>
      <c r="C1" s="128"/>
      <c r="E1" s="128" t="s">
        <v>575</v>
      </c>
      <c r="F1" s="128"/>
    </row>
    <row r="2" spans="2:7" ht="14.5" thickBot="1" x14ac:dyDescent="0.35">
      <c r="B2" s="107" t="s">
        <v>2</v>
      </c>
      <c r="C2" s="109"/>
      <c r="E2" s="107" t="s">
        <v>2</v>
      </c>
      <c r="F2" s="109"/>
    </row>
    <row r="3" spans="2:7" x14ac:dyDescent="0.3">
      <c r="B3" s="62" t="s">
        <v>565</v>
      </c>
      <c r="C3" s="38" t="s">
        <v>579</v>
      </c>
      <c r="E3" s="39" t="s">
        <v>11</v>
      </c>
      <c r="F3" s="40" t="s">
        <v>571</v>
      </c>
    </row>
    <row r="4" spans="2:7" x14ac:dyDescent="0.3">
      <c r="B4" s="43" t="s">
        <v>566</v>
      </c>
      <c r="C4" s="42" t="s">
        <v>580</v>
      </c>
      <c r="E4" s="43" t="s">
        <v>568</v>
      </c>
      <c r="F4" s="42" t="s">
        <v>572</v>
      </c>
      <c r="G4" s="190" t="s">
        <v>586</v>
      </c>
    </row>
    <row r="5" spans="2:7" x14ac:dyDescent="0.3">
      <c r="B5" s="39" t="s">
        <v>11</v>
      </c>
      <c r="C5" s="40" t="s">
        <v>581</v>
      </c>
      <c r="E5" s="39" t="s">
        <v>569</v>
      </c>
      <c r="F5" s="46" t="s">
        <v>573</v>
      </c>
      <c r="G5" s="190"/>
    </row>
    <row r="6" spans="2:7" x14ac:dyDescent="0.3">
      <c r="B6" s="43" t="s">
        <v>576</v>
      </c>
      <c r="C6" s="42" t="s">
        <v>582</v>
      </c>
      <c r="E6" s="43" t="s">
        <v>570</v>
      </c>
      <c r="F6" s="49">
        <v>1883</v>
      </c>
      <c r="G6" s="190"/>
    </row>
    <row r="7" spans="2:7" ht="14.5" customHeight="1" x14ac:dyDescent="0.3">
      <c r="B7" s="133" t="s">
        <v>577</v>
      </c>
      <c r="C7" s="131"/>
      <c r="E7" s="133" t="s">
        <v>577</v>
      </c>
      <c r="F7" s="131" t="s">
        <v>578</v>
      </c>
      <c r="G7" s="190"/>
    </row>
    <row r="8" spans="2:7" ht="14.5" customHeight="1" x14ac:dyDescent="0.3">
      <c r="B8" s="133"/>
      <c r="C8" s="131"/>
      <c r="E8" s="133"/>
      <c r="F8" s="131"/>
    </row>
    <row r="9" spans="2:7" x14ac:dyDescent="0.3">
      <c r="B9" s="133"/>
      <c r="C9" s="131"/>
      <c r="E9" s="133"/>
      <c r="F9" s="131"/>
    </row>
    <row r="10" spans="2:7" x14ac:dyDescent="0.3">
      <c r="B10" s="134"/>
      <c r="C10" s="132"/>
      <c r="E10" s="134"/>
      <c r="F10" s="132"/>
    </row>
    <row r="11" spans="2:7" x14ac:dyDescent="0.3">
      <c r="B11" s="63"/>
      <c r="C11" s="64"/>
      <c r="E11" s="63"/>
      <c r="F11" s="64"/>
    </row>
    <row r="12" spans="2:7" ht="14.5" thickBot="1" x14ac:dyDescent="0.35">
      <c r="B12" s="123" t="s">
        <v>567</v>
      </c>
      <c r="C12" s="116"/>
      <c r="E12" s="123" t="s">
        <v>567</v>
      </c>
      <c r="F12" s="116"/>
    </row>
    <row r="13" spans="2:7" ht="14.5" customHeight="1" x14ac:dyDescent="0.3">
      <c r="B13" s="124" t="s">
        <v>584</v>
      </c>
      <c r="C13" s="118"/>
      <c r="E13" s="124" t="s">
        <v>574</v>
      </c>
      <c r="F13" s="118"/>
    </row>
    <row r="14" spans="2:7" x14ac:dyDescent="0.3">
      <c r="B14" s="125"/>
      <c r="C14" s="120"/>
      <c r="E14" s="125"/>
      <c r="F14" s="120"/>
    </row>
    <row r="15" spans="2:7" x14ac:dyDescent="0.3">
      <c r="B15" s="125"/>
      <c r="C15" s="120"/>
      <c r="E15" s="125"/>
      <c r="F15" s="120"/>
    </row>
    <row r="16" spans="2:7" x14ac:dyDescent="0.3">
      <c r="B16" s="125"/>
      <c r="C16" s="120"/>
      <c r="E16" s="125"/>
      <c r="F16" s="120"/>
    </row>
    <row r="17" spans="2:6" x14ac:dyDescent="0.3">
      <c r="B17" s="125"/>
      <c r="C17" s="120"/>
      <c r="E17" s="125"/>
      <c r="F17" s="120"/>
    </row>
    <row r="18" spans="2:6" x14ac:dyDescent="0.3">
      <c r="B18" s="125"/>
      <c r="C18" s="120"/>
      <c r="E18" s="125"/>
      <c r="F18" s="120"/>
    </row>
    <row r="19" spans="2:6" x14ac:dyDescent="0.3">
      <c r="B19" s="125"/>
      <c r="C19" s="120"/>
      <c r="E19" s="125"/>
      <c r="F19" s="120"/>
    </row>
    <row r="20" spans="2:6" x14ac:dyDescent="0.3">
      <c r="B20" s="125"/>
      <c r="C20" s="120"/>
      <c r="E20" s="125"/>
      <c r="F20" s="120"/>
    </row>
    <row r="21" spans="2:6" x14ac:dyDescent="0.3">
      <c r="B21" s="125"/>
      <c r="C21" s="120"/>
      <c r="E21" s="125"/>
      <c r="F21" s="120"/>
    </row>
    <row r="22" spans="2:6" x14ac:dyDescent="0.3">
      <c r="B22" s="125"/>
      <c r="C22" s="120"/>
      <c r="E22" s="125"/>
      <c r="F22" s="120"/>
    </row>
    <row r="23" spans="2:6" x14ac:dyDescent="0.3">
      <c r="B23" s="125"/>
      <c r="C23" s="120"/>
      <c r="E23" s="125"/>
      <c r="F23" s="120"/>
    </row>
    <row r="24" spans="2:6" x14ac:dyDescent="0.3">
      <c r="B24" s="125"/>
      <c r="C24" s="120"/>
      <c r="E24" s="125"/>
      <c r="F24" s="120"/>
    </row>
    <row r="25" spans="2:6" x14ac:dyDescent="0.3">
      <c r="B25" s="125"/>
      <c r="C25" s="120"/>
      <c r="E25" s="125"/>
      <c r="F25" s="120"/>
    </row>
    <row r="26" spans="2:6" x14ac:dyDescent="0.3">
      <c r="B26" s="125"/>
      <c r="C26" s="120"/>
      <c r="E26" s="125"/>
      <c r="F26" s="120"/>
    </row>
    <row r="27" spans="2:6" x14ac:dyDescent="0.3">
      <c r="B27" s="125"/>
      <c r="C27" s="120"/>
      <c r="E27" s="125"/>
      <c r="F27" s="120"/>
    </row>
    <row r="28" spans="2:6" x14ac:dyDescent="0.3">
      <c r="B28" s="125"/>
      <c r="C28" s="120"/>
      <c r="E28" s="125"/>
      <c r="F28" s="120"/>
    </row>
    <row r="29" spans="2:6" x14ac:dyDescent="0.3">
      <c r="B29" s="125"/>
      <c r="C29" s="120"/>
      <c r="E29" s="125"/>
      <c r="F29" s="120"/>
    </row>
    <row r="30" spans="2:6" x14ac:dyDescent="0.3">
      <c r="B30" s="125"/>
      <c r="C30" s="120"/>
      <c r="E30" s="125"/>
      <c r="F30" s="120"/>
    </row>
    <row r="31" spans="2:6" x14ac:dyDescent="0.3">
      <c r="B31" s="125"/>
      <c r="C31" s="120"/>
      <c r="E31" s="125"/>
      <c r="F31" s="120"/>
    </row>
    <row r="32" spans="2:6" x14ac:dyDescent="0.3">
      <c r="B32" s="126"/>
      <c r="C32" s="122"/>
      <c r="E32" s="126"/>
      <c r="F32" s="122"/>
    </row>
    <row r="33" spans="2:6" x14ac:dyDescent="0.3">
      <c r="B33" s="61"/>
      <c r="C33" s="61"/>
      <c r="E33" s="61"/>
      <c r="F33" s="61"/>
    </row>
    <row r="34" spans="2:6" ht="30" x14ac:dyDescent="0.3">
      <c r="B34" s="128" t="s">
        <v>583</v>
      </c>
      <c r="C34" s="128"/>
      <c r="E34" s="128" t="s">
        <v>575</v>
      </c>
      <c r="F34" s="128"/>
    </row>
    <row r="35" spans="2:6" ht="14.5" thickBot="1" x14ac:dyDescent="0.35">
      <c r="B35" s="107" t="s">
        <v>2</v>
      </c>
      <c r="C35" s="109"/>
      <c r="E35" s="107" t="s">
        <v>2</v>
      </c>
      <c r="F35" s="109"/>
    </row>
    <row r="36" spans="2:6" x14ac:dyDescent="0.3">
      <c r="B36" s="62" t="s">
        <v>565</v>
      </c>
      <c r="C36" s="38"/>
      <c r="E36" s="39" t="s">
        <v>11</v>
      </c>
      <c r="F36" s="40"/>
    </row>
    <row r="37" spans="2:6" x14ac:dyDescent="0.3">
      <c r="B37" s="43" t="s">
        <v>566</v>
      </c>
      <c r="C37" s="42"/>
      <c r="E37" s="43" t="s">
        <v>568</v>
      </c>
      <c r="F37" s="42"/>
    </row>
    <row r="38" spans="2:6" x14ac:dyDescent="0.3">
      <c r="B38" s="39" t="s">
        <v>11</v>
      </c>
      <c r="C38" s="40"/>
      <c r="E38" s="39" t="s">
        <v>569</v>
      </c>
      <c r="F38" s="46"/>
    </row>
    <row r="39" spans="2:6" x14ac:dyDescent="0.3">
      <c r="B39" s="43" t="s">
        <v>576</v>
      </c>
      <c r="C39" s="42"/>
      <c r="E39" s="43" t="s">
        <v>570</v>
      </c>
      <c r="F39" s="49"/>
    </row>
    <row r="40" spans="2:6" x14ac:dyDescent="0.3">
      <c r="B40" s="133" t="s">
        <v>577</v>
      </c>
      <c r="C40" s="131"/>
      <c r="E40" s="133" t="s">
        <v>577</v>
      </c>
      <c r="F40" s="131"/>
    </row>
    <row r="41" spans="2:6" x14ac:dyDescent="0.3">
      <c r="B41" s="133"/>
      <c r="C41" s="131"/>
      <c r="E41" s="133"/>
      <c r="F41" s="131"/>
    </row>
    <row r="42" spans="2:6" x14ac:dyDescent="0.3">
      <c r="B42" s="133"/>
      <c r="C42" s="131"/>
      <c r="E42" s="133"/>
      <c r="F42" s="131"/>
    </row>
    <row r="43" spans="2:6" x14ac:dyDescent="0.3">
      <c r="B43" s="134"/>
      <c r="C43" s="132"/>
      <c r="E43" s="134"/>
      <c r="F43" s="132"/>
    </row>
    <row r="44" spans="2:6" x14ac:dyDescent="0.3">
      <c r="B44" s="61"/>
      <c r="C44" s="61"/>
      <c r="E44" s="61"/>
      <c r="F44" s="61"/>
    </row>
    <row r="45" spans="2:6" ht="14.5" thickBot="1" x14ac:dyDescent="0.35">
      <c r="B45" s="123" t="s">
        <v>567</v>
      </c>
      <c r="C45" s="116"/>
      <c r="E45" s="123" t="s">
        <v>567</v>
      </c>
      <c r="F45" s="116"/>
    </row>
    <row r="46" spans="2:6" x14ac:dyDescent="0.3">
      <c r="B46" s="124"/>
      <c r="C46" s="118"/>
      <c r="E46" s="124"/>
      <c r="F46" s="118"/>
    </row>
    <row r="47" spans="2:6" x14ac:dyDescent="0.3">
      <c r="B47" s="125"/>
      <c r="C47" s="120"/>
      <c r="E47" s="125"/>
      <c r="F47" s="120"/>
    </row>
    <row r="48" spans="2:6" x14ac:dyDescent="0.3">
      <c r="B48" s="125"/>
      <c r="C48" s="120"/>
      <c r="E48" s="125"/>
      <c r="F48" s="120"/>
    </row>
    <row r="49" spans="2:6" x14ac:dyDescent="0.3">
      <c r="B49" s="125"/>
      <c r="C49" s="120"/>
      <c r="E49" s="125"/>
      <c r="F49" s="120"/>
    </row>
    <row r="50" spans="2:6" x14ac:dyDescent="0.3">
      <c r="B50" s="125"/>
      <c r="C50" s="120"/>
      <c r="E50" s="125"/>
      <c r="F50" s="120"/>
    </row>
    <row r="51" spans="2:6" x14ac:dyDescent="0.3">
      <c r="B51" s="125"/>
      <c r="C51" s="120"/>
      <c r="E51" s="125"/>
      <c r="F51" s="120"/>
    </row>
    <row r="52" spans="2:6" x14ac:dyDescent="0.3">
      <c r="B52" s="125"/>
      <c r="C52" s="120"/>
      <c r="E52" s="125"/>
      <c r="F52" s="120"/>
    </row>
    <row r="53" spans="2:6" x14ac:dyDescent="0.3">
      <c r="B53" s="125"/>
      <c r="C53" s="120"/>
      <c r="E53" s="125"/>
      <c r="F53" s="120"/>
    </row>
    <row r="54" spans="2:6" x14ac:dyDescent="0.3">
      <c r="B54" s="125"/>
      <c r="C54" s="120"/>
      <c r="E54" s="125"/>
      <c r="F54" s="120"/>
    </row>
    <row r="55" spans="2:6" x14ac:dyDescent="0.3">
      <c r="B55" s="125"/>
      <c r="C55" s="120"/>
      <c r="E55" s="125"/>
      <c r="F55" s="120"/>
    </row>
    <row r="56" spans="2:6" x14ac:dyDescent="0.3">
      <c r="B56" s="125"/>
      <c r="C56" s="120"/>
      <c r="E56" s="125"/>
      <c r="F56" s="120"/>
    </row>
    <row r="57" spans="2:6" x14ac:dyDescent="0.3">
      <c r="B57" s="125"/>
      <c r="C57" s="120"/>
      <c r="E57" s="125"/>
      <c r="F57" s="120"/>
    </row>
    <row r="58" spans="2:6" x14ac:dyDescent="0.3">
      <c r="B58" s="125"/>
      <c r="C58" s="120"/>
      <c r="E58" s="125"/>
      <c r="F58" s="120"/>
    </row>
    <row r="59" spans="2:6" x14ac:dyDescent="0.3">
      <c r="B59" s="125"/>
      <c r="C59" s="120"/>
      <c r="E59" s="125"/>
      <c r="F59" s="120"/>
    </row>
    <row r="60" spans="2:6" x14ac:dyDescent="0.3">
      <c r="B60" s="125"/>
      <c r="C60" s="120"/>
      <c r="E60" s="125"/>
      <c r="F60" s="120"/>
    </row>
    <row r="61" spans="2:6" x14ac:dyDescent="0.3">
      <c r="B61" s="125"/>
      <c r="C61" s="120"/>
      <c r="E61" s="125"/>
      <c r="F61" s="120"/>
    </row>
    <row r="62" spans="2:6" x14ac:dyDescent="0.3">
      <c r="B62" s="125"/>
      <c r="C62" s="120"/>
      <c r="E62" s="125"/>
      <c r="F62" s="120"/>
    </row>
    <row r="63" spans="2:6" x14ac:dyDescent="0.3">
      <c r="B63" s="125"/>
      <c r="C63" s="120"/>
      <c r="E63" s="125"/>
      <c r="F63" s="120"/>
    </row>
    <row r="64" spans="2:6" x14ac:dyDescent="0.3">
      <c r="B64" s="125"/>
      <c r="C64" s="120"/>
      <c r="E64" s="125"/>
      <c r="F64" s="120"/>
    </row>
    <row r="65" spans="2:6" x14ac:dyDescent="0.3">
      <c r="B65" s="126"/>
      <c r="C65" s="122"/>
      <c r="E65" s="126"/>
      <c r="F65" s="122"/>
    </row>
    <row r="66" spans="2:6" x14ac:dyDescent="0.3">
      <c r="B66" s="61"/>
      <c r="C66" s="61"/>
      <c r="E66" s="61"/>
      <c r="F66" s="61"/>
    </row>
    <row r="67" spans="2:6" ht="30" x14ac:dyDescent="0.3">
      <c r="B67" s="128" t="s">
        <v>564</v>
      </c>
      <c r="C67" s="128"/>
      <c r="E67" s="128" t="s">
        <v>575</v>
      </c>
      <c r="F67" s="128"/>
    </row>
    <row r="68" spans="2:6" ht="14.5" thickBot="1" x14ac:dyDescent="0.35">
      <c r="B68" s="107" t="s">
        <v>2</v>
      </c>
      <c r="C68" s="109"/>
      <c r="E68" s="107" t="s">
        <v>2</v>
      </c>
      <c r="F68" s="109"/>
    </row>
    <row r="69" spans="2:6" x14ac:dyDescent="0.3">
      <c r="B69" s="62" t="s">
        <v>565</v>
      </c>
      <c r="C69" s="38"/>
      <c r="E69" s="39" t="s">
        <v>11</v>
      </c>
      <c r="F69" s="40"/>
    </row>
    <row r="70" spans="2:6" x14ac:dyDescent="0.3">
      <c r="B70" s="43" t="s">
        <v>566</v>
      </c>
      <c r="C70" s="42"/>
      <c r="E70" s="43" t="s">
        <v>568</v>
      </c>
      <c r="F70" s="42"/>
    </row>
    <row r="71" spans="2:6" x14ac:dyDescent="0.3">
      <c r="B71" s="39" t="s">
        <v>11</v>
      </c>
      <c r="C71" s="40"/>
      <c r="E71" s="39" t="s">
        <v>569</v>
      </c>
      <c r="F71" s="46"/>
    </row>
    <row r="72" spans="2:6" x14ac:dyDescent="0.3">
      <c r="B72" s="43" t="s">
        <v>576</v>
      </c>
      <c r="C72" s="42"/>
      <c r="E72" s="43" t="s">
        <v>570</v>
      </c>
      <c r="F72" s="49"/>
    </row>
    <row r="73" spans="2:6" x14ac:dyDescent="0.3">
      <c r="B73" s="133" t="s">
        <v>577</v>
      </c>
      <c r="C73" s="131"/>
      <c r="E73" s="133" t="s">
        <v>577</v>
      </c>
      <c r="F73" s="131"/>
    </row>
    <row r="74" spans="2:6" x14ac:dyDescent="0.3">
      <c r="B74" s="133"/>
      <c r="C74" s="131"/>
      <c r="E74" s="133"/>
      <c r="F74" s="131"/>
    </row>
    <row r="75" spans="2:6" x14ac:dyDescent="0.3">
      <c r="B75" s="133"/>
      <c r="C75" s="131"/>
      <c r="E75" s="133"/>
      <c r="F75" s="131"/>
    </row>
    <row r="76" spans="2:6" x14ac:dyDescent="0.3">
      <c r="B76" s="134"/>
      <c r="C76" s="132"/>
      <c r="E76" s="134"/>
      <c r="F76" s="132"/>
    </row>
    <row r="77" spans="2:6" x14ac:dyDescent="0.3">
      <c r="B77" s="63"/>
      <c r="C77" s="64"/>
      <c r="E77" s="63"/>
      <c r="F77" s="64"/>
    </row>
    <row r="78" spans="2:6" ht="14.5" thickBot="1" x14ac:dyDescent="0.35">
      <c r="B78" s="123" t="s">
        <v>567</v>
      </c>
      <c r="C78" s="116"/>
      <c r="E78" s="123" t="s">
        <v>567</v>
      </c>
      <c r="F78" s="116"/>
    </row>
    <row r="79" spans="2:6" x14ac:dyDescent="0.3">
      <c r="B79" s="124"/>
      <c r="C79" s="118"/>
      <c r="E79" s="124"/>
      <c r="F79" s="118"/>
    </row>
    <row r="80" spans="2:6" x14ac:dyDescent="0.3">
      <c r="B80" s="125"/>
      <c r="C80" s="120"/>
      <c r="E80" s="125"/>
      <c r="F80" s="120"/>
    </row>
    <row r="81" spans="2:6" x14ac:dyDescent="0.3">
      <c r="B81" s="125"/>
      <c r="C81" s="120"/>
      <c r="E81" s="125"/>
      <c r="F81" s="120"/>
    </row>
    <row r="82" spans="2:6" x14ac:dyDescent="0.3">
      <c r="B82" s="125"/>
      <c r="C82" s="120"/>
      <c r="E82" s="125"/>
      <c r="F82" s="120"/>
    </row>
    <row r="83" spans="2:6" x14ac:dyDescent="0.3">
      <c r="B83" s="125"/>
      <c r="C83" s="120"/>
      <c r="E83" s="125"/>
      <c r="F83" s="120"/>
    </row>
    <row r="84" spans="2:6" x14ac:dyDescent="0.3">
      <c r="B84" s="125"/>
      <c r="C84" s="120"/>
      <c r="E84" s="125"/>
      <c r="F84" s="120"/>
    </row>
    <row r="85" spans="2:6" x14ac:dyDescent="0.3">
      <c r="B85" s="125"/>
      <c r="C85" s="120"/>
      <c r="E85" s="125"/>
      <c r="F85" s="120"/>
    </row>
    <row r="86" spans="2:6" x14ac:dyDescent="0.3">
      <c r="B86" s="125"/>
      <c r="C86" s="120"/>
      <c r="E86" s="125"/>
      <c r="F86" s="120"/>
    </row>
    <row r="87" spans="2:6" x14ac:dyDescent="0.3">
      <c r="B87" s="125"/>
      <c r="C87" s="120"/>
      <c r="E87" s="125"/>
      <c r="F87" s="120"/>
    </row>
    <row r="88" spans="2:6" x14ac:dyDescent="0.3">
      <c r="B88" s="125"/>
      <c r="C88" s="120"/>
      <c r="E88" s="125"/>
      <c r="F88" s="120"/>
    </row>
    <row r="89" spans="2:6" x14ac:dyDescent="0.3">
      <c r="B89" s="125"/>
      <c r="C89" s="120"/>
      <c r="E89" s="125"/>
      <c r="F89" s="120"/>
    </row>
    <row r="90" spans="2:6" x14ac:dyDescent="0.3">
      <c r="B90" s="125"/>
      <c r="C90" s="120"/>
      <c r="E90" s="125"/>
      <c r="F90" s="120"/>
    </row>
    <row r="91" spans="2:6" x14ac:dyDescent="0.3">
      <c r="B91" s="125"/>
      <c r="C91" s="120"/>
      <c r="E91" s="125"/>
      <c r="F91" s="120"/>
    </row>
    <row r="92" spans="2:6" x14ac:dyDescent="0.3">
      <c r="B92" s="125"/>
      <c r="C92" s="120"/>
      <c r="E92" s="125"/>
      <c r="F92" s="120"/>
    </row>
    <row r="93" spans="2:6" x14ac:dyDescent="0.3">
      <c r="B93" s="125"/>
      <c r="C93" s="120"/>
      <c r="E93" s="125"/>
      <c r="F93" s="120"/>
    </row>
    <row r="94" spans="2:6" x14ac:dyDescent="0.3">
      <c r="B94" s="125"/>
      <c r="C94" s="120"/>
      <c r="E94" s="125"/>
      <c r="F94" s="120"/>
    </row>
    <row r="95" spans="2:6" x14ac:dyDescent="0.3">
      <c r="B95" s="125"/>
      <c r="C95" s="120"/>
      <c r="E95" s="125"/>
      <c r="F95" s="120"/>
    </row>
    <row r="96" spans="2:6" x14ac:dyDescent="0.3">
      <c r="B96" s="125"/>
      <c r="C96" s="120"/>
      <c r="E96" s="125"/>
      <c r="F96" s="120"/>
    </row>
    <row r="97" spans="2:6" x14ac:dyDescent="0.3">
      <c r="B97" s="125"/>
      <c r="C97" s="120"/>
      <c r="E97" s="125"/>
      <c r="F97" s="120"/>
    </row>
    <row r="98" spans="2:6" x14ac:dyDescent="0.3">
      <c r="B98" s="126"/>
      <c r="C98" s="122"/>
      <c r="E98" s="126"/>
      <c r="F98" s="122"/>
    </row>
    <row r="99" spans="2:6" x14ac:dyDescent="0.3">
      <c r="B99" s="61"/>
      <c r="C99" s="61"/>
      <c r="E99" s="61"/>
      <c r="F99" s="61"/>
    </row>
    <row r="100" spans="2:6" x14ac:dyDescent="0.3">
      <c r="B100" s="61"/>
      <c r="C100" s="61"/>
      <c r="E100" s="61"/>
      <c r="F100" s="61"/>
    </row>
    <row r="101" spans="2:6" x14ac:dyDescent="0.3">
      <c r="B101" s="61"/>
      <c r="C101" s="61"/>
      <c r="E101" s="61"/>
      <c r="F101" s="61"/>
    </row>
    <row r="102" spans="2:6" x14ac:dyDescent="0.3">
      <c r="B102" s="61"/>
      <c r="C102" s="61"/>
      <c r="E102" s="61"/>
      <c r="F102" s="61"/>
    </row>
    <row r="103" spans="2:6" x14ac:dyDescent="0.3">
      <c r="B103" s="61"/>
      <c r="C103" s="61"/>
      <c r="E103" s="61"/>
      <c r="F103" s="61"/>
    </row>
    <row r="104" spans="2:6" x14ac:dyDescent="0.3">
      <c r="B104" s="61"/>
      <c r="C104" s="61"/>
      <c r="E104" s="61"/>
      <c r="F104" s="61"/>
    </row>
    <row r="105" spans="2:6" x14ac:dyDescent="0.3">
      <c r="B105" s="61"/>
      <c r="C105" s="61"/>
      <c r="E105" s="61"/>
      <c r="F105" s="61"/>
    </row>
    <row r="106" spans="2:6" x14ac:dyDescent="0.3">
      <c r="B106" s="61"/>
      <c r="C106" s="61"/>
      <c r="E106" s="61"/>
      <c r="F106" s="61"/>
    </row>
    <row r="107" spans="2:6" x14ac:dyDescent="0.3">
      <c r="B107" s="61"/>
      <c r="C107" s="61"/>
      <c r="E107" s="61"/>
      <c r="F107" s="61"/>
    </row>
    <row r="108" spans="2:6" x14ac:dyDescent="0.3">
      <c r="B108" s="61"/>
      <c r="C108" s="61"/>
      <c r="E108" s="61"/>
      <c r="F108" s="61"/>
    </row>
    <row r="109" spans="2:6" x14ac:dyDescent="0.3">
      <c r="B109" s="61"/>
      <c r="C109" s="61"/>
      <c r="E109" s="61"/>
      <c r="F109" s="61"/>
    </row>
    <row r="110" spans="2:6" x14ac:dyDescent="0.3">
      <c r="B110" s="61"/>
      <c r="C110" s="61"/>
      <c r="E110" s="61"/>
      <c r="F110" s="61"/>
    </row>
    <row r="111" spans="2:6" x14ac:dyDescent="0.3">
      <c r="B111" s="61"/>
      <c r="C111" s="61"/>
      <c r="E111" s="61"/>
      <c r="F111" s="61"/>
    </row>
    <row r="112" spans="2:6" x14ac:dyDescent="0.3">
      <c r="B112" s="61"/>
      <c r="C112" s="61"/>
      <c r="E112" s="61"/>
      <c r="F112" s="61"/>
    </row>
    <row r="113" spans="2:6" x14ac:dyDescent="0.3">
      <c r="B113" s="61"/>
      <c r="C113" s="61"/>
      <c r="E113" s="61"/>
      <c r="F113" s="61"/>
    </row>
    <row r="114" spans="2:6" x14ac:dyDescent="0.3">
      <c r="B114" s="61"/>
      <c r="C114" s="61"/>
      <c r="E114" s="61"/>
      <c r="F114" s="61"/>
    </row>
    <row r="115" spans="2:6" x14ac:dyDescent="0.3">
      <c r="B115" s="61"/>
      <c r="C115" s="61"/>
      <c r="E115" s="61"/>
      <c r="F115" s="61"/>
    </row>
    <row r="116" spans="2:6" x14ac:dyDescent="0.3">
      <c r="B116" s="61"/>
      <c r="C116" s="61"/>
      <c r="E116" s="61"/>
      <c r="F116" s="61"/>
    </row>
    <row r="117" spans="2:6" x14ac:dyDescent="0.3">
      <c r="B117" s="61"/>
      <c r="C117" s="61"/>
      <c r="E117" s="61"/>
      <c r="F117" s="61"/>
    </row>
    <row r="118" spans="2:6" x14ac:dyDescent="0.3">
      <c r="B118" s="61"/>
      <c r="C118" s="61"/>
      <c r="E118" s="61"/>
      <c r="F118" s="61"/>
    </row>
    <row r="119" spans="2:6" x14ac:dyDescent="0.3">
      <c r="B119" s="61"/>
      <c r="C119" s="61"/>
      <c r="E119" s="61"/>
      <c r="F119" s="61"/>
    </row>
    <row r="120" spans="2:6" x14ac:dyDescent="0.3">
      <c r="B120" s="61"/>
      <c r="C120" s="61"/>
      <c r="E120" s="61"/>
      <c r="F120" s="61"/>
    </row>
    <row r="121" spans="2:6" x14ac:dyDescent="0.3">
      <c r="B121" s="61"/>
      <c r="C121" s="61"/>
      <c r="E121" s="61"/>
      <c r="F121" s="61"/>
    </row>
    <row r="122" spans="2:6" x14ac:dyDescent="0.3">
      <c r="B122" s="61"/>
      <c r="C122" s="61"/>
      <c r="E122" s="61"/>
      <c r="F122" s="61"/>
    </row>
    <row r="123" spans="2:6" x14ac:dyDescent="0.3">
      <c r="B123" s="61"/>
      <c r="C123" s="61"/>
      <c r="E123" s="61"/>
      <c r="F123" s="61"/>
    </row>
    <row r="124" spans="2:6" x14ac:dyDescent="0.3">
      <c r="B124" s="61"/>
      <c r="C124" s="61"/>
      <c r="E124" s="61"/>
      <c r="F124" s="61"/>
    </row>
    <row r="125" spans="2:6" x14ac:dyDescent="0.3">
      <c r="B125" s="61"/>
      <c r="C125" s="61"/>
      <c r="E125" s="61"/>
      <c r="F125" s="61"/>
    </row>
    <row r="126" spans="2:6" x14ac:dyDescent="0.3">
      <c r="B126" s="61"/>
      <c r="C126" s="61"/>
      <c r="E126" s="61"/>
      <c r="F126" s="61"/>
    </row>
    <row r="127" spans="2:6" x14ac:dyDescent="0.3">
      <c r="B127" s="61"/>
      <c r="C127" s="61"/>
      <c r="E127" s="61"/>
      <c r="F127" s="61"/>
    </row>
    <row r="128" spans="2:6" x14ac:dyDescent="0.3">
      <c r="B128" s="61"/>
      <c r="C128" s="61"/>
      <c r="E128" s="61"/>
      <c r="F128" s="61"/>
    </row>
    <row r="129" spans="2:6" x14ac:dyDescent="0.3">
      <c r="B129" s="61"/>
      <c r="C129" s="61"/>
      <c r="E129" s="61"/>
      <c r="F129" s="61"/>
    </row>
    <row r="130" spans="2:6" x14ac:dyDescent="0.3">
      <c r="B130" s="61"/>
      <c r="C130" s="61"/>
      <c r="E130" s="61"/>
      <c r="F130" s="61"/>
    </row>
    <row r="131" spans="2:6" x14ac:dyDescent="0.3">
      <c r="B131" s="61"/>
      <c r="C131" s="61"/>
      <c r="E131" s="61"/>
      <c r="F131" s="61"/>
    </row>
    <row r="132" spans="2:6" x14ac:dyDescent="0.3">
      <c r="B132" s="61"/>
      <c r="C132" s="61"/>
      <c r="E132" s="61"/>
      <c r="F132" s="61"/>
    </row>
    <row r="133" spans="2:6" x14ac:dyDescent="0.3">
      <c r="B133" s="61"/>
      <c r="C133" s="61"/>
      <c r="E133" s="61"/>
      <c r="F133" s="61"/>
    </row>
    <row r="134" spans="2:6" x14ac:dyDescent="0.3">
      <c r="B134" s="61"/>
      <c r="C134" s="61"/>
      <c r="E134" s="61"/>
      <c r="F134" s="61"/>
    </row>
    <row r="135" spans="2:6" x14ac:dyDescent="0.3">
      <c r="B135" s="61"/>
      <c r="C135" s="61"/>
      <c r="E135" s="61"/>
      <c r="F135" s="61"/>
    </row>
    <row r="136" spans="2:6" x14ac:dyDescent="0.3">
      <c r="B136" s="61"/>
      <c r="C136" s="61"/>
      <c r="E136" s="61"/>
      <c r="F136" s="61"/>
    </row>
    <row r="137" spans="2:6" x14ac:dyDescent="0.3">
      <c r="B137" s="61"/>
      <c r="C137" s="61"/>
      <c r="E137" s="61"/>
      <c r="F137" s="61"/>
    </row>
    <row r="138" spans="2:6" x14ac:dyDescent="0.3">
      <c r="B138" s="61"/>
      <c r="C138" s="61"/>
      <c r="E138" s="61"/>
      <c r="F138" s="61"/>
    </row>
    <row r="139" spans="2:6" x14ac:dyDescent="0.3">
      <c r="B139" s="61"/>
      <c r="C139" s="61"/>
      <c r="E139" s="61"/>
      <c r="F139" s="61"/>
    </row>
    <row r="140" spans="2:6" x14ac:dyDescent="0.3">
      <c r="B140" s="61"/>
      <c r="C140" s="61"/>
      <c r="E140" s="61"/>
      <c r="F140" s="61"/>
    </row>
    <row r="141" spans="2:6" x14ac:dyDescent="0.3">
      <c r="B141" s="61"/>
      <c r="C141" s="61"/>
      <c r="E141" s="61"/>
      <c r="F141" s="61"/>
    </row>
    <row r="142" spans="2:6" x14ac:dyDescent="0.3">
      <c r="B142" s="61"/>
      <c r="C142" s="61"/>
      <c r="E142" s="61"/>
      <c r="F142" s="61"/>
    </row>
    <row r="143" spans="2:6" x14ac:dyDescent="0.3">
      <c r="B143" s="61"/>
      <c r="C143" s="61"/>
      <c r="E143" s="61"/>
      <c r="F143" s="61"/>
    </row>
    <row r="144" spans="2:6" x14ac:dyDescent="0.3">
      <c r="B144" s="61"/>
      <c r="C144" s="61"/>
      <c r="E144" s="61"/>
      <c r="F144" s="61"/>
    </row>
    <row r="145" spans="2:6" x14ac:dyDescent="0.3">
      <c r="B145" s="61"/>
      <c r="C145" s="61"/>
      <c r="E145" s="61"/>
      <c r="F145" s="61"/>
    </row>
    <row r="146" spans="2:6" x14ac:dyDescent="0.3">
      <c r="B146" s="61"/>
      <c r="C146" s="61"/>
      <c r="E146" s="61"/>
      <c r="F146" s="61"/>
    </row>
    <row r="147" spans="2:6" x14ac:dyDescent="0.3">
      <c r="B147" s="61"/>
      <c r="C147" s="61"/>
      <c r="E147" s="61"/>
      <c r="F147" s="61"/>
    </row>
    <row r="148" spans="2:6" x14ac:dyDescent="0.3">
      <c r="B148" s="61"/>
      <c r="C148" s="61"/>
      <c r="E148" s="61"/>
      <c r="F148" s="61"/>
    </row>
    <row r="149" spans="2:6" x14ac:dyDescent="0.3">
      <c r="B149" s="61"/>
      <c r="C149" s="61"/>
      <c r="E149" s="61"/>
      <c r="F149" s="61"/>
    </row>
    <row r="150" spans="2:6" x14ac:dyDescent="0.3">
      <c r="B150" s="61"/>
      <c r="C150" s="61"/>
      <c r="E150" s="61"/>
      <c r="F150" s="61"/>
    </row>
    <row r="151" spans="2:6" x14ac:dyDescent="0.3">
      <c r="B151" s="61"/>
      <c r="C151" s="61"/>
      <c r="E151" s="61"/>
      <c r="F151" s="61"/>
    </row>
    <row r="152" spans="2:6" x14ac:dyDescent="0.3">
      <c r="B152" s="61"/>
      <c r="C152" s="61"/>
      <c r="E152" s="61"/>
      <c r="F152" s="61"/>
    </row>
    <row r="153" spans="2:6" x14ac:dyDescent="0.3">
      <c r="B153" s="61"/>
      <c r="C153" s="61"/>
      <c r="E153" s="61"/>
      <c r="F153" s="61"/>
    </row>
    <row r="154" spans="2:6" x14ac:dyDescent="0.3">
      <c r="B154" s="61"/>
      <c r="C154" s="61"/>
      <c r="E154" s="61"/>
      <c r="F154" s="61"/>
    </row>
    <row r="155" spans="2:6" x14ac:dyDescent="0.3">
      <c r="B155" s="61"/>
      <c r="C155" s="61"/>
      <c r="E155" s="61"/>
      <c r="F155" s="61"/>
    </row>
    <row r="156" spans="2:6" x14ac:dyDescent="0.3">
      <c r="B156" s="61"/>
      <c r="C156" s="61"/>
      <c r="E156" s="61"/>
      <c r="F156" s="61"/>
    </row>
    <row r="157" spans="2:6" x14ac:dyDescent="0.3">
      <c r="B157" s="61"/>
      <c r="C157" s="61"/>
      <c r="E157" s="61"/>
      <c r="F157" s="61"/>
    </row>
    <row r="158" spans="2:6" x14ac:dyDescent="0.3">
      <c r="B158" s="61"/>
      <c r="C158" s="61"/>
      <c r="E158" s="61"/>
      <c r="F158" s="61"/>
    </row>
    <row r="159" spans="2:6" x14ac:dyDescent="0.3">
      <c r="B159" s="61"/>
      <c r="C159" s="61"/>
      <c r="E159" s="61"/>
      <c r="F159" s="61"/>
    </row>
    <row r="160" spans="2:6" x14ac:dyDescent="0.3">
      <c r="B160" s="61"/>
      <c r="C160" s="61"/>
      <c r="E160" s="61"/>
      <c r="F160" s="61"/>
    </row>
    <row r="161" spans="2:6" x14ac:dyDescent="0.3">
      <c r="B161" s="61"/>
      <c r="C161" s="61"/>
      <c r="E161" s="61"/>
      <c r="F161" s="61"/>
    </row>
    <row r="162" spans="2:6" x14ac:dyDescent="0.3">
      <c r="B162" s="61"/>
      <c r="C162" s="61"/>
      <c r="E162" s="61"/>
      <c r="F162" s="61"/>
    </row>
    <row r="163" spans="2:6" x14ac:dyDescent="0.3">
      <c r="B163" s="61"/>
      <c r="C163" s="61"/>
      <c r="E163" s="61"/>
      <c r="F163" s="61"/>
    </row>
    <row r="164" spans="2:6" x14ac:dyDescent="0.3">
      <c r="B164" s="61"/>
      <c r="C164" s="61"/>
      <c r="E164" s="61"/>
      <c r="F164" s="61"/>
    </row>
    <row r="165" spans="2:6" x14ac:dyDescent="0.3">
      <c r="B165" s="61"/>
      <c r="C165" s="61"/>
      <c r="E165" s="61"/>
      <c r="F165" s="61"/>
    </row>
    <row r="166" spans="2:6" x14ac:dyDescent="0.3">
      <c r="B166" s="61"/>
      <c r="C166" s="61"/>
      <c r="E166" s="61"/>
      <c r="F166" s="61"/>
    </row>
    <row r="167" spans="2:6" x14ac:dyDescent="0.3">
      <c r="B167" s="61"/>
      <c r="C167" s="61"/>
      <c r="E167" s="61"/>
      <c r="F167" s="61"/>
    </row>
    <row r="168" spans="2:6" x14ac:dyDescent="0.3">
      <c r="B168" s="61"/>
      <c r="C168" s="61"/>
      <c r="E168" s="61"/>
      <c r="F168" s="61"/>
    </row>
    <row r="169" spans="2:6" x14ac:dyDescent="0.3">
      <c r="B169" s="61"/>
      <c r="C169" s="61"/>
      <c r="E169" s="61"/>
      <c r="F169" s="61"/>
    </row>
    <row r="170" spans="2:6" x14ac:dyDescent="0.3">
      <c r="B170" s="61"/>
      <c r="C170" s="61"/>
      <c r="E170" s="61"/>
      <c r="F170" s="61"/>
    </row>
    <row r="171" spans="2:6" x14ac:dyDescent="0.3">
      <c r="B171" s="61"/>
      <c r="C171" s="61"/>
      <c r="E171" s="61"/>
      <c r="F171" s="61"/>
    </row>
    <row r="172" spans="2:6" x14ac:dyDescent="0.3">
      <c r="B172" s="61"/>
      <c r="C172" s="61"/>
      <c r="E172" s="61"/>
      <c r="F172" s="61"/>
    </row>
    <row r="173" spans="2:6" x14ac:dyDescent="0.3">
      <c r="B173" s="61"/>
      <c r="C173" s="61"/>
      <c r="E173" s="61"/>
      <c r="F173" s="61"/>
    </row>
    <row r="174" spans="2:6" x14ac:dyDescent="0.3">
      <c r="B174" s="61"/>
      <c r="C174" s="61"/>
      <c r="E174" s="61"/>
      <c r="F174" s="61"/>
    </row>
    <row r="175" spans="2:6" x14ac:dyDescent="0.3">
      <c r="B175" s="61"/>
      <c r="C175" s="61"/>
      <c r="E175" s="61"/>
      <c r="F175" s="61"/>
    </row>
    <row r="176" spans="2:6" x14ac:dyDescent="0.3">
      <c r="B176" s="61"/>
      <c r="C176" s="61"/>
      <c r="E176" s="61"/>
      <c r="F176" s="61"/>
    </row>
    <row r="177" spans="2:6" x14ac:dyDescent="0.3">
      <c r="B177" s="61"/>
      <c r="C177" s="61"/>
      <c r="E177" s="61"/>
      <c r="F177" s="61"/>
    </row>
    <row r="178" spans="2:6" x14ac:dyDescent="0.3">
      <c r="B178" s="61"/>
      <c r="C178" s="61"/>
      <c r="E178" s="61"/>
      <c r="F178" s="61"/>
    </row>
    <row r="179" spans="2:6" x14ac:dyDescent="0.3">
      <c r="B179" s="61"/>
      <c r="C179" s="61"/>
      <c r="E179" s="61"/>
      <c r="F179" s="61"/>
    </row>
    <row r="180" spans="2:6" x14ac:dyDescent="0.3">
      <c r="B180" s="61"/>
      <c r="C180" s="61"/>
      <c r="E180" s="61"/>
      <c r="F180" s="61"/>
    </row>
    <row r="181" spans="2:6" x14ac:dyDescent="0.3">
      <c r="B181" s="61"/>
      <c r="C181" s="61"/>
      <c r="E181" s="61"/>
      <c r="F181" s="61"/>
    </row>
    <row r="182" spans="2:6" x14ac:dyDescent="0.3">
      <c r="B182" s="61"/>
      <c r="C182" s="61"/>
      <c r="E182" s="61"/>
      <c r="F182" s="61"/>
    </row>
    <row r="183" spans="2:6" x14ac:dyDescent="0.3">
      <c r="B183" s="61"/>
      <c r="C183" s="61"/>
      <c r="E183" s="61"/>
      <c r="F183" s="61"/>
    </row>
    <row r="184" spans="2:6" x14ac:dyDescent="0.3">
      <c r="B184" s="61"/>
      <c r="C184" s="61"/>
      <c r="E184" s="61"/>
      <c r="F184" s="61"/>
    </row>
    <row r="185" spans="2:6" x14ac:dyDescent="0.3">
      <c r="B185" s="61"/>
      <c r="C185" s="61"/>
      <c r="E185" s="61"/>
      <c r="F185" s="61"/>
    </row>
    <row r="186" spans="2:6" x14ac:dyDescent="0.3">
      <c r="B186" s="61"/>
      <c r="C186" s="61"/>
      <c r="E186" s="61"/>
      <c r="F186" s="61"/>
    </row>
    <row r="187" spans="2:6" x14ac:dyDescent="0.3">
      <c r="B187" s="61"/>
      <c r="C187" s="61"/>
      <c r="E187" s="61"/>
      <c r="F187" s="61"/>
    </row>
    <row r="188" spans="2:6" x14ac:dyDescent="0.3">
      <c r="B188" s="61"/>
      <c r="C188" s="61"/>
      <c r="E188" s="61"/>
      <c r="F188" s="61"/>
    </row>
    <row r="189" spans="2:6" x14ac:dyDescent="0.3">
      <c r="B189" s="61"/>
      <c r="C189" s="61"/>
      <c r="E189" s="61"/>
      <c r="F189" s="61"/>
    </row>
    <row r="190" spans="2:6" x14ac:dyDescent="0.3">
      <c r="B190" s="61"/>
      <c r="C190" s="61"/>
      <c r="E190" s="61"/>
      <c r="F190" s="61"/>
    </row>
    <row r="191" spans="2:6" x14ac:dyDescent="0.3">
      <c r="B191" s="61"/>
      <c r="C191" s="61"/>
      <c r="E191" s="61"/>
      <c r="F191" s="61"/>
    </row>
    <row r="192" spans="2:6" x14ac:dyDescent="0.3">
      <c r="B192" s="61"/>
      <c r="C192" s="61"/>
      <c r="E192" s="61"/>
      <c r="F192" s="61"/>
    </row>
    <row r="193" spans="2:6" x14ac:dyDescent="0.3">
      <c r="B193" s="61"/>
      <c r="C193" s="61"/>
      <c r="E193" s="61"/>
      <c r="F193" s="61"/>
    </row>
    <row r="194" spans="2:6" x14ac:dyDescent="0.3">
      <c r="B194" s="61"/>
      <c r="C194" s="61"/>
      <c r="E194" s="61"/>
      <c r="F194" s="61"/>
    </row>
    <row r="195" spans="2:6" x14ac:dyDescent="0.3">
      <c r="B195" s="61"/>
      <c r="C195" s="61"/>
      <c r="E195" s="61"/>
      <c r="F195" s="61"/>
    </row>
    <row r="196" spans="2:6" x14ac:dyDescent="0.3">
      <c r="B196" s="61"/>
      <c r="C196" s="61"/>
      <c r="E196" s="61"/>
      <c r="F196" s="61"/>
    </row>
    <row r="197" spans="2:6" x14ac:dyDescent="0.3">
      <c r="B197" s="61"/>
      <c r="C197" s="61"/>
      <c r="E197" s="61"/>
      <c r="F197" s="61"/>
    </row>
    <row r="198" spans="2:6" x14ac:dyDescent="0.3">
      <c r="B198" s="61"/>
      <c r="C198" s="61"/>
      <c r="E198" s="61"/>
      <c r="F198" s="61"/>
    </row>
    <row r="199" spans="2:6" x14ac:dyDescent="0.3">
      <c r="B199" s="61"/>
      <c r="C199" s="61"/>
      <c r="E199" s="61"/>
      <c r="F199" s="61"/>
    </row>
    <row r="200" spans="2:6" x14ac:dyDescent="0.3">
      <c r="B200" s="61"/>
      <c r="C200" s="61"/>
      <c r="E200" s="61"/>
      <c r="F200" s="61"/>
    </row>
    <row r="201" spans="2:6" x14ac:dyDescent="0.3">
      <c r="B201" s="61"/>
      <c r="C201" s="61"/>
      <c r="E201" s="61"/>
      <c r="F201" s="61"/>
    </row>
    <row r="202" spans="2:6" x14ac:dyDescent="0.3">
      <c r="B202" s="61"/>
      <c r="C202" s="61"/>
      <c r="E202" s="61"/>
      <c r="F202" s="61"/>
    </row>
    <row r="203" spans="2:6" x14ac:dyDescent="0.3">
      <c r="B203" s="61"/>
      <c r="C203" s="61"/>
      <c r="E203" s="61"/>
      <c r="F203" s="61"/>
    </row>
    <row r="204" spans="2:6" x14ac:dyDescent="0.3">
      <c r="B204" s="61"/>
      <c r="C204" s="61"/>
      <c r="E204" s="61"/>
      <c r="F204" s="61"/>
    </row>
    <row r="205" spans="2:6" x14ac:dyDescent="0.3">
      <c r="B205" s="61"/>
      <c r="C205" s="61"/>
      <c r="E205" s="61"/>
      <c r="F205" s="61"/>
    </row>
    <row r="206" spans="2:6" x14ac:dyDescent="0.3">
      <c r="B206" s="61"/>
      <c r="C206" s="61"/>
      <c r="E206" s="61"/>
      <c r="F206" s="61"/>
    </row>
    <row r="207" spans="2:6" x14ac:dyDescent="0.3">
      <c r="B207" s="61"/>
      <c r="C207" s="61"/>
      <c r="E207" s="61"/>
      <c r="F207" s="61"/>
    </row>
    <row r="208" spans="2:6" x14ac:dyDescent="0.3">
      <c r="B208" s="61"/>
      <c r="C208" s="61"/>
      <c r="E208" s="61"/>
      <c r="F208" s="61"/>
    </row>
    <row r="209" spans="2:6" x14ac:dyDescent="0.3">
      <c r="B209" s="61"/>
      <c r="C209" s="61"/>
      <c r="E209" s="61"/>
      <c r="F209" s="61"/>
    </row>
    <row r="210" spans="2:6" x14ac:dyDescent="0.3">
      <c r="B210" s="61"/>
      <c r="C210" s="61"/>
      <c r="E210" s="61"/>
      <c r="F210" s="61"/>
    </row>
    <row r="211" spans="2:6" x14ac:dyDescent="0.3">
      <c r="B211" s="61"/>
      <c r="C211" s="61"/>
      <c r="E211" s="61"/>
      <c r="F211" s="61"/>
    </row>
    <row r="212" spans="2:6" x14ac:dyDescent="0.3">
      <c r="B212" s="61"/>
      <c r="C212" s="61"/>
      <c r="E212" s="61"/>
      <c r="F212" s="61"/>
    </row>
    <row r="213" spans="2:6" x14ac:dyDescent="0.3">
      <c r="B213" s="61"/>
      <c r="C213" s="61"/>
      <c r="E213" s="61"/>
      <c r="F213" s="61"/>
    </row>
    <row r="214" spans="2:6" x14ac:dyDescent="0.3">
      <c r="B214" s="61"/>
      <c r="C214" s="61"/>
      <c r="E214" s="61"/>
      <c r="F214" s="61"/>
    </row>
    <row r="215" spans="2:6" x14ac:dyDescent="0.3">
      <c r="B215" s="61"/>
      <c r="C215" s="61"/>
      <c r="E215" s="61"/>
      <c r="F215" s="61"/>
    </row>
    <row r="216" spans="2:6" x14ac:dyDescent="0.3">
      <c r="B216" s="61"/>
      <c r="C216" s="61"/>
      <c r="E216" s="61"/>
      <c r="F216" s="61"/>
    </row>
    <row r="217" spans="2:6" x14ac:dyDescent="0.3">
      <c r="B217" s="61"/>
      <c r="C217" s="61"/>
      <c r="E217" s="61"/>
      <c r="F217" s="61"/>
    </row>
    <row r="218" spans="2:6" x14ac:dyDescent="0.3">
      <c r="B218" s="61"/>
      <c r="C218" s="61"/>
      <c r="E218" s="61"/>
      <c r="F218" s="61"/>
    </row>
    <row r="219" spans="2:6" x14ac:dyDescent="0.3">
      <c r="B219" s="61"/>
      <c r="C219" s="61"/>
      <c r="E219" s="61"/>
      <c r="F219" s="61"/>
    </row>
    <row r="220" spans="2:6" x14ac:dyDescent="0.3">
      <c r="B220" s="61"/>
      <c r="C220" s="61"/>
      <c r="E220" s="61"/>
      <c r="F220" s="61"/>
    </row>
    <row r="221" spans="2:6" x14ac:dyDescent="0.3">
      <c r="B221" s="61"/>
      <c r="C221" s="61"/>
      <c r="E221" s="61"/>
      <c r="F221" s="61"/>
    </row>
    <row r="222" spans="2:6" x14ac:dyDescent="0.3">
      <c r="B222" s="61"/>
      <c r="C222" s="61"/>
      <c r="E222" s="61"/>
      <c r="F222" s="61"/>
    </row>
    <row r="223" spans="2:6" x14ac:dyDescent="0.3">
      <c r="B223" s="61"/>
      <c r="C223" s="61"/>
      <c r="E223" s="61"/>
      <c r="F223" s="61"/>
    </row>
    <row r="224" spans="2:6" x14ac:dyDescent="0.3">
      <c r="B224" s="61"/>
      <c r="C224" s="61"/>
      <c r="E224" s="61"/>
      <c r="F224" s="61"/>
    </row>
    <row r="225" spans="2:6" x14ac:dyDescent="0.3">
      <c r="B225" s="61"/>
      <c r="C225" s="61"/>
      <c r="E225" s="61"/>
      <c r="F225" s="61"/>
    </row>
    <row r="226" spans="2:6" x14ac:dyDescent="0.3">
      <c r="B226" s="61"/>
      <c r="C226" s="61"/>
      <c r="E226" s="61"/>
      <c r="F226" s="61"/>
    </row>
    <row r="227" spans="2:6" x14ac:dyDescent="0.3">
      <c r="B227" s="61"/>
      <c r="C227" s="61"/>
      <c r="E227" s="61"/>
      <c r="F227" s="61"/>
    </row>
    <row r="228" spans="2:6" x14ac:dyDescent="0.3">
      <c r="B228" s="61"/>
      <c r="C228" s="61"/>
      <c r="E228" s="61"/>
      <c r="F228" s="61"/>
    </row>
    <row r="229" spans="2:6" x14ac:dyDescent="0.3">
      <c r="B229" s="61"/>
      <c r="C229" s="61"/>
      <c r="E229" s="61"/>
      <c r="F229" s="61"/>
    </row>
    <row r="230" spans="2:6" x14ac:dyDescent="0.3">
      <c r="B230" s="61"/>
      <c r="C230" s="61"/>
      <c r="E230" s="61"/>
      <c r="F230" s="61"/>
    </row>
    <row r="231" spans="2:6" x14ac:dyDescent="0.3">
      <c r="B231" s="61"/>
      <c r="C231" s="61"/>
      <c r="E231" s="61"/>
      <c r="F231" s="61"/>
    </row>
    <row r="232" spans="2:6" x14ac:dyDescent="0.3">
      <c r="B232" s="61"/>
      <c r="C232" s="61"/>
      <c r="E232" s="61"/>
      <c r="F232" s="61"/>
    </row>
    <row r="233" spans="2:6" x14ac:dyDescent="0.3">
      <c r="B233" s="61"/>
      <c r="C233" s="61"/>
      <c r="E233" s="61"/>
      <c r="F233" s="61"/>
    </row>
    <row r="234" spans="2:6" x14ac:dyDescent="0.3">
      <c r="B234" s="61"/>
      <c r="C234" s="61"/>
      <c r="E234" s="61"/>
      <c r="F234" s="61"/>
    </row>
    <row r="235" spans="2:6" x14ac:dyDescent="0.3">
      <c r="B235" s="61"/>
      <c r="C235" s="61"/>
      <c r="E235" s="61"/>
      <c r="F235" s="61"/>
    </row>
    <row r="236" spans="2:6" x14ac:dyDescent="0.3">
      <c r="B236" s="61"/>
      <c r="C236" s="61"/>
      <c r="E236" s="61"/>
      <c r="F236" s="61"/>
    </row>
    <row r="237" spans="2:6" x14ac:dyDescent="0.3">
      <c r="B237" s="61"/>
      <c r="C237" s="61"/>
      <c r="E237" s="61"/>
      <c r="F237" s="61"/>
    </row>
    <row r="238" spans="2:6" x14ac:dyDescent="0.3">
      <c r="B238" s="61"/>
      <c r="C238" s="61"/>
      <c r="E238" s="61"/>
      <c r="F238" s="61"/>
    </row>
    <row r="239" spans="2:6" x14ac:dyDescent="0.3">
      <c r="B239" s="61"/>
      <c r="C239" s="61"/>
      <c r="E239" s="61"/>
      <c r="F239" s="61"/>
    </row>
    <row r="240" spans="2:6" x14ac:dyDescent="0.3">
      <c r="B240" s="61"/>
      <c r="C240" s="61"/>
      <c r="E240" s="61"/>
      <c r="F240" s="61"/>
    </row>
    <row r="241" spans="2:6" x14ac:dyDescent="0.3">
      <c r="B241" s="61"/>
      <c r="C241" s="61"/>
      <c r="E241" s="61"/>
      <c r="F241" s="61"/>
    </row>
    <row r="242" spans="2:6" x14ac:dyDescent="0.3">
      <c r="B242" s="61"/>
      <c r="C242" s="61"/>
      <c r="E242" s="61"/>
      <c r="F242" s="61"/>
    </row>
    <row r="243" spans="2:6" x14ac:dyDescent="0.3">
      <c r="B243" s="61"/>
      <c r="C243" s="61"/>
      <c r="E243" s="61"/>
      <c r="F243" s="61"/>
    </row>
    <row r="244" spans="2:6" x14ac:dyDescent="0.3">
      <c r="B244" s="61"/>
      <c r="C244" s="61"/>
      <c r="E244" s="61"/>
      <c r="F244" s="61"/>
    </row>
    <row r="245" spans="2:6" x14ac:dyDescent="0.3">
      <c r="B245" s="61"/>
      <c r="C245" s="61"/>
      <c r="E245" s="61"/>
      <c r="F245" s="61"/>
    </row>
    <row r="246" spans="2:6" x14ac:dyDescent="0.3">
      <c r="B246" s="61"/>
      <c r="C246" s="61"/>
      <c r="E246" s="61"/>
      <c r="F246" s="61"/>
    </row>
    <row r="247" spans="2:6" x14ac:dyDescent="0.3">
      <c r="B247" s="61"/>
      <c r="C247" s="61"/>
      <c r="E247" s="61"/>
      <c r="F247" s="61"/>
    </row>
    <row r="248" spans="2:6" x14ac:dyDescent="0.3">
      <c r="B248" s="61"/>
      <c r="C248" s="61"/>
      <c r="E248" s="61"/>
      <c r="F248" s="61"/>
    </row>
    <row r="249" spans="2:6" x14ac:dyDescent="0.3">
      <c r="B249" s="61"/>
      <c r="C249" s="61"/>
      <c r="E249" s="61"/>
      <c r="F249" s="61"/>
    </row>
    <row r="250" spans="2:6" x14ac:dyDescent="0.3">
      <c r="B250" s="61"/>
      <c r="C250" s="61"/>
      <c r="E250" s="61"/>
      <c r="F250" s="61"/>
    </row>
    <row r="251" spans="2:6" x14ac:dyDescent="0.3">
      <c r="B251" s="61"/>
      <c r="C251" s="61"/>
      <c r="E251" s="61"/>
      <c r="F251" s="61"/>
    </row>
    <row r="252" spans="2:6" x14ac:dyDescent="0.3">
      <c r="B252" s="61"/>
      <c r="C252" s="61"/>
      <c r="E252" s="61"/>
      <c r="F252" s="61"/>
    </row>
    <row r="253" spans="2:6" x14ac:dyDescent="0.3">
      <c r="B253" s="61"/>
      <c r="C253" s="61"/>
      <c r="E253" s="61"/>
      <c r="F253" s="61"/>
    </row>
    <row r="254" spans="2:6" x14ac:dyDescent="0.3">
      <c r="B254" s="61"/>
      <c r="C254" s="61"/>
      <c r="E254" s="61"/>
      <c r="F254" s="61"/>
    </row>
    <row r="255" spans="2:6" x14ac:dyDescent="0.3">
      <c r="B255" s="61"/>
      <c r="C255" s="61"/>
      <c r="E255" s="61"/>
      <c r="F255" s="61"/>
    </row>
    <row r="256" spans="2:6" x14ac:dyDescent="0.3">
      <c r="B256" s="61"/>
      <c r="C256" s="61"/>
      <c r="E256" s="61"/>
      <c r="F256" s="61"/>
    </row>
    <row r="257" spans="2:6" x14ac:dyDescent="0.3">
      <c r="B257" s="61"/>
      <c r="C257" s="61"/>
      <c r="E257" s="61"/>
      <c r="F257" s="61"/>
    </row>
    <row r="258" spans="2:6" x14ac:dyDescent="0.3">
      <c r="B258" s="61"/>
      <c r="C258" s="61"/>
      <c r="E258" s="61"/>
      <c r="F258" s="61"/>
    </row>
    <row r="259" spans="2:6" x14ac:dyDescent="0.3">
      <c r="B259" s="61"/>
      <c r="C259" s="61"/>
      <c r="E259" s="61"/>
      <c r="F259" s="61"/>
    </row>
    <row r="260" spans="2:6" x14ac:dyDescent="0.3">
      <c r="B260" s="61"/>
      <c r="C260" s="61"/>
      <c r="E260" s="61"/>
      <c r="F260" s="61"/>
    </row>
    <row r="261" spans="2:6" x14ac:dyDescent="0.3">
      <c r="B261" s="61"/>
      <c r="C261" s="61"/>
      <c r="E261" s="61"/>
      <c r="F261" s="61"/>
    </row>
    <row r="262" spans="2:6" x14ac:dyDescent="0.3">
      <c r="B262" s="61"/>
      <c r="C262" s="61"/>
      <c r="E262" s="61"/>
      <c r="F262" s="61"/>
    </row>
    <row r="263" spans="2:6" x14ac:dyDescent="0.3">
      <c r="B263" s="61"/>
      <c r="C263" s="61"/>
      <c r="E263" s="61"/>
      <c r="F263" s="61"/>
    </row>
    <row r="264" spans="2:6" x14ac:dyDescent="0.3">
      <c r="B264" s="61"/>
      <c r="C264" s="61"/>
      <c r="E264" s="61"/>
      <c r="F264" s="61"/>
    </row>
    <row r="265" spans="2:6" x14ac:dyDescent="0.3">
      <c r="B265" s="61"/>
      <c r="C265" s="61"/>
      <c r="E265" s="61"/>
      <c r="F265" s="61"/>
    </row>
    <row r="266" spans="2:6" x14ac:dyDescent="0.3">
      <c r="B266" s="61"/>
      <c r="C266" s="61"/>
      <c r="E266" s="61"/>
      <c r="F266" s="61"/>
    </row>
    <row r="267" spans="2:6" x14ac:dyDescent="0.3">
      <c r="B267" s="61"/>
      <c r="C267" s="61"/>
      <c r="E267" s="61"/>
      <c r="F267" s="61"/>
    </row>
    <row r="268" spans="2:6" x14ac:dyDescent="0.3">
      <c r="B268" s="61"/>
      <c r="C268" s="61"/>
      <c r="E268" s="61"/>
      <c r="F268" s="61"/>
    </row>
    <row r="269" spans="2:6" x14ac:dyDescent="0.3">
      <c r="B269" s="61"/>
      <c r="C269" s="61"/>
      <c r="E269" s="61"/>
      <c r="F269" s="61"/>
    </row>
    <row r="270" spans="2:6" x14ac:dyDescent="0.3">
      <c r="B270" s="61"/>
      <c r="C270" s="61"/>
      <c r="E270" s="61"/>
      <c r="F270" s="61"/>
    </row>
    <row r="271" spans="2:6" x14ac:dyDescent="0.3">
      <c r="B271" s="61"/>
      <c r="C271" s="61"/>
      <c r="E271" s="61"/>
      <c r="F271" s="61"/>
    </row>
    <row r="272" spans="2:6" x14ac:dyDescent="0.3">
      <c r="B272" s="61"/>
      <c r="C272" s="61"/>
      <c r="E272" s="61"/>
      <c r="F272" s="61"/>
    </row>
    <row r="273" spans="2:6" x14ac:dyDescent="0.3">
      <c r="B273" s="61"/>
      <c r="C273" s="61"/>
      <c r="E273" s="61"/>
      <c r="F273" s="61"/>
    </row>
    <row r="274" spans="2:6" x14ac:dyDescent="0.3">
      <c r="B274" s="61"/>
      <c r="C274" s="61"/>
      <c r="E274" s="61"/>
      <c r="F274" s="61"/>
    </row>
    <row r="275" spans="2:6" x14ac:dyDescent="0.3">
      <c r="B275" s="61"/>
      <c r="C275" s="61"/>
      <c r="E275" s="61"/>
      <c r="F275" s="61"/>
    </row>
    <row r="276" spans="2:6" x14ac:dyDescent="0.3">
      <c r="B276" s="61"/>
      <c r="C276" s="61"/>
      <c r="E276" s="61"/>
      <c r="F276" s="61"/>
    </row>
    <row r="277" spans="2:6" x14ac:dyDescent="0.3">
      <c r="B277" s="61"/>
      <c r="C277" s="61"/>
      <c r="E277" s="61"/>
      <c r="F277" s="61"/>
    </row>
    <row r="278" spans="2:6" x14ac:dyDescent="0.3">
      <c r="B278" s="61"/>
      <c r="C278" s="61"/>
      <c r="E278" s="61"/>
      <c r="F278" s="61"/>
    </row>
    <row r="279" spans="2:6" x14ac:dyDescent="0.3">
      <c r="B279" s="61"/>
      <c r="C279" s="61"/>
      <c r="E279" s="61"/>
      <c r="F279" s="61"/>
    </row>
    <row r="280" spans="2:6" x14ac:dyDescent="0.3">
      <c r="B280" s="61"/>
      <c r="C280" s="61"/>
      <c r="E280" s="61"/>
      <c r="F280" s="61"/>
    </row>
    <row r="281" spans="2:6" x14ac:dyDescent="0.3">
      <c r="B281" s="61"/>
      <c r="C281" s="61"/>
      <c r="E281" s="61"/>
      <c r="F281" s="61"/>
    </row>
    <row r="282" spans="2:6" x14ac:dyDescent="0.3">
      <c r="B282" s="61"/>
      <c r="C282" s="61"/>
      <c r="E282" s="61"/>
      <c r="F282" s="61"/>
    </row>
    <row r="283" spans="2:6" x14ac:dyDescent="0.3">
      <c r="B283" s="61"/>
      <c r="C283" s="61"/>
      <c r="E283" s="61"/>
      <c r="F283" s="61"/>
    </row>
    <row r="284" spans="2:6" x14ac:dyDescent="0.3">
      <c r="B284" s="61"/>
      <c r="C284" s="61"/>
      <c r="E284" s="61"/>
      <c r="F284" s="61"/>
    </row>
    <row r="285" spans="2:6" x14ac:dyDescent="0.3">
      <c r="B285" s="61"/>
      <c r="C285" s="61"/>
      <c r="E285" s="61"/>
      <c r="F285" s="61"/>
    </row>
    <row r="286" spans="2:6" x14ac:dyDescent="0.3">
      <c r="B286" s="61"/>
      <c r="C286" s="61"/>
      <c r="E286" s="61"/>
      <c r="F286" s="61"/>
    </row>
    <row r="287" spans="2:6" x14ac:dyDescent="0.3">
      <c r="B287" s="61"/>
      <c r="C287" s="61"/>
      <c r="E287" s="61"/>
      <c r="F287" s="61"/>
    </row>
    <row r="288" spans="2:6" x14ac:dyDescent="0.3">
      <c r="B288" s="61"/>
      <c r="C288" s="61"/>
      <c r="E288" s="61"/>
      <c r="F288" s="61"/>
    </row>
    <row r="289" spans="2:6" x14ac:dyDescent="0.3">
      <c r="B289" s="61"/>
      <c r="C289" s="61"/>
      <c r="E289" s="61"/>
      <c r="F289" s="61"/>
    </row>
    <row r="290" spans="2:6" x14ac:dyDescent="0.3">
      <c r="B290" s="61"/>
      <c r="C290" s="61"/>
      <c r="E290" s="61"/>
      <c r="F290" s="61"/>
    </row>
    <row r="291" spans="2:6" x14ac:dyDescent="0.3">
      <c r="B291" s="61"/>
      <c r="C291" s="61"/>
      <c r="E291" s="61"/>
      <c r="F291" s="61"/>
    </row>
    <row r="292" spans="2:6" x14ac:dyDescent="0.3">
      <c r="B292" s="61"/>
      <c r="C292" s="61"/>
      <c r="E292" s="61"/>
      <c r="F292" s="61"/>
    </row>
    <row r="293" spans="2:6" x14ac:dyDescent="0.3">
      <c r="B293" s="61"/>
      <c r="C293" s="61"/>
      <c r="E293" s="61"/>
      <c r="F293" s="61"/>
    </row>
    <row r="294" spans="2:6" x14ac:dyDescent="0.3">
      <c r="B294" s="61"/>
      <c r="C294" s="61"/>
      <c r="E294" s="61"/>
      <c r="F294" s="61"/>
    </row>
    <row r="295" spans="2:6" x14ac:dyDescent="0.3">
      <c r="B295" s="61"/>
      <c r="C295" s="61"/>
      <c r="E295" s="61"/>
      <c r="F295" s="61"/>
    </row>
    <row r="296" spans="2:6" x14ac:dyDescent="0.3">
      <c r="B296" s="61"/>
      <c r="C296" s="61"/>
      <c r="E296" s="61"/>
      <c r="F296" s="61"/>
    </row>
    <row r="297" spans="2:6" x14ac:dyDescent="0.3">
      <c r="B297" s="61"/>
      <c r="C297" s="61"/>
      <c r="E297" s="61"/>
      <c r="F297" s="61"/>
    </row>
    <row r="298" spans="2:6" x14ac:dyDescent="0.3">
      <c r="B298" s="61"/>
      <c r="C298" s="61"/>
      <c r="E298" s="61"/>
      <c r="F298" s="61"/>
    </row>
    <row r="299" spans="2:6" x14ac:dyDescent="0.3">
      <c r="B299" s="65"/>
      <c r="C299" s="66"/>
      <c r="E299" s="65"/>
      <c r="F299" s="66"/>
    </row>
    <row r="300" spans="2:6" x14ac:dyDescent="0.3">
      <c r="B300" s="67"/>
      <c r="C300" s="68"/>
      <c r="E300" s="67"/>
      <c r="F300" s="68"/>
    </row>
    <row r="301" spans="2:6" x14ac:dyDescent="0.3">
      <c r="B301" s="67"/>
      <c r="C301" s="68"/>
      <c r="E301" s="67"/>
      <c r="F301" s="68"/>
    </row>
    <row r="302" spans="2:6" x14ac:dyDescent="0.3">
      <c r="B302" s="69"/>
      <c r="C302" s="70"/>
      <c r="E302" s="69"/>
      <c r="F302" s="70"/>
    </row>
    <row r="303" spans="2:6" x14ac:dyDescent="0.3">
      <c r="B303" s="69"/>
      <c r="C303" s="70"/>
      <c r="E303" s="69"/>
      <c r="F303" s="70"/>
    </row>
  </sheetData>
  <mergeCells count="37">
    <mergeCell ref="E1:F1"/>
    <mergeCell ref="E2:F2"/>
    <mergeCell ref="E12:F12"/>
    <mergeCell ref="B1:C1"/>
    <mergeCell ref="B2:C2"/>
    <mergeCell ref="B12:C12"/>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78:F78"/>
    <mergeCell ref="E79:F98"/>
    <mergeCell ref="B68:C68"/>
    <mergeCell ref="B73:B76"/>
    <mergeCell ref="C73:C76"/>
    <mergeCell ref="B78:C78"/>
    <mergeCell ref="B79:C98"/>
    <mergeCell ref="G4:G7"/>
    <mergeCell ref="E67:F67"/>
    <mergeCell ref="E68:F68"/>
    <mergeCell ref="E73:E76"/>
    <mergeCell ref="F73:F76"/>
    <mergeCell ref="E35:F35"/>
    <mergeCell ref="E40:E43"/>
    <mergeCell ref="F40:F43"/>
    <mergeCell ref="E45:F45"/>
    <mergeCell ref="E46:F65"/>
  </mergeCells>
  <hyperlinks>
    <hyperlink ref="F7" r:id="rId1" xr:uid="{C1E81B7E-44AB-454D-8C9E-60C1003BDB79}"/>
    <hyperlink ref="C5" r:id="rId2" display="www.etinaude.tk" xr:uid="{DA39203A-0DE6-4EA2-9BDC-7E5CBC5EA25A}"/>
  </hyperlinks>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AC2769"/>
  <sheetViews>
    <sheetView zoomScale="70" zoomScaleNormal="70" workbookViewId="0">
      <selection sqref="A1:E1048576"/>
    </sheetView>
  </sheetViews>
  <sheetFormatPr defaultRowHeight="14.5" x14ac:dyDescent="0.35"/>
  <cols>
    <col min="1" max="1" width="2.81640625" style="61" customWidth="1"/>
    <col min="2" max="2" width="20" style="71" customWidth="1"/>
    <col min="3" max="3" width="16.1796875" style="71" customWidth="1"/>
    <col min="4" max="4" width="14.90625" style="84" customWidth="1"/>
    <col min="5" max="5" width="2.81640625" style="61" customWidth="1"/>
    <col min="6" max="6" width="20" style="71" customWidth="1"/>
    <col min="7" max="7" width="16.1796875" style="71" customWidth="1"/>
    <col min="8" max="8" width="14.90625" style="72" customWidth="1"/>
    <col min="9" max="9" width="2.81640625" style="61" customWidth="1"/>
    <col min="10" max="10" width="20" style="71" customWidth="1"/>
    <col min="11" max="11" width="16.1796875" style="71" customWidth="1"/>
    <col min="12" max="12" width="14.90625" style="72" customWidth="1"/>
    <col min="13" max="13" width="2.81640625" style="61" customWidth="1"/>
    <col min="14" max="14" width="20" style="71" customWidth="1"/>
    <col min="15" max="15" width="16.1796875" style="71" customWidth="1"/>
    <col min="16" max="16" width="14.90625" style="72" customWidth="1"/>
    <col min="17" max="17" width="2.81640625" style="61" customWidth="1"/>
    <col min="18" max="18" width="20" style="71" customWidth="1"/>
    <col min="19" max="19" width="16.1796875" style="71" customWidth="1"/>
    <col min="20" max="20" width="14.90625" style="72" customWidth="1"/>
    <col min="21" max="21" width="2.81640625" style="61" customWidth="1"/>
    <col min="22" max="22" width="15.81640625" style="4" customWidth="1"/>
    <col min="23" max="27" width="8.7265625" style="4"/>
    <col min="28" max="28" width="2.26953125" style="4" customWidth="1"/>
    <col min="29" max="29" width="8.7265625" style="4"/>
    <col min="30" max="16384" width="8.7265625" style="34"/>
  </cols>
  <sheetData>
    <row r="1" spans="1:27" ht="30" x14ac:dyDescent="0.35">
      <c r="B1" s="128" t="s">
        <v>596</v>
      </c>
      <c r="C1" s="128"/>
      <c r="D1" s="128"/>
      <c r="F1" s="128">
        <v>2</v>
      </c>
      <c r="G1" s="128"/>
      <c r="H1" s="128"/>
      <c r="J1" s="128">
        <v>3</v>
      </c>
      <c r="K1" s="128"/>
      <c r="L1" s="128"/>
      <c r="N1" s="128">
        <v>4</v>
      </c>
      <c r="O1" s="128"/>
      <c r="P1" s="128"/>
      <c r="R1" s="128">
        <v>5</v>
      </c>
      <c r="S1" s="128"/>
      <c r="T1" s="128"/>
    </row>
    <row r="2" spans="1:27" ht="15" thickBot="1" x14ac:dyDescent="0.4">
      <c r="B2" s="107" t="s">
        <v>2</v>
      </c>
      <c r="C2" s="108"/>
      <c r="D2" s="109"/>
      <c r="F2" s="107" t="s">
        <v>2</v>
      </c>
      <c r="G2" s="108"/>
      <c r="H2" s="109"/>
      <c r="J2" s="107" t="s">
        <v>2</v>
      </c>
      <c r="K2" s="108"/>
      <c r="L2" s="109"/>
      <c r="N2" s="107" t="s">
        <v>2</v>
      </c>
      <c r="O2" s="108"/>
      <c r="P2" s="109"/>
      <c r="R2" s="107" t="s">
        <v>2</v>
      </c>
      <c r="S2" s="108"/>
      <c r="T2" s="109"/>
    </row>
    <row r="3" spans="1:27" x14ac:dyDescent="0.35">
      <c r="B3" s="44" t="s">
        <v>557</v>
      </c>
      <c r="C3" s="100" t="s">
        <v>595</v>
      </c>
      <c r="D3" s="38"/>
      <c r="F3" s="44" t="s">
        <v>557</v>
      </c>
      <c r="G3" s="100"/>
      <c r="H3" s="38"/>
      <c r="J3" s="44" t="s">
        <v>557</v>
      </c>
      <c r="K3" s="100"/>
      <c r="L3" s="38"/>
      <c r="N3" s="44" t="s">
        <v>557</v>
      </c>
      <c r="O3" s="100"/>
      <c r="P3" s="38"/>
      <c r="R3" s="44" t="s">
        <v>557</v>
      </c>
      <c r="S3" s="100"/>
      <c r="T3" s="38"/>
    </row>
    <row r="4" spans="1:27" x14ac:dyDescent="0.35">
      <c r="B4" s="47" t="s">
        <v>558</v>
      </c>
      <c r="C4" s="101" t="s">
        <v>597</v>
      </c>
      <c r="D4" s="42"/>
      <c r="F4" s="47" t="s">
        <v>558</v>
      </c>
      <c r="G4" s="101"/>
      <c r="H4" s="42"/>
      <c r="J4" s="47" t="s">
        <v>558</v>
      </c>
      <c r="K4" s="101"/>
      <c r="L4" s="42"/>
      <c r="N4" s="47" t="s">
        <v>558</v>
      </c>
      <c r="O4" s="101"/>
      <c r="P4" s="42"/>
      <c r="R4" s="47" t="s">
        <v>558</v>
      </c>
      <c r="S4" s="101"/>
      <c r="T4" s="42"/>
    </row>
    <row r="5" spans="1:27" x14ac:dyDescent="0.35">
      <c r="B5" s="50" t="s">
        <v>559</v>
      </c>
      <c r="C5" s="102" t="s">
        <v>561</v>
      </c>
      <c r="D5" s="46"/>
      <c r="F5" s="50" t="s">
        <v>559</v>
      </c>
      <c r="G5" s="102"/>
      <c r="H5" s="46"/>
      <c r="J5" s="50" t="s">
        <v>559</v>
      </c>
      <c r="K5" s="102"/>
      <c r="L5" s="46"/>
      <c r="N5" s="50" t="s">
        <v>559</v>
      </c>
      <c r="O5" s="102"/>
      <c r="P5" s="46"/>
      <c r="R5" s="50" t="s">
        <v>559</v>
      </c>
      <c r="S5" s="102"/>
      <c r="T5" s="46"/>
    </row>
    <row r="6" spans="1:27" x14ac:dyDescent="0.35">
      <c r="B6" s="47" t="s">
        <v>560</v>
      </c>
      <c r="C6" s="101" t="s">
        <v>562</v>
      </c>
      <c r="D6" s="42"/>
      <c r="F6" s="47" t="s">
        <v>560</v>
      </c>
      <c r="G6" s="101"/>
      <c r="H6" s="42"/>
      <c r="J6" s="47" t="s">
        <v>560</v>
      </c>
      <c r="K6" s="101"/>
      <c r="L6" s="42"/>
      <c r="N6" s="47" t="s">
        <v>560</v>
      </c>
      <c r="O6" s="101"/>
      <c r="P6" s="42"/>
      <c r="R6" s="47" t="s">
        <v>560</v>
      </c>
      <c r="S6" s="101"/>
      <c r="T6" s="42"/>
    </row>
    <row r="7" spans="1:27" x14ac:dyDescent="0.35">
      <c r="B7" s="50" t="s">
        <v>587</v>
      </c>
      <c r="C7" s="102" t="s">
        <v>563</v>
      </c>
      <c r="D7" s="46"/>
      <c r="F7" s="50" t="s">
        <v>587</v>
      </c>
      <c r="G7" s="102"/>
      <c r="H7" s="46"/>
      <c r="J7" s="50" t="s">
        <v>587</v>
      </c>
      <c r="K7" s="102"/>
      <c r="L7" s="46"/>
      <c r="N7" s="50" t="s">
        <v>587</v>
      </c>
      <c r="O7" s="102"/>
      <c r="P7" s="46"/>
      <c r="R7" s="50" t="s">
        <v>587</v>
      </c>
      <c r="S7" s="102"/>
      <c r="T7" s="46"/>
    </row>
    <row r="8" spans="1:27" x14ac:dyDescent="0.35">
      <c r="B8" s="53" t="s">
        <v>588</v>
      </c>
      <c r="C8" s="103" t="s">
        <v>593</v>
      </c>
      <c r="D8" s="55"/>
      <c r="F8" s="53" t="s">
        <v>588</v>
      </c>
      <c r="G8" s="103"/>
      <c r="H8" s="55"/>
      <c r="J8" s="53" t="s">
        <v>588</v>
      </c>
      <c r="K8" s="103"/>
      <c r="L8" s="55"/>
      <c r="N8" s="53" t="s">
        <v>588</v>
      </c>
      <c r="O8" s="103"/>
      <c r="P8" s="55"/>
      <c r="R8" s="53" t="s">
        <v>588</v>
      </c>
      <c r="S8" s="103"/>
      <c r="T8" s="55"/>
    </row>
    <row r="9" spans="1:27" x14ac:dyDescent="0.35">
      <c r="B9" s="80"/>
      <c r="C9" s="80"/>
      <c r="D9" s="80"/>
      <c r="E9" s="81"/>
      <c r="F9" s="80"/>
      <c r="G9" s="80"/>
      <c r="H9" s="80"/>
      <c r="I9" s="81"/>
      <c r="J9" s="80"/>
      <c r="K9" s="80"/>
      <c r="L9" s="80"/>
      <c r="M9" s="81"/>
      <c r="N9" s="80"/>
      <c r="O9" s="80"/>
      <c r="P9" s="80"/>
      <c r="Q9" s="81"/>
      <c r="R9" s="80"/>
      <c r="S9" s="80"/>
      <c r="T9" s="80"/>
      <c r="U9" s="81"/>
    </row>
    <row r="10" spans="1:27" x14ac:dyDescent="0.35">
      <c r="B10" s="80"/>
      <c r="C10" s="80"/>
      <c r="D10" s="80"/>
      <c r="F10" s="80"/>
      <c r="G10" s="80"/>
      <c r="H10" s="80"/>
      <c r="J10" s="80"/>
      <c r="K10" s="80"/>
      <c r="L10" s="80"/>
      <c r="N10" s="80"/>
      <c r="O10" s="80"/>
      <c r="P10" s="80"/>
      <c r="R10" s="80"/>
      <c r="S10" s="80"/>
      <c r="T10" s="80"/>
    </row>
    <row r="11" spans="1:27" ht="15" thickBot="1" x14ac:dyDescent="0.4">
      <c r="B11" s="107" t="s">
        <v>589</v>
      </c>
      <c r="C11" s="108"/>
      <c r="D11" s="109"/>
      <c r="F11" s="107" t="s">
        <v>589</v>
      </c>
      <c r="G11" s="108"/>
      <c r="H11" s="109"/>
      <c r="J11" s="107" t="s">
        <v>589</v>
      </c>
      <c r="K11" s="108"/>
      <c r="L11" s="109"/>
      <c r="N11" s="107" t="s">
        <v>589</v>
      </c>
      <c r="O11" s="108"/>
      <c r="P11" s="109"/>
      <c r="R11" s="107" t="s">
        <v>589</v>
      </c>
      <c r="S11" s="108"/>
      <c r="T11" s="109"/>
    </row>
    <row r="12" spans="1:27" x14ac:dyDescent="0.35">
      <c r="B12" s="98" t="s">
        <v>56</v>
      </c>
      <c r="C12" s="82" t="s">
        <v>590</v>
      </c>
      <c r="D12" s="99" t="s">
        <v>591</v>
      </c>
      <c r="E12" s="81"/>
      <c r="F12" s="98" t="s">
        <v>56</v>
      </c>
      <c r="G12" s="82" t="s">
        <v>590</v>
      </c>
      <c r="H12" s="99" t="s">
        <v>591</v>
      </c>
      <c r="I12" s="81"/>
      <c r="J12" s="98" t="s">
        <v>56</v>
      </c>
      <c r="K12" s="82" t="s">
        <v>590</v>
      </c>
      <c r="L12" s="99" t="s">
        <v>591</v>
      </c>
      <c r="M12" s="81"/>
      <c r="N12" s="98" t="s">
        <v>56</v>
      </c>
      <c r="O12" s="82" t="s">
        <v>590</v>
      </c>
      <c r="P12" s="99" t="s">
        <v>591</v>
      </c>
      <c r="Q12" s="81"/>
      <c r="R12" s="98" t="s">
        <v>56</v>
      </c>
      <c r="S12" s="82" t="s">
        <v>590</v>
      </c>
      <c r="T12" s="99" t="s">
        <v>591</v>
      </c>
      <c r="U12" s="81"/>
      <c r="V12" s="4" t="s">
        <v>533</v>
      </c>
      <c r="W12" s="4" t="str">
        <f>B1</f>
        <v>not flix</v>
      </c>
      <c r="X12" s="4">
        <f>F1</f>
        <v>2</v>
      </c>
      <c r="Y12" s="4">
        <f>J1</f>
        <v>3</v>
      </c>
      <c r="Z12" s="4">
        <f>N1</f>
        <v>4</v>
      </c>
      <c r="AA12" s="4">
        <f>R1</f>
        <v>5</v>
      </c>
    </row>
    <row r="13" spans="1:27" x14ac:dyDescent="0.35">
      <c r="A13" s="81"/>
      <c r="B13" s="88">
        <v>43831</v>
      </c>
      <c r="C13" s="104">
        <v>1</v>
      </c>
      <c r="D13" s="89"/>
      <c r="E13" s="81"/>
      <c r="F13" s="88">
        <v>43831</v>
      </c>
      <c r="G13" s="104">
        <v>3</v>
      </c>
      <c r="H13" s="89"/>
      <c r="I13" s="81"/>
      <c r="J13" s="88">
        <v>43831</v>
      </c>
      <c r="K13" s="104">
        <v>1</v>
      </c>
      <c r="L13" s="89"/>
      <c r="M13" s="81"/>
      <c r="N13" s="88">
        <v>43831</v>
      </c>
      <c r="O13" s="85">
        <v>1</v>
      </c>
      <c r="P13" s="89"/>
      <c r="Q13" s="81"/>
      <c r="R13" s="88">
        <v>43831</v>
      </c>
      <c r="S13" s="104">
        <v>12</v>
      </c>
      <c r="T13" s="89"/>
      <c r="U13" s="81"/>
      <c r="V13" s="106">
        <f>R13</f>
        <v>43831</v>
      </c>
      <c r="W13" s="4">
        <f>C13</f>
        <v>1</v>
      </c>
      <c r="X13" s="4">
        <f>G13</f>
        <v>3</v>
      </c>
      <c r="Y13" s="4">
        <f>K13</f>
        <v>1</v>
      </c>
      <c r="Z13" s="4">
        <f>O13</f>
        <v>1</v>
      </c>
      <c r="AA13" s="4">
        <f>S13</f>
        <v>12</v>
      </c>
    </row>
    <row r="14" spans="1:27" x14ac:dyDescent="0.35">
      <c r="A14" s="81"/>
      <c r="B14" s="90">
        <v>43832</v>
      </c>
      <c r="C14" s="105">
        <v>1</v>
      </c>
      <c r="D14" s="91">
        <f>C14/C13-1</f>
        <v>0</v>
      </c>
      <c r="E14" s="81"/>
      <c r="F14" s="90">
        <v>43832</v>
      </c>
      <c r="G14" s="105">
        <v>4</v>
      </c>
      <c r="H14" s="91">
        <f>G14/G13-1</f>
        <v>0.33333333333333326</v>
      </c>
      <c r="I14" s="81"/>
      <c r="J14" s="90">
        <v>43832</v>
      </c>
      <c r="K14" s="105">
        <v>2</v>
      </c>
      <c r="L14" s="91">
        <f>K14/K13-1</f>
        <v>1</v>
      </c>
      <c r="M14" s="81"/>
      <c r="N14" s="90">
        <v>43832</v>
      </c>
      <c r="O14" s="105">
        <v>9</v>
      </c>
      <c r="P14" s="91">
        <f>O14/O13-1</f>
        <v>8</v>
      </c>
      <c r="Q14" s="81"/>
      <c r="R14" s="90">
        <v>43832</v>
      </c>
      <c r="S14" s="105">
        <v>12</v>
      </c>
      <c r="T14" s="91">
        <f>S14/S13-1</f>
        <v>0</v>
      </c>
      <c r="U14" s="81"/>
      <c r="V14" s="106">
        <f>R14</f>
        <v>43832</v>
      </c>
      <c r="W14" s="4">
        <f>C14</f>
        <v>1</v>
      </c>
      <c r="X14" s="4">
        <f>G14</f>
        <v>4</v>
      </c>
      <c r="Y14" s="4">
        <f>K14</f>
        <v>2</v>
      </c>
      <c r="Z14" s="4">
        <f>O14</f>
        <v>9</v>
      </c>
      <c r="AA14" s="4">
        <f>S14</f>
        <v>12</v>
      </c>
    </row>
    <row r="15" spans="1:27" x14ac:dyDescent="0.35">
      <c r="A15" s="81"/>
      <c r="B15" s="88">
        <v>43833</v>
      </c>
      <c r="C15" s="104">
        <v>1</v>
      </c>
      <c r="D15" s="92">
        <f>C15/(C14)-1</f>
        <v>0</v>
      </c>
      <c r="E15" s="81"/>
      <c r="F15" s="88">
        <v>43833</v>
      </c>
      <c r="G15" s="104">
        <v>4</v>
      </c>
      <c r="H15" s="92">
        <f>G15/(G14)-1</f>
        <v>0</v>
      </c>
      <c r="I15" s="81"/>
      <c r="J15" s="88">
        <v>43833</v>
      </c>
      <c r="K15" s="104">
        <v>3</v>
      </c>
      <c r="L15" s="92">
        <f>K15/(K14)-1</f>
        <v>0.5</v>
      </c>
      <c r="M15" s="81"/>
      <c r="N15" s="88">
        <v>43833</v>
      </c>
      <c r="O15" s="104">
        <v>9</v>
      </c>
      <c r="P15" s="92">
        <f>O15/(O14)-1</f>
        <v>0</v>
      </c>
      <c r="Q15" s="81"/>
      <c r="R15" s="88">
        <v>43833</v>
      </c>
      <c r="S15" s="104">
        <v>12</v>
      </c>
      <c r="T15" s="92">
        <f>S15/(S14)-1</f>
        <v>0</v>
      </c>
      <c r="U15" s="81"/>
      <c r="V15" s="106">
        <f t="shared" ref="V15:V78" si="0">R15</f>
        <v>43833</v>
      </c>
      <c r="W15" s="4">
        <f t="shared" ref="W15:W78" si="1">C15</f>
        <v>1</v>
      </c>
      <c r="X15" s="4">
        <f t="shared" ref="X15:X78" si="2">G15</f>
        <v>4</v>
      </c>
      <c r="Y15" s="4">
        <f t="shared" ref="Y15:Y78" si="3">K15</f>
        <v>3</v>
      </c>
      <c r="Z15" s="4">
        <f t="shared" ref="Z15:Z78" si="4">O15</f>
        <v>9</v>
      </c>
      <c r="AA15" s="4">
        <f t="shared" ref="AA15:AA78" si="5">S15</f>
        <v>12</v>
      </c>
    </row>
    <row r="16" spans="1:27" x14ac:dyDescent="0.35">
      <c r="A16" s="81"/>
      <c r="B16" s="90">
        <v>43834</v>
      </c>
      <c r="C16" s="105">
        <v>1</v>
      </c>
      <c r="D16" s="91">
        <f t="shared" ref="D16" si="6">C16/C15-1</f>
        <v>0</v>
      </c>
      <c r="E16" s="81"/>
      <c r="F16" s="90">
        <v>43834</v>
      </c>
      <c r="G16" s="105">
        <v>4</v>
      </c>
      <c r="H16" s="91">
        <f t="shared" ref="H16" si="7">G16/G15-1</f>
        <v>0</v>
      </c>
      <c r="I16" s="81"/>
      <c r="J16" s="90">
        <v>43834</v>
      </c>
      <c r="K16" s="105">
        <v>4</v>
      </c>
      <c r="L16" s="91">
        <f t="shared" ref="L16" si="8">K16/K15-1</f>
        <v>0.33333333333333326</v>
      </c>
      <c r="M16" s="81"/>
      <c r="N16" s="90">
        <v>43834</v>
      </c>
      <c r="O16" s="105">
        <v>9</v>
      </c>
      <c r="P16" s="91">
        <f t="shared" ref="P16" si="9">O16/O15-1</f>
        <v>0</v>
      </c>
      <c r="Q16" s="81"/>
      <c r="R16" s="90">
        <v>43834</v>
      </c>
      <c r="S16" s="105">
        <v>12</v>
      </c>
      <c r="T16" s="91">
        <f t="shared" ref="T16" si="10">S16/S15-1</f>
        <v>0</v>
      </c>
      <c r="U16" s="81"/>
      <c r="V16" s="106">
        <f t="shared" si="0"/>
        <v>43834</v>
      </c>
      <c r="W16" s="4">
        <f t="shared" si="1"/>
        <v>1</v>
      </c>
      <c r="X16" s="4">
        <f t="shared" si="2"/>
        <v>4</v>
      </c>
      <c r="Y16" s="4">
        <f t="shared" si="3"/>
        <v>4</v>
      </c>
      <c r="Z16" s="4">
        <f t="shared" si="4"/>
        <v>9</v>
      </c>
      <c r="AA16" s="4">
        <f t="shared" si="5"/>
        <v>12</v>
      </c>
    </row>
    <row r="17" spans="1:27" x14ac:dyDescent="0.35">
      <c r="A17" s="81"/>
      <c r="B17" s="88">
        <v>43835</v>
      </c>
      <c r="C17" s="104">
        <v>1</v>
      </c>
      <c r="D17" s="92">
        <f t="shared" ref="D17" si="11">C17/(C16)-1</f>
        <v>0</v>
      </c>
      <c r="E17" s="81"/>
      <c r="F17" s="88">
        <v>43835</v>
      </c>
      <c r="G17" s="104">
        <v>4</v>
      </c>
      <c r="H17" s="92">
        <f t="shared" ref="H17" si="12">G17/(G16)-1</f>
        <v>0</v>
      </c>
      <c r="I17" s="81"/>
      <c r="J17" s="88">
        <v>43835</v>
      </c>
      <c r="K17" s="104">
        <v>5</v>
      </c>
      <c r="L17" s="92">
        <f t="shared" ref="L17" si="13">K17/(K16)-1</f>
        <v>0.25</v>
      </c>
      <c r="M17" s="81"/>
      <c r="N17" s="88">
        <v>43835</v>
      </c>
      <c r="O17" s="104">
        <v>9</v>
      </c>
      <c r="P17" s="92">
        <f t="shared" ref="P17" si="14">O17/(O16)-1</f>
        <v>0</v>
      </c>
      <c r="Q17" s="81"/>
      <c r="R17" s="88">
        <v>43835</v>
      </c>
      <c r="S17" s="104">
        <v>12</v>
      </c>
      <c r="T17" s="92">
        <f t="shared" ref="T17" si="15">S17/(S16)-1</f>
        <v>0</v>
      </c>
      <c r="U17" s="81"/>
      <c r="V17" s="106">
        <f t="shared" si="0"/>
        <v>43835</v>
      </c>
      <c r="W17" s="4">
        <f t="shared" si="1"/>
        <v>1</v>
      </c>
      <c r="X17" s="4">
        <f t="shared" si="2"/>
        <v>4</v>
      </c>
      <c r="Y17" s="4">
        <f t="shared" si="3"/>
        <v>5</v>
      </c>
      <c r="Z17" s="4">
        <f t="shared" si="4"/>
        <v>9</v>
      </c>
      <c r="AA17" s="4">
        <f t="shared" si="5"/>
        <v>12</v>
      </c>
    </row>
    <row r="18" spans="1:27" x14ac:dyDescent="0.35">
      <c r="A18" s="81"/>
      <c r="B18" s="90">
        <v>43836</v>
      </c>
      <c r="C18" s="105">
        <v>1</v>
      </c>
      <c r="D18" s="91">
        <f t="shared" ref="D18" si="16">C18/C17-1</f>
        <v>0</v>
      </c>
      <c r="E18" s="81"/>
      <c r="F18" s="90">
        <v>43836</v>
      </c>
      <c r="G18" s="105">
        <v>4</v>
      </c>
      <c r="H18" s="91">
        <f t="shared" ref="H18" si="17">G18/G17-1</f>
        <v>0</v>
      </c>
      <c r="I18" s="81"/>
      <c r="J18" s="90">
        <v>43836</v>
      </c>
      <c r="K18" s="105">
        <v>6</v>
      </c>
      <c r="L18" s="91">
        <f t="shared" ref="L18" si="18">K18/K17-1</f>
        <v>0.19999999999999996</v>
      </c>
      <c r="M18" s="81"/>
      <c r="N18" s="90">
        <v>43836</v>
      </c>
      <c r="O18" s="105">
        <v>9</v>
      </c>
      <c r="P18" s="91">
        <f t="shared" ref="P18" si="19">O18/O17-1</f>
        <v>0</v>
      </c>
      <c r="Q18" s="81"/>
      <c r="R18" s="90">
        <v>43836</v>
      </c>
      <c r="S18" s="105">
        <v>12</v>
      </c>
      <c r="T18" s="91">
        <f t="shared" ref="T18" si="20">S18/S17-1</f>
        <v>0</v>
      </c>
      <c r="U18" s="81"/>
      <c r="V18" s="106">
        <f t="shared" si="0"/>
        <v>43836</v>
      </c>
      <c r="W18" s="4">
        <f t="shared" si="1"/>
        <v>1</v>
      </c>
      <c r="X18" s="4">
        <f t="shared" si="2"/>
        <v>4</v>
      </c>
      <c r="Y18" s="4">
        <f t="shared" si="3"/>
        <v>6</v>
      </c>
      <c r="Z18" s="4">
        <f t="shared" si="4"/>
        <v>9</v>
      </c>
      <c r="AA18" s="4">
        <f t="shared" si="5"/>
        <v>12</v>
      </c>
    </row>
    <row r="19" spans="1:27" x14ac:dyDescent="0.35">
      <c r="A19" s="81"/>
      <c r="B19" s="88">
        <v>43837</v>
      </c>
      <c r="C19" s="104">
        <v>1</v>
      </c>
      <c r="D19" s="92">
        <f t="shared" ref="D19" si="21">C19/(C18)-1</f>
        <v>0</v>
      </c>
      <c r="E19" s="81"/>
      <c r="F19" s="88">
        <v>43837</v>
      </c>
      <c r="G19" s="104">
        <v>4</v>
      </c>
      <c r="H19" s="92">
        <f t="shared" ref="H19" si="22">G19/(G18)-1</f>
        <v>0</v>
      </c>
      <c r="I19" s="81"/>
      <c r="J19" s="88">
        <v>43837</v>
      </c>
      <c r="K19" s="104">
        <v>7</v>
      </c>
      <c r="L19" s="92">
        <f t="shared" ref="L19" si="23">K19/(K18)-1</f>
        <v>0.16666666666666674</v>
      </c>
      <c r="M19" s="81"/>
      <c r="N19" s="88">
        <v>43837</v>
      </c>
      <c r="O19" s="104">
        <v>9</v>
      </c>
      <c r="P19" s="92">
        <f t="shared" ref="P19" si="24">O19/(O18)-1</f>
        <v>0</v>
      </c>
      <c r="Q19" s="81"/>
      <c r="R19" s="88">
        <v>43837</v>
      </c>
      <c r="S19" s="104">
        <v>12</v>
      </c>
      <c r="T19" s="92">
        <f t="shared" ref="T19" si="25">S19/(S18)-1</f>
        <v>0</v>
      </c>
      <c r="U19" s="81"/>
      <c r="V19" s="106">
        <f t="shared" si="0"/>
        <v>43837</v>
      </c>
      <c r="W19" s="4">
        <f t="shared" si="1"/>
        <v>1</v>
      </c>
      <c r="X19" s="4">
        <f t="shared" si="2"/>
        <v>4</v>
      </c>
      <c r="Y19" s="4">
        <f t="shared" si="3"/>
        <v>7</v>
      </c>
      <c r="Z19" s="4">
        <f t="shared" si="4"/>
        <v>9</v>
      </c>
      <c r="AA19" s="4">
        <f t="shared" si="5"/>
        <v>12</v>
      </c>
    </row>
    <row r="20" spans="1:27" x14ac:dyDescent="0.35">
      <c r="A20" s="81"/>
      <c r="B20" s="90">
        <v>43838</v>
      </c>
      <c r="C20" s="105">
        <v>1</v>
      </c>
      <c r="D20" s="91">
        <f t="shared" ref="D20" si="26">C20/C19-1</f>
        <v>0</v>
      </c>
      <c r="E20" s="81"/>
      <c r="F20" s="90">
        <v>43838</v>
      </c>
      <c r="G20" s="105">
        <v>4</v>
      </c>
      <c r="H20" s="91">
        <f t="shared" ref="H20" si="27">G20/G19-1</f>
        <v>0</v>
      </c>
      <c r="I20" s="81"/>
      <c r="J20" s="90">
        <v>43838</v>
      </c>
      <c r="K20" s="105">
        <v>8</v>
      </c>
      <c r="L20" s="91">
        <f t="shared" ref="L20" si="28">K20/K19-1</f>
        <v>0.14285714285714279</v>
      </c>
      <c r="M20" s="81"/>
      <c r="N20" s="90">
        <v>43838</v>
      </c>
      <c r="O20" s="105">
        <v>9</v>
      </c>
      <c r="P20" s="91">
        <f t="shared" ref="P20" si="29">O20/O19-1</f>
        <v>0</v>
      </c>
      <c r="Q20" s="81"/>
      <c r="R20" s="90">
        <v>43838</v>
      </c>
      <c r="S20" s="105">
        <v>12</v>
      </c>
      <c r="T20" s="91">
        <f t="shared" ref="T20" si="30">S20/S19-1</f>
        <v>0</v>
      </c>
      <c r="U20" s="81"/>
      <c r="V20" s="106">
        <f t="shared" si="0"/>
        <v>43838</v>
      </c>
      <c r="W20" s="4">
        <f t="shared" si="1"/>
        <v>1</v>
      </c>
      <c r="X20" s="4">
        <f t="shared" si="2"/>
        <v>4</v>
      </c>
      <c r="Y20" s="4">
        <f t="shared" si="3"/>
        <v>8</v>
      </c>
      <c r="Z20" s="4">
        <f t="shared" si="4"/>
        <v>9</v>
      </c>
      <c r="AA20" s="4">
        <f t="shared" si="5"/>
        <v>12</v>
      </c>
    </row>
    <row r="21" spans="1:27" x14ac:dyDescent="0.35">
      <c r="A21" s="81"/>
      <c r="B21" s="88">
        <v>43839</v>
      </c>
      <c r="C21" s="104">
        <v>1</v>
      </c>
      <c r="D21" s="92">
        <f t="shared" ref="D21" si="31">C21/(C20)-1</f>
        <v>0</v>
      </c>
      <c r="E21" s="81"/>
      <c r="F21" s="88">
        <v>43839</v>
      </c>
      <c r="G21" s="104">
        <v>4</v>
      </c>
      <c r="H21" s="92">
        <f t="shared" ref="H21" si="32">G21/(G20)-1</f>
        <v>0</v>
      </c>
      <c r="I21" s="81"/>
      <c r="J21" s="88">
        <v>43839</v>
      </c>
      <c r="K21" s="104">
        <v>9</v>
      </c>
      <c r="L21" s="92">
        <f t="shared" ref="L21" si="33">K21/(K20)-1</f>
        <v>0.125</v>
      </c>
      <c r="M21" s="81"/>
      <c r="N21" s="88">
        <v>43839</v>
      </c>
      <c r="O21" s="104">
        <v>9</v>
      </c>
      <c r="P21" s="92">
        <f t="shared" ref="P21" si="34">O21/(O20)-1</f>
        <v>0</v>
      </c>
      <c r="Q21" s="81"/>
      <c r="R21" s="88">
        <v>43839</v>
      </c>
      <c r="S21" s="104">
        <v>12</v>
      </c>
      <c r="T21" s="92">
        <f t="shared" ref="T21" si="35">S21/(S20)-1</f>
        <v>0</v>
      </c>
      <c r="U21" s="81"/>
      <c r="V21" s="106">
        <f t="shared" si="0"/>
        <v>43839</v>
      </c>
      <c r="W21" s="4">
        <f t="shared" si="1"/>
        <v>1</v>
      </c>
      <c r="X21" s="4">
        <f t="shared" si="2"/>
        <v>4</v>
      </c>
      <c r="Y21" s="4">
        <f t="shared" si="3"/>
        <v>9</v>
      </c>
      <c r="Z21" s="4">
        <f t="shared" si="4"/>
        <v>9</v>
      </c>
      <c r="AA21" s="4">
        <f t="shared" si="5"/>
        <v>12</v>
      </c>
    </row>
    <row r="22" spans="1:27" x14ac:dyDescent="0.35">
      <c r="A22" s="81"/>
      <c r="B22" s="90">
        <v>43840</v>
      </c>
      <c r="C22" s="105">
        <v>1</v>
      </c>
      <c r="D22" s="91">
        <f t="shared" ref="D22" si="36">C22/C21-1</f>
        <v>0</v>
      </c>
      <c r="E22" s="81"/>
      <c r="F22" s="90">
        <v>43840</v>
      </c>
      <c r="G22" s="105">
        <v>5</v>
      </c>
      <c r="H22" s="91">
        <f t="shared" ref="H22" si="37">G22/G21-1</f>
        <v>0.25</v>
      </c>
      <c r="I22" s="81"/>
      <c r="J22" s="90">
        <v>43840</v>
      </c>
      <c r="K22" s="105">
        <v>10</v>
      </c>
      <c r="L22" s="91">
        <f t="shared" ref="L22" si="38">K22/K21-1</f>
        <v>0.11111111111111116</v>
      </c>
      <c r="M22" s="81"/>
      <c r="N22" s="90">
        <v>43840</v>
      </c>
      <c r="O22" s="105">
        <v>99</v>
      </c>
      <c r="P22" s="91">
        <f t="shared" ref="P22" si="39">O22/O21-1</f>
        <v>10</v>
      </c>
      <c r="Q22" s="81"/>
      <c r="R22" s="90">
        <v>43840</v>
      </c>
      <c r="S22" s="105">
        <v>12</v>
      </c>
      <c r="T22" s="91">
        <f t="shared" ref="T22" si="40">S22/S21-1</f>
        <v>0</v>
      </c>
      <c r="U22" s="81"/>
      <c r="V22" s="106">
        <f t="shared" si="0"/>
        <v>43840</v>
      </c>
      <c r="W22" s="4">
        <f t="shared" si="1"/>
        <v>1</v>
      </c>
      <c r="X22" s="4">
        <f t="shared" si="2"/>
        <v>5</v>
      </c>
      <c r="Y22" s="4">
        <f t="shared" si="3"/>
        <v>10</v>
      </c>
      <c r="Z22" s="4">
        <f t="shared" si="4"/>
        <v>99</v>
      </c>
      <c r="AA22" s="4">
        <f t="shared" si="5"/>
        <v>12</v>
      </c>
    </row>
    <row r="23" spans="1:27" x14ac:dyDescent="0.35">
      <c r="A23" s="81"/>
      <c r="B23" s="88">
        <v>43841</v>
      </c>
      <c r="C23" s="104">
        <v>1</v>
      </c>
      <c r="D23" s="92">
        <f t="shared" ref="D23" si="41">C23/(C22)-1</f>
        <v>0</v>
      </c>
      <c r="E23" s="81"/>
      <c r="F23" s="88">
        <v>43841</v>
      </c>
      <c r="G23" s="104">
        <v>54</v>
      </c>
      <c r="H23" s="92">
        <f t="shared" ref="H23" si="42">G23/(G22)-1</f>
        <v>9.8000000000000007</v>
      </c>
      <c r="I23" s="81"/>
      <c r="J23" s="88">
        <v>43841</v>
      </c>
      <c r="K23" s="104">
        <v>11</v>
      </c>
      <c r="L23" s="92">
        <f t="shared" ref="L23" si="43">K23/(K22)-1</f>
        <v>0.10000000000000009</v>
      </c>
      <c r="M23" s="81"/>
      <c r="N23" s="88">
        <v>43841</v>
      </c>
      <c r="O23" s="104">
        <v>9</v>
      </c>
      <c r="P23" s="92">
        <f t="shared" ref="P23" si="44">O23/(O22)-1</f>
        <v>-0.90909090909090906</v>
      </c>
      <c r="Q23" s="81"/>
      <c r="R23" s="88">
        <v>43841</v>
      </c>
      <c r="S23" s="104">
        <v>12</v>
      </c>
      <c r="T23" s="92">
        <f t="shared" ref="T23" si="45">S23/(S22)-1</f>
        <v>0</v>
      </c>
      <c r="U23" s="81"/>
      <c r="V23" s="106">
        <f t="shared" si="0"/>
        <v>43841</v>
      </c>
      <c r="W23" s="4">
        <f t="shared" si="1"/>
        <v>1</v>
      </c>
      <c r="X23" s="4">
        <f t="shared" si="2"/>
        <v>54</v>
      </c>
      <c r="Y23" s="4">
        <f t="shared" si="3"/>
        <v>11</v>
      </c>
      <c r="Z23" s="4">
        <f t="shared" si="4"/>
        <v>9</v>
      </c>
      <c r="AA23" s="4">
        <f t="shared" si="5"/>
        <v>12</v>
      </c>
    </row>
    <row r="24" spans="1:27" x14ac:dyDescent="0.35">
      <c r="A24" s="81"/>
      <c r="B24" s="90">
        <v>43842</v>
      </c>
      <c r="C24" s="105">
        <v>1</v>
      </c>
      <c r="D24" s="91">
        <f t="shared" ref="D24" si="46">C24/C23-1</f>
        <v>0</v>
      </c>
      <c r="E24" s="81"/>
      <c r="F24" s="90">
        <v>43842</v>
      </c>
      <c r="G24" s="105">
        <v>5</v>
      </c>
      <c r="H24" s="91">
        <f t="shared" ref="H24" si="47">G24/G23-1</f>
        <v>-0.90740740740740744</v>
      </c>
      <c r="I24" s="81"/>
      <c r="J24" s="90">
        <v>43842</v>
      </c>
      <c r="K24" s="105">
        <v>12</v>
      </c>
      <c r="L24" s="91">
        <f t="shared" ref="L24" si="48">K24/K23-1</f>
        <v>9.0909090909090828E-2</v>
      </c>
      <c r="M24" s="81"/>
      <c r="N24" s="90">
        <v>43842</v>
      </c>
      <c r="O24" s="105">
        <v>9</v>
      </c>
      <c r="P24" s="91">
        <f t="shared" ref="P24" si="49">O24/O23-1</f>
        <v>0</v>
      </c>
      <c r="Q24" s="81"/>
      <c r="R24" s="90">
        <v>43842</v>
      </c>
      <c r="S24" s="105">
        <v>12</v>
      </c>
      <c r="T24" s="91">
        <f t="shared" ref="T24" si="50">S24/S23-1</f>
        <v>0</v>
      </c>
      <c r="U24" s="81"/>
      <c r="V24" s="106">
        <f t="shared" si="0"/>
        <v>43842</v>
      </c>
      <c r="W24" s="4">
        <f t="shared" si="1"/>
        <v>1</v>
      </c>
      <c r="X24" s="4">
        <f t="shared" si="2"/>
        <v>5</v>
      </c>
      <c r="Y24" s="4">
        <f t="shared" si="3"/>
        <v>12</v>
      </c>
      <c r="Z24" s="4">
        <f t="shared" si="4"/>
        <v>9</v>
      </c>
      <c r="AA24" s="4">
        <f t="shared" si="5"/>
        <v>12</v>
      </c>
    </row>
    <row r="25" spans="1:27" x14ac:dyDescent="0.35">
      <c r="A25" s="81"/>
      <c r="B25" s="88">
        <v>43843</v>
      </c>
      <c r="C25" s="104">
        <v>1</v>
      </c>
      <c r="D25" s="92">
        <f t="shared" ref="D25" si="51">C25/(C24)-1</f>
        <v>0</v>
      </c>
      <c r="E25" s="81"/>
      <c r="F25" s="88">
        <v>43843</v>
      </c>
      <c r="G25" s="104">
        <v>6</v>
      </c>
      <c r="H25" s="92">
        <f t="shared" ref="H25" si="52">G25/(G24)-1</f>
        <v>0.19999999999999996</v>
      </c>
      <c r="I25" s="81"/>
      <c r="J25" s="88">
        <v>43843</v>
      </c>
      <c r="K25" s="104">
        <v>13</v>
      </c>
      <c r="L25" s="92">
        <f t="shared" ref="L25" si="53">K25/(K24)-1</f>
        <v>8.3333333333333259E-2</v>
      </c>
      <c r="M25" s="81"/>
      <c r="N25" s="88">
        <v>43843</v>
      </c>
      <c r="O25" s="104">
        <v>13</v>
      </c>
      <c r="P25" s="92">
        <f t="shared" ref="P25" si="54">O25/(O24)-1</f>
        <v>0.44444444444444442</v>
      </c>
      <c r="Q25" s="81"/>
      <c r="R25" s="88">
        <v>43843</v>
      </c>
      <c r="S25" s="104">
        <v>13</v>
      </c>
      <c r="T25" s="92">
        <f t="shared" ref="T25" si="55">S25/(S24)-1</f>
        <v>8.3333333333333259E-2</v>
      </c>
      <c r="U25" s="81"/>
      <c r="V25" s="106">
        <f t="shared" si="0"/>
        <v>43843</v>
      </c>
      <c r="W25" s="4">
        <f t="shared" si="1"/>
        <v>1</v>
      </c>
      <c r="X25" s="4">
        <f t="shared" si="2"/>
        <v>6</v>
      </c>
      <c r="Y25" s="4">
        <f t="shared" si="3"/>
        <v>13</v>
      </c>
      <c r="Z25" s="4">
        <f t="shared" si="4"/>
        <v>13</v>
      </c>
      <c r="AA25" s="4">
        <f t="shared" si="5"/>
        <v>13</v>
      </c>
    </row>
    <row r="26" spans="1:27" x14ac:dyDescent="0.35">
      <c r="A26" s="81"/>
      <c r="B26" s="90">
        <v>43844</v>
      </c>
      <c r="C26" s="105">
        <v>1</v>
      </c>
      <c r="D26" s="91">
        <f t="shared" ref="D26" si="56">C26/C25-1</f>
        <v>0</v>
      </c>
      <c r="E26" s="81"/>
      <c r="F26" s="90">
        <v>43844</v>
      </c>
      <c r="G26" s="105">
        <v>45</v>
      </c>
      <c r="H26" s="91">
        <f t="shared" ref="H26" si="57">G26/G25-1</f>
        <v>6.5</v>
      </c>
      <c r="I26" s="81"/>
      <c r="J26" s="90">
        <v>43844</v>
      </c>
      <c r="K26" s="105">
        <v>14</v>
      </c>
      <c r="L26" s="91">
        <f t="shared" ref="L26" si="58">K26/K25-1</f>
        <v>7.6923076923076872E-2</v>
      </c>
      <c r="M26" s="81"/>
      <c r="N26" s="90">
        <v>43844</v>
      </c>
      <c r="O26" s="105">
        <v>9</v>
      </c>
      <c r="P26" s="91">
        <f t="shared" ref="P26" si="59">O26/O25-1</f>
        <v>-0.30769230769230771</v>
      </c>
      <c r="Q26" s="81"/>
      <c r="R26" s="90">
        <v>43844</v>
      </c>
      <c r="S26" s="105">
        <v>14</v>
      </c>
      <c r="T26" s="91">
        <f t="shared" ref="T26" si="60">S26/S25-1</f>
        <v>7.6923076923076872E-2</v>
      </c>
      <c r="U26" s="81"/>
      <c r="V26" s="106">
        <f t="shared" si="0"/>
        <v>43844</v>
      </c>
      <c r="W26" s="4">
        <f t="shared" si="1"/>
        <v>1</v>
      </c>
      <c r="X26" s="4">
        <f t="shared" si="2"/>
        <v>45</v>
      </c>
      <c r="Y26" s="4">
        <f t="shared" si="3"/>
        <v>14</v>
      </c>
      <c r="Z26" s="4">
        <f t="shared" si="4"/>
        <v>9</v>
      </c>
      <c r="AA26" s="4">
        <f t="shared" si="5"/>
        <v>14</v>
      </c>
    </row>
    <row r="27" spans="1:27" x14ac:dyDescent="0.35">
      <c r="A27" s="81"/>
      <c r="B27" s="88">
        <v>43845</v>
      </c>
      <c r="C27" s="104">
        <v>1</v>
      </c>
      <c r="D27" s="92">
        <f t="shared" ref="D27" si="61">C27/(C26)-1</f>
        <v>0</v>
      </c>
      <c r="E27" s="81"/>
      <c r="F27" s="88">
        <v>43845</v>
      </c>
      <c r="G27" s="104">
        <v>8</v>
      </c>
      <c r="H27" s="92">
        <f t="shared" ref="H27" si="62">G27/(G26)-1</f>
        <v>-0.82222222222222219</v>
      </c>
      <c r="I27" s="81"/>
      <c r="J27" s="88">
        <v>43845</v>
      </c>
      <c r="K27" s="104">
        <v>15</v>
      </c>
      <c r="L27" s="92">
        <f t="shared" ref="L27" si="63">K27/(K26)-1</f>
        <v>7.1428571428571397E-2</v>
      </c>
      <c r="M27" s="81"/>
      <c r="N27" s="88">
        <v>43845</v>
      </c>
      <c r="O27" s="104">
        <v>9</v>
      </c>
      <c r="P27" s="92">
        <f t="shared" ref="P27" si="64">O27/(O26)-1</f>
        <v>0</v>
      </c>
      <c r="Q27" s="81"/>
      <c r="R27" s="88">
        <v>43845</v>
      </c>
      <c r="S27" s="104">
        <v>15</v>
      </c>
      <c r="T27" s="92">
        <f t="shared" ref="T27" si="65">S27/(S26)-1</f>
        <v>7.1428571428571397E-2</v>
      </c>
      <c r="U27" s="81"/>
      <c r="V27" s="106">
        <f t="shared" si="0"/>
        <v>43845</v>
      </c>
      <c r="W27" s="4">
        <f t="shared" si="1"/>
        <v>1</v>
      </c>
      <c r="X27" s="4">
        <f t="shared" si="2"/>
        <v>8</v>
      </c>
      <c r="Y27" s="4">
        <f t="shared" si="3"/>
        <v>15</v>
      </c>
      <c r="Z27" s="4">
        <f t="shared" si="4"/>
        <v>9</v>
      </c>
      <c r="AA27" s="4">
        <f t="shared" si="5"/>
        <v>15</v>
      </c>
    </row>
    <row r="28" spans="1:27" x14ac:dyDescent="0.35">
      <c r="A28" s="81"/>
      <c r="B28" s="90">
        <v>43846</v>
      </c>
      <c r="C28" s="105">
        <v>1</v>
      </c>
      <c r="D28" s="91">
        <f t="shared" ref="D28" si="66">C28/C27-1</f>
        <v>0</v>
      </c>
      <c r="E28" s="81"/>
      <c r="F28" s="90">
        <v>43846</v>
      </c>
      <c r="G28" s="105">
        <v>4</v>
      </c>
      <c r="H28" s="91">
        <f t="shared" ref="H28" si="67">G28/G27-1</f>
        <v>-0.5</v>
      </c>
      <c r="I28" s="81"/>
      <c r="J28" s="90">
        <v>43846</v>
      </c>
      <c r="K28" s="105">
        <v>16</v>
      </c>
      <c r="L28" s="91">
        <f t="shared" ref="L28" si="68">K28/K27-1</f>
        <v>6.6666666666666652E-2</v>
      </c>
      <c r="M28" s="81"/>
      <c r="N28" s="90">
        <v>43846</v>
      </c>
      <c r="O28" s="105">
        <v>9</v>
      </c>
      <c r="P28" s="91">
        <f t="shared" ref="P28" si="69">O28/O27-1</f>
        <v>0</v>
      </c>
      <c r="Q28" s="81"/>
      <c r="R28" s="90">
        <v>43846</v>
      </c>
      <c r="S28" s="105">
        <v>16</v>
      </c>
      <c r="T28" s="91">
        <f t="shared" ref="T28" si="70">S28/S27-1</f>
        <v>6.6666666666666652E-2</v>
      </c>
      <c r="U28" s="81"/>
      <c r="V28" s="106">
        <f t="shared" si="0"/>
        <v>43846</v>
      </c>
      <c r="W28" s="4">
        <f t="shared" si="1"/>
        <v>1</v>
      </c>
      <c r="X28" s="4">
        <f t="shared" si="2"/>
        <v>4</v>
      </c>
      <c r="Y28" s="4">
        <f t="shared" si="3"/>
        <v>16</v>
      </c>
      <c r="Z28" s="4">
        <f t="shared" si="4"/>
        <v>9</v>
      </c>
      <c r="AA28" s="4">
        <f t="shared" si="5"/>
        <v>16</v>
      </c>
    </row>
    <row r="29" spans="1:27" x14ac:dyDescent="0.35">
      <c r="A29" s="81"/>
      <c r="B29" s="88">
        <v>43847</v>
      </c>
      <c r="C29" s="104">
        <v>1</v>
      </c>
      <c r="D29" s="92">
        <f t="shared" ref="D29" si="71">C29/(C28)-1</f>
        <v>0</v>
      </c>
      <c r="E29" s="81"/>
      <c r="F29" s="88">
        <v>43847</v>
      </c>
      <c r="G29" s="104">
        <v>6</v>
      </c>
      <c r="H29" s="92">
        <f t="shared" ref="H29" si="72">G29/(G28)-1</f>
        <v>0.5</v>
      </c>
      <c r="I29" s="81"/>
      <c r="J29" s="88">
        <v>43847</v>
      </c>
      <c r="K29" s="104">
        <v>17</v>
      </c>
      <c r="L29" s="92">
        <f t="shared" ref="L29" si="73">K29/(K28)-1</f>
        <v>6.25E-2</v>
      </c>
      <c r="M29" s="81"/>
      <c r="N29" s="88">
        <v>43847</v>
      </c>
      <c r="O29" s="104">
        <v>9</v>
      </c>
      <c r="P29" s="92">
        <f t="shared" ref="P29" si="74">O29/(O28)-1</f>
        <v>0</v>
      </c>
      <c r="Q29" s="81"/>
      <c r="R29" s="88">
        <v>43847</v>
      </c>
      <c r="S29" s="104">
        <v>17</v>
      </c>
      <c r="T29" s="92">
        <f t="shared" ref="T29" si="75">S29/(S28)-1</f>
        <v>6.25E-2</v>
      </c>
      <c r="U29" s="81"/>
      <c r="V29" s="106">
        <f t="shared" si="0"/>
        <v>43847</v>
      </c>
      <c r="W29" s="4">
        <f t="shared" si="1"/>
        <v>1</v>
      </c>
      <c r="X29" s="4">
        <f t="shared" si="2"/>
        <v>6</v>
      </c>
      <c r="Y29" s="4">
        <f t="shared" si="3"/>
        <v>17</v>
      </c>
      <c r="Z29" s="4">
        <f t="shared" si="4"/>
        <v>9</v>
      </c>
      <c r="AA29" s="4">
        <f t="shared" si="5"/>
        <v>17</v>
      </c>
    </row>
    <row r="30" spans="1:27" x14ac:dyDescent="0.35">
      <c r="A30" s="81"/>
      <c r="B30" s="90">
        <v>43848</v>
      </c>
      <c r="C30" s="105">
        <v>18</v>
      </c>
      <c r="D30" s="91">
        <f t="shared" ref="D30" si="76">C30/C29-1</f>
        <v>17</v>
      </c>
      <c r="E30" s="81"/>
      <c r="F30" s="90">
        <v>43848</v>
      </c>
      <c r="G30" s="105">
        <v>63</v>
      </c>
      <c r="H30" s="91">
        <f t="shared" ref="H30" si="77">G30/G29-1</f>
        <v>9.5</v>
      </c>
      <c r="I30" s="81"/>
      <c r="J30" s="90">
        <v>43848</v>
      </c>
      <c r="K30" s="105">
        <v>18</v>
      </c>
      <c r="L30" s="91">
        <f t="shared" ref="L30" si="78">K30/K29-1</f>
        <v>5.8823529411764719E-2</v>
      </c>
      <c r="M30" s="81"/>
      <c r="N30" s="90">
        <v>43848</v>
      </c>
      <c r="O30" s="105">
        <v>9</v>
      </c>
      <c r="P30" s="91">
        <f t="shared" ref="P30" si="79">O30/O29-1</f>
        <v>0</v>
      </c>
      <c r="Q30" s="81"/>
      <c r="R30" s="90">
        <v>43848</v>
      </c>
      <c r="S30" s="105">
        <v>18</v>
      </c>
      <c r="T30" s="91">
        <f t="shared" ref="T30" si="80">S30/S29-1</f>
        <v>5.8823529411764719E-2</v>
      </c>
      <c r="U30" s="81"/>
      <c r="V30" s="106">
        <f t="shared" si="0"/>
        <v>43848</v>
      </c>
      <c r="W30" s="4">
        <f t="shared" si="1"/>
        <v>18</v>
      </c>
      <c r="X30" s="4">
        <f t="shared" si="2"/>
        <v>63</v>
      </c>
      <c r="Y30" s="4">
        <f t="shared" si="3"/>
        <v>18</v>
      </c>
      <c r="Z30" s="4">
        <f t="shared" si="4"/>
        <v>9</v>
      </c>
      <c r="AA30" s="4">
        <f t="shared" si="5"/>
        <v>18</v>
      </c>
    </row>
    <row r="31" spans="1:27" x14ac:dyDescent="0.35">
      <c r="A31" s="81"/>
      <c r="B31" s="88">
        <v>43849</v>
      </c>
      <c r="C31" s="104">
        <v>1</v>
      </c>
      <c r="D31" s="92">
        <f t="shared" ref="D31" si="81">C31/(C30)-1</f>
        <v>-0.94444444444444442</v>
      </c>
      <c r="E31" s="81"/>
      <c r="F31" s="88">
        <v>43849</v>
      </c>
      <c r="G31" s="104">
        <v>46</v>
      </c>
      <c r="H31" s="92">
        <f t="shared" ref="H31" si="82">G31/(G30)-1</f>
        <v>-0.26984126984126988</v>
      </c>
      <c r="I31" s="81"/>
      <c r="J31" s="88">
        <v>43849</v>
      </c>
      <c r="K31" s="104">
        <v>19</v>
      </c>
      <c r="L31" s="92">
        <f t="shared" ref="L31" si="83">K31/(K30)-1</f>
        <v>5.555555555555558E-2</v>
      </c>
      <c r="M31" s="81"/>
      <c r="N31" s="88">
        <v>43849</v>
      </c>
      <c r="O31" s="104">
        <v>99</v>
      </c>
      <c r="P31" s="92">
        <f t="shared" ref="P31" si="84">O31/(O30)-1</f>
        <v>10</v>
      </c>
      <c r="Q31" s="81"/>
      <c r="R31" s="88">
        <v>43849</v>
      </c>
      <c r="S31" s="104">
        <v>19</v>
      </c>
      <c r="T31" s="92">
        <f t="shared" ref="T31" si="85">S31/(S30)-1</f>
        <v>5.555555555555558E-2</v>
      </c>
      <c r="U31" s="81"/>
      <c r="V31" s="106">
        <f t="shared" si="0"/>
        <v>43849</v>
      </c>
      <c r="W31" s="4">
        <f t="shared" si="1"/>
        <v>1</v>
      </c>
      <c r="X31" s="4">
        <f t="shared" si="2"/>
        <v>46</v>
      </c>
      <c r="Y31" s="4">
        <f t="shared" si="3"/>
        <v>19</v>
      </c>
      <c r="Z31" s="4">
        <f t="shared" si="4"/>
        <v>99</v>
      </c>
      <c r="AA31" s="4">
        <f t="shared" si="5"/>
        <v>19</v>
      </c>
    </row>
    <row r="32" spans="1:27" x14ac:dyDescent="0.35">
      <c r="A32" s="81"/>
      <c r="B32" s="90">
        <v>43850</v>
      </c>
      <c r="C32" s="105">
        <v>1</v>
      </c>
      <c r="D32" s="91">
        <f t="shared" ref="D32" si="86">C32/C31-1</f>
        <v>0</v>
      </c>
      <c r="E32" s="81"/>
      <c r="F32" s="90">
        <v>43850</v>
      </c>
      <c r="G32" s="105">
        <v>20</v>
      </c>
      <c r="H32" s="91">
        <f t="shared" ref="H32" si="87">G32/G31-1</f>
        <v>-0.56521739130434789</v>
      </c>
      <c r="I32" s="81"/>
      <c r="J32" s="90">
        <v>43850</v>
      </c>
      <c r="K32" s="105">
        <v>20</v>
      </c>
      <c r="L32" s="91">
        <f t="shared" ref="L32" si="88">K32/K31-1</f>
        <v>5.2631578947368363E-2</v>
      </c>
      <c r="M32" s="81"/>
      <c r="N32" s="90">
        <v>43850</v>
      </c>
      <c r="O32" s="105">
        <v>9</v>
      </c>
      <c r="P32" s="91">
        <f t="shared" ref="P32" si="89">O32/O31-1</f>
        <v>-0.90909090909090906</v>
      </c>
      <c r="Q32" s="81"/>
      <c r="R32" s="90">
        <v>43850</v>
      </c>
      <c r="S32" s="105">
        <v>20</v>
      </c>
      <c r="T32" s="91">
        <f t="shared" ref="T32" si="90">S32/S31-1</f>
        <v>5.2631578947368363E-2</v>
      </c>
      <c r="U32" s="81"/>
      <c r="V32" s="106">
        <f t="shared" si="0"/>
        <v>43850</v>
      </c>
      <c r="W32" s="4">
        <f t="shared" si="1"/>
        <v>1</v>
      </c>
      <c r="X32" s="4">
        <f t="shared" si="2"/>
        <v>20</v>
      </c>
      <c r="Y32" s="4">
        <f t="shared" si="3"/>
        <v>20</v>
      </c>
      <c r="Z32" s="4">
        <f t="shared" si="4"/>
        <v>9</v>
      </c>
      <c r="AA32" s="4">
        <f t="shared" si="5"/>
        <v>20</v>
      </c>
    </row>
    <row r="33" spans="1:27" x14ac:dyDescent="0.35">
      <c r="A33" s="81"/>
      <c r="B33" s="88">
        <v>43851</v>
      </c>
      <c r="C33" s="104">
        <v>1</v>
      </c>
      <c r="D33" s="92">
        <f t="shared" ref="D33" si="91">C33/(C32)-1</f>
        <v>0</v>
      </c>
      <c r="E33" s="81"/>
      <c r="F33" s="88">
        <v>43851</v>
      </c>
      <c r="G33" s="104">
        <v>21</v>
      </c>
      <c r="H33" s="92">
        <f t="shared" ref="H33" si="92">G33/(G32)-1</f>
        <v>5.0000000000000044E-2</v>
      </c>
      <c r="I33" s="81"/>
      <c r="J33" s="88">
        <v>43851</v>
      </c>
      <c r="K33" s="104">
        <v>21</v>
      </c>
      <c r="L33" s="92">
        <f t="shared" ref="L33" si="93">K33/(K32)-1</f>
        <v>5.0000000000000044E-2</v>
      </c>
      <c r="M33" s="81"/>
      <c r="N33" s="88">
        <v>43851</v>
      </c>
      <c r="O33" s="104">
        <v>21</v>
      </c>
      <c r="P33" s="92">
        <f t="shared" ref="P33" si="94">O33/(O32)-1</f>
        <v>1.3333333333333335</v>
      </c>
      <c r="Q33" s="81"/>
      <c r="R33" s="88">
        <v>43851</v>
      </c>
      <c r="S33" s="104">
        <v>21</v>
      </c>
      <c r="T33" s="92">
        <f t="shared" ref="T33" si="95">S33/(S32)-1</f>
        <v>5.0000000000000044E-2</v>
      </c>
      <c r="U33" s="81"/>
      <c r="V33" s="106">
        <f t="shared" si="0"/>
        <v>43851</v>
      </c>
      <c r="W33" s="4">
        <f t="shared" si="1"/>
        <v>1</v>
      </c>
      <c r="X33" s="4">
        <f t="shared" si="2"/>
        <v>21</v>
      </c>
      <c r="Y33" s="4">
        <f t="shared" si="3"/>
        <v>21</v>
      </c>
      <c r="Z33" s="4">
        <f t="shared" si="4"/>
        <v>21</v>
      </c>
      <c r="AA33" s="4">
        <f t="shared" si="5"/>
        <v>21</v>
      </c>
    </row>
    <row r="34" spans="1:27" x14ac:dyDescent="0.35">
      <c r="A34" s="81"/>
      <c r="B34" s="90">
        <v>43852</v>
      </c>
      <c r="C34" s="105">
        <v>1</v>
      </c>
      <c r="D34" s="91">
        <f t="shared" ref="D34" si="96">C34/C33-1</f>
        <v>0</v>
      </c>
      <c r="E34" s="81"/>
      <c r="F34" s="90">
        <v>43852</v>
      </c>
      <c r="G34" s="105">
        <v>22</v>
      </c>
      <c r="H34" s="91">
        <f t="shared" ref="H34" si="97">G34/G33-1</f>
        <v>4.7619047619047672E-2</v>
      </c>
      <c r="I34" s="81"/>
      <c r="J34" s="90">
        <v>43852</v>
      </c>
      <c r="K34" s="105">
        <v>22</v>
      </c>
      <c r="L34" s="91">
        <f t="shared" ref="L34" si="98">K34/K33-1</f>
        <v>4.7619047619047672E-2</v>
      </c>
      <c r="M34" s="81"/>
      <c r="N34" s="90">
        <v>43852</v>
      </c>
      <c r="O34" s="105">
        <v>9</v>
      </c>
      <c r="P34" s="91">
        <f t="shared" ref="P34" si="99">O34/O33-1</f>
        <v>-0.5714285714285714</v>
      </c>
      <c r="Q34" s="81"/>
      <c r="R34" s="90">
        <v>43852</v>
      </c>
      <c r="S34" s="105">
        <v>22</v>
      </c>
      <c r="T34" s="91">
        <f t="shared" ref="T34" si="100">S34/S33-1</f>
        <v>4.7619047619047672E-2</v>
      </c>
      <c r="U34" s="81"/>
      <c r="V34" s="106">
        <f t="shared" si="0"/>
        <v>43852</v>
      </c>
      <c r="W34" s="4">
        <f t="shared" si="1"/>
        <v>1</v>
      </c>
      <c r="X34" s="4">
        <f t="shared" si="2"/>
        <v>22</v>
      </c>
      <c r="Y34" s="4">
        <f t="shared" si="3"/>
        <v>22</v>
      </c>
      <c r="Z34" s="4">
        <f t="shared" si="4"/>
        <v>9</v>
      </c>
      <c r="AA34" s="4">
        <f t="shared" si="5"/>
        <v>22</v>
      </c>
    </row>
    <row r="35" spans="1:27" x14ac:dyDescent="0.35">
      <c r="A35" s="81"/>
      <c r="B35" s="88">
        <v>43853</v>
      </c>
      <c r="C35" s="104">
        <v>1</v>
      </c>
      <c r="D35" s="92">
        <f t="shared" ref="D35" si="101">C35/(C34)-1</f>
        <v>0</v>
      </c>
      <c r="E35" s="81"/>
      <c r="F35" s="88">
        <v>43853</v>
      </c>
      <c r="G35" s="104">
        <v>23</v>
      </c>
      <c r="H35" s="92">
        <f t="shared" ref="H35" si="102">G35/(G34)-1</f>
        <v>4.5454545454545414E-2</v>
      </c>
      <c r="I35" s="81"/>
      <c r="J35" s="88">
        <v>43853</v>
      </c>
      <c r="K35" s="104">
        <v>23</v>
      </c>
      <c r="L35" s="92">
        <f t="shared" ref="L35" si="103">K35/(K34)-1</f>
        <v>4.5454545454545414E-2</v>
      </c>
      <c r="M35" s="81"/>
      <c r="N35" s="88">
        <v>43853</v>
      </c>
      <c r="O35" s="104">
        <v>99</v>
      </c>
      <c r="P35" s="92">
        <f t="shared" ref="P35" si="104">O35/(O34)-1</f>
        <v>10</v>
      </c>
      <c r="Q35" s="81"/>
      <c r="R35" s="88">
        <v>43853</v>
      </c>
      <c r="S35" s="104">
        <v>23</v>
      </c>
      <c r="T35" s="92">
        <f t="shared" ref="T35" si="105">S35/(S34)-1</f>
        <v>4.5454545454545414E-2</v>
      </c>
      <c r="U35" s="81"/>
      <c r="V35" s="106">
        <f t="shared" si="0"/>
        <v>43853</v>
      </c>
      <c r="W35" s="4">
        <f t="shared" si="1"/>
        <v>1</v>
      </c>
      <c r="X35" s="4">
        <f t="shared" si="2"/>
        <v>23</v>
      </c>
      <c r="Y35" s="4">
        <f t="shared" si="3"/>
        <v>23</v>
      </c>
      <c r="Z35" s="4">
        <f t="shared" si="4"/>
        <v>99</v>
      </c>
      <c r="AA35" s="4">
        <f t="shared" si="5"/>
        <v>23</v>
      </c>
    </row>
    <row r="36" spans="1:27" x14ac:dyDescent="0.35">
      <c r="A36" s="81"/>
      <c r="B36" s="90">
        <v>43854</v>
      </c>
      <c r="C36" s="105">
        <v>1</v>
      </c>
      <c r="D36" s="91">
        <f t="shared" ref="D36" si="106">C36/C35-1</f>
        <v>0</v>
      </c>
      <c r="E36" s="81"/>
      <c r="F36" s="90">
        <v>43854</v>
      </c>
      <c r="G36" s="105">
        <v>24</v>
      </c>
      <c r="H36" s="91">
        <f t="shared" ref="H36" si="107">G36/G35-1</f>
        <v>4.3478260869565188E-2</v>
      </c>
      <c r="I36" s="81"/>
      <c r="J36" s="90">
        <v>43854</v>
      </c>
      <c r="K36" s="105">
        <v>24</v>
      </c>
      <c r="L36" s="91">
        <f t="shared" ref="L36" si="108">K36/K35-1</f>
        <v>4.3478260869565188E-2</v>
      </c>
      <c r="M36" s="81"/>
      <c r="N36" s="90">
        <v>43854</v>
      </c>
      <c r="O36" s="105">
        <v>9</v>
      </c>
      <c r="P36" s="91">
        <f t="shared" ref="P36" si="109">O36/O35-1</f>
        <v>-0.90909090909090906</v>
      </c>
      <c r="Q36" s="81"/>
      <c r="R36" s="90">
        <v>43854</v>
      </c>
      <c r="S36" s="105">
        <v>24</v>
      </c>
      <c r="T36" s="91">
        <f t="shared" ref="T36" si="110">S36/S35-1</f>
        <v>4.3478260869565188E-2</v>
      </c>
      <c r="U36" s="81"/>
      <c r="V36" s="106">
        <f t="shared" si="0"/>
        <v>43854</v>
      </c>
      <c r="W36" s="4">
        <f t="shared" si="1"/>
        <v>1</v>
      </c>
      <c r="X36" s="4">
        <f t="shared" si="2"/>
        <v>24</v>
      </c>
      <c r="Y36" s="4">
        <f t="shared" si="3"/>
        <v>24</v>
      </c>
      <c r="Z36" s="4">
        <f t="shared" si="4"/>
        <v>9</v>
      </c>
      <c r="AA36" s="4">
        <f t="shared" si="5"/>
        <v>24</v>
      </c>
    </row>
    <row r="37" spans="1:27" x14ac:dyDescent="0.35">
      <c r="A37" s="81"/>
      <c r="B37" s="88">
        <v>43855</v>
      </c>
      <c r="C37" s="104">
        <v>1</v>
      </c>
      <c r="D37" s="92">
        <f t="shared" ref="D37" si="111">C37/(C36)-1</f>
        <v>0</v>
      </c>
      <c r="E37" s="81"/>
      <c r="F37" s="88">
        <v>43855</v>
      </c>
      <c r="G37" s="104">
        <v>25</v>
      </c>
      <c r="H37" s="92">
        <f t="shared" ref="H37" si="112">G37/(G36)-1</f>
        <v>4.1666666666666741E-2</v>
      </c>
      <c r="I37" s="81"/>
      <c r="J37" s="88">
        <v>43855</v>
      </c>
      <c r="K37" s="104">
        <v>25</v>
      </c>
      <c r="L37" s="92">
        <f t="shared" ref="L37" si="113">K37/(K36)-1</f>
        <v>4.1666666666666741E-2</v>
      </c>
      <c r="M37" s="81"/>
      <c r="N37" s="88">
        <v>43855</v>
      </c>
      <c r="O37" s="104">
        <v>9</v>
      </c>
      <c r="P37" s="92">
        <f t="shared" ref="P37" si="114">O37/(O36)-1</f>
        <v>0</v>
      </c>
      <c r="Q37" s="81"/>
      <c r="R37" s="88">
        <v>43855</v>
      </c>
      <c r="S37" s="104">
        <v>25</v>
      </c>
      <c r="T37" s="92">
        <f t="shared" ref="T37" si="115">S37/(S36)-1</f>
        <v>4.1666666666666741E-2</v>
      </c>
      <c r="U37" s="81"/>
      <c r="V37" s="106">
        <f t="shared" si="0"/>
        <v>43855</v>
      </c>
      <c r="W37" s="4">
        <f t="shared" si="1"/>
        <v>1</v>
      </c>
      <c r="X37" s="4">
        <f t="shared" si="2"/>
        <v>25</v>
      </c>
      <c r="Y37" s="4">
        <f t="shared" si="3"/>
        <v>25</v>
      </c>
      <c r="Z37" s="4">
        <f t="shared" si="4"/>
        <v>9</v>
      </c>
      <c r="AA37" s="4">
        <f t="shared" si="5"/>
        <v>25</v>
      </c>
    </row>
    <row r="38" spans="1:27" x14ac:dyDescent="0.35">
      <c r="A38" s="81"/>
      <c r="B38" s="90">
        <v>43856</v>
      </c>
      <c r="C38" s="105">
        <v>26</v>
      </c>
      <c r="D38" s="91">
        <f t="shared" ref="D38" si="116">C38/C37-1</f>
        <v>25</v>
      </c>
      <c r="E38" s="81"/>
      <c r="F38" s="90">
        <v>43856</v>
      </c>
      <c r="G38" s="105">
        <v>26</v>
      </c>
      <c r="H38" s="91">
        <f t="shared" ref="H38" si="117">G38/G37-1</f>
        <v>4.0000000000000036E-2</v>
      </c>
      <c r="I38" s="81"/>
      <c r="J38" s="90">
        <v>43856</v>
      </c>
      <c r="K38" s="105">
        <v>26</v>
      </c>
      <c r="L38" s="91">
        <f t="shared" ref="L38" si="118">K38/K37-1</f>
        <v>4.0000000000000036E-2</v>
      </c>
      <c r="M38" s="81"/>
      <c r="N38" s="90">
        <v>43856</v>
      </c>
      <c r="O38" s="105">
        <v>26</v>
      </c>
      <c r="P38" s="91">
        <f t="shared" ref="P38" si="119">O38/O37-1</f>
        <v>1.8888888888888888</v>
      </c>
      <c r="Q38" s="81"/>
      <c r="R38" s="90">
        <v>43856</v>
      </c>
      <c r="S38" s="105">
        <v>26</v>
      </c>
      <c r="T38" s="91">
        <f t="shared" ref="T38" si="120">S38/S37-1</f>
        <v>4.0000000000000036E-2</v>
      </c>
      <c r="U38" s="81"/>
      <c r="V38" s="106">
        <f t="shared" si="0"/>
        <v>43856</v>
      </c>
      <c r="W38" s="4">
        <f t="shared" si="1"/>
        <v>26</v>
      </c>
      <c r="X38" s="4">
        <f t="shared" si="2"/>
        <v>26</v>
      </c>
      <c r="Y38" s="4">
        <f t="shared" si="3"/>
        <v>26</v>
      </c>
      <c r="Z38" s="4">
        <f t="shared" si="4"/>
        <v>26</v>
      </c>
      <c r="AA38" s="4">
        <f t="shared" si="5"/>
        <v>26</v>
      </c>
    </row>
    <row r="39" spans="1:27" x14ac:dyDescent="0.35">
      <c r="A39" s="81"/>
      <c r="B39" s="88">
        <v>43857</v>
      </c>
      <c r="C39" s="104">
        <v>1</v>
      </c>
      <c r="D39" s="92">
        <f t="shared" ref="D39" si="121">C39/(C38)-1</f>
        <v>-0.96153846153846156</v>
      </c>
      <c r="E39" s="81"/>
      <c r="F39" s="88">
        <v>43857</v>
      </c>
      <c r="G39" s="104">
        <v>27</v>
      </c>
      <c r="H39" s="92">
        <f t="shared" ref="H39" si="122">G39/(G38)-1</f>
        <v>3.8461538461538547E-2</v>
      </c>
      <c r="I39" s="81"/>
      <c r="J39" s="88">
        <v>43857</v>
      </c>
      <c r="K39" s="104">
        <v>27</v>
      </c>
      <c r="L39" s="92">
        <f t="shared" ref="L39" si="123">K39/(K38)-1</f>
        <v>3.8461538461538547E-2</v>
      </c>
      <c r="M39" s="81"/>
      <c r="N39" s="88">
        <v>43857</v>
      </c>
      <c r="O39" s="104">
        <v>9</v>
      </c>
      <c r="P39" s="92">
        <f t="shared" ref="P39" si="124">O39/(O38)-1</f>
        <v>-0.65384615384615385</v>
      </c>
      <c r="Q39" s="81"/>
      <c r="R39" s="88">
        <v>43857</v>
      </c>
      <c r="S39" s="104">
        <v>27</v>
      </c>
      <c r="T39" s="92">
        <f t="shared" ref="T39" si="125">S39/(S38)-1</f>
        <v>3.8461538461538547E-2</v>
      </c>
      <c r="U39" s="81"/>
      <c r="V39" s="106">
        <f t="shared" si="0"/>
        <v>43857</v>
      </c>
      <c r="W39" s="4">
        <f t="shared" si="1"/>
        <v>1</v>
      </c>
      <c r="X39" s="4">
        <f t="shared" si="2"/>
        <v>27</v>
      </c>
      <c r="Y39" s="4">
        <f t="shared" si="3"/>
        <v>27</v>
      </c>
      <c r="Z39" s="4">
        <f t="shared" si="4"/>
        <v>9</v>
      </c>
      <c r="AA39" s="4">
        <f t="shared" si="5"/>
        <v>27</v>
      </c>
    </row>
    <row r="40" spans="1:27" x14ac:dyDescent="0.35">
      <c r="A40" s="81"/>
      <c r="B40" s="90">
        <v>43858</v>
      </c>
      <c r="C40" s="105">
        <v>1</v>
      </c>
      <c r="D40" s="91">
        <f t="shared" ref="D40" si="126">C40/C39-1</f>
        <v>0</v>
      </c>
      <c r="E40" s="81"/>
      <c r="F40" s="90">
        <v>43858</v>
      </c>
      <c r="G40" s="105">
        <v>28</v>
      </c>
      <c r="H40" s="91">
        <f t="shared" ref="H40" si="127">G40/G39-1</f>
        <v>3.7037037037036979E-2</v>
      </c>
      <c r="I40" s="81"/>
      <c r="J40" s="90">
        <v>43858</v>
      </c>
      <c r="K40" s="105">
        <v>28</v>
      </c>
      <c r="L40" s="91">
        <f t="shared" ref="L40" si="128">K40/K39-1</f>
        <v>3.7037037037036979E-2</v>
      </c>
      <c r="M40" s="81"/>
      <c r="N40" s="90">
        <v>43858</v>
      </c>
      <c r="O40" s="105">
        <v>9</v>
      </c>
      <c r="P40" s="91">
        <f t="shared" ref="P40" si="129">O40/O39-1</f>
        <v>0</v>
      </c>
      <c r="Q40" s="81"/>
      <c r="R40" s="90">
        <v>43858</v>
      </c>
      <c r="S40" s="105">
        <v>28</v>
      </c>
      <c r="T40" s="91">
        <f t="shared" ref="T40" si="130">S40/S39-1</f>
        <v>3.7037037037036979E-2</v>
      </c>
      <c r="U40" s="81"/>
      <c r="V40" s="106">
        <f t="shared" si="0"/>
        <v>43858</v>
      </c>
      <c r="W40" s="4">
        <f t="shared" si="1"/>
        <v>1</v>
      </c>
      <c r="X40" s="4">
        <f t="shared" si="2"/>
        <v>28</v>
      </c>
      <c r="Y40" s="4">
        <f t="shared" si="3"/>
        <v>28</v>
      </c>
      <c r="Z40" s="4">
        <f t="shared" si="4"/>
        <v>9</v>
      </c>
      <c r="AA40" s="4">
        <f t="shared" si="5"/>
        <v>28</v>
      </c>
    </row>
    <row r="41" spans="1:27" x14ac:dyDescent="0.35">
      <c r="A41" s="81"/>
      <c r="B41" s="88">
        <v>43859</v>
      </c>
      <c r="C41" s="104">
        <v>1</v>
      </c>
      <c r="D41" s="92">
        <f t="shared" ref="D41" si="131">C41/(C40)-1</f>
        <v>0</v>
      </c>
      <c r="E41" s="81"/>
      <c r="F41" s="88">
        <v>43859</v>
      </c>
      <c r="G41" s="104">
        <v>29</v>
      </c>
      <c r="H41" s="92">
        <f t="shared" ref="H41" si="132">G41/(G40)-1</f>
        <v>3.5714285714285809E-2</v>
      </c>
      <c r="I41" s="81"/>
      <c r="J41" s="88">
        <v>43859</v>
      </c>
      <c r="K41" s="104">
        <v>29</v>
      </c>
      <c r="L41" s="92">
        <f t="shared" ref="L41" si="133">K41/(K40)-1</f>
        <v>3.5714285714285809E-2</v>
      </c>
      <c r="M41" s="81"/>
      <c r="N41" s="88">
        <v>43859</v>
      </c>
      <c r="O41" s="104">
        <v>99</v>
      </c>
      <c r="P41" s="92">
        <f t="shared" ref="P41" si="134">O41/(O40)-1</f>
        <v>10</v>
      </c>
      <c r="Q41" s="81"/>
      <c r="R41" s="88">
        <v>43859</v>
      </c>
      <c r="S41" s="104">
        <v>29</v>
      </c>
      <c r="T41" s="92">
        <f t="shared" ref="T41" si="135">S41/(S40)-1</f>
        <v>3.5714285714285809E-2</v>
      </c>
      <c r="U41" s="81"/>
      <c r="V41" s="106">
        <f t="shared" si="0"/>
        <v>43859</v>
      </c>
      <c r="W41" s="4">
        <f t="shared" si="1"/>
        <v>1</v>
      </c>
      <c r="X41" s="4">
        <f t="shared" si="2"/>
        <v>29</v>
      </c>
      <c r="Y41" s="4">
        <f t="shared" si="3"/>
        <v>29</v>
      </c>
      <c r="Z41" s="4">
        <f t="shared" si="4"/>
        <v>99</v>
      </c>
      <c r="AA41" s="4">
        <f t="shared" si="5"/>
        <v>29</v>
      </c>
    </row>
    <row r="42" spans="1:27" x14ac:dyDescent="0.35">
      <c r="A42" s="81"/>
      <c r="B42" s="90">
        <v>43860</v>
      </c>
      <c r="C42" s="105">
        <v>1</v>
      </c>
      <c r="D42" s="91">
        <f t="shared" ref="D42" si="136">C42/C41-1</f>
        <v>0</v>
      </c>
      <c r="E42" s="81"/>
      <c r="F42" s="90">
        <v>43860</v>
      </c>
      <c r="G42" s="105">
        <v>30</v>
      </c>
      <c r="H42" s="91">
        <f t="shared" ref="H42" si="137">G42/G41-1</f>
        <v>3.4482758620689724E-2</v>
      </c>
      <c r="I42" s="81"/>
      <c r="J42" s="90">
        <v>43860</v>
      </c>
      <c r="K42" s="105">
        <v>30</v>
      </c>
      <c r="L42" s="91">
        <f t="shared" ref="L42" si="138">K42/K41-1</f>
        <v>3.4482758620689724E-2</v>
      </c>
      <c r="M42" s="81"/>
      <c r="N42" s="90">
        <v>43860</v>
      </c>
      <c r="O42" s="105">
        <v>9</v>
      </c>
      <c r="P42" s="91">
        <f t="shared" ref="P42" si="139">O42/O41-1</f>
        <v>-0.90909090909090906</v>
      </c>
      <c r="Q42" s="81"/>
      <c r="R42" s="90">
        <v>43860</v>
      </c>
      <c r="S42" s="105">
        <v>30</v>
      </c>
      <c r="T42" s="91">
        <f t="shared" ref="T42" si="140">S42/S41-1</f>
        <v>3.4482758620689724E-2</v>
      </c>
      <c r="U42" s="81"/>
      <c r="V42" s="106">
        <f t="shared" si="0"/>
        <v>43860</v>
      </c>
      <c r="W42" s="4">
        <f t="shared" si="1"/>
        <v>1</v>
      </c>
      <c r="X42" s="4">
        <f t="shared" si="2"/>
        <v>30</v>
      </c>
      <c r="Y42" s="4">
        <f t="shared" si="3"/>
        <v>30</v>
      </c>
      <c r="Z42" s="4">
        <f t="shared" si="4"/>
        <v>9</v>
      </c>
      <c r="AA42" s="4">
        <f t="shared" si="5"/>
        <v>30</v>
      </c>
    </row>
    <row r="43" spans="1:27" x14ac:dyDescent="0.35">
      <c r="A43" s="81"/>
      <c r="B43" s="88">
        <v>43861</v>
      </c>
      <c r="C43" s="104">
        <v>1</v>
      </c>
      <c r="D43" s="92">
        <f t="shared" ref="D43" si="141">C43/(C42)-1</f>
        <v>0</v>
      </c>
      <c r="E43" s="81"/>
      <c r="F43" s="88">
        <v>43861</v>
      </c>
      <c r="G43" s="104">
        <v>31</v>
      </c>
      <c r="H43" s="92">
        <f t="shared" ref="H43" si="142">G43/(G42)-1</f>
        <v>3.3333333333333437E-2</v>
      </c>
      <c r="I43" s="81"/>
      <c r="J43" s="88">
        <v>43861</v>
      </c>
      <c r="K43" s="104">
        <v>31</v>
      </c>
      <c r="L43" s="92">
        <f t="shared" ref="L43" si="143">K43/(K42)-1</f>
        <v>3.3333333333333437E-2</v>
      </c>
      <c r="M43" s="81"/>
      <c r="N43" s="88">
        <v>43861</v>
      </c>
      <c r="O43" s="104">
        <v>9</v>
      </c>
      <c r="P43" s="92">
        <f t="shared" ref="P43" si="144">O43/(O42)-1</f>
        <v>0</v>
      </c>
      <c r="Q43" s="81"/>
      <c r="R43" s="88">
        <v>43861</v>
      </c>
      <c r="S43" s="104">
        <v>31</v>
      </c>
      <c r="T43" s="92">
        <f t="shared" ref="T43" si="145">S43/(S42)-1</f>
        <v>3.3333333333333437E-2</v>
      </c>
      <c r="U43" s="81"/>
      <c r="V43" s="106">
        <f t="shared" si="0"/>
        <v>43861</v>
      </c>
      <c r="W43" s="4">
        <f t="shared" si="1"/>
        <v>1</v>
      </c>
      <c r="X43" s="4">
        <f t="shared" si="2"/>
        <v>31</v>
      </c>
      <c r="Y43" s="4">
        <f t="shared" si="3"/>
        <v>31</v>
      </c>
      <c r="Z43" s="4">
        <f t="shared" si="4"/>
        <v>9</v>
      </c>
      <c r="AA43" s="4">
        <f t="shared" si="5"/>
        <v>31</v>
      </c>
    </row>
    <row r="44" spans="1:27" x14ac:dyDescent="0.35">
      <c r="A44" s="81"/>
      <c r="B44" s="90">
        <v>43862</v>
      </c>
      <c r="C44" s="105">
        <v>1</v>
      </c>
      <c r="D44" s="91">
        <f t="shared" ref="D44:D100" si="146">C44/C43-1</f>
        <v>0</v>
      </c>
      <c r="E44" s="81"/>
      <c r="F44" s="90">
        <v>43862</v>
      </c>
      <c r="G44" s="105">
        <v>32</v>
      </c>
      <c r="H44" s="91">
        <f t="shared" ref="H44:H100" si="147">G44/G43-1</f>
        <v>3.2258064516129004E-2</v>
      </c>
      <c r="I44" s="81"/>
      <c r="J44" s="90">
        <v>43862</v>
      </c>
      <c r="K44" s="105">
        <v>32</v>
      </c>
      <c r="L44" s="91">
        <f t="shared" ref="L44:L100" si="148">K44/K43-1</f>
        <v>3.2258064516129004E-2</v>
      </c>
      <c r="M44" s="81"/>
      <c r="N44" s="90">
        <v>43862</v>
      </c>
      <c r="O44" s="105">
        <v>9</v>
      </c>
      <c r="P44" s="91">
        <f t="shared" ref="P44:P100" si="149">O44/O43-1</f>
        <v>0</v>
      </c>
      <c r="Q44" s="81"/>
      <c r="R44" s="90">
        <v>43862</v>
      </c>
      <c r="S44" s="105">
        <v>32</v>
      </c>
      <c r="T44" s="91">
        <f t="shared" ref="T44:T100" si="150">S44/S43-1</f>
        <v>3.2258064516129004E-2</v>
      </c>
      <c r="U44" s="81"/>
      <c r="V44" s="106">
        <f t="shared" si="0"/>
        <v>43862</v>
      </c>
      <c r="W44" s="4">
        <f t="shared" si="1"/>
        <v>1</v>
      </c>
      <c r="X44" s="4">
        <f t="shared" si="2"/>
        <v>32</v>
      </c>
      <c r="Y44" s="4">
        <f t="shared" si="3"/>
        <v>32</v>
      </c>
      <c r="Z44" s="4">
        <f t="shared" si="4"/>
        <v>9</v>
      </c>
      <c r="AA44" s="4">
        <f t="shared" si="5"/>
        <v>32</v>
      </c>
    </row>
    <row r="45" spans="1:27" x14ac:dyDescent="0.35">
      <c r="A45" s="81"/>
      <c r="B45" s="88">
        <v>43863</v>
      </c>
      <c r="C45" s="104">
        <v>33</v>
      </c>
      <c r="D45" s="92">
        <f t="shared" ref="D45:D101" si="151">C45/(C44)-1</f>
        <v>32</v>
      </c>
      <c r="E45" s="81"/>
      <c r="F45" s="88">
        <v>43863</v>
      </c>
      <c r="G45" s="104">
        <v>33</v>
      </c>
      <c r="H45" s="92">
        <f t="shared" ref="H45:H101" si="152">G45/(G44)-1</f>
        <v>3.125E-2</v>
      </c>
      <c r="I45" s="81"/>
      <c r="J45" s="88">
        <v>43863</v>
      </c>
      <c r="K45" s="104">
        <v>33</v>
      </c>
      <c r="L45" s="92">
        <f t="shared" ref="L45:L101" si="153">K45/(K44)-1</f>
        <v>3.125E-2</v>
      </c>
      <c r="M45" s="81"/>
      <c r="N45" s="88">
        <v>43863</v>
      </c>
      <c r="O45" s="104">
        <v>9</v>
      </c>
      <c r="P45" s="92">
        <f t="shared" ref="P45:P101" si="154">O45/(O44)-1</f>
        <v>0</v>
      </c>
      <c r="Q45" s="81"/>
      <c r="R45" s="88">
        <v>43863</v>
      </c>
      <c r="S45" s="104">
        <v>33</v>
      </c>
      <c r="T45" s="92">
        <f t="shared" ref="T45:T101" si="155">S45/(S44)-1</f>
        <v>3.125E-2</v>
      </c>
      <c r="U45" s="81"/>
      <c r="V45" s="106">
        <f t="shared" si="0"/>
        <v>43863</v>
      </c>
      <c r="W45" s="4">
        <f t="shared" si="1"/>
        <v>33</v>
      </c>
      <c r="X45" s="4">
        <f t="shared" si="2"/>
        <v>33</v>
      </c>
      <c r="Y45" s="4">
        <f t="shared" si="3"/>
        <v>33</v>
      </c>
      <c r="Z45" s="4">
        <f t="shared" si="4"/>
        <v>9</v>
      </c>
      <c r="AA45" s="4">
        <f t="shared" si="5"/>
        <v>33</v>
      </c>
    </row>
    <row r="46" spans="1:27" x14ac:dyDescent="0.35">
      <c r="A46" s="81"/>
      <c r="B46" s="90">
        <v>43864</v>
      </c>
      <c r="C46" s="105">
        <v>34</v>
      </c>
      <c r="D46" s="91">
        <f t="shared" ref="D46:D102" si="156">C46/C45-1</f>
        <v>3.0303030303030276E-2</v>
      </c>
      <c r="E46" s="81"/>
      <c r="F46" s="90">
        <v>43864</v>
      </c>
      <c r="G46" s="105">
        <v>34</v>
      </c>
      <c r="H46" s="91">
        <f t="shared" ref="H46:H102" si="157">G46/G45-1</f>
        <v>3.0303030303030276E-2</v>
      </c>
      <c r="I46" s="81"/>
      <c r="J46" s="90">
        <v>43864</v>
      </c>
      <c r="K46" s="105">
        <v>34</v>
      </c>
      <c r="L46" s="91">
        <f t="shared" ref="L46:L102" si="158">K46/K45-1</f>
        <v>3.0303030303030276E-2</v>
      </c>
      <c r="M46" s="81"/>
      <c r="N46" s="90">
        <v>43864</v>
      </c>
      <c r="O46" s="105">
        <v>9</v>
      </c>
      <c r="P46" s="91">
        <f t="shared" ref="P46:P102" si="159">O46/O45-1</f>
        <v>0</v>
      </c>
      <c r="Q46" s="81"/>
      <c r="R46" s="90">
        <v>43864</v>
      </c>
      <c r="S46" s="105">
        <v>34</v>
      </c>
      <c r="T46" s="91">
        <f t="shared" ref="T46:T102" si="160">S46/S45-1</f>
        <v>3.0303030303030276E-2</v>
      </c>
      <c r="U46" s="81"/>
      <c r="V46" s="106">
        <f t="shared" si="0"/>
        <v>43864</v>
      </c>
      <c r="W46" s="4">
        <f t="shared" si="1"/>
        <v>34</v>
      </c>
      <c r="X46" s="4">
        <f t="shared" si="2"/>
        <v>34</v>
      </c>
      <c r="Y46" s="4">
        <f t="shared" si="3"/>
        <v>34</v>
      </c>
      <c r="Z46" s="4">
        <f t="shared" si="4"/>
        <v>9</v>
      </c>
      <c r="AA46" s="4">
        <f t="shared" si="5"/>
        <v>34</v>
      </c>
    </row>
    <row r="47" spans="1:27" x14ac:dyDescent="0.35">
      <c r="A47" s="81"/>
      <c r="B47" s="88">
        <v>43865</v>
      </c>
      <c r="C47" s="104">
        <v>35</v>
      </c>
      <c r="D47" s="92">
        <f t="shared" ref="D47:D103" si="161">C47/(C46)-1</f>
        <v>2.9411764705882248E-2</v>
      </c>
      <c r="E47" s="81"/>
      <c r="F47" s="88">
        <v>43865</v>
      </c>
      <c r="G47" s="104">
        <v>35</v>
      </c>
      <c r="H47" s="92">
        <f t="shared" ref="H47:H103" si="162">G47/(G46)-1</f>
        <v>2.9411764705882248E-2</v>
      </c>
      <c r="I47" s="81"/>
      <c r="J47" s="88">
        <v>43865</v>
      </c>
      <c r="K47" s="104">
        <v>35</v>
      </c>
      <c r="L47" s="92">
        <f t="shared" ref="L47:L103" si="163">K47/(K46)-1</f>
        <v>2.9411764705882248E-2</v>
      </c>
      <c r="M47" s="81"/>
      <c r="N47" s="88">
        <v>43865</v>
      </c>
      <c r="O47" s="104">
        <v>9</v>
      </c>
      <c r="P47" s="92">
        <f t="shared" ref="P47:P103" si="164">O47/(O46)-1</f>
        <v>0</v>
      </c>
      <c r="Q47" s="81"/>
      <c r="R47" s="88">
        <v>43865</v>
      </c>
      <c r="S47" s="104">
        <v>35</v>
      </c>
      <c r="T47" s="92">
        <f t="shared" ref="T47:T103" si="165">S47/(S46)-1</f>
        <v>2.9411764705882248E-2</v>
      </c>
      <c r="U47" s="81"/>
      <c r="V47" s="106">
        <f t="shared" si="0"/>
        <v>43865</v>
      </c>
      <c r="W47" s="4">
        <f t="shared" si="1"/>
        <v>35</v>
      </c>
      <c r="X47" s="4">
        <f t="shared" si="2"/>
        <v>35</v>
      </c>
      <c r="Y47" s="4">
        <f t="shared" si="3"/>
        <v>35</v>
      </c>
      <c r="Z47" s="4">
        <f t="shared" si="4"/>
        <v>9</v>
      </c>
      <c r="AA47" s="4">
        <f t="shared" si="5"/>
        <v>35</v>
      </c>
    </row>
    <row r="48" spans="1:27" x14ac:dyDescent="0.35">
      <c r="A48" s="81"/>
      <c r="B48" s="90">
        <v>43866</v>
      </c>
      <c r="C48" s="105">
        <v>36</v>
      </c>
      <c r="D48" s="91">
        <f t="shared" ref="D48:D104" si="166">C48/C47-1</f>
        <v>2.857142857142847E-2</v>
      </c>
      <c r="E48" s="81"/>
      <c r="F48" s="90">
        <v>43866</v>
      </c>
      <c r="G48" s="105">
        <v>36</v>
      </c>
      <c r="H48" s="91">
        <f t="shared" ref="H48:H104" si="167">G48/G47-1</f>
        <v>2.857142857142847E-2</v>
      </c>
      <c r="I48" s="81"/>
      <c r="J48" s="90">
        <v>43866</v>
      </c>
      <c r="K48" s="105">
        <v>36</v>
      </c>
      <c r="L48" s="91">
        <f t="shared" ref="L48:L104" si="168">K48/K47-1</f>
        <v>2.857142857142847E-2</v>
      </c>
      <c r="M48" s="81"/>
      <c r="N48" s="90">
        <v>43866</v>
      </c>
      <c r="O48" s="105">
        <v>9</v>
      </c>
      <c r="P48" s="91">
        <f t="shared" ref="P48:P104" si="169">O48/O47-1</f>
        <v>0</v>
      </c>
      <c r="Q48" s="81"/>
      <c r="R48" s="90">
        <v>43866</v>
      </c>
      <c r="S48" s="105">
        <v>36</v>
      </c>
      <c r="T48" s="91">
        <f t="shared" ref="T48:T104" si="170">S48/S47-1</f>
        <v>2.857142857142847E-2</v>
      </c>
      <c r="U48" s="81"/>
      <c r="V48" s="106">
        <f t="shared" si="0"/>
        <v>43866</v>
      </c>
      <c r="W48" s="4">
        <f t="shared" si="1"/>
        <v>36</v>
      </c>
      <c r="X48" s="4">
        <f t="shared" si="2"/>
        <v>36</v>
      </c>
      <c r="Y48" s="4">
        <f t="shared" si="3"/>
        <v>36</v>
      </c>
      <c r="Z48" s="4">
        <f t="shared" si="4"/>
        <v>9</v>
      </c>
      <c r="AA48" s="4">
        <f t="shared" si="5"/>
        <v>36</v>
      </c>
    </row>
    <row r="49" spans="1:27" x14ac:dyDescent="0.35">
      <c r="A49" s="81"/>
      <c r="B49" s="88">
        <v>43867</v>
      </c>
      <c r="C49" s="104">
        <v>37</v>
      </c>
      <c r="D49" s="92">
        <f t="shared" ref="D49:D105" si="171">C49/(C48)-1</f>
        <v>2.7777777777777679E-2</v>
      </c>
      <c r="E49" s="81"/>
      <c r="F49" s="88">
        <v>43867</v>
      </c>
      <c r="G49" s="104">
        <v>37</v>
      </c>
      <c r="H49" s="92">
        <f t="shared" ref="H49:H105" si="172">G49/(G48)-1</f>
        <v>2.7777777777777679E-2</v>
      </c>
      <c r="I49" s="81"/>
      <c r="J49" s="88">
        <v>43867</v>
      </c>
      <c r="K49" s="104">
        <v>37</v>
      </c>
      <c r="L49" s="92">
        <f t="shared" ref="L49:L105" si="173">K49/(K48)-1</f>
        <v>2.7777777777777679E-2</v>
      </c>
      <c r="M49" s="81"/>
      <c r="N49" s="88">
        <v>43867</v>
      </c>
      <c r="O49" s="104">
        <v>9</v>
      </c>
      <c r="P49" s="92">
        <f t="shared" ref="P49:P105" si="174">O49/(O48)-1</f>
        <v>0</v>
      </c>
      <c r="Q49" s="81"/>
      <c r="R49" s="88">
        <v>43867</v>
      </c>
      <c r="S49" s="104">
        <v>37</v>
      </c>
      <c r="T49" s="92">
        <f t="shared" ref="T49:T105" si="175">S49/(S48)-1</f>
        <v>2.7777777777777679E-2</v>
      </c>
      <c r="U49" s="81"/>
      <c r="V49" s="106">
        <f t="shared" si="0"/>
        <v>43867</v>
      </c>
      <c r="W49" s="4">
        <f t="shared" si="1"/>
        <v>37</v>
      </c>
      <c r="X49" s="4">
        <f t="shared" si="2"/>
        <v>37</v>
      </c>
      <c r="Y49" s="4">
        <f t="shared" si="3"/>
        <v>37</v>
      </c>
      <c r="Z49" s="4">
        <f t="shared" si="4"/>
        <v>9</v>
      </c>
      <c r="AA49" s="4">
        <f t="shared" si="5"/>
        <v>37</v>
      </c>
    </row>
    <row r="50" spans="1:27" x14ac:dyDescent="0.35">
      <c r="A50" s="81"/>
      <c r="B50" s="90">
        <v>43868</v>
      </c>
      <c r="C50" s="105">
        <v>38</v>
      </c>
      <c r="D50" s="91">
        <f t="shared" ref="D50:D106" si="176">C50/C49-1</f>
        <v>2.7027027027026973E-2</v>
      </c>
      <c r="E50" s="81"/>
      <c r="F50" s="90">
        <v>43868</v>
      </c>
      <c r="G50" s="105">
        <v>38</v>
      </c>
      <c r="H50" s="91">
        <f t="shared" ref="H50:H106" si="177">G50/G49-1</f>
        <v>2.7027027027026973E-2</v>
      </c>
      <c r="I50" s="81"/>
      <c r="J50" s="90">
        <v>43868</v>
      </c>
      <c r="K50" s="105">
        <v>38</v>
      </c>
      <c r="L50" s="91">
        <f t="shared" ref="L50:L106" si="178">K50/K49-1</f>
        <v>2.7027027027026973E-2</v>
      </c>
      <c r="M50" s="81"/>
      <c r="N50" s="90">
        <v>43868</v>
      </c>
      <c r="O50" s="105">
        <v>9</v>
      </c>
      <c r="P50" s="91">
        <f t="shared" ref="P50:P106" si="179">O50/O49-1</f>
        <v>0</v>
      </c>
      <c r="Q50" s="81"/>
      <c r="R50" s="90">
        <v>43868</v>
      </c>
      <c r="S50" s="105">
        <v>38</v>
      </c>
      <c r="T50" s="91">
        <f t="shared" ref="T50:T106" si="180">S50/S49-1</f>
        <v>2.7027027027026973E-2</v>
      </c>
      <c r="U50" s="81"/>
      <c r="V50" s="106">
        <f t="shared" si="0"/>
        <v>43868</v>
      </c>
      <c r="W50" s="4">
        <f t="shared" si="1"/>
        <v>38</v>
      </c>
      <c r="X50" s="4">
        <f t="shared" si="2"/>
        <v>38</v>
      </c>
      <c r="Y50" s="4">
        <f t="shared" si="3"/>
        <v>38</v>
      </c>
      <c r="Z50" s="4">
        <f t="shared" si="4"/>
        <v>9</v>
      </c>
      <c r="AA50" s="4">
        <f t="shared" si="5"/>
        <v>38</v>
      </c>
    </row>
    <row r="51" spans="1:27" x14ac:dyDescent="0.35">
      <c r="A51" s="81"/>
      <c r="B51" s="88">
        <v>43869</v>
      </c>
      <c r="C51" s="104">
        <v>39</v>
      </c>
      <c r="D51" s="92">
        <f t="shared" ref="D51:D107" si="181">C51/(C50)-1</f>
        <v>2.6315789473684292E-2</v>
      </c>
      <c r="E51" s="81"/>
      <c r="F51" s="88">
        <v>43869</v>
      </c>
      <c r="G51" s="104">
        <v>39</v>
      </c>
      <c r="H51" s="92">
        <f t="shared" ref="H51:H107" si="182">G51/(G50)-1</f>
        <v>2.6315789473684292E-2</v>
      </c>
      <c r="I51" s="81"/>
      <c r="J51" s="88">
        <v>43869</v>
      </c>
      <c r="K51" s="104">
        <v>39</v>
      </c>
      <c r="L51" s="92">
        <f t="shared" ref="L51:L107" si="183">K51/(K50)-1</f>
        <v>2.6315789473684292E-2</v>
      </c>
      <c r="M51" s="81"/>
      <c r="N51" s="88">
        <v>43869</v>
      </c>
      <c r="O51" s="104">
        <v>39</v>
      </c>
      <c r="P51" s="92">
        <f t="shared" ref="P51:P107" si="184">O51/(O50)-1</f>
        <v>3.333333333333333</v>
      </c>
      <c r="Q51" s="81"/>
      <c r="R51" s="88">
        <v>43869</v>
      </c>
      <c r="S51" s="104">
        <v>39</v>
      </c>
      <c r="T51" s="92">
        <f t="shared" ref="T51:T107" si="185">S51/(S50)-1</f>
        <v>2.6315789473684292E-2</v>
      </c>
      <c r="U51" s="81"/>
      <c r="V51" s="106">
        <f t="shared" si="0"/>
        <v>43869</v>
      </c>
      <c r="W51" s="4">
        <f t="shared" si="1"/>
        <v>39</v>
      </c>
      <c r="X51" s="4">
        <f t="shared" si="2"/>
        <v>39</v>
      </c>
      <c r="Y51" s="4">
        <f t="shared" si="3"/>
        <v>39</v>
      </c>
      <c r="Z51" s="4">
        <f t="shared" si="4"/>
        <v>39</v>
      </c>
      <c r="AA51" s="4">
        <f t="shared" si="5"/>
        <v>39</v>
      </c>
    </row>
    <row r="52" spans="1:27" x14ac:dyDescent="0.35">
      <c r="A52" s="81"/>
      <c r="B52" s="90">
        <v>43870</v>
      </c>
      <c r="C52" s="105">
        <v>40</v>
      </c>
      <c r="D52" s="91">
        <f t="shared" ref="D52:D108" si="186">C52/C51-1</f>
        <v>2.564102564102555E-2</v>
      </c>
      <c r="E52" s="81"/>
      <c r="F52" s="90">
        <v>43870</v>
      </c>
      <c r="G52" s="105">
        <v>40</v>
      </c>
      <c r="H52" s="91">
        <f t="shared" ref="H52:H108" si="187">G52/G51-1</f>
        <v>2.564102564102555E-2</v>
      </c>
      <c r="I52" s="81"/>
      <c r="J52" s="90">
        <v>43870</v>
      </c>
      <c r="K52" s="105">
        <v>40</v>
      </c>
      <c r="L52" s="91">
        <f t="shared" ref="L52:L108" si="188">K52/K51-1</f>
        <v>2.564102564102555E-2</v>
      </c>
      <c r="M52" s="81"/>
      <c r="N52" s="90">
        <v>43870</v>
      </c>
      <c r="O52" s="105">
        <v>40</v>
      </c>
      <c r="P52" s="91">
        <f t="shared" ref="P52:P108" si="189">O52/O51-1</f>
        <v>2.564102564102555E-2</v>
      </c>
      <c r="Q52" s="81"/>
      <c r="R52" s="90">
        <v>43870</v>
      </c>
      <c r="S52" s="105">
        <v>40</v>
      </c>
      <c r="T52" s="91">
        <f t="shared" ref="T52:T108" si="190">S52/S51-1</f>
        <v>2.564102564102555E-2</v>
      </c>
      <c r="U52" s="81"/>
      <c r="V52" s="106">
        <f t="shared" si="0"/>
        <v>43870</v>
      </c>
      <c r="W52" s="4">
        <f t="shared" si="1"/>
        <v>40</v>
      </c>
      <c r="X52" s="4">
        <f t="shared" si="2"/>
        <v>40</v>
      </c>
      <c r="Y52" s="4">
        <f t="shared" si="3"/>
        <v>40</v>
      </c>
      <c r="Z52" s="4">
        <f t="shared" si="4"/>
        <v>40</v>
      </c>
      <c r="AA52" s="4">
        <f t="shared" si="5"/>
        <v>40</v>
      </c>
    </row>
    <row r="53" spans="1:27" x14ac:dyDescent="0.35">
      <c r="A53" s="81"/>
      <c r="B53" s="88">
        <v>43871</v>
      </c>
      <c r="C53" s="104">
        <v>41</v>
      </c>
      <c r="D53" s="92">
        <f t="shared" ref="D53:D109" si="191">C53/(C52)-1</f>
        <v>2.4999999999999911E-2</v>
      </c>
      <c r="E53" s="81"/>
      <c r="F53" s="88">
        <v>43871</v>
      </c>
      <c r="G53" s="104">
        <v>41</v>
      </c>
      <c r="H53" s="92">
        <f t="shared" ref="H53:H109" si="192">G53/(G52)-1</f>
        <v>2.4999999999999911E-2</v>
      </c>
      <c r="I53" s="81"/>
      <c r="J53" s="88">
        <v>43871</v>
      </c>
      <c r="K53" s="104">
        <v>41</v>
      </c>
      <c r="L53" s="92">
        <f t="shared" ref="L53:L109" si="193">K53/(K52)-1</f>
        <v>2.4999999999999911E-2</v>
      </c>
      <c r="M53" s="81"/>
      <c r="N53" s="88">
        <v>43871</v>
      </c>
      <c r="O53" s="104">
        <v>41</v>
      </c>
      <c r="P53" s="92">
        <f t="shared" ref="P53:P109" si="194">O53/(O52)-1</f>
        <v>2.4999999999999911E-2</v>
      </c>
      <c r="Q53" s="81"/>
      <c r="R53" s="88">
        <v>43871</v>
      </c>
      <c r="S53" s="104">
        <v>41</v>
      </c>
      <c r="T53" s="92">
        <f t="shared" ref="T53:T109" si="195">S53/(S52)-1</f>
        <v>2.4999999999999911E-2</v>
      </c>
      <c r="U53" s="81"/>
      <c r="V53" s="106">
        <f t="shared" si="0"/>
        <v>43871</v>
      </c>
      <c r="W53" s="4">
        <f t="shared" si="1"/>
        <v>41</v>
      </c>
      <c r="X53" s="4">
        <f t="shared" si="2"/>
        <v>41</v>
      </c>
      <c r="Y53" s="4">
        <f t="shared" si="3"/>
        <v>41</v>
      </c>
      <c r="Z53" s="4">
        <f t="shared" si="4"/>
        <v>41</v>
      </c>
      <c r="AA53" s="4">
        <f t="shared" si="5"/>
        <v>41</v>
      </c>
    </row>
    <row r="54" spans="1:27" x14ac:dyDescent="0.35">
      <c r="A54" s="81"/>
      <c r="B54" s="90">
        <v>43872</v>
      </c>
      <c r="C54" s="105">
        <v>42</v>
      </c>
      <c r="D54" s="91">
        <f t="shared" ref="D54:D110" si="196">C54/C53-1</f>
        <v>2.4390243902439046E-2</v>
      </c>
      <c r="E54" s="81"/>
      <c r="F54" s="90">
        <v>43872</v>
      </c>
      <c r="G54" s="105">
        <v>42</v>
      </c>
      <c r="H54" s="91">
        <f t="shared" ref="H54:H110" si="197">G54/G53-1</f>
        <v>2.4390243902439046E-2</v>
      </c>
      <c r="I54" s="81"/>
      <c r="J54" s="90">
        <v>43872</v>
      </c>
      <c r="K54" s="105">
        <v>42</v>
      </c>
      <c r="L54" s="91">
        <f t="shared" ref="L54:L110" si="198">K54/K53-1</f>
        <v>2.4390243902439046E-2</v>
      </c>
      <c r="M54" s="81"/>
      <c r="N54" s="90">
        <v>43872</v>
      </c>
      <c r="O54" s="105">
        <v>42</v>
      </c>
      <c r="P54" s="91">
        <f t="shared" ref="P54:P110" si="199">O54/O53-1</f>
        <v>2.4390243902439046E-2</v>
      </c>
      <c r="Q54" s="81"/>
      <c r="R54" s="90">
        <v>43872</v>
      </c>
      <c r="S54" s="105">
        <v>42</v>
      </c>
      <c r="T54" s="91">
        <f t="shared" ref="T54:T110" si="200">S54/S53-1</f>
        <v>2.4390243902439046E-2</v>
      </c>
      <c r="U54" s="81"/>
      <c r="V54" s="106">
        <f t="shared" si="0"/>
        <v>43872</v>
      </c>
      <c r="W54" s="4">
        <f t="shared" si="1"/>
        <v>42</v>
      </c>
      <c r="X54" s="4">
        <f t="shared" si="2"/>
        <v>42</v>
      </c>
      <c r="Y54" s="4">
        <f t="shared" si="3"/>
        <v>42</v>
      </c>
      <c r="Z54" s="4">
        <f t="shared" si="4"/>
        <v>42</v>
      </c>
      <c r="AA54" s="4">
        <f t="shared" si="5"/>
        <v>42</v>
      </c>
    </row>
    <row r="55" spans="1:27" x14ac:dyDescent="0.35">
      <c r="A55" s="81"/>
      <c r="B55" s="88">
        <v>43873</v>
      </c>
      <c r="C55" s="104">
        <v>43</v>
      </c>
      <c r="D55" s="92">
        <f t="shared" ref="D55:D111" si="201">C55/(C54)-1</f>
        <v>2.3809523809523725E-2</v>
      </c>
      <c r="E55" s="81"/>
      <c r="F55" s="88">
        <v>43873</v>
      </c>
      <c r="G55" s="104">
        <v>43</v>
      </c>
      <c r="H55" s="92">
        <f t="shared" ref="H55:H111" si="202">G55/(G54)-1</f>
        <v>2.3809523809523725E-2</v>
      </c>
      <c r="I55" s="81"/>
      <c r="J55" s="88">
        <v>43873</v>
      </c>
      <c r="K55" s="104">
        <v>43</v>
      </c>
      <c r="L55" s="92">
        <f t="shared" ref="L55:L111" si="203">K55/(K54)-1</f>
        <v>2.3809523809523725E-2</v>
      </c>
      <c r="M55" s="81"/>
      <c r="N55" s="88">
        <v>43873</v>
      </c>
      <c r="O55" s="104">
        <v>43</v>
      </c>
      <c r="P55" s="92">
        <f t="shared" ref="P55:P111" si="204">O55/(O54)-1</f>
        <v>2.3809523809523725E-2</v>
      </c>
      <c r="Q55" s="81"/>
      <c r="R55" s="88">
        <v>43873</v>
      </c>
      <c r="S55" s="104">
        <v>43</v>
      </c>
      <c r="T55" s="92">
        <f t="shared" ref="T55:T111" si="205">S55/(S54)-1</f>
        <v>2.3809523809523725E-2</v>
      </c>
      <c r="U55" s="81"/>
      <c r="V55" s="106">
        <f t="shared" si="0"/>
        <v>43873</v>
      </c>
      <c r="W55" s="4">
        <f t="shared" si="1"/>
        <v>43</v>
      </c>
      <c r="X55" s="4">
        <f t="shared" si="2"/>
        <v>43</v>
      </c>
      <c r="Y55" s="4">
        <f t="shared" si="3"/>
        <v>43</v>
      </c>
      <c r="Z55" s="4">
        <f t="shared" si="4"/>
        <v>43</v>
      </c>
      <c r="AA55" s="4">
        <f t="shared" si="5"/>
        <v>43</v>
      </c>
    </row>
    <row r="56" spans="1:27" x14ac:dyDescent="0.35">
      <c r="A56" s="81"/>
      <c r="B56" s="90">
        <v>43874</v>
      </c>
      <c r="C56" s="105">
        <v>44</v>
      </c>
      <c r="D56" s="91">
        <f t="shared" ref="D56:D112" si="206">C56/C55-1</f>
        <v>2.3255813953488413E-2</v>
      </c>
      <c r="E56" s="81"/>
      <c r="F56" s="90">
        <v>43874</v>
      </c>
      <c r="G56" s="105">
        <v>44</v>
      </c>
      <c r="H56" s="91">
        <f t="shared" ref="H56:H112" si="207">G56/G55-1</f>
        <v>2.3255813953488413E-2</v>
      </c>
      <c r="I56" s="81"/>
      <c r="J56" s="90">
        <v>43874</v>
      </c>
      <c r="K56" s="105">
        <v>44</v>
      </c>
      <c r="L56" s="91">
        <f t="shared" ref="L56:L112" si="208">K56/K55-1</f>
        <v>2.3255813953488413E-2</v>
      </c>
      <c r="M56" s="81"/>
      <c r="N56" s="90">
        <v>43874</v>
      </c>
      <c r="O56" s="105">
        <v>44</v>
      </c>
      <c r="P56" s="91">
        <f t="shared" ref="P56:P112" si="209">O56/O55-1</f>
        <v>2.3255813953488413E-2</v>
      </c>
      <c r="Q56" s="81"/>
      <c r="R56" s="90">
        <v>43874</v>
      </c>
      <c r="S56" s="105">
        <v>44</v>
      </c>
      <c r="T56" s="91">
        <f t="shared" ref="T56:T112" si="210">S56/S55-1</f>
        <v>2.3255813953488413E-2</v>
      </c>
      <c r="U56" s="81"/>
      <c r="V56" s="106">
        <f t="shared" si="0"/>
        <v>43874</v>
      </c>
      <c r="W56" s="4">
        <f t="shared" si="1"/>
        <v>44</v>
      </c>
      <c r="X56" s="4">
        <f t="shared" si="2"/>
        <v>44</v>
      </c>
      <c r="Y56" s="4">
        <f t="shared" si="3"/>
        <v>44</v>
      </c>
      <c r="Z56" s="4">
        <f t="shared" si="4"/>
        <v>44</v>
      </c>
      <c r="AA56" s="4">
        <f t="shared" si="5"/>
        <v>44</v>
      </c>
    </row>
    <row r="57" spans="1:27" x14ac:dyDescent="0.35">
      <c r="A57" s="81"/>
      <c r="B57" s="88">
        <v>43875</v>
      </c>
      <c r="C57" s="104">
        <v>45</v>
      </c>
      <c r="D57" s="92">
        <f t="shared" ref="D57:D113" si="211">C57/(C56)-1</f>
        <v>2.2727272727272707E-2</v>
      </c>
      <c r="E57" s="81"/>
      <c r="F57" s="88">
        <v>43875</v>
      </c>
      <c r="G57" s="104">
        <v>45</v>
      </c>
      <c r="H57" s="92">
        <f t="shared" ref="H57:H113" si="212">G57/(G56)-1</f>
        <v>2.2727272727272707E-2</v>
      </c>
      <c r="I57" s="81"/>
      <c r="J57" s="88">
        <v>43875</v>
      </c>
      <c r="K57" s="104">
        <v>45</v>
      </c>
      <c r="L57" s="92">
        <f t="shared" ref="L57:L113" si="213">K57/(K56)-1</f>
        <v>2.2727272727272707E-2</v>
      </c>
      <c r="M57" s="81"/>
      <c r="N57" s="88">
        <v>43875</v>
      </c>
      <c r="O57" s="104">
        <v>45</v>
      </c>
      <c r="P57" s="92">
        <f t="shared" ref="P57:P113" si="214">O57/(O56)-1</f>
        <v>2.2727272727272707E-2</v>
      </c>
      <c r="Q57" s="81"/>
      <c r="R57" s="88">
        <v>43875</v>
      </c>
      <c r="S57" s="104">
        <v>45</v>
      </c>
      <c r="T57" s="92">
        <f t="shared" ref="T57:T113" si="215">S57/(S56)-1</f>
        <v>2.2727272727272707E-2</v>
      </c>
      <c r="U57" s="81"/>
      <c r="V57" s="106">
        <f t="shared" si="0"/>
        <v>43875</v>
      </c>
      <c r="W57" s="4">
        <f t="shared" si="1"/>
        <v>45</v>
      </c>
      <c r="X57" s="4">
        <f t="shared" si="2"/>
        <v>45</v>
      </c>
      <c r="Y57" s="4">
        <f t="shared" si="3"/>
        <v>45</v>
      </c>
      <c r="Z57" s="4">
        <f t="shared" si="4"/>
        <v>45</v>
      </c>
      <c r="AA57" s="4">
        <f t="shared" si="5"/>
        <v>45</v>
      </c>
    </row>
    <row r="58" spans="1:27" x14ac:dyDescent="0.35">
      <c r="A58" s="81"/>
      <c r="B58" s="90">
        <v>43876</v>
      </c>
      <c r="C58" s="105">
        <v>46</v>
      </c>
      <c r="D58" s="91">
        <f t="shared" ref="D58:D114" si="216">C58/C57-1</f>
        <v>2.2222222222222143E-2</v>
      </c>
      <c r="E58" s="81"/>
      <c r="F58" s="90">
        <v>43876</v>
      </c>
      <c r="G58" s="105">
        <v>46</v>
      </c>
      <c r="H58" s="91">
        <f t="shared" ref="H58:H114" si="217">G58/G57-1</f>
        <v>2.2222222222222143E-2</v>
      </c>
      <c r="I58" s="81"/>
      <c r="J58" s="90">
        <v>43876</v>
      </c>
      <c r="K58" s="105">
        <v>46</v>
      </c>
      <c r="L58" s="91">
        <f t="shared" ref="L58:L114" si="218">K58/K57-1</f>
        <v>2.2222222222222143E-2</v>
      </c>
      <c r="M58" s="81"/>
      <c r="N58" s="90">
        <v>43876</v>
      </c>
      <c r="O58" s="105">
        <v>46</v>
      </c>
      <c r="P58" s="91">
        <f t="shared" ref="P58:P114" si="219">O58/O57-1</f>
        <v>2.2222222222222143E-2</v>
      </c>
      <c r="Q58" s="81"/>
      <c r="R58" s="90">
        <v>43876</v>
      </c>
      <c r="S58" s="105">
        <v>46</v>
      </c>
      <c r="T58" s="91">
        <f t="shared" ref="T58:T114" si="220">S58/S57-1</f>
        <v>2.2222222222222143E-2</v>
      </c>
      <c r="U58" s="81"/>
      <c r="V58" s="106">
        <f t="shared" si="0"/>
        <v>43876</v>
      </c>
      <c r="W58" s="4">
        <f t="shared" si="1"/>
        <v>46</v>
      </c>
      <c r="X58" s="4">
        <f t="shared" si="2"/>
        <v>46</v>
      </c>
      <c r="Y58" s="4">
        <f t="shared" si="3"/>
        <v>46</v>
      </c>
      <c r="Z58" s="4">
        <f t="shared" si="4"/>
        <v>46</v>
      </c>
      <c r="AA58" s="4">
        <f t="shared" si="5"/>
        <v>46</v>
      </c>
    </row>
    <row r="59" spans="1:27" x14ac:dyDescent="0.35">
      <c r="A59" s="81"/>
      <c r="B59" s="88">
        <v>43877</v>
      </c>
      <c r="C59" s="104">
        <v>47</v>
      </c>
      <c r="D59" s="92">
        <f t="shared" ref="D59:D115" si="221">C59/(C58)-1</f>
        <v>2.1739130434782705E-2</v>
      </c>
      <c r="E59" s="81"/>
      <c r="F59" s="88">
        <v>43877</v>
      </c>
      <c r="G59" s="104">
        <v>47</v>
      </c>
      <c r="H59" s="92">
        <f t="shared" ref="H59:H115" si="222">G59/(G58)-1</f>
        <v>2.1739130434782705E-2</v>
      </c>
      <c r="I59" s="81"/>
      <c r="J59" s="88">
        <v>43877</v>
      </c>
      <c r="K59" s="104">
        <v>47</v>
      </c>
      <c r="L59" s="92">
        <f t="shared" ref="L59:L115" si="223">K59/(K58)-1</f>
        <v>2.1739130434782705E-2</v>
      </c>
      <c r="M59" s="81"/>
      <c r="N59" s="88">
        <v>43877</v>
      </c>
      <c r="O59" s="104">
        <v>47</v>
      </c>
      <c r="P59" s="92">
        <f t="shared" ref="P59:P115" si="224">O59/(O58)-1</f>
        <v>2.1739130434782705E-2</v>
      </c>
      <c r="Q59" s="81"/>
      <c r="R59" s="88">
        <v>43877</v>
      </c>
      <c r="S59" s="104">
        <v>47</v>
      </c>
      <c r="T59" s="92">
        <f t="shared" ref="T59:T115" si="225">S59/(S58)-1</f>
        <v>2.1739130434782705E-2</v>
      </c>
      <c r="U59" s="81"/>
      <c r="V59" s="106">
        <f t="shared" si="0"/>
        <v>43877</v>
      </c>
      <c r="W59" s="4">
        <f t="shared" si="1"/>
        <v>47</v>
      </c>
      <c r="X59" s="4">
        <f t="shared" si="2"/>
        <v>47</v>
      </c>
      <c r="Y59" s="4">
        <f t="shared" si="3"/>
        <v>47</v>
      </c>
      <c r="Z59" s="4">
        <f t="shared" si="4"/>
        <v>47</v>
      </c>
      <c r="AA59" s="4">
        <f t="shared" si="5"/>
        <v>47</v>
      </c>
    </row>
    <row r="60" spans="1:27" x14ac:dyDescent="0.35">
      <c r="A60" s="81"/>
      <c r="B60" s="90">
        <v>43878</v>
      </c>
      <c r="C60" s="105">
        <v>48</v>
      </c>
      <c r="D60" s="91">
        <f t="shared" ref="D60:D116" si="226">C60/C59-1</f>
        <v>2.1276595744680771E-2</v>
      </c>
      <c r="E60" s="81"/>
      <c r="F60" s="90">
        <v>43878</v>
      </c>
      <c r="G60" s="105">
        <v>48</v>
      </c>
      <c r="H60" s="91">
        <f t="shared" ref="H60:H116" si="227">G60/G59-1</f>
        <v>2.1276595744680771E-2</v>
      </c>
      <c r="I60" s="81"/>
      <c r="J60" s="90">
        <v>43878</v>
      </c>
      <c r="K60" s="105">
        <v>48</v>
      </c>
      <c r="L60" s="91">
        <f t="shared" ref="L60:L116" si="228">K60/K59-1</f>
        <v>2.1276595744680771E-2</v>
      </c>
      <c r="M60" s="81"/>
      <c r="N60" s="90">
        <v>43878</v>
      </c>
      <c r="O60" s="105">
        <v>48</v>
      </c>
      <c r="P60" s="91">
        <f t="shared" ref="P60:P116" si="229">O60/O59-1</f>
        <v>2.1276595744680771E-2</v>
      </c>
      <c r="Q60" s="81"/>
      <c r="R60" s="90">
        <v>43878</v>
      </c>
      <c r="S60" s="105">
        <v>48</v>
      </c>
      <c r="T60" s="91">
        <f t="shared" ref="T60:T116" si="230">S60/S59-1</f>
        <v>2.1276595744680771E-2</v>
      </c>
      <c r="U60" s="81"/>
      <c r="V60" s="106">
        <f t="shared" si="0"/>
        <v>43878</v>
      </c>
      <c r="W60" s="4">
        <f t="shared" si="1"/>
        <v>48</v>
      </c>
      <c r="X60" s="4">
        <f t="shared" si="2"/>
        <v>48</v>
      </c>
      <c r="Y60" s="4">
        <f t="shared" si="3"/>
        <v>48</v>
      </c>
      <c r="Z60" s="4">
        <f t="shared" si="4"/>
        <v>48</v>
      </c>
      <c r="AA60" s="4">
        <f t="shared" si="5"/>
        <v>48</v>
      </c>
    </row>
    <row r="61" spans="1:27" x14ac:dyDescent="0.35">
      <c r="A61" s="81"/>
      <c r="B61" s="88">
        <v>43879</v>
      </c>
      <c r="C61" s="104">
        <v>49</v>
      </c>
      <c r="D61" s="92">
        <f t="shared" ref="D61:D117" si="231">C61/(C60)-1</f>
        <v>2.0833333333333259E-2</v>
      </c>
      <c r="E61" s="81"/>
      <c r="F61" s="88">
        <v>43879</v>
      </c>
      <c r="G61" s="104">
        <v>49</v>
      </c>
      <c r="H61" s="92">
        <f t="shared" ref="H61:H117" si="232">G61/(G60)-1</f>
        <v>2.0833333333333259E-2</v>
      </c>
      <c r="I61" s="81"/>
      <c r="J61" s="88">
        <v>43879</v>
      </c>
      <c r="K61" s="104">
        <v>49</v>
      </c>
      <c r="L61" s="92">
        <f t="shared" ref="L61:L117" si="233">K61/(K60)-1</f>
        <v>2.0833333333333259E-2</v>
      </c>
      <c r="M61" s="81"/>
      <c r="N61" s="88">
        <v>43879</v>
      </c>
      <c r="O61" s="104">
        <v>49</v>
      </c>
      <c r="P61" s="92">
        <f t="shared" ref="P61:P117" si="234">O61/(O60)-1</f>
        <v>2.0833333333333259E-2</v>
      </c>
      <c r="Q61" s="81"/>
      <c r="R61" s="88">
        <v>43879</v>
      </c>
      <c r="S61" s="104">
        <v>49</v>
      </c>
      <c r="T61" s="92">
        <f t="shared" ref="T61:T117" si="235">S61/(S60)-1</f>
        <v>2.0833333333333259E-2</v>
      </c>
      <c r="U61" s="81"/>
      <c r="V61" s="106">
        <f t="shared" si="0"/>
        <v>43879</v>
      </c>
      <c r="W61" s="4">
        <f t="shared" si="1"/>
        <v>49</v>
      </c>
      <c r="X61" s="4">
        <f t="shared" si="2"/>
        <v>49</v>
      </c>
      <c r="Y61" s="4">
        <f t="shared" si="3"/>
        <v>49</v>
      </c>
      <c r="Z61" s="4">
        <f t="shared" si="4"/>
        <v>49</v>
      </c>
      <c r="AA61" s="4">
        <f t="shared" si="5"/>
        <v>49</v>
      </c>
    </row>
    <row r="62" spans="1:27" x14ac:dyDescent="0.35">
      <c r="A62" s="81"/>
      <c r="B62" s="90">
        <v>43880</v>
      </c>
      <c r="C62" s="105">
        <v>50</v>
      </c>
      <c r="D62" s="91">
        <f t="shared" ref="D62:D118" si="236">C62/C61-1</f>
        <v>2.0408163265306145E-2</v>
      </c>
      <c r="E62" s="81"/>
      <c r="F62" s="90">
        <v>43880</v>
      </c>
      <c r="G62" s="105">
        <v>50</v>
      </c>
      <c r="H62" s="91">
        <f t="shared" ref="H62:H118" si="237">G62/G61-1</f>
        <v>2.0408163265306145E-2</v>
      </c>
      <c r="I62" s="81"/>
      <c r="J62" s="90">
        <v>43880</v>
      </c>
      <c r="K62" s="105">
        <v>50</v>
      </c>
      <c r="L62" s="91">
        <f t="shared" ref="L62:L118" si="238">K62/K61-1</f>
        <v>2.0408163265306145E-2</v>
      </c>
      <c r="M62" s="81"/>
      <c r="N62" s="90">
        <v>43880</v>
      </c>
      <c r="O62" s="105">
        <v>50</v>
      </c>
      <c r="P62" s="91">
        <f t="shared" ref="P62:P118" si="239">O62/O61-1</f>
        <v>2.0408163265306145E-2</v>
      </c>
      <c r="Q62" s="81"/>
      <c r="R62" s="90">
        <v>43880</v>
      </c>
      <c r="S62" s="105">
        <v>50</v>
      </c>
      <c r="T62" s="91">
        <f t="shared" ref="T62:T118" si="240">S62/S61-1</f>
        <v>2.0408163265306145E-2</v>
      </c>
      <c r="U62" s="81"/>
      <c r="V62" s="106">
        <f t="shared" si="0"/>
        <v>43880</v>
      </c>
      <c r="W62" s="4">
        <f t="shared" si="1"/>
        <v>50</v>
      </c>
      <c r="X62" s="4">
        <f t="shared" si="2"/>
        <v>50</v>
      </c>
      <c r="Y62" s="4">
        <f t="shared" si="3"/>
        <v>50</v>
      </c>
      <c r="Z62" s="4">
        <f t="shared" si="4"/>
        <v>50</v>
      </c>
      <c r="AA62" s="4">
        <f t="shared" si="5"/>
        <v>50</v>
      </c>
    </row>
    <row r="63" spans="1:27" x14ac:dyDescent="0.35">
      <c r="A63" s="81"/>
      <c r="B63" s="88">
        <v>43881</v>
      </c>
      <c r="C63" s="104">
        <v>51</v>
      </c>
      <c r="D63" s="92">
        <f t="shared" ref="D63:D119" si="241">C63/(C62)-1</f>
        <v>2.0000000000000018E-2</v>
      </c>
      <c r="E63" s="81"/>
      <c r="F63" s="88">
        <v>43881</v>
      </c>
      <c r="G63" s="104">
        <v>51</v>
      </c>
      <c r="H63" s="92">
        <f t="shared" ref="H63:H119" si="242">G63/(G62)-1</f>
        <v>2.0000000000000018E-2</v>
      </c>
      <c r="I63" s="81"/>
      <c r="J63" s="88">
        <v>43881</v>
      </c>
      <c r="K63" s="104">
        <v>51</v>
      </c>
      <c r="L63" s="92">
        <f t="shared" ref="L63:L119" si="243">K63/(K62)-1</f>
        <v>2.0000000000000018E-2</v>
      </c>
      <c r="M63" s="81"/>
      <c r="N63" s="88">
        <v>43881</v>
      </c>
      <c r="O63" s="104">
        <v>51</v>
      </c>
      <c r="P63" s="92">
        <f t="shared" ref="P63:P119" si="244">O63/(O62)-1</f>
        <v>2.0000000000000018E-2</v>
      </c>
      <c r="Q63" s="81"/>
      <c r="R63" s="88">
        <v>43881</v>
      </c>
      <c r="S63" s="104">
        <v>51</v>
      </c>
      <c r="T63" s="92">
        <f t="shared" ref="T63:T119" si="245">S63/(S62)-1</f>
        <v>2.0000000000000018E-2</v>
      </c>
      <c r="U63" s="81"/>
      <c r="V63" s="106">
        <f t="shared" si="0"/>
        <v>43881</v>
      </c>
      <c r="W63" s="4">
        <f t="shared" si="1"/>
        <v>51</v>
      </c>
      <c r="X63" s="4">
        <f t="shared" si="2"/>
        <v>51</v>
      </c>
      <c r="Y63" s="4">
        <f t="shared" si="3"/>
        <v>51</v>
      </c>
      <c r="Z63" s="4">
        <f t="shared" si="4"/>
        <v>51</v>
      </c>
      <c r="AA63" s="4">
        <f t="shared" si="5"/>
        <v>51</v>
      </c>
    </row>
    <row r="64" spans="1:27" x14ac:dyDescent="0.35">
      <c r="A64" s="81"/>
      <c r="B64" s="90">
        <v>43882</v>
      </c>
      <c r="C64" s="105">
        <v>52</v>
      </c>
      <c r="D64" s="91">
        <f t="shared" ref="D64:D120" si="246">C64/C63-1</f>
        <v>1.9607843137254832E-2</v>
      </c>
      <c r="E64" s="81"/>
      <c r="F64" s="90">
        <v>43882</v>
      </c>
      <c r="G64" s="105">
        <v>52</v>
      </c>
      <c r="H64" s="91">
        <f t="shared" ref="H64:H120" si="247">G64/G63-1</f>
        <v>1.9607843137254832E-2</v>
      </c>
      <c r="I64" s="81"/>
      <c r="J64" s="90">
        <v>43882</v>
      </c>
      <c r="K64" s="105">
        <v>52</v>
      </c>
      <c r="L64" s="91">
        <f t="shared" ref="L64:L120" si="248">K64/K63-1</f>
        <v>1.9607843137254832E-2</v>
      </c>
      <c r="M64" s="81"/>
      <c r="N64" s="90">
        <v>43882</v>
      </c>
      <c r="O64" s="105">
        <v>52</v>
      </c>
      <c r="P64" s="91">
        <f t="shared" ref="P64:P120" si="249">O64/O63-1</f>
        <v>1.9607843137254832E-2</v>
      </c>
      <c r="Q64" s="81"/>
      <c r="R64" s="90">
        <v>43882</v>
      </c>
      <c r="S64" s="105">
        <v>52</v>
      </c>
      <c r="T64" s="91">
        <f t="shared" ref="T64:T120" si="250">S64/S63-1</f>
        <v>1.9607843137254832E-2</v>
      </c>
      <c r="U64" s="81"/>
      <c r="V64" s="106">
        <f t="shared" si="0"/>
        <v>43882</v>
      </c>
      <c r="W64" s="4">
        <f t="shared" si="1"/>
        <v>52</v>
      </c>
      <c r="X64" s="4">
        <f t="shared" si="2"/>
        <v>52</v>
      </c>
      <c r="Y64" s="4">
        <f t="shared" si="3"/>
        <v>52</v>
      </c>
      <c r="Z64" s="4">
        <f t="shared" si="4"/>
        <v>52</v>
      </c>
      <c r="AA64" s="4">
        <f t="shared" si="5"/>
        <v>52</v>
      </c>
    </row>
    <row r="65" spans="1:27" x14ac:dyDescent="0.35">
      <c r="A65" s="81"/>
      <c r="B65" s="88">
        <v>43883</v>
      </c>
      <c r="C65" s="104">
        <v>53</v>
      </c>
      <c r="D65" s="92">
        <f t="shared" ref="D65:D121" si="251">C65/(C64)-1</f>
        <v>1.9230769230769162E-2</v>
      </c>
      <c r="E65" s="81"/>
      <c r="F65" s="88">
        <v>43883</v>
      </c>
      <c r="G65" s="104">
        <v>53</v>
      </c>
      <c r="H65" s="92">
        <f t="shared" ref="H65:H121" si="252">G65/(G64)-1</f>
        <v>1.9230769230769162E-2</v>
      </c>
      <c r="I65" s="81"/>
      <c r="J65" s="88">
        <v>43883</v>
      </c>
      <c r="K65" s="104">
        <v>53</v>
      </c>
      <c r="L65" s="92">
        <f t="shared" ref="L65:L121" si="253">K65/(K64)-1</f>
        <v>1.9230769230769162E-2</v>
      </c>
      <c r="M65" s="81"/>
      <c r="N65" s="88">
        <v>43883</v>
      </c>
      <c r="O65" s="104">
        <v>53</v>
      </c>
      <c r="P65" s="92">
        <f t="shared" ref="P65:P121" si="254">O65/(O64)-1</f>
        <v>1.9230769230769162E-2</v>
      </c>
      <c r="Q65" s="81"/>
      <c r="R65" s="88">
        <v>43883</v>
      </c>
      <c r="S65" s="104">
        <v>53</v>
      </c>
      <c r="T65" s="92">
        <f t="shared" ref="T65:T121" si="255">S65/(S64)-1</f>
        <v>1.9230769230769162E-2</v>
      </c>
      <c r="U65" s="81"/>
      <c r="V65" s="106">
        <f t="shared" si="0"/>
        <v>43883</v>
      </c>
      <c r="W65" s="4">
        <f t="shared" si="1"/>
        <v>53</v>
      </c>
      <c r="X65" s="4">
        <f t="shared" si="2"/>
        <v>53</v>
      </c>
      <c r="Y65" s="4">
        <f t="shared" si="3"/>
        <v>53</v>
      </c>
      <c r="Z65" s="4">
        <f t="shared" si="4"/>
        <v>53</v>
      </c>
      <c r="AA65" s="4">
        <f t="shared" si="5"/>
        <v>53</v>
      </c>
    </row>
    <row r="66" spans="1:27" x14ac:dyDescent="0.35">
      <c r="A66" s="81"/>
      <c r="B66" s="90">
        <v>43884</v>
      </c>
      <c r="C66" s="105">
        <v>54</v>
      </c>
      <c r="D66" s="91">
        <f t="shared" ref="D66:D122" si="256">C66/C65-1</f>
        <v>1.8867924528301883E-2</v>
      </c>
      <c r="E66" s="81"/>
      <c r="F66" s="90">
        <v>43884</v>
      </c>
      <c r="G66" s="105">
        <v>54</v>
      </c>
      <c r="H66" s="91">
        <f t="shared" ref="H66:H122" si="257">G66/G65-1</f>
        <v>1.8867924528301883E-2</v>
      </c>
      <c r="I66" s="81"/>
      <c r="J66" s="90">
        <v>43884</v>
      </c>
      <c r="K66" s="105">
        <v>54</v>
      </c>
      <c r="L66" s="91">
        <f t="shared" ref="L66:L122" si="258">K66/K65-1</f>
        <v>1.8867924528301883E-2</v>
      </c>
      <c r="M66" s="81"/>
      <c r="N66" s="90">
        <v>43884</v>
      </c>
      <c r="O66" s="105">
        <v>54</v>
      </c>
      <c r="P66" s="91">
        <f t="shared" ref="P66:P122" si="259">O66/O65-1</f>
        <v>1.8867924528301883E-2</v>
      </c>
      <c r="Q66" s="81"/>
      <c r="R66" s="90">
        <v>43884</v>
      </c>
      <c r="S66" s="105">
        <v>12</v>
      </c>
      <c r="T66" s="91">
        <f t="shared" ref="T66:T122" si="260">S66/S65-1</f>
        <v>-0.77358490566037741</v>
      </c>
      <c r="U66" s="81"/>
      <c r="V66" s="106">
        <f t="shared" si="0"/>
        <v>43884</v>
      </c>
      <c r="W66" s="4">
        <f t="shared" si="1"/>
        <v>54</v>
      </c>
      <c r="X66" s="4">
        <f t="shared" si="2"/>
        <v>54</v>
      </c>
      <c r="Y66" s="4">
        <f t="shared" si="3"/>
        <v>54</v>
      </c>
      <c r="Z66" s="4">
        <f t="shared" si="4"/>
        <v>54</v>
      </c>
      <c r="AA66" s="4">
        <f t="shared" si="5"/>
        <v>12</v>
      </c>
    </row>
    <row r="67" spans="1:27" x14ac:dyDescent="0.35">
      <c r="A67" s="81"/>
      <c r="B67" s="88">
        <v>43885</v>
      </c>
      <c r="C67" s="104">
        <v>55</v>
      </c>
      <c r="D67" s="92">
        <f t="shared" ref="D67:D123" si="261">C67/(C66)-1</f>
        <v>1.8518518518518601E-2</v>
      </c>
      <c r="E67" s="81"/>
      <c r="F67" s="88">
        <v>43885</v>
      </c>
      <c r="G67" s="104">
        <v>55</v>
      </c>
      <c r="H67" s="92">
        <f t="shared" ref="H67:H123" si="262">G67/(G66)-1</f>
        <v>1.8518518518518601E-2</v>
      </c>
      <c r="I67" s="81"/>
      <c r="J67" s="88">
        <v>43885</v>
      </c>
      <c r="K67" s="104">
        <v>55</v>
      </c>
      <c r="L67" s="92">
        <f t="shared" ref="L67:L123" si="263">K67/(K66)-1</f>
        <v>1.8518518518518601E-2</v>
      </c>
      <c r="M67" s="81"/>
      <c r="N67" s="88">
        <v>43885</v>
      </c>
      <c r="O67" s="104">
        <v>55</v>
      </c>
      <c r="P67" s="92">
        <f t="shared" ref="P67:P123" si="264">O67/(O66)-1</f>
        <v>1.8518518518518601E-2</v>
      </c>
      <c r="Q67" s="81"/>
      <c r="R67" s="88">
        <v>43885</v>
      </c>
      <c r="S67" s="104">
        <v>55</v>
      </c>
      <c r="T67" s="92">
        <f t="shared" ref="T67:T123" si="265">S67/(S66)-1</f>
        <v>3.583333333333333</v>
      </c>
      <c r="U67" s="81"/>
      <c r="V67" s="106">
        <f t="shared" si="0"/>
        <v>43885</v>
      </c>
      <c r="W67" s="4">
        <f t="shared" si="1"/>
        <v>55</v>
      </c>
      <c r="X67" s="4">
        <f t="shared" si="2"/>
        <v>55</v>
      </c>
      <c r="Y67" s="4">
        <f t="shared" si="3"/>
        <v>55</v>
      </c>
      <c r="Z67" s="4">
        <f t="shared" si="4"/>
        <v>55</v>
      </c>
      <c r="AA67" s="4">
        <f t="shared" si="5"/>
        <v>55</v>
      </c>
    </row>
    <row r="68" spans="1:27" x14ac:dyDescent="0.35">
      <c r="A68" s="81"/>
      <c r="B68" s="90">
        <v>43886</v>
      </c>
      <c r="C68" s="105">
        <v>56</v>
      </c>
      <c r="D68" s="91">
        <f t="shared" ref="D68:D124" si="266">C68/C67-1</f>
        <v>1.8181818181818077E-2</v>
      </c>
      <c r="E68" s="81"/>
      <c r="F68" s="90">
        <v>43886</v>
      </c>
      <c r="G68" s="105">
        <v>56</v>
      </c>
      <c r="H68" s="91">
        <f t="shared" ref="H68:H124" si="267">G68/G67-1</f>
        <v>1.8181818181818077E-2</v>
      </c>
      <c r="I68" s="81"/>
      <c r="J68" s="90">
        <v>43886</v>
      </c>
      <c r="K68" s="105">
        <v>56</v>
      </c>
      <c r="L68" s="91">
        <f t="shared" ref="L68:L124" si="268">K68/K67-1</f>
        <v>1.8181818181818077E-2</v>
      </c>
      <c r="M68" s="81"/>
      <c r="N68" s="90">
        <v>43886</v>
      </c>
      <c r="O68" s="105">
        <v>56</v>
      </c>
      <c r="P68" s="91">
        <f t="shared" ref="P68:P124" si="269">O68/O67-1</f>
        <v>1.8181818181818077E-2</v>
      </c>
      <c r="Q68" s="81"/>
      <c r="R68" s="90">
        <v>43886</v>
      </c>
      <c r="S68" s="105">
        <v>56</v>
      </c>
      <c r="T68" s="91">
        <f t="shared" ref="T68:T124" si="270">S68/S67-1</f>
        <v>1.8181818181818077E-2</v>
      </c>
      <c r="U68" s="81"/>
      <c r="V68" s="106">
        <f t="shared" si="0"/>
        <v>43886</v>
      </c>
      <c r="W68" s="4">
        <f t="shared" si="1"/>
        <v>56</v>
      </c>
      <c r="X68" s="4">
        <f t="shared" si="2"/>
        <v>56</v>
      </c>
      <c r="Y68" s="4">
        <f t="shared" si="3"/>
        <v>56</v>
      </c>
      <c r="Z68" s="4">
        <f t="shared" si="4"/>
        <v>56</v>
      </c>
      <c r="AA68" s="4">
        <f t="shared" si="5"/>
        <v>56</v>
      </c>
    </row>
    <row r="69" spans="1:27" x14ac:dyDescent="0.35">
      <c r="A69" s="81"/>
      <c r="B69" s="88">
        <v>43887</v>
      </c>
      <c r="C69" s="104">
        <v>57</v>
      </c>
      <c r="D69" s="92">
        <f t="shared" ref="D69:D125" si="271">C69/(C68)-1</f>
        <v>1.7857142857142794E-2</v>
      </c>
      <c r="E69" s="81"/>
      <c r="F69" s="88">
        <v>43887</v>
      </c>
      <c r="G69" s="104">
        <v>57</v>
      </c>
      <c r="H69" s="92">
        <f t="shared" ref="H69:H125" si="272">G69/(G68)-1</f>
        <v>1.7857142857142794E-2</v>
      </c>
      <c r="I69" s="81"/>
      <c r="J69" s="88">
        <v>43887</v>
      </c>
      <c r="K69" s="104">
        <v>57</v>
      </c>
      <c r="L69" s="92">
        <f t="shared" ref="L69:L125" si="273">K69/(K68)-1</f>
        <v>1.7857142857142794E-2</v>
      </c>
      <c r="M69" s="81"/>
      <c r="N69" s="88">
        <v>43887</v>
      </c>
      <c r="O69" s="104">
        <v>57</v>
      </c>
      <c r="P69" s="92">
        <f t="shared" ref="P69:P125" si="274">O69/(O68)-1</f>
        <v>1.7857142857142794E-2</v>
      </c>
      <c r="Q69" s="81"/>
      <c r="R69" s="88">
        <v>43887</v>
      </c>
      <c r="S69" s="104">
        <v>57</v>
      </c>
      <c r="T69" s="92">
        <f t="shared" ref="T69:T125" si="275">S69/(S68)-1</f>
        <v>1.7857142857142794E-2</v>
      </c>
      <c r="U69" s="81"/>
      <c r="V69" s="106">
        <f t="shared" si="0"/>
        <v>43887</v>
      </c>
      <c r="W69" s="4">
        <f t="shared" si="1"/>
        <v>57</v>
      </c>
      <c r="X69" s="4">
        <f t="shared" si="2"/>
        <v>57</v>
      </c>
      <c r="Y69" s="4">
        <f t="shared" si="3"/>
        <v>57</v>
      </c>
      <c r="Z69" s="4">
        <f t="shared" si="4"/>
        <v>57</v>
      </c>
      <c r="AA69" s="4">
        <f t="shared" si="5"/>
        <v>57</v>
      </c>
    </row>
    <row r="70" spans="1:27" x14ac:dyDescent="0.35">
      <c r="A70" s="81"/>
      <c r="B70" s="90">
        <v>43888</v>
      </c>
      <c r="C70" s="105">
        <v>58</v>
      </c>
      <c r="D70" s="91">
        <f t="shared" ref="D70" si="276">C70/C69-1</f>
        <v>1.7543859649122862E-2</v>
      </c>
      <c r="E70" s="81"/>
      <c r="F70" s="90">
        <v>43888</v>
      </c>
      <c r="G70" s="105">
        <v>58</v>
      </c>
      <c r="H70" s="91">
        <f t="shared" ref="H70" si="277">G70/G69-1</f>
        <v>1.7543859649122862E-2</v>
      </c>
      <c r="I70" s="81"/>
      <c r="J70" s="90">
        <v>43888</v>
      </c>
      <c r="K70" s="105">
        <v>58</v>
      </c>
      <c r="L70" s="91">
        <f t="shared" ref="L70" si="278">K70/K69-1</f>
        <v>1.7543859649122862E-2</v>
      </c>
      <c r="M70" s="81"/>
      <c r="N70" s="90">
        <v>43888</v>
      </c>
      <c r="O70" s="105">
        <v>58</v>
      </c>
      <c r="P70" s="91">
        <f t="shared" ref="P70" si="279">O70/O69-1</f>
        <v>1.7543859649122862E-2</v>
      </c>
      <c r="Q70" s="81"/>
      <c r="R70" s="90">
        <v>43888</v>
      </c>
      <c r="S70" s="105">
        <v>58</v>
      </c>
      <c r="T70" s="91">
        <f t="shared" ref="T70" si="280">S70/S69-1</f>
        <v>1.7543859649122862E-2</v>
      </c>
      <c r="U70" s="81"/>
      <c r="V70" s="106">
        <f t="shared" si="0"/>
        <v>43888</v>
      </c>
      <c r="W70" s="4">
        <f t="shared" si="1"/>
        <v>58</v>
      </c>
      <c r="X70" s="4">
        <f t="shared" si="2"/>
        <v>58</v>
      </c>
      <c r="Y70" s="4">
        <f t="shared" si="3"/>
        <v>58</v>
      </c>
      <c r="Z70" s="4">
        <f t="shared" si="4"/>
        <v>58</v>
      </c>
      <c r="AA70" s="4">
        <f t="shared" si="5"/>
        <v>58</v>
      </c>
    </row>
    <row r="71" spans="1:27" x14ac:dyDescent="0.35">
      <c r="A71" s="81"/>
      <c r="B71" s="88">
        <v>43889</v>
      </c>
      <c r="C71" s="104">
        <v>59</v>
      </c>
      <c r="D71" s="92">
        <f t="shared" ref="D71" si="281">C71/(C70)-1</f>
        <v>1.7241379310344751E-2</v>
      </c>
      <c r="E71" s="81"/>
      <c r="F71" s="88">
        <v>43889</v>
      </c>
      <c r="G71" s="104">
        <v>59</v>
      </c>
      <c r="H71" s="92">
        <f t="shared" ref="H71" si="282">G71/(G70)-1</f>
        <v>1.7241379310344751E-2</v>
      </c>
      <c r="I71" s="81"/>
      <c r="J71" s="88">
        <v>43889</v>
      </c>
      <c r="K71" s="104">
        <v>59</v>
      </c>
      <c r="L71" s="92">
        <f t="shared" ref="L71" si="283">K71/(K70)-1</f>
        <v>1.7241379310344751E-2</v>
      </c>
      <c r="M71" s="81"/>
      <c r="N71" s="88">
        <v>43889</v>
      </c>
      <c r="O71" s="104">
        <v>59</v>
      </c>
      <c r="P71" s="92">
        <f t="shared" ref="P71" si="284">O71/(O70)-1</f>
        <v>1.7241379310344751E-2</v>
      </c>
      <c r="Q71" s="81"/>
      <c r="R71" s="88">
        <v>43889</v>
      </c>
      <c r="S71" s="104">
        <v>59</v>
      </c>
      <c r="T71" s="92">
        <f t="shared" ref="T71" si="285">S71/(S70)-1</f>
        <v>1.7241379310344751E-2</v>
      </c>
      <c r="U71" s="81"/>
      <c r="V71" s="106">
        <f t="shared" si="0"/>
        <v>43889</v>
      </c>
      <c r="W71" s="4">
        <f t="shared" si="1"/>
        <v>59</v>
      </c>
      <c r="X71" s="4">
        <f t="shared" si="2"/>
        <v>59</v>
      </c>
      <c r="Y71" s="4">
        <f t="shared" si="3"/>
        <v>59</v>
      </c>
      <c r="Z71" s="4">
        <f t="shared" si="4"/>
        <v>59</v>
      </c>
      <c r="AA71" s="4">
        <f t="shared" si="5"/>
        <v>59</v>
      </c>
    </row>
    <row r="72" spans="1:27" x14ac:dyDescent="0.35">
      <c r="A72" s="81"/>
      <c r="B72" s="90">
        <v>43890</v>
      </c>
      <c r="C72" s="105">
        <v>60</v>
      </c>
      <c r="D72" s="91">
        <f t="shared" si="146"/>
        <v>1.6949152542372836E-2</v>
      </c>
      <c r="E72" s="81"/>
      <c r="F72" s="90">
        <v>43890</v>
      </c>
      <c r="G72" s="105">
        <v>60</v>
      </c>
      <c r="H72" s="91">
        <f t="shared" si="147"/>
        <v>1.6949152542372836E-2</v>
      </c>
      <c r="I72" s="81"/>
      <c r="J72" s="90">
        <v>43890</v>
      </c>
      <c r="K72" s="105">
        <v>60</v>
      </c>
      <c r="L72" s="91">
        <f t="shared" si="148"/>
        <v>1.6949152542372836E-2</v>
      </c>
      <c r="M72" s="81"/>
      <c r="N72" s="90">
        <v>43890</v>
      </c>
      <c r="O72" s="105">
        <v>60</v>
      </c>
      <c r="P72" s="91">
        <f t="shared" si="149"/>
        <v>1.6949152542372836E-2</v>
      </c>
      <c r="Q72" s="81"/>
      <c r="R72" s="90">
        <v>43890</v>
      </c>
      <c r="S72" s="105">
        <v>60</v>
      </c>
      <c r="T72" s="91">
        <f t="shared" si="150"/>
        <v>1.6949152542372836E-2</v>
      </c>
      <c r="U72" s="81"/>
      <c r="V72" s="106">
        <f t="shared" si="0"/>
        <v>43890</v>
      </c>
      <c r="W72" s="4">
        <f t="shared" si="1"/>
        <v>60</v>
      </c>
      <c r="X72" s="4">
        <f t="shared" si="2"/>
        <v>60</v>
      </c>
      <c r="Y72" s="4">
        <f t="shared" si="3"/>
        <v>60</v>
      </c>
      <c r="Z72" s="4">
        <f t="shared" si="4"/>
        <v>60</v>
      </c>
      <c r="AA72" s="4">
        <f t="shared" si="5"/>
        <v>60</v>
      </c>
    </row>
    <row r="73" spans="1:27" x14ac:dyDescent="0.35">
      <c r="A73" s="81"/>
      <c r="B73" s="88">
        <v>43891</v>
      </c>
      <c r="C73" s="104">
        <v>61</v>
      </c>
      <c r="D73" s="92">
        <f t="shared" si="151"/>
        <v>1.6666666666666607E-2</v>
      </c>
      <c r="E73" s="81"/>
      <c r="F73" s="88">
        <v>43891</v>
      </c>
      <c r="G73" s="104">
        <v>61</v>
      </c>
      <c r="H73" s="92">
        <f t="shared" si="152"/>
        <v>1.6666666666666607E-2</v>
      </c>
      <c r="I73" s="81"/>
      <c r="J73" s="88">
        <v>43891</v>
      </c>
      <c r="K73" s="104">
        <v>61</v>
      </c>
      <c r="L73" s="92">
        <f t="shared" si="153"/>
        <v>1.6666666666666607E-2</v>
      </c>
      <c r="M73" s="81"/>
      <c r="N73" s="88">
        <v>43891</v>
      </c>
      <c r="O73" s="104">
        <v>61</v>
      </c>
      <c r="P73" s="92">
        <f t="shared" si="154"/>
        <v>1.6666666666666607E-2</v>
      </c>
      <c r="Q73" s="81"/>
      <c r="R73" s="88">
        <v>43891</v>
      </c>
      <c r="S73" s="104">
        <v>61</v>
      </c>
      <c r="T73" s="92">
        <f t="shared" si="155"/>
        <v>1.6666666666666607E-2</v>
      </c>
      <c r="U73" s="81"/>
      <c r="V73" s="106">
        <f t="shared" si="0"/>
        <v>43891</v>
      </c>
      <c r="W73" s="4">
        <f t="shared" si="1"/>
        <v>61</v>
      </c>
      <c r="X73" s="4">
        <f t="shared" si="2"/>
        <v>61</v>
      </c>
      <c r="Y73" s="4">
        <f t="shared" si="3"/>
        <v>61</v>
      </c>
      <c r="Z73" s="4">
        <f t="shared" si="4"/>
        <v>61</v>
      </c>
      <c r="AA73" s="4">
        <f t="shared" si="5"/>
        <v>61</v>
      </c>
    </row>
    <row r="74" spans="1:27" x14ac:dyDescent="0.35">
      <c r="A74" s="81"/>
      <c r="B74" s="90">
        <v>43892</v>
      </c>
      <c r="C74" s="105">
        <v>62</v>
      </c>
      <c r="D74" s="91">
        <f t="shared" si="156"/>
        <v>1.6393442622950838E-2</v>
      </c>
      <c r="E74" s="81"/>
      <c r="F74" s="90">
        <v>43892</v>
      </c>
      <c r="G74" s="105">
        <v>62</v>
      </c>
      <c r="H74" s="91">
        <f t="shared" si="157"/>
        <v>1.6393442622950838E-2</v>
      </c>
      <c r="I74" s="81"/>
      <c r="J74" s="90">
        <v>43892</v>
      </c>
      <c r="K74" s="105">
        <v>62</v>
      </c>
      <c r="L74" s="91">
        <f t="shared" si="158"/>
        <v>1.6393442622950838E-2</v>
      </c>
      <c r="M74" s="81"/>
      <c r="N74" s="90">
        <v>43892</v>
      </c>
      <c r="O74" s="105">
        <v>62</v>
      </c>
      <c r="P74" s="91">
        <f t="shared" si="159"/>
        <v>1.6393442622950838E-2</v>
      </c>
      <c r="Q74" s="81"/>
      <c r="R74" s="90">
        <v>43892</v>
      </c>
      <c r="S74" s="105">
        <v>62</v>
      </c>
      <c r="T74" s="91">
        <f t="shared" si="160"/>
        <v>1.6393442622950838E-2</v>
      </c>
      <c r="U74" s="81"/>
      <c r="V74" s="106">
        <f t="shared" si="0"/>
        <v>43892</v>
      </c>
      <c r="W74" s="4">
        <f t="shared" si="1"/>
        <v>62</v>
      </c>
      <c r="X74" s="4">
        <f t="shared" si="2"/>
        <v>62</v>
      </c>
      <c r="Y74" s="4">
        <f t="shared" si="3"/>
        <v>62</v>
      </c>
      <c r="Z74" s="4">
        <f t="shared" si="4"/>
        <v>62</v>
      </c>
      <c r="AA74" s="4">
        <f t="shared" si="5"/>
        <v>62</v>
      </c>
    </row>
    <row r="75" spans="1:27" x14ac:dyDescent="0.35">
      <c r="A75" s="81"/>
      <c r="B75" s="88">
        <v>43893</v>
      </c>
      <c r="C75" s="104">
        <v>63</v>
      </c>
      <c r="D75" s="92">
        <f t="shared" si="161"/>
        <v>1.6129032258064502E-2</v>
      </c>
      <c r="E75" s="81"/>
      <c r="F75" s="88">
        <v>43893</v>
      </c>
      <c r="G75" s="104">
        <v>63</v>
      </c>
      <c r="H75" s="92">
        <f t="shared" si="162"/>
        <v>1.6129032258064502E-2</v>
      </c>
      <c r="I75" s="81"/>
      <c r="J75" s="88">
        <v>43893</v>
      </c>
      <c r="K75" s="104">
        <v>63</v>
      </c>
      <c r="L75" s="92">
        <f t="shared" si="163"/>
        <v>1.6129032258064502E-2</v>
      </c>
      <c r="M75" s="81"/>
      <c r="N75" s="88">
        <v>43893</v>
      </c>
      <c r="O75" s="104">
        <v>63</v>
      </c>
      <c r="P75" s="92">
        <f t="shared" si="164"/>
        <v>1.6129032258064502E-2</v>
      </c>
      <c r="Q75" s="81"/>
      <c r="R75" s="88">
        <v>43893</v>
      </c>
      <c r="S75" s="104">
        <v>63</v>
      </c>
      <c r="T75" s="92">
        <f t="shared" si="165"/>
        <v>1.6129032258064502E-2</v>
      </c>
      <c r="U75" s="81"/>
      <c r="V75" s="106">
        <f t="shared" si="0"/>
        <v>43893</v>
      </c>
      <c r="W75" s="4">
        <f t="shared" si="1"/>
        <v>63</v>
      </c>
      <c r="X75" s="4">
        <f t="shared" si="2"/>
        <v>63</v>
      </c>
      <c r="Y75" s="4">
        <f t="shared" si="3"/>
        <v>63</v>
      </c>
      <c r="Z75" s="4">
        <f t="shared" si="4"/>
        <v>63</v>
      </c>
      <c r="AA75" s="4">
        <f t="shared" si="5"/>
        <v>63</v>
      </c>
    </row>
    <row r="76" spans="1:27" x14ac:dyDescent="0.35">
      <c r="A76" s="81"/>
      <c r="B76" s="90">
        <v>43894</v>
      </c>
      <c r="C76" s="105">
        <v>64</v>
      </c>
      <c r="D76" s="91">
        <f t="shared" si="166"/>
        <v>1.5873015873015817E-2</v>
      </c>
      <c r="E76" s="81"/>
      <c r="F76" s="90">
        <v>43894</v>
      </c>
      <c r="G76" s="105">
        <v>64</v>
      </c>
      <c r="H76" s="91">
        <f t="shared" si="167"/>
        <v>1.5873015873015817E-2</v>
      </c>
      <c r="I76" s="81"/>
      <c r="J76" s="90">
        <v>43894</v>
      </c>
      <c r="K76" s="105">
        <v>64</v>
      </c>
      <c r="L76" s="91">
        <f t="shared" si="168"/>
        <v>1.5873015873015817E-2</v>
      </c>
      <c r="M76" s="81"/>
      <c r="N76" s="90">
        <v>43894</v>
      </c>
      <c r="O76" s="105">
        <v>64</v>
      </c>
      <c r="P76" s="91">
        <f t="shared" si="169"/>
        <v>1.5873015873015817E-2</v>
      </c>
      <c r="Q76" s="81"/>
      <c r="R76" s="90">
        <v>43894</v>
      </c>
      <c r="S76" s="105">
        <v>64</v>
      </c>
      <c r="T76" s="91">
        <f t="shared" si="170"/>
        <v>1.5873015873015817E-2</v>
      </c>
      <c r="U76" s="81"/>
      <c r="V76" s="106">
        <f t="shared" si="0"/>
        <v>43894</v>
      </c>
      <c r="W76" s="4">
        <f t="shared" si="1"/>
        <v>64</v>
      </c>
      <c r="X76" s="4">
        <f t="shared" si="2"/>
        <v>64</v>
      </c>
      <c r="Y76" s="4">
        <f t="shared" si="3"/>
        <v>64</v>
      </c>
      <c r="Z76" s="4">
        <f t="shared" si="4"/>
        <v>64</v>
      </c>
      <c r="AA76" s="4">
        <f t="shared" si="5"/>
        <v>64</v>
      </c>
    </row>
    <row r="77" spans="1:27" x14ac:dyDescent="0.35">
      <c r="A77" s="81"/>
      <c r="B77" s="88">
        <v>43895</v>
      </c>
      <c r="C77" s="104">
        <v>65</v>
      </c>
      <c r="D77" s="92">
        <f t="shared" si="171"/>
        <v>1.5625E-2</v>
      </c>
      <c r="E77" s="81"/>
      <c r="F77" s="88">
        <v>43895</v>
      </c>
      <c r="G77" s="104">
        <v>65</v>
      </c>
      <c r="H77" s="92">
        <f t="shared" si="172"/>
        <v>1.5625E-2</v>
      </c>
      <c r="I77" s="81"/>
      <c r="J77" s="88">
        <v>43895</v>
      </c>
      <c r="K77" s="104">
        <v>65</v>
      </c>
      <c r="L77" s="92">
        <f t="shared" si="173"/>
        <v>1.5625E-2</v>
      </c>
      <c r="M77" s="81"/>
      <c r="N77" s="88">
        <v>43895</v>
      </c>
      <c r="O77" s="104">
        <v>65</v>
      </c>
      <c r="P77" s="92">
        <f t="shared" si="174"/>
        <v>1.5625E-2</v>
      </c>
      <c r="Q77" s="81"/>
      <c r="R77" s="88">
        <v>43895</v>
      </c>
      <c r="S77" s="104">
        <v>65</v>
      </c>
      <c r="T77" s="92">
        <f t="shared" si="175"/>
        <v>1.5625E-2</v>
      </c>
      <c r="U77" s="81"/>
      <c r="V77" s="106">
        <f t="shared" si="0"/>
        <v>43895</v>
      </c>
      <c r="W77" s="4">
        <f t="shared" si="1"/>
        <v>65</v>
      </c>
      <c r="X77" s="4">
        <f t="shared" si="2"/>
        <v>65</v>
      </c>
      <c r="Y77" s="4">
        <f t="shared" si="3"/>
        <v>65</v>
      </c>
      <c r="Z77" s="4">
        <f t="shared" si="4"/>
        <v>65</v>
      </c>
      <c r="AA77" s="4">
        <f t="shared" si="5"/>
        <v>65</v>
      </c>
    </row>
    <row r="78" spans="1:27" x14ac:dyDescent="0.35">
      <c r="A78" s="81"/>
      <c r="B78" s="90">
        <v>43896</v>
      </c>
      <c r="C78" s="105">
        <v>66</v>
      </c>
      <c r="D78" s="91">
        <f t="shared" si="176"/>
        <v>1.538461538461533E-2</v>
      </c>
      <c r="E78" s="81"/>
      <c r="F78" s="90">
        <v>43896</v>
      </c>
      <c r="G78" s="105">
        <v>66</v>
      </c>
      <c r="H78" s="91">
        <f t="shared" si="177"/>
        <v>1.538461538461533E-2</v>
      </c>
      <c r="I78" s="81"/>
      <c r="J78" s="90">
        <v>43896</v>
      </c>
      <c r="K78" s="105">
        <v>66</v>
      </c>
      <c r="L78" s="91">
        <f t="shared" si="178"/>
        <v>1.538461538461533E-2</v>
      </c>
      <c r="M78" s="81"/>
      <c r="N78" s="90">
        <v>43896</v>
      </c>
      <c r="O78" s="105">
        <v>66</v>
      </c>
      <c r="P78" s="91">
        <f t="shared" si="179"/>
        <v>1.538461538461533E-2</v>
      </c>
      <c r="Q78" s="81"/>
      <c r="R78" s="90">
        <v>43896</v>
      </c>
      <c r="S78" s="105">
        <v>66</v>
      </c>
      <c r="T78" s="91">
        <f t="shared" si="180"/>
        <v>1.538461538461533E-2</v>
      </c>
      <c r="U78" s="81"/>
      <c r="V78" s="106">
        <f t="shared" si="0"/>
        <v>43896</v>
      </c>
      <c r="W78" s="4">
        <f t="shared" si="1"/>
        <v>66</v>
      </c>
      <c r="X78" s="4">
        <f t="shared" si="2"/>
        <v>66</v>
      </c>
      <c r="Y78" s="4">
        <f t="shared" si="3"/>
        <v>66</v>
      </c>
      <c r="Z78" s="4">
        <f t="shared" si="4"/>
        <v>66</v>
      </c>
      <c r="AA78" s="4">
        <f t="shared" si="5"/>
        <v>66</v>
      </c>
    </row>
    <row r="79" spans="1:27" x14ac:dyDescent="0.35">
      <c r="A79" s="81"/>
      <c r="B79" s="88">
        <v>43897</v>
      </c>
      <c r="C79" s="104">
        <v>67</v>
      </c>
      <c r="D79" s="92">
        <f t="shared" si="181"/>
        <v>1.5151515151515138E-2</v>
      </c>
      <c r="E79" s="81"/>
      <c r="F79" s="88">
        <v>43897</v>
      </c>
      <c r="G79" s="104">
        <v>67</v>
      </c>
      <c r="H79" s="92">
        <f t="shared" si="182"/>
        <v>1.5151515151515138E-2</v>
      </c>
      <c r="I79" s="81"/>
      <c r="J79" s="88">
        <v>43897</v>
      </c>
      <c r="K79" s="104">
        <v>67</v>
      </c>
      <c r="L79" s="92">
        <f t="shared" si="183"/>
        <v>1.5151515151515138E-2</v>
      </c>
      <c r="M79" s="81"/>
      <c r="N79" s="88">
        <v>43897</v>
      </c>
      <c r="O79" s="104">
        <v>67</v>
      </c>
      <c r="P79" s="92">
        <f t="shared" si="184"/>
        <v>1.5151515151515138E-2</v>
      </c>
      <c r="Q79" s="81"/>
      <c r="R79" s="88">
        <v>43897</v>
      </c>
      <c r="S79" s="104">
        <v>67</v>
      </c>
      <c r="T79" s="92">
        <f t="shared" si="185"/>
        <v>1.5151515151515138E-2</v>
      </c>
      <c r="U79" s="81"/>
      <c r="V79" s="106">
        <f t="shared" ref="V79:V142" si="286">R79</f>
        <v>43897</v>
      </c>
      <c r="W79" s="4">
        <f t="shared" ref="W79:W142" si="287">C79</f>
        <v>67</v>
      </c>
      <c r="X79" s="4">
        <f t="shared" ref="X79:X142" si="288">G79</f>
        <v>67</v>
      </c>
      <c r="Y79" s="4">
        <f t="shared" ref="Y79:Y142" si="289">K79</f>
        <v>67</v>
      </c>
      <c r="Z79" s="4">
        <f t="shared" ref="Z79:Z142" si="290">O79</f>
        <v>67</v>
      </c>
      <c r="AA79" s="4">
        <f t="shared" ref="AA79:AA142" si="291">S79</f>
        <v>67</v>
      </c>
    </row>
    <row r="80" spans="1:27" x14ac:dyDescent="0.35">
      <c r="A80" s="81"/>
      <c r="B80" s="90">
        <v>43898</v>
      </c>
      <c r="C80" s="105">
        <v>68</v>
      </c>
      <c r="D80" s="91">
        <f t="shared" si="186"/>
        <v>1.4925373134328401E-2</v>
      </c>
      <c r="E80" s="81"/>
      <c r="F80" s="90">
        <v>43898</v>
      </c>
      <c r="G80" s="105">
        <v>68</v>
      </c>
      <c r="H80" s="91">
        <f t="shared" si="187"/>
        <v>1.4925373134328401E-2</v>
      </c>
      <c r="I80" s="81"/>
      <c r="J80" s="90">
        <v>43898</v>
      </c>
      <c r="K80" s="105">
        <v>68</v>
      </c>
      <c r="L80" s="91">
        <f t="shared" si="188"/>
        <v>1.4925373134328401E-2</v>
      </c>
      <c r="M80" s="81"/>
      <c r="N80" s="90">
        <v>43898</v>
      </c>
      <c r="O80" s="105">
        <v>68</v>
      </c>
      <c r="P80" s="91">
        <f t="shared" si="189"/>
        <v>1.4925373134328401E-2</v>
      </c>
      <c r="Q80" s="81"/>
      <c r="R80" s="90">
        <v>43898</v>
      </c>
      <c r="S80" s="105">
        <v>68</v>
      </c>
      <c r="T80" s="91">
        <f t="shared" si="190"/>
        <v>1.4925373134328401E-2</v>
      </c>
      <c r="U80" s="81"/>
      <c r="V80" s="106">
        <f t="shared" si="286"/>
        <v>43898</v>
      </c>
      <c r="W80" s="4">
        <f t="shared" si="287"/>
        <v>68</v>
      </c>
      <c r="X80" s="4">
        <f t="shared" si="288"/>
        <v>68</v>
      </c>
      <c r="Y80" s="4">
        <f t="shared" si="289"/>
        <v>68</v>
      </c>
      <c r="Z80" s="4">
        <f t="shared" si="290"/>
        <v>68</v>
      </c>
      <c r="AA80" s="4">
        <f t="shared" si="291"/>
        <v>68</v>
      </c>
    </row>
    <row r="81" spans="1:27" x14ac:dyDescent="0.35">
      <c r="A81" s="81"/>
      <c r="B81" s="88">
        <v>43899</v>
      </c>
      <c r="C81" s="104">
        <v>69</v>
      </c>
      <c r="D81" s="92">
        <f t="shared" si="191"/>
        <v>1.4705882352941124E-2</v>
      </c>
      <c r="E81" s="81"/>
      <c r="F81" s="88">
        <v>43899</v>
      </c>
      <c r="G81" s="104">
        <v>69</v>
      </c>
      <c r="H81" s="92">
        <f t="shared" si="192"/>
        <v>1.4705882352941124E-2</v>
      </c>
      <c r="I81" s="81"/>
      <c r="J81" s="88">
        <v>43899</v>
      </c>
      <c r="K81" s="104">
        <v>69</v>
      </c>
      <c r="L81" s="92">
        <f t="shared" si="193"/>
        <v>1.4705882352941124E-2</v>
      </c>
      <c r="M81" s="81"/>
      <c r="N81" s="88">
        <v>43899</v>
      </c>
      <c r="O81" s="104">
        <v>69</v>
      </c>
      <c r="P81" s="92">
        <f t="shared" si="194"/>
        <v>1.4705882352941124E-2</v>
      </c>
      <c r="Q81" s="81"/>
      <c r="R81" s="88">
        <v>43899</v>
      </c>
      <c r="S81" s="104">
        <v>69</v>
      </c>
      <c r="T81" s="92">
        <f t="shared" si="195"/>
        <v>1.4705882352941124E-2</v>
      </c>
      <c r="U81" s="81"/>
      <c r="V81" s="106">
        <f t="shared" si="286"/>
        <v>43899</v>
      </c>
      <c r="W81" s="4">
        <f t="shared" si="287"/>
        <v>69</v>
      </c>
      <c r="X81" s="4">
        <f t="shared" si="288"/>
        <v>69</v>
      </c>
      <c r="Y81" s="4">
        <f t="shared" si="289"/>
        <v>69</v>
      </c>
      <c r="Z81" s="4">
        <f t="shared" si="290"/>
        <v>69</v>
      </c>
      <c r="AA81" s="4">
        <f t="shared" si="291"/>
        <v>69</v>
      </c>
    </row>
    <row r="82" spans="1:27" x14ac:dyDescent="0.35">
      <c r="A82" s="81"/>
      <c r="B82" s="90">
        <v>43900</v>
      </c>
      <c r="C82" s="105">
        <v>70</v>
      </c>
      <c r="D82" s="91">
        <f t="shared" si="196"/>
        <v>1.449275362318847E-2</v>
      </c>
      <c r="E82" s="81"/>
      <c r="F82" s="90">
        <v>43900</v>
      </c>
      <c r="G82" s="105">
        <v>70</v>
      </c>
      <c r="H82" s="91">
        <f t="shared" si="197"/>
        <v>1.449275362318847E-2</v>
      </c>
      <c r="I82" s="81"/>
      <c r="J82" s="90">
        <v>43900</v>
      </c>
      <c r="K82" s="105">
        <v>70</v>
      </c>
      <c r="L82" s="91">
        <f t="shared" si="198"/>
        <v>1.449275362318847E-2</v>
      </c>
      <c r="M82" s="81"/>
      <c r="N82" s="90">
        <v>43900</v>
      </c>
      <c r="O82" s="105">
        <v>70</v>
      </c>
      <c r="P82" s="91">
        <f t="shared" si="199"/>
        <v>1.449275362318847E-2</v>
      </c>
      <c r="Q82" s="81"/>
      <c r="R82" s="90">
        <v>43900</v>
      </c>
      <c r="S82" s="105">
        <v>70</v>
      </c>
      <c r="T82" s="91">
        <f t="shared" si="200"/>
        <v>1.449275362318847E-2</v>
      </c>
      <c r="U82" s="81"/>
      <c r="V82" s="106">
        <f t="shared" si="286"/>
        <v>43900</v>
      </c>
      <c r="W82" s="4">
        <f t="shared" si="287"/>
        <v>70</v>
      </c>
      <c r="X82" s="4">
        <f t="shared" si="288"/>
        <v>70</v>
      </c>
      <c r="Y82" s="4">
        <f t="shared" si="289"/>
        <v>70</v>
      </c>
      <c r="Z82" s="4">
        <f t="shared" si="290"/>
        <v>70</v>
      </c>
      <c r="AA82" s="4">
        <f t="shared" si="291"/>
        <v>70</v>
      </c>
    </row>
    <row r="83" spans="1:27" x14ac:dyDescent="0.35">
      <c r="A83" s="81"/>
      <c r="B83" s="88">
        <v>43901</v>
      </c>
      <c r="C83" s="104">
        <v>71</v>
      </c>
      <c r="D83" s="92">
        <f t="shared" si="201"/>
        <v>1.4285714285714235E-2</v>
      </c>
      <c r="E83" s="81"/>
      <c r="F83" s="88">
        <v>43901</v>
      </c>
      <c r="G83" s="104">
        <v>71</v>
      </c>
      <c r="H83" s="92">
        <f t="shared" si="202"/>
        <v>1.4285714285714235E-2</v>
      </c>
      <c r="I83" s="81"/>
      <c r="J83" s="88">
        <v>43901</v>
      </c>
      <c r="K83" s="104">
        <v>71</v>
      </c>
      <c r="L83" s="92">
        <f t="shared" si="203"/>
        <v>1.4285714285714235E-2</v>
      </c>
      <c r="M83" s="81"/>
      <c r="N83" s="88">
        <v>43901</v>
      </c>
      <c r="O83" s="104">
        <v>71</v>
      </c>
      <c r="P83" s="92">
        <f t="shared" si="204"/>
        <v>1.4285714285714235E-2</v>
      </c>
      <c r="Q83" s="81"/>
      <c r="R83" s="88">
        <v>43901</v>
      </c>
      <c r="S83" s="104">
        <v>71</v>
      </c>
      <c r="T83" s="92">
        <f t="shared" si="205"/>
        <v>1.4285714285714235E-2</v>
      </c>
      <c r="U83" s="81"/>
      <c r="V83" s="106">
        <f t="shared" si="286"/>
        <v>43901</v>
      </c>
      <c r="W83" s="4">
        <f t="shared" si="287"/>
        <v>71</v>
      </c>
      <c r="X83" s="4">
        <f t="shared" si="288"/>
        <v>71</v>
      </c>
      <c r="Y83" s="4">
        <f t="shared" si="289"/>
        <v>71</v>
      </c>
      <c r="Z83" s="4">
        <f t="shared" si="290"/>
        <v>71</v>
      </c>
      <c r="AA83" s="4">
        <f t="shared" si="291"/>
        <v>71</v>
      </c>
    </row>
    <row r="84" spans="1:27" x14ac:dyDescent="0.35">
      <c r="A84" s="81"/>
      <c r="B84" s="90">
        <v>43902</v>
      </c>
      <c r="C84" s="105">
        <v>72</v>
      </c>
      <c r="D84" s="91">
        <f t="shared" si="206"/>
        <v>1.4084507042253502E-2</v>
      </c>
      <c r="E84" s="81"/>
      <c r="F84" s="90">
        <v>43902</v>
      </c>
      <c r="G84" s="105">
        <v>72</v>
      </c>
      <c r="H84" s="91">
        <f t="shared" si="207"/>
        <v>1.4084507042253502E-2</v>
      </c>
      <c r="I84" s="81"/>
      <c r="J84" s="90">
        <v>43902</v>
      </c>
      <c r="K84" s="105">
        <v>72</v>
      </c>
      <c r="L84" s="91">
        <f t="shared" si="208"/>
        <v>1.4084507042253502E-2</v>
      </c>
      <c r="M84" s="81"/>
      <c r="N84" s="90">
        <v>43902</v>
      </c>
      <c r="O84" s="105">
        <v>72</v>
      </c>
      <c r="P84" s="91">
        <f t="shared" si="209"/>
        <v>1.4084507042253502E-2</v>
      </c>
      <c r="Q84" s="81"/>
      <c r="R84" s="90">
        <v>43902</v>
      </c>
      <c r="S84" s="105">
        <v>72</v>
      </c>
      <c r="T84" s="91">
        <f t="shared" si="210"/>
        <v>1.4084507042253502E-2</v>
      </c>
      <c r="U84" s="81"/>
      <c r="V84" s="106">
        <f t="shared" si="286"/>
        <v>43902</v>
      </c>
      <c r="W84" s="4">
        <f t="shared" si="287"/>
        <v>72</v>
      </c>
      <c r="X84" s="4">
        <f t="shared" si="288"/>
        <v>72</v>
      </c>
      <c r="Y84" s="4">
        <f t="shared" si="289"/>
        <v>72</v>
      </c>
      <c r="Z84" s="4">
        <f t="shared" si="290"/>
        <v>72</v>
      </c>
      <c r="AA84" s="4">
        <f t="shared" si="291"/>
        <v>72</v>
      </c>
    </row>
    <row r="85" spans="1:27" x14ac:dyDescent="0.35">
      <c r="A85" s="81"/>
      <c r="B85" s="88">
        <v>43903</v>
      </c>
      <c r="C85" s="104">
        <v>73</v>
      </c>
      <c r="D85" s="92">
        <f t="shared" si="211"/>
        <v>1.388888888888884E-2</v>
      </c>
      <c r="E85" s="81"/>
      <c r="F85" s="88">
        <v>43903</v>
      </c>
      <c r="G85" s="104">
        <v>73</v>
      </c>
      <c r="H85" s="92">
        <f t="shared" si="212"/>
        <v>1.388888888888884E-2</v>
      </c>
      <c r="I85" s="81"/>
      <c r="J85" s="88">
        <v>43903</v>
      </c>
      <c r="K85" s="104">
        <v>73</v>
      </c>
      <c r="L85" s="92">
        <f t="shared" si="213"/>
        <v>1.388888888888884E-2</v>
      </c>
      <c r="M85" s="81"/>
      <c r="N85" s="88">
        <v>43903</v>
      </c>
      <c r="O85" s="104">
        <v>73</v>
      </c>
      <c r="P85" s="92">
        <f t="shared" si="214"/>
        <v>1.388888888888884E-2</v>
      </c>
      <c r="Q85" s="81"/>
      <c r="R85" s="88">
        <v>43903</v>
      </c>
      <c r="S85" s="104">
        <v>73</v>
      </c>
      <c r="T85" s="92">
        <f t="shared" si="215"/>
        <v>1.388888888888884E-2</v>
      </c>
      <c r="U85" s="81"/>
      <c r="V85" s="106">
        <f t="shared" si="286"/>
        <v>43903</v>
      </c>
      <c r="W85" s="4">
        <f t="shared" si="287"/>
        <v>73</v>
      </c>
      <c r="X85" s="4">
        <f t="shared" si="288"/>
        <v>73</v>
      </c>
      <c r="Y85" s="4">
        <f t="shared" si="289"/>
        <v>73</v>
      </c>
      <c r="Z85" s="4">
        <f t="shared" si="290"/>
        <v>73</v>
      </c>
      <c r="AA85" s="4">
        <f t="shared" si="291"/>
        <v>73</v>
      </c>
    </row>
    <row r="86" spans="1:27" x14ac:dyDescent="0.35">
      <c r="A86" s="81"/>
      <c r="B86" s="90">
        <v>43904</v>
      </c>
      <c r="C86" s="105">
        <v>74</v>
      </c>
      <c r="D86" s="91">
        <f t="shared" si="216"/>
        <v>1.3698630136986356E-2</v>
      </c>
      <c r="E86" s="81"/>
      <c r="F86" s="90">
        <v>43904</v>
      </c>
      <c r="G86" s="105">
        <v>74</v>
      </c>
      <c r="H86" s="91">
        <f t="shared" si="217"/>
        <v>1.3698630136986356E-2</v>
      </c>
      <c r="I86" s="81"/>
      <c r="J86" s="90">
        <v>43904</v>
      </c>
      <c r="K86" s="105">
        <v>74</v>
      </c>
      <c r="L86" s="91">
        <f t="shared" si="218"/>
        <v>1.3698630136986356E-2</v>
      </c>
      <c r="M86" s="81"/>
      <c r="N86" s="90">
        <v>43904</v>
      </c>
      <c r="O86" s="105">
        <v>74</v>
      </c>
      <c r="P86" s="91">
        <f t="shared" si="219"/>
        <v>1.3698630136986356E-2</v>
      </c>
      <c r="Q86" s="81"/>
      <c r="R86" s="90">
        <v>43904</v>
      </c>
      <c r="S86" s="105">
        <v>74</v>
      </c>
      <c r="T86" s="91">
        <f t="shared" si="220"/>
        <v>1.3698630136986356E-2</v>
      </c>
      <c r="U86" s="81"/>
      <c r="V86" s="106">
        <f t="shared" si="286"/>
        <v>43904</v>
      </c>
      <c r="W86" s="4">
        <f t="shared" si="287"/>
        <v>74</v>
      </c>
      <c r="X86" s="4">
        <f t="shared" si="288"/>
        <v>74</v>
      </c>
      <c r="Y86" s="4">
        <f t="shared" si="289"/>
        <v>74</v>
      </c>
      <c r="Z86" s="4">
        <f t="shared" si="290"/>
        <v>74</v>
      </c>
      <c r="AA86" s="4">
        <f t="shared" si="291"/>
        <v>74</v>
      </c>
    </row>
    <row r="87" spans="1:27" x14ac:dyDescent="0.35">
      <c r="A87" s="81"/>
      <c r="B87" s="88">
        <v>43905</v>
      </c>
      <c r="C87" s="104">
        <v>75</v>
      </c>
      <c r="D87" s="92">
        <f t="shared" si="221"/>
        <v>1.3513513513513598E-2</v>
      </c>
      <c r="E87" s="81"/>
      <c r="F87" s="88">
        <v>43905</v>
      </c>
      <c r="G87" s="104">
        <v>75</v>
      </c>
      <c r="H87" s="92">
        <f t="shared" si="222"/>
        <v>1.3513513513513598E-2</v>
      </c>
      <c r="I87" s="81"/>
      <c r="J87" s="88">
        <v>43905</v>
      </c>
      <c r="K87" s="104">
        <v>75</v>
      </c>
      <c r="L87" s="92">
        <f t="shared" si="223"/>
        <v>1.3513513513513598E-2</v>
      </c>
      <c r="M87" s="81"/>
      <c r="N87" s="88">
        <v>43905</v>
      </c>
      <c r="O87" s="104">
        <v>75</v>
      </c>
      <c r="P87" s="92">
        <f t="shared" si="224"/>
        <v>1.3513513513513598E-2</v>
      </c>
      <c r="Q87" s="81"/>
      <c r="R87" s="88">
        <v>43905</v>
      </c>
      <c r="S87" s="104">
        <v>75</v>
      </c>
      <c r="T87" s="92">
        <f t="shared" si="225"/>
        <v>1.3513513513513598E-2</v>
      </c>
      <c r="U87" s="81"/>
      <c r="V87" s="106">
        <f t="shared" si="286"/>
        <v>43905</v>
      </c>
      <c r="W87" s="4">
        <f t="shared" si="287"/>
        <v>75</v>
      </c>
      <c r="X87" s="4">
        <f t="shared" si="288"/>
        <v>75</v>
      </c>
      <c r="Y87" s="4">
        <f t="shared" si="289"/>
        <v>75</v>
      </c>
      <c r="Z87" s="4">
        <f t="shared" si="290"/>
        <v>75</v>
      </c>
      <c r="AA87" s="4">
        <f t="shared" si="291"/>
        <v>75</v>
      </c>
    </row>
    <row r="88" spans="1:27" x14ac:dyDescent="0.35">
      <c r="A88" s="81"/>
      <c r="B88" s="90">
        <v>43906</v>
      </c>
      <c r="C88" s="105">
        <v>76</v>
      </c>
      <c r="D88" s="91">
        <f t="shared" si="226"/>
        <v>1.3333333333333419E-2</v>
      </c>
      <c r="E88" s="81"/>
      <c r="F88" s="90">
        <v>43906</v>
      </c>
      <c r="G88" s="105">
        <v>76</v>
      </c>
      <c r="H88" s="91">
        <f t="shared" si="227"/>
        <v>1.3333333333333419E-2</v>
      </c>
      <c r="I88" s="81"/>
      <c r="J88" s="90">
        <v>43906</v>
      </c>
      <c r="K88" s="105">
        <v>76</v>
      </c>
      <c r="L88" s="91">
        <f t="shared" si="228"/>
        <v>1.3333333333333419E-2</v>
      </c>
      <c r="M88" s="81"/>
      <c r="N88" s="90">
        <v>43906</v>
      </c>
      <c r="O88" s="105">
        <v>76</v>
      </c>
      <c r="P88" s="91">
        <f t="shared" si="229"/>
        <v>1.3333333333333419E-2</v>
      </c>
      <c r="Q88" s="81"/>
      <c r="R88" s="90">
        <v>43906</v>
      </c>
      <c r="S88" s="105">
        <v>76</v>
      </c>
      <c r="T88" s="91">
        <f t="shared" si="230"/>
        <v>1.3333333333333419E-2</v>
      </c>
      <c r="U88" s="81"/>
      <c r="V88" s="106">
        <f t="shared" si="286"/>
        <v>43906</v>
      </c>
      <c r="W88" s="4">
        <f t="shared" si="287"/>
        <v>76</v>
      </c>
      <c r="X88" s="4">
        <f t="shared" si="288"/>
        <v>76</v>
      </c>
      <c r="Y88" s="4">
        <f t="shared" si="289"/>
        <v>76</v>
      </c>
      <c r="Z88" s="4">
        <f t="shared" si="290"/>
        <v>76</v>
      </c>
      <c r="AA88" s="4">
        <f t="shared" si="291"/>
        <v>76</v>
      </c>
    </row>
    <row r="89" spans="1:27" x14ac:dyDescent="0.35">
      <c r="A89" s="81"/>
      <c r="B89" s="88">
        <v>43907</v>
      </c>
      <c r="C89" s="104">
        <v>77</v>
      </c>
      <c r="D89" s="92">
        <f t="shared" si="231"/>
        <v>1.3157894736842035E-2</v>
      </c>
      <c r="E89" s="81"/>
      <c r="F89" s="88">
        <v>43907</v>
      </c>
      <c r="G89" s="104">
        <v>77</v>
      </c>
      <c r="H89" s="92">
        <f t="shared" si="232"/>
        <v>1.3157894736842035E-2</v>
      </c>
      <c r="I89" s="81"/>
      <c r="J89" s="88">
        <v>43907</v>
      </c>
      <c r="K89" s="104">
        <v>77</v>
      </c>
      <c r="L89" s="92">
        <f t="shared" si="233"/>
        <v>1.3157894736842035E-2</v>
      </c>
      <c r="M89" s="81"/>
      <c r="N89" s="88">
        <v>43907</v>
      </c>
      <c r="O89" s="104">
        <v>77</v>
      </c>
      <c r="P89" s="92">
        <f t="shared" si="234"/>
        <v>1.3157894736842035E-2</v>
      </c>
      <c r="Q89" s="81"/>
      <c r="R89" s="88">
        <v>43907</v>
      </c>
      <c r="S89" s="104">
        <v>77</v>
      </c>
      <c r="T89" s="92">
        <f t="shared" si="235"/>
        <v>1.3157894736842035E-2</v>
      </c>
      <c r="U89" s="81"/>
      <c r="V89" s="106">
        <f t="shared" si="286"/>
        <v>43907</v>
      </c>
      <c r="W89" s="4">
        <f t="shared" si="287"/>
        <v>77</v>
      </c>
      <c r="X89" s="4">
        <f t="shared" si="288"/>
        <v>77</v>
      </c>
      <c r="Y89" s="4">
        <f t="shared" si="289"/>
        <v>77</v>
      </c>
      <c r="Z89" s="4">
        <f t="shared" si="290"/>
        <v>77</v>
      </c>
      <c r="AA89" s="4">
        <f t="shared" si="291"/>
        <v>77</v>
      </c>
    </row>
    <row r="90" spans="1:27" x14ac:dyDescent="0.35">
      <c r="A90" s="81"/>
      <c r="B90" s="90">
        <v>43908</v>
      </c>
      <c r="C90" s="105">
        <v>78</v>
      </c>
      <c r="D90" s="91">
        <f t="shared" si="236"/>
        <v>1.298701298701288E-2</v>
      </c>
      <c r="E90" s="81"/>
      <c r="F90" s="90">
        <v>43908</v>
      </c>
      <c r="G90" s="105">
        <v>78</v>
      </c>
      <c r="H90" s="91">
        <f t="shared" si="237"/>
        <v>1.298701298701288E-2</v>
      </c>
      <c r="I90" s="81"/>
      <c r="J90" s="90">
        <v>43908</v>
      </c>
      <c r="K90" s="105">
        <v>78</v>
      </c>
      <c r="L90" s="91">
        <f t="shared" si="238"/>
        <v>1.298701298701288E-2</v>
      </c>
      <c r="M90" s="81"/>
      <c r="N90" s="90">
        <v>43908</v>
      </c>
      <c r="O90" s="105">
        <v>78</v>
      </c>
      <c r="P90" s="91">
        <f t="shared" si="239"/>
        <v>1.298701298701288E-2</v>
      </c>
      <c r="Q90" s="81"/>
      <c r="R90" s="90">
        <v>43908</v>
      </c>
      <c r="S90" s="105">
        <v>78</v>
      </c>
      <c r="T90" s="91">
        <f t="shared" si="240"/>
        <v>1.298701298701288E-2</v>
      </c>
      <c r="U90" s="81"/>
      <c r="V90" s="106">
        <f t="shared" si="286"/>
        <v>43908</v>
      </c>
      <c r="W90" s="4">
        <f t="shared" si="287"/>
        <v>78</v>
      </c>
      <c r="X90" s="4">
        <f t="shared" si="288"/>
        <v>78</v>
      </c>
      <c r="Y90" s="4">
        <f t="shared" si="289"/>
        <v>78</v>
      </c>
      <c r="Z90" s="4">
        <f t="shared" si="290"/>
        <v>78</v>
      </c>
      <c r="AA90" s="4">
        <f t="shared" si="291"/>
        <v>78</v>
      </c>
    </row>
    <row r="91" spans="1:27" x14ac:dyDescent="0.35">
      <c r="A91" s="81"/>
      <c r="B91" s="88">
        <v>43909</v>
      </c>
      <c r="C91" s="104">
        <v>79</v>
      </c>
      <c r="D91" s="92">
        <f t="shared" si="241"/>
        <v>1.2820512820512775E-2</v>
      </c>
      <c r="E91" s="81"/>
      <c r="F91" s="88">
        <v>43909</v>
      </c>
      <c r="G91" s="104">
        <v>79</v>
      </c>
      <c r="H91" s="92">
        <f t="shared" si="242"/>
        <v>1.2820512820512775E-2</v>
      </c>
      <c r="I91" s="81"/>
      <c r="J91" s="88">
        <v>43909</v>
      </c>
      <c r="K91" s="104">
        <v>79</v>
      </c>
      <c r="L91" s="92">
        <f t="shared" si="243"/>
        <v>1.2820512820512775E-2</v>
      </c>
      <c r="M91" s="81"/>
      <c r="N91" s="88">
        <v>43909</v>
      </c>
      <c r="O91" s="104">
        <v>79</v>
      </c>
      <c r="P91" s="92">
        <f t="shared" si="244"/>
        <v>1.2820512820512775E-2</v>
      </c>
      <c r="Q91" s="81"/>
      <c r="R91" s="88">
        <v>43909</v>
      </c>
      <c r="S91" s="104">
        <v>12</v>
      </c>
      <c r="T91" s="92">
        <f t="shared" si="245"/>
        <v>-0.84615384615384615</v>
      </c>
      <c r="U91" s="81"/>
      <c r="V91" s="106">
        <f t="shared" si="286"/>
        <v>43909</v>
      </c>
      <c r="W91" s="4">
        <f t="shared" si="287"/>
        <v>79</v>
      </c>
      <c r="X91" s="4">
        <f t="shared" si="288"/>
        <v>79</v>
      </c>
      <c r="Y91" s="4">
        <f t="shared" si="289"/>
        <v>79</v>
      </c>
      <c r="Z91" s="4">
        <f t="shared" si="290"/>
        <v>79</v>
      </c>
      <c r="AA91" s="4">
        <f t="shared" si="291"/>
        <v>12</v>
      </c>
    </row>
    <row r="92" spans="1:27" x14ac:dyDescent="0.35">
      <c r="A92" s="81"/>
      <c r="B92" s="90">
        <v>43910</v>
      </c>
      <c r="C92" s="105">
        <v>80</v>
      </c>
      <c r="D92" s="91">
        <f t="shared" si="246"/>
        <v>1.2658227848101333E-2</v>
      </c>
      <c r="E92" s="81"/>
      <c r="F92" s="90">
        <v>43910</v>
      </c>
      <c r="G92" s="105">
        <v>80</v>
      </c>
      <c r="H92" s="91">
        <f t="shared" si="247"/>
        <v>1.2658227848101333E-2</v>
      </c>
      <c r="I92" s="81"/>
      <c r="J92" s="90">
        <v>43910</v>
      </c>
      <c r="K92" s="105">
        <v>80</v>
      </c>
      <c r="L92" s="91">
        <f t="shared" si="248"/>
        <v>1.2658227848101333E-2</v>
      </c>
      <c r="M92" s="81"/>
      <c r="N92" s="90">
        <v>43910</v>
      </c>
      <c r="O92" s="105">
        <v>80</v>
      </c>
      <c r="P92" s="91">
        <f t="shared" si="249"/>
        <v>1.2658227848101333E-2</v>
      </c>
      <c r="Q92" s="81"/>
      <c r="R92" s="90">
        <v>43910</v>
      </c>
      <c r="S92" s="105">
        <v>80</v>
      </c>
      <c r="T92" s="91">
        <f t="shared" si="250"/>
        <v>5.666666666666667</v>
      </c>
      <c r="U92" s="81"/>
      <c r="V92" s="106">
        <f t="shared" si="286"/>
        <v>43910</v>
      </c>
      <c r="W92" s="4">
        <f t="shared" si="287"/>
        <v>80</v>
      </c>
      <c r="X92" s="4">
        <f t="shared" si="288"/>
        <v>80</v>
      </c>
      <c r="Y92" s="4">
        <f t="shared" si="289"/>
        <v>80</v>
      </c>
      <c r="Z92" s="4">
        <f t="shared" si="290"/>
        <v>80</v>
      </c>
      <c r="AA92" s="4">
        <f t="shared" si="291"/>
        <v>80</v>
      </c>
    </row>
    <row r="93" spans="1:27" x14ac:dyDescent="0.35">
      <c r="A93" s="81"/>
      <c r="B93" s="88">
        <v>43911</v>
      </c>
      <c r="C93" s="104">
        <v>81</v>
      </c>
      <c r="D93" s="92">
        <f t="shared" si="251"/>
        <v>1.2499999999999956E-2</v>
      </c>
      <c r="E93" s="81"/>
      <c r="F93" s="88">
        <v>43911</v>
      </c>
      <c r="G93" s="104">
        <v>81</v>
      </c>
      <c r="H93" s="92">
        <f t="shared" si="252"/>
        <v>1.2499999999999956E-2</v>
      </c>
      <c r="I93" s="81"/>
      <c r="J93" s="88">
        <v>43911</v>
      </c>
      <c r="K93" s="104">
        <v>81</v>
      </c>
      <c r="L93" s="92">
        <f t="shared" si="253"/>
        <v>1.2499999999999956E-2</v>
      </c>
      <c r="M93" s="81"/>
      <c r="N93" s="88">
        <v>43911</v>
      </c>
      <c r="O93" s="104">
        <v>81</v>
      </c>
      <c r="P93" s="92">
        <f t="shared" si="254"/>
        <v>1.2499999999999956E-2</v>
      </c>
      <c r="Q93" s="81"/>
      <c r="R93" s="88">
        <v>43911</v>
      </c>
      <c r="S93" s="104">
        <v>81</v>
      </c>
      <c r="T93" s="92">
        <f t="shared" si="255"/>
        <v>1.2499999999999956E-2</v>
      </c>
      <c r="U93" s="81"/>
      <c r="V93" s="106">
        <f t="shared" si="286"/>
        <v>43911</v>
      </c>
      <c r="W93" s="4">
        <f t="shared" si="287"/>
        <v>81</v>
      </c>
      <c r="X93" s="4">
        <f t="shared" si="288"/>
        <v>81</v>
      </c>
      <c r="Y93" s="4">
        <f t="shared" si="289"/>
        <v>81</v>
      </c>
      <c r="Z93" s="4">
        <f t="shared" si="290"/>
        <v>81</v>
      </c>
      <c r="AA93" s="4">
        <f t="shared" si="291"/>
        <v>81</v>
      </c>
    </row>
    <row r="94" spans="1:27" x14ac:dyDescent="0.35">
      <c r="A94" s="81"/>
      <c r="B94" s="90">
        <v>43912</v>
      </c>
      <c r="C94" s="105">
        <v>82</v>
      </c>
      <c r="D94" s="91">
        <f t="shared" si="256"/>
        <v>1.2345679012345734E-2</v>
      </c>
      <c r="E94" s="81"/>
      <c r="F94" s="90">
        <v>43912</v>
      </c>
      <c r="G94" s="105">
        <v>82</v>
      </c>
      <c r="H94" s="91">
        <f t="shared" si="257"/>
        <v>1.2345679012345734E-2</v>
      </c>
      <c r="I94" s="81"/>
      <c r="J94" s="90">
        <v>43912</v>
      </c>
      <c r="K94" s="105">
        <v>82</v>
      </c>
      <c r="L94" s="91">
        <f t="shared" si="258"/>
        <v>1.2345679012345734E-2</v>
      </c>
      <c r="M94" s="81"/>
      <c r="N94" s="90">
        <v>43912</v>
      </c>
      <c r="O94" s="105">
        <v>82</v>
      </c>
      <c r="P94" s="91">
        <f t="shared" si="259"/>
        <v>1.2345679012345734E-2</v>
      </c>
      <c r="Q94" s="81"/>
      <c r="R94" s="90">
        <v>43912</v>
      </c>
      <c r="S94" s="105">
        <v>82</v>
      </c>
      <c r="T94" s="91">
        <f t="shared" si="260"/>
        <v>1.2345679012345734E-2</v>
      </c>
      <c r="U94" s="81"/>
      <c r="V94" s="106">
        <f t="shared" si="286"/>
        <v>43912</v>
      </c>
      <c r="W94" s="4">
        <f t="shared" si="287"/>
        <v>82</v>
      </c>
      <c r="X94" s="4">
        <f t="shared" si="288"/>
        <v>82</v>
      </c>
      <c r="Y94" s="4">
        <f t="shared" si="289"/>
        <v>82</v>
      </c>
      <c r="Z94" s="4">
        <f t="shared" si="290"/>
        <v>82</v>
      </c>
      <c r="AA94" s="4">
        <f t="shared" si="291"/>
        <v>82</v>
      </c>
    </row>
    <row r="95" spans="1:27" x14ac:dyDescent="0.35">
      <c r="A95" s="81"/>
      <c r="B95" s="88">
        <v>43913</v>
      </c>
      <c r="C95" s="104">
        <v>83</v>
      </c>
      <c r="D95" s="92">
        <f t="shared" si="261"/>
        <v>1.2195121951219523E-2</v>
      </c>
      <c r="E95" s="81"/>
      <c r="F95" s="88">
        <v>43913</v>
      </c>
      <c r="G95" s="104">
        <v>83</v>
      </c>
      <c r="H95" s="92">
        <f t="shared" si="262"/>
        <v>1.2195121951219523E-2</v>
      </c>
      <c r="I95" s="81"/>
      <c r="J95" s="88">
        <v>43913</v>
      </c>
      <c r="K95" s="104">
        <v>83</v>
      </c>
      <c r="L95" s="92">
        <f t="shared" si="263"/>
        <v>1.2195121951219523E-2</v>
      </c>
      <c r="M95" s="81"/>
      <c r="N95" s="88">
        <v>43913</v>
      </c>
      <c r="O95" s="104">
        <v>83</v>
      </c>
      <c r="P95" s="92">
        <f t="shared" si="264"/>
        <v>1.2195121951219523E-2</v>
      </c>
      <c r="Q95" s="81"/>
      <c r="R95" s="88">
        <v>43913</v>
      </c>
      <c r="S95" s="104">
        <v>83</v>
      </c>
      <c r="T95" s="92">
        <f t="shared" si="265"/>
        <v>1.2195121951219523E-2</v>
      </c>
      <c r="U95" s="81"/>
      <c r="V95" s="106">
        <f t="shared" si="286"/>
        <v>43913</v>
      </c>
      <c r="W95" s="4">
        <f t="shared" si="287"/>
        <v>83</v>
      </c>
      <c r="X95" s="4">
        <f t="shared" si="288"/>
        <v>83</v>
      </c>
      <c r="Y95" s="4">
        <f t="shared" si="289"/>
        <v>83</v>
      </c>
      <c r="Z95" s="4">
        <f t="shared" si="290"/>
        <v>83</v>
      </c>
      <c r="AA95" s="4">
        <f t="shared" si="291"/>
        <v>83</v>
      </c>
    </row>
    <row r="96" spans="1:27" x14ac:dyDescent="0.35">
      <c r="A96" s="81"/>
      <c r="B96" s="90">
        <v>43914</v>
      </c>
      <c r="C96" s="105">
        <v>84</v>
      </c>
      <c r="D96" s="91">
        <f t="shared" si="266"/>
        <v>1.2048192771084265E-2</v>
      </c>
      <c r="E96" s="81"/>
      <c r="F96" s="90">
        <v>43914</v>
      </c>
      <c r="G96" s="105">
        <v>84</v>
      </c>
      <c r="H96" s="91">
        <f t="shared" si="267"/>
        <v>1.2048192771084265E-2</v>
      </c>
      <c r="I96" s="81"/>
      <c r="J96" s="90">
        <v>43914</v>
      </c>
      <c r="K96" s="105">
        <v>84</v>
      </c>
      <c r="L96" s="91">
        <f t="shared" si="268"/>
        <v>1.2048192771084265E-2</v>
      </c>
      <c r="M96" s="81"/>
      <c r="N96" s="90">
        <v>43914</v>
      </c>
      <c r="O96" s="105">
        <v>84</v>
      </c>
      <c r="P96" s="91">
        <f t="shared" si="269"/>
        <v>1.2048192771084265E-2</v>
      </c>
      <c r="Q96" s="81"/>
      <c r="R96" s="90">
        <v>43914</v>
      </c>
      <c r="S96" s="105">
        <v>84</v>
      </c>
      <c r="T96" s="91">
        <f t="shared" si="270"/>
        <v>1.2048192771084265E-2</v>
      </c>
      <c r="U96" s="81"/>
      <c r="V96" s="106">
        <f t="shared" si="286"/>
        <v>43914</v>
      </c>
      <c r="W96" s="4">
        <f t="shared" si="287"/>
        <v>84</v>
      </c>
      <c r="X96" s="4">
        <f t="shared" si="288"/>
        <v>84</v>
      </c>
      <c r="Y96" s="4">
        <f t="shared" si="289"/>
        <v>84</v>
      </c>
      <c r="Z96" s="4">
        <f t="shared" si="290"/>
        <v>84</v>
      </c>
      <c r="AA96" s="4">
        <f t="shared" si="291"/>
        <v>84</v>
      </c>
    </row>
    <row r="97" spans="1:27" x14ac:dyDescent="0.35">
      <c r="A97" s="81"/>
      <c r="B97" s="88">
        <v>43915</v>
      </c>
      <c r="C97" s="104">
        <v>85</v>
      </c>
      <c r="D97" s="92">
        <f t="shared" si="271"/>
        <v>1.1904761904761862E-2</v>
      </c>
      <c r="E97" s="81"/>
      <c r="F97" s="88">
        <v>43915</v>
      </c>
      <c r="G97" s="104">
        <v>85</v>
      </c>
      <c r="H97" s="92">
        <f t="shared" si="272"/>
        <v>1.1904761904761862E-2</v>
      </c>
      <c r="I97" s="81"/>
      <c r="J97" s="88">
        <v>43915</v>
      </c>
      <c r="K97" s="104">
        <v>85</v>
      </c>
      <c r="L97" s="92">
        <f t="shared" si="273"/>
        <v>1.1904761904761862E-2</v>
      </c>
      <c r="M97" s="81"/>
      <c r="N97" s="88">
        <v>43915</v>
      </c>
      <c r="O97" s="104">
        <v>85</v>
      </c>
      <c r="P97" s="92">
        <f t="shared" si="274"/>
        <v>1.1904761904761862E-2</v>
      </c>
      <c r="Q97" s="81"/>
      <c r="R97" s="88">
        <v>43915</v>
      </c>
      <c r="S97" s="104">
        <v>85</v>
      </c>
      <c r="T97" s="92">
        <f t="shared" si="275"/>
        <v>1.1904761904761862E-2</v>
      </c>
      <c r="U97" s="81"/>
      <c r="V97" s="106">
        <f t="shared" si="286"/>
        <v>43915</v>
      </c>
      <c r="W97" s="4">
        <f t="shared" si="287"/>
        <v>85</v>
      </c>
      <c r="X97" s="4">
        <f t="shared" si="288"/>
        <v>85</v>
      </c>
      <c r="Y97" s="4">
        <f t="shared" si="289"/>
        <v>85</v>
      </c>
      <c r="Z97" s="4">
        <f t="shared" si="290"/>
        <v>85</v>
      </c>
      <c r="AA97" s="4">
        <f t="shared" si="291"/>
        <v>85</v>
      </c>
    </row>
    <row r="98" spans="1:27" x14ac:dyDescent="0.35">
      <c r="A98" s="81"/>
      <c r="B98" s="90">
        <v>43916</v>
      </c>
      <c r="C98" s="105">
        <v>86</v>
      </c>
      <c r="D98" s="91">
        <f t="shared" ref="D98" si="292">C98/C97-1</f>
        <v>1.1764705882352899E-2</v>
      </c>
      <c r="E98" s="81"/>
      <c r="F98" s="90">
        <v>43916</v>
      </c>
      <c r="G98" s="105">
        <v>86</v>
      </c>
      <c r="H98" s="91">
        <f t="shared" ref="H98" si="293">G98/G97-1</f>
        <v>1.1764705882352899E-2</v>
      </c>
      <c r="I98" s="81"/>
      <c r="J98" s="90">
        <v>43916</v>
      </c>
      <c r="K98" s="105">
        <v>86</v>
      </c>
      <c r="L98" s="91">
        <f t="shared" ref="L98" si="294">K98/K97-1</f>
        <v>1.1764705882352899E-2</v>
      </c>
      <c r="M98" s="81"/>
      <c r="N98" s="90">
        <v>43916</v>
      </c>
      <c r="O98" s="105">
        <v>86</v>
      </c>
      <c r="P98" s="91">
        <f t="shared" ref="P98" si="295">O98/O97-1</f>
        <v>1.1764705882352899E-2</v>
      </c>
      <c r="Q98" s="81"/>
      <c r="R98" s="90">
        <v>43916</v>
      </c>
      <c r="S98" s="105">
        <v>86</v>
      </c>
      <c r="T98" s="91">
        <f t="shared" ref="T98" si="296">S98/S97-1</f>
        <v>1.1764705882352899E-2</v>
      </c>
      <c r="U98" s="81"/>
      <c r="V98" s="106">
        <f t="shared" si="286"/>
        <v>43916</v>
      </c>
      <c r="W98" s="4">
        <f t="shared" si="287"/>
        <v>86</v>
      </c>
      <c r="X98" s="4">
        <f t="shared" si="288"/>
        <v>86</v>
      </c>
      <c r="Y98" s="4">
        <f t="shared" si="289"/>
        <v>86</v>
      </c>
      <c r="Z98" s="4">
        <f t="shared" si="290"/>
        <v>86</v>
      </c>
      <c r="AA98" s="4">
        <f t="shared" si="291"/>
        <v>86</v>
      </c>
    </row>
    <row r="99" spans="1:27" x14ac:dyDescent="0.35">
      <c r="A99" s="81"/>
      <c r="B99" s="88">
        <v>43917</v>
      </c>
      <c r="C99" s="104">
        <v>87</v>
      </c>
      <c r="D99" s="92">
        <f t="shared" ref="D99" si="297">C99/(C98)-1</f>
        <v>1.1627906976744207E-2</v>
      </c>
      <c r="E99" s="81"/>
      <c r="F99" s="88">
        <v>43917</v>
      </c>
      <c r="G99" s="104">
        <v>87</v>
      </c>
      <c r="H99" s="92">
        <f t="shared" ref="H99" si="298">G99/(G98)-1</f>
        <v>1.1627906976744207E-2</v>
      </c>
      <c r="I99" s="81"/>
      <c r="J99" s="88">
        <v>43917</v>
      </c>
      <c r="K99" s="104">
        <v>87</v>
      </c>
      <c r="L99" s="92">
        <f t="shared" ref="L99" si="299">K99/(K98)-1</f>
        <v>1.1627906976744207E-2</v>
      </c>
      <c r="M99" s="81"/>
      <c r="N99" s="88">
        <v>43917</v>
      </c>
      <c r="O99" s="104">
        <v>87</v>
      </c>
      <c r="P99" s="92">
        <f t="shared" ref="P99" si="300">O99/(O98)-1</f>
        <v>1.1627906976744207E-2</v>
      </c>
      <c r="Q99" s="81"/>
      <c r="R99" s="88">
        <v>43917</v>
      </c>
      <c r="S99" s="104">
        <v>87</v>
      </c>
      <c r="T99" s="92">
        <f t="shared" ref="T99" si="301">S99/(S98)-1</f>
        <v>1.1627906976744207E-2</v>
      </c>
      <c r="U99" s="81"/>
      <c r="V99" s="106">
        <f t="shared" si="286"/>
        <v>43917</v>
      </c>
      <c r="W99" s="4">
        <f t="shared" si="287"/>
        <v>87</v>
      </c>
      <c r="X99" s="4">
        <f t="shared" si="288"/>
        <v>87</v>
      </c>
      <c r="Y99" s="4">
        <f t="shared" si="289"/>
        <v>87</v>
      </c>
      <c r="Z99" s="4">
        <f t="shared" si="290"/>
        <v>87</v>
      </c>
      <c r="AA99" s="4">
        <f t="shared" si="291"/>
        <v>87</v>
      </c>
    </row>
    <row r="100" spans="1:27" x14ac:dyDescent="0.35">
      <c r="A100" s="81"/>
      <c r="B100" s="90">
        <v>43918</v>
      </c>
      <c r="C100" s="105">
        <v>88</v>
      </c>
      <c r="D100" s="91">
        <f t="shared" si="146"/>
        <v>1.1494252873563315E-2</v>
      </c>
      <c r="E100" s="81"/>
      <c r="F100" s="90">
        <v>43918</v>
      </c>
      <c r="G100" s="105">
        <v>88</v>
      </c>
      <c r="H100" s="91">
        <f t="shared" si="147"/>
        <v>1.1494252873563315E-2</v>
      </c>
      <c r="I100" s="81"/>
      <c r="J100" s="90">
        <v>43918</v>
      </c>
      <c r="K100" s="105">
        <v>88</v>
      </c>
      <c r="L100" s="91">
        <f t="shared" si="148"/>
        <v>1.1494252873563315E-2</v>
      </c>
      <c r="M100" s="81"/>
      <c r="N100" s="90">
        <v>43918</v>
      </c>
      <c r="O100" s="105">
        <v>88</v>
      </c>
      <c r="P100" s="91">
        <f t="shared" si="149"/>
        <v>1.1494252873563315E-2</v>
      </c>
      <c r="Q100" s="81"/>
      <c r="R100" s="90">
        <v>43918</v>
      </c>
      <c r="S100" s="105">
        <v>88</v>
      </c>
      <c r="T100" s="91">
        <f t="shared" si="150"/>
        <v>1.1494252873563315E-2</v>
      </c>
      <c r="U100" s="81"/>
      <c r="V100" s="106">
        <f t="shared" si="286"/>
        <v>43918</v>
      </c>
      <c r="W100" s="4">
        <f t="shared" si="287"/>
        <v>88</v>
      </c>
      <c r="X100" s="4">
        <f t="shared" si="288"/>
        <v>88</v>
      </c>
      <c r="Y100" s="4">
        <f t="shared" si="289"/>
        <v>88</v>
      </c>
      <c r="Z100" s="4">
        <f t="shared" si="290"/>
        <v>88</v>
      </c>
      <c r="AA100" s="4">
        <f t="shared" si="291"/>
        <v>88</v>
      </c>
    </row>
    <row r="101" spans="1:27" x14ac:dyDescent="0.35">
      <c r="A101" s="81"/>
      <c r="B101" s="88">
        <v>43919</v>
      </c>
      <c r="C101" s="104">
        <v>89</v>
      </c>
      <c r="D101" s="92">
        <f t="shared" si="151"/>
        <v>1.1363636363636465E-2</v>
      </c>
      <c r="E101" s="81"/>
      <c r="F101" s="88">
        <v>43919</v>
      </c>
      <c r="G101" s="104">
        <v>89</v>
      </c>
      <c r="H101" s="92">
        <f t="shared" si="152"/>
        <v>1.1363636363636465E-2</v>
      </c>
      <c r="I101" s="81"/>
      <c r="J101" s="88">
        <v>43919</v>
      </c>
      <c r="K101" s="104">
        <v>89</v>
      </c>
      <c r="L101" s="92">
        <f t="shared" si="153"/>
        <v>1.1363636363636465E-2</v>
      </c>
      <c r="M101" s="81"/>
      <c r="N101" s="88">
        <v>43919</v>
      </c>
      <c r="O101" s="104">
        <v>89</v>
      </c>
      <c r="P101" s="92">
        <f t="shared" si="154"/>
        <v>1.1363636363636465E-2</v>
      </c>
      <c r="Q101" s="81"/>
      <c r="R101" s="88">
        <v>43919</v>
      </c>
      <c r="S101" s="104">
        <v>89</v>
      </c>
      <c r="T101" s="92">
        <f t="shared" si="155"/>
        <v>1.1363636363636465E-2</v>
      </c>
      <c r="U101" s="81"/>
      <c r="V101" s="106">
        <f t="shared" si="286"/>
        <v>43919</v>
      </c>
      <c r="W101" s="4">
        <f t="shared" si="287"/>
        <v>89</v>
      </c>
      <c r="X101" s="4">
        <f t="shared" si="288"/>
        <v>89</v>
      </c>
      <c r="Y101" s="4">
        <f t="shared" si="289"/>
        <v>89</v>
      </c>
      <c r="Z101" s="4">
        <f t="shared" si="290"/>
        <v>89</v>
      </c>
      <c r="AA101" s="4">
        <f t="shared" si="291"/>
        <v>89</v>
      </c>
    </row>
    <row r="102" spans="1:27" x14ac:dyDescent="0.35">
      <c r="A102" s="81"/>
      <c r="B102" s="90">
        <v>43920</v>
      </c>
      <c r="C102" s="105">
        <v>90</v>
      </c>
      <c r="D102" s="91">
        <f t="shared" si="156"/>
        <v>1.1235955056179803E-2</v>
      </c>
      <c r="E102" s="81"/>
      <c r="F102" s="90">
        <v>43920</v>
      </c>
      <c r="G102" s="105">
        <v>90</v>
      </c>
      <c r="H102" s="91">
        <f t="shared" si="157"/>
        <v>1.1235955056179803E-2</v>
      </c>
      <c r="I102" s="81"/>
      <c r="J102" s="90">
        <v>43920</v>
      </c>
      <c r="K102" s="105">
        <v>90</v>
      </c>
      <c r="L102" s="91">
        <f t="shared" si="158"/>
        <v>1.1235955056179803E-2</v>
      </c>
      <c r="M102" s="81"/>
      <c r="N102" s="90">
        <v>43920</v>
      </c>
      <c r="O102" s="105">
        <v>90</v>
      </c>
      <c r="P102" s="91">
        <f t="shared" si="159"/>
        <v>1.1235955056179803E-2</v>
      </c>
      <c r="Q102" s="81"/>
      <c r="R102" s="90">
        <v>43920</v>
      </c>
      <c r="S102" s="105">
        <v>90</v>
      </c>
      <c r="T102" s="91">
        <f t="shared" si="160"/>
        <v>1.1235955056179803E-2</v>
      </c>
      <c r="U102" s="81"/>
      <c r="V102" s="106">
        <f t="shared" si="286"/>
        <v>43920</v>
      </c>
      <c r="W102" s="4">
        <f t="shared" si="287"/>
        <v>90</v>
      </c>
      <c r="X102" s="4">
        <f t="shared" si="288"/>
        <v>90</v>
      </c>
      <c r="Y102" s="4">
        <f t="shared" si="289"/>
        <v>90</v>
      </c>
      <c r="Z102" s="4">
        <f t="shared" si="290"/>
        <v>90</v>
      </c>
      <c r="AA102" s="4">
        <f t="shared" si="291"/>
        <v>90</v>
      </c>
    </row>
    <row r="103" spans="1:27" x14ac:dyDescent="0.35">
      <c r="A103" s="81"/>
      <c r="B103" s="88">
        <v>43921</v>
      </c>
      <c r="C103" s="104">
        <v>91</v>
      </c>
      <c r="D103" s="92">
        <f t="shared" si="161"/>
        <v>1.1111111111111072E-2</v>
      </c>
      <c r="E103" s="81"/>
      <c r="F103" s="88">
        <v>43921</v>
      </c>
      <c r="G103" s="104">
        <v>91</v>
      </c>
      <c r="H103" s="92">
        <f t="shared" si="162"/>
        <v>1.1111111111111072E-2</v>
      </c>
      <c r="I103" s="81"/>
      <c r="J103" s="88">
        <v>43921</v>
      </c>
      <c r="K103" s="104">
        <v>91</v>
      </c>
      <c r="L103" s="92">
        <f t="shared" si="163"/>
        <v>1.1111111111111072E-2</v>
      </c>
      <c r="M103" s="81"/>
      <c r="N103" s="88">
        <v>43921</v>
      </c>
      <c r="O103" s="104">
        <v>91</v>
      </c>
      <c r="P103" s="92">
        <f t="shared" si="164"/>
        <v>1.1111111111111072E-2</v>
      </c>
      <c r="Q103" s="81"/>
      <c r="R103" s="88">
        <v>43921</v>
      </c>
      <c r="S103" s="104">
        <v>91</v>
      </c>
      <c r="T103" s="92">
        <f t="shared" si="165"/>
        <v>1.1111111111111072E-2</v>
      </c>
      <c r="U103" s="81"/>
      <c r="V103" s="106">
        <f t="shared" si="286"/>
        <v>43921</v>
      </c>
      <c r="W103" s="4">
        <f t="shared" si="287"/>
        <v>91</v>
      </c>
      <c r="X103" s="4">
        <f t="shared" si="288"/>
        <v>91</v>
      </c>
      <c r="Y103" s="4">
        <f t="shared" si="289"/>
        <v>91</v>
      </c>
      <c r="Z103" s="4">
        <f t="shared" si="290"/>
        <v>91</v>
      </c>
      <c r="AA103" s="4">
        <f t="shared" si="291"/>
        <v>91</v>
      </c>
    </row>
    <row r="104" spans="1:27" x14ac:dyDescent="0.35">
      <c r="A104" s="81"/>
      <c r="B104" s="90">
        <v>43922</v>
      </c>
      <c r="C104" s="105">
        <v>92</v>
      </c>
      <c r="D104" s="91">
        <f t="shared" si="166"/>
        <v>1.098901098901095E-2</v>
      </c>
      <c r="E104" s="81"/>
      <c r="F104" s="90">
        <v>43922</v>
      </c>
      <c r="G104" s="105">
        <v>92</v>
      </c>
      <c r="H104" s="91">
        <f t="shared" si="167"/>
        <v>1.098901098901095E-2</v>
      </c>
      <c r="I104" s="81"/>
      <c r="J104" s="90">
        <v>43922</v>
      </c>
      <c r="K104" s="105">
        <v>92</v>
      </c>
      <c r="L104" s="91">
        <f t="shared" si="168"/>
        <v>1.098901098901095E-2</v>
      </c>
      <c r="M104" s="81"/>
      <c r="N104" s="90">
        <v>43922</v>
      </c>
      <c r="O104" s="105">
        <v>92</v>
      </c>
      <c r="P104" s="91">
        <f t="shared" si="169"/>
        <v>1.098901098901095E-2</v>
      </c>
      <c r="Q104" s="81"/>
      <c r="R104" s="90">
        <v>43922</v>
      </c>
      <c r="S104" s="105">
        <v>92</v>
      </c>
      <c r="T104" s="91">
        <f t="shared" si="170"/>
        <v>1.098901098901095E-2</v>
      </c>
      <c r="U104" s="81"/>
      <c r="V104" s="106">
        <f t="shared" si="286"/>
        <v>43922</v>
      </c>
      <c r="W104" s="4">
        <f t="shared" si="287"/>
        <v>92</v>
      </c>
      <c r="X104" s="4">
        <f t="shared" si="288"/>
        <v>92</v>
      </c>
      <c r="Y104" s="4">
        <f t="shared" si="289"/>
        <v>92</v>
      </c>
      <c r="Z104" s="4">
        <f t="shared" si="290"/>
        <v>92</v>
      </c>
      <c r="AA104" s="4">
        <f t="shared" si="291"/>
        <v>92</v>
      </c>
    </row>
    <row r="105" spans="1:27" x14ac:dyDescent="0.35">
      <c r="A105" s="81"/>
      <c r="B105" s="88">
        <v>43923</v>
      </c>
      <c r="C105" s="104">
        <v>93</v>
      </c>
      <c r="D105" s="92">
        <f t="shared" si="171"/>
        <v>1.0869565217391353E-2</v>
      </c>
      <c r="E105" s="81"/>
      <c r="F105" s="88">
        <v>43923</v>
      </c>
      <c r="G105" s="104">
        <v>93</v>
      </c>
      <c r="H105" s="92">
        <f t="shared" si="172"/>
        <v>1.0869565217391353E-2</v>
      </c>
      <c r="I105" s="81"/>
      <c r="J105" s="88">
        <v>43923</v>
      </c>
      <c r="K105" s="104">
        <v>93</v>
      </c>
      <c r="L105" s="92">
        <f t="shared" si="173"/>
        <v>1.0869565217391353E-2</v>
      </c>
      <c r="M105" s="81"/>
      <c r="N105" s="88">
        <v>43923</v>
      </c>
      <c r="O105" s="104">
        <v>93</v>
      </c>
      <c r="P105" s="92">
        <f t="shared" si="174"/>
        <v>1.0869565217391353E-2</v>
      </c>
      <c r="Q105" s="81"/>
      <c r="R105" s="88">
        <v>43923</v>
      </c>
      <c r="S105" s="104">
        <v>93</v>
      </c>
      <c r="T105" s="92">
        <f t="shared" si="175"/>
        <v>1.0869565217391353E-2</v>
      </c>
      <c r="U105" s="81"/>
      <c r="V105" s="106">
        <f t="shared" si="286"/>
        <v>43923</v>
      </c>
      <c r="W105" s="4">
        <f t="shared" si="287"/>
        <v>93</v>
      </c>
      <c r="X105" s="4">
        <f t="shared" si="288"/>
        <v>93</v>
      </c>
      <c r="Y105" s="4">
        <f t="shared" si="289"/>
        <v>93</v>
      </c>
      <c r="Z105" s="4">
        <f t="shared" si="290"/>
        <v>93</v>
      </c>
      <c r="AA105" s="4">
        <f t="shared" si="291"/>
        <v>93</v>
      </c>
    </row>
    <row r="106" spans="1:27" x14ac:dyDescent="0.35">
      <c r="A106" s="81"/>
      <c r="B106" s="90">
        <v>43924</v>
      </c>
      <c r="C106" s="105">
        <v>94</v>
      </c>
      <c r="D106" s="91">
        <f t="shared" si="176"/>
        <v>1.0752688172043001E-2</v>
      </c>
      <c r="E106" s="81"/>
      <c r="F106" s="90">
        <v>43924</v>
      </c>
      <c r="G106" s="105">
        <v>94</v>
      </c>
      <c r="H106" s="91">
        <f t="shared" si="177"/>
        <v>1.0752688172043001E-2</v>
      </c>
      <c r="I106" s="81"/>
      <c r="J106" s="90">
        <v>43924</v>
      </c>
      <c r="K106" s="105">
        <v>94</v>
      </c>
      <c r="L106" s="91">
        <f t="shared" si="178"/>
        <v>1.0752688172043001E-2</v>
      </c>
      <c r="M106" s="81"/>
      <c r="N106" s="90">
        <v>43924</v>
      </c>
      <c r="O106" s="105">
        <v>94</v>
      </c>
      <c r="P106" s="91">
        <f t="shared" si="179"/>
        <v>1.0752688172043001E-2</v>
      </c>
      <c r="Q106" s="81"/>
      <c r="R106" s="90">
        <v>43924</v>
      </c>
      <c r="S106" s="105">
        <v>94</v>
      </c>
      <c r="T106" s="91">
        <f t="shared" si="180"/>
        <v>1.0752688172043001E-2</v>
      </c>
      <c r="U106" s="81"/>
      <c r="V106" s="106">
        <f t="shared" si="286"/>
        <v>43924</v>
      </c>
      <c r="W106" s="4">
        <f t="shared" si="287"/>
        <v>94</v>
      </c>
      <c r="X106" s="4">
        <f t="shared" si="288"/>
        <v>94</v>
      </c>
      <c r="Y106" s="4">
        <f t="shared" si="289"/>
        <v>94</v>
      </c>
      <c r="Z106" s="4">
        <f t="shared" si="290"/>
        <v>94</v>
      </c>
      <c r="AA106" s="4">
        <f t="shared" si="291"/>
        <v>94</v>
      </c>
    </row>
    <row r="107" spans="1:27" x14ac:dyDescent="0.35">
      <c r="A107" s="81"/>
      <c r="B107" s="88">
        <v>43925</v>
      </c>
      <c r="C107" s="104">
        <v>95</v>
      </c>
      <c r="D107" s="92">
        <f t="shared" si="181"/>
        <v>1.0638297872340496E-2</v>
      </c>
      <c r="E107" s="81"/>
      <c r="F107" s="88">
        <v>43925</v>
      </c>
      <c r="G107" s="104">
        <v>95</v>
      </c>
      <c r="H107" s="92">
        <f t="shared" si="182"/>
        <v>1.0638297872340496E-2</v>
      </c>
      <c r="I107" s="81"/>
      <c r="J107" s="88">
        <v>43925</v>
      </c>
      <c r="K107" s="104">
        <v>95</v>
      </c>
      <c r="L107" s="92">
        <f t="shared" si="183"/>
        <v>1.0638297872340496E-2</v>
      </c>
      <c r="M107" s="81"/>
      <c r="N107" s="88">
        <v>43925</v>
      </c>
      <c r="O107" s="104">
        <v>95</v>
      </c>
      <c r="P107" s="92">
        <f t="shared" si="184"/>
        <v>1.0638297872340496E-2</v>
      </c>
      <c r="Q107" s="81"/>
      <c r="R107" s="88">
        <v>43925</v>
      </c>
      <c r="S107" s="104">
        <v>95</v>
      </c>
      <c r="T107" s="92">
        <f t="shared" si="185"/>
        <v>1.0638297872340496E-2</v>
      </c>
      <c r="U107" s="81"/>
      <c r="V107" s="106">
        <f t="shared" si="286"/>
        <v>43925</v>
      </c>
      <c r="W107" s="4">
        <f t="shared" si="287"/>
        <v>95</v>
      </c>
      <c r="X107" s="4">
        <f t="shared" si="288"/>
        <v>95</v>
      </c>
      <c r="Y107" s="4">
        <f t="shared" si="289"/>
        <v>95</v>
      </c>
      <c r="Z107" s="4">
        <f t="shared" si="290"/>
        <v>95</v>
      </c>
      <c r="AA107" s="4">
        <f t="shared" si="291"/>
        <v>95</v>
      </c>
    </row>
    <row r="108" spans="1:27" x14ac:dyDescent="0.35">
      <c r="A108" s="81"/>
      <c r="B108" s="90">
        <v>43926</v>
      </c>
      <c r="C108" s="105">
        <v>96</v>
      </c>
      <c r="D108" s="91">
        <f t="shared" si="186"/>
        <v>1.0526315789473717E-2</v>
      </c>
      <c r="E108" s="81"/>
      <c r="F108" s="90">
        <v>43926</v>
      </c>
      <c r="G108" s="105">
        <v>96</v>
      </c>
      <c r="H108" s="91">
        <f t="shared" si="187"/>
        <v>1.0526315789473717E-2</v>
      </c>
      <c r="I108" s="81"/>
      <c r="J108" s="90">
        <v>43926</v>
      </c>
      <c r="K108" s="105">
        <v>96</v>
      </c>
      <c r="L108" s="91">
        <f t="shared" si="188"/>
        <v>1.0526315789473717E-2</v>
      </c>
      <c r="M108" s="81"/>
      <c r="N108" s="90">
        <v>43926</v>
      </c>
      <c r="O108" s="105">
        <v>96</v>
      </c>
      <c r="P108" s="91">
        <f t="shared" si="189"/>
        <v>1.0526315789473717E-2</v>
      </c>
      <c r="Q108" s="81"/>
      <c r="R108" s="90">
        <v>43926</v>
      </c>
      <c r="S108" s="105">
        <v>96</v>
      </c>
      <c r="T108" s="91">
        <f t="shared" si="190"/>
        <v>1.0526315789473717E-2</v>
      </c>
      <c r="U108" s="81"/>
      <c r="V108" s="106">
        <f t="shared" si="286"/>
        <v>43926</v>
      </c>
      <c r="W108" s="4">
        <f t="shared" si="287"/>
        <v>96</v>
      </c>
      <c r="X108" s="4">
        <f t="shared" si="288"/>
        <v>96</v>
      </c>
      <c r="Y108" s="4">
        <f t="shared" si="289"/>
        <v>96</v>
      </c>
      <c r="Z108" s="4">
        <f t="shared" si="290"/>
        <v>96</v>
      </c>
      <c r="AA108" s="4">
        <f t="shared" si="291"/>
        <v>96</v>
      </c>
    </row>
    <row r="109" spans="1:27" x14ac:dyDescent="0.35">
      <c r="A109" s="81"/>
      <c r="B109" s="88">
        <v>43927</v>
      </c>
      <c r="C109" s="104">
        <v>97</v>
      </c>
      <c r="D109" s="92">
        <f t="shared" si="191"/>
        <v>1.0416666666666741E-2</v>
      </c>
      <c r="E109" s="81"/>
      <c r="F109" s="88">
        <v>43927</v>
      </c>
      <c r="G109" s="104">
        <v>97</v>
      </c>
      <c r="H109" s="92">
        <f t="shared" si="192"/>
        <v>1.0416666666666741E-2</v>
      </c>
      <c r="I109" s="81"/>
      <c r="J109" s="88">
        <v>43927</v>
      </c>
      <c r="K109" s="104">
        <v>97</v>
      </c>
      <c r="L109" s="92">
        <f t="shared" si="193"/>
        <v>1.0416666666666741E-2</v>
      </c>
      <c r="M109" s="81"/>
      <c r="N109" s="88">
        <v>43927</v>
      </c>
      <c r="O109" s="104">
        <v>97</v>
      </c>
      <c r="P109" s="92">
        <f t="shared" si="194"/>
        <v>1.0416666666666741E-2</v>
      </c>
      <c r="Q109" s="81"/>
      <c r="R109" s="88">
        <v>43927</v>
      </c>
      <c r="S109" s="104">
        <v>97</v>
      </c>
      <c r="T109" s="92">
        <f t="shared" si="195"/>
        <v>1.0416666666666741E-2</v>
      </c>
      <c r="U109" s="81"/>
      <c r="V109" s="106">
        <f t="shared" si="286"/>
        <v>43927</v>
      </c>
      <c r="W109" s="4">
        <f t="shared" si="287"/>
        <v>97</v>
      </c>
      <c r="X109" s="4">
        <f t="shared" si="288"/>
        <v>97</v>
      </c>
      <c r="Y109" s="4">
        <f t="shared" si="289"/>
        <v>97</v>
      </c>
      <c r="Z109" s="4">
        <f t="shared" si="290"/>
        <v>97</v>
      </c>
      <c r="AA109" s="4">
        <f t="shared" si="291"/>
        <v>97</v>
      </c>
    </row>
    <row r="110" spans="1:27" x14ac:dyDescent="0.35">
      <c r="A110" s="81"/>
      <c r="B110" s="90">
        <v>43928</v>
      </c>
      <c r="C110" s="105">
        <v>98</v>
      </c>
      <c r="D110" s="91">
        <f t="shared" si="196"/>
        <v>1.0309278350515427E-2</v>
      </c>
      <c r="E110" s="81"/>
      <c r="F110" s="90">
        <v>43928</v>
      </c>
      <c r="G110" s="105">
        <v>98</v>
      </c>
      <c r="H110" s="91">
        <f t="shared" si="197"/>
        <v>1.0309278350515427E-2</v>
      </c>
      <c r="I110" s="81"/>
      <c r="J110" s="90">
        <v>43928</v>
      </c>
      <c r="K110" s="105">
        <v>98</v>
      </c>
      <c r="L110" s="91">
        <f t="shared" si="198"/>
        <v>1.0309278350515427E-2</v>
      </c>
      <c r="M110" s="81"/>
      <c r="N110" s="90">
        <v>43928</v>
      </c>
      <c r="O110" s="105">
        <v>98</v>
      </c>
      <c r="P110" s="91">
        <f t="shared" si="199"/>
        <v>1.0309278350515427E-2</v>
      </c>
      <c r="Q110" s="81"/>
      <c r="R110" s="90">
        <v>43928</v>
      </c>
      <c r="S110" s="105">
        <v>98</v>
      </c>
      <c r="T110" s="91">
        <f t="shared" si="200"/>
        <v>1.0309278350515427E-2</v>
      </c>
      <c r="U110" s="81"/>
      <c r="V110" s="106">
        <f t="shared" si="286"/>
        <v>43928</v>
      </c>
      <c r="W110" s="4">
        <f t="shared" si="287"/>
        <v>98</v>
      </c>
      <c r="X110" s="4">
        <f t="shared" si="288"/>
        <v>98</v>
      </c>
      <c r="Y110" s="4">
        <f t="shared" si="289"/>
        <v>98</v>
      </c>
      <c r="Z110" s="4">
        <f t="shared" si="290"/>
        <v>98</v>
      </c>
      <c r="AA110" s="4">
        <f t="shared" si="291"/>
        <v>98</v>
      </c>
    </row>
    <row r="111" spans="1:27" x14ac:dyDescent="0.35">
      <c r="A111" s="81"/>
      <c r="B111" s="88">
        <v>43929</v>
      </c>
      <c r="C111" s="104">
        <v>99</v>
      </c>
      <c r="D111" s="92">
        <f t="shared" si="201"/>
        <v>1.0204081632652962E-2</v>
      </c>
      <c r="E111" s="81"/>
      <c r="F111" s="88">
        <v>43929</v>
      </c>
      <c r="G111" s="104">
        <v>99</v>
      </c>
      <c r="H111" s="92">
        <f t="shared" si="202"/>
        <v>1.0204081632652962E-2</v>
      </c>
      <c r="I111" s="81"/>
      <c r="J111" s="88">
        <v>43929</v>
      </c>
      <c r="K111" s="104">
        <v>99</v>
      </c>
      <c r="L111" s="92">
        <f t="shared" si="203"/>
        <v>1.0204081632652962E-2</v>
      </c>
      <c r="M111" s="81"/>
      <c r="N111" s="88">
        <v>43929</v>
      </c>
      <c r="O111" s="104">
        <v>99</v>
      </c>
      <c r="P111" s="92">
        <f t="shared" si="204"/>
        <v>1.0204081632652962E-2</v>
      </c>
      <c r="Q111" s="81"/>
      <c r="R111" s="88">
        <v>43929</v>
      </c>
      <c r="S111" s="104">
        <v>99</v>
      </c>
      <c r="T111" s="92">
        <f t="shared" si="205"/>
        <v>1.0204081632652962E-2</v>
      </c>
      <c r="U111" s="81"/>
      <c r="V111" s="106">
        <f t="shared" si="286"/>
        <v>43929</v>
      </c>
      <c r="W111" s="4">
        <f t="shared" si="287"/>
        <v>99</v>
      </c>
      <c r="X111" s="4">
        <f t="shared" si="288"/>
        <v>99</v>
      </c>
      <c r="Y111" s="4">
        <f t="shared" si="289"/>
        <v>99</v>
      </c>
      <c r="Z111" s="4">
        <f t="shared" si="290"/>
        <v>99</v>
      </c>
      <c r="AA111" s="4">
        <f t="shared" si="291"/>
        <v>99</v>
      </c>
    </row>
    <row r="112" spans="1:27" x14ac:dyDescent="0.35">
      <c r="A112" s="81"/>
      <c r="B112" s="90">
        <v>43930</v>
      </c>
      <c r="C112" s="105">
        <v>100</v>
      </c>
      <c r="D112" s="91">
        <f t="shared" si="206"/>
        <v>1.0101010101010166E-2</v>
      </c>
      <c r="E112" s="81"/>
      <c r="F112" s="90">
        <v>43930</v>
      </c>
      <c r="G112" s="105">
        <v>100</v>
      </c>
      <c r="H112" s="91">
        <f t="shared" si="207"/>
        <v>1.0101010101010166E-2</v>
      </c>
      <c r="I112" s="81"/>
      <c r="J112" s="90">
        <v>43930</v>
      </c>
      <c r="K112" s="105">
        <v>100</v>
      </c>
      <c r="L112" s="91">
        <f t="shared" si="208"/>
        <v>1.0101010101010166E-2</v>
      </c>
      <c r="M112" s="81"/>
      <c r="N112" s="90">
        <v>43930</v>
      </c>
      <c r="O112" s="105">
        <v>100</v>
      </c>
      <c r="P112" s="91">
        <f t="shared" si="209"/>
        <v>1.0101010101010166E-2</v>
      </c>
      <c r="Q112" s="81"/>
      <c r="R112" s="90">
        <v>43930</v>
      </c>
      <c r="S112" s="105">
        <v>100</v>
      </c>
      <c r="T112" s="91">
        <f t="shared" si="210"/>
        <v>1.0101010101010166E-2</v>
      </c>
      <c r="U112" s="81"/>
      <c r="V112" s="106">
        <f t="shared" si="286"/>
        <v>43930</v>
      </c>
      <c r="W112" s="4">
        <f t="shared" si="287"/>
        <v>100</v>
      </c>
      <c r="X112" s="4">
        <f t="shared" si="288"/>
        <v>100</v>
      </c>
      <c r="Y112" s="4">
        <f t="shared" si="289"/>
        <v>100</v>
      </c>
      <c r="Z112" s="4">
        <f t="shared" si="290"/>
        <v>100</v>
      </c>
      <c r="AA112" s="4">
        <f t="shared" si="291"/>
        <v>100</v>
      </c>
    </row>
    <row r="113" spans="1:27" x14ac:dyDescent="0.35">
      <c r="A113" s="81"/>
      <c r="B113" s="88">
        <v>43931</v>
      </c>
      <c r="C113" s="104">
        <v>101</v>
      </c>
      <c r="D113" s="92">
        <f t="shared" si="211"/>
        <v>1.0000000000000009E-2</v>
      </c>
      <c r="E113" s="81"/>
      <c r="F113" s="88">
        <v>43931</v>
      </c>
      <c r="G113" s="104">
        <v>101</v>
      </c>
      <c r="H113" s="92">
        <f t="shared" si="212"/>
        <v>1.0000000000000009E-2</v>
      </c>
      <c r="I113" s="81"/>
      <c r="J113" s="88">
        <v>43931</v>
      </c>
      <c r="K113" s="104">
        <v>101</v>
      </c>
      <c r="L113" s="92">
        <f t="shared" si="213"/>
        <v>1.0000000000000009E-2</v>
      </c>
      <c r="M113" s="81"/>
      <c r="N113" s="88">
        <v>43931</v>
      </c>
      <c r="O113" s="104">
        <v>101</v>
      </c>
      <c r="P113" s="92">
        <f t="shared" si="214"/>
        <v>1.0000000000000009E-2</v>
      </c>
      <c r="Q113" s="81"/>
      <c r="R113" s="88">
        <v>43931</v>
      </c>
      <c r="S113" s="104">
        <v>101</v>
      </c>
      <c r="T113" s="92">
        <f t="shared" si="215"/>
        <v>1.0000000000000009E-2</v>
      </c>
      <c r="U113" s="81"/>
      <c r="V113" s="106">
        <f t="shared" si="286"/>
        <v>43931</v>
      </c>
      <c r="W113" s="4">
        <f t="shared" si="287"/>
        <v>101</v>
      </c>
      <c r="X113" s="4">
        <f t="shared" si="288"/>
        <v>101</v>
      </c>
      <c r="Y113" s="4">
        <f t="shared" si="289"/>
        <v>101</v>
      </c>
      <c r="Z113" s="4">
        <f t="shared" si="290"/>
        <v>101</v>
      </c>
      <c r="AA113" s="4">
        <f t="shared" si="291"/>
        <v>101</v>
      </c>
    </row>
    <row r="114" spans="1:27" x14ac:dyDescent="0.35">
      <c r="A114" s="81"/>
      <c r="B114" s="90">
        <v>43932</v>
      </c>
      <c r="C114" s="105">
        <v>102</v>
      </c>
      <c r="D114" s="91">
        <f t="shared" si="216"/>
        <v>9.9009900990099098E-3</v>
      </c>
      <c r="E114" s="81"/>
      <c r="F114" s="90">
        <v>43932</v>
      </c>
      <c r="G114" s="105">
        <v>102</v>
      </c>
      <c r="H114" s="91">
        <f t="shared" si="217"/>
        <v>9.9009900990099098E-3</v>
      </c>
      <c r="I114" s="81"/>
      <c r="J114" s="90">
        <v>43932</v>
      </c>
      <c r="K114" s="105">
        <v>102</v>
      </c>
      <c r="L114" s="91">
        <f t="shared" si="218"/>
        <v>9.9009900990099098E-3</v>
      </c>
      <c r="M114" s="81"/>
      <c r="N114" s="90">
        <v>43932</v>
      </c>
      <c r="O114" s="105">
        <v>102</v>
      </c>
      <c r="P114" s="91">
        <f t="shared" si="219"/>
        <v>9.9009900990099098E-3</v>
      </c>
      <c r="Q114" s="81"/>
      <c r="R114" s="90">
        <v>43932</v>
      </c>
      <c r="S114" s="105">
        <v>102</v>
      </c>
      <c r="T114" s="91">
        <f t="shared" si="220"/>
        <v>9.9009900990099098E-3</v>
      </c>
      <c r="U114" s="81"/>
      <c r="V114" s="106">
        <f t="shared" si="286"/>
        <v>43932</v>
      </c>
      <c r="W114" s="4">
        <f t="shared" si="287"/>
        <v>102</v>
      </c>
      <c r="X114" s="4">
        <f t="shared" si="288"/>
        <v>102</v>
      </c>
      <c r="Y114" s="4">
        <f t="shared" si="289"/>
        <v>102</v>
      </c>
      <c r="Z114" s="4">
        <f t="shared" si="290"/>
        <v>102</v>
      </c>
      <c r="AA114" s="4">
        <f t="shared" si="291"/>
        <v>102</v>
      </c>
    </row>
    <row r="115" spans="1:27" x14ac:dyDescent="0.35">
      <c r="A115" s="81"/>
      <c r="B115" s="88">
        <v>43933</v>
      </c>
      <c r="C115" s="104">
        <v>103</v>
      </c>
      <c r="D115" s="92">
        <f t="shared" si="221"/>
        <v>9.8039215686274161E-3</v>
      </c>
      <c r="E115" s="81"/>
      <c r="F115" s="88">
        <v>43933</v>
      </c>
      <c r="G115" s="104">
        <v>103</v>
      </c>
      <c r="H115" s="92">
        <f t="shared" si="222"/>
        <v>9.8039215686274161E-3</v>
      </c>
      <c r="I115" s="81"/>
      <c r="J115" s="88">
        <v>43933</v>
      </c>
      <c r="K115" s="104">
        <v>103</v>
      </c>
      <c r="L115" s="92">
        <f t="shared" si="223"/>
        <v>9.8039215686274161E-3</v>
      </c>
      <c r="M115" s="81"/>
      <c r="N115" s="88">
        <v>43933</v>
      </c>
      <c r="O115" s="104">
        <v>103</v>
      </c>
      <c r="P115" s="92">
        <f t="shared" si="224"/>
        <v>9.8039215686274161E-3</v>
      </c>
      <c r="Q115" s="81"/>
      <c r="R115" s="88">
        <v>43933</v>
      </c>
      <c r="S115" s="104">
        <v>103</v>
      </c>
      <c r="T115" s="92">
        <f t="shared" si="225"/>
        <v>9.8039215686274161E-3</v>
      </c>
      <c r="U115" s="81"/>
      <c r="V115" s="106">
        <f t="shared" si="286"/>
        <v>43933</v>
      </c>
      <c r="W115" s="4">
        <f t="shared" si="287"/>
        <v>103</v>
      </c>
      <c r="X115" s="4">
        <f t="shared" si="288"/>
        <v>103</v>
      </c>
      <c r="Y115" s="4">
        <f t="shared" si="289"/>
        <v>103</v>
      </c>
      <c r="Z115" s="4">
        <f t="shared" si="290"/>
        <v>103</v>
      </c>
      <c r="AA115" s="4">
        <f t="shared" si="291"/>
        <v>103</v>
      </c>
    </row>
    <row r="116" spans="1:27" x14ac:dyDescent="0.35">
      <c r="A116" s="81"/>
      <c r="B116" s="90">
        <v>43934</v>
      </c>
      <c r="C116" s="105">
        <v>104</v>
      </c>
      <c r="D116" s="91">
        <f t="shared" si="226"/>
        <v>9.7087378640776656E-3</v>
      </c>
      <c r="E116" s="81"/>
      <c r="F116" s="90">
        <v>43934</v>
      </c>
      <c r="G116" s="105">
        <v>104</v>
      </c>
      <c r="H116" s="91">
        <f t="shared" si="227"/>
        <v>9.7087378640776656E-3</v>
      </c>
      <c r="I116" s="81"/>
      <c r="J116" s="90">
        <v>43934</v>
      </c>
      <c r="K116" s="105">
        <v>104</v>
      </c>
      <c r="L116" s="91">
        <f t="shared" si="228"/>
        <v>9.7087378640776656E-3</v>
      </c>
      <c r="M116" s="81"/>
      <c r="N116" s="90">
        <v>43934</v>
      </c>
      <c r="O116" s="105">
        <v>104</v>
      </c>
      <c r="P116" s="91">
        <f t="shared" si="229"/>
        <v>9.7087378640776656E-3</v>
      </c>
      <c r="Q116" s="81"/>
      <c r="R116" s="90">
        <v>43934</v>
      </c>
      <c r="S116" s="105">
        <v>104</v>
      </c>
      <c r="T116" s="91">
        <f t="shared" si="230"/>
        <v>9.7087378640776656E-3</v>
      </c>
      <c r="U116" s="81"/>
      <c r="V116" s="106">
        <f t="shared" si="286"/>
        <v>43934</v>
      </c>
      <c r="W116" s="4">
        <f t="shared" si="287"/>
        <v>104</v>
      </c>
      <c r="X116" s="4">
        <f t="shared" si="288"/>
        <v>104</v>
      </c>
      <c r="Y116" s="4">
        <f t="shared" si="289"/>
        <v>104</v>
      </c>
      <c r="Z116" s="4">
        <f t="shared" si="290"/>
        <v>104</v>
      </c>
      <c r="AA116" s="4">
        <f t="shared" si="291"/>
        <v>104</v>
      </c>
    </row>
    <row r="117" spans="1:27" x14ac:dyDescent="0.35">
      <c r="A117" s="81"/>
      <c r="B117" s="88">
        <v>43935</v>
      </c>
      <c r="C117" s="104">
        <v>105</v>
      </c>
      <c r="D117" s="92">
        <f t="shared" si="231"/>
        <v>9.6153846153845812E-3</v>
      </c>
      <c r="E117" s="81"/>
      <c r="F117" s="88">
        <v>43935</v>
      </c>
      <c r="G117" s="104">
        <v>105</v>
      </c>
      <c r="H117" s="92">
        <f t="shared" si="232"/>
        <v>9.6153846153845812E-3</v>
      </c>
      <c r="I117" s="81"/>
      <c r="J117" s="88">
        <v>43935</v>
      </c>
      <c r="K117" s="104">
        <v>105</v>
      </c>
      <c r="L117" s="92">
        <f t="shared" si="233"/>
        <v>9.6153846153845812E-3</v>
      </c>
      <c r="M117" s="81"/>
      <c r="N117" s="88">
        <v>43935</v>
      </c>
      <c r="O117" s="104">
        <v>105</v>
      </c>
      <c r="P117" s="92">
        <f t="shared" si="234"/>
        <v>9.6153846153845812E-3</v>
      </c>
      <c r="Q117" s="81"/>
      <c r="R117" s="88">
        <v>43935</v>
      </c>
      <c r="S117" s="104">
        <v>105</v>
      </c>
      <c r="T117" s="92">
        <f t="shared" si="235"/>
        <v>9.6153846153845812E-3</v>
      </c>
      <c r="U117" s="81"/>
      <c r="V117" s="106">
        <f t="shared" si="286"/>
        <v>43935</v>
      </c>
      <c r="W117" s="4">
        <f t="shared" si="287"/>
        <v>105</v>
      </c>
      <c r="X117" s="4">
        <f t="shared" si="288"/>
        <v>105</v>
      </c>
      <c r="Y117" s="4">
        <f t="shared" si="289"/>
        <v>105</v>
      </c>
      <c r="Z117" s="4">
        <f t="shared" si="290"/>
        <v>105</v>
      </c>
      <c r="AA117" s="4">
        <f t="shared" si="291"/>
        <v>105</v>
      </c>
    </row>
    <row r="118" spans="1:27" x14ac:dyDescent="0.35">
      <c r="A118" s="81"/>
      <c r="B118" s="90">
        <v>43936</v>
      </c>
      <c r="C118" s="105">
        <v>106</v>
      </c>
      <c r="D118" s="91">
        <f t="shared" si="236"/>
        <v>9.52380952380949E-3</v>
      </c>
      <c r="E118" s="81"/>
      <c r="F118" s="90">
        <v>43936</v>
      </c>
      <c r="G118" s="105">
        <v>106</v>
      </c>
      <c r="H118" s="91">
        <f t="shared" si="237"/>
        <v>9.52380952380949E-3</v>
      </c>
      <c r="I118" s="81"/>
      <c r="J118" s="90">
        <v>43936</v>
      </c>
      <c r="K118" s="105">
        <v>106</v>
      </c>
      <c r="L118" s="91">
        <f t="shared" si="238"/>
        <v>9.52380952380949E-3</v>
      </c>
      <c r="M118" s="81"/>
      <c r="N118" s="90">
        <v>43936</v>
      </c>
      <c r="O118" s="105">
        <v>106</v>
      </c>
      <c r="P118" s="91">
        <f t="shared" si="239"/>
        <v>9.52380952380949E-3</v>
      </c>
      <c r="Q118" s="81"/>
      <c r="R118" s="90">
        <v>43936</v>
      </c>
      <c r="S118" s="105">
        <v>106</v>
      </c>
      <c r="T118" s="91">
        <f t="shared" si="240"/>
        <v>9.52380952380949E-3</v>
      </c>
      <c r="U118" s="81"/>
      <c r="V118" s="106">
        <f t="shared" si="286"/>
        <v>43936</v>
      </c>
      <c r="W118" s="4">
        <f t="shared" si="287"/>
        <v>106</v>
      </c>
      <c r="X118" s="4">
        <f t="shared" si="288"/>
        <v>106</v>
      </c>
      <c r="Y118" s="4">
        <f t="shared" si="289"/>
        <v>106</v>
      </c>
      <c r="Z118" s="4">
        <f t="shared" si="290"/>
        <v>106</v>
      </c>
      <c r="AA118" s="4">
        <f t="shared" si="291"/>
        <v>106</v>
      </c>
    </row>
    <row r="119" spans="1:27" x14ac:dyDescent="0.35">
      <c r="A119" s="81"/>
      <c r="B119" s="88">
        <v>43937</v>
      </c>
      <c r="C119" s="104">
        <v>107</v>
      </c>
      <c r="D119" s="92">
        <f t="shared" si="241"/>
        <v>9.4339622641510523E-3</v>
      </c>
      <c r="E119" s="81"/>
      <c r="F119" s="88">
        <v>43937</v>
      </c>
      <c r="G119" s="104">
        <v>107</v>
      </c>
      <c r="H119" s="92">
        <f t="shared" si="242"/>
        <v>9.4339622641510523E-3</v>
      </c>
      <c r="I119" s="81"/>
      <c r="J119" s="88">
        <v>43937</v>
      </c>
      <c r="K119" s="104">
        <v>107</v>
      </c>
      <c r="L119" s="92">
        <f t="shared" si="243"/>
        <v>9.4339622641510523E-3</v>
      </c>
      <c r="M119" s="81"/>
      <c r="N119" s="88">
        <v>43937</v>
      </c>
      <c r="O119" s="104">
        <v>107</v>
      </c>
      <c r="P119" s="92">
        <f t="shared" si="244"/>
        <v>9.4339622641510523E-3</v>
      </c>
      <c r="Q119" s="81"/>
      <c r="R119" s="88">
        <v>43937</v>
      </c>
      <c r="S119" s="104">
        <v>107</v>
      </c>
      <c r="T119" s="92">
        <f t="shared" si="245"/>
        <v>9.4339622641510523E-3</v>
      </c>
      <c r="U119" s="81"/>
      <c r="V119" s="106">
        <f t="shared" si="286"/>
        <v>43937</v>
      </c>
      <c r="W119" s="4">
        <f t="shared" si="287"/>
        <v>107</v>
      </c>
      <c r="X119" s="4">
        <f t="shared" si="288"/>
        <v>107</v>
      </c>
      <c r="Y119" s="4">
        <f t="shared" si="289"/>
        <v>107</v>
      </c>
      <c r="Z119" s="4">
        <f t="shared" si="290"/>
        <v>107</v>
      </c>
      <c r="AA119" s="4">
        <f t="shared" si="291"/>
        <v>107</v>
      </c>
    </row>
    <row r="120" spans="1:27" x14ac:dyDescent="0.35">
      <c r="A120" s="81"/>
      <c r="B120" s="90">
        <v>43938</v>
      </c>
      <c r="C120" s="105">
        <v>108</v>
      </c>
      <c r="D120" s="91">
        <f t="shared" si="246"/>
        <v>9.3457943925232545E-3</v>
      </c>
      <c r="E120" s="81"/>
      <c r="F120" s="90">
        <v>43938</v>
      </c>
      <c r="G120" s="105">
        <v>108</v>
      </c>
      <c r="H120" s="91">
        <f t="shared" si="247"/>
        <v>9.3457943925232545E-3</v>
      </c>
      <c r="I120" s="81"/>
      <c r="J120" s="90">
        <v>43938</v>
      </c>
      <c r="K120" s="105">
        <v>108</v>
      </c>
      <c r="L120" s="91">
        <f t="shared" si="248"/>
        <v>9.3457943925232545E-3</v>
      </c>
      <c r="M120" s="81"/>
      <c r="N120" s="90">
        <v>43938</v>
      </c>
      <c r="O120" s="105">
        <v>108</v>
      </c>
      <c r="P120" s="91">
        <f t="shared" si="249"/>
        <v>9.3457943925232545E-3</v>
      </c>
      <c r="Q120" s="81"/>
      <c r="R120" s="90">
        <v>43938</v>
      </c>
      <c r="S120" s="105">
        <v>108</v>
      </c>
      <c r="T120" s="91">
        <f t="shared" si="250"/>
        <v>9.3457943925232545E-3</v>
      </c>
      <c r="U120" s="81"/>
      <c r="V120" s="106">
        <f t="shared" si="286"/>
        <v>43938</v>
      </c>
      <c r="W120" s="4">
        <f t="shared" si="287"/>
        <v>108</v>
      </c>
      <c r="X120" s="4">
        <f t="shared" si="288"/>
        <v>108</v>
      </c>
      <c r="Y120" s="4">
        <f t="shared" si="289"/>
        <v>108</v>
      </c>
      <c r="Z120" s="4">
        <f t="shared" si="290"/>
        <v>108</v>
      </c>
      <c r="AA120" s="4">
        <f t="shared" si="291"/>
        <v>108</v>
      </c>
    </row>
    <row r="121" spans="1:27" x14ac:dyDescent="0.35">
      <c r="A121" s="81"/>
      <c r="B121" s="88">
        <v>43939</v>
      </c>
      <c r="C121" s="104">
        <v>109</v>
      </c>
      <c r="D121" s="92">
        <f t="shared" si="251"/>
        <v>9.2592592592593004E-3</v>
      </c>
      <c r="E121" s="81"/>
      <c r="F121" s="88">
        <v>43939</v>
      </c>
      <c r="G121" s="104">
        <v>109</v>
      </c>
      <c r="H121" s="92">
        <f t="shared" si="252"/>
        <v>9.2592592592593004E-3</v>
      </c>
      <c r="I121" s="81"/>
      <c r="J121" s="88">
        <v>43939</v>
      </c>
      <c r="K121" s="104">
        <v>109</v>
      </c>
      <c r="L121" s="92">
        <f t="shared" si="253"/>
        <v>9.2592592592593004E-3</v>
      </c>
      <c r="M121" s="81"/>
      <c r="N121" s="88">
        <v>43939</v>
      </c>
      <c r="O121" s="104">
        <v>109</v>
      </c>
      <c r="P121" s="92">
        <f t="shared" si="254"/>
        <v>9.2592592592593004E-3</v>
      </c>
      <c r="Q121" s="81"/>
      <c r="R121" s="88">
        <v>43939</v>
      </c>
      <c r="S121" s="104">
        <v>109</v>
      </c>
      <c r="T121" s="92">
        <f t="shared" si="255"/>
        <v>9.2592592592593004E-3</v>
      </c>
      <c r="U121" s="81"/>
      <c r="V121" s="106">
        <f t="shared" si="286"/>
        <v>43939</v>
      </c>
      <c r="W121" s="4">
        <f t="shared" si="287"/>
        <v>109</v>
      </c>
      <c r="X121" s="4">
        <f t="shared" si="288"/>
        <v>109</v>
      </c>
      <c r="Y121" s="4">
        <f t="shared" si="289"/>
        <v>109</v>
      </c>
      <c r="Z121" s="4">
        <f t="shared" si="290"/>
        <v>109</v>
      </c>
      <c r="AA121" s="4">
        <f t="shared" si="291"/>
        <v>109</v>
      </c>
    </row>
    <row r="122" spans="1:27" x14ac:dyDescent="0.35">
      <c r="A122" s="81"/>
      <c r="B122" s="90">
        <v>43940</v>
      </c>
      <c r="C122" s="105">
        <v>110</v>
      </c>
      <c r="D122" s="91">
        <f t="shared" si="256"/>
        <v>9.1743119266054496E-3</v>
      </c>
      <c r="E122" s="81"/>
      <c r="F122" s="90">
        <v>43940</v>
      </c>
      <c r="G122" s="105">
        <v>110</v>
      </c>
      <c r="H122" s="91">
        <f t="shared" si="257"/>
        <v>9.1743119266054496E-3</v>
      </c>
      <c r="I122" s="81"/>
      <c r="J122" s="90">
        <v>43940</v>
      </c>
      <c r="K122" s="105">
        <v>110</v>
      </c>
      <c r="L122" s="91">
        <f t="shared" si="258"/>
        <v>9.1743119266054496E-3</v>
      </c>
      <c r="M122" s="81"/>
      <c r="N122" s="90">
        <v>43940</v>
      </c>
      <c r="O122" s="105">
        <v>110</v>
      </c>
      <c r="P122" s="91">
        <f t="shared" si="259"/>
        <v>9.1743119266054496E-3</v>
      </c>
      <c r="Q122" s="81"/>
      <c r="R122" s="90">
        <v>43940</v>
      </c>
      <c r="S122" s="105">
        <v>110</v>
      </c>
      <c r="T122" s="91">
        <f t="shared" si="260"/>
        <v>9.1743119266054496E-3</v>
      </c>
      <c r="U122" s="81"/>
      <c r="V122" s="106">
        <f t="shared" si="286"/>
        <v>43940</v>
      </c>
      <c r="W122" s="4">
        <f t="shared" si="287"/>
        <v>110</v>
      </c>
      <c r="X122" s="4">
        <f t="shared" si="288"/>
        <v>110</v>
      </c>
      <c r="Y122" s="4">
        <f t="shared" si="289"/>
        <v>110</v>
      </c>
      <c r="Z122" s="4">
        <f t="shared" si="290"/>
        <v>110</v>
      </c>
      <c r="AA122" s="4">
        <f t="shared" si="291"/>
        <v>110</v>
      </c>
    </row>
    <row r="123" spans="1:27" x14ac:dyDescent="0.35">
      <c r="A123" s="81"/>
      <c r="B123" s="88">
        <v>43941</v>
      </c>
      <c r="C123" s="104">
        <v>111</v>
      </c>
      <c r="D123" s="92">
        <f t="shared" si="261"/>
        <v>9.0909090909090384E-3</v>
      </c>
      <c r="E123" s="81"/>
      <c r="F123" s="88">
        <v>43941</v>
      </c>
      <c r="G123" s="104">
        <v>111</v>
      </c>
      <c r="H123" s="92">
        <f t="shared" si="262"/>
        <v>9.0909090909090384E-3</v>
      </c>
      <c r="I123" s="81"/>
      <c r="J123" s="88">
        <v>43941</v>
      </c>
      <c r="K123" s="104">
        <v>111</v>
      </c>
      <c r="L123" s="92">
        <f t="shared" si="263"/>
        <v>9.0909090909090384E-3</v>
      </c>
      <c r="M123" s="81"/>
      <c r="N123" s="88">
        <v>43941</v>
      </c>
      <c r="O123" s="104">
        <v>111</v>
      </c>
      <c r="P123" s="92">
        <f t="shared" si="264"/>
        <v>9.0909090909090384E-3</v>
      </c>
      <c r="Q123" s="81"/>
      <c r="R123" s="88">
        <v>43941</v>
      </c>
      <c r="S123" s="104">
        <v>111</v>
      </c>
      <c r="T123" s="92">
        <f t="shared" si="265"/>
        <v>9.0909090909090384E-3</v>
      </c>
      <c r="U123" s="81"/>
      <c r="V123" s="106">
        <f t="shared" si="286"/>
        <v>43941</v>
      </c>
      <c r="W123" s="4">
        <f t="shared" si="287"/>
        <v>111</v>
      </c>
      <c r="X123" s="4">
        <f t="shared" si="288"/>
        <v>111</v>
      </c>
      <c r="Y123" s="4">
        <f t="shared" si="289"/>
        <v>111</v>
      </c>
      <c r="Z123" s="4">
        <f t="shared" si="290"/>
        <v>111</v>
      </c>
      <c r="AA123" s="4">
        <f t="shared" si="291"/>
        <v>111</v>
      </c>
    </row>
    <row r="124" spans="1:27" x14ac:dyDescent="0.35">
      <c r="A124" s="81"/>
      <c r="B124" s="90">
        <v>43942</v>
      </c>
      <c r="C124" s="105">
        <v>112</v>
      </c>
      <c r="D124" s="91">
        <f t="shared" si="266"/>
        <v>9.009009009008917E-3</v>
      </c>
      <c r="E124" s="81"/>
      <c r="F124" s="90">
        <v>43942</v>
      </c>
      <c r="G124" s="105">
        <v>112</v>
      </c>
      <c r="H124" s="91">
        <f t="shared" si="267"/>
        <v>9.009009009008917E-3</v>
      </c>
      <c r="I124" s="81"/>
      <c r="J124" s="90">
        <v>43942</v>
      </c>
      <c r="K124" s="105">
        <v>112</v>
      </c>
      <c r="L124" s="91">
        <f t="shared" si="268"/>
        <v>9.009009009008917E-3</v>
      </c>
      <c r="M124" s="81"/>
      <c r="N124" s="90">
        <v>43942</v>
      </c>
      <c r="O124" s="105">
        <v>112</v>
      </c>
      <c r="P124" s="91">
        <f t="shared" si="269"/>
        <v>9.009009009008917E-3</v>
      </c>
      <c r="Q124" s="81"/>
      <c r="R124" s="90">
        <v>43942</v>
      </c>
      <c r="S124" s="105">
        <v>112</v>
      </c>
      <c r="T124" s="91">
        <f t="shared" si="270"/>
        <v>9.009009009008917E-3</v>
      </c>
      <c r="U124" s="81"/>
      <c r="V124" s="106">
        <f t="shared" si="286"/>
        <v>43942</v>
      </c>
      <c r="W124" s="4">
        <f t="shared" si="287"/>
        <v>112</v>
      </c>
      <c r="X124" s="4">
        <f t="shared" si="288"/>
        <v>112</v>
      </c>
      <c r="Y124" s="4">
        <f t="shared" si="289"/>
        <v>112</v>
      </c>
      <c r="Z124" s="4">
        <f t="shared" si="290"/>
        <v>112</v>
      </c>
      <c r="AA124" s="4">
        <f t="shared" si="291"/>
        <v>112</v>
      </c>
    </row>
    <row r="125" spans="1:27" x14ac:dyDescent="0.35">
      <c r="A125" s="81"/>
      <c r="B125" s="88">
        <v>43943</v>
      </c>
      <c r="C125" s="104">
        <v>113</v>
      </c>
      <c r="D125" s="92">
        <f t="shared" si="271"/>
        <v>8.9285714285713969E-3</v>
      </c>
      <c r="E125" s="81"/>
      <c r="F125" s="88">
        <v>43943</v>
      </c>
      <c r="G125" s="104">
        <v>113</v>
      </c>
      <c r="H125" s="92">
        <f t="shared" si="272"/>
        <v>8.9285714285713969E-3</v>
      </c>
      <c r="I125" s="81"/>
      <c r="J125" s="88">
        <v>43943</v>
      </c>
      <c r="K125" s="104">
        <v>113</v>
      </c>
      <c r="L125" s="92">
        <f t="shared" si="273"/>
        <v>8.9285714285713969E-3</v>
      </c>
      <c r="M125" s="81"/>
      <c r="N125" s="88">
        <v>43943</v>
      </c>
      <c r="O125" s="104">
        <v>113</v>
      </c>
      <c r="P125" s="92">
        <f t="shared" si="274"/>
        <v>8.9285714285713969E-3</v>
      </c>
      <c r="Q125" s="81"/>
      <c r="R125" s="88">
        <v>43943</v>
      </c>
      <c r="S125" s="104">
        <v>113</v>
      </c>
      <c r="T125" s="92">
        <f t="shared" si="275"/>
        <v>8.9285714285713969E-3</v>
      </c>
      <c r="U125" s="81"/>
      <c r="V125" s="106">
        <f t="shared" si="286"/>
        <v>43943</v>
      </c>
      <c r="W125" s="4">
        <f t="shared" si="287"/>
        <v>113</v>
      </c>
      <c r="X125" s="4">
        <f t="shared" si="288"/>
        <v>113</v>
      </c>
      <c r="Y125" s="4">
        <f t="shared" si="289"/>
        <v>113</v>
      </c>
      <c r="Z125" s="4">
        <f t="shared" si="290"/>
        <v>113</v>
      </c>
      <c r="AA125" s="4">
        <f t="shared" si="291"/>
        <v>113</v>
      </c>
    </row>
    <row r="126" spans="1:27" x14ac:dyDescent="0.35">
      <c r="A126" s="81"/>
      <c r="B126" s="90">
        <v>43944</v>
      </c>
      <c r="C126" s="105">
        <v>114</v>
      </c>
      <c r="D126" s="91">
        <f t="shared" ref="D126" si="302">C126/C125-1</f>
        <v>8.8495575221239076E-3</v>
      </c>
      <c r="E126" s="81"/>
      <c r="F126" s="90">
        <v>43944</v>
      </c>
      <c r="G126" s="105">
        <v>114</v>
      </c>
      <c r="H126" s="91">
        <f t="shared" ref="H126" si="303">G126/G125-1</f>
        <v>8.8495575221239076E-3</v>
      </c>
      <c r="I126" s="81"/>
      <c r="J126" s="90">
        <v>43944</v>
      </c>
      <c r="K126" s="105">
        <v>114</v>
      </c>
      <c r="L126" s="91">
        <f t="shared" ref="L126" si="304">K126/K125-1</f>
        <v>8.8495575221239076E-3</v>
      </c>
      <c r="M126" s="81"/>
      <c r="N126" s="90">
        <v>43944</v>
      </c>
      <c r="O126" s="105">
        <v>114</v>
      </c>
      <c r="P126" s="91">
        <f t="shared" ref="P126" si="305">O126/O125-1</f>
        <v>8.8495575221239076E-3</v>
      </c>
      <c r="Q126" s="81"/>
      <c r="R126" s="90">
        <v>43944</v>
      </c>
      <c r="S126" s="105">
        <v>114</v>
      </c>
      <c r="T126" s="91">
        <f t="shared" ref="T126" si="306">S126/S125-1</f>
        <v>8.8495575221239076E-3</v>
      </c>
      <c r="U126" s="81"/>
      <c r="V126" s="106">
        <f t="shared" si="286"/>
        <v>43944</v>
      </c>
      <c r="W126" s="4">
        <f t="shared" si="287"/>
        <v>114</v>
      </c>
      <c r="X126" s="4">
        <f t="shared" si="288"/>
        <v>114</v>
      </c>
      <c r="Y126" s="4">
        <f t="shared" si="289"/>
        <v>114</v>
      </c>
      <c r="Z126" s="4">
        <f t="shared" si="290"/>
        <v>114</v>
      </c>
      <c r="AA126" s="4">
        <f t="shared" si="291"/>
        <v>114</v>
      </c>
    </row>
    <row r="127" spans="1:27" x14ac:dyDescent="0.35">
      <c r="A127" s="81"/>
      <c r="B127" s="88">
        <v>43945</v>
      </c>
      <c r="C127" s="104">
        <v>115</v>
      </c>
      <c r="D127" s="92">
        <f t="shared" ref="D127" si="307">C127/(C126)-1</f>
        <v>8.7719298245614308E-3</v>
      </c>
      <c r="E127" s="81"/>
      <c r="F127" s="88">
        <v>43945</v>
      </c>
      <c r="G127" s="104">
        <v>115</v>
      </c>
      <c r="H127" s="92">
        <f t="shared" ref="H127" si="308">G127/(G126)-1</f>
        <v>8.7719298245614308E-3</v>
      </c>
      <c r="I127" s="81"/>
      <c r="J127" s="88">
        <v>43945</v>
      </c>
      <c r="K127" s="104">
        <v>115</v>
      </c>
      <c r="L127" s="92">
        <f t="shared" ref="L127" si="309">K127/(K126)-1</f>
        <v>8.7719298245614308E-3</v>
      </c>
      <c r="M127" s="81"/>
      <c r="N127" s="88">
        <v>43945</v>
      </c>
      <c r="O127" s="104">
        <v>115</v>
      </c>
      <c r="P127" s="92">
        <f t="shared" ref="P127" si="310">O127/(O126)-1</f>
        <v>8.7719298245614308E-3</v>
      </c>
      <c r="Q127" s="81"/>
      <c r="R127" s="88">
        <v>43945</v>
      </c>
      <c r="S127" s="104">
        <v>115</v>
      </c>
      <c r="T127" s="92">
        <f t="shared" ref="T127" si="311">S127/(S126)-1</f>
        <v>8.7719298245614308E-3</v>
      </c>
      <c r="U127" s="81"/>
      <c r="V127" s="106">
        <f t="shared" si="286"/>
        <v>43945</v>
      </c>
      <c r="W127" s="4">
        <f t="shared" si="287"/>
        <v>115</v>
      </c>
      <c r="X127" s="4">
        <f t="shared" si="288"/>
        <v>115</v>
      </c>
      <c r="Y127" s="4">
        <f t="shared" si="289"/>
        <v>115</v>
      </c>
      <c r="Z127" s="4">
        <f t="shared" si="290"/>
        <v>115</v>
      </c>
      <c r="AA127" s="4">
        <f t="shared" si="291"/>
        <v>115</v>
      </c>
    </row>
    <row r="128" spans="1:27" x14ac:dyDescent="0.35">
      <c r="A128" s="81"/>
      <c r="B128" s="90">
        <v>43946</v>
      </c>
      <c r="C128" s="105">
        <v>116</v>
      </c>
      <c r="D128" s="91">
        <f t="shared" ref="D128:D184" si="312">C128/C127-1</f>
        <v>8.6956521739129933E-3</v>
      </c>
      <c r="E128" s="81"/>
      <c r="F128" s="90">
        <v>43946</v>
      </c>
      <c r="G128" s="105">
        <v>116</v>
      </c>
      <c r="H128" s="91">
        <f t="shared" ref="H128:H184" si="313">G128/G127-1</f>
        <v>8.6956521739129933E-3</v>
      </c>
      <c r="I128" s="81"/>
      <c r="J128" s="90">
        <v>43946</v>
      </c>
      <c r="K128" s="105">
        <v>116</v>
      </c>
      <c r="L128" s="91">
        <f t="shared" ref="L128:L184" si="314">K128/K127-1</f>
        <v>8.6956521739129933E-3</v>
      </c>
      <c r="M128" s="81"/>
      <c r="N128" s="90">
        <v>43946</v>
      </c>
      <c r="O128" s="105">
        <v>116</v>
      </c>
      <c r="P128" s="91">
        <f t="shared" ref="P128:P184" si="315">O128/O127-1</f>
        <v>8.6956521739129933E-3</v>
      </c>
      <c r="Q128" s="81"/>
      <c r="R128" s="90">
        <v>43946</v>
      </c>
      <c r="S128" s="105">
        <v>116</v>
      </c>
      <c r="T128" s="91">
        <f t="shared" ref="T128:T184" si="316">S128/S127-1</f>
        <v>8.6956521739129933E-3</v>
      </c>
      <c r="U128" s="81"/>
      <c r="V128" s="106">
        <f t="shared" si="286"/>
        <v>43946</v>
      </c>
      <c r="W128" s="4">
        <f t="shared" si="287"/>
        <v>116</v>
      </c>
      <c r="X128" s="4">
        <f t="shared" si="288"/>
        <v>116</v>
      </c>
      <c r="Y128" s="4">
        <f t="shared" si="289"/>
        <v>116</v>
      </c>
      <c r="Z128" s="4">
        <f t="shared" si="290"/>
        <v>116</v>
      </c>
      <c r="AA128" s="4">
        <f t="shared" si="291"/>
        <v>116</v>
      </c>
    </row>
    <row r="129" spans="1:27" x14ac:dyDescent="0.35">
      <c r="A129" s="81"/>
      <c r="B129" s="88">
        <v>43947</v>
      </c>
      <c r="C129" s="104">
        <v>117</v>
      </c>
      <c r="D129" s="92">
        <f t="shared" ref="D129:D185" si="317">C129/(C128)-1</f>
        <v>8.6206896551723755E-3</v>
      </c>
      <c r="E129" s="81"/>
      <c r="F129" s="88">
        <v>43947</v>
      </c>
      <c r="G129" s="104">
        <v>117</v>
      </c>
      <c r="H129" s="92">
        <f t="shared" ref="H129:H185" si="318">G129/(G128)-1</f>
        <v>8.6206896551723755E-3</v>
      </c>
      <c r="I129" s="81"/>
      <c r="J129" s="88">
        <v>43947</v>
      </c>
      <c r="K129" s="104">
        <v>117</v>
      </c>
      <c r="L129" s="92">
        <f t="shared" ref="L129:L185" si="319">K129/(K128)-1</f>
        <v>8.6206896551723755E-3</v>
      </c>
      <c r="M129" s="81"/>
      <c r="N129" s="88">
        <v>43947</v>
      </c>
      <c r="O129" s="104">
        <v>117</v>
      </c>
      <c r="P129" s="92">
        <f t="shared" ref="P129:P185" si="320">O129/(O128)-1</f>
        <v>8.6206896551723755E-3</v>
      </c>
      <c r="Q129" s="81"/>
      <c r="R129" s="88">
        <v>43947</v>
      </c>
      <c r="S129" s="104">
        <v>117</v>
      </c>
      <c r="T129" s="92">
        <f t="shared" ref="T129:T185" si="321">S129/(S128)-1</f>
        <v>8.6206896551723755E-3</v>
      </c>
      <c r="U129" s="81"/>
      <c r="V129" s="106">
        <f t="shared" si="286"/>
        <v>43947</v>
      </c>
      <c r="W129" s="4">
        <f t="shared" si="287"/>
        <v>117</v>
      </c>
      <c r="X129" s="4">
        <f t="shared" si="288"/>
        <v>117</v>
      </c>
      <c r="Y129" s="4">
        <f t="shared" si="289"/>
        <v>117</v>
      </c>
      <c r="Z129" s="4">
        <f t="shared" si="290"/>
        <v>117</v>
      </c>
      <c r="AA129" s="4">
        <f t="shared" si="291"/>
        <v>117</v>
      </c>
    </row>
    <row r="130" spans="1:27" x14ac:dyDescent="0.35">
      <c r="A130" s="81"/>
      <c r="B130" s="90">
        <v>43948</v>
      </c>
      <c r="C130" s="105">
        <v>118</v>
      </c>
      <c r="D130" s="91">
        <f t="shared" ref="D130:D186" si="322">C130/C129-1</f>
        <v>8.5470085470085166E-3</v>
      </c>
      <c r="E130" s="81"/>
      <c r="F130" s="90">
        <v>43948</v>
      </c>
      <c r="G130" s="105">
        <v>118</v>
      </c>
      <c r="H130" s="91">
        <f t="shared" ref="H130:H186" si="323">G130/G129-1</f>
        <v>8.5470085470085166E-3</v>
      </c>
      <c r="I130" s="81"/>
      <c r="J130" s="90">
        <v>43948</v>
      </c>
      <c r="K130" s="105">
        <v>118</v>
      </c>
      <c r="L130" s="91">
        <f t="shared" ref="L130:L186" si="324">K130/K129-1</f>
        <v>8.5470085470085166E-3</v>
      </c>
      <c r="M130" s="81"/>
      <c r="N130" s="90">
        <v>43948</v>
      </c>
      <c r="O130" s="105">
        <v>118</v>
      </c>
      <c r="P130" s="91">
        <f t="shared" ref="P130:P186" si="325">O130/O129-1</f>
        <v>8.5470085470085166E-3</v>
      </c>
      <c r="Q130" s="81"/>
      <c r="R130" s="90">
        <v>43948</v>
      </c>
      <c r="S130" s="105">
        <v>118</v>
      </c>
      <c r="T130" s="91">
        <f t="shared" ref="T130:T186" si="326">S130/S129-1</f>
        <v>8.5470085470085166E-3</v>
      </c>
      <c r="U130" s="81"/>
      <c r="V130" s="106">
        <f t="shared" si="286"/>
        <v>43948</v>
      </c>
      <c r="W130" s="4">
        <f t="shared" si="287"/>
        <v>118</v>
      </c>
      <c r="X130" s="4">
        <f t="shared" si="288"/>
        <v>118</v>
      </c>
      <c r="Y130" s="4">
        <f t="shared" si="289"/>
        <v>118</v>
      </c>
      <c r="Z130" s="4">
        <f t="shared" si="290"/>
        <v>118</v>
      </c>
      <c r="AA130" s="4">
        <f t="shared" si="291"/>
        <v>118</v>
      </c>
    </row>
    <row r="131" spans="1:27" x14ac:dyDescent="0.35">
      <c r="A131" s="81"/>
      <c r="B131" s="88">
        <v>43949</v>
      </c>
      <c r="C131" s="104">
        <v>119</v>
      </c>
      <c r="D131" s="92">
        <f t="shared" ref="D131:D187" si="327">C131/(C130)-1</f>
        <v>8.4745762711864181E-3</v>
      </c>
      <c r="E131" s="81"/>
      <c r="F131" s="88">
        <v>43949</v>
      </c>
      <c r="G131" s="104">
        <v>119</v>
      </c>
      <c r="H131" s="92">
        <f t="shared" ref="H131:H187" si="328">G131/(G130)-1</f>
        <v>8.4745762711864181E-3</v>
      </c>
      <c r="I131" s="81"/>
      <c r="J131" s="88">
        <v>43949</v>
      </c>
      <c r="K131" s="104">
        <v>119</v>
      </c>
      <c r="L131" s="92">
        <f t="shared" ref="L131:L187" si="329">K131/(K130)-1</f>
        <v>8.4745762711864181E-3</v>
      </c>
      <c r="M131" s="81"/>
      <c r="N131" s="88">
        <v>43949</v>
      </c>
      <c r="O131" s="104">
        <v>119</v>
      </c>
      <c r="P131" s="92">
        <f t="shared" ref="P131:P187" si="330">O131/(O130)-1</f>
        <v>8.4745762711864181E-3</v>
      </c>
      <c r="Q131" s="81"/>
      <c r="R131" s="88">
        <v>43949</v>
      </c>
      <c r="S131" s="104">
        <v>119</v>
      </c>
      <c r="T131" s="92">
        <f t="shared" ref="T131:T187" si="331">S131/(S130)-1</f>
        <v>8.4745762711864181E-3</v>
      </c>
      <c r="U131" s="81"/>
      <c r="V131" s="106">
        <f t="shared" si="286"/>
        <v>43949</v>
      </c>
      <c r="W131" s="4">
        <f t="shared" si="287"/>
        <v>119</v>
      </c>
      <c r="X131" s="4">
        <f t="shared" si="288"/>
        <v>119</v>
      </c>
      <c r="Y131" s="4">
        <f t="shared" si="289"/>
        <v>119</v>
      </c>
      <c r="Z131" s="4">
        <f t="shared" si="290"/>
        <v>119</v>
      </c>
      <c r="AA131" s="4">
        <f t="shared" si="291"/>
        <v>119</v>
      </c>
    </row>
    <row r="132" spans="1:27" x14ac:dyDescent="0.35">
      <c r="A132" s="81"/>
      <c r="B132" s="90">
        <v>43950</v>
      </c>
      <c r="C132" s="105">
        <v>120</v>
      </c>
      <c r="D132" s="91">
        <f t="shared" ref="D132:D188" si="332">C132/C131-1</f>
        <v>8.4033613445377853E-3</v>
      </c>
      <c r="E132" s="81"/>
      <c r="F132" s="90">
        <v>43950</v>
      </c>
      <c r="G132" s="105">
        <v>120</v>
      </c>
      <c r="H132" s="91">
        <f t="shared" ref="H132:H188" si="333">G132/G131-1</f>
        <v>8.4033613445377853E-3</v>
      </c>
      <c r="I132" s="81"/>
      <c r="J132" s="90">
        <v>43950</v>
      </c>
      <c r="K132" s="105">
        <v>120</v>
      </c>
      <c r="L132" s="91">
        <f t="shared" ref="L132:L188" si="334">K132/K131-1</f>
        <v>8.4033613445377853E-3</v>
      </c>
      <c r="M132" s="81"/>
      <c r="N132" s="90">
        <v>43950</v>
      </c>
      <c r="O132" s="105">
        <v>120</v>
      </c>
      <c r="P132" s="91">
        <f t="shared" ref="P132:P188" si="335">O132/O131-1</f>
        <v>8.4033613445377853E-3</v>
      </c>
      <c r="Q132" s="81"/>
      <c r="R132" s="90">
        <v>43950</v>
      </c>
      <c r="S132" s="105">
        <v>120</v>
      </c>
      <c r="T132" s="91">
        <f t="shared" ref="T132:T188" si="336">S132/S131-1</f>
        <v>8.4033613445377853E-3</v>
      </c>
      <c r="U132" s="81"/>
      <c r="V132" s="106">
        <f t="shared" si="286"/>
        <v>43950</v>
      </c>
      <c r="W132" s="4">
        <f t="shared" si="287"/>
        <v>120</v>
      </c>
      <c r="X132" s="4">
        <f t="shared" si="288"/>
        <v>120</v>
      </c>
      <c r="Y132" s="4">
        <f t="shared" si="289"/>
        <v>120</v>
      </c>
      <c r="Z132" s="4">
        <f t="shared" si="290"/>
        <v>120</v>
      </c>
      <c r="AA132" s="4">
        <f t="shared" si="291"/>
        <v>120</v>
      </c>
    </row>
    <row r="133" spans="1:27" x14ac:dyDescent="0.35">
      <c r="A133" s="81"/>
      <c r="B133" s="88">
        <v>43951</v>
      </c>
      <c r="C133" s="104">
        <v>121</v>
      </c>
      <c r="D133" s="92">
        <f t="shared" ref="D133:D189" si="337">C133/(C132)-1</f>
        <v>8.3333333333333037E-3</v>
      </c>
      <c r="E133" s="81"/>
      <c r="F133" s="88">
        <v>43951</v>
      </c>
      <c r="G133" s="104">
        <v>121</v>
      </c>
      <c r="H133" s="92">
        <f t="shared" ref="H133:H189" si="338">G133/(G132)-1</f>
        <v>8.3333333333333037E-3</v>
      </c>
      <c r="I133" s="81"/>
      <c r="J133" s="88">
        <v>43951</v>
      </c>
      <c r="K133" s="104">
        <v>121</v>
      </c>
      <c r="L133" s="92">
        <f t="shared" ref="L133:L189" si="339">K133/(K132)-1</f>
        <v>8.3333333333333037E-3</v>
      </c>
      <c r="M133" s="81"/>
      <c r="N133" s="88">
        <v>43951</v>
      </c>
      <c r="O133" s="104">
        <v>121</v>
      </c>
      <c r="P133" s="92">
        <f t="shared" ref="P133:P189" si="340">O133/(O132)-1</f>
        <v>8.3333333333333037E-3</v>
      </c>
      <c r="Q133" s="81"/>
      <c r="R133" s="88">
        <v>43951</v>
      </c>
      <c r="S133" s="104">
        <v>121</v>
      </c>
      <c r="T133" s="92">
        <f t="shared" ref="T133:T189" si="341">S133/(S132)-1</f>
        <v>8.3333333333333037E-3</v>
      </c>
      <c r="U133" s="81"/>
      <c r="V133" s="106">
        <f t="shared" si="286"/>
        <v>43951</v>
      </c>
      <c r="W133" s="4">
        <f t="shared" si="287"/>
        <v>121</v>
      </c>
      <c r="X133" s="4">
        <f t="shared" si="288"/>
        <v>121</v>
      </c>
      <c r="Y133" s="4">
        <f t="shared" si="289"/>
        <v>121</v>
      </c>
      <c r="Z133" s="4">
        <f t="shared" si="290"/>
        <v>121</v>
      </c>
      <c r="AA133" s="4">
        <f t="shared" si="291"/>
        <v>121</v>
      </c>
    </row>
    <row r="134" spans="1:27" x14ac:dyDescent="0.35">
      <c r="A134" s="81"/>
      <c r="B134" s="90">
        <v>43952</v>
      </c>
      <c r="C134" s="105">
        <v>122</v>
      </c>
      <c r="D134" s="91">
        <f t="shared" ref="D134:D190" si="342">C134/C133-1</f>
        <v>8.2644628099173278E-3</v>
      </c>
      <c r="E134" s="81"/>
      <c r="F134" s="90">
        <v>43952</v>
      </c>
      <c r="G134" s="105">
        <v>122</v>
      </c>
      <c r="H134" s="91">
        <f t="shared" ref="H134:H190" si="343">G134/G133-1</f>
        <v>8.2644628099173278E-3</v>
      </c>
      <c r="I134" s="81"/>
      <c r="J134" s="90">
        <v>43952</v>
      </c>
      <c r="K134" s="105">
        <v>122</v>
      </c>
      <c r="L134" s="91">
        <f t="shared" ref="L134:L190" si="344">K134/K133-1</f>
        <v>8.2644628099173278E-3</v>
      </c>
      <c r="M134" s="81"/>
      <c r="N134" s="90">
        <v>43952</v>
      </c>
      <c r="O134" s="105">
        <v>122</v>
      </c>
      <c r="P134" s="91">
        <f t="shared" ref="P134:P190" si="345">O134/O133-1</f>
        <v>8.2644628099173278E-3</v>
      </c>
      <c r="Q134" s="81"/>
      <c r="R134" s="90">
        <v>43952</v>
      </c>
      <c r="S134" s="105">
        <v>122</v>
      </c>
      <c r="T134" s="91">
        <f t="shared" ref="T134:T190" si="346">S134/S133-1</f>
        <v>8.2644628099173278E-3</v>
      </c>
      <c r="U134" s="81"/>
      <c r="V134" s="106">
        <f t="shared" si="286"/>
        <v>43952</v>
      </c>
      <c r="W134" s="4">
        <f t="shared" si="287"/>
        <v>122</v>
      </c>
      <c r="X134" s="4">
        <f t="shared" si="288"/>
        <v>122</v>
      </c>
      <c r="Y134" s="4">
        <f t="shared" si="289"/>
        <v>122</v>
      </c>
      <c r="Z134" s="4">
        <f t="shared" si="290"/>
        <v>122</v>
      </c>
      <c r="AA134" s="4">
        <f t="shared" si="291"/>
        <v>122</v>
      </c>
    </row>
    <row r="135" spans="1:27" x14ac:dyDescent="0.35">
      <c r="A135" s="81"/>
      <c r="B135" s="88">
        <v>43953</v>
      </c>
      <c r="C135" s="104">
        <v>123</v>
      </c>
      <c r="D135" s="92">
        <f t="shared" ref="D135:D191" si="347">C135/(C134)-1</f>
        <v>8.1967213114753079E-3</v>
      </c>
      <c r="E135" s="81"/>
      <c r="F135" s="88">
        <v>43953</v>
      </c>
      <c r="G135" s="104">
        <v>123</v>
      </c>
      <c r="H135" s="92">
        <f t="shared" ref="H135:H191" si="348">G135/(G134)-1</f>
        <v>8.1967213114753079E-3</v>
      </c>
      <c r="I135" s="81"/>
      <c r="J135" s="88">
        <v>43953</v>
      </c>
      <c r="K135" s="104">
        <v>123</v>
      </c>
      <c r="L135" s="92">
        <f t="shared" ref="L135:L191" si="349">K135/(K134)-1</f>
        <v>8.1967213114753079E-3</v>
      </c>
      <c r="M135" s="81"/>
      <c r="N135" s="88">
        <v>43953</v>
      </c>
      <c r="O135" s="104">
        <v>123</v>
      </c>
      <c r="P135" s="92">
        <f t="shared" ref="P135:P191" si="350">O135/(O134)-1</f>
        <v>8.1967213114753079E-3</v>
      </c>
      <c r="Q135" s="81"/>
      <c r="R135" s="88">
        <v>43953</v>
      </c>
      <c r="S135" s="104">
        <v>123</v>
      </c>
      <c r="T135" s="92">
        <f t="shared" ref="T135:T191" si="351">S135/(S134)-1</f>
        <v>8.1967213114753079E-3</v>
      </c>
      <c r="U135" s="81"/>
      <c r="V135" s="106">
        <f t="shared" si="286"/>
        <v>43953</v>
      </c>
      <c r="W135" s="4">
        <f t="shared" si="287"/>
        <v>123</v>
      </c>
      <c r="X135" s="4">
        <f t="shared" si="288"/>
        <v>123</v>
      </c>
      <c r="Y135" s="4">
        <f t="shared" si="289"/>
        <v>123</v>
      </c>
      <c r="Z135" s="4">
        <f t="shared" si="290"/>
        <v>123</v>
      </c>
      <c r="AA135" s="4">
        <f t="shared" si="291"/>
        <v>123</v>
      </c>
    </row>
    <row r="136" spans="1:27" x14ac:dyDescent="0.35">
      <c r="A136" s="81"/>
      <c r="B136" s="90">
        <v>43954</v>
      </c>
      <c r="C136" s="105">
        <v>124</v>
      </c>
      <c r="D136" s="91">
        <f t="shared" ref="D136:D192" si="352">C136/C135-1</f>
        <v>8.1300813008129413E-3</v>
      </c>
      <c r="E136" s="81"/>
      <c r="F136" s="90">
        <v>43954</v>
      </c>
      <c r="G136" s="105">
        <v>124</v>
      </c>
      <c r="H136" s="91">
        <f t="shared" ref="H136:H192" si="353">G136/G135-1</f>
        <v>8.1300813008129413E-3</v>
      </c>
      <c r="I136" s="81"/>
      <c r="J136" s="90">
        <v>43954</v>
      </c>
      <c r="K136" s="105">
        <v>124</v>
      </c>
      <c r="L136" s="91">
        <f t="shared" ref="L136:L192" si="354">K136/K135-1</f>
        <v>8.1300813008129413E-3</v>
      </c>
      <c r="M136" s="81"/>
      <c r="N136" s="90">
        <v>43954</v>
      </c>
      <c r="O136" s="105">
        <v>124</v>
      </c>
      <c r="P136" s="91">
        <f t="shared" ref="P136:P192" si="355">O136/O135-1</f>
        <v>8.1300813008129413E-3</v>
      </c>
      <c r="Q136" s="81"/>
      <c r="R136" s="90">
        <v>43954</v>
      </c>
      <c r="S136" s="105">
        <v>124</v>
      </c>
      <c r="T136" s="91">
        <f t="shared" ref="T136:T192" si="356">S136/S135-1</f>
        <v>8.1300813008129413E-3</v>
      </c>
      <c r="U136" s="81"/>
      <c r="V136" s="106">
        <f t="shared" si="286"/>
        <v>43954</v>
      </c>
      <c r="W136" s="4">
        <f t="shared" si="287"/>
        <v>124</v>
      </c>
      <c r="X136" s="4">
        <f t="shared" si="288"/>
        <v>124</v>
      </c>
      <c r="Y136" s="4">
        <f t="shared" si="289"/>
        <v>124</v>
      </c>
      <c r="Z136" s="4">
        <f t="shared" si="290"/>
        <v>124</v>
      </c>
      <c r="AA136" s="4">
        <f t="shared" si="291"/>
        <v>124</v>
      </c>
    </row>
    <row r="137" spans="1:27" x14ac:dyDescent="0.35">
      <c r="A137" s="81"/>
      <c r="B137" s="88">
        <v>43955</v>
      </c>
      <c r="C137" s="104">
        <v>125</v>
      </c>
      <c r="D137" s="92">
        <f t="shared" ref="D137:D193" si="357">C137/(C136)-1</f>
        <v>8.0645161290322509E-3</v>
      </c>
      <c r="E137" s="81"/>
      <c r="F137" s="88">
        <v>43955</v>
      </c>
      <c r="G137" s="104">
        <v>125</v>
      </c>
      <c r="H137" s="92">
        <f t="shared" ref="H137:H193" si="358">G137/(G136)-1</f>
        <v>8.0645161290322509E-3</v>
      </c>
      <c r="I137" s="81"/>
      <c r="J137" s="88">
        <v>43955</v>
      </c>
      <c r="K137" s="104">
        <v>125</v>
      </c>
      <c r="L137" s="92">
        <f t="shared" ref="L137:L193" si="359">K137/(K136)-1</f>
        <v>8.0645161290322509E-3</v>
      </c>
      <c r="M137" s="81"/>
      <c r="N137" s="88">
        <v>43955</v>
      </c>
      <c r="O137" s="104">
        <v>125</v>
      </c>
      <c r="P137" s="92">
        <f t="shared" ref="P137:P193" si="360">O137/(O136)-1</f>
        <v>8.0645161290322509E-3</v>
      </c>
      <c r="Q137" s="81"/>
      <c r="R137" s="88">
        <v>43955</v>
      </c>
      <c r="S137" s="104">
        <v>125</v>
      </c>
      <c r="T137" s="92">
        <f t="shared" ref="T137:T193" si="361">S137/(S136)-1</f>
        <v>8.0645161290322509E-3</v>
      </c>
      <c r="U137" s="81"/>
      <c r="V137" s="106">
        <f t="shared" si="286"/>
        <v>43955</v>
      </c>
      <c r="W137" s="4">
        <f t="shared" si="287"/>
        <v>125</v>
      </c>
      <c r="X137" s="4">
        <f t="shared" si="288"/>
        <v>125</v>
      </c>
      <c r="Y137" s="4">
        <f t="shared" si="289"/>
        <v>125</v>
      </c>
      <c r="Z137" s="4">
        <f t="shared" si="290"/>
        <v>125</v>
      </c>
      <c r="AA137" s="4">
        <f t="shared" si="291"/>
        <v>125</v>
      </c>
    </row>
    <row r="138" spans="1:27" x14ac:dyDescent="0.35">
      <c r="A138" s="81"/>
      <c r="B138" s="90">
        <v>43956</v>
      </c>
      <c r="C138" s="105">
        <v>126</v>
      </c>
      <c r="D138" s="91">
        <f t="shared" ref="D138:D194" si="362">C138/C137-1</f>
        <v>8.0000000000000071E-3</v>
      </c>
      <c r="E138" s="81"/>
      <c r="F138" s="90">
        <v>43956</v>
      </c>
      <c r="G138" s="105">
        <v>126</v>
      </c>
      <c r="H138" s="91">
        <f t="shared" ref="H138:H194" si="363">G138/G137-1</f>
        <v>8.0000000000000071E-3</v>
      </c>
      <c r="I138" s="81"/>
      <c r="J138" s="90">
        <v>43956</v>
      </c>
      <c r="K138" s="105">
        <v>126</v>
      </c>
      <c r="L138" s="91">
        <f t="shared" ref="L138:L194" si="364">K138/K137-1</f>
        <v>8.0000000000000071E-3</v>
      </c>
      <c r="M138" s="81"/>
      <c r="N138" s="90">
        <v>43956</v>
      </c>
      <c r="O138" s="105">
        <v>126</v>
      </c>
      <c r="P138" s="91">
        <f t="shared" ref="P138:P194" si="365">O138/O137-1</f>
        <v>8.0000000000000071E-3</v>
      </c>
      <c r="Q138" s="81"/>
      <c r="R138" s="90">
        <v>43956</v>
      </c>
      <c r="S138" s="105">
        <v>126</v>
      </c>
      <c r="T138" s="91">
        <f t="shared" ref="T138:T194" si="366">S138/S137-1</f>
        <v>8.0000000000000071E-3</v>
      </c>
      <c r="U138" s="81"/>
      <c r="V138" s="106">
        <f t="shared" si="286"/>
        <v>43956</v>
      </c>
      <c r="W138" s="4">
        <f t="shared" si="287"/>
        <v>126</v>
      </c>
      <c r="X138" s="4">
        <f t="shared" si="288"/>
        <v>126</v>
      </c>
      <c r="Y138" s="4">
        <f t="shared" si="289"/>
        <v>126</v>
      </c>
      <c r="Z138" s="4">
        <f t="shared" si="290"/>
        <v>126</v>
      </c>
      <c r="AA138" s="4">
        <f t="shared" si="291"/>
        <v>126</v>
      </c>
    </row>
    <row r="139" spans="1:27" x14ac:dyDescent="0.35">
      <c r="A139" s="81"/>
      <c r="B139" s="88">
        <v>43957</v>
      </c>
      <c r="C139" s="104">
        <v>127</v>
      </c>
      <c r="D139" s="92">
        <f t="shared" ref="D139:D195" si="367">C139/(C138)-1</f>
        <v>7.9365079365079083E-3</v>
      </c>
      <c r="E139" s="81"/>
      <c r="F139" s="88">
        <v>43957</v>
      </c>
      <c r="G139" s="104">
        <v>127</v>
      </c>
      <c r="H139" s="92">
        <f t="shared" ref="H139:H195" si="368">G139/(G138)-1</f>
        <v>7.9365079365079083E-3</v>
      </c>
      <c r="I139" s="81"/>
      <c r="J139" s="88">
        <v>43957</v>
      </c>
      <c r="K139" s="104">
        <v>127</v>
      </c>
      <c r="L139" s="92">
        <f t="shared" ref="L139:L195" si="369">K139/(K138)-1</f>
        <v>7.9365079365079083E-3</v>
      </c>
      <c r="M139" s="81"/>
      <c r="N139" s="88">
        <v>43957</v>
      </c>
      <c r="O139" s="104">
        <v>127</v>
      </c>
      <c r="P139" s="92">
        <f t="shared" ref="P139:P195" si="370">O139/(O138)-1</f>
        <v>7.9365079365079083E-3</v>
      </c>
      <c r="Q139" s="81"/>
      <c r="R139" s="88">
        <v>43957</v>
      </c>
      <c r="S139" s="104">
        <v>127</v>
      </c>
      <c r="T139" s="92">
        <f t="shared" ref="T139:T195" si="371">S139/(S138)-1</f>
        <v>7.9365079365079083E-3</v>
      </c>
      <c r="U139" s="81"/>
      <c r="V139" s="106">
        <f t="shared" si="286"/>
        <v>43957</v>
      </c>
      <c r="W139" s="4">
        <f t="shared" si="287"/>
        <v>127</v>
      </c>
      <c r="X139" s="4">
        <f t="shared" si="288"/>
        <v>127</v>
      </c>
      <c r="Y139" s="4">
        <f t="shared" si="289"/>
        <v>127</v>
      </c>
      <c r="Z139" s="4">
        <f t="shared" si="290"/>
        <v>127</v>
      </c>
      <c r="AA139" s="4">
        <f t="shared" si="291"/>
        <v>127</v>
      </c>
    </row>
    <row r="140" spans="1:27" x14ac:dyDescent="0.35">
      <c r="A140" s="81"/>
      <c r="B140" s="90">
        <v>43958</v>
      </c>
      <c r="C140" s="105">
        <v>128</v>
      </c>
      <c r="D140" s="91">
        <f t="shared" ref="D140:D196" si="372">C140/C139-1</f>
        <v>7.8740157480314821E-3</v>
      </c>
      <c r="E140" s="81"/>
      <c r="F140" s="90">
        <v>43958</v>
      </c>
      <c r="G140" s="105">
        <v>128</v>
      </c>
      <c r="H140" s="91">
        <f t="shared" ref="H140:H196" si="373">G140/G139-1</f>
        <v>7.8740157480314821E-3</v>
      </c>
      <c r="I140" s="81"/>
      <c r="J140" s="90">
        <v>43958</v>
      </c>
      <c r="K140" s="105">
        <v>128</v>
      </c>
      <c r="L140" s="91">
        <f t="shared" ref="L140:L196" si="374">K140/K139-1</f>
        <v>7.8740157480314821E-3</v>
      </c>
      <c r="M140" s="81"/>
      <c r="N140" s="90">
        <v>43958</v>
      </c>
      <c r="O140" s="105">
        <v>128</v>
      </c>
      <c r="P140" s="91">
        <f t="shared" ref="P140:P196" si="375">O140/O139-1</f>
        <v>7.8740157480314821E-3</v>
      </c>
      <c r="Q140" s="81"/>
      <c r="R140" s="90">
        <v>43958</v>
      </c>
      <c r="S140" s="105">
        <v>128</v>
      </c>
      <c r="T140" s="91">
        <f t="shared" ref="T140:T196" si="376">S140/S139-1</f>
        <v>7.8740157480314821E-3</v>
      </c>
      <c r="U140" s="81"/>
      <c r="V140" s="106">
        <f t="shared" si="286"/>
        <v>43958</v>
      </c>
      <c r="W140" s="4">
        <f t="shared" si="287"/>
        <v>128</v>
      </c>
      <c r="X140" s="4">
        <f t="shared" si="288"/>
        <v>128</v>
      </c>
      <c r="Y140" s="4">
        <f t="shared" si="289"/>
        <v>128</v>
      </c>
      <c r="Z140" s="4">
        <f t="shared" si="290"/>
        <v>128</v>
      </c>
      <c r="AA140" s="4">
        <f t="shared" si="291"/>
        <v>128</v>
      </c>
    </row>
    <row r="141" spans="1:27" x14ac:dyDescent="0.35">
      <c r="A141" s="81"/>
      <c r="B141" s="88">
        <v>43959</v>
      </c>
      <c r="C141" s="104">
        <v>129</v>
      </c>
      <c r="D141" s="92">
        <f t="shared" ref="D141:D197" si="377">C141/(C140)-1</f>
        <v>7.8125E-3</v>
      </c>
      <c r="E141" s="81"/>
      <c r="F141" s="88">
        <v>43959</v>
      </c>
      <c r="G141" s="104">
        <v>129</v>
      </c>
      <c r="H141" s="92">
        <f t="shared" ref="H141:H197" si="378">G141/(G140)-1</f>
        <v>7.8125E-3</v>
      </c>
      <c r="I141" s="81"/>
      <c r="J141" s="88">
        <v>43959</v>
      </c>
      <c r="K141" s="104">
        <v>129</v>
      </c>
      <c r="L141" s="92">
        <f t="shared" ref="L141:L197" si="379">K141/(K140)-1</f>
        <v>7.8125E-3</v>
      </c>
      <c r="M141" s="81"/>
      <c r="N141" s="88">
        <v>43959</v>
      </c>
      <c r="O141" s="104">
        <v>129</v>
      </c>
      <c r="P141" s="92">
        <f t="shared" ref="P141:P197" si="380">O141/(O140)-1</f>
        <v>7.8125E-3</v>
      </c>
      <c r="Q141" s="81"/>
      <c r="R141" s="88">
        <v>43959</v>
      </c>
      <c r="S141" s="104">
        <v>129</v>
      </c>
      <c r="T141" s="92">
        <f t="shared" ref="T141:T197" si="381">S141/(S140)-1</f>
        <v>7.8125E-3</v>
      </c>
      <c r="U141" s="81"/>
      <c r="V141" s="106">
        <f t="shared" si="286"/>
        <v>43959</v>
      </c>
      <c r="W141" s="4">
        <f t="shared" si="287"/>
        <v>129</v>
      </c>
      <c r="X141" s="4">
        <f t="shared" si="288"/>
        <v>129</v>
      </c>
      <c r="Y141" s="4">
        <f t="shared" si="289"/>
        <v>129</v>
      </c>
      <c r="Z141" s="4">
        <f t="shared" si="290"/>
        <v>129</v>
      </c>
      <c r="AA141" s="4">
        <f t="shared" si="291"/>
        <v>129</v>
      </c>
    </row>
    <row r="142" spans="1:27" x14ac:dyDescent="0.35">
      <c r="A142" s="81"/>
      <c r="B142" s="90">
        <v>43960</v>
      </c>
      <c r="C142" s="105">
        <v>130</v>
      </c>
      <c r="D142" s="91">
        <f t="shared" ref="D142:D198" si="382">C142/C141-1</f>
        <v>7.7519379844961378E-3</v>
      </c>
      <c r="E142" s="81"/>
      <c r="F142" s="90">
        <v>43960</v>
      </c>
      <c r="G142" s="105">
        <v>130</v>
      </c>
      <c r="H142" s="91">
        <f t="shared" ref="H142:H198" si="383">G142/G141-1</f>
        <v>7.7519379844961378E-3</v>
      </c>
      <c r="I142" s="81"/>
      <c r="J142" s="90">
        <v>43960</v>
      </c>
      <c r="K142" s="105">
        <v>130</v>
      </c>
      <c r="L142" s="91">
        <f t="shared" ref="L142:L198" si="384">K142/K141-1</f>
        <v>7.7519379844961378E-3</v>
      </c>
      <c r="M142" s="81"/>
      <c r="N142" s="90">
        <v>43960</v>
      </c>
      <c r="O142" s="105">
        <v>130</v>
      </c>
      <c r="P142" s="91">
        <f t="shared" ref="P142:P198" si="385">O142/O141-1</f>
        <v>7.7519379844961378E-3</v>
      </c>
      <c r="Q142" s="81"/>
      <c r="R142" s="90">
        <v>43960</v>
      </c>
      <c r="S142" s="105">
        <v>130</v>
      </c>
      <c r="T142" s="91">
        <f t="shared" ref="T142:T198" si="386">S142/S141-1</f>
        <v>7.7519379844961378E-3</v>
      </c>
      <c r="U142" s="81"/>
      <c r="V142" s="106">
        <f t="shared" si="286"/>
        <v>43960</v>
      </c>
      <c r="W142" s="4">
        <f t="shared" si="287"/>
        <v>130</v>
      </c>
      <c r="X142" s="4">
        <f t="shared" si="288"/>
        <v>130</v>
      </c>
      <c r="Y142" s="4">
        <f t="shared" si="289"/>
        <v>130</v>
      </c>
      <c r="Z142" s="4">
        <f t="shared" si="290"/>
        <v>130</v>
      </c>
      <c r="AA142" s="4">
        <f t="shared" si="291"/>
        <v>130</v>
      </c>
    </row>
    <row r="143" spans="1:27" x14ac:dyDescent="0.35">
      <c r="A143" s="81"/>
      <c r="B143" s="88">
        <v>43961</v>
      </c>
      <c r="C143" s="104">
        <v>131</v>
      </c>
      <c r="D143" s="92">
        <f t="shared" ref="D143:D199" si="387">C143/(C142)-1</f>
        <v>7.692307692307665E-3</v>
      </c>
      <c r="E143" s="81"/>
      <c r="F143" s="88">
        <v>43961</v>
      </c>
      <c r="G143" s="104">
        <v>131</v>
      </c>
      <c r="H143" s="92">
        <f t="shared" ref="H143:H199" si="388">G143/(G142)-1</f>
        <v>7.692307692307665E-3</v>
      </c>
      <c r="I143" s="81"/>
      <c r="J143" s="88">
        <v>43961</v>
      </c>
      <c r="K143" s="104">
        <v>131</v>
      </c>
      <c r="L143" s="92">
        <f t="shared" ref="L143:L199" si="389">K143/(K142)-1</f>
        <v>7.692307692307665E-3</v>
      </c>
      <c r="M143" s="81"/>
      <c r="N143" s="88">
        <v>43961</v>
      </c>
      <c r="O143" s="104">
        <v>131</v>
      </c>
      <c r="P143" s="92">
        <f t="shared" ref="P143:P199" si="390">O143/(O142)-1</f>
        <v>7.692307692307665E-3</v>
      </c>
      <c r="Q143" s="81"/>
      <c r="R143" s="88">
        <v>43961</v>
      </c>
      <c r="S143" s="104">
        <v>131</v>
      </c>
      <c r="T143" s="92">
        <f t="shared" ref="T143:T199" si="391">S143/(S142)-1</f>
        <v>7.692307692307665E-3</v>
      </c>
      <c r="U143" s="81"/>
      <c r="V143" s="106">
        <f t="shared" ref="V143:V206" si="392">R143</f>
        <v>43961</v>
      </c>
      <c r="W143" s="4">
        <f t="shared" ref="W143:W206" si="393">C143</f>
        <v>131</v>
      </c>
      <c r="X143" s="4">
        <f t="shared" ref="X143:X206" si="394">G143</f>
        <v>131</v>
      </c>
      <c r="Y143" s="4">
        <f t="shared" ref="Y143:Y206" si="395">K143</f>
        <v>131</v>
      </c>
      <c r="Z143" s="4">
        <f t="shared" ref="Z143:Z206" si="396">O143</f>
        <v>131</v>
      </c>
      <c r="AA143" s="4">
        <f t="shared" ref="AA143:AA206" si="397">S143</f>
        <v>131</v>
      </c>
    </row>
    <row r="144" spans="1:27" x14ac:dyDescent="0.35">
      <c r="A144" s="81"/>
      <c r="B144" s="90">
        <v>43962</v>
      </c>
      <c r="C144" s="105">
        <v>132</v>
      </c>
      <c r="D144" s="91">
        <f t="shared" ref="D144:D200" si="398">C144/C143-1</f>
        <v>7.6335877862594437E-3</v>
      </c>
      <c r="E144" s="81"/>
      <c r="F144" s="90">
        <v>43962</v>
      </c>
      <c r="G144" s="105">
        <v>132</v>
      </c>
      <c r="H144" s="91">
        <f t="shared" ref="H144:H200" si="399">G144/G143-1</f>
        <v>7.6335877862594437E-3</v>
      </c>
      <c r="I144" s="81"/>
      <c r="J144" s="90">
        <v>43962</v>
      </c>
      <c r="K144" s="105">
        <v>132</v>
      </c>
      <c r="L144" s="91">
        <f t="shared" ref="L144:L200" si="400">K144/K143-1</f>
        <v>7.6335877862594437E-3</v>
      </c>
      <c r="M144" s="81"/>
      <c r="N144" s="90">
        <v>43962</v>
      </c>
      <c r="O144" s="105">
        <v>132</v>
      </c>
      <c r="P144" s="91">
        <f t="shared" ref="P144:P200" si="401">O144/O143-1</f>
        <v>7.6335877862594437E-3</v>
      </c>
      <c r="Q144" s="81"/>
      <c r="R144" s="90">
        <v>43962</v>
      </c>
      <c r="S144" s="105">
        <v>132</v>
      </c>
      <c r="T144" s="91">
        <f t="shared" ref="T144:T200" si="402">S144/S143-1</f>
        <v>7.6335877862594437E-3</v>
      </c>
      <c r="U144" s="81"/>
      <c r="V144" s="106">
        <f t="shared" si="392"/>
        <v>43962</v>
      </c>
      <c r="W144" s="4">
        <f t="shared" si="393"/>
        <v>132</v>
      </c>
      <c r="X144" s="4">
        <f t="shared" si="394"/>
        <v>132</v>
      </c>
      <c r="Y144" s="4">
        <f t="shared" si="395"/>
        <v>132</v>
      </c>
      <c r="Z144" s="4">
        <f t="shared" si="396"/>
        <v>132</v>
      </c>
      <c r="AA144" s="4">
        <f t="shared" si="397"/>
        <v>132</v>
      </c>
    </row>
    <row r="145" spans="1:27" x14ac:dyDescent="0.35">
      <c r="A145" s="81"/>
      <c r="B145" s="88">
        <v>43963</v>
      </c>
      <c r="C145" s="104">
        <v>133</v>
      </c>
      <c r="D145" s="92">
        <f t="shared" ref="D145:D201" si="403">C145/(C144)-1</f>
        <v>7.575757575757569E-3</v>
      </c>
      <c r="E145" s="81"/>
      <c r="F145" s="88">
        <v>43963</v>
      </c>
      <c r="G145" s="104">
        <v>133</v>
      </c>
      <c r="H145" s="92">
        <f t="shared" ref="H145:H201" si="404">G145/(G144)-1</f>
        <v>7.575757575757569E-3</v>
      </c>
      <c r="I145" s="81"/>
      <c r="J145" s="88">
        <v>43963</v>
      </c>
      <c r="K145" s="104">
        <v>133</v>
      </c>
      <c r="L145" s="92">
        <f t="shared" ref="L145:L201" si="405">K145/(K144)-1</f>
        <v>7.575757575757569E-3</v>
      </c>
      <c r="M145" s="81"/>
      <c r="N145" s="88">
        <v>43963</v>
      </c>
      <c r="O145" s="104">
        <v>133</v>
      </c>
      <c r="P145" s="92">
        <f t="shared" ref="P145:P201" si="406">O145/(O144)-1</f>
        <v>7.575757575757569E-3</v>
      </c>
      <c r="Q145" s="81"/>
      <c r="R145" s="88">
        <v>43963</v>
      </c>
      <c r="S145" s="104">
        <v>133</v>
      </c>
      <c r="T145" s="92">
        <f t="shared" ref="T145:T201" si="407">S145/(S144)-1</f>
        <v>7.575757575757569E-3</v>
      </c>
      <c r="U145" s="81"/>
      <c r="V145" s="106">
        <f t="shared" si="392"/>
        <v>43963</v>
      </c>
      <c r="W145" s="4">
        <f t="shared" si="393"/>
        <v>133</v>
      </c>
      <c r="X145" s="4">
        <f t="shared" si="394"/>
        <v>133</v>
      </c>
      <c r="Y145" s="4">
        <f t="shared" si="395"/>
        <v>133</v>
      </c>
      <c r="Z145" s="4">
        <f t="shared" si="396"/>
        <v>133</v>
      </c>
      <c r="AA145" s="4">
        <f t="shared" si="397"/>
        <v>133</v>
      </c>
    </row>
    <row r="146" spans="1:27" x14ac:dyDescent="0.35">
      <c r="A146" s="81"/>
      <c r="B146" s="90">
        <v>43964</v>
      </c>
      <c r="C146" s="105">
        <v>134</v>
      </c>
      <c r="D146" s="91">
        <f t="shared" ref="D146:D202" si="408">C146/C145-1</f>
        <v>7.5187969924812581E-3</v>
      </c>
      <c r="E146" s="81"/>
      <c r="F146" s="90">
        <v>43964</v>
      </c>
      <c r="G146" s="105">
        <v>134</v>
      </c>
      <c r="H146" s="91">
        <f t="shared" ref="H146:H202" si="409">G146/G145-1</f>
        <v>7.5187969924812581E-3</v>
      </c>
      <c r="I146" s="81"/>
      <c r="J146" s="90">
        <v>43964</v>
      </c>
      <c r="K146" s="105">
        <v>134</v>
      </c>
      <c r="L146" s="91">
        <f t="shared" ref="L146:L202" si="410">K146/K145-1</f>
        <v>7.5187969924812581E-3</v>
      </c>
      <c r="M146" s="81"/>
      <c r="N146" s="90">
        <v>43964</v>
      </c>
      <c r="O146" s="105">
        <v>134</v>
      </c>
      <c r="P146" s="91">
        <f t="shared" ref="P146:P202" si="411">O146/O145-1</f>
        <v>7.5187969924812581E-3</v>
      </c>
      <c r="Q146" s="81"/>
      <c r="R146" s="90">
        <v>43964</v>
      </c>
      <c r="S146" s="105">
        <v>134</v>
      </c>
      <c r="T146" s="91">
        <f t="shared" ref="T146:T202" si="412">S146/S145-1</f>
        <v>7.5187969924812581E-3</v>
      </c>
      <c r="U146" s="81"/>
      <c r="V146" s="106">
        <f t="shared" si="392"/>
        <v>43964</v>
      </c>
      <c r="W146" s="4">
        <f t="shared" si="393"/>
        <v>134</v>
      </c>
      <c r="X146" s="4">
        <f t="shared" si="394"/>
        <v>134</v>
      </c>
      <c r="Y146" s="4">
        <f t="shared" si="395"/>
        <v>134</v>
      </c>
      <c r="Z146" s="4">
        <f t="shared" si="396"/>
        <v>134</v>
      </c>
      <c r="AA146" s="4">
        <f t="shared" si="397"/>
        <v>134</v>
      </c>
    </row>
    <row r="147" spans="1:27" x14ac:dyDescent="0.35">
      <c r="A147" s="81"/>
      <c r="B147" s="88">
        <v>43965</v>
      </c>
      <c r="C147" s="104">
        <v>135</v>
      </c>
      <c r="D147" s="92">
        <f t="shared" ref="D147:D203" si="413">C147/(C146)-1</f>
        <v>7.4626865671640896E-3</v>
      </c>
      <c r="E147" s="81"/>
      <c r="F147" s="88">
        <v>43965</v>
      </c>
      <c r="G147" s="104">
        <v>135</v>
      </c>
      <c r="H147" s="92">
        <f t="shared" ref="H147:H203" si="414">G147/(G146)-1</f>
        <v>7.4626865671640896E-3</v>
      </c>
      <c r="I147" s="81"/>
      <c r="J147" s="88">
        <v>43965</v>
      </c>
      <c r="K147" s="104">
        <v>135</v>
      </c>
      <c r="L147" s="92">
        <f t="shared" ref="L147:L203" si="415">K147/(K146)-1</f>
        <v>7.4626865671640896E-3</v>
      </c>
      <c r="M147" s="81"/>
      <c r="N147" s="88">
        <v>43965</v>
      </c>
      <c r="O147" s="104">
        <v>135</v>
      </c>
      <c r="P147" s="92">
        <f t="shared" ref="P147:P203" si="416">O147/(O146)-1</f>
        <v>7.4626865671640896E-3</v>
      </c>
      <c r="Q147" s="81"/>
      <c r="R147" s="88">
        <v>43965</v>
      </c>
      <c r="S147" s="104">
        <v>135</v>
      </c>
      <c r="T147" s="92">
        <f t="shared" ref="T147:T203" si="417">S147/(S146)-1</f>
        <v>7.4626865671640896E-3</v>
      </c>
      <c r="U147" s="81"/>
      <c r="V147" s="106">
        <f t="shared" si="392"/>
        <v>43965</v>
      </c>
      <c r="W147" s="4">
        <f t="shared" si="393"/>
        <v>135</v>
      </c>
      <c r="X147" s="4">
        <f t="shared" si="394"/>
        <v>135</v>
      </c>
      <c r="Y147" s="4">
        <f t="shared" si="395"/>
        <v>135</v>
      </c>
      <c r="Z147" s="4">
        <f t="shared" si="396"/>
        <v>135</v>
      </c>
      <c r="AA147" s="4">
        <f t="shared" si="397"/>
        <v>135</v>
      </c>
    </row>
    <row r="148" spans="1:27" x14ac:dyDescent="0.35">
      <c r="A148" s="81"/>
      <c r="B148" s="90">
        <v>43966</v>
      </c>
      <c r="C148" s="105">
        <v>136</v>
      </c>
      <c r="D148" s="91">
        <f t="shared" ref="D148:D204" si="418">C148/C147-1</f>
        <v>7.4074074074073071E-3</v>
      </c>
      <c r="E148" s="81"/>
      <c r="F148" s="90">
        <v>43966</v>
      </c>
      <c r="G148" s="105">
        <v>136</v>
      </c>
      <c r="H148" s="91">
        <f t="shared" ref="H148:H204" si="419">G148/G147-1</f>
        <v>7.4074074074073071E-3</v>
      </c>
      <c r="I148" s="81"/>
      <c r="J148" s="90">
        <v>43966</v>
      </c>
      <c r="K148" s="105">
        <v>136</v>
      </c>
      <c r="L148" s="91">
        <f t="shared" ref="L148:L204" si="420">K148/K147-1</f>
        <v>7.4074074074073071E-3</v>
      </c>
      <c r="M148" s="81"/>
      <c r="N148" s="90">
        <v>43966</v>
      </c>
      <c r="O148" s="105">
        <v>136</v>
      </c>
      <c r="P148" s="91">
        <f t="shared" ref="P148:P204" si="421">O148/O147-1</f>
        <v>7.4074074074073071E-3</v>
      </c>
      <c r="Q148" s="81"/>
      <c r="R148" s="90">
        <v>43966</v>
      </c>
      <c r="S148" s="105">
        <v>136</v>
      </c>
      <c r="T148" s="91">
        <f t="shared" ref="T148:T204" si="422">S148/S147-1</f>
        <v>7.4074074074073071E-3</v>
      </c>
      <c r="U148" s="81"/>
      <c r="V148" s="106">
        <f t="shared" si="392"/>
        <v>43966</v>
      </c>
      <c r="W148" s="4">
        <f t="shared" si="393"/>
        <v>136</v>
      </c>
      <c r="X148" s="4">
        <f t="shared" si="394"/>
        <v>136</v>
      </c>
      <c r="Y148" s="4">
        <f t="shared" si="395"/>
        <v>136</v>
      </c>
      <c r="Z148" s="4">
        <f t="shared" si="396"/>
        <v>136</v>
      </c>
      <c r="AA148" s="4">
        <f t="shared" si="397"/>
        <v>136</v>
      </c>
    </row>
    <row r="149" spans="1:27" x14ac:dyDescent="0.35">
      <c r="A149" s="81"/>
      <c r="B149" s="88">
        <v>43967</v>
      </c>
      <c r="C149" s="104">
        <v>137</v>
      </c>
      <c r="D149" s="92">
        <f t="shared" ref="D149:D205" si="423">C149/(C148)-1</f>
        <v>7.3529411764705621E-3</v>
      </c>
      <c r="E149" s="81"/>
      <c r="F149" s="88">
        <v>43967</v>
      </c>
      <c r="G149" s="104">
        <v>137</v>
      </c>
      <c r="H149" s="92">
        <f t="shared" ref="H149:H205" si="424">G149/(G148)-1</f>
        <v>7.3529411764705621E-3</v>
      </c>
      <c r="I149" s="81"/>
      <c r="J149" s="88">
        <v>43967</v>
      </c>
      <c r="K149" s="104">
        <v>137</v>
      </c>
      <c r="L149" s="92">
        <f t="shared" ref="L149:L205" si="425">K149/(K148)-1</f>
        <v>7.3529411764705621E-3</v>
      </c>
      <c r="M149" s="81"/>
      <c r="N149" s="88">
        <v>43967</v>
      </c>
      <c r="O149" s="104">
        <v>137</v>
      </c>
      <c r="P149" s="92">
        <f t="shared" ref="P149:P205" si="426">O149/(O148)-1</f>
        <v>7.3529411764705621E-3</v>
      </c>
      <c r="Q149" s="81"/>
      <c r="R149" s="88">
        <v>43967</v>
      </c>
      <c r="S149" s="104">
        <v>137</v>
      </c>
      <c r="T149" s="92">
        <f t="shared" ref="T149:T205" si="427">S149/(S148)-1</f>
        <v>7.3529411764705621E-3</v>
      </c>
      <c r="U149" s="81"/>
      <c r="V149" s="106">
        <f t="shared" si="392"/>
        <v>43967</v>
      </c>
      <c r="W149" s="4">
        <f t="shared" si="393"/>
        <v>137</v>
      </c>
      <c r="X149" s="4">
        <f t="shared" si="394"/>
        <v>137</v>
      </c>
      <c r="Y149" s="4">
        <f t="shared" si="395"/>
        <v>137</v>
      </c>
      <c r="Z149" s="4">
        <f t="shared" si="396"/>
        <v>137</v>
      </c>
      <c r="AA149" s="4">
        <f t="shared" si="397"/>
        <v>137</v>
      </c>
    </row>
    <row r="150" spans="1:27" x14ac:dyDescent="0.35">
      <c r="A150" s="81"/>
      <c r="B150" s="90">
        <v>43968</v>
      </c>
      <c r="C150" s="105">
        <v>138</v>
      </c>
      <c r="D150" s="91">
        <f t="shared" ref="D150:D206" si="428">C150/C149-1</f>
        <v>7.2992700729928028E-3</v>
      </c>
      <c r="E150" s="81"/>
      <c r="F150" s="90">
        <v>43968</v>
      </c>
      <c r="G150" s="105">
        <v>138</v>
      </c>
      <c r="H150" s="91">
        <f t="shared" ref="H150:H206" si="429">G150/G149-1</f>
        <v>7.2992700729928028E-3</v>
      </c>
      <c r="I150" s="81"/>
      <c r="J150" s="90">
        <v>43968</v>
      </c>
      <c r="K150" s="105">
        <v>138</v>
      </c>
      <c r="L150" s="91">
        <f t="shared" ref="L150:L206" si="430">K150/K149-1</f>
        <v>7.2992700729928028E-3</v>
      </c>
      <c r="M150" s="81"/>
      <c r="N150" s="90">
        <v>43968</v>
      </c>
      <c r="O150" s="105">
        <v>138</v>
      </c>
      <c r="P150" s="91">
        <f t="shared" ref="P150:P206" si="431">O150/O149-1</f>
        <v>7.2992700729928028E-3</v>
      </c>
      <c r="Q150" s="81"/>
      <c r="R150" s="90">
        <v>43968</v>
      </c>
      <c r="S150" s="105">
        <v>138</v>
      </c>
      <c r="T150" s="91">
        <f t="shared" ref="T150:T206" si="432">S150/S149-1</f>
        <v>7.2992700729928028E-3</v>
      </c>
      <c r="U150" s="81"/>
      <c r="V150" s="106">
        <f t="shared" si="392"/>
        <v>43968</v>
      </c>
      <c r="W150" s="4">
        <f t="shared" si="393"/>
        <v>138</v>
      </c>
      <c r="X150" s="4">
        <f t="shared" si="394"/>
        <v>138</v>
      </c>
      <c r="Y150" s="4">
        <f t="shared" si="395"/>
        <v>138</v>
      </c>
      <c r="Z150" s="4">
        <f t="shared" si="396"/>
        <v>138</v>
      </c>
      <c r="AA150" s="4">
        <f t="shared" si="397"/>
        <v>138</v>
      </c>
    </row>
    <row r="151" spans="1:27" x14ac:dyDescent="0.35">
      <c r="A151" s="81"/>
      <c r="B151" s="88">
        <v>43969</v>
      </c>
      <c r="C151" s="104">
        <v>139</v>
      </c>
      <c r="D151" s="92">
        <f t="shared" ref="D151:D207" si="433">C151/(C150)-1</f>
        <v>7.2463768115942351E-3</v>
      </c>
      <c r="E151" s="81"/>
      <c r="F151" s="88">
        <v>43969</v>
      </c>
      <c r="G151" s="104">
        <v>139</v>
      </c>
      <c r="H151" s="92">
        <f t="shared" ref="H151:H207" si="434">G151/(G150)-1</f>
        <v>7.2463768115942351E-3</v>
      </c>
      <c r="I151" s="81"/>
      <c r="J151" s="88">
        <v>43969</v>
      </c>
      <c r="K151" s="104">
        <v>139</v>
      </c>
      <c r="L151" s="92">
        <f t="shared" ref="L151:L207" si="435">K151/(K150)-1</f>
        <v>7.2463768115942351E-3</v>
      </c>
      <c r="M151" s="81"/>
      <c r="N151" s="88">
        <v>43969</v>
      </c>
      <c r="O151" s="104">
        <v>139</v>
      </c>
      <c r="P151" s="92">
        <f t="shared" ref="P151:P207" si="436">O151/(O150)-1</f>
        <v>7.2463768115942351E-3</v>
      </c>
      <c r="Q151" s="81"/>
      <c r="R151" s="88">
        <v>43969</v>
      </c>
      <c r="S151" s="104">
        <v>139</v>
      </c>
      <c r="T151" s="92">
        <f t="shared" ref="T151:T207" si="437">S151/(S150)-1</f>
        <v>7.2463768115942351E-3</v>
      </c>
      <c r="U151" s="81"/>
      <c r="V151" s="106">
        <f t="shared" si="392"/>
        <v>43969</v>
      </c>
      <c r="W151" s="4">
        <f t="shared" si="393"/>
        <v>139</v>
      </c>
      <c r="X151" s="4">
        <f t="shared" si="394"/>
        <v>139</v>
      </c>
      <c r="Y151" s="4">
        <f t="shared" si="395"/>
        <v>139</v>
      </c>
      <c r="Z151" s="4">
        <f t="shared" si="396"/>
        <v>139</v>
      </c>
      <c r="AA151" s="4">
        <f t="shared" si="397"/>
        <v>139</v>
      </c>
    </row>
    <row r="152" spans="1:27" x14ac:dyDescent="0.35">
      <c r="A152" s="81"/>
      <c r="B152" s="90">
        <v>43970</v>
      </c>
      <c r="C152" s="105">
        <v>140</v>
      </c>
      <c r="D152" s="91">
        <f t="shared" ref="D152:D208" si="438">C152/C151-1</f>
        <v>7.194244604316502E-3</v>
      </c>
      <c r="E152" s="81"/>
      <c r="F152" s="90">
        <v>43970</v>
      </c>
      <c r="G152" s="105">
        <v>140</v>
      </c>
      <c r="H152" s="91">
        <f t="shared" ref="H152:H208" si="439">G152/G151-1</f>
        <v>7.194244604316502E-3</v>
      </c>
      <c r="I152" s="81"/>
      <c r="J152" s="90">
        <v>43970</v>
      </c>
      <c r="K152" s="105">
        <v>140</v>
      </c>
      <c r="L152" s="91">
        <f t="shared" ref="L152:L208" si="440">K152/K151-1</f>
        <v>7.194244604316502E-3</v>
      </c>
      <c r="M152" s="81"/>
      <c r="N152" s="90">
        <v>43970</v>
      </c>
      <c r="O152" s="105">
        <v>140</v>
      </c>
      <c r="P152" s="91">
        <f t="shared" ref="P152:P208" si="441">O152/O151-1</f>
        <v>7.194244604316502E-3</v>
      </c>
      <c r="Q152" s="81"/>
      <c r="R152" s="90">
        <v>43970</v>
      </c>
      <c r="S152" s="105">
        <v>140</v>
      </c>
      <c r="T152" s="91">
        <f t="shared" ref="T152:T208" si="442">S152/S151-1</f>
        <v>7.194244604316502E-3</v>
      </c>
      <c r="U152" s="81"/>
      <c r="V152" s="106">
        <f t="shared" si="392"/>
        <v>43970</v>
      </c>
      <c r="W152" s="4">
        <f t="shared" si="393"/>
        <v>140</v>
      </c>
      <c r="X152" s="4">
        <f t="shared" si="394"/>
        <v>140</v>
      </c>
      <c r="Y152" s="4">
        <f t="shared" si="395"/>
        <v>140</v>
      </c>
      <c r="Z152" s="4">
        <f t="shared" si="396"/>
        <v>140</v>
      </c>
      <c r="AA152" s="4">
        <f t="shared" si="397"/>
        <v>140</v>
      </c>
    </row>
    <row r="153" spans="1:27" x14ac:dyDescent="0.35">
      <c r="A153" s="81"/>
      <c r="B153" s="88">
        <v>43971</v>
      </c>
      <c r="C153" s="104">
        <v>141</v>
      </c>
      <c r="D153" s="92">
        <f t="shared" ref="D153:D209" si="443">C153/(C152)-1</f>
        <v>7.1428571428571175E-3</v>
      </c>
      <c r="E153" s="81"/>
      <c r="F153" s="88">
        <v>43971</v>
      </c>
      <c r="G153" s="104">
        <v>141</v>
      </c>
      <c r="H153" s="92">
        <f t="shared" ref="H153:H209" si="444">G153/(G152)-1</f>
        <v>7.1428571428571175E-3</v>
      </c>
      <c r="I153" s="81"/>
      <c r="J153" s="88">
        <v>43971</v>
      </c>
      <c r="K153" s="104">
        <v>141</v>
      </c>
      <c r="L153" s="92">
        <f t="shared" ref="L153:L209" si="445">K153/(K152)-1</f>
        <v>7.1428571428571175E-3</v>
      </c>
      <c r="M153" s="81"/>
      <c r="N153" s="88">
        <v>43971</v>
      </c>
      <c r="O153" s="104">
        <v>141</v>
      </c>
      <c r="P153" s="92">
        <f t="shared" ref="P153:P209" si="446">O153/(O152)-1</f>
        <v>7.1428571428571175E-3</v>
      </c>
      <c r="Q153" s="81"/>
      <c r="R153" s="88">
        <v>43971</v>
      </c>
      <c r="S153" s="104">
        <v>141</v>
      </c>
      <c r="T153" s="92">
        <f t="shared" ref="T153:T209" si="447">S153/(S152)-1</f>
        <v>7.1428571428571175E-3</v>
      </c>
      <c r="U153" s="81"/>
      <c r="V153" s="106">
        <f t="shared" si="392"/>
        <v>43971</v>
      </c>
      <c r="W153" s="4">
        <f t="shared" si="393"/>
        <v>141</v>
      </c>
      <c r="X153" s="4">
        <f t="shared" si="394"/>
        <v>141</v>
      </c>
      <c r="Y153" s="4">
        <f t="shared" si="395"/>
        <v>141</v>
      </c>
      <c r="Z153" s="4">
        <f t="shared" si="396"/>
        <v>141</v>
      </c>
      <c r="AA153" s="4">
        <f t="shared" si="397"/>
        <v>141</v>
      </c>
    </row>
    <row r="154" spans="1:27" x14ac:dyDescent="0.35">
      <c r="A154" s="81"/>
      <c r="B154" s="90">
        <v>43972</v>
      </c>
      <c r="C154" s="105">
        <v>142</v>
      </c>
      <c r="D154" s="91">
        <f t="shared" ref="D154" si="448">C154/C153-1</f>
        <v>7.0921985815601829E-3</v>
      </c>
      <c r="E154" s="81"/>
      <c r="F154" s="90">
        <v>43972</v>
      </c>
      <c r="G154" s="105">
        <v>142</v>
      </c>
      <c r="H154" s="91">
        <f t="shared" ref="H154" si="449">G154/G153-1</f>
        <v>7.0921985815601829E-3</v>
      </c>
      <c r="I154" s="81"/>
      <c r="J154" s="90">
        <v>43972</v>
      </c>
      <c r="K154" s="105">
        <v>142</v>
      </c>
      <c r="L154" s="91">
        <f t="shared" ref="L154" si="450">K154/K153-1</f>
        <v>7.0921985815601829E-3</v>
      </c>
      <c r="M154" s="81"/>
      <c r="N154" s="90">
        <v>43972</v>
      </c>
      <c r="O154" s="105">
        <v>142</v>
      </c>
      <c r="P154" s="91">
        <f t="shared" ref="P154" si="451">O154/O153-1</f>
        <v>7.0921985815601829E-3</v>
      </c>
      <c r="Q154" s="81"/>
      <c r="R154" s="90">
        <v>43972</v>
      </c>
      <c r="S154" s="105">
        <v>142</v>
      </c>
      <c r="T154" s="91">
        <f t="shared" ref="T154" si="452">S154/S153-1</f>
        <v>7.0921985815601829E-3</v>
      </c>
      <c r="U154" s="81"/>
      <c r="V154" s="106">
        <f t="shared" si="392"/>
        <v>43972</v>
      </c>
      <c r="W154" s="4">
        <f t="shared" si="393"/>
        <v>142</v>
      </c>
      <c r="X154" s="4">
        <f t="shared" si="394"/>
        <v>142</v>
      </c>
      <c r="Y154" s="4">
        <f t="shared" si="395"/>
        <v>142</v>
      </c>
      <c r="Z154" s="4">
        <f t="shared" si="396"/>
        <v>142</v>
      </c>
      <c r="AA154" s="4">
        <f t="shared" si="397"/>
        <v>142</v>
      </c>
    </row>
    <row r="155" spans="1:27" x14ac:dyDescent="0.35">
      <c r="A155" s="81"/>
      <c r="B155" s="88">
        <v>43973</v>
      </c>
      <c r="C155" s="104">
        <v>143</v>
      </c>
      <c r="D155" s="92">
        <f t="shared" ref="D155" si="453">C155/(C154)-1</f>
        <v>7.0422535211267512E-3</v>
      </c>
      <c r="E155" s="81"/>
      <c r="F155" s="88">
        <v>43973</v>
      </c>
      <c r="G155" s="104">
        <v>143</v>
      </c>
      <c r="H155" s="92">
        <f t="shared" ref="H155" si="454">G155/(G154)-1</f>
        <v>7.0422535211267512E-3</v>
      </c>
      <c r="I155" s="81"/>
      <c r="J155" s="88">
        <v>43973</v>
      </c>
      <c r="K155" s="104">
        <v>143</v>
      </c>
      <c r="L155" s="92">
        <f t="shared" ref="L155" si="455">K155/(K154)-1</f>
        <v>7.0422535211267512E-3</v>
      </c>
      <c r="M155" s="81"/>
      <c r="N155" s="88">
        <v>43973</v>
      </c>
      <c r="O155" s="104">
        <v>143</v>
      </c>
      <c r="P155" s="92">
        <f t="shared" ref="P155" si="456">O155/(O154)-1</f>
        <v>7.0422535211267512E-3</v>
      </c>
      <c r="Q155" s="81"/>
      <c r="R155" s="88">
        <v>43973</v>
      </c>
      <c r="S155" s="104">
        <v>143</v>
      </c>
      <c r="T155" s="92">
        <f t="shared" ref="T155" si="457">S155/(S154)-1</f>
        <v>7.0422535211267512E-3</v>
      </c>
      <c r="U155" s="81"/>
      <c r="V155" s="106">
        <f t="shared" si="392"/>
        <v>43973</v>
      </c>
      <c r="W155" s="4">
        <f t="shared" si="393"/>
        <v>143</v>
      </c>
      <c r="X155" s="4">
        <f t="shared" si="394"/>
        <v>143</v>
      </c>
      <c r="Y155" s="4">
        <f t="shared" si="395"/>
        <v>143</v>
      </c>
      <c r="Z155" s="4">
        <f t="shared" si="396"/>
        <v>143</v>
      </c>
      <c r="AA155" s="4">
        <f t="shared" si="397"/>
        <v>143</v>
      </c>
    </row>
    <row r="156" spans="1:27" x14ac:dyDescent="0.35">
      <c r="A156" s="81"/>
      <c r="B156" s="90">
        <v>43974</v>
      </c>
      <c r="C156" s="105">
        <v>144</v>
      </c>
      <c r="D156" s="91">
        <f t="shared" si="312"/>
        <v>6.9930069930070893E-3</v>
      </c>
      <c r="E156" s="81"/>
      <c r="F156" s="90">
        <v>43974</v>
      </c>
      <c r="G156" s="105">
        <v>144</v>
      </c>
      <c r="H156" s="91">
        <f t="shared" si="313"/>
        <v>6.9930069930070893E-3</v>
      </c>
      <c r="I156" s="81"/>
      <c r="J156" s="90">
        <v>43974</v>
      </c>
      <c r="K156" s="105">
        <v>144</v>
      </c>
      <c r="L156" s="91">
        <f t="shared" si="314"/>
        <v>6.9930069930070893E-3</v>
      </c>
      <c r="M156" s="81"/>
      <c r="N156" s="90">
        <v>43974</v>
      </c>
      <c r="O156" s="105">
        <v>144</v>
      </c>
      <c r="P156" s="91">
        <f t="shared" si="315"/>
        <v>6.9930069930070893E-3</v>
      </c>
      <c r="Q156" s="81"/>
      <c r="R156" s="90">
        <v>43974</v>
      </c>
      <c r="S156" s="105">
        <v>144</v>
      </c>
      <c r="T156" s="91">
        <f t="shared" si="316"/>
        <v>6.9930069930070893E-3</v>
      </c>
      <c r="U156" s="81"/>
      <c r="V156" s="106">
        <f t="shared" si="392"/>
        <v>43974</v>
      </c>
      <c r="W156" s="4">
        <f t="shared" si="393"/>
        <v>144</v>
      </c>
      <c r="X156" s="4">
        <f t="shared" si="394"/>
        <v>144</v>
      </c>
      <c r="Y156" s="4">
        <f t="shared" si="395"/>
        <v>144</v>
      </c>
      <c r="Z156" s="4">
        <f t="shared" si="396"/>
        <v>144</v>
      </c>
      <c r="AA156" s="4">
        <f t="shared" si="397"/>
        <v>144</v>
      </c>
    </row>
    <row r="157" spans="1:27" x14ac:dyDescent="0.35">
      <c r="A157" s="81"/>
      <c r="B157" s="88">
        <v>43975</v>
      </c>
      <c r="C157" s="104">
        <v>145</v>
      </c>
      <c r="D157" s="92">
        <f t="shared" si="317"/>
        <v>6.9444444444444198E-3</v>
      </c>
      <c r="E157" s="81"/>
      <c r="F157" s="88">
        <v>43975</v>
      </c>
      <c r="G157" s="104">
        <v>145</v>
      </c>
      <c r="H157" s="92">
        <f t="shared" si="318"/>
        <v>6.9444444444444198E-3</v>
      </c>
      <c r="I157" s="81"/>
      <c r="J157" s="88">
        <v>43975</v>
      </c>
      <c r="K157" s="104">
        <v>145</v>
      </c>
      <c r="L157" s="92">
        <f t="shared" si="319"/>
        <v>6.9444444444444198E-3</v>
      </c>
      <c r="M157" s="81"/>
      <c r="N157" s="88">
        <v>43975</v>
      </c>
      <c r="O157" s="104">
        <v>145</v>
      </c>
      <c r="P157" s="92">
        <f t="shared" si="320"/>
        <v>6.9444444444444198E-3</v>
      </c>
      <c r="Q157" s="81"/>
      <c r="R157" s="88">
        <v>43975</v>
      </c>
      <c r="S157" s="104">
        <v>145</v>
      </c>
      <c r="T157" s="92">
        <f t="shared" si="321"/>
        <v>6.9444444444444198E-3</v>
      </c>
      <c r="U157" s="81"/>
      <c r="V157" s="106">
        <f t="shared" si="392"/>
        <v>43975</v>
      </c>
      <c r="W157" s="4">
        <f t="shared" si="393"/>
        <v>145</v>
      </c>
      <c r="X157" s="4">
        <f t="shared" si="394"/>
        <v>145</v>
      </c>
      <c r="Y157" s="4">
        <f t="shared" si="395"/>
        <v>145</v>
      </c>
      <c r="Z157" s="4">
        <f t="shared" si="396"/>
        <v>145</v>
      </c>
      <c r="AA157" s="4">
        <f t="shared" si="397"/>
        <v>145</v>
      </c>
    </row>
    <row r="158" spans="1:27" x14ac:dyDescent="0.35">
      <c r="A158" s="81"/>
      <c r="B158" s="90">
        <v>43976</v>
      </c>
      <c r="C158" s="105">
        <v>146</v>
      </c>
      <c r="D158" s="91">
        <f t="shared" si="322"/>
        <v>6.8965517241379448E-3</v>
      </c>
      <c r="E158" s="81"/>
      <c r="F158" s="90">
        <v>43976</v>
      </c>
      <c r="G158" s="105">
        <v>146</v>
      </c>
      <c r="H158" s="91">
        <f t="shared" si="323"/>
        <v>6.8965517241379448E-3</v>
      </c>
      <c r="I158" s="81"/>
      <c r="J158" s="90">
        <v>43976</v>
      </c>
      <c r="K158" s="105">
        <v>146</v>
      </c>
      <c r="L158" s="91">
        <f t="shared" si="324"/>
        <v>6.8965517241379448E-3</v>
      </c>
      <c r="M158" s="81"/>
      <c r="N158" s="90">
        <v>43976</v>
      </c>
      <c r="O158" s="105">
        <v>146</v>
      </c>
      <c r="P158" s="91">
        <f t="shared" si="325"/>
        <v>6.8965517241379448E-3</v>
      </c>
      <c r="Q158" s="81"/>
      <c r="R158" s="90">
        <v>43976</v>
      </c>
      <c r="S158" s="105">
        <v>146</v>
      </c>
      <c r="T158" s="91">
        <f t="shared" si="326"/>
        <v>6.8965517241379448E-3</v>
      </c>
      <c r="U158" s="81"/>
      <c r="V158" s="106">
        <f t="shared" si="392"/>
        <v>43976</v>
      </c>
      <c r="W158" s="4">
        <f t="shared" si="393"/>
        <v>146</v>
      </c>
      <c r="X158" s="4">
        <f t="shared" si="394"/>
        <v>146</v>
      </c>
      <c r="Y158" s="4">
        <f t="shared" si="395"/>
        <v>146</v>
      </c>
      <c r="Z158" s="4">
        <f t="shared" si="396"/>
        <v>146</v>
      </c>
      <c r="AA158" s="4">
        <f t="shared" si="397"/>
        <v>146</v>
      </c>
    </row>
    <row r="159" spans="1:27" x14ac:dyDescent="0.35">
      <c r="A159" s="81"/>
      <c r="B159" s="88">
        <v>43977</v>
      </c>
      <c r="C159" s="104">
        <v>147</v>
      </c>
      <c r="D159" s="92">
        <f t="shared" si="327"/>
        <v>6.8493150684931781E-3</v>
      </c>
      <c r="E159" s="81"/>
      <c r="F159" s="88">
        <v>43977</v>
      </c>
      <c r="G159" s="104">
        <v>147</v>
      </c>
      <c r="H159" s="92">
        <f t="shared" si="328"/>
        <v>6.8493150684931781E-3</v>
      </c>
      <c r="I159" s="81"/>
      <c r="J159" s="88">
        <v>43977</v>
      </c>
      <c r="K159" s="104">
        <v>147</v>
      </c>
      <c r="L159" s="92">
        <f t="shared" si="329"/>
        <v>6.8493150684931781E-3</v>
      </c>
      <c r="M159" s="81"/>
      <c r="N159" s="88">
        <v>43977</v>
      </c>
      <c r="O159" s="104">
        <v>147</v>
      </c>
      <c r="P159" s="92">
        <f t="shared" si="330"/>
        <v>6.8493150684931781E-3</v>
      </c>
      <c r="Q159" s="81"/>
      <c r="R159" s="88">
        <v>43977</v>
      </c>
      <c r="S159" s="104">
        <v>147</v>
      </c>
      <c r="T159" s="92">
        <f t="shared" si="331"/>
        <v>6.8493150684931781E-3</v>
      </c>
      <c r="U159" s="81"/>
      <c r="V159" s="106">
        <f t="shared" si="392"/>
        <v>43977</v>
      </c>
      <c r="W159" s="4">
        <f t="shared" si="393"/>
        <v>147</v>
      </c>
      <c r="X159" s="4">
        <f t="shared" si="394"/>
        <v>147</v>
      </c>
      <c r="Y159" s="4">
        <f t="shared" si="395"/>
        <v>147</v>
      </c>
      <c r="Z159" s="4">
        <f t="shared" si="396"/>
        <v>147</v>
      </c>
      <c r="AA159" s="4">
        <f t="shared" si="397"/>
        <v>147</v>
      </c>
    </row>
    <row r="160" spans="1:27" x14ac:dyDescent="0.35">
      <c r="A160" s="81"/>
      <c r="B160" s="90">
        <v>43978</v>
      </c>
      <c r="C160" s="105">
        <v>148</v>
      </c>
      <c r="D160" s="91">
        <f t="shared" si="332"/>
        <v>6.8027210884353817E-3</v>
      </c>
      <c r="E160" s="81"/>
      <c r="F160" s="90">
        <v>43978</v>
      </c>
      <c r="G160" s="105">
        <v>148</v>
      </c>
      <c r="H160" s="91">
        <f t="shared" si="333"/>
        <v>6.8027210884353817E-3</v>
      </c>
      <c r="I160" s="81"/>
      <c r="J160" s="90">
        <v>43978</v>
      </c>
      <c r="K160" s="105">
        <v>148</v>
      </c>
      <c r="L160" s="91">
        <f t="shared" si="334"/>
        <v>6.8027210884353817E-3</v>
      </c>
      <c r="M160" s="81"/>
      <c r="N160" s="90">
        <v>43978</v>
      </c>
      <c r="O160" s="105">
        <v>148</v>
      </c>
      <c r="P160" s="91">
        <f t="shared" si="335"/>
        <v>6.8027210884353817E-3</v>
      </c>
      <c r="Q160" s="81"/>
      <c r="R160" s="90">
        <v>43978</v>
      </c>
      <c r="S160" s="105">
        <v>148</v>
      </c>
      <c r="T160" s="91">
        <f t="shared" si="336"/>
        <v>6.8027210884353817E-3</v>
      </c>
      <c r="U160" s="81"/>
      <c r="V160" s="106">
        <f t="shared" si="392"/>
        <v>43978</v>
      </c>
      <c r="W160" s="4">
        <f t="shared" si="393"/>
        <v>148</v>
      </c>
      <c r="X160" s="4">
        <f t="shared" si="394"/>
        <v>148</v>
      </c>
      <c r="Y160" s="4">
        <f t="shared" si="395"/>
        <v>148</v>
      </c>
      <c r="Z160" s="4">
        <f t="shared" si="396"/>
        <v>148</v>
      </c>
      <c r="AA160" s="4">
        <f t="shared" si="397"/>
        <v>148</v>
      </c>
    </row>
    <row r="161" spans="1:27" x14ac:dyDescent="0.35">
      <c r="A161" s="81"/>
      <c r="B161" s="88">
        <v>43979</v>
      </c>
      <c r="C161" s="104">
        <v>149</v>
      </c>
      <c r="D161" s="92">
        <f t="shared" si="337"/>
        <v>6.7567567567567988E-3</v>
      </c>
      <c r="E161" s="81"/>
      <c r="F161" s="88">
        <v>43979</v>
      </c>
      <c r="G161" s="104">
        <v>149</v>
      </c>
      <c r="H161" s="92">
        <f t="shared" si="338"/>
        <v>6.7567567567567988E-3</v>
      </c>
      <c r="I161" s="81"/>
      <c r="J161" s="88">
        <v>43979</v>
      </c>
      <c r="K161" s="104">
        <v>149</v>
      </c>
      <c r="L161" s="92">
        <f t="shared" si="339"/>
        <v>6.7567567567567988E-3</v>
      </c>
      <c r="M161" s="81"/>
      <c r="N161" s="88">
        <v>43979</v>
      </c>
      <c r="O161" s="104">
        <v>149</v>
      </c>
      <c r="P161" s="92">
        <f t="shared" si="340"/>
        <v>6.7567567567567988E-3</v>
      </c>
      <c r="Q161" s="81"/>
      <c r="R161" s="88">
        <v>43979</v>
      </c>
      <c r="S161" s="104">
        <v>149</v>
      </c>
      <c r="T161" s="92">
        <f t="shared" si="341"/>
        <v>6.7567567567567988E-3</v>
      </c>
      <c r="U161" s="81"/>
      <c r="V161" s="106">
        <f t="shared" si="392"/>
        <v>43979</v>
      </c>
      <c r="W161" s="4">
        <f t="shared" si="393"/>
        <v>149</v>
      </c>
      <c r="X161" s="4">
        <f t="shared" si="394"/>
        <v>149</v>
      </c>
      <c r="Y161" s="4">
        <f t="shared" si="395"/>
        <v>149</v>
      </c>
      <c r="Z161" s="4">
        <f t="shared" si="396"/>
        <v>149</v>
      </c>
      <c r="AA161" s="4">
        <f t="shared" si="397"/>
        <v>149</v>
      </c>
    </row>
    <row r="162" spans="1:27" x14ac:dyDescent="0.35">
      <c r="A162" s="81"/>
      <c r="B162" s="90">
        <v>43980</v>
      </c>
      <c r="C162" s="105">
        <v>150</v>
      </c>
      <c r="D162" s="91">
        <f t="shared" si="342"/>
        <v>6.7114093959732557E-3</v>
      </c>
      <c r="E162" s="81"/>
      <c r="F162" s="90">
        <v>43980</v>
      </c>
      <c r="G162" s="105">
        <v>150</v>
      </c>
      <c r="H162" s="91">
        <f t="shared" si="343"/>
        <v>6.7114093959732557E-3</v>
      </c>
      <c r="I162" s="81"/>
      <c r="J162" s="90">
        <v>43980</v>
      </c>
      <c r="K162" s="105">
        <v>150</v>
      </c>
      <c r="L162" s="91">
        <f t="shared" si="344"/>
        <v>6.7114093959732557E-3</v>
      </c>
      <c r="M162" s="81"/>
      <c r="N162" s="90">
        <v>43980</v>
      </c>
      <c r="O162" s="105">
        <v>150</v>
      </c>
      <c r="P162" s="91">
        <f t="shared" si="345"/>
        <v>6.7114093959732557E-3</v>
      </c>
      <c r="Q162" s="81"/>
      <c r="R162" s="90">
        <v>43980</v>
      </c>
      <c r="S162" s="105">
        <v>150</v>
      </c>
      <c r="T162" s="91">
        <f t="shared" si="346"/>
        <v>6.7114093959732557E-3</v>
      </c>
      <c r="U162" s="81"/>
      <c r="V162" s="106">
        <f t="shared" si="392"/>
        <v>43980</v>
      </c>
      <c r="W162" s="4">
        <f t="shared" si="393"/>
        <v>150</v>
      </c>
      <c r="X162" s="4">
        <f t="shared" si="394"/>
        <v>150</v>
      </c>
      <c r="Y162" s="4">
        <f t="shared" si="395"/>
        <v>150</v>
      </c>
      <c r="Z162" s="4">
        <f t="shared" si="396"/>
        <v>150</v>
      </c>
      <c r="AA162" s="4">
        <f t="shared" si="397"/>
        <v>150</v>
      </c>
    </row>
    <row r="163" spans="1:27" x14ac:dyDescent="0.35">
      <c r="A163" s="81"/>
      <c r="B163" s="88">
        <v>43981</v>
      </c>
      <c r="C163" s="104">
        <v>151</v>
      </c>
      <c r="D163" s="92">
        <f t="shared" si="347"/>
        <v>6.6666666666665986E-3</v>
      </c>
      <c r="E163" s="81"/>
      <c r="F163" s="88">
        <v>43981</v>
      </c>
      <c r="G163" s="104">
        <v>151</v>
      </c>
      <c r="H163" s="92">
        <f t="shared" si="348"/>
        <v>6.6666666666665986E-3</v>
      </c>
      <c r="I163" s="81"/>
      <c r="J163" s="88">
        <v>43981</v>
      </c>
      <c r="K163" s="104">
        <v>151</v>
      </c>
      <c r="L163" s="92">
        <f t="shared" si="349"/>
        <v>6.6666666666665986E-3</v>
      </c>
      <c r="M163" s="81"/>
      <c r="N163" s="88">
        <v>43981</v>
      </c>
      <c r="O163" s="104">
        <v>151</v>
      </c>
      <c r="P163" s="92">
        <f t="shared" si="350"/>
        <v>6.6666666666665986E-3</v>
      </c>
      <c r="Q163" s="81"/>
      <c r="R163" s="88">
        <v>43981</v>
      </c>
      <c r="S163" s="104">
        <v>151</v>
      </c>
      <c r="T163" s="92">
        <f t="shared" si="351"/>
        <v>6.6666666666665986E-3</v>
      </c>
      <c r="U163" s="81"/>
      <c r="V163" s="106">
        <f t="shared" si="392"/>
        <v>43981</v>
      </c>
      <c r="W163" s="4">
        <f t="shared" si="393"/>
        <v>151</v>
      </c>
      <c r="X163" s="4">
        <f t="shared" si="394"/>
        <v>151</v>
      </c>
      <c r="Y163" s="4">
        <f t="shared" si="395"/>
        <v>151</v>
      </c>
      <c r="Z163" s="4">
        <f t="shared" si="396"/>
        <v>151</v>
      </c>
      <c r="AA163" s="4">
        <f t="shared" si="397"/>
        <v>151</v>
      </c>
    </row>
    <row r="164" spans="1:27" x14ac:dyDescent="0.35">
      <c r="A164" s="81"/>
      <c r="B164" s="90">
        <v>43982</v>
      </c>
      <c r="C164" s="105">
        <v>152</v>
      </c>
      <c r="D164" s="91">
        <f t="shared" si="352"/>
        <v>6.6225165562914245E-3</v>
      </c>
      <c r="E164" s="81"/>
      <c r="F164" s="90">
        <v>43982</v>
      </c>
      <c r="G164" s="105">
        <v>152</v>
      </c>
      <c r="H164" s="91">
        <f t="shared" si="353"/>
        <v>6.6225165562914245E-3</v>
      </c>
      <c r="I164" s="81"/>
      <c r="J164" s="90">
        <v>43982</v>
      </c>
      <c r="K164" s="105">
        <v>152</v>
      </c>
      <c r="L164" s="91">
        <f t="shared" si="354"/>
        <v>6.6225165562914245E-3</v>
      </c>
      <c r="M164" s="81"/>
      <c r="N164" s="90">
        <v>43982</v>
      </c>
      <c r="O164" s="105">
        <v>152</v>
      </c>
      <c r="P164" s="91">
        <f t="shared" si="355"/>
        <v>6.6225165562914245E-3</v>
      </c>
      <c r="Q164" s="81"/>
      <c r="R164" s="90">
        <v>43982</v>
      </c>
      <c r="S164" s="105">
        <v>152</v>
      </c>
      <c r="T164" s="91">
        <f t="shared" si="356"/>
        <v>6.6225165562914245E-3</v>
      </c>
      <c r="U164" s="81"/>
      <c r="V164" s="106">
        <f t="shared" si="392"/>
        <v>43982</v>
      </c>
      <c r="W164" s="4">
        <f t="shared" si="393"/>
        <v>152</v>
      </c>
      <c r="X164" s="4">
        <f t="shared" si="394"/>
        <v>152</v>
      </c>
      <c r="Y164" s="4">
        <f t="shared" si="395"/>
        <v>152</v>
      </c>
      <c r="Z164" s="4">
        <f t="shared" si="396"/>
        <v>152</v>
      </c>
      <c r="AA164" s="4">
        <f t="shared" si="397"/>
        <v>152</v>
      </c>
    </row>
    <row r="165" spans="1:27" x14ac:dyDescent="0.35">
      <c r="A165" s="81"/>
      <c r="B165" s="88">
        <v>43983</v>
      </c>
      <c r="C165" s="104">
        <v>153</v>
      </c>
      <c r="D165" s="92">
        <f t="shared" si="357"/>
        <v>6.5789473684210176E-3</v>
      </c>
      <c r="E165" s="81"/>
      <c r="F165" s="88">
        <v>43983</v>
      </c>
      <c r="G165" s="104">
        <v>153</v>
      </c>
      <c r="H165" s="92">
        <f t="shared" si="358"/>
        <v>6.5789473684210176E-3</v>
      </c>
      <c r="I165" s="81"/>
      <c r="J165" s="88">
        <v>43983</v>
      </c>
      <c r="K165" s="104">
        <v>153</v>
      </c>
      <c r="L165" s="92">
        <f t="shared" si="359"/>
        <v>6.5789473684210176E-3</v>
      </c>
      <c r="M165" s="81"/>
      <c r="N165" s="88">
        <v>43983</v>
      </c>
      <c r="O165" s="104">
        <v>153</v>
      </c>
      <c r="P165" s="92">
        <f t="shared" si="360"/>
        <v>6.5789473684210176E-3</v>
      </c>
      <c r="Q165" s="81"/>
      <c r="R165" s="88">
        <v>43983</v>
      </c>
      <c r="S165" s="104">
        <v>153</v>
      </c>
      <c r="T165" s="92">
        <f t="shared" si="361"/>
        <v>6.5789473684210176E-3</v>
      </c>
      <c r="U165" s="81"/>
      <c r="V165" s="106">
        <f t="shared" si="392"/>
        <v>43983</v>
      </c>
      <c r="W165" s="4">
        <f t="shared" si="393"/>
        <v>153</v>
      </c>
      <c r="X165" s="4">
        <f t="shared" si="394"/>
        <v>153</v>
      </c>
      <c r="Y165" s="4">
        <f t="shared" si="395"/>
        <v>153</v>
      </c>
      <c r="Z165" s="4">
        <f t="shared" si="396"/>
        <v>153</v>
      </c>
      <c r="AA165" s="4">
        <f t="shared" si="397"/>
        <v>153</v>
      </c>
    </row>
    <row r="166" spans="1:27" x14ac:dyDescent="0.35">
      <c r="A166" s="81"/>
      <c r="B166" s="90">
        <v>43984</v>
      </c>
      <c r="C166" s="105">
        <v>154</v>
      </c>
      <c r="D166" s="91">
        <f t="shared" si="362"/>
        <v>6.5359477124182774E-3</v>
      </c>
      <c r="E166" s="81"/>
      <c r="F166" s="90">
        <v>43984</v>
      </c>
      <c r="G166" s="105">
        <v>154</v>
      </c>
      <c r="H166" s="91">
        <f t="shared" si="363"/>
        <v>6.5359477124182774E-3</v>
      </c>
      <c r="I166" s="81"/>
      <c r="J166" s="90">
        <v>43984</v>
      </c>
      <c r="K166" s="105">
        <v>154</v>
      </c>
      <c r="L166" s="91">
        <f t="shared" si="364"/>
        <v>6.5359477124182774E-3</v>
      </c>
      <c r="M166" s="81"/>
      <c r="N166" s="90">
        <v>43984</v>
      </c>
      <c r="O166" s="105">
        <v>154</v>
      </c>
      <c r="P166" s="91">
        <f t="shared" si="365"/>
        <v>6.5359477124182774E-3</v>
      </c>
      <c r="Q166" s="81"/>
      <c r="R166" s="90">
        <v>43984</v>
      </c>
      <c r="S166" s="105">
        <v>154</v>
      </c>
      <c r="T166" s="91">
        <f t="shared" si="366"/>
        <v>6.5359477124182774E-3</v>
      </c>
      <c r="U166" s="81"/>
      <c r="V166" s="106">
        <f t="shared" si="392"/>
        <v>43984</v>
      </c>
      <c r="W166" s="4">
        <f t="shared" si="393"/>
        <v>154</v>
      </c>
      <c r="X166" s="4">
        <f t="shared" si="394"/>
        <v>154</v>
      </c>
      <c r="Y166" s="4">
        <f t="shared" si="395"/>
        <v>154</v>
      </c>
      <c r="Z166" s="4">
        <f t="shared" si="396"/>
        <v>154</v>
      </c>
      <c r="AA166" s="4">
        <f t="shared" si="397"/>
        <v>154</v>
      </c>
    </row>
    <row r="167" spans="1:27" x14ac:dyDescent="0.35">
      <c r="A167" s="81"/>
      <c r="B167" s="88">
        <v>43985</v>
      </c>
      <c r="C167" s="104">
        <v>155</v>
      </c>
      <c r="D167" s="92">
        <f t="shared" si="367"/>
        <v>6.4935064935065512E-3</v>
      </c>
      <c r="E167" s="81"/>
      <c r="F167" s="88">
        <v>43985</v>
      </c>
      <c r="G167" s="104">
        <v>155</v>
      </c>
      <c r="H167" s="92">
        <f t="shared" si="368"/>
        <v>6.4935064935065512E-3</v>
      </c>
      <c r="I167" s="81"/>
      <c r="J167" s="88">
        <v>43985</v>
      </c>
      <c r="K167" s="104">
        <v>155</v>
      </c>
      <c r="L167" s="92">
        <f t="shared" si="369"/>
        <v>6.4935064935065512E-3</v>
      </c>
      <c r="M167" s="81"/>
      <c r="N167" s="88">
        <v>43985</v>
      </c>
      <c r="O167" s="104">
        <v>155</v>
      </c>
      <c r="P167" s="92">
        <f t="shared" si="370"/>
        <v>6.4935064935065512E-3</v>
      </c>
      <c r="Q167" s="81"/>
      <c r="R167" s="88">
        <v>43985</v>
      </c>
      <c r="S167" s="104">
        <v>155</v>
      </c>
      <c r="T167" s="92">
        <f t="shared" si="371"/>
        <v>6.4935064935065512E-3</v>
      </c>
      <c r="U167" s="81"/>
      <c r="V167" s="106">
        <f t="shared" si="392"/>
        <v>43985</v>
      </c>
      <c r="W167" s="4">
        <f t="shared" si="393"/>
        <v>155</v>
      </c>
      <c r="X167" s="4">
        <f t="shared" si="394"/>
        <v>155</v>
      </c>
      <c r="Y167" s="4">
        <f t="shared" si="395"/>
        <v>155</v>
      </c>
      <c r="Z167" s="4">
        <f t="shared" si="396"/>
        <v>155</v>
      </c>
      <c r="AA167" s="4">
        <f t="shared" si="397"/>
        <v>155</v>
      </c>
    </row>
    <row r="168" spans="1:27" x14ac:dyDescent="0.35">
      <c r="A168" s="81"/>
      <c r="B168" s="90">
        <v>43986</v>
      </c>
      <c r="C168" s="105">
        <v>156</v>
      </c>
      <c r="D168" s="91">
        <f t="shared" si="372"/>
        <v>6.4516129032257119E-3</v>
      </c>
      <c r="E168" s="81"/>
      <c r="F168" s="90">
        <v>43986</v>
      </c>
      <c r="G168" s="105">
        <v>156</v>
      </c>
      <c r="H168" s="91">
        <f t="shared" si="373"/>
        <v>6.4516129032257119E-3</v>
      </c>
      <c r="I168" s="81"/>
      <c r="J168" s="90">
        <v>43986</v>
      </c>
      <c r="K168" s="105">
        <v>156</v>
      </c>
      <c r="L168" s="91">
        <f t="shared" si="374"/>
        <v>6.4516129032257119E-3</v>
      </c>
      <c r="M168" s="81"/>
      <c r="N168" s="90">
        <v>43986</v>
      </c>
      <c r="O168" s="105">
        <v>156</v>
      </c>
      <c r="P168" s="91">
        <f t="shared" si="375"/>
        <v>6.4516129032257119E-3</v>
      </c>
      <c r="Q168" s="81"/>
      <c r="R168" s="90">
        <v>43986</v>
      </c>
      <c r="S168" s="105">
        <v>156</v>
      </c>
      <c r="T168" s="91">
        <f t="shared" si="376"/>
        <v>6.4516129032257119E-3</v>
      </c>
      <c r="U168" s="81"/>
      <c r="V168" s="106">
        <f t="shared" si="392"/>
        <v>43986</v>
      </c>
      <c r="W168" s="4">
        <f t="shared" si="393"/>
        <v>156</v>
      </c>
      <c r="X168" s="4">
        <f t="shared" si="394"/>
        <v>156</v>
      </c>
      <c r="Y168" s="4">
        <f t="shared" si="395"/>
        <v>156</v>
      </c>
      <c r="Z168" s="4">
        <f t="shared" si="396"/>
        <v>156</v>
      </c>
      <c r="AA168" s="4">
        <f t="shared" si="397"/>
        <v>156</v>
      </c>
    </row>
    <row r="169" spans="1:27" x14ac:dyDescent="0.35">
      <c r="A169" s="81"/>
      <c r="B169" s="88">
        <v>43987</v>
      </c>
      <c r="C169" s="104">
        <v>157</v>
      </c>
      <c r="D169" s="92">
        <f t="shared" si="377"/>
        <v>6.4102564102563875E-3</v>
      </c>
      <c r="E169" s="81"/>
      <c r="F169" s="88">
        <v>43987</v>
      </c>
      <c r="G169" s="104">
        <v>157</v>
      </c>
      <c r="H169" s="92">
        <f t="shared" si="378"/>
        <v>6.4102564102563875E-3</v>
      </c>
      <c r="I169" s="81"/>
      <c r="J169" s="88">
        <v>43987</v>
      </c>
      <c r="K169" s="104">
        <v>157</v>
      </c>
      <c r="L169" s="92">
        <f t="shared" si="379"/>
        <v>6.4102564102563875E-3</v>
      </c>
      <c r="M169" s="81"/>
      <c r="N169" s="88">
        <v>43987</v>
      </c>
      <c r="O169" s="104">
        <v>157</v>
      </c>
      <c r="P169" s="92">
        <f t="shared" si="380"/>
        <v>6.4102564102563875E-3</v>
      </c>
      <c r="Q169" s="81"/>
      <c r="R169" s="88">
        <v>43987</v>
      </c>
      <c r="S169" s="104">
        <v>157</v>
      </c>
      <c r="T169" s="92">
        <f t="shared" si="381"/>
        <v>6.4102564102563875E-3</v>
      </c>
      <c r="U169" s="81"/>
      <c r="V169" s="106">
        <f t="shared" si="392"/>
        <v>43987</v>
      </c>
      <c r="W169" s="4">
        <f t="shared" si="393"/>
        <v>157</v>
      </c>
      <c r="X169" s="4">
        <f t="shared" si="394"/>
        <v>157</v>
      </c>
      <c r="Y169" s="4">
        <f t="shared" si="395"/>
        <v>157</v>
      </c>
      <c r="Z169" s="4">
        <f t="shared" si="396"/>
        <v>157</v>
      </c>
      <c r="AA169" s="4">
        <f t="shared" si="397"/>
        <v>157</v>
      </c>
    </row>
    <row r="170" spans="1:27" x14ac:dyDescent="0.35">
      <c r="A170" s="81"/>
      <c r="B170" s="90">
        <v>43988</v>
      </c>
      <c r="C170" s="105">
        <v>158</v>
      </c>
      <c r="D170" s="91">
        <f t="shared" si="382"/>
        <v>6.3694267515923553E-3</v>
      </c>
      <c r="E170" s="81"/>
      <c r="F170" s="90">
        <v>43988</v>
      </c>
      <c r="G170" s="105">
        <v>158</v>
      </c>
      <c r="H170" s="91">
        <f t="shared" si="383"/>
        <v>6.3694267515923553E-3</v>
      </c>
      <c r="I170" s="81"/>
      <c r="J170" s="90">
        <v>43988</v>
      </c>
      <c r="K170" s="105">
        <v>158</v>
      </c>
      <c r="L170" s="91">
        <f t="shared" si="384"/>
        <v>6.3694267515923553E-3</v>
      </c>
      <c r="M170" s="81"/>
      <c r="N170" s="90">
        <v>43988</v>
      </c>
      <c r="O170" s="105">
        <v>158</v>
      </c>
      <c r="P170" s="91">
        <f t="shared" si="385"/>
        <v>6.3694267515923553E-3</v>
      </c>
      <c r="Q170" s="81"/>
      <c r="R170" s="90">
        <v>43988</v>
      </c>
      <c r="S170" s="105">
        <v>158</v>
      </c>
      <c r="T170" s="91">
        <f t="shared" si="386"/>
        <v>6.3694267515923553E-3</v>
      </c>
      <c r="U170" s="81"/>
      <c r="V170" s="106">
        <f t="shared" si="392"/>
        <v>43988</v>
      </c>
      <c r="W170" s="4">
        <f t="shared" si="393"/>
        <v>158</v>
      </c>
      <c r="X170" s="4">
        <f t="shared" si="394"/>
        <v>158</v>
      </c>
      <c r="Y170" s="4">
        <f t="shared" si="395"/>
        <v>158</v>
      </c>
      <c r="Z170" s="4">
        <f t="shared" si="396"/>
        <v>158</v>
      </c>
      <c r="AA170" s="4">
        <f t="shared" si="397"/>
        <v>158</v>
      </c>
    </row>
    <row r="171" spans="1:27" x14ac:dyDescent="0.35">
      <c r="A171" s="81"/>
      <c r="B171" s="88">
        <v>43989</v>
      </c>
      <c r="C171" s="104">
        <v>159</v>
      </c>
      <c r="D171" s="92">
        <f t="shared" si="387"/>
        <v>6.3291139240506666E-3</v>
      </c>
      <c r="E171" s="81"/>
      <c r="F171" s="88">
        <v>43989</v>
      </c>
      <c r="G171" s="104">
        <v>159</v>
      </c>
      <c r="H171" s="92">
        <f t="shared" si="388"/>
        <v>6.3291139240506666E-3</v>
      </c>
      <c r="I171" s="81"/>
      <c r="J171" s="88">
        <v>43989</v>
      </c>
      <c r="K171" s="104">
        <v>159</v>
      </c>
      <c r="L171" s="92">
        <f t="shared" si="389"/>
        <v>6.3291139240506666E-3</v>
      </c>
      <c r="M171" s="81"/>
      <c r="N171" s="88">
        <v>43989</v>
      </c>
      <c r="O171" s="104">
        <v>159</v>
      </c>
      <c r="P171" s="92">
        <f t="shared" si="390"/>
        <v>6.3291139240506666E-3</v>
      </c>
      <c r="Q171" s="81"/>
      <c r="R171" s="88">
        <v>43989</v>
      </c>
      <c r="S171" s="104">
        <v>159</v>
      </c>
      <c r="T171" s="92">
        <f t="shared" si="391"/>
        <v>6.3291139240506666E-3</v>
      </c>
      <c r="U171" s="81"/>
      <c r="V171" s="106">
        <f t="shared" si="392"/>
        <v>43989</v>
      </c>
      <c r="W171" s="4">
        <f t="shared" si="393"/>
        <v>159</v>
      </c>
      <c r="X171" s="4">
        <f t="shared" si="394"/>
        <v>159</v>
      </c>
      <c r="Y171" s="4">
        <f t="shared" si="395"/>
        <v>159</v>
      </c>
      <c r="Z171" s="4">
        <f t="shared" si="396"/>
        <v>159</v>
      </c>
      <c r="AA171" s="4">
        <f t="shared" si="397"/>
        <v>159</v>
      </c>
    </row>
    <row r="172" spans="1:27" x14ac:dyDescent="0.35">
      <c r="A172" s="81"/>
      <c r="B172" s="90">
        <v>43990</v>
      </c>
      <c r="C172" s="105">
        <v>160</v>
      </c>
      <c r="D172" s="91">
        <f t="shared" si="398"/>
        <v>6.2893081761006275E-3</v>
      </c>
      <c r="E172" s="81"/>
      <c r="F172" s="90">
        <v>43990</v>
      </c>
      <c r="G172" s="105">
        <v>160</v>
      </c>
      <c r="H172" s="91">
        <f t="shared" si="399"/>
        <v>6.2893081761006275E-3</v>
      </c>
      <c r="I172" s="81"/>
      <c r="J172" s="90">
        <v>43990</v>
      </c>
      <c r="K172" s="105">
        <v>160</v>
      </c>
      <c r="L172" s="91">
        <f t="shared" si="400"/>
        <v>6.2893081761006275E-3</v>
      </c>
      <c r="M172" s="81"/>
      <c r="N172" s="90">
        <v>43990</v>
      </c>
      <c r="O172" s="105">
        <v>160</v>
      </c>
      <c r="P172" s="91">
        <f t="shared" si="401"/>
        <v>6.2893081761006275E-3</v>
      </c>
      <c r="Q172" s="81"/>
      <c r="R172" s="90">
        <v>43990</v>
      </c>
      <c r="S172" s="105">
        <v>160</v>
      </c>
      <c r="T172" s="91">
        <f t="shared" si="402"/>
        <v>6.2893081761006275E-3</v>
      </c>
      <c r="U172" s="81"/>
      <c r="V172" s="106">
        <f t="shared" si="392"/>
        <v>43990</v>
      </c>
      <c r="W172" s="4">
        <f t="shared" si="393"/>
        <v>160</v>
      </c>
      <c r="X172" s="4">
        <f t="shared" si="394"/>
        <v>160</v>
      </c>
      <c r="Y172" s="4">
        <f t="shared" si="395"/>
        <v>160</v>
      </c>
      <c r="Z172" s="4">
        <f t="shared" si="396"/>
        <v>160</v>
      </c>
      <c r="AA172" s="4">
        <f t="shared" si="397"/>
        <v>160</v>
      </c>
    </row>
    <row r="173" spans="1:27" x14ac:dyDescent="0.35">
      <c r="A173" s="81"/>
      <c r="B173" s="88">
        <v>43991</v>
      </c>
      <c r="C173" s="104">
        <v>161</v>
      </c>
      <c r="D173" s="92">
        <f t="shared" si="403"/>
        <v>6.2500000000000888E-3</v>
      </c>
      <c r="E173" s="81"/>
      <c r="F173" s="88">
        <v>43991</v>
      </c>
      <c r="G173" s="104">
        <v>161</v>
      </c>
      <c r="H173" s="92">
        <f t="shared" si="404"/>
        <v>6.2500000000000888E-3</v>
      </c>
      <c r="I173" s="81"/>
      <c r="J173" s="88">
        <v>43991</v>
      </c>
      <c r="K173" s="104">
        <v>161</v>
      </c>
      <c r="L173" s="92">
        <f t="shared" si="405"/>
        <v>6.2500000000000888E-3</v>
      </c>
      <c r="M173" s="81"/>
      <c r="N173" s="88">
        <v>43991</v>
      </c>
      <c r="O173" s="104">
        <v>161</v>
      </c>
      <c r="P173" s="92">
        <f t="shared" si="406"/>
        <v>6.2500000000000888E-3</v>
      </c>
      <c r="Q173" s="81"/>
      <c r="R173" s="88">
        <v>43991</v>
      </c>
      <c r="S173" s="104">
        <v>161</v>
      </c>
      <c r="T173" s="92">
        <f t="shared" si="407"/>
        <v>6.2500000000000888E-3</v>
      </c>
      <c r="U173" s="81"/>
      <c r="V173" s="106">
        <f t="shared" si="392"/>
        <v>43991</v>
      </c>
      <c r="W173" s="4">
        <f t="shared" si="393"/>
        <v>161</v>
      </c>
      <c r="X173" s="4">
        <f t="shared" si="394"/>
        <v>161</v>
      </c>
      <c r="Y173" s="4">
        <f t="shared" si="395"/>
        <v>161</v>
      </c>
      <c r="Z173" s="4">
        <f t="shared" si="396"/>
        <v>161</v>
      </c>
      <c r="AA173" s="4">
        <f t="shared" si="397"/>
        <v>161</v>
      </c>
    </row>
    <row r="174" spans="1:27" x14ac:dyDescent="0.35">
      <c r="A174" s="81"/>
      <c r="B174" s="90">
        <v>43992</v>
      </c>
      <c r="C174" s="105">
        <v>162</v>
      </c>
      <c r="D174" s="91">
        <f t="shared" si="408"/>
        <v>6.2111801242235032E-3</v>
      </c>
      <c r="E174" s="81"/>
      <c r="F174" s="90">
        <v>43992</v>
      </c>
      <c r="G174" s="105">
        <v>162</v>
      </c>
      <c r="H174" s="91">
        <f t="shared" si="409"/>
        <v>6.2111801242235032E-3</v>
      </c>
      <c r="I174" s="81"/>
      <c r="J174" s="90">
        <v>43992</v>
      </c>
      <c r="K174" s="105">
        <v>162</v>
      </c>
      <c r="L174" s="91">
        <f t="shared" si="410"/>
        <v>6.2111801242235032E-3</v>
      </c>
      <c r="M174" s="81"/>
      <c r="N174" s="90">
        <v>43992</v>
      </c>
      <c r="O174" s="105">
        <v>162</v>
      </c>
      <c r="P174" s="91">
        <f t="shared" si="411"/>
        <v>6.2111801242235032E-3</v>
      </c>
      <c r="Q174" s="81"/>
      <c r="R174" s="90">
        <v>43992</v>
      </c>
      <c r="S174" s="105">
        <v>162</v>
      </c>
      <c r="T174" s="91">
        <f t="shared" si="412"/>
        <v>6.2111801242235032E-3</v>
      </c>
      <c r="U174" s="81"/>
      <c r="V174" s="106">
        <f t="shared" si="392"/>
        <v>43992</v>
      </c>
      <c r="W174" s="4">
        <f t="shared" si="393"/>
        <v>162</v>
      </c>
      <c r="X174" s="4">
        <f t="shared" si="394"/>
        <v>162</v>
      </c>
      <c r="Y174" s="4">
        <f t="shared" si="395"/>
        <v>162</v>
      </c>
      <c r="Z174" s="4">
        <f t="shared" si="396"/>
        <v>162</v>
      </c>
      <c r="AA174" s="4">
        <f t="shared" si="397"/>
        <v>162</v>
      </c>
    </row>
    <row r="175" spans="1:27" x14ac:dyDescent="0.35">
      <c r="A175" s="81"/>
      <c r="B175" s="88">
        <v>43993</v>
      </c>
      <c r="C175" s="104">
        <v>163</v>
      </c>
      <c r="D175" s="92">
        <f t="shared" si="413"/>
        <v>6.1728395061728669E-3</v>
      </c>
      <c r="E175" s="81"/>
      <c r="F175" s="88">
        <v>43993</v>
      </c>
      <c r="G175" s="104">
        <v>163</v>
      </c>
      <c r="H175" s="92">
        <f t="shared" si="414"/>
        <v>6.1728395061728669E-3</v>
      </c>
      <c r="I175" s="81"/>
      <c r="J175" s="88">
        <v>43993</v>
      </c>
      <c r="K175" s="104">
        <v>163</v>
      </c>
      <c r="L175" s="92">
        <f t="shared" si="415"/>
        <v>6.1728395061728669E-3</v>
      </c>
      <c r="M175" s="81"/>
      <c r="N175" s="88">
        <v>43993</v>
      </c>
      <c r="O175" s="104">
        <v>163</v>
      </c>
      <c r="P175" s="92">
        <f t="shared" si="416"/>
        <v>6.1728395061728669E-3</v>
      </c>
      <c r="Q175" s="81"/>
      <c r="R175" s="88">
        <v>43993</v>
      </c>
      <c r="S175" s="104">
        <v>163</v>
      </c>
      <c r="T175" s="92">
        <f t="shared" si="417"/>
        <v>6.1728395061728669E-3</v>
      </c>
      <c r="U175" s="81"/>
      <c r="V175" s="106">
        <f t="shared" si="392"/>
        <v>43993</v>
      </c>
      <c r="W175" s="4">
        <f t="shared" si="393"/>
        <v>163</v>
      </c>
      <c r="X175" s="4">
        <f t="shared" si="394"/>
        <v>163</v>
      </c>
      <c r="Y175" s="4">
        <f t="shared" si="395"/>
        <v>163</v>
      </c>
      <c r="Z175" s="4">
        <f t="shared" si="396"/>
        <v>163</v>
      </c>
      <c r="AA175" s="4">
        <f t="shared" si="397"/>
        <v>163</v>
      </c>
    </row>
    <row r="176" spans="1:27" x14ac:dyDescent="0.35">
      <c r="A176" s="81"/>
      <c r="B176" s="90">
        <v>43994</v>
      </c>
      <c r="C176" s="105">
        <v>164</v>
      </c>
      <c r="D176" s="91">
        <f t="shared" si="418"/>
        <v>6.1349693251533388E-3</v>
      </c>
      <c r="E176" s="81"/>
      <c r="F176" s="90">
        <v>43994</v>
      </c>
      <c r="G176" s="105">
        <v>164</v>
      </c>
      <c r="H176" s="91">
        <f t="shared" si="419"/>
        <v>6.1349693251533388E-3</v>
      </c>
      <c r="I176" s="81"/>
      <c r="J176" s="90">
        <v>43994</v>
      </c>
      <c r="K176" s="105">
        <v>164</v>
      </c>
      <c r="L176" s="91">
        <f t="shared" si="420"/>
        <v>6.1349693251533388E-3</v>
      </c>
      <c r="M176" s="81"/>
      <c r="N176" s="90">
        <v>43994</v>
      </c>
      <c r="O176" s="105">
        <v>164</v>
      </c>
      <c r="P176" s="91">
        <f t="shared" si="421"/>
        <v>6.1349693251533388E-3</v>
      </c>
      <c r="Q176" s="81"/>
      <c r="R176" s="90">
        <v>43994</v>
      </c>
      <c r="S176" s="105">
        <v>164</v>
      </c>
      <c r="T176" s="91">
        <f t="shared" si="422"/>
        <v>6.1349693251533388E-3</v>
      </c>
      <c r="U176" s="81"/>
      <c r="V176" s="106">
        <f t="shared" si="392"/>
        <v>43994</v>
      </c>
      <c r="W176" s="4">
        <f t="shared" si="393"/>
        <v>164</v>
      </c>
      <c r="X176" s="4">
        <f t="shared" si="394"/>
        <v>164</v>
      </c>
      <c r="Y176" s="4">
        <f t="shared" si="395"/>
        <v>164</v>
      </c>
      <c r="Z176" s="4">
        <f t="shared" si="396"/>
        <v>164</v>
      </c>
      <c r="AA176" s="4">
        <f t="shared" si="397"/>
        <v>164</v>
      </c>
    </row>
    <row r="177" spans="1:27" x14ac:dyDescent="0.35">
      <c r="A177" s="81"/>
      <c r="B177" s="88">
        <v>43995</v>
      </c>
      <c r="C177" s="104">
        <v>165</v>
      </c>
      <c r="D177" s="92">
        <f t="shared" si="423"/>
        <v>6.0975609756097615E-3</v>
      </c>
      <c r="E177" s="81"/>
      <c r="F177" s="88">
        <v>43995</v>
      </c>
      <c r="G177" s="104">
        <v>165</v>
      </c>
      <c r="H177" s="92">
        <f t="shared" si="424"/>
        <v>6.0975609756097615E-3</v>
      </c>
      <c r="I177" s="81"/>
      <c r="J177" s="88">
        <v>43995</v>
      </c>
      <c r="K177" s="104">
        <v>165</v>
      </c>
      <c r="L177" s="92">
        <f t="shared" si="425"/>
        <v>6.0975609756097615E-3</v>
      </c>
      <c r="M177" s="81"/>
      <c r="N177" s="88">
        <v>43995</v>
      </c>
      <c r="O177" s="104">
        <v>165</v>
      </c>
      <c r="P177" s="92">
        <f t="shared" si="426"/>
        <v>6.0975609756097615E-3</v>
      </c>
      <c r="Q177" s="81"/>
      <c r="R177" s="88">
        <v>43995</v>
      </c>
      <c r="S177" s="104">
        <v>165</v>
      </c>
      <c r="T177" s="92">
        <f t="shared" si="427"/>
        <v>6.0975609756097615E-3</v>
      </c>
      <c r="U177" s="81"/>
      <c r="V177" s="106">
        <f t="shared" si="392"/>
        <v>43995</v>
      </c>
      <c r="W177" s="4">
        <f t="shared" si="393"/>
        <v>165</v>
      </c>
      <c r="X177" s="4">
        <f t="shared" si="394"/>
        <v>165</v>
      </c>
      <c r="Y177" s="4">
        <f t="shared" si="395"/>
        <v>165</v>
      </c>
      <c r="Z177" s="4">
        <f t="shared" si="396"/>
        <v>165</v>
      </c>
      <c r="AA177" s="4">
        <f t="shared" si="397"/>
        <v>165</v>
      </c>
    </row>
    <row r="178" spans="1:27" x14ac:dyDescent="0.35">
      <c r="A178" s="81"/>
      <c r="B178" s="90">
        <v>43996</v>
      </c>
      <c r="C178" s="105">
        <v>166</v>
      </c>
      <c r="D178" s="91">
        <f t="shared" si="428"/>
        <v>6.0606060606060996E-3</v>
      </c>
      <c r="E178" s="81"/>
      <c r="F178" s="90">
        <v>43996</v>
      </c>
      <c r="G178" s="105">
        <v>166</v>
      </c>
      <c r="H178" s="91">
        <f t="shared" si="429"/>
        <v>6.0606060606060996E-3</v>
      </c>
      <c r="I178" s="81"/>
      <c r="J178" s="90">
        <v>43996</v>
      </c>
      <c r="K178" s="105">
        <v>166</v>
      </c>
      <c r="L178" s="91">
        <f t="shared" si="430"/>
        <v>6.0606060606060996E-3</v>
      </c>
      <c r="M178" s="81"/>
      <c r="N178" s="90">
        <v>43996</v>
      </c>
      <c r="O178" s="105">
        <v>166</v>
      </c>
      <c r="P178" s="91">
        <f t="shared" si="431"/>
        <v>6.0606060606060996E-3</v>
      </c>
      <c r="Q178" s="81"/>
      <c r="R178" s="90">
        <v>43996</v>
      </c>
      <c r="S178" s="105">
        <v>166</v>
      </c>
      <c r="T178" s="91">
        <f t="shared" si="432"/>
        <v>6.0606060606060996E-3</v>
      </c>
      <c r="U178" s="81"/>
      <c r="V178" s="106">
        <f t="shared" si="392"/>
        <v>43996</v>
      </c>
      <c r="W178" s="4">
        <f t="shared" si="393"/>
        <v>166</v>
      </c>
      <c r="X178" s="4">
        <f t="shared" si="394"/>
        <v>166</v>
      </c>
      <c r="Y178" s="4">
        <f t="shared" si="395"/>
        <v>166</v>
      </c>
      <c r="Z178" s="4">
        <f t="shared" si="396"/>
        <v>166</v>
      </c>
      <c r="AA178" s="4">
        <f t="shared" si="397"/>
        <v>166</v>
      </c>
    </row>
    <row r="179" spans="1:27" x14ac:dyDescent="0.35">
      <c r="A179" s="81"/>
      <c r="B179" s="88">
        <v>43997</v>
      </c>
      <c r="C179" s="104">
        <v>167</v>
      </c>
      <c r="D179" s="92">
        <f t="shared" si="433"/>
        <v>6.0240963855422436E-3</v>
      </c>
      <c r="E179" s="81"/>
      <c r="F179" s="88">
        <v>43997</v>
      </c>
      <c r="G179" s="104">
        <v>167</v>
      </c>
      <c r="H179" s="92">
        <f t="shared" si="434"/>
        <v>6.0240963855422436E-3</v>
      </c>
      <c r="I179" s="81"/>
      <c r="J179" s="88">
        <v>43997</v>
      </c>
      <c r="K179" s="104">
        <v>167</v>
      </c>
      <c r="L179" s="92">
        <f t="shared" si="435"/>
        <v>6.0240963855422436E-3</v>
      </c>
      <c r="M179" s="81"/>
      <c r="N179" s="88">
        <v>43997</v>
      </c>
      <c r="O179" s="104">
        <v>167</v>
      </c>
      <c r="P179" s="92">
        <f t="shared" si="436"/>
        <v>6.0240963855422436E-3</v>
      </c>
      <c r="Q179" s="81"/>
      <c r="R179" s="88">
        <v>43997</v>
      </c>
      <c r="S179" s="104">
        <v>167</v>
      </c>
      <c r="T179" s="92">
        <f t="shared" si="437"/>
        <v>6.0240963855422436E-3</v>
      </c>
      <c r="U179" s="81"/>
      <c r="V179" s="106">
        <f t="shared" si="392"/>
        <v>43997</v>
      </c>
      <c r="W179" s="4">
        <f t="shared" si="393"/>
        <v>167</v>
      </c>
      <c r="X179" s="4">
        <f t="shared" si="394"/>
        <v>167</v>
      </c>
      <c r="Y179" s="4">
        <f t="shared" si="395"/>
        <v>167</v>
      </c>
      <c r="Z179" s="4">
        <f t="shared" si="396"/>
        <v>167</v>
      </c>
      <c r="AA179" s="4">
        <f t="shared" si="397"/>
        <v>167</v>
      </c>
    </row>
    <row r="180" spans="1:27" x14ac:dyDescent="0.35">
      <c r="A180" s="81"/>
      <c r="B180" s="90">
        <v>43998</v>
      </c>
      <c r="C180" s="105">
        <v>168</v>
      </c>
      <c r="D180" s="91">
        <f t="shared" si="438"/>
        <v>5.9880239520957446E-3</v>
      </c>
      <c r="E180" s="81"/>
      <c r="F180" s="90">
        <v>43998</v>
      </c>
      <c r="G180" s="105">
        <v>168</v>
      </c>
      <c r="H180" s="91">
        <f t="shared" si="439"/>
        <v>5.9880239520957446E-3</v>
      </c>
      <c r="I180" s="81"/>
      <c r="J180" s="90">
        <v>43998</v>
      </c>
      <c r="K180" s="105">
        <v>168</v>
      </c>
      <c r="L180" s="91">
        <f t="shared" si="440"/>
        <v>5.9880239520957446E-3</v>
      </c>
      <c r="M180" s="81"/>
      <c r="N180" s="90">
        <v>43998</v>
      </c>
      <c r="O180" s="105">
        <v>168</v>
      </c>
      <c r="P180" s="91">
        <f t="shared" si="441"/>
        <v>5.9880239520957446E-3</v>
      </c>
      <c r="Q180" s="81"/>
      <c r="R180" s="90">
        <v>43998</v>
      </c>
      <c r="S180" s="105">
        <v>168</v>
      </c>
      <c r="T180" s="91">
        <f t="shared" si="442"/>
        <v>5.9880239520957446E-3</v>
      </c>
      <c r="U180" s="81"/>
      <c r="V180" s="106">
        <f t="shared" si="392"/>
        <v>43998</v>
      </c>
      <c r="W180" s="4">
        <f t="shared" si="393"/>
        <v>168</v>
      </c>
      <c r="X180" s="4">
        <f t="shared" si="394"/>
        <v>168</v>
      </c>
      <c r="Y180" s="4">
        <f t="shared" si="395"/>
        <v>168</v>
      </c>
      <c r="Z180" s="4">
        <f t="shared" si="396"/>
        <v>168</v>
      </c>
      <c r="AA180" s="4">
        <f t="shared" si="397"/>
        <v>168</v>
      </c>
    </row>
    <row r="181" spans="1:27" x14ac:dyDescent="0.35">
      <c r="A181" s="81"/>
      <c r="B181" s="88">
        <v>43999</v>
      </c>
      <c r="C181" s="104">
        <v>169</v>
      </c>
      <c r="D181" s="92">
        <f t="shared" si="443"/>
        <v>5.9523809523809312E-3</v>
      </c>
      <c r="E181" s="81"/>
      <c r="F181" s="88">
        <v>43999</v>
      </c>
      <c r="G181" s="104">
        <v>169</v>
      </c>
      <c r="H181" s="92">
        <f t="shared" si="444"/>
        <v>5.9523809523809312E-3</v>
      </c>
      <c r="I181" s="81"/>
      <c r="J181" s="88">
        <v>43999</v>
      </c>
      <c r="K181" s="104">
        <v>169</v>
      </c>
      <c r="L181" s="92">
        <f t="shared" si="445"/>
        <v>5.9523809523809312E-3</v>
      </c>
      <c r="M181" s="81"/>
      <c r="N181" s="88">
        <v>43999</v>
      </c>
      <c r="O181" s="104">
        <v>169</v>
      </c>
      <c r="P181" s="92">
        <f t="shared" si="446"/>
        <v>5.9523809523809312E-3</v>
      </c>
      <c r="Q181" s="81"/>
      <c r="R181" s="88">
        <v>43999</v>
      </c>
      <c r="S181" s="104">
        <v>169</v>
      </c>
      <c r="T181" s="92">
        <f t="shared" si="447"/>
        <v>5.9523809523809312E-3</v>
      </c>
      <c r="U181" s="81"/>
      <c r="V181" s="106">
        <f t="shared" si="392"/>
        <v>43999</v>
      </c>
      <c r="W181" s="4">
        <f t="shared" si="393"/>
        <v>169</v>
      </c>
      <c r="X181" s="4">
        <f t="shared" si="394"/>
        <v>169</v>
      </c>
      <c r="Y181" s="4">
        <f t="shared" si="395"/>
        <v>169</v>
      </c>
      <c r="Z181" s="4">
        <f t="shared" si="396"/>
        <v>169</v>
      </c>
      <c r="AA181" s="4">
        <f t="shared" si="397"/>
        <v>169</v>
      </c>
    </row>
    <row r="182" spans="1:27" x14ac:dyDescent="0.35">
      <c r="A182" s="81"/>
      <c r="B182" s="90">
        <v>44000</v>
      </c>
      <c r="C182" s="105">
        <v>170</v>
      </c>
      <c r="D182" s="91">
        <f t="shared" ref="D182" si="458">C182/C181-1</f>
        <v>5.9171597633136397E-3</v>
      </c>
      <c r="E182" s="81"/>
      <c r="F182" s="90">
        <v>44000</v>
      </c>
      <c r="G182" s="105">
        <v>170</v>
      </c>
      <c r="H182" s="91">
        <f t="shared" ref="H182" si="459">G182/G181-1</f>
        <v>5.9171597633136397E-3</v>
      </c>
      <c r="I182" s="81"/>
      <c r="J182" s="90">
        <v>44000</v>
      </c>
      <c r="K182" s="105">
        <v>170</v>
      </c>
      <c r="L182" s="91">
        <f t="shared" ref="L182" si="460">K182/K181-1</f>
        <v>5.9171597633136397E-3</v>
      </c>
      <c r="M182" s="81"/>
      <c r="N182" s="90">
        <v>44000</v>
      </c>
      <c r="O182" s="105">
        <v>170</v>
      </c>
      <c r="P182" s="91">
        <f t="shared" ref="P182" si="461">O182/O181-1</f>
        <v>5.9171597633136397E-3</v>
      </c>
      <c r="Q182" s="81"/>
      <c r="R182" s="90">
        <v>44000</v>
      </c>
      <c r="S182" s="105">
        <v>170</v>
      </c>
      <c r="T182" s="91">
        <f t="shared" ref="T182" si="462">S182/S181-1</f>
        <v>5.9171597633136397E-3</v>
      </c>
      <c r="U182" s="81"/>
      <c r="V182" s="106">
        <f t="shared" si="392"/>
        <v>44000</v>
      </c>
      <c r="W182" s="4">
        <f t="shared" si="393"/>
        <v>170</v>
      </c>
      <c r="X182" s="4">
        <f t="shared" si="394"/>
        <v>170</v>
      </c>
      <c r="Y182" s="4">
        <f t="shared" si="395"/>
        <v>170</v>
      </c>
      <c r="Z182" s="4">
        <f t="shared" si="396"/>
        <v>170</v>
      </c>
      <c r="AA182" s="4">
        <f t="shared" si="397"/>
        <v>170</v>
      </c>
    </row>
    <row r="183" spans="1:27" x14ac:dyDescent="0.35">
      <c r="A183" s="81"/>
      <c r="B183" s="88">
        <v>44001</v>
      </c>
      <c r="C183" s="104">
        <v>171</v>
      </c>
      <c r="D183" s="92">
        <f t="shared" ref="D183" si="463">C183/(C182)-1</f>
        <v>5.8823529411764497E-3</v>
      </c>
      <c r="E183" s="81"/>
      <c r="F183" s="88">
        <v>44001</v>
      </c>
      <c r="G183" s="104">
        <v>171</v>
      </c>
      <c r="H183" s="92">
        <f t="shared" ref="H183" si="464">G183/(G182)-1</f>
        <v>5.8823529411764497E-3</v>
      </c>
      <c r="I183" s="81"/>
      <c r="J183" s="88">
        <v>44001</v>
      </c>
      <c r="K183" s="104">
        <v>171</v>
      </c>
      <c r="L183" s="92">
        <f t="shared" ref="L183" si="465">K183/(K182)-1</f>
        <v>5.8823529411764497E-3</v>
      </c>
      <c r="M183" s="81"/>
      <c r="N183" s="88">
        <v>44001</v>
      </c>
      <c r="O183" s="104">
        <v>171</v>
      </c>
      <c r="P183" s="92">
        <f t="shared" ref="P183" si="466">O183/(O182)-1</f>
        <v>5.8823529411764497E-3</v>
      </c>
      <c r="Q183" s="81"/>
      <c r="R183" s="88">
        <v>44001</v>
      </c>
      <c r="S183" s="104">
        <v>171</v>
      </c>
      <c r="T183" s="92">
        <f t="shared" ref="T183" si="467">S183/(S182)-1</f>
        <v>5.8823529411764497E-3</v>
      </c>
      <c r="U183" s="81"/>
      <c r="V183" s="106">
        <f t="shared" si="392"/>
        <v>44001</v>
      </c>
      <c r="W183" s="4">
        <f t="shared" si="393"/>
        <v>171</v>
      </c>
      <c r="X183" s="4">
        <f t="shared" si="394"/>
        <v>171</v>
      </c>
      <c r="Y183" s="4">
        <f t="shared" si="395"/>
        <v>171</v>
      </c>
      <c r="Z183" s="4">
        <f t="shared" si="396"/>
        <v>171</v>
      </c>
      <c r="AA183" s="4">
        <f t="shared" si="397"/>
        <v>171</v>
      </c>
    </row>
    <row r="184" spans="1:27" x14ac:dyDescent="0.35">
      <c r="A184" s="81"/>
      <c r="B184" s="90">
        <v>44002</v>
      </c>
      <c r="C184" s="105">
        <v>172</v>
      </c>
      <c r="D184" s="91">
        <f t="shared" si="312"/>
        <v>5.8479532163742132E-3</v>
      </c>
      <c r="E184" s="81"/>
      <c r="F184" s="90">
        <v>44002</v>
      </c>
      <c r="G184" s="105">
        <v>172</v>
      </c>
      <c r="H184" s="91">
        <f t="shared" si="313"/>
        <v>5.8479532163742132E-3</v>
      </c>
      <c r="I184" s="81"/>
      <c r="J184" s="90">
        <v>44002</v>
      </c>
      <c r="K184" s="105">
        <v>172</v>
      </c>
      <c r="L184" s="91">
        <f t="shared" si="314"/>
        <v>5.8479532163742132E-3</v>
      </c>
      <c r="M184" s="81"/>
      <c r="N184" s="90">
        <v>44002</v>
      </c>
      <c r="O184" s="105">
        <v>172</v>
      </c>
      <c r="P184" s="91">
        <f t="shared" si="315"/>
        <v>5.8479532163742132E-3</v>
      </c>
      <c r="Q184" s="81"/>
      <c r="R184" s="90">
        <v>44002</v>
      </c>
      <c r="S184" s="105">
        <v>172</v>
      </c>
      <c r="T184" s="91">
        <f t="shared" si="316"/>
        <v>5.8479532163742132E-3</v>
      </c>
      <c r="U184" s="81"/>
      <c r="V184" s="106">
        <f t="shared" si="392"/>
        <v>44002</v>
      </c>
      <c r="W184" s="4">
        <f t="shared" si="393"/>
        <v>172</v>
      </c>
      <c r="X184" s="4">
        <f t="shared" si="394"/>
        <v>172</v>
      </c>
      <c r="Y184" s="4">
        <f t="shared" si="395"/>
        <v>172</v>
      </c>
      <c r="Z184" s="4">
        <f t="shared" si="396"/>
        <v>172</v>
      </c>
      <c r="AA184" s="4">
        <f t="shared" si="397"/>
        <v>172</v>
      </c>
    </row>
    <row r="185" spans="1:27" x14ac:dyDescent="0.35">
      <c r="A185" s="81"/>
      <c r="B185" s="88">
        <v>44003</v>
      </c>
      <c r="C185" s="104">
        <v>173</v>
      </c>
      <c r="D185" s="92">
        <f t="shared" si="317"/>
        <v>5.8139534883721034E-3</v>
      </c>
      <c r="E185" s="81"/>
      <c r="F185" s="88">
        <v>44003</v>
      </c>
      <c r="G185" s="104">
        <v>173</v>
      </c>
      <c r="H185" s="92">
        <f t="shared" si="318"/>
        <v>5.8139534883721034E-3</v>
      </c>
      <c r="I185" s="81"/>
      <c r="J185" s="88">
        <v>44003</v>
      </c>
      <c r="K185" s="104">
        <v>173</v>
      </c>
      <c r="L185" s="92">
        <f t="shared" si="319"/>
        <v>5.8139534883721034E-3</v>
      </c>
      <c r="M185" s="81"/>
      <c r="N185" s="88">
        <v>44003</v>
      </c>
      <c r="O185" s="104">
        <v>173</v>
      </c>
      <c r="P185" s="92">
        <f t="shared" si="320"/>
        <v>5.8139534883721034E-3</v>
      </c>
      <c r="Q185" s="81"/>
      <c r="R185" s="88">
        <v>44003</v>
      </c>
      <c r="S185" s="104">
        <v>173</v>
      </c>
      <c r="T185" s="92">
        <f t="shared" si="321"/>
        <v>5.8139534883721034E-3</v>
      </c>
      <c r="U185" s="81"/>
      <c r="V185" s="106">
        <f t="shared" si="392"/>
        <v>44003</v>
      </c>
      <c r="W185" s="4">
        <f t="shared" si="393"/>
        <v>173</v>
      </c>
      <c r="X185" s="4">
        <f t="shared" si="394"/>
        <v>173</v>
      </c>
      <c r="Y185" s="4">
        <f t="shared" si="395"/>
        <v>173</v>
      </c>
      <c r="Z185" s="4">
        <f t="shared" si="396"/>
        <v>173</v>
      </c>
      <c r="AA185" s="4">
        <f t="shared" si="397"/>
        <v>173</v>
      </c>
    </row>
    <row r="186" spans="1:27" x14ac:dyDescent="0.35">
      <c r="A186" s="81"/>
      <c r="B186" s="90">
        <v>44004</v>
      </c>
      <c r="C186" s="105">
        <v>174</v>
      </c>
      <c r="D186" s="91">
        <f t="shared" si="322"/>
        <v>5.7803468208093012E-3</v>
      </c>
      <c r="E186" s="81"/>
      <c r="F186" s="90">
        <v>44004</v>
      </c>
      <c r="G186" s="105">
        <v>174</v>
      </c>
      <c r="H186" s="91">
        <f t="shared" si="323"/>
        <v>5.7803468208093012E-3</v>
      </c>
      <c r="I186" s="81"/>
      <c r="J186" s="90">
        <v>44004</v>
      </c>
      <c r="K186" s="105">
        <v>174</v>
      </c>
      <c r="L186" s="91">
        <f t="shared" si="324"/>
        <v>5.7803468208093012E-3</v>
      </c>
      <c r="M186" s="81"/>
      <c r="N186" s="90">
        <v>44004</v>
      </c>
      <c r="O186" s="105">
        <v>174</v>
      </c>
      <c r="P186" s="91">
        <f t="shared" si="325"/>
        <v>5.7803468208093012E-3</v>
      </c>
      <c r="Q186" s="81"/>
      <c r="R186" s="90">
        <v>44004</v>
      </c>
      <c r="S186" s="105">
        <v>174</v>
      </c>
      <c r="T186" s="91">
        <f t="shared" si="326"/>
        <v>5.7803468208093012E-3</v>
      </c>
      <c r="U186" s="81"/>
      <c r="V186" s="106">
        <f t="shared" si="392"/>
        <v>44004</v>
      </c>
      <c r="W186" s="4">
        <f t="shared" si="393"/>
        <v>174</v>
      </c>
      <c r="X186" s="4">
        <f t="shared" si="394"/>
        <v>174</v>
      </c>
      <c r="Y186" s="4">
        <f t="shared" si="395"/>
        <v>174</v>
      </c>
      <c r="Z186" s="4">
        <f t="shared" si="396"/>
        <v>174</v>
      </c>
      <c r="AA186" s="4">
        <f t="shared" si="397"/>
        <v>174</v>
      </c>
    </row>
    <row r="187" spans="1:27" x14ac:dyDescent="0.35">
      <c r="A187" s="81"/>
      <c r="B187" s="88">
        <v>44005</v>
      </c>
      <c r="C187" s="104">
        <v>175</v>
      </c>
      <c r="D187" s="92">
        <f t="shared" si="327"/>
        <v>5.7471264367816577E-3</v>
      </c>
      <c r="E187" s="81"/>
      <c r="F187" s="88">
        <v>44005</v>
      </c>
      <c r="G187" s="104">
        <v>175</v>
      </c>
      <c r="H187" s="92">
        <f t="shared" si="328"/>
        <v>5.7471264367816577E-3</v>
      </c>
      <c r="I187" s="81"/>
      <c r="J187" s="88">
        <v>44005</v>
      </c>
      <c r="K187" s="104">
        <v>175</v>
      </c>
      <c r="L187" s="92">
        <f t="shared" si="329"/>
        <v>5.7471264367816577E-3</v>
      </c>
      <c r="M187" s="81"/>
      <c r="N187" s="88">
        <v>44005</v>
      </c>
      <c r="O187" s="104">
        <v>175</v>
      </c>
      <c r="P187" s="92">
        <f t="shared" si="330"/>
        <v>5.7471264367816577E-3</v>
      </c>
      <c r="Q187" s="81"/>
      <c r="R187" s="88">
        <v>44005</v>
      </c>
      <c r="S187" s="104">
        <v>175</v>
      </c>
      <c r="T187" s="92">
        <f t="shared" si="331"/>
        <v>5.7471264367816577E-3</v>
      </c>
      <c r="U187" s="81"/>
      <c r="V187" s="106">
        <f t="shared" si="392"/>
        <v>44005</v>
      </c>
      <c r="W187" s="4">
        <f t="shared" si="393"/>
        <v>175</v>
      </c>
      <c r="X187" s="4">
        <f t="shared" si="394"/>
        <v>175</v>
      </c>
      <c r="Y187" s="4">
        <f t="shared" si="395"/>
        <v>175</v>
      </c>
      <c r="Z187" s="4">
        <f t="shared" si="396"/>
        <v>175</v>
      </c>
      <c r="AA187" s="4">
        <f t="shared" si="397"/>
        <v>175</v>
      </c>
    </row>
    <row r="188" spans="1:27" x14ac:dyDescent="0.35">
      <c r="A188" s="81"/>
      <c r="B188" s="90">
        <v>44006</v>
      </c>
      <c r="C188" s="105">
        <v>176</v>
      </c>
      <c r="D188" s="91">
        <f t="shared" si="332"/>
        <v>5.7142857142857828E-3</v>
      </c>
      <c r="E188" s="81"/>
      <c r="F188" s="90">
        <v>44006</v>
      </c>
      <c r="G188" s="105">
        <v>176</v>
      </c>
      <c r="H188" s="91">
        <f t="shared" si="333"/>
        <v>5.7142857142857828E-3</v>
      </c>
      <c r="I188" s="81"/>
      <c r="J188" s="90">
        <v>44006</v>
      </c>
      <c r="K188" s="105">
        <v>176</v>
      </c>
      <c r="L188" s="91">
        <f t="shared" si="334"/>
        <v>5.7142857142857828E-3</v>
      </c>
      <c r="M188" s="81"/>
      <c r="N188" s="90">
        <v>44006</v>
      </c>
      <c r="O188" s="105">
        <v>176</v>
      </c>
      <c r="P188" s="91">
        <f t="shared" si="335"/>
        <v>5.7142857142857828E-3</v>
      </c>
      <c r="Q188" s="81"/>
      <c r="R188" s="90">
        <v>44006</v>
      </c>
      <c r="S188" s="105">
        <v>176</v>
      </c>
      <c r="T188" s="91">
        <f t="shared" si="336"/>
        <v>5.7142857142857828E-3</v>
      </c>
      <c r="U188" s="81"/>
      <c r="V188" s="106">
        <f t="shared" si="392"/>
        <v>44006</v>
      </c>
      <c r="W188" s="4">
        <f t="shared" si="393"/>
        <v>176</v>
      </c>
      <c r="X188" s="4">
        <f t="shared" si="394"/>
        <v>176</v>
      </c>
      <c r="Y188" s="4">
        <f t="shared" si="395"/>
        <v>176</v>
      </c>
      <c r="Z188" s="4">
        <f t="shared" si="396"/>
        <v>176</v>
      </c>
      <c r="AA188" s="4">
        <f t="shared" si="397"/>
        <v>176</v>
      </c>
    </row>
    <row r="189" spans="1:27" x14ac:dyDescent="0.35">
      <c r="A189" s="81"/>
      <c r="B189" s="88">
        <v>44007</v>
      </c>
      <c r="C189" s="104">
        <v>177</v>
      </c>
      <c r="D189" s="92">
        <f t="shared" si="337"/>
        <v>5.6818181818181213E-3</v>
      </c>
      <c r="E189" s="81"/>
      <c r="F189" s="88">
        <v>44007</v>
      </c>
      <c r="G189" s="104">
        <v>177</v>
      </c>
      <c r="H189" s="92">
        <f t="shared" si="338"/>
        <v>5.6818181818181213E-3</v>
      </c>
      <c r="I189" s="81"/>
      <c r="J189" s="88">
        <v>44007</v>
      </c>
      <c r="K189" s="104">
        <v>177</v>
      </c>
      <c r="L189" s="92">
        <f t="shared" si="339"/>
        <v>5.6818181818181213E-3</v>
      </c>
      <c r="M189" s="81"/>
      <c r="N189" s="88">
        <v>44007</v>
      </c>
      <c r="O189" s="104">
        <v>177</v>
      </c>
      <c r="P189" s="92">
        <f t="shared" si="340"/>
        <v>5.6818181818181213E-3</v>
      </c>
      <c r="Q189" s="81"/>
      <c r="R189" s="88">
        <v>44007</v>
      </c>
      <c r="S189" s="104">
        <v>177</v>
      </c>
      <c r="T189" s="92">
        <f t="shared" si="341"/>
        <v>5.6818181818181213E-3</v>
      </c>
      <c r="U189" s="81"/>
      <c r="V189" s="106">
        <f t="shared" si="392"/>
        <v>44007</v>
      </c>
      <c r="W189" s="4">
        <f t="shared" si="393"/>
        <v>177</v>
      </c>
      <c r="X189" s="4">
        <f t="shared" si="394"/>
        <v>177</v>
      </c>
      <c r="Y189" s="4">
        <f t="shared" si="395"/>
        <v>177</v>
      </c>
      <c r="Z189" s="4">
        <f t="shared" si="396"/>
        <v>177</v>
      </c>
      <c r="AA189" s="4">
        <f t="shared" si="397"/>
        <v>177</v>
      </c>
    </row>
    <row r="190" spans="1:27" x14ac:dyDescent="0.35">
      <c r="A190" s="81"/>
      <c r="B190" s="90">
        <v>44008</v>
      </c>
      <c r="C190" s="105">
        <v>178</v>
      </c>
      <c r="D190" s="91">
        <f t="shared" si="342"/>
        <v>5.6497175141243527E-3</v>
      </c>
      <c r="E190" s="81"/>
      <c r="F190" s="90">
        <v>44008</v>
      </c>
      <c r="G190" s="105">
        <v>178</v>
      </c>
      <c r="H190" s="91">
        <f t="shared" si="343"/>
        <v>5.6497175141243527E-3</v>
      </c>
      <c r="I190" s="81"/>
      <c r="J190" s="90">
        <v>44008</v>
      </c>
      <c r="K190" s="105">
        <v>178</v>
      </c>
      <c r="L190" s="91">
        <f t="shared" si="344"/>
        <v>5.6497175141243527E-3</v>
      </c>
      <c r="M190" s="81"/>
      <c r="N190" s="90">
        <v>44008</v>
      </c>
      <c r="O190" s="105">
        <v>178</v>
      </c>
      <c r="P190" s="91">
        <f t="shared" si="345"/>
        <v>5.6497175141243527E-3</v>
      </c>
      <c r="Q190" s="81"/>
      <c r="R190" s="90">
        <v>44008</v>
      </c>
      <c r="S190" s="105">
        <v>178</v>
      </c>
      <c r="T190" s="91">
        <f t="shared" si="346"/>
        <v>5.6497175141243527E-3</v>
      </c>
      <c r="U190" s="81"/>
      <c r="V190" s="106">
        <f t="shared" si="392"/>
        <v>44008</v>
      </c>
      <c r="W190" s="4">
        <f t="shared" si="393"/>
        <v>178</v>
      </c>
      <c r="X190" s="4">
        <f t="shared" si="394"/>
        <v>178</v>
      </c>
      <c r="Y190" s="4">
        <f t="shared" si="395"/>
        <v>178</v>
      </c>
      <c r="Z190" s="4">
        <f t="shared" si="396"/>
        <v>178</v>
      </c>
      <c r="AA190" s="4">
        <f t="shared" si="397"/>
        <v>178</v>
      </c>
    </row>
    <row r="191" spans="1:27" x14ac:dyDescent="0.35">
      <c r="A191" s="81"/>
      <c r="B191" s="88">
        <v>44009</v>
      </c>
      <c r="C191" s="104">
        <v>179</v>
      </c>
      <c r="D191" s="92">
        <f t="shared" si="347"/>
        <v>5.6179775280897903E-3</v>
      </c>
      <c r="E191" s="81"/>
      <c r="F191" s="88">
        <v>44009</v>
      </c>
      <c r="G191" s="104">
        <v>179</v>
      </c>
      <c r="H191" s="92">
        <f t="shared" si="348"/>
        <v>5.6179775280897903E-3</v>
      </c>
      <c r="I191" s="81"/>
      <c r="J191" s="88">
        <v>44009</v>
      </c>
      <c r="K191" s="104">
        <v>179</v>
      </c>
      <c r="L191" s="92">
        <f t="shared" si="349"/>
        <v>5.6179775280897903E-3</v>
      </c>
      <c r="M191" s="81"/>
      <c r="N191" s="88">
        <v>44009</v>
      </c>
      <c r="O191" s="104">
        <v>179</v>
      </c>
      <c r="P191" s="92">
        <f t="shared" si="350"/>
        <v>5.6179775280897903E-3</v>
      </c>
      <c r="Q191" s="81"/>
      <c r="R191" s="88">
        <v>44009</v>
      </c>
      <c r="S191" s="104">
        <v>179</v>
      </c>
      <c r="T191" s="92">
        <f t="shared" si="351"/>
        <v>5.6179775280897903E-3</v>
      </c>
      <c r="U191" s="81"/>
      <c r="V191" s="106">
        <f t="shared" si="392"/>
        <v>44009</v>
      </c>
      <c r="W191" s="4">
        <f t="shared" si="393"/>
        <v>179</v>
      </c>
      <c r="X191" s="4">
        <f t="shared" si="394"/>
        <v>179</v>
      </c>
      <c r="Y191" s="4">
        <f t="shared" si="395"/>
        <v>179</v>
      </c>
      <c r="Z191" s="4">
        <f t="shared" si="396"/>
        <v>179</v>
      </c>
      <c r="AA191" s="4">
        <f t="shared" si="397"/>
        <v>179</v>
      </c>
    </row>
    <row r="192" spans="1:27" x14ac:dyDescent="0.35">
      <c r="A192" s="81"/>
      <c r="B192" s="90">
        <v>44010</v>
      </c>
      <c r="C192" s="105">
        <v>180</v>
      </c>
      <c r="D192" s="91">
        <f t="shared" si="352"/>
        <v>5.5865921787709993E-3</v>
      </c>
      <c r="E192" s="81"/>
      <c r="F192" s="90">
        <v>44010</v>
      </c>
      <c r="G192" s="105">
        <v>180</v>
      </c>
      <c r="H192" s="91">
        <f t="shared" si="353"/>
        <v>5.5865921787709993E-3</v>
      </c>
      <c r="I192" s="81"/>
      <c r="J192" s="90">
        <v>44010</v>
      </c>
      <c r="K192" s="105">
        <v>180</v>
      </c>
      <c r="L192" s="91">
        <f t="shared" si="354"/>
        <v>5.5865921787709993E-3</v>
      </c>
      <c r="M192" s="81"/>
      <c r="N192" s="90">
        <v>44010</v>
      </c>
      <c r="O192" s="105">
        <v>180</v>
      </c>
      <c r="P192" s="91">
        <f t="shared" si="355"/>
        <v>5.5865921787709993E-3</v>
      </c>
      <c r="Q192" s="81"/>
      <c r="R192" s="90">
        <v>44010</v>
      </c>
      <c r="S192" s="105">
        <v>180</v>
      </c>
      <c r="T192" s="91">
        <f t="shared" si="356"/>
        <v>5.5865921787709993E-3</v>
      </c>
      <c r="U192" s="81"/>
      <c r="V192" s="106">
        <f t="shared" si="392"/>
        <v>44010</v>
      </c>
      <c r="W192" s="4">
        <f t="shared" si="393"/>
        <v>180</v>
      </c>
      <c r="X192" s="4">
        <f t="shared" si="394"/>
        <v>180</v>
      </c>
      <c r="Y192" s="4">
        <f t="shared" si="395"/>
        <v>180</v>
      </c>
      <c r="Z192" s="4">
        <f t="shared" si="396"/>
        <v>180</v>
      </c>
      <c r="AA192" s="4">
        <f t="shared" si="397"/>
        <v>180</v>
      </c>
    </row>
    <row r="193" spans="1:27" x14ac:dyDescent="0.35">
      <c r="A193" s="81"/>
      <c r="B193" s="88">
        <v>44011</v>
      </c>
      <c r="C193" s="104">
        <v>181</v>
      </c>
      <c r="D193" s="92">
        <f t="shared" si="357"/>
        <v>5.5555555555555358E-3</v>
      </c>
      <c r="E193" s="81"/>
      <c r="F193" s="88">
        <v>44011</v>
      </c>
      <c r="G193" s="104">
        <v>181</v>
      </c>
      <c r="H193" s="92">
        <f t="shared" si="358"/>
        <v>5.5555555555555358E-3</v>
      </c>
      <c r="I193" s="81"/>
      <c r="J193" s="88">
        <v>44011</v>
      </c>
      <c r="K193" s="104">
        <v>181</v>
      </c>
      <c r="L193" s="92">
        <f t="shared" si="359"/>
        <v>5.5555555555555358E-3</v>
      </c>
      <c r="M193" s="81"/>
      <c r="N193" s="88">
        <v>44011</v>
      </c>
      <c r="O193" s="104">
        <v>181</v>
      </c>
      <c r="P193" s="92">
        <f t="shared" si="360"/>
        <v>5.5555555555555358E-3</v>
      </c>
      <c r="Q193" s="81"/>
      <c r="R193" s="88">
        <v>44011</v>
      </c>
      <c r="S193" s="104">
        <v>181</v>
      </c>
      <c r="T193" s="92">
        <f t="shared" si="361"/>
        <v>5.5555555555555358E-3</v>
      </c>
      <c r="U193" s="81"/>
      <c r="V193" s="106">
        <f t="shared" si="392"/>
        <v>44011</v>
      </c>
      <c r="W193" s="4">
        <f t="shared" si="393"/>
        <v>181</v>
      </c>
      <c r="X193" s="4">
        <f t="shared" si="394"/>
        <v>181</v>
      </c>
      <c r="Y193" s="4">
        <f t="shared" si="395"/>
        <v>181</v>
      </c>
      <c r="Z193" s="4">
        <f t="shared" si="396"/>
        <v>181</v>
      </c>
      <c r="AA193" s="4">
        <f t="shared" si="397"/>
        <v>181</v>
      </c>
    </row>
    <row r="194" spans="1:27" x14ac:dyDescent="0.35">
      <c r="A194" s="81"/>
      <c r="B194" s="90">
        <v>44012</v>
      </c>
      <c r="C194" s="105">
        <v>182</v>
      </c>
      <c r="D194" s="91">
        <f t="shared" si="362"/>
        <v>5.5248618784531356E-3</v>
      </c>
      <c r="E194" s="81"/>
      <c r="F194" s="90">
        <v>44012</v>
      </c>
      <c r="G194" s="105">
        <v>182</v>
      </c>
      <c r="H194" s="91">
        <f t="shared" si="363"/>
        <v>5.5248618784531356E-3</v>
      </c>
      <c r="I194" s="81"/>
      <c r="J194" s="90">
        <v>44012</v>
      </c>
      <c r="K194" s="105">
        <v>182</v>
      </c>
      <c r="L194" s="91">
        <f t="shared" si="364"/>
        <v>5.5248618784531356E-3</v>
      </c>
      <c r="M194" s="81"/>
      <c r="N194" s="90">
        <v>44012</v>
      </c>
      <c r="O194" s="105">
        <v>182</v>
      </c>
      <c r="P194" s="91">
        <f t="shared" si="365"/>
        <v>5.5248618784531356E-3</v>
      </c>
      <c r="Q194" s="81"/>
      <c r="R194" s="90">
        <v>44012</v>
      </c>
      <c r="S194" s="105">
        <v>182</v>
      </c>
      <c r="T194" s="91">
        <f t="shared" si="366"/>
        <v>5.5248618784531356E-3</v>
      </c>
      <c r="U194" s="81"/>
      <c r="V194" s="106">
        <f t="shared" si="392"/>
        <v>44012</v>
      </c>
      <c r="W194" s="4">
        <f t="shared" si="393"/>
        <v>182</v>
      </c>
      <c r="X194" s="4">
        <f t="shared" si="394"/>
        <v>182</v>
      </c>
      <c r="Y194" s="4">
        <f t="shared" si="395"/>
        <v>182</v>
      </c>
      <c r="Z194" s="4">
        <f t="shared" si="396"/>
        <v>182</v>
      </c>
      <c r="AA194" s="4">
        <f t="shared" si="397"/>
        <v>182</v>
      </c>
    </row>
    <row r="195" spans="1:27" x14ac:dyDescent="0.35">
      <c r="A195" s="81"/>
      <c r="B195" s="88">
        <v>44013</v>
      </c>
      <c r="C195" s="104">
        <v>183</v>
      </c>
      <c r="D195" s="92">
        <f t="shared" si="367"/>
        <v>5.494505494505475E-3</v>
      </c>
      <c r="E195" s="81"/>
      <c r="F195" s="88">
        <v>44013</v>
      </c>
      <c r="G195" s="104">
        <v>183</v>
      </c>
      <c r="H195" s="92">
        <f t="shared" si="368"/>
        <v>5.494505494505475E-3</v>
      </c>
      <c r="I195" s="81"/>
      <c r="J195" s="88">
        <v>44013</v>
      </c>
      <c r="K195" s="104">
        <v>183</v>
      </c>
      <c r="L195" s="92">
        <f t="shared" si="369"/>
        <v>5.494505494505475E-3</v>
      </c>
      <c r="M195" s="81"/>
      <c r="N195" s="88">
        <v>44013</v>
      </c>
      <c r="O195" s="104">
        <v>183</v>
      </c>
      <c r="P195" s="92">
        <f t="shared" si="370"/>
        <v>5.494505494505475E-3</v>
      </c>
      <c r="Q195" s="81"/>
      <c r="R195" s="88">
        <v>44013</v>
      </c>
      <c r="S195" s="104">
        <v>183</v>
      </c>
      <c r="T195" s="92">
        <f t="shared" si="371"/>
        <v>5.494505494505475E-3</v>
      </c>
      <c r="U195" s="81"/>
      <c r="V195" s="106">
        <f t="shared" si="392"/>
        <v>44013</v>
      </c>
      <c r="W195" s="4">
        <f t="shared" si="393"/>
        <v>183</v>
      </c>
      <c r="X195" s="4">
        <f t="shared" si="394"/>
        <v>183</v>
      </c>
      <c r="Y195" s="4">
        <f t="shared" si="395"/>
        <v>183</v>
      </c>
      <c r="Z195" s="4">
        <f t="shared" si="396"/>
        <v>183</v>
      </c>
      <c r="AA195" s="4">
        <f t="shared" si="397"/>
        <v>183</v>
      </c>
    </row>
    <row r="196" spans="1:27" x14ac:dyDescent="0.35">
      <c r="A196" s="81"/>
      <c r="B196" s="90">
        <v>44014</v>
      </c>
      <c r="C196" s="105">
        <v>184</v>
      </c>
      <c r="D196" s="91">
        <f t="shared" si="372"/>
        <v>5.464480874316946E-3</v>
      </c>
      <c r="E196" s="81"/>
      <c r="F196" s="90">
        <v>44014</v>
      </c>
      <c r="G196" s="105">
        <v>184</v>
      </c>
      <c r="H196" s="91">
        <f t="shared" si="373"/>
        <v>5.464480874316946E-3</v>
      </c>
      <c r="I196" s="81"/>
      <c r="J196" s="90">
        <v>44014</v>
      </c>
      <c r="K196" s="105">
        <v>184</v>
      </c>
      <c r="L196" s="91">
        <f t="shared" si="374"/>
        <v>5.464480874316946E-3</v>
      </c>
      <c r="M196" s="81"/>
      <c r="N196" s="90">
        <v>44014</v>
      </c>
      <c r="O196" s="105">
        <v>184</v>
      </c>
      <c r="P196" s="91">
        <f t="shared" si="375"/>
        <v>5.464480874316946E-3</v>
      </c>
      <c r="Q196" s="81"/>
      <c r="R196" s="90">
        <v>44014</v>
      </c>
      <c r="S196" s="105">
        <v>184</v>
      </c>
      <c r="T196" s="91">
        <f t="shared" si="376"/>
        <v>5.464480874316946E-3</v>
      </c>
      <c r="U196" s="81"/>
      <c r="V196" s="106">
        <f t="shared" si="392"/>
        <v>44014</v>
      </c>
      <c r="W196" s="4">
        <f t="shared" si="393"/>
        <v>184</v>
      </c>
      <c r="X196" s="4">
        <f t="shared" si="394"/>
        <v>184</v>
      </c>
      <c r="Y196" s="4">
        <f t="shared" si="395"/>
        <v>184</v>
      </c>
      <c r="Z196" s="4">
        <f t="shared" si="396"/>
        <v>184</v>
      </c>
      <c r="AA196" s="4">
        <f t="shared" si="397"/>
        <v>184</v>
      </c>
    </row>
    <row r="197" spans="1:27" x14ac:dyDescent="0.35">
      <c r="A197" s="81"/>
      <c r="B197" s="88">
        <v>44015</v>
      </c>
      <c r="C197" s="104">
        <v>185</v>
      </c>
      <c r="D197" s="92">
        <f t="shared" si="377"/>
        <v>5.4347826086955653E-3</v>
      </c>
      <c r="E197" s="81"/>
      <c r="F197" s="88">
        <v>44015</v>
      </c>
      <c r="G197" s="104">
        <v>185</v>
      </c>
      <c r="H197" s="92">
        <f t="shared" si="378"/>
        <v>5.4347826086955653E-3</v>
      </c>
      <c r="I197" s="81"/>
      <c r="J197" s="88">
        <v>44015</v>
      </c>
      <c r="K197" s="104">
        <v>185</v>
      </c>
      <c r="L197" s="92">
        <f t="shared" si="379"/>
        <v>5.4347826086955653E-3</v>
      </c>
      <c r="M197" s="81"/>
      <c r="N197" s="88">
        <v>44015</v>
      </c>
      <c r="O197" s="104">
        <v>185</v>
      </c>
      <c r="P197" s="92">
        <f t="shared" si="380"/>
        <v>5.4347826086955653E-3</v>
      </c>
      <c r="Q197" s="81"/>
      <c r="R197" s="88">
        <v>44015</v>
      </c>
      <c r="S197" s="104">
        <v>185</v>
      </c>
      <c r="T197" s="92">
        <f t="shared" si="381"/>
        <v>5.4347826086955653E-3</v>
      </c>
      <c r="U197" s="81"/>
      <c r="V197" s="106">
        <f t="shared" si="392"/>
        <v>44015</v>
      </c>
      <c r="W197" s="4">
        <f t="shared" si="393"/>
        <v>185</v>
      </c>
      <c r="X197" s="4">
        <f t="shared" si="394"/>
        <v>185</v>
      </c>
      <c r="Y197" s="4">
        <f t="shared" si="395"/>
        <v>185</v>
      </c>
      <c r="Z197" s="4">
        <f t="shared" si="396"/>
        <v>185</v>
      </c>
      <c r="AA197" s="4">
        <f t="shared" si="397"/>
        <v>185</v>
      </c>
    </row>
    <row r="198" spans="1:27" x14ac:dyDescent="0.35">
      <c r="A198" s="81"/>
      <c r="B198" s="90">
        <v>44016</v>
      </c>
      <c r="C198" s="105">
        <v>186</v>
      </c>
      <c r="D198" s="91">
        <f t="shared" si="382"/>
        <v>5.4054054054053502E-3</v>
      </c>
      <c r="E198" s="81"/>
      <c r="F198" s="90">
        <v>44016</v>
      </c>
      <c r="G198" s="105">
        <v>186</v>
      </c>
      <c r="H198" s="91">
        <f t="shared" si="383"/>
        <v>5.4054054054053502E-3</v>
      </c>
      <c r="I198" s="81"/>
      <c r="J198" s="90">
        <v>44016</v>
      </c>
      <c r="K198" s="105">
        <v>186</v>
      </c>
      <c r="L198" s="91">
        <f t="shared" si="384"/>
        <v>5.4054054054053502E-3</v>
      </c>
      <c r="M198" s="81"/>
      <c r="N198" s="90">
        <v>44016</v>
      </c>
      <c r="O198" s="105">
        <v>186</v>
      </c>
      <c r="P198" s="91">
        <f t="shared" si="385"/>
        <v>5.4054054054053502E-3</v>
      </c>
      <c r="Q198" s="81"/>
      <c r="R198" s="90">
        <v>44016</v>
      </c>
      <c r="S198" s="105">
        <v>186</v>
      </c>
      <c r="T198" s="91">
        <f t="shared" si="386"/>
        <v>5.4054054054053502E-3</v>
      </c>
      <c r="U198" s="81"/>
      <c r="V198" s="106">
        <f t="shared" si="392"/>
        <v>44016</v>
      </c>
      <c r="W198" s="4">
        <f t="shared" si="393"/>
        <v>186</v>
      </c>
      <c r="X198" s="4">
        <f t="shared" si="394"/>
        <v>186</v>
      </c>
      <c r="Y198" s="4">
        <f t="shared" si="395"/>
        <v>186</v>
      </c>
      <c r="Z198" s="4">
        <f t="shared" si="396"/>
        <v>186</v>
      </c>
      <c r="AA198" s="4">
        <f t="shared" si="397"/>
        <v>186</v>
      </c>
    </row>
    <row r="199" spans="1:27" x14ac:dyDescent="0.35">
      <c r="A199" s="81"/>
      <c r="B199" s="88">
        <v>44017</v>
      </c>
      <c r="C199" s="104">
        <v>187</v>
      </c>
      <c r="D199" s="92">
        <f t="shared" si="387"/>
        <v>5.3763440860215006E-3</v>
      </c>
      <c r="E199" s="81"/>
      <c r="F199" s="88">
        <v>44017</v>
      </c>
      <c r="G199" s="104">
        <v>1</v>
      </c>
      <c r="H199" s="92">
        <f t="shared" si="388"/>
        <v>-0.9946236559139785</v>
      </c>
      <c r="I199" s="81"/>
      <c r="J199" s="88">
        <v>44017</v>
      </c>
      <c r="K199" s="104">
        <v>187</v>
      </c>
      <c r="L199" s="92">
        <f t="shared" si="389"/>
        <v>5.3763440860215006E-3</v>
      </c>
      <c r="M199" s="81"/>
      <c r="N199" s="88">
        <v>44017</v>
      </c>
      <c r="O199" s="104">
        <v>187</v>
      </c>
      <c r="P199" s="92">
        <f t="shared" si="390"/>
        <v>5.3763440860215006E-3</v>
      </c>
      <c r="Q199" s="81"/>
      <c r="R199" s="88">
        <v>44017</v>
      </c>
      <c r="S199" s="104">
        <v>187</v>
      </c>
      <c r="T199" s="92">
        <f t="shared" si="391"/>
        <v>5.3763440860215006E-3</v>
      </c>
      <c r="U199" s="81"/>
      <c r="V199" s="106">
        <f t="shared" si="392"/>
        <v>44017</v>
      </c>
      <c r="W199" s="4">
        <f t="shared" si="393"/>
        <v>187</v>
      </c>
      <c r="X199" s="4">
        <f t="shared" si="394"/>
        <v>1</v>
      </c>
      <c r="Y199" s="4">
        <f t="shared" si="395"/>
        <v>187</v>
      </c>
      <c r="Z199" s="4">
        <f t="shared" si="396"/>
        <v>187</v>
      </c>
      <c r="AA199" s="4">
        <f t="shared" si="397"/>
        <v>187</v>
      </c>
    </row>
    <row r="200" spans="1:27" x14ac:dyDescent="0.35">
      <c r="A200" s="81"/>
      <c r="B200" s="90">
        <v>44018</v>
      </c>
      <c r="C200" s="105">
        <v>188</v>
      </c>
      <c r="D200" s="91">
        <f t="shared" si="398"/>
        <v>5.3475935828877219E-3</v>
      </c>
      <c r="E200" s="81"/>
      <c r="F200" s="90">
        <v>44018</v>
      </c>
      <c r="G200" s="105">
        <v>188</v>
      </c>
      <c r="H200" s="91">
        <f t="shared" si="399"/>
        <v>187</v>
      </c>
      <c r="I200" s="81"/>
      <c r="J200" s="90">
        <v>44018</v>
      </c>
      <c r="K200" s="105">
        <v>188</v>
      </c>
      <c r="L200" s="91">
        <f t="shared" si="400"/>
        <v>5.3475935828877219E-3</v>
      </c>
      <c r="M200" s="81"/>
      <c r="N200" s="90">
        <v>44018</v>
      </c>
      <c r="O200" s="105">
        <v>188</v>
      </c>
      <c r="P200" s="91">
        <f t="shared" si="401"/>
        <v>5.3475935828877219E-3</v>
      </c>
      <c r="Q200" s="81"/>
      <c r="R200" s="90">
        <v>44018</v>
      </c>
      <c r="S200" s="105">
        <v>188</v>
      </c>
      <c r="T200" s="91">
        <f t="shared" si="402"/>
        <v>5.3475935828877219E-3</v>
      </c>
      <c r="U200" s="81"/>
      <c r="V200" s="106">
        <f t="shared" si="392"/>
        <v>44018</v>
      </c>
      <c r="W200" s="4">
        <f t="shared" si="393"/>
        <v>188</v>
      </c>
      <c r="X200" s="4">
        <f t="shared" si="394"/>
        <v>188</v>
      </c>
      <c r="Y200" s="4">
        <f t="shared" si="395"/>
        <v>188</v>
      </c>
      <c r="Z200" s="4">
        <f t="shared" si="396"/>
        <v>188</v>
      </c>
      <c r="AA200" s="4">
        <f t="shared" si="397"/>
        <v>188</v>
      </c>
    </row>
    <row r="201" spans="1:27" x14ac:dyDescent="0.35">
      <c r="A201" s="81"/>
      <c r="B201" s="88">
        <v>44019</v>
      </c>
      <c r="C201" s="104">
        <v>189</v>
      </c>
      <c r="D201" s="92">
        <f t="shared" si="403"/>
        <v>5.3191489361701372E-3</v>
      </c>
      <c r="E201" s="81"/>
      <c r="F201" s="88">
        <v>44019</v>
      </c>
      <c r="G201" s="104">
        <v>189</v>
      </c>
      <c r="H201" s="92">
        <f t="shared" si="404"/>
        <v>5.3191489361701372E-3</v>
      </c>
      <c r="I201" s="81"/>
      <c r="J201" s="88">
        <v>44019</v>
      </c>
      <c r="K201" s="104">
        <v>189</v>
      </c>
      <c r="L201" s="92">
        <f t="shared" si="405"/>
        <v>5.3191489361701372E-3</v>
      </c>
      <c r="M201" s="81"/>
      <c r="N201" s="88">
        <v>44019</v>
      </c>
      <c r="O201" s="104">
        <v>189</v>
      </c>
      <c r="P201" s="92">
        <f t="shared" si="406"/>
        <v>5.3191489361701372E-3</v>
      </c>
      <c r="Q201" s="81"/>
      <c r="R201" s="88">
        <v>44019</v>
      </c>
      <c r="S201" s="104">
        <v>189</v>
      </c>
      <c r="T201" s="92">
        <f t="shared" si="407"/>
        <v>5.3191489361701372E-3</v>
      </c>
      <c r="U201" s="81"/>
      <c r="V201" s="106">
        <f t="shared" si="392"/>
        <v>44019</v>
      </c>
      <c r="W201" s="4">
        <f t="shared" si="393"/>
        <v>189</v>
      </c>
      <c r="X201" s="4">
        <f t="shared" si="394"/>
        <v>189</v>
      </c>
      <c r="Y201" s="4">
        <f t="shared" si="395"/>
        <v>189</v>
      </c>
      <c r="Z201" s="4">
        <f t="shared" si="396"/>
        <v>189</v>
      </c>
      <c r="AA201" s="4">
        <f t="shared" si="397"/>
        <v>189</v>
      </c>
    </row>
    <row r="202" spans="1:27" x14ac:dyDescent="0.35">
      <c r="A202" s="81"/>
      <c r="B202" s="90">
        <v>44020</v>
      </c>
      <c r="C202" s="105">
        <v>190</v>
      </c>
      <c r="D202" s="91">
        <f t="shared" si="408"/>
        <v>5.2910052910053462E-3</v>
      </c>
      <c r="E202" s="81"/>
      <c r="F202" s="90">
        <v>44020</v>
      </c>
      <c r="G202" s="105">
        <v>190</v>
      </c>
      <c r="H202" s="91">
        <f t="shared" si="409"/>
        <v>5.2910052910053462E-3</v>
      </c>
      <c r="I202" s="81"/>
      <c r="J202" s="90">
        <v>44020</v>
      </c>
      <c r="K202" s="105">
        <v>190</v>
      </c>
      <c r="L202" s="91">
        <f t="shared" si="410"/>
        <v>5.2910052910053462E-3</v>
      </c>
      <c r="M202" s="81"/>
      <c r="N202" s="90">
        <v>44020</v>
      </c>
      <c r="O202" s="105">
        <v>190</v>
      </c>
      <c r="P202" s="91">
        <f t="shared" si="411"/>
        <v>5.2910052910053462E-3</v>
      </c>
      <c r="Q202" s="81"/>
      <c r="R202" s="90">
        <v>44020</v>
      </c>
      <c r="S202" s="105">
        <v>190</v>
      </c>
      <c r="T202" s="91">
        <f t="shared" si="412"/>
        <v>5.2910052910053462E-3</v>
      </c>
      <c r="U202" s="81"/>
      <c r="V202" s="106">
        <f t="shared" si="392"/>
        <v>44020</v>
      </c>
      <c r="W202" s="4">
        <f t="shared" si="393"/>
        <v>190</v>
      </c>
      <c r="X202" s="4">
        <f t="shared" si="394"/>
        <v>190</v>
      </c>
      <c r="Y202" s="4">
        <f t="shared" si="395"/>
        <v>190</v>
      </c>
      <c r="Z202" s="4">
        <f t="shared" si="396"/>
        <v>190</v>
      </c>
      <c r="AA202" s="4">
        <f t="shared" si="397"/>
        <v>190</v>
      </c>
    </row>
    <row r="203" spans="1:27" x14ac:dyDescent="0.35">
      <c r="A203" s="81"/>
      <c r="B203" s="88">
        <v>44021</v>
      </c>
      <c r="C203" s="104">
        <v>191</v>
      </c>
      <c r="D203" s="92">
        <f t="shared" si="413"/>
        <v>5.2631578947368585E-3</v>
      </c>
      <c r="E203" s="81"/>
      <c r="F203" s="88">
        <v>44021</v>
      </c>
      <c r="G203" s="104">
        <v>191</v>
      </c>
      <c r="H203" s="92">
        <f t="shared" si="414"/>
        <v>5.2631578947368585E-3</v>
      </c>
      <c r="I203" s="81"/>
      <c r="J203" s="88">
        <v>44021</v>
      </c>
      <c r="K203" s="104">
        <v>191</v>
      </c>
      <c r="L203" s="92">
        <f t="shared" si="415"/>
        <v>5.2631578947368585E-3</v>
      </c>
      <c r="M203" s="81"/>
      <c r="N203" s="88">
        <v>44021</v>
      </c>
      <c r="O203" s="104">
        <v>191</v>
      </c>
      <c r="P203" s="92">
        <f t="shared" si="416"/>
        <v>5.2631578947368585E-3</v>
      </c>
      <c r="Q203" s="81"/>
      <c r="R203" s="88">
        <v>44021</v>
      </c>
      <c r="S203" s="104">
        <v>191</v>
      </c>
      <c r="T203" s="92">
        <f t="shared" si="417"/>
        <v>5.2631578947368585E-3</v>
      </c>
      <c r="U203" s="81"/>
      <c r="V203" s="106">
        <f t="shared" si="392"/>
        <v>44021</v>
      </c>
      <c r="W203" s="4">
        <f t="shared" si="393"/>
        <v>191</v>
      </c>
      <c r="X203" s="4">
        <f t="shared" si="394"/>
        <v>191</v>
      </c>
      <c r="Y203" s="4">
        <f t="shared" si="395"/>
        <v>191</v>
      </c>
      <c r="Z203" s="4">
        <f t="shared" si="396"/>
        <v>191</v>
      </c>
      <c r="AA203" s="4">
        <f t="shared" si="397"/>
        <v>191</v>
      </c>
    </row>
    <row r="204" spans="1:27" x14ac:dyDescent="0.35">
      <c r="A204" s="81"/>
      <c r="B204" s="90">
        <v>44022</v>
      </c>
      <c r="C204" s="105">
        <v>192</v>
      </c>
      <c r="D204" s="91">
        <f t="shared" si="418"/>
        <v>5.2356020942407877E-3</v>
      </c>
      <c r="E204" s="81"/>
      <c r="F204" s="90">
        <v>44022</v>
      </c>
      <c r="G204" s="105">
        <v>192</v>
      </c>
      <c r="H204" s="91">
        <f t="shared" si="419"/>
        <v>5.2356020942407877E-3</v>
      </c>
      <c r="I204" s="81"/>
      <c r="J204" s="90">
        <v>44022</v>
      </c>
      <c r="K204" s="105">
        <v>192</v>
      </c>
      <c r="L204" s="91">
        <f t="shared" si="420"/>
        <v>5.2356020942407877E-3</v>
      </c>
      <c r="M204" s="81"/>
      <c r="N204" s="90">
        <v>44022</v>
      </c>
      <c r="O204" s="105">
        <v>192</v>
      </c>
      <c r="P204" s="91">
        <f t="shared" si="421"/>
        <v>5.2356020942407877E-3</v>
      </c>
      <c r="Q204" s="81"/>
      <c r="R204" s="90">
        <v>44022</v>
      </c>
      <c r="S204" s="105">
        <v>192</v>
      </c>
      <c r="T204" s="91">
        <f t="shared" si="422"/>
        <v>5.2356020942407877E-3</v>
      </c>
      <c r="U204" s="81"/>
      <c r="V204" s="106">
        <f t="shared" si="392"/>
        <v>44022</v>
      </c>
      <c r="W204" s="4">
        <f t="shared" si="393"/>
        <v>192</v>
      </c>
      <c r="X204" s="4">
        <f t="shared" si="394"/>
        <v>192</v>
      </c>
      <c r="Y204" s="4">
        <f t="shared" si="395"/>
        <v>192</v>
      </c>
      <c r="Z204" s="4">
        <f t="shared" si="396"/>
        <v>192</v>
      </c>
      <c r="AA204" s="4">
        <f t="shared" si="397"/>
        <v>192</v>
      </c>
    </row>
    <row r="205" spans="1:27" x14ac:dyDescent="0.35">
      <c r="A205" s="81"/>
      <c r="B205" s="88">
        <v>44023</v>
      </c>
      <c r="C205" s="104">
        <v>193</v>
      </c>
      <c r="D205" s="92">
        <f t="shared" si="423"/>
        <v>5.2083333333332593E-3</v>
      </c>
      <c r="E205" s="81"/>
      <c r="F205" s="88">
        <v>44023</v>
      </c>
      <c r="G205" s="104">
        <v>1</v>
      </c>
      <c r="H205" s="92">
        <f t="shared" si="424"/>
        <v>-0.99479166666666663</v>
      </c>
      <c r="I205" s="81"/>
      <c r="J205" s="88">
        <v>44023</v>
      </c>
      <c r="K205" s="104">
        <v>193</v>
      </c>
      <c r="L205" s="92">
        <f t="shared" si="425"/>
        <v>5.2083333333332593E-3</v>
      </c>
      <c r="M205" s="81"/>
      <c r="N205" s="88">
        <v>44023</v>
      </c>
      <c r="O205" s="104">
        <v>193</v>
      </c>
      <c r="P205" s="92">
        <f t="shared" si="426"/>
        <v>5.2083333333332593E-3</v>
      </c>
      <c r="Q205" s="81"/>
      <c r="R205" s="88">
        <v>44023</v>
      </c>
      <c r="S205" s="104">
        <v>193</v>
      </c>
      <c r="T205" s="92">
        <f t="shared" si="427"/>
        <v>5.2083333333332593E-3</v>
      </c>
      <c r="U205" s="81"/>
      <c r="V205" s="106">
        <f t="shared" si="392"/>
        <v>44023</v>
      </c>
      <c r="W205" s="4">
        <f t="shared" si="393"/>
        <v>193</v>
      </c>
      <c r="X205" s="4">
        <f t="shared" si="394"/>
        <v>1</v>
      </c>
      <c r="Y205" s="4">
        <f t="shared" si="395"/>
        <v>193</v>
      </c>
      <c r="Z205" s="4">
        <f t="shared" si="396"/>
        <v>193</v>
      </c>
      <c r="AA205" s="4">
        <f t="shared" si="397"/>
        <v>193</v>
      </c>
    </row>
    <row r="206" spans="1:27" x14ac:dyDescent="0.35">
      <c r="A206" s="81"/>
      <c r="B206" s="90">
        <v>44024</v>
      </c>
      <c r="C206" s="105">
        <v>194</v>
      </c>
      <c r="D206" s="91">
        <f t="shared" si="428"/>
        <v>5.1813471502590858E-3</v>
      </c>
      <c r="E206" s="81"/>
      <c r="F206" s="90">
        <v>44024</v>
      </c>
      <c r="G206" s="105">
        <v>194</v>
      </c>
      <c r="H206" s="91">
        <f t="shared" si="429"/>
        <v>193</v>
      </c>
      <c r="I206" s="81"/>
      <c r="J206" s="90">
        <v>44024</v>
      </c>
      <c r="K206" s="105">
        <v>194</v>
      </c>
      <c r="L206" s="91">
        <f t="shared" si="430"/>
        <v>5.1813471502590858E-3</v>
      </c>
      <c r="M206" s="81"/>
      <c r="N206" s="90">
        <v>44024</v>
      </c>
      <c r="O206" s="105">
        <v>194</v>
      </c>
      <c r="P206" s="91">
        <f t="shared" si="431"/>
        <v>5.1813471502590858E-3</v>
      </c>
      <c r="Q206" s="81"/>
      <c r="R206" s="90">
        <v>44024</v>
      </c>
      <c r="S206" s="105">
        <v>194</v>
      </c>
      <c r="T206" s="91">
        <f t="shared" si="432"/>
        <v>5.1813471502590858E-3</v>
      </c>
      <c r="U206" s="81"/>
      <c r="V206" s="106">
        <f t="shared" si="392"/>
        <v>44024</v>
      </c>
      <c r="W206" s="4">
        <f t="shared" si="393"/>
        <v>194</v>
      </c>
      <c r="X206" s="4">
        <f t="shared" si="394"/>
        <v>194</v>
      </c>
      <c r="Y206" s="4">
        <f t="shared" si="395"/>
        <v>194</v>
      </c>
      <c r="Z206" s="4">
        <f t="shared" si="396"/>
        <v>194</v>
      </c>
      <c r="AA206" s="4">
        <f t="shared" si="397"/>
        <v>194</v>
      </c>
    </row>
    <row r="207" spans="1:27" x14ac:dyDescent="0.35">
      <c r="A207" s="81"/>
      <c r="B207" s="88">
        <v>44025</v>
      </c>
      <c r="C207" s="104">
        <v>195</v>
      </c>
      <c r="D207" s="92">
        <f t="shared" si="433"/>
        <v>5.1546391752577136E-3</v>
      </c>
      <c r="E207" s="81"/>
      <c r="F207" s="88">
        <v>44025</v>
      </c>
      <c r="G207" s="104">
        <v>195</v>
      </c>
      <c r="H207" s="92">
        <f t="shared" si="434"/>
        <v>5.1546391752577136E-3</v>
      </c>
      <c r="I207" s="81"/>
      <c r="J207" s="88">
        <v>44025</v>
      </c>
      <c r="K207" s="104">
        <v>195</v>
      </c>
      <c r="L207" s="92">
        <f t="shared" si="435"/>
        <v>5.1546391752577136E-3</v>
      </c>
      <c r="M207" s="81"/>
      <c r="N207" s="88">
        <v>44025</v>
      </c>
      <c r="O207" s="104">
        <v>195</v>
      </c>
      <c r="P207" s="92">
        <f t="shared" si="436"/>
        <v>5.1546391752577136E-3</v>
      </c>
      <c r="Q207" s="81"/>
      <c r="R207" s="88">
        <v>44025</v>
      </c>
      <c r="S207" s="104">
        <v>195</v>
      </c>
      <c r="T207" s="92">
        <f t="shared" si="437"/>
        <v>5.1546391752577136E-3</v>
      </c>
      <c r="U207" s="81"/>
      <c r="V207" s="106">
        <f t="shared" ref="V207:V250" si="468">R207</f>
        <v>44025</v>
      </c>
      <c r="W207" s="4">
        <f t="shared" ref="W207:W250" si="469">C207</f>
        <v>195</v>
      </c>
      <c r="X207" s="4">
        <f t="shared" ref="X207:X250" si="470">G207</f>
        <v>195</v>
      </c>
      <c r="Y207" s="4">
        <f t="shared" ref="Y207:Y250" si="471">K207</f>
        <v>195</v>
      </c>
      <c r="Z207" s="4">
        <f t="shared" ref="Z207:Z250" si="472">O207</f>
        <v>195</v>
      </c>
      <c r="AA207" s="4">
        <f t="shared" ref="AA207:AA250" si="473">S207</f>
        <v>195</v>
      </c>
    </row>
    <row r="208" spans="1:27" x14ac:dyDescent="0.35">
      <c r="A208" s="81"/>
      <c r="B208" s="90">
        <v>44026</v>
      </c>
      <c r="C208" s="105">
        <v>196</v>
      </c>
      <c r="D208" s="91">
        <f t="shared" si="438"/>
        <v>5.12820512820511E-3</v>
      </c>
      <c r="E208" s="81"/>
      <c r="F208" s="90">
        <v>44026</v>
      </c>
      <c r="G208" s="105">
        <v>196</v>
      </c>
      <c r="H208" s="91">
        <f t="shared" si="439"/>
        <v>5.12820512820511E-3</v>
      </c>
      <c r="I208" s="81"/>
      <c r="J208" s="90">
        <v>44026</v>
      </c>
      <c r="K208" s="105">
        <v>196</v>
      </c>
      <c r="L208" s="91">
        <f t="shared" si="440"/>
        <v>5.12820512820511E-3</v>
      </c>
      <c r="M208" s="81"/>
      <c r="N208" s="90">
        <v>44026</v>
      </c>
      <c r="O208" s="105">
        <v>196</v>
      </c>
      <c r="P208" s="91">
        <f t="shared" si="441"/>
        <v>5.12820512820511E-3</v>
      </c>
      <c r="Q208" s="81"/>
      <c r="R208" s="90">
        <v>44026</v>
      </c>
      <c r="S208" s="105">
        <v>196</v>
      </c>
      <c r="T208" s="91">
        <f t="shared" si="442"/>
        <v>5.12820512820511E-3</v>
      </c>
      <c r="U208" s="81"/>
      <c r="V208" s="106">
        <f t="shared" si="468"/>
        <v>44026</v>
      </c>
      <c r="W208" s="4">
        <f t="shared" si="469"/>
        <v>196</v>
      </c>
      <c r="X208" s="4">
        <f t="shared" si="470"/>
        <v>196</v>
      </c>
      <c r="Y208" s="4">
        <f t="shared" si="471"/>
        <v>196</v>
      </c>
      <c r="Z208" s="4">
        <f t="shared" si="472"/>
        <v>196</v>
      </c>
      <c r="AA208" s="4">
        <f t="shared" si="473"/>
        <v>196</v>
      </c>
    </row>
    <row r="209" spans="1:27" x14ac:dyDescent="0.35">
      <c r="A209" s="81"/>
      <c r="B209" s="88">
        <v>44027</v>
      </c>
      <c r="C209" s="104">
        <v>197</v>
      </c>
      <c r="D209" s="92">
        <f t="shared" si="443"/>
        <v>5.1020408163264808E-3</v>
      </c>
      <c r="E209" s="81"/>
      <c r="F209" s="88">
        <v>44027</v>
      </c>
      <c r="G209" s="104">
        <v>197</v>
      </c>
      <c r="H209" s="92">
        <f t="shared" si="444"/>
        <v>5.1020408163264808E-3</v>
      </c>
      <c r="I209" s="81"/>
      <c r="J209" s="88">
        <v>44027</v>
      </c>
      <c r="K209" s="104">
        <v>197</v>
      </c>
      <c r="L209" s="92">
        <f t="shared" si="445"/>
        <v>5.1020408163264808E-3</v>
      </c>
      <c r="M209" s="81"/>
      <c r="N209" s="88">
        <v>44027</v>
      </c>
      <c r="O209" s="104">
        <v>197</v>
      </c>
      <c r="P209" s="92">
        <f t="shared" si="446"/>
        <v>5.1020408163264808E-3</v>
      </c>
      <c r="Q209" s="81"/>
      <c r="R209" s="88">
        <v>44027</v>
      </c>
      <c r="S209" s="104">
        <v>197</v>
      </c>
      <c r="T209" s="92">
        <f t="shared" si="447"/>
        <v>5.1020408163264808E-3</v>
      </c>
      <c r="U209" s="81"/>
      <c r="V209" s="106">
        <f t="shared" si="468"/>
        <v>44027</v>
      </c>
      <c r="W209" s="4">
        <f t="shared" si="469"/>
        <v>197</v>
      </c>
      <c r="X209" s="4">
        <f t="shared" si="470"/>
        <v>197</v>
      </c>
      <c r="Y209" s="4">
        <f t="shared" si="471"/>
        <v>197</v>
      </c>
      <c r="Z209" s="4">
        <f t="shared" si="472"/>
        <v>197</v>
      </c>
      <c r="AA209" s="4">
        <f t="shared" si="473"/>
        <v>197</v>
      </c>
    </row>
    <row r="210" spans="1:27" x14ac:dyDescent="0.35">
      <c r="A210" s="81"/>
      <c r="B210" s="90">
        <v>44028</v>
      </c>
      <c r="C210" s="105">
        <v>198</v>
      </c>
      <c r="D210" s="91">
        <f t="shared" ref="D210" si="474">C210/C209-1</f>
        <v>5.0761421319795996E-3</v>
      </c>
      <c r="E210" s="81"/>
      <c r="F210" s="90">
        <v>44028</v>
      </c>
      <c r="G210" s="105">
        <v>1</v>
      </c>
      <c r="H210" s="91">
        <f t="shared" ref="H210" si="475">G210/G209-1</f>
        <v>-0.99492385786802029</v>
      </c>
      <c r="I210" s="81"/>
      <c r="J210" s="90">
        <v>44028</v>
      </c>
      <c r="K210" s="105">
        <v>198</v>
      </c>
      <c r="L210" s="91">
        <f t="shared" ref="L210" si="476">K210/K209-1</f>
        <v>5.0761421319795996E-3</v>
      </c>
      <c r="M210" s="81"/>
      <c r="N210" s="90">
        <v>44028</v>
      </c>
      <c r="O210" s="105">
        <v>198</v>
      </c>
      <c r="P210" s="91">
        <f t="shared" ref="P210" si="477">O210/O209-1</f>
        <v>5.0761421319795996E-3</v>
      </c>
      <c r="Q210" s="81"/>
      <c r="R210" s="90">
        <v>44028</v>
      </c>
      <c r="S210" s="105">
        <v>198</v>
      </c>
      <c r="T210" s="91">
        <f t="shared" ref="T210" si="478">S210/S209-1</f>
        <v>5.0761421319795996E-3</v>
      </c>
      <c r="U210" s="81"/>
      <c r="V210" s="106">
        <f t="shared" si="468"/>
        <v>44028</v>
      </c>
      <c r="W210" s="4">
        <f t="shared" si="469"/>
        <v>198</v>
      </c>
      <c r="X210" s="4">
        <f t="shared" si="470"/>
        <v>1</v>
      </c>
      <c r="Y210" s="4">
        <f t="shared" si="471"/>
        <v>198</v>
      </c>
      <c r="Z210" s="4">
        <f t="shared" si="472"/>
        <v>198</v>
      </c>
      <c r="AA210" s="4">
        <f t="shared" si="473"/>
        <v>198</v>
      </c>
    </row>
    <row r="211" spans="1:27" x14ac:dyDescent="0.35">
      <c r="A211" s="81"/>
      <c r="B211" s="88">
        <v>44029</v>
      </c>
      <c r="C211" s="104">
        <v>199</v>
      </c>
      <c r="D211" s="92">
        <f t="shared" ref="D211" si="479">C211/(C210)-1</f>
        <v>5.050505050504972E-3</v>
      </c>
      <c r="E211" s="81"/>
      <c r="F211" s="88">
        <v>44029</v>
      </c>
      <c r="G211" s="104">
        <v>199</v>
      </c>
      <c r="H211" s="92">
        <f t="shared" ref="H211" si="480">G211/(G210)-1</f>
        <v>198</v>
      </c>
      <c r="I211" s="81"/>
      <c r="J211" s="88">
        <v>44029</v>
      </c>
      <c r="K211" s="104">
        <v>199</v>
      </c>
      <c r="L211" s="92">
        <f t="shared" ref="L211" si="481">K211/(K210)-1</f>
        <v>5.050505050504972E-3</v>
      </c>
      <c r="M211" s="81"/>
      <c r="N211" s="88">
        <v>44029</v>
      </c>
      <c r="O211" s="104">
        <v>199</v>
      </c>
      <c r="P211" s="92">
        <f t="shared" ref="P211" si="482">O211/(O210)-1</f>
        <v>5.050505050504972E-3</v>
      </c>
      <c r="Q211" s="81"/>
      <c r="R211" s="88">
        <v>44029</v>
      </c>
      <c r="S211" s="104">
        <v>199</v>
      </c>
      <c r="T211" s="92">
        <f t="shared" ref="T211" si="483">S211/(S210)-1</f>
        <v>5.050505050504972E-3</v>
      </c>
      <c r="U211" s="81"/>
      <c r="V211" s="106">
        <f t="shared" si="468"/>
        <v>44029</v>
      </c>
      <c r="W211" s="4">
        <f t="shared" si="469"/>
        <v>199</v>
      </c>
      <c r="X211" s="4">
        <f t="shared" si="470"/>
        <v>199</v>
      </c>
      <c r="Y211" s="4">
        <f t="shared" si="471"/>
        <v>199</v>
      </c>
      <c r="Z211" s="4">
        <f t="shared" si="472"/>
        <v>199</v>
      </c>
      <c r="AA211" s="4">
        <f t="shared" si="473"/>
        <v>199</v>
      </c>
    </row>
    <row r="212" spans="1:27" x14ac:dyDescent="0.35">
      <c r="A212" s="81"/>
      <c r="B212" s="90">
        <v>44030</v>
      </c>
      <c r="C212" s="105">
        <v>200</v>
      </c>
      <c r="D212" s="91">
        <f t="shared" ref="D212:D240" si="484">C212/C211-1</f>
        <v>5.0251256281406143E-3</v>
      </c>
      <c r="E212" s="81"/>
      <c r="F212" s="90">
        <v>44030</v>
      </c>
      <c r="G212" s="105">
        <v>1</v>
      </c>
      <c r="H212" s="91">
        <f t="shared" ref="H212:H240" si="485">G212/G211-1</f>
        <v>-0.99497487437185927</v>
      </c>
      <c r="I212" s="81"/>
      <c r="J212" s="90">
        <v>44030</v>
      </c>
      <c r="K212" s="105">
        <v>200</v>
      </c>
      <c r="L212" s="91">
        <f t="shared" ref="L212:L240" si="486">K212/K211-1</f>
        <v>5.0251256281406143E-3</v>
      </c>
      <c r="M212" s="81"/>
      <c r="N212" s="90">
        <v>44030</v>
      </c>
      <c r="O212" s="105">
        <v>200</v>
      </c>
      <c r="P212" s="91">
        <f t="shared" ref="P212:P240" si="487">O212/O211-1</f>
        <v>5.0251256281406143E-3</v>
      </c>
      <c r="Q212" s="81"/>
      <c r="R212" s="90">
        <v>44030</v>
      </c>
      <c r="S212" s="105">
        <v>200</v>
      </c>
      <c r="T212" s="91">
        <f t="shared" ref="T212:T240" si="488">S212/S211-1</f>
        <v>5.0251256281406143E-3</v>
      </c>
      <c r="U212" s="81"/>
      <c r="V212" s="106">
        <f t="shared" si="468"/>
        <v>44030</v>
      </c>
      <c r="W212" s="4">
        <f t="shared" si="469"/>
        <v>200</v>
      </c>
      <c r="X212" s="4">
        <f t="shared" si="470"/>
        <v>1</v>
      </c>
      <c r="Y212" s="4">
        <f t="shared" si="471"/>
        <v>200</v>
      </c>
      <c r="Z212" s="4">
        <f t="shared" si="472"/>
        <v>200</v>
      </c>
      <c r="AA212" s="4">
        <f t="shared" si="473"/>
        <v>200</v>
      </c>
    </row>
    <row r="213" spans="1:27" x14ac:dyDescent="0.35">
      <c r="A213" s="81"/>
      <c r="B213" s="88">
        <v>44031</v>
      </c>
      <c r="C213" s="104">
        <v>201</v>
      </c>
      <c r="D213" s="92">
        <f t="shared" ref="D213:D241" si="489">C213/(C212)-1</f>
        <v>4.9999999999998934E-3</v>
      </c>
      <c r="E213" s="81"/>
      <c r="F213" s="88">
        <v>44031</v>
      </c>
      <c r="G213" s="104">
        <v>201</v>
      </c>
      <c r="H213" s="92">
        <f t="shared" ref="H213:H241" si="490">G213/(G212)-1</f>
        <v>200</v>
      </c>
      <c r="I213" s="81"/>
      <c r="J213" s="88">
        <v>44031</v>
      </c>
      <c r="K213" s="104">
        <v>201</v>
      </c>
      <c r="L213" s="92">
        <f t="shared" ref="L213:L241" si="491">K213/(K212)-1</f>
        <v>4.9999999999998934E-3</v>
      </c>
      <c r="M213" s="81"/>
      <c r="N213" s="88">
        <v>44031</v>
      </c>
      <c r="O213" s="104">
        <v>201</v>
      </c>
      <c r="P213" s="92">
        <f t="shared" ref="P213:P241" si="492">O213/(O212)-1</f>
        <v>4.9999999999998934E-3</v>
      </c>
      <c r="Q213" s="81"/>
      <c r="R213" s="88">
        <v>44031</v>
      </c>
      <c r="S213" s="104">
        <v>201</v>
      </c>
      <c r="T213" s="92">
        <f t="shared" ref="T213:T241" si="493">S213/(S212)-1</f>
        <v>4.9999999999998934E-3</v>
      </c>
      <c r="U213" s="81"/>
      <c r="V213" s="106">
        <f t="shared" si="468"/>
        <v>44031</v>
      </c>
      <c r="W213" s="4">
        <f t="shared" si="469"/>
        <v>201</v>
      </c>
      <c r="X213" s="4">
        <f t="shared" si="470"/>
        <v>201</v>
      </c>
      <c r="Y213" s="4">
        <f t="shared" si="471"/>
        <v>201</v>
      </c>
      <c r="Z213" s="4">
        <f t="shared" si="472"/>
        <v>201</v>
      </c>
      <c r="AA213" s="4">
        <f t="shared" si="473"/>
        <v>201</v>
      </c>
    </row>
    <row r="214" spans="1:27" x14ac:dyDescent="0.35">
      <c r="A214" s="81"/>
      <c r="B214" s="90">
        <v>44032</v>
      </c>
      <c r="C214" s="105">
        <v>202</v>
      </c>
      <c r="D214" s="91">
        <f t="shared" ref="D214:D242" si="494">C214/C213-1</f>
        <v>4.9751243781095411E-3</v>
      </c>
      <c r="E214" s="81"/>
      <c r="F214" s="90">
        <v>44032</v>
      </c>
      <c r="G214" s="105">
        <v>202</v>
      </c>
      <c r="H214" s="91">
        <f t="shared" ref="H214:H242" si="495">G214/G213-1</f>
        <v>4.9751243781095411E-3</v>
      </c>
      <c r="I214" s="81"/>
      <c r="J214" s="90">
        <v>44032</v>
      </c>
      <c r="K214" s="105">
        <v>202</v>
      </c>
      <c r="L214" s="91">
        <f t="shared" ref="L214:L242" si="496">K214/K213-1</f>
        <v>4.9751243781095411E-3</v>
      </c>
      <c r="M214" s="81"/>
      <c r="N214" s="90">
        <v>44032</v>
      </c>
      <c r="O214" s="105">
        <v>202</v>
      </c>
      <c r="P214" s="91">
        <f t="shared" ref="P214:P242" si="497">O214/O213-1</f>
        <v>4.9751243781095411E-3</v>
      </c>
      <c r="Q214" s="81"/>
      <c r="R214" s="90">
        <v>44032</v>
      </c>
      <c r="S214" s="105">
        <v>202</v>
      </c>
      <c r="T214" s="91">
        <f t="shared" ref="T214:T242" si="498">S214/S213-1</f>
        <v>4.9751243781095411E-3</v>
      </c>
      <c r="U214" s="81"/>
      <c r="V214" s="106">
        <f t="shared" si="468"/>
        <v>44032</v>
      </c>
      <c r="W214" s="4">
        <f t="shared" si="469"/>
        <v>202</v>
      </c>
      <c r="X214" s="4">
        <f t="shared" si="470"/>
        <v>202</v>
      </c>
      <c r="Y214" s="4">
        <f t="shared" si="471"/>
        <v>202</v>
      </c>
      <c r="Z214" s="4">
        <f t="shared" si="472"/>
        <v>202</v>
      </c>
      <c r="AA214" s="4">
        <f t="shared" si="473"/>
        <v>202</v>
      </c>
    </row>
    <row r="215" spans="1:27" x14ac:dyDescent="0.35">
      <c r="A215" s="81"/>
      <c r="B215" s="88">
        <v>44033</v>
      </c>
      <c r="C215" s="104">
        <v>203</v>
      </c>
      <c r="D215" s="92">
        <f t="shared" ref="D215:D243" si="499">C215/(C214)-1</f>
        <v>4.9504950495049549E-3</v>
      </c>
      <c r="E215" s="81"/>
      <c r="F215" s="88">
        <v>44033</v>
      </c>
      <c r="G215" s="104">
        <v>203</v>
      </c>
      <c r="H215" s="92">
        <f t="shared" ref="H215:H243" si="500">G215/(G214)-1</f>
        <v>4.9504950495049549E-3</v>
      </c>
      <c r="I215" s="81"/>
      <c r="J215" s="88">
        <v>44033</v>
      </c>
      <c r="K215" s="104">
        <v>203</v>
      </c>
      <c r="L215" s="92">
        <f t="shared" ref="L215:L243" si="501">K215/(K214)-1</f>
        <v>4.9504950495049549E-3</v>
      </c>
      <c r="M215" s="81"/>
      <c r="N215" s="88">
        <v>44033</v>
      </c>
      <c r="O215" s="104">
        <v>203</v>
      </c>
      <c r="P215" s="92">
        <f t="shared" ref="P215:P243" si="502">O215/(O214)-1</f>
        <v>4.9504950495049549E-3</v>
      </c>
      <c r="Q215" s="81"/>
      <c r="R215" s="88">
        <v>44033</v>
      </c>
      <c r="S215" s="104">
        <v>203</v>
      </c>
      <c r="T215" s="92">
        <f t="shared" ref="T215:T243" si="503">S215/(S214)-1</f>
        <v>4.9504950495049549E-3</v>
      </c>
      <c r="U215" s="81"/>
      <c r="V215" s="106">
        <f t="shared" si="468"/>
        <v>44033</v>
      </c>
      <c r="W215" s="4">
        <f t="shared" si="469"/>
        <v>203</v>
      </c>
      <c r="X215" s="4">
        <f t="shared" si="470"/>
        <v>203</v>
      </c>
      <c r="Y215" s="4">
        <f t="shared" si="471"/>
        <v>203</v>
      </c>
      <c r="Z215" s="4">
        <f t="shared" si="472"/>
        <v>203</v>
      </c>
      <c r="AA215" s="4">
        <f t="shared" si="473"/>
        <v>203</v>
      </c>
    </row>
    <row r="216" spans="1:27" x14ac:dyDescent="0.35">
      <c r="A216" s="81"/>
      <c r="B216" s="90">
        <v>44034</v>
      </c>
      <c r="C216" s="105">
        <v>204</v>
      </c>
      <c r="D216" s="91">
        <f t="shared" ref="D216:D244" si="504">C216/C215-1</f>
        <v>4.9261083743843415E-3</v>
      </c>
      <c r="E216" s="81"/>
      <c r="F216" s="90">
        <v>44034</v>
      </c>
      <c r="G216" s="105">
        <v>204</v>
      </c>
      <c r="H216" s="91">
        <f t="shared" ref="H216:H244" si="505">G216/G215-1</f>
        <v>4.9261083743843415E-3</v>
      </c>
      <c r="I216" s="81"/>
      <c r="J216" s="90">
        <v>44034</v>
      </c>
      <c r="K216" s="105">
        <v>204</v>
      </c>
      <c r="L216" s="91">
        <f t="shared" ref="L216:L244" si="506">K216/K215-1</f>
        <v>4.9261083743843415E-3</v>
      </c>
      <c r="M216" s="81"/>
      <c r="N216" s="90">
        <v>44034</v>
      </c>
      <c r="O216" s="105">
        <v>204</v>
      </c>
      <c r="P216" s="91">
        <f t="shared" ref="P216:P244" si="507">O216/O215-1</f>
        <v>4.9261083743843415E-3</v>
      </c>
      <c r="Q216" s="81"/>
      <c r="R216" s="90">
        <v>44034</v>
      </c>
      <c r="S216" s="105">
        <v>204</v>
      </c>
      <c r="T216" s="91">
        <f t="shared" ref="T216:T244" si="508">S216/S215-1</f>
        <v>4.9261083743843415E-3</v>
      </c>
      <c r="U216" s="81"/>
      <c r="V216" s="106">
        <f t="shared" si="468"/>
        <v>44034</v>
      </c>
      <c r="W216" s="4">
        <f t="shared" si="469"/>
        <v>204</v>
      </c>
      <c r="X216" s="4">
        <f t="shared" si="470"/>
        <v>204</v>
      </c>
      <c r="Y216" s="4">
        <f t="shared" si="471"/>
        <v>204</v>
      </c>
      <c r="Z216" s="4">
        <f t="shared" si="472"/>
        <v>204</v>
      </c>
      <c r="AA216" s="4">
        <f t="shared" si="473"/>
        <v>204</v>
      </c>
    </row>
    <row r="217" spans="1:27" x14ac:dyDescent="0.35">
      <c r="A217" s="81"/>
      <c r="B217" s="88">
        <v>44035</v>
      </c>
      <c r="C217" s="104">
        <v>205</v>
      </c>
      <c r="D217" s="92">
        <f t="shared" ref="D217:D245" si="509">C217/(C216)-1</f>
        <v>4.9019607843137081E-3</v>
      </c>
      <c r="E217" s="81"/>
      <c r="F217" s="88">
        <v>44035</v>
      </c>
      <c r="G217" s="104">
        <v>205</v>
      </c>
      <c r="H217" s="92">
        <f t="shared" ref="H217:H245" si="510">G217/(G216)-1</f>
        <v>4.9019607843137081E-3</v>
      </c>
      <c r="I217" s="81"/>
      <c r="J217" s="88">
        <v>44035</v>
      </c>
      <c r="K217" s="104">
        <v>205</v>
      </c>
      <c r="L217" s="92">
        <f t="shared" ref="L217:L245" si="511">K217/(K216)-1</f>
        <v>4.9019607843137081E-3</v>
      </c>
      <c r="M217" s="81"/>
      <c r="N217" s="88">
        <v>44035</v>
      </c>
      <c r="O217" s="104">
        <v>205</v>
      </c>
      <c r="P217" s="92">
        <f t="shared" ref="P217:P245" si="512">O217/(O216)-1</f>
        <v>4.9019607843137081E-3</v>
      </c>
      <c r="Q217" s="81"/>
      <c r="R217" s="88">
        <v>44035</v>
      </c>
      <c r="S217" s="104">
        <v>205</v>
      </c>
      <c r="T217" s="92">
        <f t="shared" ref="T217:T245" si="513">S217/(S216)-1</f>
        <v>4.9019607843137081E-3</v>
      </c>
      <c r="U217" s="81"/>
      <c r="V217" s="106">
        <f t="shared" si="468"/>
        <v>44035</v>
      </c>
      <c r="W217" s="4">
        <f t="shared" si="469"/>
        <v>205</v>
      </c>
      <c r="X217" s="4">
        <f t="shared" si="470"/>
        <v>205</v>
      </c>
      <c r="Y217" s="4">
        <f t="shared" si="471"/>
        <v>205</v>
      </c>
      <c r="Z217" s="4">
        <f t="shared" si="472"/>
        <v>205</v>
      </c>
      <c r="AA217" s="4">
        <f t="shared" si="473"/>
        <v>205</v>
      </c>
    </row>
    <row r="218" spans="1:27" x14ac:dyDescent="0.35">
      <c r="A218" s="81"/>
      <c r="B218" s="90">
        <v>44036</v>
      </c>
      <c r="C218" s="105">
        <v>206</v>
      </c>
      <c r="D218" s="91">
        <f t="shared" ref="D218:D246" si="514">C218/C217-1</f>
        <v>4.8780487804878092E-3</v>
      </c>
      <c r="E218" s="81"/>
      <c r="F218" s="90">
        <v>44036</v>
      </c>
      <c r="G218" s="105">
        <v>206</v>
      </c>
      <c r="H218" s="91">
        <f t="shared" ref="H218:H246" si="515">G218/G217-1</f>
        <v>4.8780487804878092E-3</v>
      </c>
      <c r="I218" s="81"/>
      <c r="J218" s="90">
        <v>44036</v>
      </c>
      <c r="K218" s="105">
        <v>206</v>
      </c>
      <c r="L218" s="91">
        <f t="shared" ref="L218:L246" si="516">K218/K217-1</f>
        <v>4.8780487804878092E-3</v>
      </c>
      <c r="M218" s="81"/>
      <c r="N218" s="90">
        <v>44036</v>
      </c>
      <c r="O218" s="105">
        <v>206</v>
      </c>
      <c r="P218" s="91">
        <f t="shared" ref="P218:P246" si="517">O218/O217-1</f>
        <v>4.8780487804878092E-3</v>
      </c>
      <c r="Q218" s="81"/>
      <c r="R218" s="90">
        <v>44036</v>
      </c>
      <c r="S218" s="105">
        <v>206</v>
      </c>
      <c r="T218" s="91">
        <f t="shared" ref="T218:T246" si="518">S218/S217-1</f>
        <v>4.8780487804878092E-3</v>
      </c>
      <c r="U218" s="81"/>
      <c r="V218" s="106">
        <f t="shared" si="468"/>
        <v>44036</v>
      </c>
      <c r="W218" s="4">
        <f t="shared" si="469"/>
        <v>206</v>
      </c>
      <c r="X218" s="4">
        <f t="shared" si="470"/>
        <v>206</v>
      </c>
      <c r="Y218" s="4">
        <f t="shared" si="471"/>
        <v>206</v>
      </c>
      <c r="Z218" s="4">
        <f t="shared" si="472"/>
        <v>206</v>
      </c>
      <c r="AA218" s="4">
        <f t="shared" si="473"/>
        <v>206</v>
      </c>
    </row>
    <row r="219" spans="1:27" x14ac:dyDescent="0.35">
      <c r="A219" s="81"/>
      <c r="B219" s="88">
        <v>44037</v>
      </c>
      <c r="C219" s="104">
        <v>207</v>
      </c>
      <c r="D219" s="92">
        <f t="shared" ref="D219:D247" si="519">C219/(C218)-1</f>
        <v>4.8543689320388328E-3</v>
      </c>
      <c r="E219" s="81"/>
      <c r="F219" s="88">
        <v>44037</v>
      </c>
      <c r="G219" s="104">
        <v>207</v>
      </c>
      <c r="H219" s="92">
        <f t="shared" ref="H219:H247" si="520">G219/(G218)-1</f>
        <v>4.8543689320388328E-3</v>
      </c>
      <c r="I219" s="81"/>
      <c r="J219" s="88">
        <v>44037</v>
      </c>
      <c r="K219" s="104">
        <v>207</v>
      </c>
      <c r="L219" s="92">
        <f t="shared" ref="L219:L247" si="521">K219/(K218)-1</f>
        <v>4.8543689320388328E-3</v>
      </c>
      <c r="M219" s="81"/>
      <c r="N219" s="88">
        <v>44037</v>
      </c>
      <c r="O219" s="104">
        <v>207</v>
      </c>
      <c r="P219" s="92">
        <f t="shared" ref="P219:P247" si="522">O219/(O218)-1</f>
        <v>4.8543689320388328E-3</v>
      </c>
      <c r="Q219" s="81"/>
      <c r="R219" s="88">
        <v>44037</v>
      </c>
      <c r="S219" s="104">
        <v>207</v>
      </c>
      <c r="T219" s="92">
        <f t="shared" ref="T219:T247" si="523">S219/(S218)-1</f>
        <v>4.8543689320388328E-3</v>
      </c>
      <c r="U219" s="81"/>
      <c r="V219" s="106">
        <f t="shared" si="468"/>
        <v>44037</v>
      </c>
      <c r="W219" s="4">
        <f t="shared" si="469"/>
        <v>207</v>
      </c>
      <c r="X219" s="4">
        <f t="shared" si="470"/>
        <v>207</v>
      </c>
      <c r="Y219" s="4">
        <f t="shared" si="471"/>
        <v>207</v>
      </c>
      <c r="Z219" s="4">
        <f t="shared" si="472"/>
        <v>207</v>
      </c>
      <c r="AA219" s="4">
        <f t="shared" si="473"/>
        <v>207</v>
      </c>
    </row>
    <row r="220" spans="1:27" x14ac:dyDescent="0.35">
      <c r="A220" s="81"/>
      <c r="B220" s="90">
        <v>44038</v>
      </c>
      <c r="C220" s="105">
        <v>208</v>
      </c>
      <c r="D220" s="91">
        <f t="shared" ref="D220:D248" si="524">C220/C219-1</f>
        <v>4.8309178743961567E-3</v>
      </c>
      <c r="E220" s="81"/>
      <c r="F220" s="90">
        <v>44038</v>
      </c>
      <c r="G220" s="105">
        <v>208</v>
      </c>
      <c r="H220" s="91">
        <f t="shared" ref="H220:H248" si="525">G220/G219-1</f>
        <v>4.8309178743961567E-3</v>
      </c>
      <c r="I220" s="81"/>
      <c r="J220" s="90">
        <v>44038</v>
      </c>
      <c r="K220" s="105">
        <v>208</v>
      </c>
      <c r="L220" s="91">
        <f t="shared" ref="L220:L248" si="526">K220/K219-1</f>
        <v>4.8309178743961567E-3</v>
      </c>
      <c r="M220" s="81"/>
      <c r="N220" s="90">
        <v>44038</v>
      </c>
      <c r="O220" s="105">
        <v>208</v>
      </c>
      <c r="P220" s="91">
        <f t="shared" ref="P220:P248" si="527">O220/O219-1</f>
        <v>4.8309178743961567E-3</v>
      </c>
      <c r="Q220" s="81"/>
      <c r="R220" s="90">
        <v>44038</v>
      </c>
      <c r="S220" s="105">
        <v>208</v>
      </c>
      <c r="T220" s="91">
        <f t="shared" ref="T220:T248" si="528">S220/S219-1</f>
        <v>4.8309178743961567E-3</v>
      </c>
      <c r="U220" s="81"/>
      <c r="V220" s="106">
        <f t="shared" si="468"/>
        <v>44038</v>
      </c>
      <c r="W220" s="4">
        <f t="shared" si="469"/>
        <v>208</v>
      </c>
      <c r="X220" s="4">
        <f t="shared" si="470"/>
        <v>208</v>
      </c>
      <c r="Y220" s="4">
        <f t="shared" si="471"/>
        <v>208</v>
      </c>
      <c r="Z220" s="4">
        <f t="shared" si="472"/>
        <v>208</v>
      </c>
      <c r="AA220" s="4">
        <f t="shared" si="473"/>
        <v>208</v>
      </c>
    </row>
    <row r="221" spans="1:27" x14ac:dyDescent="0.35">
      <c r="A221" s="81"/>
      <c r="B221" s="88">
        <v>44039</v>
      </c>
      <c r="C221" s="104">
        <v>209</v>
      </c>
      <c r="D221" s="92">
        <f t="shared" ref="D221:D249" si="529">C221/(C220)-1</f>
        <v>4.8076923076922906E-3</v>
      </c>
      <c r="E221" s="81"/>
      <c r="F221" s="88">
        <v>44039</v>
      </c>
      <c r="G221" s="104">
        <v>209</v>
      </c>
      <c r="H221" s="92">
        <f t="shared" ref="H221:H249" si="530">G221/(G220)-1</f>
        <v>4.8076923076922906E-3</v>
      </c>
      <c r="I221" s="81"/>
      <c r="J221" s="88">
        <v>44039</v>
      </c>
      <c r="K221" s="104">
        <v>209</v>
      </c>
      <c r="L221" s="92">
        <f t="shared" ref="L221:L249" si="531">K221/(K220)-1</f>
        <v>4.8076923076922906E-3</v>
      </c>
      <c r="M221" s="81"/>
      <c r="N221" s="88">
        <v>44039</v>
      </c>
      <c r="O221" s="104">
        <v>209</v>
      </c>
      <c r="P221" s="92">
        <f t="shared" ref="P221:P249" si="532">O221/(O220)-1</f>
        <v>4.8076923076922906E-3</v>
      </c>
      <c r="Q221" s="81"/>
      <c r="R221" s="88">
        <v>44039</v>
      </c>
      <c r="S221" s="104">
        <v>209</v>
      </c>
      <c r="T221" s="92">
        <f t="shared" ref="T221:T249" si="533">S221/(S220)-1</f>
        <v>4.8076923076922906E-3</v>
      </c>
      <c r="U221" s="81"/>
      <c r="V221" s="106">
        <f t="shared" si="468"/>
        <v>44039</v>
      </c>
      <c r="W221" s="4">
        <f t="shared" si="469"/>
        <v>209</v>
      </c>
      <c r="X221" s="4">
        <f t="shared" si="470"/>
        <v>209</v>
      </c>
      <c r="Y221" s="4">
        <f t="shared" si="471"/>
        <v>209</v>
      </c>
      <c r="Z221" s="4">
        <f t="shared" si="472"/>
        <v>209</v>
      </c>
      <c r="AA221" s="4">
        <f t="shared" si="473"/>
        <v>209</v>
      </c>
    </row>
    <row r="222" spans="1:27" x14ac:dyDescent="0.35">
      <c r="A222" s="81"/>
      <c r="B222" s="90">
        <v>44040</v>
      </c>
      <c r="C222" s="105">
        <v>210</v>
      </c>
      <c r="D222" s="91">
        <f t="shared" ref="D222:D250" si="534">C222/C221-1</f>
        <v>4.7846889952152249E-3</v>
      </c>
      <c r="E222" s="81"/>
      <c r="F222" s="90">
        <v>44040</v>
      </c>
      <c r="G222" s="105">
        <v>210</v>
      </c>
      <c r="H222" s="91">
        <f t="shared" ref="H222:H250" si="535">G222/G221-1</f>
        <v>4.7846889952152249E-3</v>
      </c>
      <c r="I222" s="81"/>
      <c r="J222" s="90">
        <v>44040</v>
      </c>
      <c r="K222" s="105">
        <v>210</v>
      </c>
      <c r="L222" s="91">
        <f t="shared" ref="L222:L250" si="536">K222/K221-1</f>
        <v>4.7846889952152249E-3</v>
      </c>
      <c r="M222" s="81"/>
      <c r="N222" s="90">
        <v>44040</v>
      </c>
      <c r="O222" s="105">
        <v>210</v>
      </c>
      <c r="P222" s="91">
        <f t="shared" ref="P222:P250" si="537">O222/O221-1</f>
        <v>4.7846889952152249E-3</v>
      </c>
      <c r="Q222" s="81"/>
      <c r="R222" s="90">
        <v>44040</v>
      </c>
      <c r="S222" s="105">
        <v>210</v>
      </c>
      <c r="T222" s="91">
        <f t="shared" ref="T222:T250" si="538">S222/S221-1</f>
        <v>4.7846889952152249E-3</v>
      </c>
      <c r="U222" s="81"/>
      <c r="V222" s="106">
        <f t="shared" si="468"/>
        <v>44040</v>
      </c>
      <c r="W222" s="4">
        <f t="shared" si="469"/>
        <v>210</v>
      </c>
      <c r="X222" s="4">
        <f t="shared" si="470"/>
        <v>210</v>
      </c>
      <c r="Y222" s="4">
        <f t="shared" si="471"/>
        <v>210</v>
      </c>
      <c r="Z222" s="4">
        <f t="shared" si="472"/>
        <v>210</v>
      </c>
      <c r="AA222" s="4">
        <f t="shared" si="473"/>
        <v>210</v>
      </c>
    </row>
    <row r="223" spans="1:27" x14ac:dyDescent="0.35">
      <c r="A223" s="81"/>
      <c r="B223" s="88">
        <v>44041</v>
      </c>
      <c r="C223" s="104">
        <v>211</v>
      </c>
      <c r="D223" s="92">
        <f t="shared" ref="D223" si="539">C223/(C222)-1</f>
        <v>4.761904761904745E-3</v>
      </c>
      <c r="E223" s="81"/>
      <c r="F223" s="88">
        <v>44041</v>
      </c>
      <c r="G223" s="104">
        <v>211</v>
      </c>
      <c r="H223" s="92">
        <f t="shared" ref="H223" si="540">G223/(G222)-1</f>
        <v>4.761904761904745E-3</v>
      </c>
      <c r="I223" s="81"/>
      <c r="J223" s="88">
        <v>44041</v>
      </c>
      <c r="K223" s="104">
        <v>211</v>
      </c>
      <c r="L223" s="92">
        <f t="shared" ref="L223" si="541">K223/(K222)-1</f>
        <v>4.761904761904745E-3</v>
      </c>
      <c r="M223" s="81"/>
      <c r="N223" s="88">
        <v>44041</v>
      </c>
      <c r="O223" s="104">
        <v>211</v>
      </c>
      <c r="P223" s="92">
        <f t="shared" ref="P223" si="542">O223/(O222)-1</f>
        <v>4.761904761904745E-3</v>
      </c>
      <c r="Q223" s="81"/>
      <c r="R223" s="88">
        <v>44041</v>
      </c>
      <c r="S223" s="104">
        <v>211</v>
      </c>
      <c r="T223" s="92">
        <f t="shared" ref="T223" si="543">S223/(S222)-1</f>
        <v>4.761904761904745E-3</v>
      </c>
      <c r="U223" s="81"/>
      <c r="V223" s="106">
        <f t="shared" si="468"/>
        <v>44041</v>
      </c>
      <c r="W223" s="4">
        <f t="shared" si="469"/>
        <v>211</v>
      </c>
      <c r="X223" s="4">
        <f t="shared" si="470"/>
        <v>211</v>
      </c>
      <c r="Y223" s="4">
        <f t="shared" si="471"/>
        <v>211</v>
      </c>
      <c r="Z223" s="4">
        <f t="shared" si="472"/>
        <v>211</v>
      </c>
      <c r="AA223" s="4">
        <f t="shared" si="473"/>
        <v>211</v>
      </c>
    </row>
    <row r="224" spans="1:27" x14ac:dyDescent="0.35">
      <c r="A224" s="81"/>
      <c r="B224" s="90">
        <v>44042</v>
      </c>
      <c r="C224" s="105">
        <v>212</v>
      </c>
      <c r="D224" s="91">
        <f t="shared" ref="D224" si="544">C224/C223-1</f>
        <v>4.7393364928909332E-3</v>
      </c>
      <c r="E224" s="81"/>
      <c r="F224" s="90">
        <v>44042</v>
      </c>
      <c r="G224" s="105">
        <v>212</v>
      </c>
      <c r="H224" s="91">
        <f t="shared" ref="H224" si="545">G224/G223-1</f>
        <v>4.7393364928909332E-3</v>
      </c>
      <c r="I224" s="81"/>
      <c r="J224" s="90">
        <v>44042</v>
      </c>
      <c r="K224" s="105">
        <v>212</v>
      </c>
      <c r="L224" s="91">
        <f t="shared" ref="L224" si="546">K224/K223-1</f>
        <v>4.7393364928909332E-3</v>
      </c>
      <c r="M224" s="81"/>
      <c r="N224" s="90">
        <v>44042</v>
      </c>
      <c r="O224" s="105">
        <v>212</v>
      </c>
      <c r="P224" s="91">
        <f t="shared" ref="P224" si="547">O224/O223-1</f>
        <v>4.7393364928909332E-3</v>
      </c>
      <c r="Q224" s="81"/>
      <c r="R224" s="90">
        <v>44042</v>
      </c>
      <c r="S224" s="105">
        <v>212</v>
      </c>
      <c r="T224" s="91">
        <f t="shared" ref="T224" si="548">S224/S223-1</f>
        <v>4.7393364928909332E-3</v>
      </c>
      <c r="U224" s="81"/>
      <c r="V224" s="106">
        <f t="shared" si="468"/>
        <v>44042</v>
      </c>
      <c r="W224" s="4">
        <f t="shared" si="469"/>
        <v>212</v>
      </c>
      <c r="X224" s="4">
        <f t="shared" si="470"/>
        <v>212</v>
      </c>
      <c r="Y224" s="4">
        <f t="shared" si="471"/>
        <v>212</v>
      </c>
      <c r="Z224" s="4">
        <f t="shared" si="472"/>
        <v>212</v>
      </c>
      <c r="AA224" s="4">
        <f t="shared" si="473"/>
        <v>212</v>
      </c>
    </row>
    <row r="225" spans="1:27" x14ac:dyDescent="0.35">
      <c r="A225" s="81"/>
      <c r="B225" s="88">
        <v>44043</v>
      </c>
      <c r="C225" s="104">
        <v>213</v>
      </c>
      <c r="D225" s="92">
        <f t="shared" ref="D225" si="549">C225/(C224)-1</f>
        <v>4.7169811320755262E-3</v>
      </c>
      <c r="E225" s="81"/>
      <c r="F225" s="88">
        <v>44043</v>
      </c>
      <c r="G225" s="104">
        <v>213</v>
      </c>
      <c r="H225" s="92">
        <f t="shared" ref="H225" si="550">G225/(G224)-1</f>
        <v>4.7169811320755262E-3</v>
      </c>
      <c r="I225" s="81"/>
      <c r="J225" s="88">
        <v>44043</v>
      </c>
      <c r="K225" s="104">
        <v>213</v>
      </c>
      <c r="L225" s="92">
        <f t="shared" ref="L225" si="551">K225/(K224)-1</f>
        <v>4.7169811320755262E-3</v>
      </c>
      <c r="M225" s="81"/>
      <c r="N225" s="88">
        <v>44043</v>
      </c>
      <c r="O225" s="104">
        <v>213</v>
      </c>
      <c r="P225" s="92">
        <f t="shared" ref="P225" si="552">O225/(O224)-1</f>
        <v>4.7169811320755262E-3</v>
      </c>
      <c r="Q225" s="81"/>
      <c r="R225" s="88">
        <v>44043</v>
      </c>
      <c r="S225" s="104">
        <v>213</v>
      </c>
      <c r="T225" s="92">
        <f t="shared" ref="T225" si="553">S225/(S224)-1</f>
        <v>4.7169811320755262E-3</v>
      </c>
      <c r="U225" s="81"/>
      <c r="V225" s="106">
        <f t="shared" si="468"/>
        <v>44043</v>
      </c>
      <c r="W225" s="4">
        <f t="shared" si="469"/>
        <v>213</v>
      </c>
      <c r="X225" s="4">
        <f t="shared" si="470"/>
        <v>213</v>
      </c>
      <c r="Y225" s="4">
        <f t="shared" si="471"/>
        <v>213</v>
      </c>
      <c r="Z225" s="4">
        <f t="shared" si="472"/>
        <v>213</v>
      </c>
      <c r="AA225" s="4">
        <f t="shared" si="473"/>
        <v>213</v>
      </c>
    </row>
    <row r="226" spans="1:27" x14ac:dyDescent="0.35">
      <c r="A226" s="81"/>
      <c r="B226" s="90">
        <v>44044</v>
      </c>
      <c r="C226" s="105">
        <v>214</v>
      </c>
      <c r="D226" s="91">
        <f t="shared" ref="D226" si="554">C226/C225-1</f>
        <v>4.6948356807512415E-3</v>
      </c>
      <c r="E226" s="81"/>
      <c r="F226" s="90">
        <v>44044</v>
      </c>
      <c r="G226" s="105">
        <v>214</v>
      </c>
      <c r="H226" s="91">
        <f t="shared" ref="H226" si="555">G226/G225-1</f>
        <v>4.6948356807512415E-3</v>
      </c>
      <c r="I226" s="81"/>
      <c r="J226" s="90">
        <v>44044</v>
      </c>
      <c r="K226" s="105">
        <v>214</v>
      </c>
      <c r="L226" s="91">
        <f t="shared" ref="L226" si="556">K226/K225-1</f>
        <v>4.6948356807512415E-3</v>
      </c>
      <c r="M226" s="81"/>
      <c r="N226" s="90">
        <v>44044</v>
      </c>
      <c r="O226" s="105">
        <v>214</v>
      </c>
      <c r="P226" s="91">
        <f t="shared" ref="P226" si="557">O226/O225-1</f>
        <v>4.6948356807512415E-3</v>
      </c>
      <c r="Q226" s="81"/>
      <c r="R226" s="90">
        <v>44044</v>
      </c>
      <c r="S226" s="105">
        <v>214</v>
      </c>
      <c r="T226" s="91">
        <f t="shared" ref="T226" si="558">S226/S225-1</f>
        <v>4.6948356807512415E-3</v>
      </c>
      <c r="U226" s="81"/>
      <c r="V226" s="106">
        <f t="shared" si="468"/>
        <v>44044</v>
      </c>
      <c r="W226" s="4">
        <f t="shared" si="469"/>
        <v>214</v>
      </c>
      <c r="X226" s="4">
        <f t="shared" si="470"/>
        <v>214</v>
      </c>
      <c r="Y226" s="4">
        <f t="shared" si="471"/>
        <v>214</v>
      </c>
      <c r="Z226" s="4">
        <f t="shared" si="472"/>
        <v>214</v>
      </c>
      <c r="AA226" s="4">
        <f t="shared" si="473"/>
        <v>214</v>
      </c>
    </row>
    <row r="227" spans="1:27" x14ac:dyDescent="0.35">
      <c r="A227" s="81"/>
      <c r="B227" s="88">
        <v>44045</v>
      </c>
      <c r="C227" s="104">
        <v>215</v>
      </c>
      <c r="D227" s="92">
        <f t="shared" ref="D227" si="559">C227/(C226)-1</f>
        <v>4.6728971962617383E-3</v>
      </c>
      <c r="E227" s="81"/>
      <c r="F227" s="88">
        <v>44045</v>
      </c>
      <c r="G227" s="104">
        <v>215</v>
      </c>
      <c r="H227" s="92">
        <f t="shared" ref="H227" si="560">G227/(G226)-1</f>
        <v>4.6728971962617383E-3</v>
      </c>
      <c r="I227" s="81"/>
      <c r="J227" s="88">
        <v>44045</v>
      </c>
      <c r="K227" s="104">
        <v>215</v>
      </c>
      <c r="L227" s="92">
        <f t="shared" ref="L227" si="561">K227/(K226)-1</f>
        <v>4.6728971962617383E-3</v>
      </c>
      <c r="M227" s="81"/>
      <c r="N227" s="88">
        <v>44045</v>
      </c>
      <c r="O227" s="104">
        <v>215</v>
      </c>
      <c r="P227" s="92">
        <f t="shared" ref="P227" si="562">O227/(O226)-1</f>
        <v>4.6728971962617383E-3</v>
      </c>
      <c r="Q227" s="81"/>
      <c r="R227" s="88">
        <v>44045</v>
      </c>
      <c r="S227" s="104">
        <v>215</v>
      </c>
      <c r="T227" s="92">
        <f t="shared" ref="T227" si="563">S227/(S226)-1</f>
        <v>4.6728971962617383E-3</v>
      </c>
      <c r="U227" s="81"/>
      <c r="V227" s="106">
        <f t="shared" si="468"/>
        <v>44045</v>
      </c>
      <c r="W227" s="4">
        <f t="shared" si="469"/>
        <v>215</v>
      </c>
      <c r="X227" s="4">
        <f t="shared" si="470"/>
        <v>215</v>
      </c>
      <c r="Y227" s="4">
        <f t="shared" si="471"/>
        <v>215</v>
      </c>
      <c r="Z227" s="4">
        <f t="shared" si="472"/>
        <v>215</v>
      </c>
      <c r="AA227" s="4">
        <f t="shared" si="473"/>
        <v>215</v>
      </c>
    </row>
    <row r="228" spans="1:27" x14ac:dyDescent="0.35">
      <c r="A228" s="81"/>
      <c r="B228" s="90">
        <v>44046</v>
      </c>
      <c r="C228" s="105">
        <v>216</v>
      </c>
      <c r="D228" s="91">
        <f t="shared" ref="D228" si="564">C228/C227-1</f>
        <v>4.6511627906977715E-3</v>
      </c>
      <c r="E228" s="81"/>
      <c r="F228" s="90">
        <v>44046</v>
      </c>
      <c r="G228" s="105">
        <v>216</v>
      </c>
      <c r="H228" s="91">
        <f t="shared" ref="H228" si="565">G228/G227-1</f>
        <v>4.6511627906977715E-3</v>
      </c>
      <c r="I228" s="81"/>
      <c r="J228" s="90">
        <v>44046</v>
      </c>
      <c r="K228" s="105">
        <v>216</v>
      </c>
      <c r="L228" s="91">
        <f t="shared" ref="L228" si="566">K228/K227-1</f>
        <v>4.6511627906977715E-3</v>
      </c>
      <c r="M228" s="81"/>
      <c r="N228" s="90">
        <v>44046</v>
      </c>
      <c r="O228" s="105">
        <v>216</v>
      </c>
      <c r="P228" s="91">
        <f t="shared" ref="P228" si="567">O228/O227-1</f>
        <v>4.6511627906977715E-3</v>
      </c>
      <c r="Q228" s="81"/>
      <c r="R228" s="90">
        <v>44046</v>
      </c>
      <c r="S228" s="105">
        <v>216</v>
      </c>
      <c r="T228" s="91">
        <f t="shared" ref="T228" si="568">S228/S227-1</f>
        <v>4.6511627906977715E-3</v>
      </c>
      <c r="U228" s="81"/>
      <c r="V228" s="106">
        <f t="shared" si="468"/>
        <v>44046</v>
      </c>
      <c r="W228" s="4">
        <f t="shared" si="469"/>
        <v>216</v>
      </c>
      <c r="X228" s="4">
        <f t="shared" si="470"/>
        <v>216</v>
      </c>
      <c r="Y228" s="4">
        <f t="shared" si="471"/>
        <v>216</v>
      </c>
      <c r="Z228" s="4">
        <f t="shared" si="472"/>
        <v>216</v>
      </c>
      <c r="AA228" s="4">
        <f t="shared" si="473"/>
        <v>216</v>
      </c>
    </row>
    <row r="229" spans="1:27" x14ac:dyDescent="0.35">
      <c r="A229" s="81"/>
      <c r="B229" s="88">
        <v>44047</v>
      </c>
      <c r="C229" s="104">
        <v>217</v>
      </c>
      <c r="D229" s="92">
        <f t="shared" ref="D229" si="569">C229/(C228)-1</f>
        <v>4.6296296296295392E-3</v>
      </c>
      <c r="E229" s="81"/>
      <c r="F229" s="88">
        <v>44047</v>
      </c>
      <c r="G229" s="104">
        <v>217</v>
      </c>
      <c r="H229" s="92">
        <f t="shared" ref="H229" si="570">G229/(G228)-1</f>
        <v>4.6296296296295392E-3</v>
      </c>
      <c r="I229" s="81"/>
      <c r="J229" s="88">
        <v>44047</v>
      </c>
      <c r="K229" s="104">
        <v>217</v>
      </c>
      <c r="L229" s="92">
        <f t="shared" ref="L229" si="571">K229/(K228)-1</f>
        <v>4.6296296296295392E-3</v>
      </c>
      <c r="M229" s="81"/>
      <c r="N229" s="88">
        <v>44047</v>
      </c>
      <c r="O229" s="104">
        <v>217</v>
      </c>
      <c r="P229" s="92">
        <f t="shared" ref="P229" si="572">O229/(O228)-1</f>
        <v>4.6296296296295392E-3</v>
      </c>
      <c r="Q229" s="81"/>
      <c r="R229" s="88">
        <v>44047</v>
      </c>
      <c r="S229" s="104">
        <v>217</v>
      </c>
      <c r="T229" s="92">
        <f t="shared" ref="T229" si="573">S229/(S228)-1</f>
        <v>4.6296296296295392E-3</v>
      </c>
      <c r="U229" s="81"/>
      <c r="V229" s="106">
        <f t="shared" si="468"/>
        <v>44047</v>
      </c>
      <c r="W229" s="4">
        <f t="shared" si="469"/>
        <v>217</v>
      </c>
      <c r="X229" s="4">
        <f t="shared" si="470"/>
        <v>217</v>
      </c>
      <c r="Y229" s="4">
        <f t="shared" si="471"/>
        <v>217</v>
      </c>
      <c r="Z229" s="4">
        <f t="shared" si="472"/>
        <v>217</v>
      </c>
      <c r="AA229" s="4">
        <f t="shared" si="473"/>
        <v>217</v>
      </c>
    </row>
    <row r="230" spans="1:27" x14ac:dyDescent="0.35">
      <c r="A230" s="81"/>
      <c r="B230" s="90">
        <v>44048</v>
      </c>
      <c r="C230" s="105">
        <v>218</v>
      </c>
      <c r="D230" s="91">
        <f t="shared" ref="D230" si="574">C230/C229-1</f>
        <v>4.6082949308756671E-3</v>
      </c>
      <c r="E230" s="81"/>
      <c r="F230" s="90">
        <v>44048</v>
      </c>
      <c r="G230" s="105">
        <v>218</v>
      </c>
      <c r="H230" s="91">
        <f t="shared" ref="H230" si="575">G230/G229-1</f>
        <v>4.6082949308756671E-3</v>
      </c>
      <c r="I230" s="81"/>
      <c r="J230" s="90">
        <v>44048</v>
      </c>
      <c r="K230" s="105">
        <v>218</v>
      </c>
      <c r="L230" s="91">
        <f t="shared" ref="L230" si="576">K230/K229-1</f>
        <v>4.6082949308756671E-3</v>
      </c>
      <c r="M230" s="81"/>
      <c r="N230" s="90">
        <v>44048</v>
      </c>
      <c r="O230" s="105">
        <v>218</v>
      </c>
      <c r="P230" s="91">
        <f t="shared" ref="P230" si="577">O230/O229-1</f>
        <v>4.6082949308756671E-3</v>
      </c>
      <c r="Q230" s="81"/>
      <c r="R230" s="90">
        <v>44048</v>
      </c>
      <c r="S230" s="105">
        <v>218</v>
      </c>
      <c r="T230" s="91">
        <f t="shared" ref="T230" si="578">S230/S229-1</f>
        <v>4.6082949308756671E-3</v>
      </c>
      <c r="U230" s="81"/>
      <c r="V230" s="106">
        <f t="shared" si="468"/>
        <v>44048</v>
      </c>
      <c r="W230" s="4">
        <f t="shared" si="469"/>
        <v>218</v>
      </c>
      <c r="X230" s="4">
        <f t="shared" si="470"/>
        <v>218</v>
      </c>
      <c r="Y230" s="4">
        <f t="shared" si="471"/>
        <v>218</v>
      </c>
      <c r="Z230" s="4">
        <f t="shared" si="472"/>
        <v>218</v>
      </c>
      <c r="AA230" s="4">
        <f t="shared" si="473"/>
        <v>218</v>
      </c>
    </row>
    <row r="231" spans="1:27" x14ac:dyDescent="0.35">
      <c r="A231" s="81"/>
      <c r="B231" s="88">
        <v>44049</v>
      </c>
      <c r="C231" s="104">
        <v>219</v>
      </c>
      <c r="D231" s="92">
        <f t="shared" ref="D231" si="579">C231/(C230)-1</f>
        <v>4.5871559633028358E-3</v>
      </c>
      <c r="E231" s="81"/>
      <c r="F231" s="88">
        <v>44049</v>
      </c>
      <c r="G231" s="104">
        <v>219</v>
      </c>
      <c r="H231" s="92">
        <f t="shared" ref="H231" si="580">G231/(G230)-1</f>
        <v>4.5871559633028358E-3</v>
      </c>
      <c r="I231" s="81"/>
      <c r="J231" s="88">
        <v>44049</v>
      </c>
      <c r="K231" s="104">
        <v>219</v>
      </c>
      <c r="L231" s="92">
        <f t="shared" ref="L231" si="581">K231/(K230)-1</f>
        <v>4.5871559633028358E-3</v>
      </c>
      <c r="M231" s="81"/>
      <c r="N231" s="88">
        <v>44049</v>
      </c>
      <c r="O231" s="104">
        <v>219</v>
      </c>
      <c r="P231" s="92">
        <f t="shared" ref="P231" si="582">O231/(O230)-1</f>
        <v>4.5871559633028358E-3</v>
      </c>
      <c r="Q231" s="81"/>
      <c r="R231" s="88">
        <v>44049</v>
      </c>
      <c r="S231" s="104">
        <v>219</v>
      </c>
      <c r="T231" s="92">
        <f t="shared" ref="T231" si="583">S231/(S230)-1</f>
        <v>4.5871559633028358E-3</v>
      </c>
      <c r="U231" s="81"/>
      <c r="V231" s="106">
        <f t="shared" si="468"/>
        <v>44049</v>
      </c>
      <c r="W231" s="4">
        <f t="shared" si="469"/>
        <v>219</v>
      </c>
      <c r="X231" s="4">
        <f t="shared" si="470"/>
        <v>219</v>
      </c>
      <c r="Y231" s="4">
        <f t="shared" si="471"/>
        <v>219</v>
      </c>
      <c r="Z231" s="4">
        <f t="shared" si="472"/>
        <v>219</v>
      </c>
      <c r="AA231" s="4">
        <f t="shared" si="473"/>
        <v>219</v>
      </c>
    </row>
    <row r="232" spans="1:27" x14ac:dyDescent="0.35">
      <c r="A232" s="81"/>
      <c r="B232" s="90">
        <v>44050</v>
      </c>
      <c r="C232" s="105">
        <v>220</v>
      </c>
      <c r="D232" s="91">
        <f t="shared" ref="D232" si="584">C232/C231-1</f>
        <v>4.5662100456620447E-3</v>
      </c>
      <c r="E232" s="81"/>
      <c r="F232" s="90">
        <v>44050</v>
      </c>
      <c r="G232" s="105">
        <v>220</v>
      </c>
      <c r="H232" s="91">
        <f t="shared" ref="H232" si="585">G232/G231-1</f>
        <v>4.5662100456620447E-3</v>
      </c>
      <c r="I232" s="81"/>
      <c r="J232" s="90">
        <v>44050</v>
      </c>
      <c r="K232" s="105">
        <v>220</v>
      </c>
      <c r="L232" s="91">
        <f t="shared" ref="L232" si="586">K232/K231-1</f>
        <v>4.5662100456620447E-3</v>
      </c>
      <c r="M232" s="81"/>
      <c r="N232" s="90">
        <v>44050</v>
      </c>
      <c r="O232" s="105">
        <v>220</v>
      </c>
      <c r="P232" s="91">
        <f t="shared" ref="P232" si="587">O232/O231-1</f>
        <v>4.5662100456620447E-3</v>
      </c>
      <c r="Q232" s="81"/>
      <c r="R232" s="90">
        <v>44050</v>
      </c>
      <c r="S232" s="105">
        <v>220</v>
      </c>
      <c r="T232" s="91">
        <f t="shared" ref="T232" si="588">S232/S231-1</f>
        <v>4.5662100456620447E-3</v>
      </c>
      <c r="U232" s="81"/>
      <c r="V232" s="106">
        <f t="shared" si="468"/>
        <v>44050</v>
      </c>
      <c r="W232" s="4">
        <f t="shared" si="469"/>
        <v>220</v>
      </c>
      <c r="X232" s="4">
        <f t="shared" si="470"/>
        <v>220</v>
      </c>
      <c r="Y232" s="4">
        <f t="shared" si="471"/>
        <v>220</v>
      </c>
      <c r="Z232" s="4">
        <f t="shared" si="472"/>
        <v>220</v>
      </c>
      <c r="AA232" s="4">
        <f t="shared" si="473"/>
        <v>220</v>
      </c>
    </row>
    <row r="233" spans="1:27" x14ac:dyDescent="0.35">
      <c r="A233" s="81"/>
      <c r="B233" s="88">
        <v>44051</v>
      </c>
      <c r="C233" s="104">
        <v>221</v>
      </c>
      <c r="D233" s="92">
        <f t="shared" ref="D233" si="589">C233/(C232)-1</f>
        <v>4.5454545454546302E-3</v>
      </c>
      <c r="E233" s="81"/>
      <c r="F233" s="88">
        <v>44051</v>
      </c>
      <c r="G233" s="104">
        <v>221</v>
      </c>
      <c r="H233" s="92">
        <f t="shared" ref="H233" si="590">G233/(G232)-1</f>
        <v>4.5454545454546302E-3</v>
      </c>
      <c r="I233" s="81"/>
      <c r="J233" s="88">
        <v>44051</v>
      </c>
      <c r="K233" s="104">
        <v>221</v>
      </c>
      <c r="L233" s="92">
        <f t="shared" ref="L233" si="591">K233/(K232)-1</f>
        <v>4.5454545454546302E-3</v>
      </c>
      <c r="M233" s="81"/>
      <c r="N233" s="88">
        <v>44051</v>
      </c>
      <c r="O233" s="104">
        <v>221</v>
      </c>
      <c r="P233" s="92">
        <f t="shared" ref="P233" si="592">O233/(O232)-1</f>
        <v>4.5454545454546302E-3</v>
      </c>
      <c r="Q233" s="81"/>
      <c r="R233" s="88">
        <v>44051</v>
      </c>
      <c r="S233" s="104">
        <v>221</v>
      </c>
      <c r="T233" s="92">
        <f t="shared" ref="T233" si="593">S233/(S232)-1</f>
        <v>4.5454545454546302E-3</v>
      </c>
      <c r="U233" s="81"/>
      <c r="V233" s="106">
        <f t="shared" si="468"/>
        <v>44051</v>
      </c>
      <c r="W233" s="4">
        <f t="shared" si="469"/>
        <v>221</v>
      </c>
      <c r="X233" s="4">
        <f t="shared" si="470"/>
        <v>221</v>
      </c>
      <c r="Y233" s="4">
        <f t="shared" si="471"/>
        <v>221</v>
      </c>
      <c r="Z233" s="4">
        <f t="shared" si="472"/>
        <v>221</v>
      </c>
      <c r="AA233" s="4">
        <f t="shared" si="473"/>
        <v>221</v>
      </c>
    </row>
    <row r="234" spans="1:27" x14ac:dyDescent="0.35">
      <c r="A234" s="81"/>
      <c r="B234" s="90">
        <v>44052</v>
      </c>
      <c r="C234" s="105">
        <v>222</v>
      </c>
      <c r="D234" s="91">
        <f t="shared" ref="D234" si="594">C234/C233-1</f>
        <v>4.5248868778280382E-3</v>
      </c>
      <c r="E234" s="81"/>
      <c r="F234" s="90">
        <v>44052</v>
      </c>
      <c r="G234" s="105">
        <v>222</v>
      </c>
      <c r="H234" s="91">
        <f t="shared" ref="H234" si="595">G234/G233-1</f>
        <v>4.5248868778280382E-3</v>
      </c>
      <c r="I234" s="81"/>
      <c r="J234" s="90">
        <v>44052</v>
      </c>
      <c r="K234" s="105">
        <v>222</v>
      </c>
      <c r="L234" s="91">
        <f t="shared" ref="L234" si="596">K234/K233-1</f>
        <v>4.5248868778280382E-3</v>
      </c>
      <c r="M234" s="81"/>
      <c r="N234" s="90">
        <v>44052</v>
      </c>
      <c r="O234" s="105">
        <v>222</v>
      </c>
      <c r="P234" s="91">
        <f t="shared" ref="P234" si="597">O234/O233-1</f>
        <v>4.5248868778280382E-3</v>
      </c>
      <c r="Q234" s="81"/>
      <c r="R234" s="90">
        <v>44052</v>
      </c>
      <c r="S234" s="105">
        <v>222</v>
      </c>
      <c r="T234" s="91">
        <f t="shared" ref="T234" si="598">S234/S233-1</f>
        <v>4.5248868778280382E-3</v>
      </c>
      <c r="U234" s="81"/>
      <c r="V234" s="106">
        <f t="shared" si="468"/>
        <v>44052</v>
      </c>
      <c r="W234" s="4">
        <f t="shared" si="469"/>
        <v>222</v>
      </c>
      <c r="X234" s="4">
        <f t="shared" si="470"/>
        <v>222</v>
      </c>
      <c r="Y234" s="4">
        <f t="shared" si="471"/>
        <v>222</v>
      </c>
      <c r="Z234" s="4">
        <f t="shared" si="472"/>
        <v>222</v>
      </c>
      <c r="AA234" s="4">
        <f t="shared" si="473"/>
        <v>222</v>
      </c>
    </row>
    <row r="235" spans="1:27" x14ac:dyDescent="0.35">
      <c r="A235" s="81"/>
      <c r="B235" s="88">
        <v>44053</v>
      </c>
      <c r="C235" s="104">
        <v>223</v>
      </c>
      <c r="D235" s="92">
        <f t="shared" ref="D235" si="599">C235/(C234)-1</f>
        <v>4.5045045045044585E-3</v>
      </c>
      <c r="E235" s="81"/>
      <c r="F235" s="88">
        <v>44053</v>
      </c>
      <c r="G235" s="104">
        <v>223</v>
      </c>
      <c r="H235" s="92">
        <f t="shared" ref="H235" si="600">G235/(G234)-1</f>
        <v>4.5045045045044585E-3</v>
      </c>
      <c r="I235" s="81"/>
      <c r="J235" s="88">
        <v>44053</v>
      </c>
      <c r="K235" s="104">
        <v>223</v>
      </c>
      <c r="L235" s="92">
        <f t="shared" ref="L235" si="601">K235/(K234)-1</f>
        <v>4.5045045045044585E-3</v>
      </c>
      <c r="M235" s="81"/>
      <c r="N235" s="88">
        <v>44053</v>
      </c>
      <c r="O235" s="104">
        <v>223</v>
      </c>
      <c r="P235" s="92">
        <f t="shared" ref="P235" si="602">O235/(O234)-1</f>
        <v>4.5045045045044585E-3</v>
      </c>
      <c r="Q235" s="81"/>
      <c r="R235" s="88">
        <v>44053</v>
      </c>
      <c r="S235" s="104">
        <v>223</v>
      </c>
      <c r="T235" s="92">
        <f t="shared" ref="T235" si="603">S235/(S234)-1</f>
        <v>4.5045045045044585E-3</v>
      </c>
      <c r="U235" s="81"/>
      <c r="V235" s="106">
        <f t="shared" si="468"/>
        <v>44053</v>
      </c>
      <c r="W235" s="4">
        <f t="shared" si="469"/>
        <v>223</v>
      </c>
      <c r="X235" s="4">
        <f t="shared" si="470"/>
        <v>223</v>
      </c>
      <c r="Y235" s="4">
        <f t="shared" si="471"/>
        <v>223</v>
      </c>
      <c r="Z235" s="4">
        <f t="shared" si="472"/>
        <v>223</v>
      </c>
      <c r="AA235" s="4">
        <f t="shared" si="473"/>
        <v>223</v>
      </c>
    </row>
    <row r="236" spans="1:27" x14ac:dyDescent="0.35">
      <c r="A236" s="81"/>
      <c r="B236" s="90">
        <v>44054</v>
      </c>
      <c r="C236" s="105">
        <v>224</v>
      </c>
      <c r="D236" s="91">
        <f t="shared" ref="D236" si="604">C236/C235-1</f>
        <v>4.484304932735439E-3</v>
      </c>
      <c r="E236" s="81"/>
      <c r="F236" s="90">
        <v>44054</v>
      </c>
      <c r="G236" s="105">
        <v>224</v>
      </c>
      <c r="H236" s="91">
        <f t="shared" ref="H236" si="605">G236/G235-1</f>
        <v>4.484304932735439E-3</v>
      </c>
      <c r="I236" s="81"/>
      <c r="J236" s="90">
        <v>44054</v>
      </c>
      <c r="K236" s="105">
        <v>224</v>
      </c>
      <c r="L236" s="91">
        <f t="shared" ref="L236" si="606">K236/K235-1</f>
        <v>4.484304932735439E-3</v>
      </c>
      <c r="M236" s="81"/>
      <c r="N236" s="90">
        <v>44054</v>
      </c>
      <c r="O236" s="105">
        <v>224</v>
      </c>
      <c r="P236" s="91">
        <f t="shared" ref="P236" si="607">O236/O235-1</f>
        <v>4.484304932735439E-3</v>
      </c>
      <c r="Q236" s="81"/>
      <c r="R236" s="90">
        <v>44054</v>
      </c>
      <c r="S236" s="105">
        <v>224</v>
      </c>
      <c r="T236" s="91">
        <f t="shared" ref="T236" si="608">S236/S235-1</f>
        <v>4.484304932735439E-3</v>
      </c>
      <c r="U236" s="81"/>
      <c r="V236" s="106">
        <f t="shared" si="468"/>
        <v>44054</v>
      </c>
      <c r="W236" s="4">
        <f t="shared" si="469"/>
        <v>224</v>
      </c>
      <c r="X236" s="4">
        <f t="shared" si="470"/>
        <v>224</v>
      </c>
      <c r="Y236" s="4">
        <f t="shared" si="471"/>
        <v>224</v>
      </c>
      <c r="Z236" s="4">
        <f t="shared" si="472"/>
        <v>224</v>
      </c>
      <c r="AA236" s="4">
        <f t="shared" si="473"/>
        <v>224</v>
      </c>
    </row>
    <row r="237" spans="1:27" x14ac:dyDescent="0.35">
      <c r="A237" s="81"/>
      <c r="B237" s="88">
        <v>44055</v>
      </c>
      <c r="C237" s="104">
        <v>225</v>
      </c>
      <c r="D237" s="92">
        <f t="shared" ref="D237" si="609">C237/(C236)-1</f>
        <v>4.4642857142858094E-3</v>
      </c>
      <c r="E237" s="81"/>
      <c r="F237" s="88">
        <v>44055</v>
      </c>
      <c r="G237" s="104">
        <v>225</v>
      </c>
      <c r="H237" s="92">
        <f t="shared" ref="H237" si="610">G237/(G236)-1</f>
        <v>4.4642857142858094E-3</v>
      </c>
      <c r="I237" s="81"/>
      <c r="J237" s="88">
        <v>44055</v>
      </c>
      <c r="K237" s="104">
        <v>225</v>
      </c>
      <c r="L237" s="92">
        <f t="shared" ref="L237" si="611">K237/(K236)-1</f>
        <v>4.4642857142858094E-3</v>
      </c>
      <c r="M237" s="81"/>
      <c r="N237" s="88">
        <v>44055</v>
      </c>
      <c r="O237" s="104">
        <v>225</v>
      </c>
      <c r="P237" s="92">
        <f t="shared" ref="P237" si="612">O237/(O236)-1</f>
        <v>4.4642857142858094E-3</v>
      </c>
      <c r="Q237" s="81"/>
      <c r="R237" s="88">
        <v>44055</v>
      </c>
      <c r="S237" s="104">
        <v>225</v>
      </c>
      <c r="T237" s="92">
        <f t="shared" ref="T237" si="613">S237/(S236)-1</f>
        <v>4.4642857142858094E-3</v>
      </c>
      <c r="U237" s="81"/>
      <c r="V237" s="106">
        <f t="shared" si="468"/>
        <v>44055</v>
      </c>
      <c r="W237" s="4">
        <f t="shared" si="469"/>
        <v>225</v>
      </c>
      <c r="X237" s="4">
        <f t="shared" si="470"/>
        <v>225</v>
      </c>
      <c r="Y237" s="4">
        <f t="shared" si="471"/>
        <v>225</v>
      </c>
      <c r="Z237" s="4">
        <f t="shared" si="472"/>
        <v>225</v>
      </c>
      <c r="AA237" s="4">
        <f t="shared" si="473"/>
        <v>225</v>
      </c>
    </row>
    <row r="238" spans="1:27" x14ac:dyDescent="0.35">
      <c r="A238" s="81"/>
      <c r="B238" s="90">
        <v>44056</v>
      </c>
      <c r="C238" s="105">
        <v>226</v>
      </c>
      <c r="D238" s="91">
        <f t="shared" ref="D238" si="614">C238/C237-1</f>
        <v>4.4444444444444731E-3</v>
      </c>
      <c r="E238" s="81"/>
      <c r="F238" s="90">
        <v>44056</v>
      </c>
      <c r="G238" s="105">
        <v>226</v>
      </c>
      <c r="H238" s="91">
        <f t="shared" ref="H238" si="615">G238/G237-1</f>
        <v>4.4444444444444731E-3</v>
      </c>
      <c r="I238" s="81"/>
      <c r="J238" s="90">
        <v>44056</v>
      </c>
      <c r="K238" s="105">
        <v>226</v>
      </c>
      <c r="L238" s="91">
        <f t="shared" ref="L238" si="616">K238/K237-1</f>
        <v>4.4444444444444731E-3</v>
      </c>
      <c r="M238" s="81"/>
      <c r="N238" s="90">
        <v>44056</v>
      </c>
      <c r="O238" s="105">
        <v>226</v>
      </c>
      <c r="P238" s="91">
        <f t="shared" ref="P238" si="617">O238/O237-1</f>
        <v>4.4444444444444731E-3</v>
      </c>
      <c r="Q238" s="81"/>
      <c r="R238" s="90">
        <v>44056</v>
      </c>
      <c r="S238" s="105">
        <v>226</v>
      </c>
      <c r="T238" s="91">
        <f t="shared" ref="T238" si="618">S238/S237-1</f>
        <v>4.4444444444444731E-3</v>
      </c>
      <c r="U238" s="81"/>
      <c r="V238" s="106">
        <f t="shared" si="468"/>
        <v>44056</v>
      </c>
      <c r="W238" s="4">
        <f t="shared" si="469"/>
        <v>226</v>
      </c>
      <c r="X238" s="4">
        <f t="shared" si="470"/>
        <v>226</v>
      </c>
      <c r="Y238" s="4">
        <f t="shared" si="471"/>
        <v>226</v>
      </c>
      <c r="Z238" s="4">
        <f t="shared" si="472"/>
        <v>226</v>
      </c>
      <c r="AA238" s="4">
        <f t="shared" si="473"/>
        <v>226</v>
      </c>
    </row>
    <row r="239" spans="1:27" x14ac:dyDescent="0.35">
      <c r="A239" s="81"/>
      <c r="B239" s="88">
        <v>44057</v>
      </c>
      <c r="C239" s="104">
        <v>227</v>
      </c>
      <c r="D239" s="92">
        <f t="shared" ref="D239" si="619">C239/(C238)-1</f>
        <v>4.4247787610618428E-3</v>
      </c>
      <c r="E239" s="81"/>
      <c r="F239" s="88">
        <v>44057</v>
      </c>
      <c r="G239" s="104">
        <v>227</v>
      </c>
      <c r="H239" s="92">
        <f t="shared" ref="H239" si="620">G239/(G238)-1</f>
        <v>4.4247787610618428E-3</v>
      </c>
      <c r="I239" s="81"/>
      <c r="J239" s="88">
        <v>44057</v>
      </c>
      <c r="K239" s="104">
        <v>227</v>
      </c>
      <c r="L239" s="92">
        <f t="shared" ref="L239" si="621">K239/(K238)-1</f>
        <v>4.4247787610618428E-3</v>
      </c>
      <c r="M239" s="81"/>
      <c r="N239" s="88">
        <v>44057</v>
      </c>
      <c r="O239" s="104">
        <v>227</v>
      </c>
      <c r="P239" s="92">
        <f t="shared" ref="P239" si="622">O239/(O238)-1</f>
        <v>4.4247787610618428E-3</v>
      </c>
      <c r="Q239" s="81"/>
      <c r="R239" s="88">
        <v>44057</v>
      </c>
      <c r="S239" s="104">
        <v>227</v>
      </c>
      <c r="T239" s="92">
        <f t="shared" ref="T239" si="623">S239/(S238)-1</f>
        <v>4.4247787610618428E-3</v>
      </c>
      <c r="U239" s="81"/>
      <c r="V239" s="106">
        <f t="shared" si="468"/>
        <v>44057</v>
      </c>
      <c r="W239" s="4">
        <f t="shared" si="469"/>
        <v>227</v>
      </c>
      <c r="X239" s="4">
        <f t="shared" si="470"/>
        <v>227</v>
      </c>
      <c r="Y239" s="4">
        <f t="shared" si="471"/>
        <v>227</v>
      </c>
      <c r="Z239" s="4">
        <f t="shared" si="472"/>
        <v>227</v>
      </c>
      <c r="AA239" s="4">
        <f t="shared" si="473"/>
        <v>227</v>
      </c>
    </row>
    <row r="240" spans="1:27" x14ac:dyDescent="0.35">
      <c r="A240" s="81"/>
      <c r="B240" s="90">
        <v>44058</v>
      </c>
      <c r="C240" s="105">
        <v>228</v>
      </c>
      <c r="D240" s="91">
        <f t="shared" si="484"/>
        <v>4.405286343612369E-3</v>
      </c>
      <c r="E240" s="81"/>
      <c r="F240" s="90">
        <v>44058</v>
      </c>
      <c r="G240" s="105">
        <v>228</v>
      </c>
      <c r="H240" s="91">
        <f t="shared" si="485"/>
        <v>4.405286343612369E-3</v>
      </c>
      <c r="I240" s="81"/>
      <c r="J240" s="90">
        <v>44058</v>
      </c>
      <c r="K240" s="105">
        <v>228</v>
      </c>
      <c r="L240" s="91">
        <f t="shared" si="486"/>
        <v>4.405286343612369E-3</v>
      </c>
      <c r="M240" s="81"/>
      <c r="N240" s="90">
        <v>44058</v>
      </c>
      <c r="O240" s="105">
        <v>228</v>
      </c>
      <c r="P240" s="91">
        <f t="shared" si="487"/>
        <v>4.405286343612369E-3</v>
      </c>
      <c r="Q240" s="81"/>
      <c r="R240" s="90">
        <v>44058</v>
      </c>
      <c r="S240" s="105">
        <v>228</v>
      </c>
      <c r="T240" s="91">
        <f t="shared" si="488"/>
        <v>4.405286343612369E-3</v>
      </c>
      <c r="U240" s="81"/>
      <c r="V240" s="106">
        <f t="shared" si="468"/>
        <v>44058</v>
      </c>
      <c r="W240" s="4">
        <f t="shared" si="469"/>
        <v>228</v>
      </c>
      <c r="X240" s="4">
        <f t="shared" si="470"/>
        <v>228</v>
      </c>
      <c r="Y240" s="4">
        <f t="shared" si="471"/>
        <v>228</v>
      </c>
      <c r="Z240" s="4">
        <f t="shared" si="472"/>
        <v>228</v>
      </c>
      <c r="AA240" s="4">
        <f t="shared" si="473"/>
        <v>228</v>
      </c>
    </row>
    <row r="241" spans="1:27" x14ac:dyDescent="0.35">
      <c r="A241" s="81"/>
      <c r="B241" s="88">
        <v>44059</v>
      </c>
      <c r="C241" s="104">
        <v>229</v>
      </c>
      <c r="D241" s="92">
        <f t="shared" si="489"/>
        <v>4.3859649122806044E-3</v>
      </c>
      <c r="E241" s="81"/>
      <c r="F241" s="88">
        <v>44059</v>
      </c>
      <c r="G241" s="104">
        <v>229</v>
      </c>
      <c r="H241" s="92">
        <f t="shared" si="490"/>
        <v>4.3859649122806044E-3</v>
      </c>
      <c r="I241" s="81"/>
      <c r="J241" s="88">
        <v>44059</v>
      </c>
      <c r="K241" s="104">
        <v>229</v>
      </c>
      <c r="L241" s="92">
        <f t="shared" si="491"/>
        <v>4.3859649122806044E-3</v>
      </c>
      <c r="M241" s="81"/>
      <c r="N241" s="88">
        <v>44059</v>
      </c>
      <c r="O241" s="104">
        <v>229</v>
      </c>
      <c r="P241" s="92">
        <f t="shared" si="492"/>
        <v>4.3859649122806044E-3</v>
      </c>
      <c r="Q241" s="81"/>
      <c r="R241" s="88">
        <v>44059</v>
      </c>
      <c r="S241" s="104">
        <v>229</v>
      </c>
      <c r="T241" s="92">
        <f t="shared" si="493"/>
        <v>4.3859649122806044E-3</v>
      </c>
      <c r="U241" s="81"/>
      <c r="V241" s="106">
        <f t="shared" si="468"/>
        <v>44059</v>
      </c>
      <c r="W241" s="4">
        <f t="shared" si="469"/>
        <v>229</v>
      </c>
      <c r="X241" s="4">
        <f t="shared" si="470"/>
        <v>229</v>
      </c>
      <c r="Y241" s="4">
        <f t="shared" si="471"/>
        <v>229</v>
      </c>
      <c r="Z241" s="4">
        <f t="shared" si="472"/>
        <v>229</v>
      </c>
      <c r="AA241" s="4">
        <f t="shared" si="473"/>
        <v>229</v>
      </c>
    </row>
    <row r="242" spans="1:27" x14ac:dyDescent="0.35">
      <c r="A242" s="81"/>
      <c r="B242" s="90">
        <v>44060</v>
      </c>
      <c r="C242" s="105">
        <v>230</v>
      </c>
      <c r="D242" s="91">
        <f t="shared" si="494"/>
        <v>4.366812227074135E-3</v>
      </c>
      <c r="E242" s="81"/>
      <c r="F242" s="90">
        <v>44060</v>
      </c>
      <c r="G242" s="105">
        <v>230</v>
      </c>
      <c r="H242" s="91">
        <f t="shared" si="495"/>
        <v>4.366812227074135E-3</v>
      </c>
      <c r="I242" s="81"/>
      <c r="J242" s="90">
        <v>44060</v>
      </c>
      <c r="K242" s="105">
        <v>230</v>
      </c>
      <c r="L242" s="91">
        <f t="shared" si="496"/>
        <v>4.366812227074135E-3</v>
      </c>
      <c r="M242" s="81"/>
      <c r="N242" s="90">
        <v>44060</v>
      </c>
      <c r="O242" s="105">
        <v>230</v>
      </c>
      <c r="P242" s="91">
        <f t="shared" si="497"/>
        <v>4.366812227074135E-3</v>
      </c>
      <c r="Q242" s="81"/>
      <c r="R242" s="90">
        <v>44060</v>
      </c>
      <c r="S242" s="105">
        <v>230</v>
      </c>
      <c r="T242" s="91">
        <f t="shared" si="498"/>
        <v>4.366812227074135E-3</v>
      </c>
      <c r="U242" s="81"/>
      <c r="V242" s="106">
        <f t="shared" si="468"/>
        <v>44060</v>
      </c>
      <c r="W242" s="4">
        <f t="shared" si="469"/>
        <v>230</v>
      </c>
      <c r="X242" s="4">
        <f t="shared" si="470"/>
        <v>230</v>
      </c>
      <c r="Y242" s="4">
        <f t="shared" si="471"/>
        <v>230</v>
      </c>
      <c r="Z242" s="4">
        <f t="shared" si="472"/>
        <v>230</v>
      </c>
      <c r="AA242" s="4">
        <f t="shared" si="473"/>
        <v>230</v>
      </c>
    </row>
    <row r="243" spans="1:27" x14ac:dyDescent="0.35">
      <c r="A243" s="81"/>
      <c r="B243" s="88">
        <v>44061</v>
      </c>
      <c r="C243" s="104">
        <v>231</v>
      </c>
      <c r="D243" s="92">
        <f t="shared" si="499"/>
        <v>4.3478260869564966E-3</v>
      </c>
      <c r="E243" s="81"/>
      <c r="F243" s="88">
        <v>44061</v>
      </c>
      <c r="G243" s="104">
        <v>231</v>
      </c>
      <c r="H243" s="92">
        <f t="shared" si="500"/>
        <v>4.3478260869564966E-3</v>
      </c>
      <c r="I243" s="81"/>
      <c r="J243" s="88">
        <v>44061</v>
      </c>
      <c r="K243" s="104">
        <v>231</v>
      </c>
      <c r="L243" s="92">
        <f t="shared" si="501"/>
        <v>4.3478260869564966E-3</v>
      </c>
      <c r="M243" s="81"/>
      <c r="N243" s="88">
        <v>44061</v>
      </c>
      <c r="O243" s="104">
        <v>231</v>
      </c>
      <c r="P243" s="92">
        <f t="shared" si="502"/>
        <v>4.3478260869564966E-3</v>
      </c>
      <c r="Q243" s="81"/>
      <c r="R243" s="88">
        <v>44061</v>
      </c>
      <c r="S243" s="104">
        <v>231</v>
      </c>
      <c r="T243" s="92">
        <f t="shared" si="503"/>
        <v>4.3478260869564966E-3</v>
      </c>
      <c r="U243" s="81"/>
      <c r="V243" s="106">
        <f t="shared" si="468"/>
        <v>44061</v>
      </c>
      <c r="W243" s="4">
        <f t="shared" si="469"/>
        <v>231</v>
      </c>
      <c r="X243" s="4">
        <f t="shared" si="470"/>
        <v>231</v>
      </c>
      <c r="Y243" s="4">
        <f t="shared" si="471"/>
        <v>231</v>
      </c>
      <c r="Z243" s="4">
        <f t="shared" si="472"/>
        <v>231</v>
      </c>
      <c r="AA243" s="4">
        <f t="shared" si="473"/>
        <v>231</v>
      </c>
    </row>
    <row r="244" spans="1:27" x14ac:dyDescent="0.35">
      <c r="A244" s="81"/>
      <c r="B244" s="90">
        <v>44062</v>
      </c>
      <c r="C244" s="105">
        <v>232</v>
      </c>
      <c r="D244" s="91">
        <f t="shared" si="504"/>
        <v>4.3290043290042934E-3</v>
      </c>
      <c r="E244" s="81"/>
      <c r="F244" s="90">
        <v>44062</v>
      </c>
      <c r="G244" s="105">
        <v>232</v>
      </c>
      <c r="H244" s="91">
        <f t="shared" si="505"/>
        <v>4.3290043290042934E-3</v>
      </c>
      <c r="I244" s="81"/>
      <c r="J244" s="90">
        <v>44062</v>
      </c>
      <c r="K244" s="105">
        <v>232</v>
      </c>
      <c r="L244" s="91">
        <f t="shared" si="506"/>
        <v>4.3290043290042934E-3</v>
      </c>
      <c r="M244" s="81"/>
      <c r="N244" s="90">
        <v>44062</v>
      </c>
      <c r="O244" s="105">
        <v>232</v>
      </c>
      <c r="P244" s="91">
        <f t="shared" si="507"/>
        <v>4.3290043290042934E-3</v>
      </c>
      <c r="Q244" s="81"/>
      <c r="R244" s="90">
        <v>44062</v>
      </c>
      <c r="S244" s="105">
        <v>232</v>
      </c>
      <c r="T244" s="91">
        <f t="shared" si="508"/>
        <v>4.3290043290042934E-3</v>
      </c>
      <c r="U244" s="81"/>
      <c r="V244" s="106">
        <f t="shared" si="468"/>
        <v>44062</v>
      </c>
      <c r="W244" s="4">
        <f t="shared" si="469"/>
        <v>232</v>
      </c>
      <c r="X244" s="4">
        <f t="shared" si="470"/>
        <v>232</v>
      </c>
      <c r="Y244" s="4">
        <f t="shared" si="471"/>
        <v>232</v>
      </c>
      <c r="Z244" s="4">
        <f t="shared" si="472"/>
        <v>232</v>
      </c>
      <c r="AA244" s="4">
        <f t="shared" si="473"/>
        <v>232</v>
      </c>
    </row>
    <row r="245" spans="1:27" x14ac:dyDescent="0.35">
      <c r="A245" s="81"/>
      <c r="B245" s="88">
        <v>44063</v>
      </c>
      <c r="C245" s="104">
        <v>233</v>
      </c>
      <c r="D245" s="92">
        <f t="shared" si="509"/>
        <v>4.3103448275862988E-3</v>
      </c>
      <c r="E245" s="81"/>
      <c r="F245" s="88">
        <v>44063</v>
      </c>
      <c r="G245" s="104">
        <v>233</v>
      </c>
      <c r="H245" s="92">
        <f t="shared" si="510"/>
        <v>4.3103448275862988E-3</v>
      </c>
      <c r="I245" s="81"/>
      <c r="J245" s="88">
        <v>44063</v>
      </c>
      <c r="K245" s="104">
        <v>233</v>
      </c>
      <c r="L245" s="92">
        <f t="shared" si="511"/>
        <v>4.3103448275862988E-3</v>
      </c>
      <c r="M245" s="81"/>
      <c r="N245" s="88">
        <v>44063</v>
      </c>
      <c r="O245" s="104">
        <v>233</v>
      </c>
      <c r="P245" s="92">
        <f t="shared" si="512"/>
        <v>4.3103448275862988E-3</v>
      </c>
      <c r="Q245" s="81"/>
      <c r="R245" s="88">
        <v>44063</v>
      </c>
      <c r="S245" s="104">
        <v>233</v>
      </c>
      <c r="T245" s="92">
        <f t="shared" si="513"/>
        <v>4.3103448275862988E-3</v>
      </c>
      <c r="U245" s="81"/>
      <c r="V245" s="106">
        <f t="shared" si="468"/>
        <v>44063</v>
      </c>
      <c r="W245" s="4">
        <f t="shared" si="469"/>
        <v>233</v>
      </c>
      <c r="X245" s="4">
        <f t="shared" si="470"/>
        <v>233</v>
      </c>
      <c r="Y245" s="4">
        <f t="shared" si="471"/>
        <v>233</v>
      </c>
      <c r="Z245" s="4">
        <f t="shared" si="472"/>
        <v>233</v>
      </c>
      <c r="AA245" s="4">
        <f t="shared" si="473"/>
        <v>233</v>
      </c>
    </row>
    <row r="246" spans="1:27" x14ac:dyDescent="0.35">
      <c r="A246" s="81"/>
      <c r="B246" s="90">
        <v>44064</v>
      </c>
      <c r="C246" s="105">
        <v>234</v>
      </c>
      <c r="D246" s="91">
        <f t="shared" si="514"/>
        <v>4.2918454935623185E-3</v>
      </c>
      <c r="E246" s="81"/>
      <c r="F246" s="90">
        <v>44064</v>
      </c>
      <c r="G246" s="105">
        <v>234</v>
      </c>
      <c r="H246" s="91">
        <f t="shared" si="515"/>
        <v>4.2918454935623185E-3</v>
      </c>
      <c r="I246" s="81"/>
      <c r="J246" s="90">
        <v>44064</v>
      </c>
      <c r="K246" s="105">
        <v>234</v>
      </c>
      <c r="L246" s="91">
        <f t="shared" si="516"/>
        <v>4.2918454935623185E-3</v>
      </c>
      <c r="M246" s="81"/>
      <c r="N246" s="90">
        <v>44064</v>
      </c>
      <c r="O246" s="105">
        <v>234</v>
      </c>
      <c r="P246" s="91">
        <f t="shared" si="517"/>
        <v>4.2918454935623185E-3</v>
      </c>
      <c r="Q246" s="81"/>
      <c r="R246" s="90">
        <v>44064</v>
      </c>
      <c r="S246" s="105">
        <v>234</v>
      </c>
      <c r="T246" s="91">
        <f t="shared" si="518"/>
        <v>4.2918454935623185E-3</v>
      </c>
      <c r="U246" s="81"/>
      <c r="V246" s="106">
        <f t="shared" si="468"/>
        <v>44064</v>
      </c>
      <c r="W246" s="4">
        <f t="shared" si="469"/>
        <v>234</v>
      </c>
      <c r="X246" s="4">
        <f t="shared" si="470"/>
        <v>234</v>
      </c>
      <c r="Y246" s="4">
        <f t="shared" si="471"/>
        <v>234</v>
      </c>
      <c r="Z246" s="4">
        <f t="shared" si="472"/>
        <v>234</v>
      </c>
      <c r="AA246" s="4">
        <f t="shared" si="473"/>
        <v>234</v>
      </c>
    </row>
    <row r="247" spans="1:27" x14ac:dyDescent="0.35">
      <c r="A247" s="81"/>
      <c r="B247" s="88">
        <v>44065</v>
      </c>
      <c r="C247" s="104">
        <v>235</v>
      </c>
      <c r="D247" s="92">
        <f t="shared" si="519"/>
        <v>4.2735042735042583E-3</v>
      </c>
      <c r="E247" s="81"/>
      <c r="F247" s="88">
        <v>44065</v>
      </c>
      <c r="G247" s="104">
        <v>235</v>
      </c>
      <c r="H247" s="92">
        <f t="shared" si="520"/>
        <v>4.2735042735042583E-3</v>
      </c>
      <c r="I247" s="81"/>
      <c r="J247" s="88">
        <v>44065</v>
      </c>
      <c r="K247" s="104">
        <v>235</v>
      </c>
      <c r="L247" s="92">
        <f t="shared" si="521"/>
        <v>4.2735042735042583E-3</v>
      </c>
      <c r="M247" s="81"/>
      <c r="N247" s="88">
        <v>44065</v>
      </c>
      <c r="O247" s="104">
        <v>235</v>
      </c>
      <c r="P247" s="92">
        <f t="shared" si="522"/>
        <v>4.2735042735042583E-3</v>
      </c>
      <c r="Q247" s="81"/>
      <c r="R247" s="88">
        <v>44065</v>
      </c>
      <c r="S247" s="104">
        <v>235</v>
      </c>
      <c r="T247" s="92">
        <f t="shared" si="523"/>
        <v>4.2735042735042583E-3</v>
      </c>
      <c r="U247" s="81"/>
      <c r="V247" s="106">
        <f t="shared" si="468"/>
        <v>44065</v>
      </c>
      <c r="W247" s="4">
        <f t="shared" si="469"/>
        <v>235</v>
      </c>
      <c r="X247" s="4">
        <f t="shared" si="470"/>
        <v>235</v>
      </c>
      <c r="Y247" s="4">
        <f t="shared" si="471"/>
        <v>235</v>
      </c>
      <c r="Z247" s="4">
        <f t="shared" si="472"/>
        <v>235</v>
      </c>
      <c r="AA247" s="4">
        <f t="shared" si="473"/>
        <v>235</v>
      </c>
    </row>
    <row r="248" spans="1:27" x14ac:dyDescent="0.35">
      <c r="A248" s="81"/>
      <c r="B248" s="90">
        <v>44066</v>
      </c>
      <c r="C248" s="105">
        <v>236</v>
      </c>
      <c r="D248" s="91">
        <f t="shared" si="524"/>
        <v>4.2553191489360653E-3</v>
      </c>
      <c r="E248" s="81"/>
      <c r="F248" s="90">
        <v>44066</v>
      </c>
      <c r="G248" s="105">
        <v>236</v>
      </c>
      <c r="H248" s="91">
        <f t="shared" si="525"/>
        <v>4.2553191489360653E-3</v>
      </c>
      <c r="I248" s="81"/>
      <c r="J248" s="90">
        <v>44066</v>
      </c>
      <c r="K248" s="105">
        <v>236</v>
      </c>
      <c r="L248" s="91">
        <f t="shared" si="526"/>
        <v>4.2553191489360653E-3</v>
      </c>
      <c r="M248" s="81"/>
      <c r="N248" s="90">
        <v>44066</v>
      </c>
      <c r="O248" s="105">
        <v>236</v>
      </c>
      <c r="P248" s="91">
        <f t="shared" si="527"/>
        <v>4.2553191489360653E-3</v>
      </c>
      <c r="Q248" s="81"/>
      <c r="R248" s="90">
        <v>44066</v>
      </c>
      <c r="S248" s="105">
        <v>236</v>
      </c>
      <c r="T248" s="91">
        <f t="shared" si="528"/>
        <v>4.2553191489360653E-3</v>
      </c>
      <c r="U248" s="81"/>
      <c r="V248" s="106">
        <f t="shared" si="468"/>
        <v>44066</v>
      </c>
      <c r="W248" s="4">
        <f t="shared" si="469"/>
        <v>236</v>
      </c>
      <c r="X248" s="4">
        <f t="shared" si="470"/>
        <v>236</v>
      </c>
      <c r="Y248" s="4">
        <f t="shared" si="471"/>
        <v>236</v>
      </c>
      <c r="Z248" s="4">
        <f t="shared" si="472"/>
        <v>236</v>
      </c>
      <c r="AA248" s="4">
        <f t="shared" si="473"/>
        <v>236</v>
      </c>
    </row>
    <row r="249" spans="1:27" x14ac:dyDescent="0.35">
      <c r="A249" s="81"/>
      <c r="B249" s="88">
        <v>44067</v>
      </c>
      <c r="C249" s="104">
        <v>237</v>
      </c>
      <c r="D249" s="92">
        <f t="shared" si="529"/>
        <v>4.237288135593209E-3</v>
      </c>
      <c r="E249" s="81"/>
      <c r="F249" s="88">
        <v>44067</v>
      </c>
      <c r="G249" s="104">
        <v>237</v>
      </c>
      <c r="H249" s="92">
        <f t="shared" si="530"/>
        <v>4.237288135593209E-3</v>
      </c>
      <c r="I249" s="81"/>
      <c r="J249" s="88">
        <v>44067</v>
      </c>
      <c r="K249" s="104">
        <v>237</v>
      </c>
      <c r="L249" s="92">
        <f t="shared" si="531"/>
        <v>4.237288135593209E-3</v>
      </c>
      <c r="M249" s="81"/>
      <c r="N249" s="88">
        <v>44067</v>
      </c>
      <c r="O249" s="104">
        <v>237</v>
      </c>
      <c r="P249" s="92">
        <f t="shared" si="532"/>
        <v>4.237288135593209E-3</v>
      </c>
      <c r="Q249" s="81"/>
      <c r="R249" s="88">
        <v>44067</v>
      </c>
      <c r="S249" s="104">
        <v>237</v>
      </c>
      <c r="T249" s="92">
        <f t="shared" si="533"/>
        <v>4.237288135593209E-3</v>
      </c>
      <c r="U249" s="81"/>
      <c r="V249" s="106">
        <f t="shared" si="468"/>
        <v>44067</v>
      </c>
      <c r="W249" s="4">
        <f t="shared" si="469"/>
        <v>237</v>
      </c>
      <c r="X249" s="4">
        <f t="shared" si="470"/>
        <v>237</v>
      </c>
      <c r="Y249" s="4">
        <f t="shared" si="471"/>
        <v>237</v>
      </c>
      <c r="Z249" s="4">
        <f t="shared" si="472"/>
        <v>237</v>
      </c>
      <c r="AA249" s="4">
        <f t="shared" si="473"/>
        <v>237</v>
      </c>
    </row>
    <row r="250" spans="1:27" x14ac:dyDescent="0.35">
      <c r="A250" s="81"/>
      <c r="B250" s="90">
        <v>44068</v>
      </c>
      <c r="C250" s="105">
        <v>238</v>
      </c>
      <c r="D250" s="91">
        <f t="shared" si="534"/>
        <v>4.2194092827003704E-3</v>
      </c>
      <c r="E250" s="81"/>
      <c r="F250" s="90">
        <v>44068</v>
      </c>
      <c r="G250" s="105">
        <v>238</v>
      </c>
      <c r="H250" s="91">
        <f t="shared" si="535"/>
        <v>4.2194092827003704E-3</v>
      </c>
      <c r="I250" s="81"/>
      <c r="J250" s="90">
        <v>44068</v>
      </c>
      <c r="K250" s="105">
        <v>238</v>
      </c>
      <c r="L250" s="91">
        <f t="shared" si="536"/>
        <v>4.2194092827003704E-3</v>
      </c>
      <c r="M250" s="81"/>
      <c r="N250" s="90">
        <v>44068</v>
      </c>
      <c r="O250" s="105">
        <v>238</v>
      </c>
      <c r="P250" s="91">
        <f t="shared" si="537"/>
        <v>4.2194092827003704E-3</v>
      </c>
      <c r="Q250" s="81"/>
      <c r="R250" s="90">
        <v>44068</v>
      </c>
      <c r="S250" s="105">
        <v>238</v>
      </c>
      <c r="T250" s="91">
        <f t="shared" si="538"/>
        <v>4.2194092827003704E-3</v>
      </c>
      <c r="U250" s="81"/>
      <c r="V250" s="106">
        <f t="shared" si="468"/>
        <v>44068</v>
      </c>
      <c r="W250" s="4">
        <f t="shared" si="469"/>
        <v>238</v>
      </c>
      <c r="X250" s="4">
        <f t="shared" si="470"/>
        <v>238</v>
      </c>
      <c r="Y250" s="4">
        <f t="shared" si="471"/>
        <v>238</v>
      </c>
      <c r="Z250" s="4">
        <f t="shared" si="472"/>
        <v>238</v>
      </c>
      <c r="AA250" s="4">
        <f t="shared" si="473"/>
        <v>238</v>
      </c>
    </row>
    <row r="251" spans="1:27" x14ac:dyDescent="0.35">
      <c r="A251" s="81"/>
      <c r="B251" s="93"/>
      <c r="C251" s="86"/>
      <c r="D251" s="94"/>
      <c r="E251" s="95"/>
      <c r="F251" s="87"/>
      <c r="G251" s="87"/>
      <c r="H251" s="96"/>
      <c r="I251" s="95"/>
      <c r="J251" s="87"/>
      <c r="K251" s="87"/>
      <c r="L251" s="96"/>
      <c r="M251" s="95"/>
      <c r="N251" s="87"/>
      <c r="O251" s="87"/>
      <c r="P251" s="96"/>
      <c r="Q251" s="95"/>
      <c r="R251" s="87"/>
      <c r="S251" s="87"/>
      <c r="T251" s="96"/>
      <c r="U251" s="95"/>
    </row>
    <row r="252" spans="1:27" x14ac:dyDescent="0.35">
      <c r="A252" s="97"/>
      <c r="B252" s="97"/>
      <c r="C252" s="97"/>
      <c r="D252" s="97"/>
      <c r="E252" s="97"/>
      <c r="F252" s="97"/>
      <c r="G252" s="97"/>
      <c r="H252" s="97"/>
      <c r="I252" s="97"/>
      <c r="J252" s="97"/>
      <c r="K252" s="97"/>
      <c r="L252" s="97"/>
      <c r="M252" s="97"/>
      <c r="N252" s="97"/>
      <c r="O252" s="97"/>
      <c r="P252" s="97"/>
      <c r="Q252" s="97"/>
      <c r="R252" s="97"/>
      <c r="S252" s="97"/>
      <c r="T252" s="97"/>
      <c r="U252" s="97"/>
      <c r="V252" s="25"/>
      <c r="W252" s="25"/>
      <c r="X252" s="25"/>
      <c r="Y252" s="25"/>
      <c r="Z252" s="25"/>
      <c r="AA252" s="25"/>
    </row>
    <row r="253" spans="1:27" x14ac:dyDescent="0.35">
      <c r="A253" s="97"/>
      <c r="B253" s="97"/>
      <c r="C253" s="97"/>
      <c r="D253" s="97"/>
      <c r="E253" s="97"/>
      <c r="F253" s="97"/>
      <c r="G253" s="97"/>
      <c r="H253" s="97"/>
      <c r="I253" s="97"/>
      <c r="J253" s="97"/>
      <c r="K253" s="97"/>
      <c r="L253" s="97"/>
      <c r="M253" s="97"/>
      <c r="N253" s="97"/>
      <c r="O253" s="97"/>
      <c r="P253" s="97"/>
      <c r="Q253" s="97"/>
      <c r="R253" s="97"/>
      <c r="S253" s="97"/>
      <c r="T253" s="97"/>
      <c r="U253" s="97"/>
      <c r="V253" s="25"/>
      <c r="W253" s="25"/>
      <c r="X253" s="25"/>
      <c r="Y253" s="25"/>
      <c r="Z253" s="25"/>
      <c r="AA253" s="25"/>
    </row>
    <row r="254" spans="1:27" x14ac:dyDescent="0.35">
      <c r="A254" s="97"/>
      <c r="B254" s="97"/>
      <c r="C254" s="97"/>
      <c r="D254" s="97"/>
      <c r="E254" s="97"/>
      <c r="F254" s="97"/>
      <c r="G254" s="97"/>
      <c r="H254" s="97"/>
      <c r="I254" s="97"/>
      <c r="J254" s="97"/>
      <c r="K254" s="97"/>
      <c r="L254" s="97"/>
      <c r="M254" s="97"/>
      <c r="N254" s="97"/>
      <c r="O254" s="97"/>
      <c r="P254" s="97"/>
      <c r="Q254" s="97"/>
      <c r="R254" s="97"/>
      <c r="S254" s="97"/>
      <c r="T254" s="97"/>
      <c r="U254" s="97"/>
      <c r="V254" s="25"/>
      <c r="W254" s="25"/>
      <c r="X254" s="25"/>
      <c r="Y254" s="25"/>
      <c r="Z254" s="25"/>
      <c r="AA254" s="25"/>
    </row>
    <row r="255" spans="1:27" x14ac:dyDescent="0.35">
      <c r="A255" s="97"/>
      <c r="B255" s="97"/>
      <c r="C255" s="97"/>
      <c r="D255" s="97"/>
      <c r="E255" s="97"/>
      <c r="F255" s="97"/>
      <c r="G255" s="97"/>
      <c r="H255" s="97"/>
      <c r="I255" s="97"/>
      <c r="J255" s="97"/>
      <c r="K255" s="97"/>
      <c r="L255" s="97"/>
      <c r="M255" s="97"/>
      <c r="N255" s="97"/>
      <c r="O255" s="97"/>
      <c r="P255" s="97"/>
      <c r="Q255" s="97"/>
      <c r="R255" s="97"/>
      <c r="S255" s="97"/>
      <c r="T255" s="97"/>
      <c r="U255" s="97"/>
      <c r="V255" s="25"/>
      <c r="W255" s="25"/>
      <c r="X255" s="25"/>
      <c r="Y255" s="25"/>
      <c r="Z255" s="25"/>
      <c r="AA255" s="25"/>
    </row>
    <row r="256" spans="1:27" x14ac:dyDescent="0.35">
      <c r="A256" s="97"/>
      <c r="B256" s="97"/>
      <c r="C256" s="97"/>
      <c r="D256" s="97"/>
      <c r="E256" s="97"/>
      <c r="F256" s="97"/>
      <c r="G256" s="97"/>
      <c r="H256" s="97"/>
      <c r="I256" s="97"/>
      <c r="J256" s="97"/>
      <c r="K256" s="97"/>
      <c r="L256" s="97"/>
      <c r="M256" s="97"/>
      <c r="N256" s="97"/>
      <c r="O256" s="97"/>
      <c r="P256" s="97"/>
      <c r="Q256" s="97"/>
      <c r="R256" s="97"/>
      <c r="S256" s="97"/>
      <c r="T256" s="97"/>
      <c r="U256" s="97"/>
      <c r="V256" s="25"/>
      <c r="W256" s="25"/>
      <c r="X256" s="25"/>
      <c r="Y256" s="25"/>
      <c r="Z256" s="25"/>
      <c r="AA256" s="25"/>
    </row>
    <row r="257" spans="1:27" x14ac:dyDescent="0.35">
      <c r="A257" s="97"/>
      <c r="B257" s="97"/>
      <c r="C257" s="97"/>
      <c r="D257" s="97"/>
      <c r="E257" s="97"/>
      <c r="F257" s="97"/>
      <c r="G257" s="97"/>
      <c r="H257" s="97"/>
      <c r="I257" s="97"/>
      <c r="J257" s="97"/>
      <c r="K257" s="97"/>
      <c r="L257" s="97"/>
      <c r="M257" s="97"/>
      <c r="N257" s="97"/>
      <c r="O257" s="97"/>
      <c r="P257" s="97"/>
      <c r="Q257" s="97"/>
      <c r="R257" s="97"/>
      <c r="S257" s="97"/>
      <c r="T257" s="97"/>
      <c r="U257" s="97"/>
      <c r="V257" s="25"/>
      <c r="W257" s="25"/>
      <c r="X257" s="25"/>
      <c r="Y257" s="25"/>
      <c r="Z257" s="25"/>
      <c r="AA257" s="25"/>
    </row>
    <row r="258" spans="1:27" x14ac:dyDescent="0.35">
      <c r="A258" s="97"/>
      <c r="B258" s="97"/>
      <c r="C258" s="97"/>
      <c r="D258" s="97"/>
      <c r="E258" s="97"/>
      <c r="F258" s="97"/>
      <c r="G258" s="97"/>
      <c r="H258" s="97"/>
      <c r="I258" s="97"/>
      <c r="J258" s="97"/>
      <c r="K258" s="97"/>
      <c r="L258" s="97"/>
      <c r="M258" s="97"/>
      <c r="N258" s="97"/>
      <c r="O258" s="97"/>
      <c r="P258" s="97"/>
      <c r="Q258" s="97"/>
      <c r="R258" s="97"/>
      <c r="S258" s="97"/>
      <c r="T258" s="97"/>
      <c r="U258" s="97"/>
      <c r="V258" s="25"/>
      <c r="W258" s="25"/>
      <c r="X258" s="25"/>
      <c r="Y258" s="25"/>
      <c r="Z258" s="25"/>
      <c r="AA258" s="25"/>
    </row>
    <row r="259" spans="1:27" x14ac:dyDescent="0.35">
      <c r="A259" s="97"/>
      <c r="B259" s="97"/>
      <c r="C259" s="97"/>
      <c r="D259" s="97"/>
      <c r="E259" s="97"/>
      <c r="F259" s="97"/>
      <c r="G259" s="97"/>
      <c r="H259" s="97"/>
      <c r="I259" s="97"/>
      <c r="J259" s="97"/>
      <c r="K259" s="97"/>
      <c r="L259" s="97"/>
      <c r="M259" s="97"/>
      <c r="N259" s="97"/>
      <c r="O259" s="97"/>
      <c r="P259" s="97"/>
      <c r="Q259" s="97"/>
      <c r="R259" s="97"/>
      <c r="S259" s="97"/>
      <c r="T259" s="97"/>
      <c r="U259" s="97"/>
      <c r="V259" s="25"/>
      <c r="W259" s="25"/>
      <c r="X259" s="25"/>
      <c r="Y259" s="25"/>
      <c r="Z259" s="25"/>
      <c r="AA259" s="25"/>
    </row>
    <row r="260" spans="1:27" x14ac:dyDescent="0.35">
      <c r="A260" s="97"/>
      <c r="B260" s="97"/>
      <c r="C260" s="97"/>
      <c r="D260" s="97"/>
      <c r="E260" s="97"/>
      <c r="F260" s="97"/>
      <c r="G260" s="97"/>
      <c r="H260" s="97"/>
      <c r="I260" s="97"/>
      <c r="J260" s="97"/>
      <c r="K260" s="97"/>
      <c r="L260" s="97"/>
      <c r="M260" s="97"/>
      <c r="N260" s="97"/>
      <c r="O260" s="97"/>
      <c r="P260" s="97"/>
      <c r="Q260" s="97"/>
      <c r="R260" s="97"/>
      <c r="S260" s="97"/>
      <c r="T260" s="97"/>
      <c r="U260" s="97"/>
      <c r="V260" s="25"/>
      <c r="W260" s="25"/>
      <c r="X260" s="25"/>
      <c r="Y260" s="25"/>
      <c r="Z260" s="25"/>
      <c r="AA260" s="25"/>
    </row>
    <row r="261" spans="1:27" x14ac:dyDescent="0.35">
      <c r="A261" s="97"/>
      <c r="B261" s="97"/>
      <c r="C261" s="97"/>
      <c r="D261" s="97"/>
      <c r="E261" s="97"/>
      <c r="F261" s="97"/>
      <c r="G261" s="97"/>
      <c r="H261" s="97"/>
      <c r="I261" s="97"/>
      <c r="J261" s="97"/>
      <c r="K261" s="97"/>
      <c r="L261" s="97"/>
      <c r="M261" s="97"/>
      <c r="N261" s="97"/>
      <c r="O261" s="97"/>
      <c r="P261" s="97"/>
      <c r="Q261" s="97"/>
      <c r="R261" s="97"/>
      <c r="S261" s="97"/>
      <c r="T261" s="97"/>
      <c r="U261" s="97"/>
      <c r="V261" s="25"/>
      <c r="W261" s="25"/>
      <c r="X261" s="25"/>
      <c r="Y261" s="25"/>
      <c r="Z261" s="25"/>
      <c r="AA261" s="25"/>
    </row>
    <row r="262" spans="1:27" x14ac:dyDescent="0.35">
      <c r="A262" s="97"/>
      <c r="B262" s="97"/>
      <c r="C262" s="97"/>
      <c r="D262" s="97"/>
      <c r="E262" s="97"/>
      <c r="F262" s="97"/>
      <c r="G262" s="97"/>
      <c r="H262" s="97"/>
      <c r="I262" s="97"/>
      <c r="J262" s="97"/>
      <c r="K262" s="97"/>
      <c r="L262" s="97"/>
      <c r="M262" s="97"/>
      <c r="N262" s="97"/>
      <c r="O262" s="97"/>
      <c r="P262" s="97"/>
      <c r="Q262" s="97"/>
      <c r="R262" s="97"/>
      <c r="S262" s="97"/>
      <c r="T262" s="97"/>
      <c r="U262" s="97"/>
      <c r="V262" s="25"/>
      <c r="W262" s="25"/>
      <c r="X262" s="25"/>
      <c r="Y262" s="25"/>
      <c r="Z262" s="25"/>
      <c r="AA262" s="25"/>
    </row>
    <row r="263" spans="1:27" x14ac:dyDescent="0.35">
      <c r="A263" s="97"/>
      <c r="B263" s="97"/>
      <c r="C263" s="97"/>
      <c r="D263" s="97"/>
      <c r="E263" s="97"/>
      <c r="F263" s="97"/>
      <c r="G263" s="97"/>
      <c r="H263" s="97"/>
      <c r="I263" s="97"/>
      <c r="J263" s="97"/>
      <c r="K263" s="97"/>
      <c r="L263" s="97"/>
      <c r="M263" s="97"/>
      <c r="N263" s="97"/>
      <c r="O263" s="97"/>
      <c r="P263" s="97"/>
      <c r="Q263" s="97"/>
      <c r="R263" s="97"/>
      <c r="S263" s="97"/>
      <c r="T263" s="97"/>
      <c r="U263" s="97"/>
      <c r="V263" s="25"/>
      <c r="W263" s="25"/>
      <c r="X263" s="25"/>
      <c r="Y263" s="25"/>
      <c r="Z263" s="25"/>
      <c r="AA263" s="25"/>
    </row>
    <row r="264" spans="1:27" x14ac:dyDescent="0.35">
      <c r="A264" s="97"/>
      <c r="B264" s="97"/>
      <c r="C264" s="97"/>
      <c r="D264" s="97"/>
      <c r="E264" s="97"/>
      <c r="F264" s="97"/>
      <c r="G264" s="97"/>
      <c r="H264" s="97"/>
      <c r="I264" s="97"/>
      <c r="J264" s="97"/>
      <c r="K264" s="97"/>
      <c r="L264" s="97"/>
      <c r="M264" s="97"/>
      <c r="N264" s="97"/>
      <c r="O264" s="97"/>
      <c r="P264" s="97"/>
      <c r="Q264" s="97"/>
      <c r="R264" s="97"/>
      <c r="S264" s="97"/>
      <c r="T264" s="97"/>
      <c r="U264" s="97"/>
      <c r="V264" s="25"/>
      <c r="W264" s="25"/>
      <c r="X264" s="25"/>
      <c r="Y264" s="25"/>
      <c r="Z264" s="25"/>
      <c r="AA264" s="25"/>
    </row>
    <row r="265" spans="1:27" x14ac:dyDescent="0.35">
      <c r="A265" s="97"/>
      <c r="B265" s="97"/>
      <c r="C265" s="97"/>
      <c r="D265" s="97"/>
      <c r="E265" s="97"/>
      <c r="F265" s="97"/>
      <c r="G265" s="97"/>
      <c r="H265" s="97"/>
      <c r="I265" s="97"/>
      <c r="J265" s="97"/>
      <c r="K265" s="97"/>
      <c r="L265" s="97"/>
      <c r="M265" s="97"/>
      <c r="N265" s="97"/>
      <c r="O265" s="97"/>
      <c r="P265" s="97"/>
      <c r="Q265" s="97"/>
      <c r="R265" s="97"/>
      <c r="S265" s="97"/>
      <c r="T265" s="97"/>
      <c r="U265" s="97"/>
      <c r="V265" s="25"/>
      <c r="W265" s="25"/>
      <c r="X265" s="25"/>
      <c r="Y265" s="25"/>
      <c r="Z265" s="25"/>
      <c r="AA265" s="25"/>
    </row>
    <row r="266" spans="1:27" x14ac:dyDescent="0.35">
      <c r="A266" s="97"/>
      <c r="B266" s="97"/>
      <c r="C266" s="97"/>
      <c r="D266" s="97"/>
      <c r="E266" s="97"/>
      <c r="F266" s="97"/>
      <c r="G266" s="97"/>
      <c r="H266" s="97"/>
      <c r="I266" s="97"/>
      <c r="J266" s="97"/>
      <c r="K266" s="97"/>
      <c r="L266" s="97"/>
      <c r="M266" s="97"/>
      <c r="N266" s="97"/>
      <c r="O266" s="97"/>
      <c r="P266" s="97"/>
      <c r="Q266" s="97"/>
      <c r="R266" s="97"/>
      <c r="S266" s="97"/>
      <c r="T266" s="97"/>
      <c r="U266" s="97"/>
      <c r="V266" s="25"/>
      <c r="W266" s="25"/>
      <c r="X266" s="25"/>
      <c r="Y266" s="25"/>
      <c r="Z266" s="25"/>
      <c r="AA266" s="25"/>
    </row>
    <row r="267" spans="1:27" x14ac:dyDescent="0.35">
      <c r="A267" s="97"/>
      <c r="B267" s="97"/>
      <c r="C267" s="97"/>
      <c r="D267" s="97"/>
      <c r="E267" s="97"/>
      <c r="F267" s="97"/>
      <c r="G267" s="97"/>
      <c r="H267" s="97"/>
      <c r="I267" s="97"/>
      <c r="J267" s="97"/>
      <c r="K267" s="97"/>
      <c r="L267" s="97"/>
      <c r="M267" s="97"/>
      <c r="N267" s="97"/>
      <c r="O267" s="97"/>
      <c r="P267" s="97"/>
      <c r="Q267" s="97"/>
      <c r="R267" s="97"/>
      <c r="S267" s="97"/>
      <c r="T267" s="97"/>
      <c r="U267" s="97"/>
      <c r="V267" s="25"/>
      <c r="W267" s="25"/>
      <c r="X267" s="25"/>
      <c r="Y267" s="25"/>
      <c r="Z267" s="25"/>
      <c r="AA267" s="25"/>
    </row>
    <row r="268" spans="1:27" x14ac:dyDescent="0.35">
      <c r="A268" s="97"/>
      <c r="B268" s="97"/>
      <c r="C268" s="97"/>
      <c r="D268" s="97"/>
      <c r="E268" s="97"/>
      <c r="F268" s="97"/>
      <c r="G268" s="97"/>
      <c r="H268" s="97"/>
      <c r="I268" s="97"/>
      <c r="J268" s="97"/>
      <c r="K268" s="97"/>
      <c r="L268" s="97"/>
      <c r="M268" s="97"/>
      <c r="N268" s="97"/>
      <c r="O268" s="97"/>
      <c r="P268" s="97"/>
      <c r="Q268" s="97"/>
      <c r="R268" s="97"/>
      <c r="S268" s="97"/>
      <c r="T268" s="97"/>
      <c r="U268" s="97"/>
      <c r="V268" s="25"/>
      <c r="W268" s="25"/>
      <c r="X268" s="25"/>
      <c r="Y268" s="25"/>
      <c r="Z268" s="25"/>
      <c r="AA268" s="25"/>
    </row>
    <row r="269" spans="1:27" x14ac:dyDescent="0.35">
      <c r="A269" s="97"/>
      <c r="B269" s="97"/>
      <c r="C269" s="97"/>
      <c r="D269" s="97"/>
      <c r="E269" s="97"/>
      <c r="F269" s="97"/>
      <c r="G269" s="97"/>
      <c r="H269" s="97"/>
      <c r="I269" s="97"/>
      <c r="J269" s="97"/>
      <c r="K269" s="97"/>
      <c r="L269" s="97"/>
      <c r="M269" s="97"/>
      <c r="N269" s="97"/>
      <c r="O269" s="97"/>
      <c r="P269" s="97"/>
      <c r="Q269" s="97"/>
      <c r="R269" s="97"/>
      <c r="S269" s="97"/>
      <c r="T269" s="97"/>
      <c r="U269" s="97"/>
      <c r="V269" s="25"/>
      <c r="W269" s="25"/>
      <c r="X269" s="25"/>
      <c r="Y269" s="25"/>
      <c r="Z269" s="25"/>
      <c r="AA269" s="25"/>
    </row>
    <row r="270" spans="1:27" x14ac:dyDescent="0.35">
      <c r="A270" s="97"/>
      <c r="B270" s="97"/>
      <c r="C270" s="97"/>
      <c r="D270" s="97"/>
      <c r="E270" s="97"/>
      <c r="F270" s="97"/>
      <c r="G270" s="97"/>
      <c r="H270" s="97"/>
      <c r="I270" s="97"/>
      <c r="J270" s="97"/>
      <c r="K270" s="97"/>
      <c r="L270" s="97"/>
      <c r="M270" s="97"/>
      <c r="N270" s="97"/>
      <c r="O270" s="97"/>
      <c r="P270" s="97"/>
      <c r="Q270" s="97"/>
      <c r="R270" s="97"/>
      <c r="S270" s="97"/>
      <c r="T270" s="97"/>
      <c r="U270" s="97"/>
      <c r="V270" s="25"/>
      <c r="W270" s="25"/>
      <c r="X270" s="25"/>
      <c r="Y270" s="25"/>
      <c r="Z270" s="25"/>
      <c r="AA270" s="25"/>
    </row>
    <row r="271" spans="1:27" x14ac:dyDescent="0.35">
      <c r="A271" s="97"/>
      <c r="B271" s="97"/>
      <c r="C271" s="97"/>
      <c r="D271" s="97"/>
      <c r="E271" s="97"/>
      <c r="F271" s="97"/>
      <c r="G271" s="97"/>
      <c r="H271" s="97"/>
      <c r="I271" s="97"/>
      <c r="J271" s="97"/>
      <c r="K271" s="97"/>
      <c r="L271" s="97"/>
      <c r="M271" s="97"/>
      <c r="N271" s="97"/>
      <c r="O271" s="97"/>
      <c r="P271" s="97"/>
      <c r="Q271" s="97"/>
      <c r="R271" s="97"/>
      <c r="S271" s="97"/>
      <c r="T271" s="97"/>
      <c r="U271" s="97"/>
      <c r="V271" s="25"/>
      <c r="W271" s="25"/>
      <c r="X271" s="25"/>
      <c r="Y271" s="25"/>
      <c r="Z271" s="25"/>
      <c r="AA271" s="25"/>
    </row>
    <row r="272" spans="1:27" x14ac:dyDescent="0.35">
      <c r="A272" s="97"/>
      <c r="B272" s="97"/>
      <c r="C272" s="97"/>
      <c r="D272" s="97"/>
      <c r="E272" s="97"/>
      <c r="F272" s="97"/>
      <c r="G272" s="97"/>
      <c r="H272" s="97"/>
      <c r="I272" s="97"/>
      <c r="J272" s="97"/>
      <c r="K272" s="97"/>
      <c r="L272" s="97"/>
      <c r="M272" s="97"/>
      <c r="N272" s="97"/>
      <c r="O272" s="97"/>
      <c r="P272" s="97"/>
      <c r="Q272" s="97"/>
      <c r="R272" s="97"/>
      <c r="S272" s="97"/>
      <c r="T272" s="97"/>
      <c r="U272" s="97"/>
      <c r="V272" s="25"/>
      <c r="W272" s="25"/>
      <c r="X272" s="25"/>
      <c r="Y272" s="25"/>
      <c r="Z272" s="25"/>
      <c r="AA272" s="25"/>
    </row>
    <row r="273" spans="1:27" x14ac:dyDescent="0.35">
      <c r="A273" s="97"/>
      <c r="B273" s="97"/>
      <c r="C273" s="97"/>
      <c r="D273" s="97"/>
      <c r="E273" s="97"/>
      <c r="F273" s="97"/>
      <c r="G273" s="97"/>
      <c r="H273" s="97"/>
      <c r="I273" s="97"/>
      <c r="J273" s="97"/>
      <c r="K273" s="97"/>
      <c r="L273" s="97"/>
      <c r="M273" s="97"/>
      <c r="N273" s="97"/>
      <c r="O273" s="97"/>
      <c r="P273" s="97"/>
      <c r="Q273" s="97"/>
      <c r="R273" s="97"/>
      <c r="S273" s="97"/>
      <c r="T273" s="97"/>
      <c r="U273" s="97"/>
      <c r="V273" s="25"/>
      <c r="W273" s="25"/>
      <c r="X273" s="25"/>
      <c r="Y273" s="25"/>
      <c r="Z273" s="25"/>
      <c r="AA273" s="25"/>
    </row>
    <row r="274" spans="1:27" x14ac:dyDescent="0.35">
      <c r="A274" s="97"/>
      <c r="B274" s="97"/>
      <c r="C274" s="97"/>
      <c r="D274" s="97"/>
      <c r="E274" s="97"/>
      <c r="F274" s="97"/>
      <c r="G274" s="97"/>
      <c r="H274" s="97"/>
      <c r="I274" s="97"/>
      <c r="J274" s="97"/>
      <c r="K274" s="97"/>
      <c r="L274" s="97"/>
      <c r="M274" s="97"/>
      <c r="N274" s="97"/>
      <c r="O274" s="97"/>
      <c r="P274" s="97"/>
      <c r="Q274" s="97"/>
      <c r="R274" s="97"/>
      <c r="S274" s="97"/>
      <c r="T274" s="97"/>
      <c r="U274" s="97"/>
      <c r="V274" s="25"/>
      <c r="W274" s="25"/>
      <c r="X274" s="25"/>
      <c r="Y274" s="25"/>
      <c r="Z274" s="25"/>
      <c r="AA274" s="25"/>
    </row>
    <row r="275" spans="1:27" x14ac:dyDescent="0.35">
      <c r="A275" s="97"/>
      <c r="B275" s="97"/>
      <c r="C275" s="97"/>
      <c r="D275" s="97"/>
      <c r="E275" s="97"/>
      <c r="F275" s="97"/>
      <c r="G275" s="97"/>
      <c r="H275" s="97"/>
      <c r="I275" s="97"/>
      <c r="J275" s="97"/>
      <c r="K275" s="97"/>
      <c r="L275" s="97"/>
      <c r="M275" s="97"/>
      <c r="N275" s="97"/>
      <c r="O275" s="97"/>
      <c r="P275" s="97"/>
      <c r="Q275" s="97"/>
      <c r="R275" s="97"/>
      <c r="S275" s="97"/>
      <c r="T275" s="97"/>
      <c r="U275" s="97"/>
      <c r="V275" s="25"/>
      <c r="W275" s="25"/>
      <c r="X275" s="25"/>
      <c r="Y275" s="25"/>
      <c r="Z275" s="25"/>
      <c r="AA275" s="25"/>
    </row>
    <row r="276" spans="1:27" x14ac:dyDescent="0.35">
      <c r="A276" s="97"/>
      <c r="B276" s="97"/>
      <c r="C276" s="97"/>
      <c r="D276" s="97"/>
      <c r="E276" s="97"/>
      <c r="F276" s="97"/>
      <c r="G276" s="97"/>
      <c r="H276" s="97"/>
      <c r="I276" s="97"/>
      <c r="J276" s="97"/>
      <c r="K276" s="97"/>
      <c r="L276" s="97"/>
      <c r="M276" s="97"/>
      <c r="N276" s="97"/>
      <c r="O276" s="97"/>
      <c r="P276" s="97"/>
      <c r="Q276" s="97"/>
      <c r="R276" s="97"/>
      <c r="S276" s="97"/>
      <c r="T276" s="97"/>
      <c r="U276" s="97"/>
      <c r="V276" s="25"/>
      <c r="W276" s="25"/>
      <c r="X276" s="25"/>
      <c r="Y276" s="25"/>
      <c r="Z276" s="25"/>
      <c r="AA276" s="25"/>
    </row>
    <row r="277" spans="1:27" x14ac:dyDescent="0.35">
      <c r="A277" s="97"/>
      <c r="B277" s="97"/>
      <c r="C277" s="97"/>
      <c r="D277" s="97"/>
      <c r="E277" s="97"/>
      <c r="F277" s="97"/>
      <c r="G277" s="97"/>
      <c r="H277" s="97"/>
      <c r="I277" s="97"/>
      <c r="J277" s="97"/>
      <c r="K277" s="97"/>
      <c r="L277" s="97"/>
      <c r="M277" s="97"/>
      <c r="N277" s="97"/>
      <c r="O277" s="97"/>
      <c r="P277" s="97"/>
      <c r="Q277" s="97"/>
      <c r="R277" s="97"/>
      <c r="S277" s="97"/>
      <c r="T277" s="97"/>
      <c r="U277" s="97"/>
      <c r="V277" s="25"/>
      <c r="W277" s="25"/>
      <c r="X277" s="25"/>
      <c r="Y277" s="25"/>
      <c r="Z277" s="25"/>
      <c r="AA277" s="25"/>
    </row>
    <row r="278" spans="1:27" x14ac:dyDescent="0.35">
      <c r="A278" s="97"/>
      <c r="B278" s="97"/>
      <c r="C278" s="97"/>
      <c r="D278" s="97"/>
      <c r="E278" s="97"/>
      <c r="F278" s="97"/>
      <c r="G278" s="97"/>
      <c r="H278" s="97"/>
      <c r="I278" s="97"/>
      <c r="J278" s="97"/>
      <c r="K278" s="97"/>
      <c r="L278" s="97"/>
      <c r="M278" s="97"/>
      <c r="N278" s="97"/>
      <c r="O278" s="97"/>
      <c r="P278" s="97"/>
      <c r="Q278" s="97"/>
      <c r="R278" s="97"/>
      <c r="S278" s="97"/>
      <c r="T278" s="97"/>
      <c r="U278" s="97"/>
      <c r="V278" s="25"/>
      <c r="W278" s="25"/>
      <c r="X278" s="25"/>
      <c r="Y278" s="25"/>
      <c r="Z278" s="25"/>
      <c r="AA278" s="25"/>
    </row>
    <row r="279" spans="1:27" x14ac:dyDescent="0.35">
      <c r="A279" s="97"/>
      <c r="B279" s="97"/>
      <c r="C279" s="97"/>
      <c r="D279" s="97"/>
      <c r="E279" s="97"/>
      <c r="F279" s="97"/>
      <c r="G279" s="97"/>
      <c r="H279" s="97"/>
      <c r="I279" s="97"/>
      <c r="J279" s="97"/>
      <c r="K279" s="97"/>
      <c r="L279" s="97"/>
      <c r="M279" s="97"/>
      <c r="N279" s="97"/>
      <c r="O279" s="97"/>
      <c r="P279" s="97"/>
      <c r="Q279" s="97"/>
      <c r="R279" s="97"/>
      <c r="S279" s="97"/>
      <c r="T279" s="97"/>
      <c r="U279" s="97"/>
      <c r="V279" s="25"/>
      <c r="W279" s="25"/>
      <c r="X279" s="25"/>
      <c r="Y279" s="25"/>
      <c r="Z279" s="25"/>
      <c r="AA279" s="25"/>
    </row>
    <row r="280" spans="1:27" x14ac:dyDescent="0.35">
      <c r="A280" s="97"/>
      <c r="B280" s="97"/>
      <c r="C280" s="97"/>
      <c r="D280" s="97"/>
      <c r="E280" s="97"/>
      <c r="F280" s="97"/>
      <c r="G280" s="97"/>
      <c r="H280" s="97"/>
      <c r="I280" s="97"/>
      <c r="J280" s="97"/>
      <c r="K280" s="97"/>
      <c r="L280" s="97"/>
      <c r="M280" s="97"/>
      <c r="N280" s="97"/>
      <c r="O280" s="97"/>
      <c r="P280" s="97"/>
      <c r="Q280" s="97"/>
      <c r="R280" s="97"/>
      <c r="S280" s="97"/>
      <c r="T280" s="97"/>
      <c r="U280" s="97"/>
      <c r="V280" s="25"/>
      <c r="W280" s="25"/>
      <c r="X280" s="25"/>
      <c r="Y280" s="25"/>
      <c r="Z280" s="25"/>
      <c r="AA280" s="25"/>
    </row>
    <row r="281" spans="1:27" x14ac:dyDescent="0.35">
      <c r="A281" s="97"/>
      <c r="B281" s="97"/>
      <c r="C281" s="97"/>
      <c r="D281" s="97"/>
      <c r="E281" s="97"/>
      <c r="F281" s="97"/>
      <c r="G281" s="97"/>
      <c r="H281" s="97"/>
      <c r="I281" s="97"/>
      <c r="J281" s="97"/>
      <c r="K281" s="97"/>
      <c r="L281" s="97"/>
      <c r="M281" s="97"/>
      <c r="N281" s="97"/>
      <c r="O281" s="97"/>
      <c r="P281" s="97"/>
      <c r="Q281" s="97"/>
      <c r="R281" s="97"/>
      <c r="S281" s="97"/>
      <c r="T281" s="97"/>
      <c r="U281" s="97"/>
      <c r="V281" s="25"/>
      <c r="W281" s="25"/>
      <c r="X281" s="25"/>
      <c r="Y281" s="25"/>
      <c r="Z281" s="25"/>
      <c r="AA281" s="25"/>
    </row>
    <row r="282" spans="1:27" x14ac:dyDescent="0.35">
      <c r="A282" s="97"/>
      <c r="B282" s="97"/>
      <c r="C282" s="97"/>
      <c r="D282" s="97"/>
      <c r="E282" s="97"/>
      <c r="F282" s="97"/>
      <c r="G282" s="97"/>
      <c r="H282" s="97"/>
      <c r="I282" s="97"/>
      <c r="J282" s="97"/>
      <c r="K282" s="97"/>
      <c r="L282" s="97"/>
      <c r="M282" s="97"/>
      <c r="N282" s="97"/>
      <c r="O282" s="97"/>
      <c r="P282" s="97"/>
      <c r="Q282" s="97"/>
      <c r="R282" s="97"/>
      <c r="S282" s="97"/>
      <c r="T282" s="97"/>
      <c r="U282" s="97"/>
      <c r="V282" s="25"/>
      <c r="W282" s="25"/>
      <c r="X282" s="25"/>
      <c r="Y282" s="25"/>
      <c r="Z282" s="25"/>
      <c r="AA282" s="25"/>
    </row>
    <row r="283" spans="1:27" x14ac:dyDescent="0.35">
      <c r="A283" s="97"/>
      <c r="B283" s="97"/>
      <c r="C283" s="97"/>
      <c r="D283" s="97"/>
      <c r="E283" s="97"/>
      <c r="F283" s="97"/>
      <c r="G283" s="97"/>
      <c r="H283" s="97"/>
      <c r="I283" s="97"/>
      <c r="J283" s="97"/>
      <c r="K283" s="97"/>
      <c r="L283" s="97"/>
      <c r="M283" s="97"/>
      <c r="N283" s="97"/>
      <c r="O283" s="97"/>
      <c r="P283" s="97"/>
      <c r="Q283" s="97"/>
      <c r="R283" s="97"/>
      <c r="S283" s="97"/>
      <c r="T283" s="97"/>
      <c r="U283" s="97"/>
      <c r="V283" s="25"/>
      <c r="W283" s="25"/>
      <c r="X283" s="25"/>
      <c r="Y283" s="25"/>
      <c r="Z283" s="25"/>
      <c r="AA283" s="25"/>
    </row>
    <row r="284" spans="1:27" x14ac:dyDescent="0.35">
      <c r="A284" s="97"/>
      <c r="B284" s="97"/>
      <c r="C284" s="97"/>
      <c r="D284" s="97"/>
      <c r="E284" s="97"/>
      <c r="F284" s="97"/>
      <c r="G284" s="97"/>
      <c r="H284" s="97"/>
      <c r="I284" s="97"/>
      <c r="J284" s="97"/>
      <c r="K284" s="97"/>
      <c r="L284" s="97"/>
      <c r="M284" s="97"/>
      <c r="N284" s="97"/>
      <c r="O284" s="97"/>
      <c r="P284" s="97"/>
      <c r="Q284" s="97"/>
      <c r="R284" s="97"/>
      <c r="S284" s="97"/>
      <c r="T284" s="97"/>
      <c r="U284" s="97"/>
      <c r="V284" s="25"/>
      <c r="W284" s="25"/>
      <c r="X284" s="25"/>
      <c r="Y284" s="25"/>
      <c r="Z284" s="25"/>
      <c r="AA284" s="25"/>
    </row>
    <row r="285" spans="1:27" x14ac:dyDescent="0.35">
      <c r="A285" s="97"/>
      <c r="B285" s="97"/>
      <c r="C285" s="97"/>
      <c r="D285" s="97"/>
      <c r="E285" s="97"/>
      <c r="F285" s="97"/>
      <c r="G285" s="97"/>
      <c r="H285" s="97"/>
      <c r="I285" s="97"/>
      <c r="J285" s="97"/>
      <c r="K285" s="97"/>
      <c r="L285" s="97"/>
      <c r="M285" s="97"/>
      <c r="N285" s="97"/>
      <c r="O285" s="97"/>
      <c r="P285" s="97"/>
      <c r="Q285" s="97"/>
      <c r="R285" s="97"/>
      <c r="S285" s="97"/>
      <c r="T285" s="97"/>
      <c r="U285" s="97"/>
      <c r="V285" s="25"/>
      <c r="W285" s="25"/>
      <c r="X285" s="25"/>
      <c r="Y285" s="25"/>
      <c r="Z285" s="25"/>
      <c r="AA285" s="25"/>
    </row>
    <row r="286" spans="1:27" x14ac:dyDescent="0.35">
      <c r="A286" s="97"/>
      <c r="B286" s="97"/>
      <c r="C286" s="97"/>
      <c r="D286" s="97"/>
      <c r="E286" s="97"/>
      <c r="F286" s="97"/>
      <c r="G286" s="97"/>
      <c r="H286" s="97"/>
      <c r="I286" s="97"/>
      <c r="J286" s="97"/>
      <c r="K286" s="97"/>
      <c r="L286" s="97"/>
      <c r="M286" s="97"/>
      <c r="N286" s="97"/>
      <c r="O286" s="97"/>
      <c r="P286" s="97"/>
      <c r="Q286" s="97"/>
      <c r="R286" s="97"/>
      <c r="S286" s="97"/>
      <c r="T286" s="97"/>
      <c r="U286" s="97"/>
      <c r="V286" s="25"/>
      <c r="W286" s="25"/>
      <c r="X286" s="25"/>
      <c r="Y286" s="25"/>
      <c r="Z286" s="25"/>
      <c r="AA286" s="25"/>
    </row>
    <row r="287" spans="1:27" x14ac:dyDescent="0.35">
      <c r="A287" s="97"/>
      <c r="B287" s="97"/>
      <c r="C287" s="97"/>
      <c r="D287" s="97"/>
      <c r="E287" s="97"/>
      <c r="F287" s="97"/>
      <c r="G287" s="97"/>
      <c r="H287" s="97"/>
      <c r="I287" s="97"/>
      <c r="J287" s="97"/>
      <c r="K287" s="97"/>
      <c r="L287" s="97"/>
      <c r="M287" s="97"/>
      <c r="N287" s="97"/>
      <c r="O287" s="97"/>
      <c r="P287" s="97"/>
      <c r="Q287" s="97"/>
      <c r="R287" s="97"/>
      <c r="S287" s="97"/>
      <c r="T287" s="97"/>
      <c r="U287" s="97"/>
      <c r="V287" s="25"/>
      <c r="W287" s="25"/>
      <c r="X287" s="25"/>
      <c r="Y287" s="25"/>
      <c r="Z287" s="25"/>
      <c r="AA287" s="25"/>
    </row>
    <row r="288" spans="1:27" x14ac:dyDescent="0.35">
      <c r="A288" s="97"/>
      <c r="B288" s="97"/>
      <c r="C288" s="97"/>
      <c r="D288" s="97"/>
      <c r="E288" s="97"/>
      <c r="F288" s="97"/>
      <c r="G288" s="97"/>
      <c r="H288" s="97"/>
      <c r="I288" s="97"/>
      <c r="J288" s="97"/>
      <c r="K288" s="97"/>
      <c r="L288" s="97"/>
      <c r="M288" s="97"/>
      <c r="N288" s="97"/>
      <c r="O288" s="97"/>
      <c r="P288" s="97"/>
      <c r="Q288" s="97"/>
      <c r="R288" s="97"/>
      <c r="S288" s="97"/>
      <c r="T288" s="97"/>
      <c r="U288" s="97"/>
      <c r="V288" s="25"/>
      <c r="W288" s="25"/>
      <c r="X288" s="25"/>
      <c r="Y288" s="25"/>
      <c r="Z288" s="25"/>
      <c r="AA288" s="25"/>
    </row>
    <row r="289" spans="1:27" x14ac:dyDescent="0.35">
      <c r="A289" s="97"/>
      <c r="B289" s="97"/>
      <c r="C289" s="97"/>
      <c r="D289" s="97"/>
      <c r="E289" s="97"/>
      <c r="F289" s="97"/>
      <c r="G289" s="97"/>
      <c r="H289" s="97"/>
      <c r="I289" s="97"/>
      <c r="J289" s="97"/>
      <c r="K289" s="97"/>
      <c r="L289" s="97"/>
      <c r="M289" s="97"/>
      <c r="N289" s="97"/>
      <c r="O289" s="97"/>
      <c r="P289" s="97"/>
      <c r="Q289" s="97"/>
      <c r="R289" s="97"/>
      <c r="S289" s="97"/>
      <c r="T289" s="97"/>
      <c r="U289" s="97"/>
      <c r="V289" s="25"/>
      <c r="W289" s="25"/>
      <c r="X289" s="25"/>
      <c r="Y289" s="25"/>
      <c r="Z289" s="25"/>
      <c r="AA289" s="25"/>
    </row>
    <row r="290" spans="1:27" x14ac:dyDescent="0.35">
      <c r="A290" s="97"/>
      <c r="B290" s="97"/>
      <c r="C290" s="97"/>
      <c r="D290" s="97"/>
      <c r="E290" s="97"/>
      <c r="F290" s="97"/>
      <c r="G290" s="97"/>
      <c r="H290" s="97"/>
      <c r="I290" s="97"/>
      <c r="J290" s="97"/>
      <c r="K290" s="97"/>
      <c r="L290" s="97"/>
      <c r="M290" s="97"/>
      <c r="N290" s="97"/>
      <c r="O290" s="97"/>
      <c r="P290" s="97"/>
      <c r="Q290" s="97"/>
      <c r="R290" s="97"/>
      <c r="S290" s="97"/>
      <c r="T290" s="97"/>
      <c r="U290" s="97"/>
      <c r="V290" s="25"/>
      <c r="W290" s="25"/>
      <c r="X290" s="25"/>
      <c r="Y290" s="25"/>
      <c r="Z290" s="25"/>
      <c r="AA290" s="25"/>
    </row>
    <row r="291" spans="1:27" x14ac:dyDescent="0.35">
      <c r="A291" s="97"/>
      <c r="B291" s="97"/>
      <c r="C291" s="97"/>
      <c r="D291" s="97"/>
      <c r="E291" s="97"/>
      <c r="F291" s="97"/>
      <c r="G291" s="97"/>
      <c r="H291" s="97"/>
      <c r="I291" s="97"/>
      <c r="J291" s="97"/>
      <c r="K291" s="97"/>
      <c r="L291" s="97"/>
      <c r="M291" s="97"/>
      <c r="N291" s="97"/>
      <c r="O291" s="97"/>
      <c r="P291" s="97"/>
      <c r="Q291" s="97"/>
      <c r="R291" s="97"/>
      <c r="S291" s="97"/>
      <c r="T291" s="97"/>
      <c r="U291" s="97"/>
      <c r="V291" s="25"/>
      <c r="W291" s="25"/>
      <c r="X291" s="25"/>
      <c r="Y291" s="25"/>
      <c r="Z291" s="25"/>
      <c r="AA291" s="25"/>
    </row>
    <row r="292" spans="1:27" x14ac:dyDescent="0.35">
      <c r="A292" s="97"/>
      <c r="B292" s="97"/>
      <c r="C292" s="97"/>
      <c r="D292" s="97"/>
      <c r="E292" s="97"/>
      <c r="F292" s="97"/>
      <c r="G292" s="97"/>
      <c r="H292" s="97"/>
      <c r="I292" s="97"/>
      <c r="J292" s="97"/>
      <c r="K292" s="97"/>
      <c r="L292" s="97"/>
      <c r="M292" s="97"/>
      <c r="N292" s="97"/>
      <c r="O292" s="97"/>
      <c r="P292" s="97"/>
      <c r="Q292" s="97"/>
      <c r="R292" s="97"/>
      <c r="S292" s="97"/>
      <c r="T292" s="97"/>
      <c r="U292" s="97"/>
      <c r="V292" s="25"/>
      <c r="W292" s="25"/>
      <c r="X292" s="25"/>
      <c r="Y292" s="25"/>
      <c r="Z292" s="25"/>
      <c r="AA292" s="25"/>
    </row>
    <row r="293" spans="1:27" x14ac:dyDescent="0.35">
      <c r="A293" s="97"/>
      <c r="B293" s="97"/>
      <c r="C293" s="97"/>
      <c r="D293" s="97"/>
      <c r="E293" s="97"/>
      <c r="F293" s="97"/>
      <c r="G293" s="97"/>
      <c r="H293" s="97"/>
      <c r="I293" s="97"/>
      <c r="J293" s="97"/>
      <c r="K293" s="97"/>
      <c r="L293" s="97"/>
      <c r="M293" s="97"/>
      <c r="N293" s="97"/>
      <c r="O293" s="97"/>
      <c r="P293" s="97"/>
      <c r="Q293" s="97"/>
      <c r="R293" s="97"/>
      <c r="S293" s="97"/>
      <c r="T293" s="97"/>
      <c r="U293" s="97"/>
      <c r="V293" s="25"/>
      <c r="W293" s="25"/>
      <c r="X293" s="25"/>
      <c r="Y293" s="25"/>
      <c r="Z293" s="25"/>
      <c r="AA293" s="25"/>
    </row>
    <row r="294" spans="1:27" x14ac:dyDescent="0.35">
      <c r="A294" s="97"/>
      <c r="B294" s="97"/>
      <c r="C294" s="97"/>
      <c r="D294" s="97"/>
      <c r="E294" s="97"/>
      <c r="F294" s="97"/>
      <c r="G294" s="97"/>
      <c r="H294" s="97"/>
      <c r="I294" s="97"/>
      <c r="J294" s="97"/>
      <c r="K294" s="97"/>
      <c r="L294" s="97"/>
      <c r="M294" s="97"/>
      <c r="N294" s="97"/>
      <c r="O294" s="97"/>
      <c r="P294" s="97"/>
      <c r="Q294" s="97"/>
      <c r="R294" s="97"/>
      <c r="S294" s="97"/>
      <c r="T294" s="97"/>
      <c r="U294" s="97"/>
      <c r="V294" s="25"/>
      <c r="W294" s="25"/>
      <c r="X294" s="25"/>
      <c r="Y294" s="25"/>
      <c r="Z294" s="25"/>
      <c r="AA294" s="25"/>
    </row>
    <row r="295" spans="1:27" x14ac:dyDescent="0.35">
      <c r="A295" s="97"/>
      <c r="B295" s="97"/>
      <c r="C295" s="97"/>
      <c r="D295" s="97"/>
      <c r="E295" s="97"/>
      <c r="F295" s="97"/>
      <c r="G295" s="97"/>
      <c r="H295" s="97"/>
      <c r="I295" s="97"/>
      <c r="J295" s="97"/>
      <c r="K295" s="97"/>
      <c r="L295" s="97"/>
      <c r="M295" s="97"/>
      <c r="N295" s="97"/>
      <c r="O295" s="97"/>
      <c r="P295" s="97"/>
      <c r="Q295" s="97"/>
      <c r="R295" s="97"/>
      <c r="S295" s="97"/>
      <c r="T295" s="97"/>
      <c r="U295" s="97"/>
      <c r="V295" s="25"/>
      <c r="W295" s="25"/>
      <c r="X295" s="25"/>
      <c r="Y295" s="25"/>
      <c r="Z295" s="25"/>
      <c r="AA295" s="25"/>
    </row>
    <row r="296" spans="1:27" x14ac:dyDescent="0.35">
      <c r="A296" s="97"/>
      <c r="B296" s="97"/>
      <c r="C296" s="97"/>
      <c r="D296" s="97"/>
      <c r="E296" s="97"/>
      <c r="F296" s="97"/>
      <c r="G296" s="97"/>
      <c r="H296" s="97"/>
      <c r="I296" s="97"/>
      <c r="J296" s="97"/>
      <c r="K296" s="97"/>
      <c r="L296" s="97"/>
      <c r="M296" s="97"/>
      <c r="N296" s="97"/>
      <c r="O296" s="97"/>
      <c r="P296" s="97"/>
      <c r="Q296" s="97"/>
      <c r="R296" s="97"/>
      <c r="S296" s="97"/>
      <c r="T296" s="97"/>
      <c r="U296" s="97"/>
      <c r="V296" s="25"/>
      <c r="W296" s="25"/>
      <c r="X296" s="25"/>
      <c r="Y296" s="25"/>
      <c r="Z296" s="25"/>
      <c r="AA296" s="25"/>
    </row>
    <row r="297" spans="1:27" x14ac:dyDescent="0.35">
      <c r="A297" s="97"/>
      <c r="B297" s="97"/>
      <c r="C297" s="97"/>
      <c r="D297" s="97"/>
      <c r="E297" s="97"/>
      <c r="F297" s="97"/>
      <c r="G297" s="97"/>
      <c r="H297" s="97"/>
      <c r="I297" s="97"/>
      <c r="J297" s="97"/>
      <c r="K297" s="97"/>
      <c r="L297" s="97"/>
      <c r="M297" s="97"/>
      <c r="N297" s="97"/>
      <c r="O297" s="97"/>
      <c r="P297" s="97"/>
      <c r="Q297" s="97"/>
      <c r="R297" s="97"/>
      <c r="S297" s="97"/>
      <c r="T297" s="97"/>
      <c r="U297" s="97"/>
      <c r="V297" s="25"/>
      <c r="W297" s="25"/>
      <c r="X297" s="25"/>
      <c r="Y297" s="25"/>
      <c r="Z297" s="25"/>
      <c r="AA297" s="25"/>
    </row>
    <row r="298" spans="1:27" x14ac:dyDescent="0.35">
      <c r="A298" s="97"/>
      <c r="B298" s="97"/>
      <c r="C298" s="97"/>
      <c r="D298" s="97"/>
      <c r="E298" s="97"/>
      <c r="F298" s="97"/>
      <c r="G298" s="97"/>
      <c r="H298" s="97"/>
      <c r="I298" s="97"/>
      <c r="J298" s="97"/>
      <c r="K298" s="97"/>
      <c r="L298" s="97"/>
      <c r="M298" s="97"/>
      <c r="N298" s="97"/>
      <c r="O298" s="97"/>
      <c r="P298" s="97"/>
      <c r="Q298" s="97"/>
      <c r="R298" s="97"/>
      <c r="S298" s="97"/>
      <c r="T298" s="97"/>
      <c r="U298" s="97"/>
      <c r="V298" s="25"/>
      <c r="W298" s="25"/>
      <c r="X298" s="25"/>
      <c r="Y298" s="25"/>
      <c r="Z298" s="25"/>
      <c r="AA298" s="25"/>
    </row>
    <row r="299" spans="1:27" x14ac:dyDescent="0.35">
      <c r="A299" s="97"/>
      <c r="B299" s="97"/>
      <c r="C299" s="97"/>
      <c r="D299" s="97"/>
      <c r="E299" s="97"/>
      <c r="F299" s="97"/>
      <c r="G299" s="97"/>
      <c r="H299" s="97"/>
      <c r="I299" s="97"/>
      <c r="J299" s="97"/>
      <c r="K299" s="97"/>
      <c r="L299" s="97"/>
      <c r="M299" s="97"/>
      <c r="N299" s="97"/>
      <c r="O299" s="97"/>
      <c r="P299" s="97"/>
      <c r="Q299" s="97"/>
      <c r="R299" s="97"/>
      <c r="S299" s="97"/>
      <c r="T299" s="97"/>
      <c r="U299" s="97"/>
      <c r="V299" s="25"/>
      <c r="W299" s="25"/>
      <c r="X299" s="25"/>
      <c r="Y299" s="25"/>
      <c r="Z299" s="25"/>
      <c r="AA299" s="25"/>
    </row>
    <row r="300" spans="1:27" x14ac:dyDescent="0.35">
      <c r="A300" s="97"/>
      <c r="B300" s="97"/>
      <c r="C300" s="97"/>
      <c r="D300" s="97"/>
      <c r="E300" s="97"/>
      <c r="F300" s="97"/>
      <c r="G300" s="97"/>
      <c r="H300" s="97"/>
      <c r="I300" s="97"/>
      <c r="J300" s="97"/>
      <c r="K300" s="97"/>
      <c r="L300" s="97"/>
      <c r="M300" s="97"/>
      <c r="N300" s="97"/>
      <c r="O300" s="97"/>
      <c r="P300" s="97"/>
      <c r="Q300" s="97"/>
      <c r="R300" s="97"/>
      <c r="S300" s="97"/>
      <c r="T300" s="97"/>
      <c r="U300" s="97"/>
      <c r="V300" s="25"/>
      <c r="W300" s="25"/>
      <c r="X300" s="25"/>
      <c r="Y300" s="25"/>
      <c r="Z300" s="25"/>
      <c r="AA300" s="25"/>
    </row>
    <row r="301" spans="1:27" x14ac:dyDescent="0.35">
      <c r="A301" s="97"/>
      <c r="B301" s="97"/>
      <c r="C301" s="97"/>
      <c r="D301" s="97"/>
      <c r="E301" s="97"/>
      <c r="F301" s="97"/>
      <c r="G301" s="97"/>
      <c r="H301" s="97"/>
      <c r="I301" s="97"/>
      <c r="J301" s="97"/>
      <c r="K301" s="97"/>
      <c r="L301" s="97"/>
      <c r="M301" s="97"/>
      <c r="N301" s="97"/>
      <c r="O301" s="97"/>
      <c r="P301" s="97"/>
      <c r="Q301" s="97"/>
      <c r="R301" s="97"/>
      <c r="S301" s="97"/>
      <c r="T301" s="97"/>
      <c r="U301" s="97"/>
      <c r="V301" s="25"/>
      <c r="W301" s="25"/>
      <c r="X301" s="25"/>
      <c r="Y301" s="25"/>
      <c r="Z301" s="25"/>
      <c r="AA301" s="25"/>
    </row>
    <row r="302" spans="1:27" x14ac:dyDescent="0.35">
      <c r="A302" s="97"/>
      <c r="B302" s="97"/>
      <c r="C302" s="97"/>
      <c r="D302" s="97"/>
      <c r="E302" s="97"/>
      <c r="F302" s="97"/>
      <c r="G302" s="97"/>
      <c r="H302" s="97"/>
      <c r="I302" s="97"/>
      <c r="J302" s="97"/>
      <c r="K302" s="97"/>
      <c r="L302" s="97"/>
      <c r="M302" s="97"/>
      <c r="N302" s="97"/>
      <c r="O302" s="97"/>
      <c r="P302" s="97"/>
      <c r="Q302" s="97"/>
      <c r="R302" s="97"/>
      <c r="S302" s="97"/>
      <c r="T302" s="97"/>
      <c r="U302" s="97"/>
      <c r="V302" s="25"/>
      <c r="W302" s="25"/>
      <c r="X302" s="25"/>
      <c r="Y302" s="25"/>
      <c r="Z302" s="25"/>
      <c r="AA302" s="25"/>
    </row>
    <row r="303" spans="1:27" x14ac:dyDescent="0.35">
      <c r="A303" s="97"/>
      <c r="B303" s="97"/>
      <c r="C303" s="97"/>
      <c r="D303" s="97"/>
      <c r="E303" s="97"/>
      <c r="F303" s="97"/>
      <c r="G303" s="97"/>
      <c r="H303" s="97"/>
      <c r="I303" s="97"/>
      <c r="J303" s="97"/>
      <c r="K303" s="97"/>
      <c r="L303" s="97"/>
      <c r="M303" s="97"/>
      <c r="N303" s="97"/>
      <c r="O303" s="97"/>
      <c r="P303" s="97"/>
      <c r="Q303" s="97"/>
      <c r="R303" s="97"/>
      <c r="S303" s="97"/>
      <c r="T303" s="97"/>
      <c r="U303" s="97"/>
      <c r="V303" s="25"/>
      <c r="W303" s="25"/>
      <c r="X303" s="25"/>
      <c r="Y303" s="25"/>
      <c r="Z303" s="25"/>
      <c r="AA303" s="25"/>
    </row>
    <row r="304" spans="1:27" x14ac:dyDescent="0.35">
      <c r="A304" s="97"/>
      <c r="B304" s="97"/>
      <c r="C304" s="97"/>
      <c r="D304" s="97"/>
      <c r="E304" s="97"/>
      <c r="F304" s="97"/>
      <c r="G304" s="97"/>
      <c r="H304" s="97"/>
      <c r="I304" s="97"/>
      <c r="J304" s="97"/>
      <c r="K304" s="97"/>
      <c r="L304" s="97"/>
      <c r="M304" s="97"/>
      <c r="N304" s="97"/>
      <c r="O304" s="97"/>
      <c r="P304" s="97"/>
      <c r="Q304" s="97"/>
      <c r="R304" s="97"/>
      <c r="S304" s="97"/>
      <c r="T304" s="97"/>
      <c r="U304" s="97"/>
      <c r="V304" s="25"/>
      <c r="W304" s="25"/>
      <c r="X304" s="25"/>
      <c r="Y304" s="25"/>
      <c r="Z304" s="25"/>
      <c r="AA304" s="25"/>
    </row>
    <row r="305" spans="1:27" x14ac:dyDescent="0.35">
      <c r="A305" s="97"/>
      <c r="B305" s="97"/>
      <c r="C305" s="97"/>
      <c r="D305" s="97"/>
      <c r="E305" s="97"/>
      <c r="F305" s="97"/>
      <c r="G305" s="97"/>
      <c r="H305" s="97"/>
      <c r="I305" s="97"/>
      <c r="J305" s="97"/>
      <c r="K305" s="97"/>
      <c r="L305" s="97"/>
      <c r="M305" s="97"/>
      <c r="N305" s="97"/>
      <c r="O305" s="97"/>
      <c r="P305" s="97"/>
      <c r="Q305" s="97"/>
      <c r="R305" s="97"/>
      <c r="S305" s="97"/>
      <c r="T305" s="97"/>
      <c r="U305" s="97"/>
      <c r="V305" s="25"/>
      <c r="W305" s="25"/>
      <c r="X305" s="25"/>
      <c r="Y305" s="25"/>
      <c r="Z305" s="25"/>
      <c r="AA305" s="25"/>
    </row>
    <row r="306" spans="1:27" x14ac:dyDescent="0.35">
      <c r="A306" s="97"/>
      <c r="B306" s="97"/>
      <c r="C306" s="97"/>
      <c r="D306" s="97"/>
      <c r="E306" s="97"/>
      <c r="F306" s="97"/>
      <c r="G306" s="97"/>
      <c r="H306" s="97"/>
      <c r="I306" s="97"/>
      <c r="J306" s="97"/>
      <c r="K306" s="97"/>
      <c r="L306" s="97"/>
      <c r="M306" s="97"/>
      <c r="N306" s="97"/>
      <c r="O306" s="97"/>
      <c r="P306" s="97"/>
      <c r="Q306" s="97"/>
      <c r="R306" s="97"/>
      <c r="S306" s="97"/>
      <c r="T306" s="97"/>
      <c r="U306" s="97"/>
      <c r="V306" s="25"/>
      <c r="W306" s="25"/>
      <c r="X306" s="25"/>
      <c r="Y306" s="25"/>
      <c r="Z306" s="25"/>
      <c r="AA306" s="25"/>
    </row>
    <row r="307" spans="1:27" x14ac:dyDescent="0.35">
      <c r="A307" s="97"/>
      <c r="B307" s="97"/>
      <c r="C307" s="97"/>
      <c r="D307" s="97"/>
      <c r="E307" s="97"/>
      <c r="F307" s="97"/>
      <c r="G307" s="97"/>
      <c r="H307" s="97"/>
      <c r="I307" s="97"/>
      <c r="J307" s="97"/>
      <c r="K307" s="97"/>
      <c r="L307" s="97"/>
      <c r="M307" s="97"/>
      <c r="N307" s="97"/>
      <c r="O307" s="97"/>
      <c r="P307" s="97"/>
      <c r="Q307" s="97"/>
      <c r="R307" s="97"/>
      <c r="S307" s="97"/>
      <c r="T307" s="97"/>
      <c r="U307" s="97"/>
      <c r="V307" s="25"/>
      <c r="W307" s="25"/>
      <c r="X307" s="25"/>
      <c r="Y307" s="25"/>
      <c r="Z307" s="25"/>
      <c r="AA307" s="25"/>
    </row>
    <row r="308" spans="1:27" x14ac:dyDescent="0.35">
      <c r="A308" s="97"/>
      <c r="B308" s="97"/>
      <c r="C308" s="97"/>
      <c r="D308" s="97"/>
      <c r="E308" s="97"/>
      <c r="F308" s="97"/>
      <c r="G308" s="97"/>
      <c r="H308" s="97"/>
      <c r="I308" s="97"/>
      <c r="J308" s="97"/>
      <c r="K308" s="97"/>
      <c r="L308" s="97"/>
      <c r="M308" s="97"/>
      <c r="N308" s="97"/>
      <c r="O308" s="97"/>
      <c r="P308" s="97"/>
      <c r="Q308" s="97"/>
      <c r="R308" s="97"/>
      <c r="S308" s="97"/>
      <c r="T308" s="97"/>
      <c r="U308" s="97"/>
      <c r="V308" s="25"/>
      <c r="W308" s="25"/>
      <c r="X308" s="25"/>
      <c r="Y308" s="25"/>
      <c r="Z308" s="25"/>
      <c r="AA308" s="25"/>
    </row>
    <row r="309" spans="1:27" x14ac:dyDescent="0.35">
      <c r="A309" s="97"/>
      <c r="B309" s="97"/>
      <c r="C309" s="97"/>
      <c r="D309" s="97"/>
      <c r="E309" s="97"/>
      <c r="F309" s="97"/>
      <c r="G309" s="97"/>
      <c r="H309" s="97"/>
      <c r="I309" s="97"/>
      <c r="J309" s="97"/>
      <c r="K309" s="97"/>
      <c r="L309" s="97"/>
      <c r="M309" s="97"/>
      <c r="N309" s="97"/>
      <c r="O309" s="97"/>
      <c r="P309" s="97"/>
      <c r="Q309" s="97"/>
      <c r="R309" s="97"/>
      <c r="S309" s="97"/>
      <c r="T309" s="97"/>
      <c r="U309" s="97"/>
      <c r="V309" s="25"/>
      <c r="W309" s="25"/>
      <c r="X309" s="25"/>
      <c r="Y309" s="25"/>
      <c r="Z309" s="25"/>
      <c r="AA309" s="25"/>
    </row>
    <row r="310" spans="1:27" x14ac:dyDescent="0.35">
      <c r="A310" s="97"/>
      <c r="B310" s="97"/>
      <c r="C310" s="97"/>
      <c r="D310" s="97"/>
      <c r="E310" s="97"/>
      <c r="F310" s="97"/>
      <c r="G310" s="97"/>
      <c r="H310" s="97"/>
      <c r="I310" s="97"/>
      <c r="J310" s="97"/>
      <c r="K310" s="97"/>
      <c r="L310" s="97"/>
      <c r="M310" s="97"/>
      <c r="N310" s="97"/>
      <c r="O310" s="97"/>
      <c r="P310" s="97"/>
      <c r="Q310" s="97"/>
      <c r="R310" s="97"/>
      <c r="S310" s="97"/>
      <c r="T310" s="97"/>
      <c r="U310" s="97"/>
      <c r="V310" s="25"/>
      <c r="W310" s="25"/>
      <c r="X310" s="25"/>
      <c r="Y310" s="25"/>
      <c r="Z310" s="25"/>
      <c r="AA310" s="25"/>
    </row>
    <row r="311" spans="1:27" x14ac:dyDescent="0.35">
      <c r="A311" s="97"/>
      <c r="B311" s="97"/>
      <c r="C311" s="97"/>
      <c r="D311" s="97"/>
      <c r="E311" s="97"/>
      <c r="F311" s="97"/>
      <c r="G311" s="97"/>
      <c r="H311" s="97"/>
      <c r="I311" s="97"/>
      <c r="J311" s="97"/>
      <c r="K311" s="97"/>
      <c r="L311" s="97"/>
      <c r="M311" s="97"/>
      <c r="N311" s="97"/>
      <c r="O311" s="97"/>
      <c r="P311" s="97"/>
      <c r="Q311" s="97"/>
      <c r="R311" s="97"/>
      <c r="S311" s="97"/>
      <c r="T311" s="97"/>
      <c r="U311" s="97"/>
      <c r="V311" s="25"/>
      <c r="W311" s="25"/>
      <c r="X311" s="25"/>
      <c r="Y311" s="25"/>
      <c r="Z311" s="25"/>
      <c r="AA311" s="25"/>
    </row>
    <row r="312" spans="1:27" x14ac:dyDescent="0.35">
      <c r="A312" s="97"/>
      <c r="B312" s="97"/>
      <c r="C312" s="97"/>
      <c r="D312" s="97"/>
      <c r="E312" s="97"/>
      <c r="F312" s="97"/>
      <c r="G312" s="97"/>
      <c r="H312" s="97"/>
      <c r="I312" s="97"/>
      <c r="J312" s="97"/>
      <c r="K312" s="97"/>
      <c r="L312" s="97"/>
      <c r="M312" s="97"/>
      <c r="N312" s="97"/>
      <c r="O312" s="97"/>
      <c r="P312" s="97"/>
      <c r="Q312" s="97"/>
      <c r="R312" s="97"/>
      <c r="S312" s="97"/>
      <c r="T312" s="97"/>
      <c r="U312" s="97"/>
      <c r="V312" s="25"/>
      <c r="W312" s="25"/>
      <c r="X312" s="25"/>
      <c r="Y312" s="25"/>
      <c r="Z312" s="25"/>
      <c r="AA312" s="25"/>
    </row>
    <row r="313" spans="1:27" x14ac:dyDescent="0.35">
      <c r="A313" s="97"/>
      <c r="B313" s="97"/>
      <c r="C313" s="97"/>
      <c r="D313" s="97"/>
      <c r="E313" s="97"/>
      <c r="F313" s="97"/>
      <c r="G313" s="97"/>
      <c r="H313" s="97"/>
      <c r="I313" s="97"/>
      <c r="J313" s="97"/>
      <c r="K313" s="97"/>
      <c r="L313" s="97"/>
      <c r="M313" s="97"/>
      <c r="N313" s="97"/>
      <c r="O313" s="97"/>
      <c r="P313" s="97"/>
      <c r="Q313" s="97"/>
      <c r="R313" s="97"/>
      <c r="S313" s="97"/>
      <c r="T313" s="97"/>
      <c r="U313" s="97"/>
      <c r="V313" s="25"/>
      <c r="W313" s="25"/>
      <c r="X313" s="25"/>
      <c r="Y313" s="25"/>
      <c r="Z313" s="25"/>
      <c r="AA313" s="25"/>
    </row>
    <row r="314" spans="1:27" x14ac:dyDescent="0.35">
      <c r="A314" s="97"/>
      <c r="B314" s="97"/>
      <c r="C314" s="97"/>
      <c r="D314" s="97"/>
      <c r="E314" s="97"/>
      <c r="F314" s="97"/>
      <c r="G314" s="97"/>
      <c r="H314" s="97"/>
      <c r="I314" s="97"/>
      <c r="J314" s="97"/>
      <c r="K314" s="97"/>
      <c r="L314" s="97"/>
      <c r="M314" s="97"/>
      <c r="N314" s="97"/>
      <c r="O314" s="97"/>
      <c r="P314" s="97"/>
      <c r="Q314" s="97"/>
      <c r="R314" s="97"/>
      <c r="S314" s="97"/>
      <c r="T314" s="97"/>
      <c r="U314" s="97"/>
      <c r="V314" s="25"/>
      <c r="W314" s="25"/>
      <c r="X314" s="25"/>
      <c r="Y314" s="25"/>
      <c r="Z314" s="25"/>
      <c r="AA314" s="25"/>
    </row>
    <row r="315" spans="1:27" x14ac:dyDescent="0.35">
      <c r="A315" s="97"/>
      <c r="B315" s="97"/>
      <c r="C315" s="97"/>
      <c r="D315" s="97"/>
      <c r="E315" s="97"/>
      <c r="F315" s="97"/>
      <c r="G315" s="97"/>
      <c r="H315" s="97"/>
      <c r="I315" s="97"/>
      <c r="J315" s="97"/>
      <c r="K315" s="97"/>
      <c r="L315" s="97"/>
      <c r="M315" s="97"/>
      <c r="N315" s="97"/>
      <c r="O315" s="97"/>
      <c r="P315" s="97"/>
      <c r="Q315" s="97"/>
      <c r="R315" s="97"/>
      <c r="S315" s="97"/>
      <c r="T315" s="97"/>
      <c r="U315" s="97"/>
      <c r="V315" s="25"/>
      <c r="W315" s="25"/>
      <c r="X315" s="25"/>
      <c r="Y315" s="25"/>
      <c r="Z315" s="25"/>
      <c r="AA315" s="25"/>
    </row>
    <row r="316" spans="1:27" x14ac:dyDescent="0.35">
      <c r="A316" s="97"/>
      <c r="B316" s="97"/>
      <c r="C316" s="97"/>
      <c r="D316" s="97"/>
      <c r="E316" s="97"/>
      <c r="F316" s="97"/>
      <c r="G316" s="97"/>
      <c r="H316" s="97"/>
      <c r="I316" s="97"/>
      <c r="J316" s="97"/>
      <c r="K316" s="97"/>
      <c r="L316" s="97"/>
      <c r="M316" s="97"/>
      <c r="N316" s="97"/>
      <c r="O316" s="97"/>
      <c r="P316" s="97"/>
      <c r="Q316" s="97"/>
      <c r="R316" s="97"/>
      <c r="S316" s="97"/>
      <c r="T316" s="97"/>
      <c r="U316" s="97"/>
      <c r="V316" s="25"/>
      <c r="W316" s="25"/>
      <c r="X316" s="25"/>
      <c r="Y316" s="25"/>
      <c r="Z316" s="25"/>
      <c r="AA316" s="25"/>
    </row>
    <row r="317" spans="1:27" x14ac:dyDescent="0.35">
      <c r="A317" s="97"/>
      <c r="B317" s="97"/>
      <c r="C317" s="97"/>
      <c r="D317" s="97"/>
      <c r="E317" s="97"/>
      <c r="F317" s="97"/>
      <c r="G317" s="97"/>
      <c r="H317" s="97"/>
      <c r="I317" s="97"/>
      <c r="J317" s="97"/>
      <c r="K317" s="97"/>
      <c r="L317" s="97"/>
      <c r="M317" s="97"/>
      <c r="N317" s="97"/>
      <c r="O317" s="97"/>
      <c r="P317" s="97"/>
      <c r="Q317" s="97"/>
      <c r="R317" s="97"/>
      <c r="S317" s="97"/>
      <c r="T317" s="97"/>
      <c r="U317" s="97"/>
      <c r="V317" s="25"/>
      <c r="W317" s="25"/>
      <c r="X317" s="25"/>
      <c r="Y317" s="25"/>
      <c r="Z317" s="25"/>
      <c r="AA317" s="25"/>
    </row>
    <row r="318" spans="1:27" x14ac:dyDescent="0.35">
      <c r="A318" s="97"/>
      <c r="B318" s="97"/>
      <c r="C318" s="97"/>
      <c r="D318" s="97"/>
      <c r="E318" s="97"/>
      <c r="F318" s="97"/>
      <c r="G318" s="97"/>
      <c r="H318" s="97"/>
      <c r="I318" s="97"/>
      <c r="J318" s="97"/>
      <c r="K318" s="97"/>
      <c r="L318" s="97"/>
      <c r="M318" s="97"/>
      <c r="N318" s="97"/>
      <c r="O318" s="97"/>
      <c r="P318" s="97"/>
      <c r="Q318" s="97"/>
      <c r="R318" s="97"/>
      <c r="S318" s="97"/>
      <c r="T318" s="97"/>
      <c r="U318" s="97"/>
      <c r="V318" s="25"/>
      <c r="W318" s="25"/>
      <c r="X318" s="25"/>
      <c r="Y318" s="25"/>
      <c r="Z318" s="25"/>
      <c r="AA318" s="25"/>
    </row>
    <row r="319" spans="1:27" x14ac:dyDescent="0.35">
      <c r="A319" s="97"/>
      <c r="B319" s="97"/>
      <c r="C319" s="97"/>
      <c r="D319" s="97"/>
      <c r="E319" s="97"/>
      <c r="F319" s="97"/>
      <c r="G319" s="97"/>
      <c r="H319" s="97"/>
      <c r="I319" s="97"/>
      <c r="J319" s="97"/>
      <c r="K319" s="97"/>
      <c r="L319" s="97"/>
      <c r="M319" s="97"/>
      <c r="N319" s="97"/>
      <c r="O319" s="97"/>
      <c r="P319" s="97"/>
      <c r="Q319" s="97"/>
      <c r="R319" s="97"/>
      <c r="S319" s="97"/>
      <c r="T319" s="97"/>
      <c r="U319" s="97"/>
      <c r="V319" s="25"/>
      <c r="W319" s="25"/>
      <c r="X319" s="25"/>
      <c r="Y319" s="25"/>
      <c r="Z319" s="25"/>
      <c r="AA319" s="25"/>
    </row>
    <row r="320" spans="1:27" x14ac:dyDescent="0.35">
      <c r="A320" s="97"/>
      <c r="B320" s="97"/>
      <c r="C320" s="97"/>
      <c r="D320" s="97"/>
      <c r="E320" s="97"/>
      <c r="F320" s="97"/>
      <c r="G320" s="97"/>
      <c r="H320" s="97"/>
      <c r="I320" s="97"/>
      <c r="J320" s="97"/>
      <c r="K320" s="97"/>
      <c r="L320" s="97"/>
      <c r="M320" s="97"/>
      <c r="N320" s="97"/>
      <c r="O320" s="97"/>
      <c r="P320" s="97"/>
      <c r="Q320" s="97"/>
      <c r="R320" s="97"/>
      <c r="S320" s="97"/>
      <c r="T320" s="97"/>
      <c r="U320" s="97"/>
      <c r="V320" s="25"/>
      <c r="W320" s="25"/>
      <c r="X320" s="25"/>
      <c r="Y320" s="25"/>
      <c r="Z320" s="25"/>
      <c r="AA320" s="25"/>
    </row>
    <row r="321" spans="1:27" x14ac:dyDescent="0.35">
      <c r="A321" s="97"/>
      <c r="B321" s="97"/>
      <c r="C321" s="97"/>
      <c r="D321" s="97"/>
      <c r="E321" s="97"/>
      <c r="F321" s="97"/>
      <c r="G321" s="97"/>
      <c r="H321" s="97"/>
      <c r="I321" s="97"/>
      <c r="J321" s="97"/>
      <c r="K321" s="97"/>
      <c r="L321" s="97"/>
      <c r="M321" s="97"/>
      <c r="N321" s="97"/>
      <c r="O321" s="97"/>
      <c r="P321" s="97"/>
      <c r="Q321" s="97"/>
      <c r="R321" s="97"/>
      <c r="S321" s="97"/>
      <c r="T321" s="97"/>
      <c r="U321" s="97"/>
      <c r="V321" s="25"/>
      <c r="W321" s="25"/>
      <c r="X321" s="25"/>
      <c r="Y321" s="25"/>
      <c r="Z321" s="25"/>
      <c r="AA321" s="25"/>
    </row>
    <row r="322" spans="1:27" x14ac:dyDescent="0.35">
      <c r="A322" s="97"/>
      <c r="B322" s="97"/>
      <c r="C322" s="97"/>
      <c r="D322" s="97"/>
      <c r="E322" s="97"/>
      <c r="F322" s="97"/>
      <c r="G322" s="97"/>
      <c r="H322" s="97"/>
      <c r="I322" s="97"/>
      <c r="J322" s="97"/>
      <c r="K322" s="97"/>
      <c r="L322" s="97"/>
      <c r="M322" s="97"/>
      <c r="N322" s="97"/>
      <c r="O322" s="97"/>
      <c r="P322" s="97"/>
      <c r="Q322" s="97"/>
      <c r="R322" s="97"/>
      <c r="S322" s="97"/>
      <c r="T322" s="97"/>
      <c r="U322" s="97"/>
      <c r="V322" s="25"/>
      <c r="W322" s="25"/>
      <c r="X322" s="25"/>
      <c r="Y322" s="25"/>
      <c r="Z322" s="25"/>
      <c r="AA322" s="25"/>
    </row>
    <row r="323" spans="1:27" x14ac:dyDescent="0.35">
      <c r="A323" s="97"/>
      <c r="B323" s="97"/>
      <c r="C323" s="97"/>
      <c r="D323" s="97"/>
      <c r="E323" s="97"/>
      <c r="F323" s="97"/>
      <c r="G323" s="97"/>
      <c r="H323" s="97"/>
      <c r="I323" s="97"/>
      <c r="J323" s="97"/>
      <c r="K323" s="97"/>
      <c r="L323" s="97"/>
      <c r="M323" s="97"/>
      <c r="N323" s="97"/>
      <c r="O323" s="97"/>
      <c r="P323" s="97"/>
      <c r="Q323" s="97"/>
      <c r="R323" s="97"/>
      <c r="S323" s="97"/>
      <c r="T323" s="97"/>
      <c r="U323" s="97"/>
      <c r="V323" s="25"/>
      <c r="W323" s="25"/>
      <c r="X323" s="25"/>
      <c r="Y323" s="25"/>
      <c r="Z323" s="25"/>
      <c r="AA323" s="25"/>
    </row>
    <row r="324" spans="1:27" x14ac:dyDescent="0.35">
      <c r="A324" s="97"/>
      <c r="B324" s="97"/>
      <c r="C324" s="97"/>
      <c r="D324" s="97"/>
      <c r="E324" s="97"/>
      <c r="F324" s="97"/>
      <c r="G324" s="97"/>
      <c r="H324" s="97"/>
      <c r="I324" s="97"/>
      <c r="J324" s="97"/>
      <c r="K324" s="97"/>
      <c r="L324" s="97"/>
      <c r="M324" s="97"/>
      <c r="N324" s="97"/>
      <c r="O324" s="97"/>
      <c r="P324" s="97"/>
      <c r="Q324" s="97"/>
      <c r="R324" s="97"/>
      <c r="S324" s="97"/>
      <c r="T324" s="97"/>
      <c r="U324" s="97"/>
      <c r="V324" s="25"/>
      <c r="W324" s="25"/>
      <c r="X324" s="25"/>
      <c r="Y324" s="25"/>
      <c r="Z324" s="25"/>
      <c r="AA324" s="25"/>
    </row>
    <row r="325" spans="1:27" x14ac:dyDescent="0.35">
      <c r="A325" s="97"/>
      <c r="B325" s="97"/>
      <c r="C325" s="97"/>
      <c r="D325" s="97"/>
      <c r="E325" s="97"/>
      <c r="F325" s="97"/>
      <c r="G325" s="97"/>
      <c r="H325" s="97"/>
      <c r="I325" s="97"/>
      <c r="J325" s="97"/>
      <c r="K325" s="97"/>
      <c r="L325" s="97"/>
      <c r="M325" s="97"/>
      <c r="N325" s="97"/>
      <c r="O325" s="97"/>
      <c r="P325" s="97"/>
      <c r="Q325" s="97"/>
      <c r="R325" s="97"/>
      <c r="S325" s="97"/>
      <c r="T325" s="97"/>
      <c r="U325" s="97"/>
      <c r="V325" s="25"/>
      <c r="W325" s="25"/>
      <c r="X325" s="25"/>
      <c r="Y325" s="25"/>
      <c r="Z325" s="25"/>
      <c r="AA325" s="25"/>
    </row>
    <row r="326" spans="1:27" x14ac:dyDescent="0.35">
      <c r="A326" s="97"/>
      <c r="B326" s="97"/>
      <c r="C326" s="97"/>
      <c r="D326" s="97"/>
      <c r="E326" s="97"/>
      <c r="F326" s="97"/>
      <c r="G326" s="97"/>
      <c r="H326" s="97"/>
      <c r="I326" s="97"/>
      <c r="J326" s="97"/>
      <c r="K326" s="97"/>
      <c r="L326" s="97"/>
      <c r="M326" s="97"/>
      <c r="N326" s="97"/>
      <c r="O326" s="97"/>
      <c r="P326" s="97"/>
      <c r="Q326" s="97"/>
      <c r="R326" s="97"/>
      <c r="S326" s="97"/>
      <c r="T326" s="97"/>
      <c r="U326" s="97"/>
      <c r="V326" s="25"/>
      <c r="W326" s="25"/>
      <c r="X326" s="25"/>
      <c r="Y326" s="25"/>
      <c r="Z326" s="25"/>
      <c r="AA326" s="25"/>
    </row>
    <row r="327" spans="1:27" x14ac:dyDescent="0.35">
      <c r="A327" s="97"/>
      <c r="B327" s="97"/>
      <c r="C327" s="97"/>
      <c r="D327" s="97"/>
      <c r="E327" s="97"/>
      <c r="F327" s="97"/>
      <c r="G327" s="97"/>
      <c r="H327" s="97"/>
      <c r="I327" s="97"/>
      <c r="J327" s="97"/>
      <c r="K327" s="97"/>
      <c r="L327" s="97"/>
      <c r="M327" s="97"/>
      <c r="N327" s="97"/>
      <c r="O327" s="97"/>
      <c r="P327" s="97"/>
      <c r="Q327" s="97"/>
      <c r="R327" s="97"/>
      <c r="S327" s="97"/>
      <c r="T327" s="97"/>
      <c r="U327" s="97"/>
      <c r="V327" s="25"/>
      <c r="W327" s="25"/>
      <c r="X327" s="25"/>
      <c r="Y327" s="25"/>
      <c r="Z327" s="25"/>
      <c r="AA327" s="25"/>
    </row>
    <row r="328" spans="1:27" x14ac:dyDescent="0.35">
      <c r="A328" s="97"/>
      <c r="B328" s="97"/>
      <c r="C328" s="97"/>
      <c r="D328" s="97"/>
      <c r="E328" s="97"/>
      <c r="F328" s="97"/>
      <c r="G328" s="97"/>
      <c r="H328" s="97"/>
      <c r="I328" s="97"/>
      <c r="J328" s="97"/>
      <c r="K328" s="97"/>
      <c r="L328" s="97"/>
      <c r="M328" s="97"/>
      <c r="N328" s="97"/>
      <c r="O328" s="97"/>
      <c r="P328" s="97"/>
      <c r="Q328" s="97"/>
      <c r="R328" s="97"/>
      <c r="S328" s="97"/>
      <c r="T328" s="97"/>
      <c r="U328" s="97"/>
      <c r="V328" s="25"/>
      <c r="W328" s="25"/>
      <c r="X328" s="25"/>
      <c r="Y328" s="25"/>
      <c r="Z328" s="25"/>
      <c r="AA328" s="25"/>
    </row>
    <row r="329" spans="1:27" x14ac:dyDescent="0.35">
      <c r="A329" s="97"/>
      <c r="B329" s="97"/>
      <c r="C329" s="97"/>
      <c r="D329" s="97"/>
      <c r="E329" s="97"/>
      <c r="F329" s="97"/>
      <c r="G329" s="97"/>
      <c r="H329" s="97"/>
      <c r="I329" s="97"/>
      <c r="J329" s="97"/>
      <c r="K329" s="97"/>
      <c r="L329" s="97"/>
      <c r="M329" s="97"/>
      <c r="N329" s="97"/>
      <c r="O329" s="97"/>
      <c r="P329" s="97"/>
      <c r="Q329" s="97"/>
      <c r="R329" s="97"/>
      <c r="S329" s="97"/>
      <c r="T329" s="97"/>
      <c r="U329" s="97"/>
      <c r="V329" s="25"/>
      <c r="W329" s="25"/>
      <c r="X329" s="25"/>
      <c r="Y329" s="25"/>
      <c r="Z329" s="25"/>
      <c r="AA329" s="25"/>
    </row>
    <row r="330" spans="1:27" x14ac:dyDescent="0.35">
      <c r="A330" s="97"/>
      <c r="B330" s="97"/>
      <c r="C330" s="97"/>
      <c r="D330" s="97"/>
      <c r="E330" s="97"/>
      <c r="F330" s="97"/>
      <c r="G330" s="97"/>
      <c r="H330" s="97"/>
      <c r="I330" s="97"/>
      <c r="J330" s="97"/>
      <c r="K330" s="97"/>
      <c r="L330" s="97"/>
      <c r="M330" s="97"/>
      <c r="N330" s="97"/>
      <c r="O330" s="97"/>
      <c r="P330" s="97"/>
      <c r="Q330" s="97"/>
      <c r="R330" s="97"/>
      <c r="S330" s="97"/>
      <c r="T330" s="97"/>
      <c r="U330" s="97"/>
      <c r="V330" s="25"/>
      <c r="W330" s="25"/>
      <c r="X330" s="25"/>
      <c r="Y330" s="25"/>
      <c r="Z330" s="25"/>
      <c r="AA330" s="25"/>
    </row>
    <row r="331" spans="1:27" x14ac:dyDescent="0.35">
      <c r="A331" s="97"/>
      <c r="B331" s="97"/>
      <c r="C331" s="97"/>
      <c r="D331" s="97"/>
      <c r="E331" s="97"/>
      <c r="F331" s="97"/>
      <c r="G331" s="97"/>
      <c r="H331" s="97"/>
      <c r="I331" s="97"/>
      <c r="J331" s="97"/>
      <c r="K331" s="97"/>
      <c r="L331" s="97"/>
      <c r="M331" s="97"/>
      <c r="N331" s="97"/>
      <c r="O331" s="97"/>
      <c r="P331" s="97"/>
      <c r="Q331" s="97"/>
      <c r="R331" s="97"/>
      <c r="S331" s="97"/>
      <c r="T331" s="97"/>
      <c r="U331" s="97"/>
      <c r="V331" s="25"/>
      <c r="W331" s="25"/>
      <c r="X331" s="25"/>
      <c r="Y331" s="25"/>
      <c r="Z331" s="25"/>
      <c r="AA331" s="25"/>
    </row>
    <row r="332" spans="1:27" x14ac:dyDescent="0.35">
      <c r="A332" s="97"/>
      <c r="B332" s="97"/>
      <c r="C332" s="97"/>
      <c r="D332" s="97"/>
      <c r="E332" s="97"/>
      <c r="F332" s="97"/>
      <c r="G332" s="97"/>
      <c r="H332" s="97"/>
      <c r="I332" s="97"/>
      <c r="J332" s="97"/>
      <c r="K332" s="97"/>
      <c r="L332" s="97"/>
      <c r="M332" s="97"/>
      <c r="N332" s="97"/>
      <c r="O332" s="97"/>
      <c r="P332" s="97"/>
      <c r="Q332" s="97"/>
      <c r="R332" s="97"/>
      <c r="S332" s="97"/>
      <c r="T332" s="97"/>
      <c r="U332" s="97"/>
      <c r="V332" s="25"/>
      <c r="W332" s="25"/>
      <c r="X332" s="25"/>
      <c r="Y332" s="25"/>
      <c r="Z332" s="25"/>
      <c r="AA332" s="25"/>
    </row>
    <row r="333" spans="1:27" x14ac:dyDescent="0.35">
      <c r="A333" s="97"/>
      <c r="B333" s="97"/>
      <c r="C333" s="97"/>
      <c r="D333" s="97"/>
      <c r="E333" s="97"/>
      <c r="F333" s="97"/>
      <c r="G333" s="97"/>
      <c r="H333" s="97"/>
      <c r="I333" s="97"/>
      <c r="J333" s="97"/>
      <c r="K333" s="97"/>
      <c r="L333" s="97"/>
      <c r="M333" s="97"/>
      <c r="N333" s="97"/>
      <c r="O333" s="97"/>
      <c r="P333" s="97"/>
      <c r="Q333" s="97"/>
      <c r="R333" s="97"/>
      <c r="S333" s="97"/>
      <c r="T333" s="97"/>
      <c r="U333" s="97"/>
      <c r="V333" s="25"/>
      <c r="W333" s="25"/>
      <c r="X333" s="25"/>
      <c r="Y333" s="25"/>
      <c r="Z333" s="25"/>
      <c r="AA333" s="25"/>
    </row>
    <row r="334" spans="1:27" x14ac:dyDescent="0.35">
      <c r="A334" s="97"/>
      <c r="B334" s="97"/>
      <c r="C334" s="97"/>
      <c r="D334" s="97"/>
      <c r="E334" s="97"/>
      <c r="F334" s="97"/>
      <c r="G334" s="97"/>
      <c r="H334" s="97"/>
      <c r="I334" s="97"/>
      <c r="J334" s="97"/>
      <c r="K334" s="97"/>
      <c r="L334" s="97"/>
      <c r="M334" s="97"/>
      <c r="N334" s="97"/>
      <c r="O334" s="97"/>
      <c r="P334" s="97"/>
      <c r="Q334" s="97"/>
      <c r="R334" s="97"/>
      <c r="S334" s="97"/>
      <c r="T334" s="97"/>
      <c r="U334" s="97"/>
      <c r="V334" s="25"/>
      <c r="W334" s="25"/>
      <c r="X334" s="25"/>
      <c r="Y334" s="25"/>
      <c r="Z334" s="25"/>
      <c r="AA334" s="25"/>
    </row>
    <row r="335" spans="1:27" x14ac:dyDescent="0.35">
      <c r="A335" s="97"/>
      <c r="B335" s="97"/>
      <c r="C335" s="97"/>
      <c r="D335" s="97"/>
      <c r="E335" s="97"/>
      <c r="F335" s="97"/>
      <c r="G335" s="97"/>
      <c r="H335" s="97"/>
      <c r="I335" s="97"/>
      <c r="J335" s="97"/>
      <c r="K335" s="97"/>
      <c r="L335" s="97"/>
      <c r="M335" s="97"/>
      <c r="N335" s="97"/>
      <c r="O335" s="97"/>
      <c r="P335" s="97"/>
      <c r="Q335" s="97"/>
      <c r="R335" s="97"/>
      <c r="S335" s="97"/>
      <c r="T335" s="97"/>
      <c r="U335" s="97"/>
      <c r="V335" s="25"/>
      <c r="W335" s="25"/>
      <c r="X335" s="25"/>
      <c r="Y335" s="25"/>
      <c r="Z335" s="25"/>
      <c r="AA335" s="25"/>
    </row>
    <row r="336" spans="1:27" x14ac:dyDescent="0.35">
      <c r="A336" s="97"/>
      <c r="B336" s="97"/>
      <c r="C336" s="97"/>
      <c r="D336" s="97"/>
      <c r="E336" s="97"/>
      <c r="F336" s="97"/>
      <c r="G336" s="97"/>
      <c r="H336" s="97"/>
      <c r="I336" s="97"/>
      <c r="J336" s="97"/>
      <c r="K336" s="97"/>
      <c r="L336" s="97"/>
      <c r="M336" s="97"/>
      <c r="N336" s="97"/>
      <c r="O336" s="97"/>
      <c r="P336" s="97"/>
      <c r="Q336" s="97"/>
      <c r="R336" s="97"/>
      <c r="S336" s="97"/>
      <c r="T336" s="97"/>
      <c r="U336" s="97"/>
      <c r="V336" s="25"/>
      <c r="W336" s="25"/>
      <c r="X336" s="25"/>
      <c r="Y336" s="25"/>
      <c r="Z336" s="25"/>
      <c r="AA336" s="25"/>
    </row>
    <row r="337" spans="1:27" x14ac:dyDescent="0.35">
      <c r="A337" s="97"/>
      <c r="B337" s="97"/>
      <c r="C337" s="97"/>
      <c r="D337" s="97"/>
      <c r="E337" s="97"/>
      <c r="F337" s="97"/>
      <c r="G337" s="97"/>
      <c r="H337" s="97"/>
      <c r="I337" s="97"/>
      <c r="J337" s="97"/>
      <c r="K337" s="97"/>
      <c r="L337" s="97"/>
      <c r="M337" s="97"/>
      <c r="N337" s="97"/>
      <c r="O337" s="97"/>
      <c r="P337" s="97"/>
      <c r="Q337" s="97"/>
      <c r="R337" s="97"/>
      <c r="S337" s="97"/>
      <c r="T337" s="97"/>
      <c r="U337" s="97"/>
      <c r="V337" s="25"/>
      <c r="W337" s="25"/>
      <c r="X337" s="25"/>
      <c r="Y337" s="25"/>
      <c r="Z337" s="25"/>
      <c r="AA337" s="25"/>
    </row>
    <row r="338" spans="1:27" x14ac:dyDescent="0.35">
      <c r="A338" s="97"/>
      <c r="B338" s="97"/>
      <c r="C338" s="97"/>
      <c r="D338" s="97"/>
      <c r="E338" s="97"/>
      <c r="F338" s="97"/>
      <c r="G338" s="97"/>
      <c r="H338" s="97"/>
      <c r="I338" s="97"/>
      <c r="J338" s="97"/>
      <c r="K338" s="97"/>
      <c r="L338" s="97"/>
      <c r="M338" s="97"/>
      <c r="N338" s="97"/>
      <c r="O338" s="97"/>
      <c r="P338" s="97"/>
      <c r="Q338" s="97"/>
      <c r="R338" s="97"/>
      <c r="S338" s="97"/>
      <c r="T338" s="97"/>
      <c r="U338" s="97"/>
      <c r="V338" s="25"/>
      <c r="W338" s="25"/>
      <c r="X338" s="25"/>
      <c r="Y338" s="25"/>
      <c r="Z338" s="25"/>
      <c r="AA338" s="25"/>
    </row>
    <row r="339" spans="1:27" x14ac:dyDescent="0.35">
      <c r="A339" s="97"/>
      <c r="B339" s="97"/>
      <c r="C339" s="97"/>
      <c r="D339" s="97"/>
      <c r="E339" s="97"/>
      <c r="F339" s="97"/>
      <c r="G339" s="97"/>
      <c r="H339" s="97"/>
      <c r="I339" s="97"/>
      <c r="J339" s="97"/>
      <c r="K339" s="97"/>
      <c r="L339" s="97"/>
      <c r="M339" s="97"/>
      <c r="N339" s="97"/>
      <c r="O339" s="97"/>
      <c r="P339" s="97"/>
      <c r="Q339" s="97"/>
      <c r="R339" s="97"/>
      <c r="S339" s="97"/>
      <c r="T339" s="97"/>
      <c r="U339" s="97"/>
      <c r="V339" s="25"/>
      <c r="W339" s="25"/>
      <c r="X339" s="25"/>
      <c r="Y339" s="25"/>
      <c r="Z339" s="25"/>
      <c r="AA339" s="25"/>
    </row>
    <row r="340" spans="1:27" x14ac:dyDescent="0.35">
      <c r="A340" s="97"/>
      <c r="B340" s="97"/>
      <c r="C340" s="97"/>
      <c r="D340" s="97"/>
      <c r="E340" s="97"/>
      <c r="F340" s="97"/>
      <c r="G340" s="97"/>
      <c r="H340" s="97"/>
      <c r="I340" s="97"/>
      <c r="J340" s="97"/>
      <c r="K340" s="97"/>
      <c r="L340" s="97"/>
      <c r="M340" s="97"/>
      <c r="N340" s="97"/>
      <c r="O340" s="97"/>
      <c r="P340" s="97"/>
      <c r="Q340" s="97"/>
      <c r="R340" s="97"/>
      <c r="S340" s="97"/>
      <c r="T340" s="97"/>
      <c r="U340" s="97"/>
      <c r="V340" s="25"/>
      <c r="W340" s="25"/>
      <c r="X340" s="25"/>
      <c r="Y340" s="25"/>
      <c r="Z340" s="25"/>
      <c r="AA340" s="25"/>
    </row>
    <row r="341" spans="1:27" x14ac:dyDescent="0.35">
      <c r="A341" s="97"/>
      <c r="B341" s="97"/>
      <c r="C341" s="97"/>
      <c r="D341" s="97"/>
      <c r="E341" s="97"/>
      <c r="F341" s="97"/>
      <c r="G341" s="97"/>
      <c r="H341" s="97"/>
      <c r="I341" s="97"/>
      <c r="J341" s="97"/>
      <c r="K341" s="97"/>
      <c r="L341" s="97"/>
      <c r="M341" s="97"/>
      <c r="N341" s="97"/>
      <c r="O341" s="97"/>
      <c r="P341" s="97"/>
      <c r="Q341" s="97"/>
      <c r="R341" s="97"/>
      <c r="S341" s="97"/>
      <c r="T341" s="97"/>
      <c r="U341" s="97"/>
      <c r="V341" s="25"/>
      <c r="W341" s="25"/>
      <c r="X341" s="25"/>
      <c r="Y341" s="25"/>
      <c r="Z341" s="25"/>
      <c r="AA341" s="25"/>
    </row>
    <row r="342" spans="1:27" x14ac:dyDescent="0.35">
      <c r="A342" s="97"/>
      <c r="B342" s="97"/>
      <c r="C342" s="97"/>
      <c r="D342" s="97"/>
      <c r="E342" s="97"/>
      <c r="F342" s="97"/>
      <c r="G342" s="97"/>
      <c r="H342" s="97"/>
      <c r="I342" s="97"/>
      <c r="J342" s="97"/>
      <c r="K342" s="97"/>
      <c r="L342" s="97"/>
      <c r="M342" s="97"/>
      <c r="N342" s="97"/>
      <c r="O342" s="97"/>
      <c r="P342" s="97"/>
      <c r="Q342" s="97"/>
      <c r="R342" s="97"/>
      <c r="S342" s="97"/>
      <c r="T342" s="97"/>
      <c r="U342" s="97"/>
      <c r="V342" s="25"/>
      <c r="W342" s="25"/>
      <c r="X342" s="25"/>
      <c r="Y342" s="25"/>
      <c r="Z342" s="25"/>
      <c r="AA342" s="25"/>
    </row>
    <row r="343" spans="1:27" x14ac:dyDescent="0.35">
      <c r="A343" s="97"/>
      <c r="B343" s="97"/>
      <c r="C343" s="97"/>
      <c r="D343" s="97"/>
      <c r="E343" s="97"/>
      <c r="F343" s="97"/>
      <c r="G343" s="97"/>
      <c r="H343" s="97"/>
      <c r="I343" s="97"/>
      <c r="J343" s="97"/>
      <c r="K343" s="97"/>
      <c r="L343" s="97"/>
      <c r="M343" s="97"/>
      <c r="N343" s="97"/>
      <c r="O343" s="97"/>
      <c r="P343" s="97"/>
      <c r="Q343" s="97"/>
      <c r="R343" s="97"/>
      <c r="S343" s="97"/>
      <c r="T343" s="97"/>
      <c r="U343" s="97"/>
      <c r="V343" s="25"/>
      <c r="W343" s="25"/>
      <c r="X343" s="25"/>
      <c r="Y343" s="25"/>
      <c r="Z343" s="25"/>
      <c r="AA343" s="25"/>
    </row>
    <row r="344" spans="1:27" x14ac:dyDescent="0.35">
      <c r="A344" s="97"/>
      <c r="B344" s="97"/>
      <c r="C344" s="97"/>
      <c r="D344" s="97"/>
      <c r="E344" s="97"/>
      <c r="F344" s="97"/>
      <c r="G344" s="97"/>
      <c r="H344" s="97"/>
      <c r="I344" s="97"/>
      <c r="J344" s="97"/>
      <c r="K344" s="97"/>
      <c r="L344" s="97"/>
      <c r="M344" s="97"/>
      <c r="N344" s="97"/>
      <c r="O344" s="97"/>
      <c r="P344" s="97"/>
      <c r="Q344" s="97"/>
      <c r="R344" s="97"/>
      <c r="S344" s="97"/>
      <c r="T344" s="97"/>
      <c r="U344" s="97"/>
      <c r="V344" s="25"/>
      <c r="W344" s="25"/>
      <c r="X344" s="25"/>
      <c r="Y344" s="25"/>
      <c r="Z344" s="25"/>
      <c r="AA344" s="25"/>
    </row>
    <row r="345" spans="1:27" x14ac:dyDescent="0.35">
      <c r="A345" s="97"/>
      <c r="B345" s="97"/>
      <c r="C345" s="97"/>
      <c r="D345" s="97"/>
      <c r="E345" s="97"/>
      <c r="F345" s="97"/>
      <c r="G345" s="97"/>
      <c r="H345" s="97"/>
      <c r="I345" s="97"/>
      <c r="J345" s="97"/>
      <c r="K345" s="97"/>
      <c r="L345" s="97"/>
      <c r="M345" s="97"/>
      <c r="N345" s="97"/>
      <c r="O345" s="97"/>
      <c r="P345" s="97"/>
      <c r="Q345" s="97"/>
      <c r="R345" s="97"/>
      <c r="S345" s="97"/>
      <c r="T345" s="97"/>
      <c r="U345" s="97"/>
      <c r="V345" s="25"/>
      <c r="W345" s="25"/>
      <c r="X345" s="25"/>
      <c r="Y345" s="25"/>
      <c r="Z345" s="25"/>
      <c r="AA345" s="25"/>
    </row>
    <row r="346" spans="1:27" x14ac:dyDescent="0.35">
      <c r="A346" s="97"/>
      <c r="B346" s="97"/>
      <c r="C346" s="97"/>
      <c r="D346" s="97"/>
      <c r="E346" s="97"/>
      <c r="F346" s="97"/>
      <c r="G346" s="97"/>
      <c r="H346" s="97"/>
      <c r="I346" s="97"/>
      <c r="J346" s="97"/>
      <c r="K346" s="97"/>
      <c r="L346" s="97"/>
      <c r="M346" s="97"/>
      <c r="N346" s="97"/>
      <c r="O346" s="97"/>
      <c r="P346" s="97"/>
      <c r="Q346" s="97"/>
      <c r="R346" s="97"/>
      <c r="S346" s="97"/>
      <c r="T346" s="97"/>
      <c r="U346" s="97"/>
      <c r="V346" s="25"/>
      <c r="W346" s="25"/>
      <c r="X346" s="25"/>
      <c r="Y346" s="25"/>
      <c r="Z346" s="25"/>
      <c r="AA346" s="25"/>
    </row>
    <row r="347" spans="1:27" x14ac:dyDescent="0.35">
      <c r="A347" s="97"/>
      <c r="B347" s="97"/>
      <c r="C347" s="97"/>
      <c r="D347" s="97"/>
      <c r="E347" s="97"/>
      <c r="F347" s="97"/>
      <c r="G347" s="97"/>
      <c r="H347" s="97"/>
      <c r="I347" s="97"/>
      <c r="J347" s="97"/>
      <c r="K347" s="97"/>
      <c r="L347" s="97"/>
      <c r="M347" s="97"/>
      <c r="N347" s="97"/>
      <c r="O347" s="97"/>
      <c r="P347" s="97"/>
      <c r="Q347" s="97"/>
      <c r="R347" s="97"/>
      <c r="S347" s="97"/>
      <c r="T347" s="97"/>
      <c r="U347" s="97"/>
      <c r="V347" s="25"/>
      <c r="W347" s="25"/>
      <c r="X347" s="25"/>
      <c r="Y347" s="25"/>
      <c r="Z347" s="25"/>
      <c r="AA347" s="25"/>
    </row>
    <row r="348" spans="1:27" x14ac:dyDescent="0.35">
      <c r="A348" s="97"/>
      <c r="B348" s="97"/>
      <c r="C348" s="97"/>
      <c r="D348" s="97"/>
      <c r="E348" s="97"/>
      <c r="F348" s="97"/>
      <c r="G348" s="97"/>
      <c r="H348" s="97"/>
      <c r="I348" s="97"/>
      <c r="J348" s="97"/>
      <c r="K348" s="97"/>
      <c r="L348" s="97"/>
      <c r="M348" s="97"/>
      <c r="N348" s="97"/>
      <c r="O348" s="97"/>
      <c r="P348" s="97"/>
      <c r="Q348" s="97"/>
      <c r="R348" s="97"/>
      <c r="S348" s="97"/>
      <c r="T348" s="97"/>
      <c r="U348" s="97"/>
      <c r="V348" s="25"/>
      <c r="W348" s="25"/>
      <c r="X348" s="25"/>
      <c r="Y348" s="25"/>
      <c r="Z348" s="25"/>
      <c r="AA348" s="25"/>
    </row>
    <row r="349" spans="1:27" x14ac:dyDescent="0.35">
      <c r="A349" s="97"/>
      <c r="B349" s="97"/>
      <c r="C349" s="97"/>
      <c r="D349" s="97"/>
      <c r="E349" s="97"/>
      <c r="F349" s="97"/>
      <c r="G349" s="97"/>
      <c r="H349" s="97"/>
      <c r="I349" s="97"/>
      <c r="J349" s="97"/>
      <c r="K349" s="97"/>
      <c r="L349" s="97"/>
      <c r="M349" s="97"/>
      <c r="N349" s="97"/>
      <c r="O349" s="97"/>
      <c r="P349" s="97"/>
      <c r="Q349" s="97"/>
      <c r="R349" s="97"/>
      <c r="S349" s="97"/>
      <c r="T349" s="97"/>
      <c r="U349" s="97"/>
      <c r="V349" s="25"/>
      <c r="W349" s="25"/>
      <c r="X349" s="25"/>
      <c r="Y349" s="25"/>
      <c r="Z349" s="25"/>
      <c r="AA349" s="25"/>
    </row>
    <row r="350" spans="1:27" x14ac:dyDescent="0.35">
      <c r="A350" s="97"/>
      <c r="B350" s="97"/>
      <c r="C350" s="97"/>
      <c r="D350" s="97"/>
      <c r="E350" s="97"/>
      <c r="F350" s="97"/>
      <c r="G350" s="97"/>
      <c r="H350" s="97"/>
      <c r="I350" s="97"/>
      <c r="J350" s="97"/>
      <c r="K350" s="97"/>
      <c r="L350" s="97"/>
      <c r="M350" s="97"/>
      <c r="N350" s="97"/>
      <c r="O350" s="97"/>
      <c r="P350" s="97"/>
      <c r="Q350" s="97"/>
      <c r="R350" s="97"/>
      <c r="S350" s="97"/>
      <c r="T350" s="97"/>
      <c r="U350" s="97"/>
      <c r="V350" s="25"/>
      <c r="W350" s="25"/>
      <c r="X350" s="25"/>
      <c r="Y350" s="25"/>
      <c r="Z350" s="25"/>
      <c r="AA350" s="25"/>
    </row>
    <row r="351" spans="1:27" x14ac:dyDescent="0.35">
      <c r="A351" s="97"/>
      <c r="B351" s="97"/>
      <c r="C351" s="97"/>
      <c r="D351" s="97"/>
      <c r="E351" s="97"/>
      <c r="F351" s="97"/>
      <c r="G351" s="97"/>
      <c r="H351" s="97"/>
      <c r="I351" s="97"/>
      <c r="J351" s="97"/>
      <c r="K351" s="97"/>
      <c r="L351" s="97"/>
      <c r="M351" s="97"/>
      <c r="N351" s="97"/>
      <c r="O351" s="97"/>
      <c r="P351" s="97"/>
      <c r="Q351" s="97"/>
      <c r="R351" s="97"/>
      <c r="S351" s="97"/>
      <c r="T351" s="97"/>
      <c r="U351" s="97"/>
      <c r="V351" s="25"/>
      <c r="W351" s="25"/>
      <c r="X351" s="25"/>
      <c r="Y351" s="25"/>
      <c r="Z351" s="25"/>
      <c r="AA351" s="25"/>
    </row>
    <row r="352" spans="1:27" x14ac:dyDescent="0.35">
      <c r="A352" s="97"/>
      <c r="B352" s="97"/>
      <c r="C352" s="97"/>
      <c r="D352" s="97"/>
      <c r="E352" s="97"/>
      <c r="F352" s="97"/>
      <c r="G352" s="97"/>
      <c r="H352" s="97"/>
      <c r="I352" s="97"/>
      <c r="J352" s="97"/>
      <c r="K352" s="97"/>
      <c r="L352" s="97"/>
      <c r="M352" s="97"/>
      <c r="N352" s="97"/>
      <c r="O352" s="97"/>
      <c r="P352" s="97"/>
      <c r="Q352" s="97"/>
      <c r="R352" s="97"/>
      <c r="S352" s="97"/>
      <c r="T352" s="97"/>
      <c r="U352" s="97"/>
      <c r="V352" s="25"/>
      <c r="W352" s="25"/>
      <c r="X352" s="25"/>
      <c r="Y352" s="25"/>
      <c r="Z352" s="25"/>
      <c r="AA352" s="25"/>
    </row>
    <row r="353" spans="1:27" x14ac:dyDescent="0.35">
      <c r="A353" s="97"/>
      <c r="B353" s="97"/>
      <c r="C353" s="97"/>
      <c r="D353" s="97"/>
      <c r="E353" s="97"/>
      <c r="F353" s="97"/>
      <c r="G353" s="97"/>
      <c r="H353" s="97"/>
      <c r="I353" s="97"/>
      <c r="J353" s="97"/>
      <c r="K353" s="97"/>
      <c r="L353" s="97"/>
      <c r="M353" s="97"/>
      <c r="N353" s="97"/>
      <c r="O353" s="97"/>
      <c r="P353" s="97"/>
      <c r="Q353" s="97"/>
      <c r="R353" s="97"/>
      <c r="S353" s="97"/>
      <c r="T353" s="97"/>
      <c r="U353" s="97"/>
      <c r="V353" s="25"/>
      <c r="W353" s="25"/>
      <c r="X353" s="25"/>
      <c r="Y353" s="25"/>
      <c r="Z353" s="25"/>
      <c r="AA353" s="25"/>
    </row>
    <row r="354" spans="1:27" x14ac:dyDescent="0.35">
      <c r="A354" s="97"/>
      <c r="B354" s="97"/>
      <c r="C354" s="97"/>
      <c r="D354" s="97"/>
      <c r="E354" s="97"/>
      <c r="F354" s="97"/>
      <c r="G354" s="97"/>
      <c r="H354" s="97"/>
      <c r="I354" s="97"/>
      <c r="J354" s="97"/>
      <c r="K354" s="97"/>
      <c r="L354" s="97"/>
      <c r="M354" s="97"/>
      <c r="N354" s="97"/>
      <c r="O354" s="97"/>
      <c r="P354" s="97"/>
      <c r="Q354" s="97"/>
      <c r="R354" s="97"/>
      <c r="S354" s="97"/>
      <c r="T354" s="97"/>
      <c r="U354" s="97"/>
      <c r="V354" s="25"/>
      <c r="W354" s="25"/>
      <c r="X354" s="25"/>
      <c r="Y354" s="25"/>
      <c r="Z354" s="25"/>
      <c r="AA354" s="25"/>
    </row>
    <row r="355" spans="1:27" x14ac:dyDescent="0.35">
      <c r="A355" s="97"/>
      <c r="B355" s="97"/>
      <c r="C355" s="97"/>
      <c r="D355" s="97"/>
      <c r="E355" s="97"/>
      <c r="F355" s="97"/>
      <c r="G355" s="97"/>
      <c r="H355" s="97"/>
      <c r="I355" s="97"/>
      <c r="J355" s="97"/>
      <c r="K355" s="97"/>
      <c r="L355" s="97"/>
      <c r="M355" s="97"/>
      <c r="N355" s="97"/>
      <c r="O355" s="97"/>
      <c r="P355" s="97"/>
      <c r="Q355" s="97"/>
      <c r="R355" s="97"/>
      <c r="S355" s="97"/>
      <c r="T355" s="97"/>
      <c r="U355" s="97"/>
      <c r="V355" s="25"/>
      <c r="W355" s="25"/>
      <c r="X355" s="25"/>
      <c r="Y355" s="25"/>
      <c r="Z355" s="25"/>
      <c r="AA355" s="25"/>
    </row>
    <row r="356" spans="1:27" x14ac:dyDescent="0.35">
      <c r="A356" s="97"/>
      <c r="B356" s="97"/>
      <c r="C356" s="97"/>
      <c r="D356" s="97"/>
      <c r="E356" s="97"/>
      <c r="F356" s="97"/>
      <c r="G356" s="97"/>
      <c r="H356" s="97"/>
      <c r="I356" s="97"/>
      <c r="J356" s="97"/>
      <c r="K356" s="97"/>
      <c r="L356" s="97"/>
      <c r="M356" s="97"/>
      <c r="N356" s="97"/>
      <c r="O356" s="97"/>
      <c r="P356" s="97"/>
      <c r="Q356" s="97"/>
      <c r="R356" s="97"/>
      <c r="S356" s="97"/>
      <c r="T356" s="97"/>
      <c r="U356" s="97"/>
      <c r="V356" s="25"/>
      <c r="W356" s="25"/>
      <c r="X356" s="25"/>
      <c r="Y356" s="25"/>
      <c r="Z356" s="25"/>
      <c r="AA356" s="25"/>
    </row>
    <row r="357" spans="1:27" x14ac:dyDescent="0.35">
      <c r="A357" s="97"/>
      <c r="B357" s="97"/>
      <c r="C357" s="97"/>
      <c r="D357" s="97"/>
      <c r="E357" s="97"/>
      <c r="F357" s="97"/>
      <c r="G357" s="97"/>
      <c r="H357" s="97"/>
      <c r="I357" s="97"/>
      <c r="J357" s="97"/>
      <c r="K357" s="97"/>
      <c r="L357" s="97"/>
      <c r="M357" s="97"/>
      <c r="N357" s="97"/>
      <c r="O357" s="97"/>
      <c r="P357" s="97"/>
      <c r="Q357" s="97"/>
      <c r="R357" s="97"/>
      <c r="S357" s="97"/>
      <c r="T357" s="97"/>
      <c r="U357" s="97"/>
      <c r="V357" s="25"/>
      <c r="W357" s="25"/>
      <c r="X357" s="25"/>
      <c r="Y357" s="25"/>
      <c r="Z357" s="25"/>
      <c r="AA357" s="25"/>
    </row>
    <row r="358" spans="1:27" x14ac:dyDescent="0.35">
      <c r="A358" s="97"/>
      <c r="B358" s="97"/>
      <c r="C358" s="97"/>
      <c r="D358" s="97"/>
      <c r="E358" s="97"/>
      <c r="F358" s="97"/>
      <c r="G358" s="97"/>
      <c r="H358" s="97"/>
      <c r="I358" s="97"/>
      <c r="J358" s="97"/>
      <c r="K358" s="97"/>
      <c r="L358" s="97"/>
      <c r="M358" s="97"/>
      <c r="N358" s="97"/>
      <c r="O358" s="97"/>
      <c r="P358" s="97"/>
      <c r="Q358" s="97"/>
      <c r="R358" s="97"/>
      <c r="S358" s="97"/>
      <c r="T358" s="97"/>
      <c r="U358" s="97"/>
      <c r="V358" s="25"/>
      <c r="W358" s="25"/>
      <c r="X358" s="25"/>
      <c r="Y358" s="25"/>
      <c r="Z358" s="25"/>
      <c r="AA358" s="25"/>
    </row>
    <row r="359" spans="1:27" x14ac:dyDescent="0.35">
      <c r="A359" s="97"/>
      <c r="B359" s="97"/>
      <c r="C359" s="97"/>
      <c r="D359" s="97"/>
      <c r="E359" s="97"/>
      <c r="F359" s="97"/>
      <c r="G359" s="97"/>
      <c r="H359" s="97"/>
      <c r="I359" s="97"/>
      <c r="J359" s="97"/>
      <c r="K359" s="97"/>
      <c r="L359" s="97"/>
      <c r="M359" s="97"/>
      <c r="N359" s="97"/>
      <c r="O359" s="97"/>
      <c r="P359" s="97"/>
      <c r="Q359" s="97"/>
      <c r="R359" s="97"/>
      <c r="S359" s="97"/>
      <c r="T359" s="97"/>
      <c r="U359" s="97"/>
      <c r="V359" s="25"/>
      <c r="W359" s="25"/>
      <c r="X359" s="25"/>
      <c r="Y359" s="25"/>
      <c r="Z359" s="25"/>
      <c r="AA359" s="25"/>
    </row>
    <row r="360" spans="1:27" x14ac:dyDescent="0.35">
      <c r="A360" s="97"/>
      <c r="B360" s="97"/>
      <c r="C360" s="97"/>
      <c r="D360" s="97"/>
      <c r="E360" s="97"/>
      <c r="F360" s="97"/>
      <c r="G360" s="97"/>
      <c r="H360" s="97"/>
      <c r="I360" s="97"/>
      <c r="J360" s="97"/>
      <c r="K360" s="97"/>
      <c r="L360" s="97"/>
      <c r="M360" s="97"/>
      <c r="N360" s="97"/>
      <c r="O360" s="97"/>
      <c r="P360" s="97"/>
      <c r="Q360" s="97"/>
      <c r="R360" s="97"/>
      <c r="S360" s="97"/>
      <c r="T360" s="97"/>
      <c r="U360" s="97"/>
      <c r="V360" s="25"/>
      <c r="W360" s="25"/>
      <c r="X360" s="25"/>
      <c r="Y360" s="25"/>
      <c r="Z360" s="25"/>
      <c r="AA360" s="25"/>
    </row>
    <row r="361" spans="1:27" x14ac:dyDescent="0.35">
      <c r="A361" s="97"/>
      <c r="B361" s="97"/>
      <c r="C361" s="97"/>
      <c r="D361" s="97"/>
      <c r="E361" s="97"/>
      <c r="F361" s="97"/>
      <c r="G361" s="97"/>
      <c r="H361" s="97"/>
      <c r="I361" s="97"/>
      <c r="J361" s="97"/>
      <c r="K361" s="97"/>
      <c r="L361" s="97"/>
      <c r="M361" s="97"/>
      <c r="N361" s="97"/>
      <c r="O361" s="97"/>
      <c r="P361" s="97"/>
      <c r="Q361" s="97"/>
      <c r="R361" s="97"/>
      <c r="S361" s="97"/>
      <c r="T361" s="97"/>
      <c r="U361" s="97"/>
      <c r="V361" s="25"/>
      <c r="W361" s="25"/>
      <c r="X361" s="25"/>
      <c r="Y361" s="25"/>
      <c r="Z361" s="25"/>
      <c r="AA361" s="25"/>
    </row>
    <row r="362" spans="1:27" x14ac:dyDescent="0.35">
      <c r="A362" s="97"/>
      <c r="B362" s="97"/>
      <c r="C362" s="97"/>
      <c r="D362" s="97"/>
      <c r="E362" s="97"/>
      <c r="F362" s="97"/>
      <c r="G362" s="97"/>
      <c r="H362" s="97"/>
      <c r="I362" s="97"/>
      <c r="J362" s="97"/>
      <c r="K362" s="97"/>
      <c r="L362" s="97"/>
      <c r="M362" s="97"/>
      <c r="N362" s="97"/>
      <c r="O362" s="97"/>
      <c r="P362" s="97"/>
      <c r="Q362" s="97"/>
      <c r="R362" s="97"/>
      <c r="S362" s="97"/>
      <c r="T362" s="97"/>
      <c r="U362" s="97"/>
      <c r="V362" s="25"/>
      <c r="W362" s="25"/>
      <c r="X362" s="25"/>
      <c r="Y362" s="25"/>
      <c r="Z362" s="25"/>
      <c r="AA362" s="25"/>
    </row>
    <row r="363" spans="1:27" x14ac:dyDescent="0.35">
      <c r="A363" s="97"/>
      <c r="B363" s="97"/>
      <c r="C363" s="97"/>
      <c r="D363" s="97"/>
      <c r="E363" s="97"/>
      <c r="F363" s="97"/>
      <c r="G363" s="97"/>
      <c r="H363" s="97"/>
      <c r="I363" s="97"/>
      <c r="J363" s="97"/>
      <c r="K363" s="97"/>
      <c r="L363" s="97"/>
      <c r="M363" s="97"/>
      <c r="N363" s="97"/>
      <c r="O363" s="97"/>
      <c r="P363" s="97"/>
      <c r="Q363" s="97"/>
      <c r="R363" s="97"/>
      <c r="S363" s="97"/>
      <c r="T363" s="97"/>
      <c r="U363" s="97"/>
      <c r="V363" s="25"/>
      <c r="W363" s="25"/>
      <c r="X363" s="25"/>
      <c r="Y363" s="25"/>
      <c r="Z363" s="25"/>
      <c r="AA363" s="25"/>
    </row>
    <row r="364" spans="1:27" x14ac:dyDescent="0.35">
      <c r="A364" s="97"/>
      <c r="B364" s="97"/>
      <c r="C364" s="97"/>
      <c r="D364" s="97"/>
      <c r="E364" s="97"/>
      <c r="F364" s="97"/>
      <c r="G364" s="97"/>
      <c r="H364" s="97"/>
      <c r="I364" s="97"/>
      <c r="J364" s="97"/>
      <c r="K364" s="97"/>
      <c r="L364" s="97"/>
      <c r="M364" s="97"/>
      <c r="N364" s="97"/>
      <c r="O364" s="97"/>
      <c r="P364" s="97"/>
      <c r="Q364" s="97"/>
      <c r="R364" s="97"/>
      <c r="S364" s="97"/>
      <c r="T364" s="97"/>
      <c r="U364" s="97"/>
      <c r="V364" s="25"/>
      <c r="W364" s="25"/>
      <c r="X364" s="25"/>
      <c r="Y364" s="25"/>
      <c r="Z364" s="25"/>
      <c r="AA364" s="25"/>
    </row>
    <row r="365" spans="1:27" x14ac:dyDescent="0.35">
      <c r="A365" s="97"/>
      <c r="B365" s="97"/>
      <c r="C365" s="97"/>
      <c r="D365" s="97"/>
      <c r="E365" s="97"/>
      <c r="F365" s="97"/>
      <c r="G365" s="97"/>
      <c r="H365" s="97"/>
      <c r="I365" s="97"/>
      <c r="J365" s="97"/>
      <c r="K365" s="97"/>
      <c r="L365" s="97"/>
      <c r="M365" s="97"/>
      <c r="N365" s="97"/>
      <c r="O365" s="97"/>
      <c r="P365" s="97"/>
      <c r="Q365" s="97"/>
      <c r="R365" s="97"/>
      <c r="S365" s="97"/>
      <c r="T365" s="97"/>
      <c r="U365" s="97"/>
      <c r="V365" s="25"/>
      <c r="W365" s="25"/>
      <c r="X365" s="25"/>
      <c r="Y365" s="25"/>
      <c r="Z365" s="25"/>
      <c r="AA365" s="25"/>
    </row>
    <row r="366" spans="1:27" x14ac:dyDescent="0.35">
      <c r="A366" s="97"/>
      <c r="B366" s="97"/>
      <c r="C366" s="97"/>
      <c r="D366" s="97"/>
      <c r="E366" s="97"/>
      <c r="F366" s="97"/>
      <c r="G366" s="97"/>
      <c r="H366" s="97"/>
      <c r="I366" s="97"/>
      <c r="J366" s="97"/>
      <c r="K366" s="97"/>
      <c r="L366" s="97"/>
      <c r="M366" s="97"/>
      <c r="N366" s="97"/>
      <c r="O366" s="97"/>
      <c r="P366" s="97"/>
      <c r="Q366" s="97"/>
      <c r="R366" s="97"/>
      <c r="S366" s="97"/>
      <c r="T366" s="97"/>
      <c r="U366" s="97"/>
      <c r="V366" s="25"/>
      <c r="W366" s="25"/>
      <c r="X366" s="25"/>
      <c r="Y366" s="25"/>
      <c r="Z366" s="25"/>
      <c r="AA366" s="25"/>
    </row>
    <row r="367" spans="1:27" x14ac:dyDescent="0.35">
      <c r="A367" s="97"/>
      <c r="B367" s="97"/>
      <c r="C367" s="97"/>
      <c r="D367" s="97"/>
      <c r="E367" s="97"/>
      <c r="F367" s="97"/>
      <c r="G367" s="97"/>
      <c r="H367" s="97"/>
      <c r="I367" s="97"/>
      <c r="J367" s="97"/>
      <c r="K367" s="97"/>
      <c r="L367" s="97"/>
      <c r="M367" s="97"/>
      <c r="N367" s="97"/>
      <c r="O367" s="97"/>
      <c r="P367" s="97"/>
      <c r="Q367" s="97"/>
      <c r="R367" s="97"/>
      <c r="S367" s="97"/>
      <c r="T367" s="97"/>
      <c r="U367" s="97"/>
      <c r="V367" s="25"/>
      <c r="W367" s="25"/>
      <c r="X367" s="25"/>
      <c r="Y367" s="25"/>
      <c r="Z367" s="25"/>
      <c r="AA367" s="25"/>
    </row>
    <row r="368" spans="1:27" x14ac:dyDescent="0.35">
      <c r="A368" s="97"/>
      <c r="B368" s="97"/>
      <c r="C368" s="97"/>
      <c r="D368" s="97"/>
      <c r="E368" s="97"/>
      <c r="F368" s="97"/>
      <c r="G368" s="97"/>
      <c r="H368" s="97"/>
      <c r="I368" s="97"/>
      <c r="J368" s="97"/>
      <c r="K368" s="97"/>
      <c r="L368" s="97"/>
      <c r="M368" s="97"/>
      <c r="N368" s="97"/>
      <c r="O368" s="97"/>
      <c r="P368" s="97"/>
      <c r="Q368" s="97"/>
      <c r="R368" s="97"/>
      <c r="S368" s="97"/>
      <c r="T368" s="97"/>
      <c r="U368" s="97"/>
      <c r="V368" s="25"/>
      <c r="W368" s="25"/>
      <c r="X368" s="25"/>
      <c r="Y368" s="25"/>
      <c r="Z368" s="25"/>
      <c r="AA368" s="25"/>
    </row>
    <row r="369" spans="1:27" x14ac:dyDescent="0.35">
      <c r="A369" s="97"/>
      <c r="B369" s="97"/>
      <c r="C369" s="97"/>
      <c r="D369" s="97"/>
      <c r="E369" s="97"/>
      <c r="F369" s="97"/>
      <c r="G369" s="97"/>
      <c r="H369" s="97"/>
      <c r="I369" s="97"/>
      <c r="J369" s="97"/>
      <c r="K369" s="97"/>
      <c r="L369" s="97"/>
      <c r="M369" s="97"/>
      <c r="N369" s="97"/>
      <c r="O369" s="97"/>
      <c r="P369" s="97"/>
      <c r="Q369" s="97"/>
      <c r="R369" s="97"/>
      <c r="S369" s="97"/>
      <c r="T369" s="97"/>
      <c r="U369" s="97"/>
      <c r="V369" s="25"/>
      <c r="W369" s="25"/>
      <c r="X369" s="25"/>
      <c r="Y369" s="25"/>
      <c r="Z369" s="25"/>
      <c r="AA369" s="25"/>
    </row>
    <row r="370" spans="1:27" x14ac:dyDescent="0.35">
      <c r="A370" s="97"/>
      <c r="B370" s="97"/>
      <c r="C370" s="97"/>
      <c r="D370" s="97"/>
      <c r="E370" s="97"/>
      <c r="F370" s="97"/>
      <c r="G370" s="97"/>
      <c r="H370" s="97"/>
      <c r="I370" s="97"/>
      <c r="J370" s="97"/>
      <c r="K370" s="97"/>
      <c r="L370" s="97"/>
      <c r="M370" s="97"/>
      <c r="N370" s="97"/>
      <c r="O370" s="97"/>
      <c r="P370" s="97"/>
      <c r="Q370" s="97"/>
      <c r="R370" s="97"/>
      <c r="S370" s="97"/>
      <c r="T370" s="97"/>
      <c r="U370" s="97"/>
      <c r="V370" s="25"/>
      <c r="W370" s="25"/>
      <c r="X370" s="25"/>
      <c r="Y370" s="25"/>
      <c r="Z370" s="25"/>
      <c r="AA370" s="25"/>
    </row>
    <row r="371" spans="1:27" x14ac:dyDescent="0.35">
      <c r="A371" s="97"/>
      <c r="B371" s="97"/>
      <c r="C371" s="97"/>
      <c r="D371" s="97"/>
      <c r="E371" s="97"/>
      <c r="F371" s="97"/>
      <c r="G371" s="97"/>
      <c r="H371" s="97"/>
      <c r="I371" s="97"/>
      <c r="J371" s="97"/>
      <c r="K371" s="97"/>
      <c r="L371" s="97"/>
      <c r="M371" s="97"/>
      <c r="N371" s="97"/>
      <c r="O371" s="97"/>
      <c r="P371" s="97"/>
      <c r="Q371" s="97"/>
      <c r="R371" s="97"/>
      <c r="S371" s="97"/>
      <c r="T371" s="97"/>
      <c r="U371" s="97"/>
      <c r="V371" s="25"/>
      <c r="W371" s="25"/>
      <c r="X371" s="25"/>
      <c r="Y371" s="25"/>
      <c r="Z371" s="25"/>
      <c r="AA371" s="25"/>
    </row>
    <row r="372" spans="1:27" x14ac:dyDescent="0.35">
      <c r="A372" s="97"/>
      <c r="B372" s="97"/>
      <c r="C372" s="97"/>
      <c r="D372" s="97"/>
      <c r="E372" s="97"/>
      <c r="F372" s="97"/>
      <c r="G372" s="97"/>
      <c r="H372" s="97"/>
      <c r="I372" s="97"/>
      <c r="J372" s="97"/>
      <c r="K372" s="97"/>
      <c r="L372" s="97"/>
      <c r="M372" s="97"/>
      <c r="N372" s="97"/>
      <c r="O372" s="97"/>
      <c r="P372" s="97"/>
      <c r="Q372" s="97"/>
      <c r="R372" s="97"/>
      <c r="S372" s="97"/>
      <c r="T372" s="97"/>
      <c r="U372" s="97"/>
      <c r="V372" s="25"/>
      <c r="W372" s="25"/>
      <c r="X372" s="25"/>
      <c r="Y372" s="25"/>
      <c r="Z372" s="25"/>
      <c r="AA372" s="25"/>
    </row>
    <row r="373" spans="1:27" x14ac:dyDescent="0.35">
      <c r="A373" s="97"/>
      <c r="B373" s="97"/>
      <c r="C373" s="97"/>
      <c r="D373" s="97"/>
      <c r="E373" s="97"/>
      <c r="F373" s="97"/>
      <c r="G373" s="97"/>
      <c r="H373" s="97"/>
      <c r="I373" s="97"/>
      <c r="J373" s="97"/>
      <c r="K373" s="97"/>
      <c r="L373" s="97"/>
      <c r="M373" s="97"/>
      <c r="N373" s="97"/>
      <c r="O373" s="97"/>
      <c r="P373" s="97"/>
      <c r="Q373" s="97"/>
      <c r="R373" s="97"/>
      <c r="S373" s="97"/>
      <c r="T373" s="97"/>
      <c r="U373" s="97"/>
      <c r="V373" s="25"/>
      <c r="W373" s="25"/>
      <c r="X373" s="25"/>
      <c r="Y373" s="25"/>
      <c r="Z373" s="25"/>
      <c r="AA373" s="25"/>
    </row>
    <row r="374" spans="1:27" x14ac:dyDescent="0.35">
      <c r="A374" s="97"/>
      <c r="B374" s="97"/>
      <c r="C374" s="97"/>
      <c r="D374" s="97"/>
      <c r="E374" s="97"/>
      <c r="F374" s="97"/>
      <c r="G374" s="97"/>
      <c r="H374" s="97"/>
      <c r="I374" s="97"/>
      <c r="J374" s="97"/>
      <c r="K374" s="97"/>
      <c r="L374" s="97"/>
      <c r="M374" s="97"/>
      <c r="N374" s="97"/>
      <c r="O374" s="97"/>
      <c r="P374" s="97"/>
      <c r="Q374" s="97"/>
      <c r="R374" s="97"/>
      <c r="S374" s="97"/>
      <c r="T374" s="97"/>
      <c r="U374" s="97"/>
      <c r="V374" s="25"/>
      <c r="W374" s="25"/>
      <c r="X374" s="25"/>
      <c r="Y374" s="25"/>
      <c r="Z374" s="25"/>
      <c r="AA374" s="25"/>
    </row>
    <row r="375" spans="1:27" x14ac:dyDescent="0.35">
      <c r="A375" s="97"/>
      <c r="B375" s="97"/>
      <c r="C375" s="97"/>
      <c r="D375" s="97"/>
      <c r="E375" s="97"/>
      <c r="F375" s="97"/>
      <c r="G375" s="97"/>
      <c r="H375" s="97"/>
      <c r="I375" s="97"/>
      <c r="J375" s="97"/>
      <c r="K375" s="97"/>
      <c r="L375" s="97"/>
      <c r="M375" s="97"/>
      <c r="N375" s="97"/>
      <c r="O375" s="97"/>
      <c r="P375" s="97"/>
      <c r="Q375" s="97"/>
      <c r="R375" s="97"/>
      <c r="S375" s="97"/>
      <c r="T375" s="97"/>
      <c r="U375" s="97"/>
      <c r="V375" s="25"/>
      <c r="W375" s="25"/>
      <c r="X375" s="25"/>
      <c r="Y375" s="25"/>
      <c r="Z375" s="25"/>
      <c r="AA375" s="25"/>
    </row>
    <row r="376" spans="1:27" x14ac:dyDescent="0.35">
      <c r="A376" s="97"/>
      <c r="B376" s="97"/>
      <c r="C376" s="97"/>
      <c r="D376" s="97"/>
      <c r="E376" s="97"/>
      <c r="F376" s="97"/>
      <c r="G376" s="97"/>
      <c r="H376" s="97"/>
      <c r="I376" s="97"/>
      <c r="J376" s="97"/>
      <c r="K376" s="97"/>
      <c r="L376" s="97"/>
      <c r="M376" s="97"/>
      <c r="N376" s="97"/>
      <c r="O376" s="97"/>
      <c r="P376" s="97"/>
      <c r="Q376" s="97"/>
      <c r="R376" s="97"/>
      <c r="S376" s="97"/>
      <c r="T376" s="97"/>
      <c r="U376" s="97"/>
      <c r="V376" s="25"/>
      <c r="W376" s="25"/>
      <c r="X376" s="25"/>
      <c r="Y376" s="25"/>
      <c r="Z376" s="25"/>
      <c r="AA376" s="25"/>
    </row>
    <row r="377" spans="1:27" x14ac:dyDescent="0.35">
      <c r="A377" s="97"/>
      <c r="B377" s="97"/>
      <c r="C377" s="97"/>
      <c r="D377" s="97"/>
      <c r="E377" s="97"/>
      <c r="F377" s="97"/>
      <c r="G377" s="97"/>
      <c r="H377" s="97"/>
      <c r="I377" s="97"/>
      <c r="J377" s="97"/>
      <c r="K377" s="97"/>
      <c r="L377" s="97"/>
      <c r="M377" s="97"/>
      <c r="N377" s="97"/>
      <c r="O377" s="97"/>
      <c r="P377" s="97"/>
      <c r="Q377" s="97"/>
      <c r="R377" s="97"/>
      <c r="S377" s="97"/>
      <c r="T377" s="97"/>
      <c r="U377" s="97"/>
      <c r="V377" s="25"/>
      <c r="W377" s="25"/>
      <c r="X377" s="25"/>
      <c r="Y377" s="25"/>
      <c r="Z377" s="25"/>
      <c r="AA377" s="25"/>
    </row>
    <row r="378" spans="1:27" x14ac:dyDescent="0.35">
      <c r="A378" s="97"/>
      <c r="B378" s="97"/>
      <c r="C378" s="97"/>
      <c r="D378" s="97"/>
      <c r="E378" s="97"/>
      <c r="F378" s="97"/>
      <c r="G378" s="97"/>
      <c r="H378" s="97"/>
      <c r="I378" s="97"/>
      <c r="J378" s="97"/>
      <c r="K378" s="97"/>
      <c r="L378" s="97"/>
      <c r="M378" s="97"/>
      <c r="N378" s="97"/>
      <c r="O378" s="97"/>
      <c r="P378" s="97"/>
      <c r="Q378" s="97"/>
      <c r="R378" s="97"/>
      <c r="S378" s="97"/>
      <c r="T378" s="97"/>
      <c r="U378" s="97"/>
      <c r="V378" s="25"/>
      <c r="W378" s="25"/>
      <c r="X378" s="25"/>
      <c r="Y378" s="25"/>
      <c r="Z378" s="25"/>
      <c r="AA378" s="25"/>
    </row>
    <row r="379" spans="1:27" x14ac:dyDescent="0.35">
      <c r="A379" s="97"/>
      <c r="B379" s="97"/>
      <c r="C379" s="97"/>
      <c r="D379" s="97"/>
      <c r="E379" s="97"/>
      <c r="F379" s="97"/>
      <c r="G379" s="97"/>
      <c r="H379" s="97"/>
      <c r="I379" s="97"/>
      <c r="J379" s="97"/>
      <c r="K379" s="97"/>
      <c r="L379" s="97"/>
      <c r="M379" s="97"/>
      <c r="N379" s="97"/>
      <c r="O379" s="97"/>
      <c r="P379" s="97"/>
      <c r="Q379" s="97"/>
      <c r="R379" s="97"/>
      <c r="S379" s="97"/>
      <c r="T379" s="97"/>
      <c r="U379" s="97"/>
      <c r="V379" s="25"/>
      <c r="W379" s="25"/>
      <c r="X379" s="25"/>
      <c r="Y379" s="25"/>
      <c r="Z379" s="25"/>
      <c r="AA379" s="25"/>
    </row>
    <row r="380" spans="1:27" x14ac:dyDescent="0.35">
      <c r="A380" s="97"/>
      <c r="B380" s="97"/>
      <c r="C380" s="97"/>
      <c r="D380" s="97"/>
      <c r="E380" s="97"/>
      <c r="F380" s="97"/>
      <c r="G380" s="97"/>
      <c r="H380" s="97"/>
      <c r="I380" s="97"/>
      <c r="J380" s="97"/>
      <c r="K380" s="97"/>
      <c r="L380" s="97"/>
      <c r="M380" s="97"/>
      <c r="N380" s="97"/>
      <c r="O380" s="97"/>
      <c r="P380" s="97"/>
      <c r="Q380" s="97"/>
      <c r="R380" s="97"/>
      <c r="S380" s="97"/>
      <c r="T380" s="97"/>
      <c r="U380" s="97"/>
      <c r="V380" s="25"/>
      <c r="W380" s="25"/>
      <c r="X380" s="25"/>
      <c r="Y380" s="25"/>
      <c r="Z380" s="25"/>
      <c r="AA380" s="25"/>
    </row>
    <row r="381" spans="1:27" x14ac:dyDescent="0.35">
      <c r="A381" s="97"/>
      <c r="B381" s="97"/>
      <c r="C381" s="97"/>
      <c r="D381" s="97"/>
      <c r="E381" s="97"/>
      <c r="F381" s="97"/>
      <c r="G381" s="97"/>
      <c r="H381" s="97"/>
      <c r="I381" s="97"/>
      <c r="J381" s="97"/>
      <c r="K381" s="97"/>
      <c r="L381" s="97"/>
      <c r="M381" s="97"/>
      <c r="N381" s="97"/>
      <c r="O381" s="97"/>
      <c r="P381" s="97"/>
      <c r="Q381" s="97"/>
      <c r="R381" s="97"/>
      <c r="S381" s="97"/>
      <c r="T381" s="97"/>
      <c r="U381" s="97"/>
      <c r="V381" s="25"/>
      <c r="W381" s="25"/>
      <c r="X381" s="25"/>
      <c r="Y381" s="25"/>
      <c r="Z381" s="25"/>
      <c r="AA381" s="25"/>
    </row>
    <row r="382" spans="1:27" x14ac:dyDescent="0.35">
      <c r="A382" s="97"/>
      <c r="B382" s="97"/>
      <c r="C382" s="97"/>
      <c r="D382" s="97"/>
      <c r="E382" s="97"/>
      <c r="F382" s="97"/>
      <c r="G382" s="97"/>
      <c r="H382" s="97"/>
      <c r="I382" s="97"/>
      <c r="J382" s="97"/>
      <c r="K382" s="97"/>
      <c r="L382" s="97"/>
      <c r="M382" s="97"/>
      <c r="N382" s="97"/>
      <c r="O382" s="97"/>
      <c r="P382" s="97"/>
      <c r="Q382" s="97"/>
      <c r="R382" s="97"/>
      <c r="S382" s="97"/>
      <c r="T382" s="97"/>
      <c r="U382" s="97"/>
      <c r="V382" s="25"/>
      <c r="W382" s="25"/>
      <c r="X382" s="25"/>
      <c r="Y382" s="25"/>
      <c r="Z382" s="25"/>
      <c r="AA382" s="25"/>
    </row>
    <row r="383" spans="1:27" x14ac:dyDescent="0.35">
      <c r="A383" s="97"/>
      <c r="B383" s="97"/>
      <c r="C383" s="97"/>
      <c r="D383" s="97"/>
      <c r="E383" s="97"/>
      <c r="F383" s="97"/>
      <c r="G383" s="97"/>
      <c r="H383" s="97"/>
      <c r="I383" s="97"/>
      <c r="J383" s="97"/>
      <c r="K383" s="97"/>
      <c r="L383" s="97"/>
      <c r="M383" s="97"/>
      <c r="N383" s="97"/>
      <c r="O383" s="97"/>
      <c r="P383" s="97"/>
      <c r="Q383" s="97"/>
      <c r="R383" s="97"/>
      <c r="S383" s="97"/>
      <c r="T383" s="97"/>
      <c r="U383" s="97"/>
      <c r="V383" s="25"/>
      <c r="W383" s="25"/>
      <c r="X383" s="25"/>
      <c r="Y383" s="25"/>
      <c r="Z383" s="25"/>
      <c r="AA383" s="25"/>
    </row>
    <row r="384" spans="1:27" x14ac:dyDescent="0.35">
      <c r="A384" s="97"/>
      <c r="B384" s="97"/>
      <c r="C384" s="97"/>
      <c r="D384" s="97"/>
      <c r="E384" s="97"/>
      <c r="F384" s="97"/>
      <c r="G384" s="97"/>
      <c r="H384" s="97"/>
      <c r="I384" s="97"/>
      <c r="J384" s="97"/>
      <c r="K384" s="97"/>
      <c r="L384" s="97"/>
      <c r="M384" s="97"/>
      <c r="N384" s="97"/>
      <c r="O384" s="97"/>
      <c r="P384" s="97"/>
      <c r="Q384" s="97"/>
      <c r="R384" s="97"/>
      <c r="S384" s="97"/>
      <c r="T384" s="97"/>
      <c r="U384" s="97"/>
      <c r="V384" s="25"/>
      <c r="W384" s="25"/>
      <c r="X384" s="25"/>
      <c r="Y384" s="25"/>
      <c r="Z384" s="25"/>
      <c r="AA384" s="25"/>
    </row>
    <row r="385" spans="1:27" x14ac:dyDescent="0.35">
      <c r="A385" s="97"/>
      <c r="B385" s="97"/>
      <c r="C385" s="97"/>
      <c r="D385" s="97"/>
      <c r="E385" s="97"/>
      <c r="F385" s="97"/>
      <c r="G385" s="97"/>
      <c r="H385" s="97"/>
      <c r="I385" s="97"/>
      <c r="J385" s="97"/>
      <c r="K385" s="97"/>
      <c r="L385" s="97"/>
      <c r="M385" s="97"/>
      <c r="N385" s="97"/>
      <c r="O385" s="97"/>
      <c r="P385" s="97"/>
      <c r="Q385" s="97"/>
      <c r="R385" s="97"/>
      <c r="S385" s="97"/>
      <c r="T385" s="97"/>
      <c r="U385" s="97"/>
      <c r="V385" s="25"/>
      <c r="W385" s="25"/>
      <c r="X385" s="25"/>
      <c r="Y385" s="25"/>
      <c r="Z385" s="25"/>
      <c r="AA385" s="25"/>
    </row>
    <row r="386" spans="1:27" x14ac:dyDescent="0.35">
      <c r="A386" s="97"/>
      <c r="B386" s="97"/>
      <c r="C386" s="97"/>
      <c r="D386" s="97"/>
      <c r="E386" s="97"/>
      <c r="F386" s="97"/>
      <c r="G386" s="97"/>
      <c r="H386" s="97"/>
      <c r="I386" s="97"/>
      <c r="J386" s="97"/>
      <c r="K386" s="97"/>
      <c r="L386" s="97"/>
      <c r="M386" s="97"/>
      <c r="N386" s="97"/>
      <c r="O386" s="97"/>
      <c r="P386" s="97"/>
      <c r="Q386" s="97"/>
      <c r="R386" s="97"/>
      <c r="S386" s="97"/>
      <c r="T386" s="97"/>
      <c r="U386" s="97"/>
      <c r="V386" s="25"/>
      <c r="W386" s="25"/>
      <c r="X386" s="25"/>
      <c r="Y386" s="25"/>
      <c r="Z386" s="25"/>
      <c r="AA386" s="25"/>
    </row>
    <row r="387" spans="1:27" x14ac:dyDescent="0.35">
      <c r="A387" s="97"/>
      <c r="B387" s="97"/>
      <c r="C387" s="97"/>
      <c r="D387" s="97"/>
      <c r="E387" s="97"/>
      <c r="F387" s="97"/>
      <c r="G387" s="97"/>
      <c r="H387" s="97"/>
      <c r="I387" s="97"/>
      <c r="J387" s="97"/>
      <c r="K387" s="97"/>
      <c r="L387" s="97"/>
      <c r="M387" s="97"/>
      <c r="N387" s="97"/>
      <c r="O387" s="97"/>
      <c r="P387" s="97"/>
      <c r="Q387" s="97"/>
      <c r="R387" s="97"/>
      <c r="S387" s="97"/>
      <c r="T387" s="97"/>
      <c r="U387" s="97"/>
      <c r="V387" s="25"/>
      <c r="W387" s="25"/>
      <c r="X387" s="25"/>
      <c r="Y387" s="25"/>
      <c r="Z387" s="25"/>
      <c r="AA387" s="25"/>
    </row>
    <row r="388" spans="1:27" x14ac:dyDescent="0.35">
      <c r="A388" s="97"/>
      <c r="B388" s="97"/>
      <c r="C388" s="97"/>
      <c r="D388" s="97"/>
      <c r="E388" s="97"/>
      <c r="F388" s="97"/>
      <c r="G388" s="97"/>
      <c r="H388" s="97"/>
      <c r="I388" s="97"/>
      <c r="J388" s="97"/>
      <c r="K388" s="97"/>
      <c r="L388" s="97"/>
      <c r="M388" s="97"/>
      <c r="N388" s="97"/>
      <c r="O388" s="97"/>
      <c r="P388" s="97"/>
      <c r="Q388" s="97"/>
      <c r="R388" s="97"/>
      <c r="S388" s="97"/>
      <c r="T388" s="97"/>
      <c r="U388" s="97"/>
      <c r="V388" s="25"/>
      <c r="W388" s="25"/>
      <c r="X388" s="25"/>
      <c r="Y388" s="25"/>
      <c r="Z388" s="25"/>
      <c r="AA388" s="25"/>
    </row>
    <row r="389" spans="1:27" x14ac:dyDescent="0.35">
      <c r="A389" s="97"/>
      <c r="B389" s="97"/>
      <c r="C389" s="97"/>
      <c r="D389" s="97"/>
      <c r="E389" s="97"/>
      <c r="F389" s="97"/>
      <c r="G389" s="97"/>
      <c r="H389" s="97"/>
      <c r="I389" s="97"/>
      <c r="J389" s="97"/>
      <c r="K389" s="97"/>
      <c r="L389" s="97"/>
      <c r="M389" s="97"/>
      <c r="N389" s="97"/>
      <c r="O389" s="97"/>
      <c r="P389" s="97"/>
      <c r="Q389" s="97"/>
      <c r="R389" s="97"/>
      <c r="S389" s="97"/>
      <c r="T389" s="97"/>
      <c r="U389" s="97"/>
      <c r="V389" s="25"/>
      <c r="W389" s="25"/>
      <c r="X389" s="25"/>
      <c r="Y389" s="25"/>
      <c r="Z389" s="25"/>
      <c r="AA389" s="25"/>
    </row>
    <row r="390" spans="1:27" x14ac:dyDescent="0.35">
      <c r="A390" s="97"/>
      <c r="B390" s="97"/>
      <c r="C390" s="97"/>
      <c r="D390" s="97"/>
      <c r="E390" s="97"/>
      <c r="F390" s="97"/>
      <c r="G390" s="97"/>
      <c r="H390" s="97"/>
      <c r="I390" s="97"/>
      <c r="J390" s="97"/>
      <c r="K390" s="97"/>
      <c r="L390" s="97"/>
      <c r="M390" s="97"/>
      <c r="N390" s="97"/>
      <c r="O390" s="97"/>
      <c r="P390" s="97"/>
      <c r="Q390" s="97"/>
      <c r="R390" s="97"/>
      <c r="S390" s="97"/>
      <c r="T390" s="97"/>
      <c r="U390" s="97"/>
      <c r="V390" s="25"/>
      <c r="W390" s="25"/>
      <c r="X390" s="25"/>
      <c r="Y390" s="25"/>
      <c r="Z390" s="25"/>
      <c r="AA390" s="25"/>
    </row>
    <row r="391" spans="1:27" x14ac:dyDescent="0.35">
      <c r="A391" s="97"/>
      <c r="B391" s="97"/>
      <c r="C391" s="97"/>
      <c r="D391" s="97"/>
      <c r="E391" s="97"/>
      <c r="F391" s="97"/>
      <c r="G391" s="97"/>
      <c r="H391" s="97"/>
      <c r="I391" s="97"/>
      <c r="J391" s="97"/>
      <c r="K391" s="97"/>
      <c r="L391" s="97"/>
      <c r="M391" s="97"/>
      <c r="N391" s="97"/>
      <c r="O391" s="97"/>
      <c r="P391" s="97"/>
      <c r="Q391" s="97"/>
      <c r="R391" s="97"/>
      <c r="S391" s="97"/>
      <c r="T391" s="97"/>
      <c r="U391" s="97"/>
      <c r="V391" s="25"/>
      <c r="W391" s="25"/>
      <c r="X391" s="25"/>
      <c r="Y391" s="25"/>
      <c r="Z391" s="25"/>
      <c r="AA391" s="25"/>
    </row>
    <row r="392" spans="1:27" x14ac:dyDescent="0.35">
      <c r="A392" s="97"/>
      <c r="B392" s="97"/>
      <c r="C392" s="97"/>
      <c r="D392" s="97"/>
      <c r="E392" s="97"/>
      <c r="F392" s="97"/>
      <c r="G392" s="97"/>
      <c r="H392" s="97"/>
      <c r="I392" s="97"/>
      <c r="J392" s="97"/>
      <c r="K392" s="97"/>
      <c r="L392" s="97"/>
      <c r="M392" s="97"/>
      <c r="N392" s="97"/>
      <c r="O392" s="97"/>
      <c r="P392" s="97"/>
      <c r="Q392" s="97"/>
      <c r="R392" s="97"/>
      <c r="S392" s="97"/>
      <c r="T392" s="97"/>
      <c r="U392" s="97"/>
      <c r="V392" s="25"/>
      <c r="W392" s="25"/>
      <c r="X392" s="25"/>
      <c r="Y392" s="25"/>
      <c r="Z392" s="25"/>
      <c r="AA392" s="25"/>
    </row>
    <row r="393" spans="1:27" x14ac:dyDescent="0.35">
      <c r="A393" s="97"/>
      <c r="B393" s="97"/>
      <c r="C393" s="97"/>
      <c r="D393" s="97"/>
      <c r="E393" s="97"/>
      <c r="F393" s="97"/>
      <c r="G393" s="97"/>
      <c r="H393" s="97"/>
      <c r="I393" s="97"/>
      <c r="J393" s="97"/>
      <c r="K393" s="97"/>
      <c r="L393" s="97"/>
      <c r="M393" s="97"/>
      <c r="N393" s="97"/>
      <c r="O393" s="97"/>
      <c r="P393" s="97"/>
      <c r="Q393" s="97"/>
      <c r="R393" s="97"/>
      <c r="S393" s="97"/>
      <c r="T393" s="97"/>
      <c r="U393" s="97"/>
      <c r="V393" s="25"/>
      <c r="W393" s="25"/>
      <c r="X393" s="25"/>
      <c r="Y393" s="25"/>
      <c r="Z393" s="25"/>
      <c r="AA393" s="25"/>
    </row>
    <row r="394" spans="1:27" x14ac:dyDescent="0.35">
      <c r="A394" s="97"/>
      <c r="B394" s="97"/>
      <c r="C394" s="97"/>
      <c r="D394" s="97"/>
      <c r="E394" s="97"/>
      <c r="F394" s="97"/>
      <c r="G394" s="97"/>
      <c r="H394" s="97"/>
      <c r="I394" s="97"/>
      <c r="J394" s="97"/>
      <c r="K394" s="97"/>
      <c r="L394" s="97"/>
      <c r="M394" s="97"/>
      <c r="N394" s="97"/>
      <c r="O394" s="97"/>
      <c r="P394" s="97"/>
      <c r="Q394" s="97"/>
      <c r="R394" s="97"/>
      <c r="S394" s="97"/>
      <c r="T394" s="97"/>
      <c r="U394" s="97"/>
      <c r="V394" s="25"/>
      <c r="W394" s="25"/>
      <c r="X394" s="25"/>
      <c r="Y394" s="25"/>
      <c r="Z394" s="25"/>
      <c r="AA394" s="25"/>
    </row>
    <row r="395" spans="1:27" x14ac:dyDescent="0.35">
      <c r="A395" s="97"/>
      <c r="B395" s="97"/>
      <c r="C395" s="97"/>
      <c r="D395" s="97"/>
      <c r="E395" s="97"/>
      <c r="F395" s="97"/>
      <c r="G395" s="97"/>
      <c r="H395" s="97"/>
      <c r="I395" s="97"/>
      <c r="J395" s="97"/>
      <c r="K395" s="97"/>
      <c r="L395" s="97"/>
      <c r="M395" s="97"/>
      <c r="N395" s="97"/>
      <c r="O395" s="97"/>
      <c r="P395" s="97"/>
      <c r="Q395" s="97"/>
      <c r="R395" s="97"/>
      <c r="S395" s="97"/>
      <c r="T395" s="97"/>
      <c r="U395" s="97"/>
      <c r="V395" s="25"/>
      <c r="W395" s="25"/>
      <c r="X395" s="25"/>
      <c r="Y395" s="25"/>
      <c r="Z395" s="25"/>
      <c r="AA395" s="25"/>
    </row>
    <row r="396" spans="1:27" x14ac:dyDescent="0.35">
      <c r="A396" s="97"/>
      <c r="B396" s="97"/>
      <c r="C396" s="97"/>
      <c r="D396" s="97"/>
      <c r="E396" s="97"/>
      <c r="F396" s="97"/>
      <c r="G396" s="97"/>
      <c r="H396" s="97"/>
      <c r="I396" s="97"/>
      <c r="J396" s="97"/>
      <c r="K396" s="97"/>
      <c r="L396" s="97"/>
      <c r="M396" s="97"/>
      <c r="N396" s="97"/>
      <c r="O396" s="97"/>
      <c r="P396" s="97"/>
      <c r="Q396" s="97"/>
      <c r="R396" s="97"/>
      <c r="S396" s="97"/>
      <c r="T396" s="97"/>
      <c r="U396" s="97"/>
      <c r="V396" s="25"/>
      <c r="W396" s="25"/>
      <c r="X396" s="25"/>
      <c r="Y396" s="25"/>
      <c r="Z396" s="25"/>
      <c r="AA396" s="25"/>
    </row>
    <row r="397" spans="1:27" x14ac:dyDescent="0.35">
      <c r="A397" s="97"/>
      <c r="B397" s="97"/>
      <c r="C397" s="97"/>
      <c r="D397" s="97"/>
      <c r="E397" s="97"/>
      <c r="F397" s="97"/>
      <c r="G397" s="97"/>
      <c r="H397" s="97"/>
      <c r="I397" s="97"/>
      <c r="J397" s="97"/>
      <c r="K397" s="97"/>
      <c r="L397" s="97"/>
      <c r="M397" s="97"/>
      <c r="N397" s="97"/>
      <c r="O397" s="97"/>
      <c r="P397" s="97"/>
      <c r="Q397" s="97"/>
      <c r="R397" s="97"/>
      <c r="S397" s="97"/>
      <c r="T397" s="97"/>
      <c r="U397" s="97"/>
      <c r="V397" s="25"/>
      <c r="W397" s="25"/>
      <c r="X397" s="25"/>
      <c r="Y397" s="25"/>
      <c r="Z397" s="25"/>
      <c r="AA397" s="25"/>
    </row>
    <row r="398" spans="1:27" x14ac:dyDescent="0.35">
      <c r="A398" s="97"/>
      <c r="B398" s="97"/>
      <c r="C398" s="97"/>
      <c r="D398" s="97"/>
      <c r="E398" s="97"/>
      <c r="F398" s="97"/>
      <c r="G398" s="97"/>
      <c r="H398" s="97"/>
      <c r="I398" s="97"/>
      <c r="J398" s="97"/>
      <c r="K398" s="97"/>
      <c r="L398" s="97"/>
      <c r="M398" s="97"/>
      <c r="N398" s="97"/>
      <c r="O398" s="97"/>
      <c r="P398" s="97"/>
      <c r="Q398" s="97"/>
      <c r="R398" s="97"/>
      <c r="S398" s="97"/>
      <c r="T398" s="97"/>
      <c r="U398" s="97"/>
      <c r="V398" s="25"/>
      <c r="W398" s="25"/>
      <c r="X398" s="25"/>
      <c r="Y398" s="25"/>
      <c r="Z398" s="25"/>
      <c r="AA398" s="25"/>
    </row>
    <row r="399" spans="1:27" x14ac:dyDescent="0.35">
      <c r="A399" s="97"/>
      <c r="B399" s="97"/>
      <c r="C399" s="97"/>
      <c r="D399" s="97"/>
      <c r="E399" s="97"/>
      <c r="F399" s="97"/>
      <c r="G399" s="97"/>
      <c r="H399" s="97"/>
      <c r="I399" s="97"/>
      <c r="J399" s="97"/>
      <c r="K399" s="97"/>
      <c r="L399" s="97"/>
      <c r="M399" s="97"/>
      <c r="N399" s="97"/>
      <c r="O399" s="97"/>
      <c r="P399" s="97"/>
      <c r="Q399" s="97"/>
      <c r="R399" s="97"/>
      <c r="S399" s="97"/>
      <c r="T399" s="97"/>
      <c r="U399" s="97"/>
      <c r="V399" s="25"/>
      <c r="W399" s="25"/>
      <c r="X399" s="25"/>
      <c r="Y399" s="25"/>
      <c r="Z399" s="25"/>
      <c r="AA399" s="25"/>
    </row>
    <row r="400" spans="1:27" x14ac:dyDescent="0.35">
      <c r="A400" s="97"/>
      <c r="B400" s="97"/>
      <c r="C400" s="97"/>
      <c r="D400" s="97"/>
      <c r="E400" s="97"/>
      <c r="F400" s="97"/>
      <c r="G400" s="97"/>
      <c r="H400" s="97"/>
      <c r="I400" s="97"/>
      <c r="J400" s="97"/>
      <c r="K400" s="97"/>
      <c r="L400" s="97"/>
      <c r="M400" s="97"/>
      <c r="N400" s="97"/>
      <c r="O400" s="97"/>
      <c r="P400" s="97"/>
      <c r="Q400" s="97"/>
      <c r="R400" s="97"/>
      <c r="S400" s="97"/>
      <c r="T400" s="97"/>
      <c r="U400" s="97"/>
      <c r="V400" s="25"/>
      <c r="W400" s="25"/>
      <c r="X400" s="25"/>
      <c r="Y400" s="25"/>
      <c r="Z400" s="25"/>
      <c r="AA400" s="25"/>
    </row>
    <row r="401" spans="1:27" x14ac:dyDescent="0.35">
      <c r="A401" s="97"/>
      <c r="B401" s="97"/>
      <c r="C401" s="97"/>
      <c r="D401" s="97"/>
      <c r="E401" s="97"/>
      <c r="F401" s="97"/>
      <c r="G401" s="97"/>
      <c r="H401" s="97"/>
      <c r="I401" s="97"/>
      <c r="J401" s="97"/>
      <c r="K401" s="97"/>
      <c r="L401" s="97"/>
      <c r="M401" s="97"/>
      <c r="N401" s="97"/>
      <c r="O401" s="97"/>
      <c r="P401" s="97"/>
      <c r="Q401" s="97"/>
      <c r="R401" s="97"/>
      <c r="S401" s="97"/>
      <c r="T401" s="97"/>
      <c r="U401" s="97"/>
      <c r="V401" s="25"/>
      <c r="W401" s="25"/>
      <c r="X401" s="25"/>
      <c r="Y401" s="25"/>
      <c r="Z401" s="25"/>
      <c r="AA401" s="25"/>
    </row>
    <row r="402" spans="1:27" x14ac:dyDescent="0.35">
      <c r="A402" s="97"/>
      <c r="B402" s="97"/>
      <c r="C402" s="97"/>
      <c r="D402" s="97"/>
      <c r="E402" s="97"/>
      <c r="F402" s="97"/>
      <c r="G402" s="97"/>
      <c r="H402" s="97"/>
      <c r="I402" s="97"/>
      <c r="J402" s="97"/>
      <c r="K402" s="97"/>
      <c r="L402" s="97"/>
      <c r="M402" s="97"/>
      <c r="N402" s="97"/>
      <c r="O402" s="97"/>
      <c r="P402" s="97"/>
      <c r="Q402" s="97"/>
      <c r="R402" s="97"/>
      <c r="S402" s="97"/>
      <c r="T402" s="97"/>
      <c r="U402" s="97"/>
      <c r="V402" s="25"/>
      <c r="W402" s="25"/>
      <c r="X402" s="25"/>
      <c r="Y402" s="25"/>
      <c r="Z402" s="25"/>
      <c r="AA402" s="25"/>
    </row>
    <row r="403" spans="1:27" x14ac:dyDescent="0.35">
      <c r="A403" s="97"/>
      <c r="B403" s="97"/>
      <c r="C403" s="97"/>
      <c r="D403" s="97"/>
      <c r="E403" s="97"/>
      <c r="F403" s="97"/>
      <c r="G403" s="97"/>
      <c r="H403" s="97"/>
      <c r="I403" s="97"/>
      <c r="J403" s="97"/>
      <c r="K403" s="97"/>
      <c r="L403" s="97"/>
      <c r="M403" s="97"/>
      <c r="N403" s="97"/>
      <c r="O403" s="97"/>
      <c r="P403" s="97"/>
      <c r="Q403" s="97"/>
      <c r="R403" s="97"/>
      <c r="S403" s="97"/>
      <c r="T403" s="97"/>
      <c r="U403" s="97"/>
      <c r="V403" s="25"/>
      <c r="W403" s="25"/>
      <c r="X403" s="25"/>
      <c r="Y403" s="25"/>
      <c r="Z403" s="25"/>
      <c r="AA403" s="25"/>
    </row>
    <row r="404" spans="1:27" x14ac:dyDescent="0.35">
      <c r="A404" s="97"/>
      <c r="B404" s="97"/>
      <c r="C404" s="97"/>
      <c r="D404" s="97"/>
      <c r="E404" s="97"/>
      <c r="F404" s="97"/>
      <c r="G404" s="97"/>
      <c r="H404" s="97"/>
      <c r="I404" s="97"/>
      <c r="J404" s="97"/>
      <c r="K404" s="97"/>
      <c r="L404" s="97"/>
      <c r="M404" s="97"/>
      <c r="N404" s="97"/>
      <c r="O404" s="97"/>
      <c r="P404" s="97"/>
      <c r="Q404" s="97"/>
      <c r="R404" s="97"/>
      <c r="S404" s="97"/>
      <c r="T404" s="97"/>
      <c r="U404" s="97"/>
      <c r="V404" s="25"/>
      <c r="W404" s="25"/>
      <c r="X404" s="25"/>
      <c r="Y404" s="25"/>
      <c r="Z404" s="25"/>
      <c r="AA404" s="25"/>
    </row>
    <row r="405" spans="1:27" x14ac:dyDescent="0.35">
      <c r="A405" s="97"/>
      <c r="B405" s="97"/>
      <c r="C405" s="97"/>
      <c r="D405" s="97"/>
      <c r="E405" s="97"/>
      <c r="F405" s="97"/>
      <c r="G405" s="97"/>
      <c r="H405" s="97"/>
      <c r="I405" s="97"/>
      <c r="J405" s="97"/>
      <c r="K405" s="97"/>
      <c r="L405" s="97"/>
      <c r="M405" s="97"/>
      <c r="N405" s="97"/>
      <c r="O405" s="97"/>
      <c r="P405" s="97"/>
      <c r="Q405" s="97"/>
      <c r="R405" s="97"/>
      <c r="S405" s="97"/>
      <c r="T405" s="97"/>
      <c r="U405" s="97"/>
      <c r="V405" s="25"/>
      <c r="W405" s="25"/>
      <c r="X405" s="25"/>
      <c r="Y405" s="25"/>
      <c r="Z405" s="25"/>
      <c r="AA405" s="25"/>
    </row>
    <row r="406" spans="1:27" x14ac:dyDescent="0.35">
      <c r="A406" s="97"/>
      <c r="B406" s="97"/>
      <c r="C406" s="97"/>
      <c r="D406" s="97"/>
      <c r="E406" s="97"/>
      <c r="F406" s="97"/>
      <c r="G406" s="97"/>
      <c r="H406" s="97"/>
      <c r="I406" s="97"/>
      <c r="J406" s="97"/>
      <c r="K406" s="97"/>
      <c r="L406" s="97"/>
      <c r="M406" s="97"/>
      <c r="N406" s="97"/>
      <c r="O406" s="97"/>
      <c r="P406" s="97"/>
      <c r="Q406" s="97"/>
      <c r="R406" s="97"/>
      <c r="S406" s="97"/>
      <c r="T406" s="97"/>
      <c r="U406" s="97"/>
      <c r="V406" s="25"/>
      <c r="W406" s="25"/>
      <c r="X406" s="25"/>
      <c r="Y406" s="25"/>
      <c r="Z406" s="25"/>
      <c r="AA406" s="25"/>
    </row>
    <row r="407" spans="1:27" x14ac:dyDescent="0.35">
      <c r="A407" s="97"/>
      <c r="B407" s="97"/>
      <c r="C407" s="97"/>
      <c r="D407" s="97"/>
      <c r="E407" s="97"/>
      <c r="F407" s="97"/>
      <c r="G407" s="97"/>
      <c r="H407" s="97"/>
      <c r="I407" s="97"/>
      <c r="J407" s="97"/>
      <c r="K407" s="97"/>
      <c r="L407" s="97"/>
      <c r="M407" s="97"/>
      <c r="N407" s="97"/>
      <c r="O407" s="97"/>
      <c r="P407" s="97"/>
      <c r="Q407" s="97"/>
      <c r="R407" s="97"/>
      <c r="S407" s="97"/>
      <c r="T407" s="97"/>
      <c r="U407" s="97"/>
      <c r="V407" s="25"/>
      <c r="W407" s="25"/>
      <c r="X407" s="25"/>
      <c r="Y407" s="25"/>
      <c r="Z407" s="25"/>
      <c r="AA407" s="25"/>
    </row>
    <row r="408" spans="1:27" x14ac:dyDescent="0.35">
      <c r="A408" s="97"/>
      <c r="B408" s="97"/>
      <c r="C408" s="97"/>
      <c r="D408" s="97"/>
      <c r="E408" s="97"/>
      <c r="F408" s="97"/>
      <c r="G408" s="97"/>
      <c r="H408" s="97"/>
      <c r="I408" s="97"/>
      <c r="J408" s="97"/>
      <c r="K408" s="97"/>
      <c r="L408" s="97"/>
      <c r="M408" s="97"/>
      <c r="N408" s="97"/>
      <c r="O408" s="97"/>
      <c r="P408" s="97"/>
      <c r="Q408" s="97"/>
      <c r="R408" s="97"/>
      <c r="S408" s="97"/>
      <c r="T408" s="97"/>
      <c r="U408" s="97"/>
      <c r="V408" s="25"/>
      <c r="W408" s="25"/>
      <c r="X408" s="25"/>
      <c r="Y408" s="25"/>
      <c r="Z408" s="25"/>
      <c r="AA408" s="25"/>
    </row>
    <row r="409" spans="1:27" x14ac:dyDescent="0.35">
      <c r="A409" s="97"/>
      <c r="B409" s="97"/>
      <c r="C409" s="97"/>
      <c r="D409" s="97"/>
      <c r="E409" s="97"/>
      <c r="F409" s="97"/>
      <c r="G409" s="97"/>
      <c r="H409" s="97"/>
      <c r="I409" s="97"/>
      <c r="J409" s="97"/>
      <c r="K409" s="97"/>
      <c r="L409" s="97"/>
      <c r="M409" s="97"/>
      <c r="N409" s="97"/>
      <c r="O409" s="97"/>
      <c r="P409" s="97"/>
      <c r="Q409" s="97"/>
      <c r="R409" s="97"/>
      <c r="S409" s="97"/>
      <c r="T409" s="97"/>
      <c r="U409" s="97"/>
      <c r="V409" s="25"/>
      <c r="W409" s="25"/>
      <c r="X409" s="25"/>
      <c r="Y409" s="25"/>
      <c r="Z409" s="25"/>
      <c r="AA409" s="25"/>
    </row>
    <row r="410" spans="1:27" x14ac:dyDescent="0.35">
      <c r="A410" s="97"/>
      <c r="B410" s="97"/>
      <c r="C410" s="97"/>
      <c r="D410" s="97"/>
      <c r="E410" s="97"/>
      <c r="F410" s="97"/>
      <c r="G410" s="97"/>
      <c r="H410" s="97"/>
      <c r="I410" s="97"/>
      <c r="J410" s="97"/>
      <c r="K410" s="97"/>
      <c r="L410" s="97"/>
      <c r="M410" s="97"/>
      <c r="N410" s="97"/>
      <c r="O410" s="97"/>
      <c r="P410" s="97"/>
      <c r="Q410" s="97"/>
      <c r="R410" s="97"/>
      <c r="S410" s="97"/>
      <c r="T410" s="97"/>
      <c r="U410" s="97"/>
      <c r="V410" s="25"/>
      <c r="W410" s="25"/>
      <c r="X410" s="25"/>
      <c r="Y410" s="25"/>
      <c r="Z410" s="25"/>
      <c r="AA410" s="25"/>
    </row>
    <row r="411" spans="1:27" x14ac:dyDescent="0.35">
      <c r="A411" s="97"/>
      <c r="B411" s="97"/>
      <c r="C411" s="97"/>
      <c r="D411" s="97"/>
      <c r="E411" s="97"/>
      <c r="F411" s="97"/>
      <c r="G411" s="97"/>
      <c r="H411" s="97"/>
      <c r="I411" s="97"/>
      <c r="J411" s="97"/>
      <c r="K411" s="97"/>
      <c r="L411" s="97"/>
      <c r="M411" s="97"/>
      <c r="N411" s="97"/>
      <c r="O411" s="97"/>
      <c r="P411" s="97"/>
      <c r="Q411" s="97"/>
      <c r="R411" s="97"/>
      <c r="S411" s="97"/>
      <c r="T411" s="97"/>
      <c r="U411" s="97"/>
      <c r="V411" s="25"/>
      <c r="W411" s="25"/>
      <c r="X411" s="25"/>
      <c r="Y411" s="25"/>
      <c r="Z411" s="25"/>
      <c r="AA411" s="25"/>
    </row>
    <row r="412" spans="1:27" x14ac:dyDescent="0.35">
      <c r="A412" s="97"/>
      <c r="B412" s="97"/>
      <c r="C412" s="97"/>
      <c r="D412" s="97"/>
      <c r="E412" s="97"/>
      <c r="F412" s="97"/>
      <c r="G412" s="97"/>
      <c r="H412" s="97"/>
      <c r="I412" s="97"/>
      <c r="J412" s="97"/>
      <c r="K412" s="97"/>
      <c r="L412" s="97"/>
      <c r="M412" s="97"/>
      <c r="N412" s="97"/>
      <c r="O412" s="97"/>
      <c r="P412" s="97"/>
      <c r="Q412" s="97"/>
      <c r="R412" s="97"/>
      <c r="S412" s="97"/>
      <c r="T412" s="97"/>
      <c r="U412" s="97"/>
      <c r="V412" s="25"/>
      <c r="W412" s="25"/>
      <c r="X412" s="25"/>
      <c r="Y412" s="25"/>
      <c r="Z412" s="25"/>
      <c r="AA412" s="25"/>
    </row>
    <row r="413" spans="1:27" x14ac:dyDescent="0.35">
      <c r="A413" s="97"/>
      <c r="B413" s="97"/>
      <c r="C413" s="97"/>
      <c r="D413" s="97"/>
      <c r="E413" s="97"/>
      <c r="F413" s="97"/>
      <c r="G413" s="97"/>
      <c r="H413" s="97"/>
      <c r="I413" s="97"/>
      <c r="J413" s="97"/>
      <c r="K413" s="97"/>
      <c r="L413" s="97"/>
      <c r="M413" s="97"/>
      <c r="N413" s="97"/>
      <c r="O413" s="97"/>
      <c r="P413" s="97"/>
      <c r="Q413" s="97"/>
      <c r="R413" s="97"/>
      <c r="S413" s="97"/>
      <c r="T413" s="97"/>
      <c r="U413" s="97"/>
      <c r="V413" s="25"/>
      <c r="W413" s="25"/>
      <c r="X413" s="25"/>
      <c r="Y413" s="25"/>
      <c r="Z413" s="25"/>
      <c r="AA413" s="25"/>
    </row>
    <row r="414" spans="1:27" x14ac:dyDescent="0.35">
      <c r="A414" s="97"/>
      <c r="B414" s="97"/>
      <c r="C414" s="97"/>
      <c r="D414" s="97"/>
      <c r="E414" s="97"/>
      <c r="F414" s="97"/>
      <c r="G414" s="97"/>
      <c r="H414" s="97"/>
      <c r="I414" s="97"/>
      <c r="J414" s="97"/>
      <c r="K414" s="97"/>
      <c r="L414" s="97"/>
      <c r="M414" s="97"/>
      <c r="N414" s="97"/>
      <c r="O414" s="97"/>
      <c r="P414" s="97"/>
      <c r="Q414" s="97"/>
      <c r="R414" s="97"/>
      <c r="S414" s="97"/>
      <c r="T414" s="97"/>
      <c r="U414" s="97"/>
      <c r="V414" s="25"/>
      <c r="W414" s="25"/>
      <c r="X414" s="25"/>
      <c r="Y414" s="25"/>
      <c r="Z414" s="25"/>
      <c r="AA414" s="25"/>
    </row>
    <row r="415" spans="1:27" x14ac:dyDescent="0.35">
      <c r="A415" s="97"/>
      <c r="B415" s="97"/>
      <c r="C415" s="97"/>
      <c r="D415" s="97"/>
      <c r="E415" s="97"/>
      <c r="F415" s="97"/>
      <c r="G415" s="97"/>
      <c r="H415" s="97"/>
      <c r="I415" s="97"/>
      <c r="J415" s="97"/>
      <c r="K415" s="97"/>
      <c r="L415" s="97"/>
      <c r="M415" s="97"/>
      <c r="N415" s="97"/>
      <c r="O415" s="97"/>
      <c r="P415" s="97"/>
      <c r="Q415" s="97"/>
      <c r="R415" s="97"/>
      <c r="S415" s="97"/>
      <c r="T415" s="97"/>
      <c r="U415" s="97"/>
      <c r="V415" s="25"/>
      <c r="W415" s="25"/>
      <c r="X415" s="25"/>
      <c r="Y415" s="25"/>
      <c r="Z415" s="25"/>
      <c r="AA415" s="25"/>
    </row>
    <row r="416" spans="1:27" x14ac:dyDescent="0.35">
      <c r="A416" s="97"/>
      <c r="B416" s="97"/>
      <c r="C416" s="97"/>
      <c r="D416" s="97"/>
      <c r="E416" s="97"/>
      <c r="F416" s="97"/>
      <c r="G416" s="97"/>
      <c r="H416" s="97"/>
      <c r="I416" s="97"/>
      <c r="J416" s="97"/>
      <c r="K416" s="97"/>
      <c r="L416" s="97"/>
      <c r="M416" s="97"/>
      <c r="N416" s="97"/>
      <c r="O416" s="97"/>
      <c r="P416" s="97"/>
      <c r="Q416" s="97"/>
      <c r="R416" s="97"/>
      <c r="S416" s="97"/>
      <c r="T416" s="97"/>
      <c r="U416" s="97"/>
      <c r="V416" s="25"/>
      <c r="W416" s="25"/>
      <c r="X416" s="25"/>
      <c r="Y416" s="25"/>
      <c r="Z416" s="25"/>
      <c r="AA416" s="25"/>
    </row>
    <row r="417" spans="1:27" x14ac:dyDescent="0.35">
      <c r="A417" s="97"/>
      <c r="B417" s="97"/>
      <c r="C417" s="97"/>
      <c r="D417" s="97"/>
      <c r="E417" s="97"/>
      <c r="F417" s="97"/>
      <c r="G417" s="97"/>
      <c r="H417" s="97"/>
      <c r="I417" s="97"/>
      <c r="J417" s="97"/>
      <c r="K417" s="97"/>
      <c r="L417" s="97"/>
      <c r="M417" s="97"/>
      <c r="N417" s="97"/>
      <c r="O417" s="97"/>
      <c r="P417" s="97"/>
      <c r="Q417" s="97"/>
      <c r="R417" s="97"/>
      <c r="S417" s="97"/>
      <c r="T417" s="97"/>
      <c r="U417" s="97"/>
      <c r="V417" s="25"/>
      <c r="W417" s="25"/>
      <c r="X417" s="25"/>
      <c r="Y417" s="25"/>
      <c r="Z417" s="25"/>
      <c r="AA417" s="25"/>
    </row>
    <row r="418" spans="1:27" x14ac:dyDescent="0.35">
      <c r="A418" s="97"/>
      <c r="B418" s="97"/>
      <c r="C418" s="97"/>
      <c r="D418" s="97"/>
      <c r="E418" s="97"/>
      <c r="F418" s="97"/>
      <c r="G418" s="97"/>
      <c r="H418" s="97"/>
      <c r="I418" s="97"/>
      <c r="J418" s="97"/>
      <c r="K418" s="97"/>
      <c r="L418" s="97"/>
      <c r="M418" s="97"/>
      <c r="N418" s="97"/>
      <c r="O418" s="97"/>
      <c r="P418" s="97"/>
      <c r="Q418" s="97"/>
      <c r="R418" s="97"/>
      <c r="S418" s="97"/>
      <c r="T418" s="97"/>
      <c r="U418" s="97"/>
      <c r="V418" s="25"/>
      <c r="W418" s="25"/>
      <c r="X418" s="25"/>
      <c r="Y418" s="25"/>
      <c r="Z418" s="25"/>
      <c r="AA418" s="25"/>
    </row>
    <row r="419" spans="1:27" x14ac:dyDescent="0.35">
      <c r="A419" s="97"/>
      <c r="B419" s="97"/>
      <c r="C419" s="97"/>
      <c r="D419" s="97"/>
      <c r="E419" s="97"/>
      <c r="F419" s="97"/>
      <c r="G419" s="97"/>
      <c r="H419" s="97"/>
      <c r="I419" s="97"/>
      <c r="J419" s="97"/>
      <c r="K419" s="97"/>
      <c r="L419" s="97"/>
      <c r="M419" s="97"/>
      <c r="N419" s="97"/>
      <c r="O419" s="97"/>
      <c r="P419" s="97"/>
      <c r="Q419" s="97"/>
      <c r="R419" s="97"/>
      <c r="S419" s="97"/>
      <c r="T419" s="97"/>
      <c r="U419" s="97"/>
      <c r="V419" s="25"/>
      <c r="W419" s="25"/>
      <c r="X419" s="25"/>
      <c r="Y419" s="25"/>
      <c r="Z419" s="25"/>
      <c r="AA419" s="25"/>
    </row>
    <row r="420" spans="1:27" x14ac:dyDescent="0.35">
      <c r="A420" s="97"/>
      <c r="B420" s="97"/>
      <c r="C420" s="97"/>
      <c r="D420" s="97"/>
      <c r="E420" s="97"/>
      <c r="F420" s="97"/>
      <c r="G420" s="97"/>
      <c r="H420" s="97"/>
      <c r="I420" s="97"/>
      <c r="J420" s="97"/>
      <c r="K420" s="97"/>
      <c r="L420" s="97"/>
      <c r="M420" s="97"/>
      <c r="N420" s="97"/>
      <c r="O420" s="97"/>
      <c r="P420" s="97"/>
      <c r="Q420" s="97"/>
      <c r="R420" s="97"/>
      <c r="S420" s="97"/>
      <c r="T420" s="97"/>
      <c r="U420" s="97"/>
      <c r="V420" s="25"/>
      <c r="W420" s="25"/>
      <c r="X420" s="25"/>
      <c r="Y420" s="25"/>
      <c r="Z420" s="25"/>
      <c r="AA420" s="25"/>
    </row>
    <row r="421" spans="1:27" x14ac:dyDescent="0.35">
      <c r="A421" s="97"/>
      <c r="B421" s="97"/>
      <c r="C421" s="97"/>
      <c r="D421" s="97"/>
      <c r="E421" s="97"/>
      <c r="F421" s="97"/>
      <c r="G421" s="97"/>
      <c r="H421" s="97"/>
      <c r="I421" s="97"/>
      <c r="J421" s="97"/>
      <c r="K421" s="97"/>
      <c r="L421" s="97"/>
      <c r="M421" s="97"/>
      <c r="N421" s="97"/>
      <c r="O421" s="97"/>
      <c r="P421" s="97"/>
      <c r="Q421" s="97"/>
      <c r="R421" s="97"/>
      <c r="S421" s="97"/>
      <c r="T421" s="97"/>
      <c r="U421" s="97"/>
      <c r="V421" s="25"/>
      <c r="W421" s="25"/>
      <c r="X421" s="25"/>
      <c r="Y421" s="25"/>
      <c r="Z421" s="25"/>
      <c r="AA421" s="25"/>
    </row>
    <row r="422" spans="1:27" x14ac:dyDescent="0.35">
      <c r="A422" s="97"/>
      <c r="B422" s="97"/>
      <c r="C422" s="97"/>
      <c r="D422" s="97"/>
      <c r="E422" s="97"/>
      <c r="F422" s="97"/>
      <c r="G422" s="97"/>
      <c r="H422" s="97"/>
      <c r="I422" s="97"/>
      <c r="J422" s="97"/>
      <c r="K422" s="97"/>
      <c r="L422" s="97"/>
      <c r="M422" s="97"/>
      <c r="N422" s="97"/>
      <c r="O422" s="97"/>
      <c r="P422" s="97"/>
      <c r="Q422" s="97"/>
      <c r="R422" s="97"/>
      <c r="S422" s="97"/>
      <c r="T422" s="97"/>
      <c r="U422" s="97"/>
      <c r="V422" s="25"/>
      <c r="W422" s="25"/>
      <c r="X422" s="25"/>
      <c r="Y422" s="25"/>
      <c r="Z422" s="25"/>
      <c r="AA422" s="25"/>
    </row>
    <row r="423" spans="1:27" x14ac:dyDescent="0.35">
      <c r="A423" s="97"/>
      <c r="B423" s="97"/>
      <c r="C423" s="97"/>
      <c r="D423" s="97"/>
      <c r="E423" s="97"/>
      <c r="F423" s="97"/>
      <c r="G423" s="97"/>
      <c r="H423" s="97"/>
      <c r="I423" s="97"/>
      <c r="J423" s="97"/>
      <c r="K423" s="97"/>
      <c r="L423" s="97"/>
      <c r="M423" s="97"/>
      <c r="N423" s="97"/>
      <c r="O423" s="97"/>
      <c r="P423" s="97"/>
      <c r="Q423" s="97"/>
      <c r="R423" s="97"/>
      <c r="S423" s="97"/>
      <c r="T423" s="97"/>
      <c r="U423" s="97"/>
      <c r="V423" s="25"/>
      <c r="W423" s="25"/>
      <c r="X423" s="25"/>
      <c r="Y423" s="25"/>
      <c r="Z423" s="25"/>
      <c r="AA423" s="25"/>
    </row>
    <row r="424" spans="1:27" x14ac:dyDescent="0.35">
      <c r="A424" s="97"/>
      <c r="B424" s="97"/>
      <c r="C424" s="97"/>
      <c r="D424" s="97"/>
      <c r="E424" s="97"/>
      <c r="F424" s="97"/>
      <c r="G424" s="97"/>
      <c r="H424" s="97"/>
      <c r="I424" s="97"/>
      <c r="J424" s="97"/>
      <c r="K424" s="97"/>
      <c r="L424" s="97"/>
      <c r="M424" s="97"/>
      <c r="N424" s="97"/>
      <c r="O424" s="97"/>
      <c r="P424" s="97"/>
      <c r="Q424" s="97"/>
      <c r="R424" s="97"/>
      <c r="S424" s="97"/>
      <c r="T424" s="97"/>
      <c r="U424" s="97"/>
      <c r="V424" s="25"/>
      <c r="W424" s="25"/>
      <c r="X424" s="25"/>
      <c r="Y424" s="25"/>
      <c r="Z424" s="25"/>
      <c r="AA424" s="25"/>
    </row>
    <row r="425" spans="1:27" x14ac:dyDescent="0.35">
      <c r="A425" s="97"/>
      <c r="B425" s="97"/>
      <c r="C425" s="97"/>
      <c r="D425" s="97"/>
      <c r="E425" s="97"/>
      <c r="F425" s="97"/>
      <c r="G425" s="97"/>
      <c r="H425" s="97"/>
      <c r="I425" s="97"/>
      <c r="J425" s="97"/>
      <c r="K425" s="97"/>
      <c r="L425" s="97"/>
      <c r="M425" s="97"/>
      <c r="N425" s="97"/>
      <c r="O425" s="97"/>
      <c r="P425" s="97"/>
      <c r="Q425" s="97"/>
      <c r="R425" s="97"/>
      <c r="S425" s="97"/>
      <c r="T425" s="97"/>
      <c r="U425" s="97"/>
      <c r="V425" s="25"/>
      <c r="W425" s="25"/>
      <c r="X425" s="25"/>
      <c r="Y425" s="25"/>
      <c r="Z425" s="25"/>
      <c r="AA425" s="25"/>
    </row>
    <row r="426" spans="1:27" x14ac:dyDescent="0.35">
      <c r="A426" s="97"/>
      <c r="B426" s="97"/>
      <c r="C426" s="97"/>
      <c r="D426" s="97"/>
      <c r="E426" s="97"/>
      <c r="F426" s="97"/>
      <c r="G426" s="97"/>
      <c r="H426" s="97"/>
      <c r="I426" s="97"/>
      <c r="J426" s="97"/>
      <c r="K426" s="97"/>
      <c r="L426" s="97"/>
      <c r="M426" s="97"/>
      <c r="N426" s="97"/>
      <c r="O426" s="97"/>
      <c r="P426" s="97"/>
      <c r="Q426" s="97"/>
      <c r="R426" s="97"/>
      <c r="S426" s="97"/>
      <c r="T426" s="97"/>
      <c r="U426" s="97"/>
      <c r="V426" s="25"/>
      <c r="W426" s="25"/>
      <c r="X426" s="25"/>
      <c r="Y426" s="25"/>
      <c r="Z426" s="25"/>
      <c r="AA426" s="25"/>
    </row>
    <row r="427" spans="1:27" x14ac:dyDescent="0.35">
      <c r="A427" s="97"/>
      <c r="B427" s="97"/>
      <c r="C427" s="97"/>
      <c r="D427" s="97"/>
      <c r="E427" s="97"/>
      <c r="F427" s="97"/>
      <c r="G427" s="97"/>
      <c r="H427" s="97"/>
      <c r="I427" s="97"/>
      <c r="J427" s="97"/>
      <c r="K427" s="97"/>
      <c r="L427" s="97"/>
      <c r="M427" s="97"/>
      <c r="N427" s="97"/>
      <c r="O427" s="97"/>
      <c r="P427" s="97"/>
      <c r="Q427" s="97"/>
      <c r="R427" s="97"/>
      <c r="S427" s="97"/>
      <c r="T427" s="97"/>
      <c r="U427" s="97"/>
      <c r="V427" s="25"/>
      <c r="W427" s="25"/>
      <c r="X427" s="25"/>
      <c r="Y427" s="25"/>
      <c r="Z427" s="25"/>
      <c r="AA427" s="25"/>
    </row>
    <row r="428" spans="1:27" x14ac:dyDescent="0.35">
      <c r="A428" s="97"/>
      <c r="B428" s="97"/>
      <c r="C428" s="97"/>
      <c r="D428" s="97"/>
      <c r="E428" s="97"/>
      <c r="F428" s="97"/>
      <c r="G428" s="97"/>
      <c r="H428" s="97"/>
      <c r="I428" s="97"/>
      <c r="J428" s="97"/>
      <c r="K428" s="97"/>
      <c r="L428" s="97"/>
      <c r="M428" s="97"/>
      <c r="N428" s="97"/>
      <c r="O428" s="97"/>
      <c r="P428" s="97"/>
      <c r="Q428" s="97"/>
      <c r="R428" s="97"/>
      <c r="S428" s="97"/>
      <c r="T428" s="97"/>
      <c r="U428" s="97"/>
      <c r="V428" s="25"/>
      <c r="W428" s="25"/>
      <c r="X428" s="25"/>
      <c r="Y428" s="25"/>
      <c r="Z428" s="25"/>
      <c r="AA428" s="25"/>
    </row>
    <row r="429" spans="1:27" x14ac:dyDescent="0.35">
      <c r="A429" s="97"/>
      <c r="B429" s="97"/>
      <c r="C429" s="97"/>
      <c r="D429" s="97"/>
      <c r="E429" s="97"/>
      <c r="F429" s="97"/>
      <c r="G429" s="97"/>
      <c r="H429" s="97"/>
      <c r="I429" s="97"/>
      <c r="J429" s="97"/>
      <c r="K429" s="97"/>
      <c r="L429" s="97"/>
      <c r="M429" s="97"/>
      <c r="N429" s="97"/>
      <c r="O429" s="97"/>
      <c r="P429" s="97"/>
      <c r="Q429" s="97"/>
      <c r="R429" s="97"/>
      <c r="S429" s="97"/>
      <c r="T429" s="97"/>
      <c r="U429" s="97"/>
      <c r="V429" s="25"/>
      <c r="W429" s="25"/>
      <c r="X429" s="25"/>
      <c r="Y429" s="25"/>
      <c r="Z429" s="25"/>
      <c r="AA429" s="25"/>
    </row>
    <row r="430" spans="1:27" x14ac:dyDescent="0.35">
      <c r="A430" s="97"/>
      <c r="B430" s="97"/>
      <c r="C430" s="97"/>
      <c r="D430" s="97"/>
      <c r="E430" s="97"/>
      <c r="F430" s="97"/>
      <c r="G430" s="97"/>
      <c r="H430" s="97"/>
      <c r="I430" s="97"/>
      <c r="J430" s="97"/>
      <c r="K430" s="97"/>
      <c r="L430" s="97"/>
      <c r="M430" s="97"/>
      <c r="N430" s="97"/>
      <c r="O430" s="97"/>
      <c r="P430" s="97"/>
      <c r="Q430" s="97"/>
      <c r="R430" s="97"/>
      <c r="S430" s="97"/>
      <c r="T430" s="97"/>
      <c r="U430" s="97"/>
      <c r="V430" s="25"/>
      <c r="W430" s="25"/>
      <c r="X430" s="25"/>
      <c r="Y430" s="25"/>
      <c r="Z430" s="25"/>
      <c r="AA430" s="25"/>
    </row>
    <row r="431" spans="1:27" x14ac:dyDescent="0.35">
      <c r="A431" s="97"/>
      <c r="B431" s="97"/>
      <c r="C431" s="97"/>
      <c r="D431" s="97"/>
      <c r="E431" s="97"/>
      <c r="F431" s="97"/>
      <c r="G431" s="97"/>
      <c r="H431" s="97"/>
      <c r="I431" s="97"/>
      <c r="J431" s="97"/>
      <c r="K431" s="97"/>
      <c r="L431" s="97"/>
      <c r="M431" s="97"/>
      <c r="N431" s="97"/>
      <c r="O431" s="97"/>
      <c r="P431" s="97"/>
      <c r="Q431" s="97"/>
      <c r="R431" s="97"/>
      <c r="S431" s="97"/>
      <c r="T431" s="97"/>
      <c r="U431" s="97"/>
      <c r="V431" s="25"/>
      <c r="W431" s="25"/>
      <c r="X431" s="25"/>
      <c r="Y431" s="25"/>
      <c r="Z431" s="25"/>
      <c r="AA431" s="25"/>
    </row>
    <row r="432" spans="1:27" x14ac:dyDescent="0.35">
      <c r="A432" s="97"/>
      <c r="B432" s="97"/>
      <c r="C432" s="97"/>
      <c r="D432" s="97"/>
      <c r="E432" s="97"/>
      <c r="F432" s="97"/>
      <c r="G432" s="97"/>
      <c r="H432" s="97"/>
      <c r="I432" s="97"/>
      <c r="J432" s="97"/>
      <c r="K432" s="97"/>
      <c r="L432" s="97"/>
      <c r="M432" s="97"/>
      <c r="N432" s="97"/>
      <c r="O432" s="97"/>
      <c r="P432" s="97"/>
      <c r="Q432" s="97"/>
      <c r="R432" s="97"/>
      <c r="S432" s="97"/>
      <c r="T432" s="97"/>
      <c r="U432" s="97"/>
      <c r="V432" s="25"/>
      <c r="W432" s="25"/>
      <c r="X432" s="25"/>
      <c r="Y432" s="25"/>
      <c r="Z432" s="25"/>
      <c r="AA432" s="25"/>
    </row>
    <row r="433" spans="1:27" x14ac:dyDescent="0.35">
      <c r="A433" s="97"/>
      <c r="B433" s="97"/>
      <c r="C433" s="97"/>
      <c r="D433" s="97"/>
      <c r="E433" s="97"/>
      <c r="F433" s="97"/>
      <c r="G433" s="97"/>
      <c r="H433" s="97"/>
      <c r="I433" s="97"/>
      <c r="J433" s="97"/>
      <c r="K433" s="97"/>
      <c r="L433" s="97"/>
      <c r="M433" s="97"/>
      <c r="N433" s="97"/>
      <c r="O433" s="97"/>
      <c r="P433" s="97"/>
      <c r="Q433" s="97"/>
      <c r="R433" s="97"/>
      <c r="S433" s="97"/>
      <c r="T433" s="97"/>
      <c r="U433" s="97"/>
      <c r="V433" s="25"/>
      <c r="W433" s="25"/>
      <c r="X433" s="25"/>
      <c r="Y433" s="25"/>
      <c r="Z433" s="25"/>
      <c r="AA433" s="25"/>
    </row>
    <row r="434" spans="1:27" x14ac:dyDescent="0.35">
      <c r="A434" s="97"/>
      <c r="B434" s="97"/>
      <c r="C434" s="97"/>
      <c r="D434" s="97"/>
      <c r="E434" s="97"/>
      <c r="F434" s="97"/>
      <c r="G434" s="97"/>
      <c r="H434" s="97"/>
      <c r="I434" s="97"/>
      <c r="J434" s="97"/>
      <c r="K434" s="97"/>
      <c r="L434" s="97"/>
      <c r="M434" s="97"/>
      <c r="N434" s="97"/>
      <c r="O434" s="97"/>
      <c r="P434" s="97"/>
      <c r="Q434" s="97"/>
      <c r="R434" s="97"/>
      <c r="S434" s="97"/>
      <c r="T434" s="97"/>
      <c r="U434" s="97"/>
      <c r="V434" s="25"/>
      <c r="W434" s="25"/>
      <c r="X434" s="25"/>
      <c r="Y434" s="25"/>
      <c r="Z434" s="25"/>
      <c r="AA434" s="25"/>
    </row>
    <row r="435" spans="1:27" x14ac:dyDescent="0.35">
      <c r="A435" s="97"/>
      <c r="B435" s="97"/>
      <c r="C435" s="97"/>
      <c r="D435" s="97"/>
      <c r="E435" s="97"/>
      <c r="F435" s="97"/>
      <c r="G435" s="97"/>
      <c r="H435" s="97"/>
      <c r="I435" s="97"/>
      <c r="J435" s="97"/>
      <c r="K435" s="97"/>
      <c r="L435" s="97"/>
      <c r="M435" s="97"/>
      <c r="N435" s="97"/>
      <c r="O435" s="97"/>
      <c r="P435" s="97"/>
      <c r="Q435" s="97"/>
      <c r="R435" s="97"/>
      <c r="S435" s="97"/>
      <c r="T435" s="97"/>
      <c r="U435" s="97"/>
      <c r="V435" s="25"/>
      <c r="W435" s="25"/>
      <c r="X435" s="25"/>
      <c r="Y435" s="25"/>
      <c r="Z435" s="25"/>
      <c r="AA435" s="25"/>
    </row>
    <row r="436" spans="1:27" x14ac:dyDescent="0.35">
      <c r="A436" s="97"/>
      <c r="B436" s="97"/>
      <c r="C436" s="97"/>
      <c r="D436" s="97"/>
      <c r="E436" s="97"/>
      <c r="F436" s="97"/>
      <c r="G436" s="97"/>
      <c r="H436" s="97"/>
      <c r="I436" s="97"/>
      <c r="J436" s="97"/>
      <c r="K436" s="97"/>
      <c r="L436" s="97"/>
      <c r="M436" s="97"/>
      <c r="N436" s="97"/>
      <c r="O436" s="97"/>
      <c r="P436" s="97"/>
      <c r="Q436" s="97"/>
      <c r="R436" s="97"/>
      <c r="S436" s="97"/>
      <c r="T436" s="97"/>
      <c r="U436" s="97"/>
      <c r="V436" s="25"/>
      <c r="W436" s="25"/>
      <c r="X436" s="25"/>
      <c r="Y436" s="25"/>
      <c r="Z436" s="25"/>
      <c r="AA436" s="25"/>
    </row>
    <row r="437" spans="1:27" x14ac:dyDescent="0.35">
      <c r="A437" s="97"/>
      <c r="B437" s="97"/>
      <c r="C437" s="97"/>
      <c r="D437" s="97"/>
      <c r="E437" s="97"/>
      <c r="F437" s="97"/>
      <c r="G437" s="97"/>
      <c r="H437" s="97"/>
      <c r="I437" s="97"/>
      <c r="J437" s="97"/>
      <c r="K437" s="97"/>
      <c r="L437" s="97"/>
      <c r="M437" s="97"/>
      <c r="N437" s="97"/>
      <c r="O437" s="97"/>
      <c r="P437" s="97"/>
      <c r="Q437" s="97"/>
      <c r="R437" s="97"/>
      <c r="S437" s="97"/>
      <c r="T437" s="97"/>
      <c r="U437" s="97"/>
      <c r="V437" s="25"/>
      <c r="W437" s="25"/>
      <c r="X437" s="25"/>
      <c r="Y437" s="25"/>
      <c r="Z437" s="25"/>
      <c r="AA437" s="25"/>
    </row>
    <row r="438" spans="1:27" x14ac:dyDescent="0.35">
      <c r="A438" s="97"/>
      <c r="B438" s="97"/>
      <c r="C438" s="97"/>
      <c r="D438" s="97"/>
      <c r="E438" s="97"/>
      <c r="F438" s="97"/>
      <c r="G438" s="97"/>
      <c r="H438" s="97"/>
      <c r="I438" s="97"/>
      <c r="J438" s="97"/>
      <c r="K438" s="97"/>
      <c r="L438" s="97"/>
      <c r="M438" s="97"/>
      <c r="N438" s="97"/>
      <c r="O438" s="97"/>
      <c r="P438" s="97"/>
      <c r="Q438" s="97"/>
      <c r="R438" s="97"/>
      <c r="S438" s="97"/>
      <c r="T438" s="97"/>
      <c r="U438" s="97"/>
      <c r="V438" s="25"/>
      <c r="W438" s="25"/>
      <c r="X438" s="25"/>
      <c r="Y438" s="25"/>
      <c r="Z438" s="25"/>
      <c r="AA438" s="25"/>
    </row>
    <row r="439" spans="1:27" x14ac:dyDescent="0.35">
      <c r="A439" s="97"/>
      <c r="B439" s="97"/>
      <c r="C439" s="97"/>
      <c r="D439" s="97"/>
      <c r="E439" s="97"/>
      <c r="F439" s="97"/>
      <c r="G439" s="97"/>
      <c r="H439" s="97"/>
      <c r="I439" s="97"/>
      <c r="J439" s="97"/>
      <c r="K439" s="97"/>
      <c r="L439" s="97"/>
      <c r="M439" s="97"/>
      <c r="N439" s="97"/>
      <c r="O439" s="97"/>
      <c r="P439" s="97"/>
      <c r="Q439" s="97"/>
      <c r="R439" s="97"/>
      <c r="S439" s="97"/>
      <c r="T439" s="97"/>
      <c r="U439" s="97"/>
      <c r="V439" s="25"/>
      <c r="W439" s="25"/>
      <c r="X439" s="25"/>
      <c r="Y439" s="25"/>
      <c r="Z439" s="25"/>
      <c r="AA439" s="25"/>
    </row>
    <row r="440" spans="1:27" x14ac:dyDescent="0.35">
      <c r="A440" s="97"/>
      <c r="B440" s="97"/>
      <c r="C440" s="97"/>
      <c r="D440" s="97"/>
      <c r="E440" s="97"/>
      <c r="F440" s="97"/>
      <c r="G440" s="97"/>
      <c r="H440" s="97"/>
      <c r="I440" s="97"/>
      <c r="J440" s="97"/>
      <c r="K440" s="97"/>
      <c r="L440" s="97"/>
      <c r="M440" s="97"/>
      <c r="N440" s="97"/>
      <c r="O440" s="97"/>
      <c r="P440" s="97"/>
      <c r="Q440" s="97"/>
      <c r="R440" s="97"/>
      <c r="S440" s="97"/>
      <c r="T440" s="97"/>
      <c r="U440" s="97"/>
      <c r="V440" s="25"/>
      <c r="W440" s="25"/>
      <c r="X440" s="25"/>
      <c r="Y440" s="25"/>
      <c r="Z440" s="25"/>
      <c r="AA440" s="25"/>
    </row>
    <row r="441" spans="1:27" x14ac:dyDescent="0.35">
      <c r="A441" s="97"/>
      <c r="B441" s="97"/>
      <c r="C441" s="97"/>
      <c r="D441" s="97"/>
      <c r="E441" s="97"/>
      <c r="F441" s="97"/>
      <c r="G441" s="97"/>
      <c r="H441" s="97"/>
      <c r="I441" s="97"/>
      <c r="J441" s="97"/>
      <c r="K441" s="97"/>
      <c r="L441" s="97"/>
      <c r="M441" s="97"/>
      <c r="N441" s="97"/>
      <c r="O441" s="97"/>
      <c r="P441" s="97"/>
      <c r="Q441" s="97"/>
      <c r="R441" s="97"/>
      <c r="S441" s="97"/>
      <c r="T441" s="97"/>
      <c r="U441" s="97"/>
      <c r="V441" s="25"/>
      <c r="W441" s="25"/>
      <c r="X441" s="25"/>
      <c r="Y441" s="25"/>
      <c r="Z441" s="25"/>
      <c r="AA441" s="25"/>
    </row>
    <row r="442" spans="1:27" x14ac:dyDescent="0.35">
      <c r="A442" s="97"/>
      <c r="B442" s="97"/>
      <c r="C442" s="97"/>
      <c r="D442" s="97"/>
      <c r="E442" s="97"/>
      <c r="F442" s="97"/>
      <c r="G442" s="97"/>
      <c r="H442" s="97"/>
      <c r="I442" s="97"/>
      <c r="J442" s="97"/>
      <c r="K442" s="97"/>
      <c r="L442" s="97"/>
      <c r="M442" s="97"/>
      <c r="N442" s="97"/>
      <c r="O442" s="97"/>
      <c r="P442" s="97"/>
      <c r="Q442" s="97"/>
      <c r="R442" s="97"/>
      <c r="S442" s="97"/>
      <c r="T442" s="97"/>
      <c r="U442" s="97"/>
      <c r="V442" s="25"/>
      <c r="W442" s="25"/>
      <c r="X442" s="25"/>
      <c r="Y442" s="25"/>
      <c r="Z442" s="25"/>
      <c r="AA442" s="25"/>
    </row>
    <row r="443" spans="1:27" x14ac:dyDescent="0.35">
      <c r="A443" s="97"/>
      <c r="B443" s="97"/>
      <c r="C443" s="97"/>
      <c r="D443" s="97"/>
      <c r="E443" s="97"/>
      <c r="F443" s="97"/>
      <c r="G443" s="97"/>
      <c r="H443" s="97"/>
      <c r="I443" s="97"/>
      <c r="J443" s="97"/>
      <c r="K443" s="97"/>
      <c r="L443" s="97"/>
      <c r="M443" s="97"/>
      <c r="N443" s="97"/>
      <c r="O443" s="97"/>
      <c r="P443" s="97"/>
      <c r="Q443" s="97"/>
      <c r="R443" s="97"/>
      <c r="S443" s="97"/>
      <c r="T443" s="97"/>
      <c r="U443" s="97"/>
      <c r="V443" s="25"/>
      <c r="W443" s="25"/>
      <c r="X443" s="25"/>
      <c r="Y443" s="25"/>
      <c r="Z443" s="25"/>
      <c r="AA443" s="25"/>
    </row>
    <row r="444" spans="1:27" x14ac:dyDescent="0.35">
      <c r="A444" s="97"/>
      <c r="B444" s="97"/>
      <c r="C444" s="97"/>
      <c r="D444" s="97"/>
      <c r="E444" s="97"/>
      <c r="F444" s="97"/>
      <c r="G444" s="97"/>
      <c r="H444" s="97"/>
      <c r="I444" s="97"/>
      <c r="J444" s="97"/>
      <c r="K444" s="97"/>
      <c r="L444" s="97"/>
      <c r="M444" s="97"/>
      <c r="N444" s="97"/>
      <c r="O444" s="97"/>
      <c r="P444" s="97"/>
      <c r="Q444" s="97"/>
      <c r="R444" s="97"/>
      <c r="S444" s="97"/>
      <c r="T444" s="97"/>
      <c r="U444" s="97"/>
      <c r="V444" s="25"/>
      <c r="W444" s="25"/>
      <c r="X444" s="25"/>
      <c r="Y444" s="25"/>
      <c r="Z444" s="25"/>
      <c r="AA444" s="25"/>
    </row>
    <row r="445" spans="1:27" x14ac:dyDescent="0.35">
      <c r="A445" s="97"/>
      <c r="B445" s="97"/>
      <c r="C445" s="97"/>
      <c r="D445" s="97"/>
      <c r="E445" s="97"/>
      <c r="F445" s="97"/>
      <c r="G445" s="97"/>
      <c r="H445" s="97"/>
      <c r="I445" s="97"/>
      <c r="J445" s="97"/>
      <c r="K445" s="97"/>
      <c r="L445" s="97"/>
      <c r="M445" s="97"/>
      <c r="N445" s="97"/>
      <c r="O445" s="97"/>
      <c r="P445" s="97"/>
      <c r="Q445" s="97"/>
      <c r="R445" s="97"/>
      <c r="S445" s="97"/>
      <c r="T445" s="97"/>
      <c r="U445" s="97"/>
      <c r="V445" s="25"/>
      <c r="W445" s="25"/>
      <c r="X445" s="25"/>
      <c r="Y445" s="25"/>
      <c r="Z445" s="25"/>
      <c r="AA445" s="25"/>
    </row>
    <row r="446" spans="1:27" x14ac:dyDescent="0.35">
      <c r="A446" s="97"/>
      <c r="B446" s="97"/>
      <c r="C446" s="97"/>
      <c r="D446" s="97"/>
      <c r="E446" s="97"/>
      <c r="F446" s="97"/>
      <c r="G446" s="97"/>
      <c r="H446" s="97"/>
      <c r="I446" s="97"/>
      <c r="J446" s="97"/>
      <c r="K446" s="97"/>
      <c r="L446" s="97"/>
      <c r="M446" s="97"/>
      <c r="N446" s="97"/>
      <c r="O446" s="97"/>
      <c r="P446" s="97"/>
      <c r="Q446" s="97"/>
      <c r="R446" s="97"/>
      <c r="S446" s="97"/>
      <c r="T446" s="97"/>
      <c r="U446" s="97"/>
      <c r="V446" s="25"/>
      <c r="W446" s="25"/>
      <c r="X446" s="25"/>
      <c r="Y446" s="25"/>
      <c r="Z446" s="25"/>
      <c r="AA446" s="25"/>
    </row>
    <row r="447" spans="1:27" x14ac:dyDescent="0.35">
      <c r="A447" s="97"/>
      <c r="B447" s="97"/>
      <c r="C447" s="97"/>
      <c r="D447" s="97"/>
      <c r="E447" s="97"/>
      <c r="F447" s="97"/>
      <c r="G447" s="97"/>
      <c r="H447" s="97"/>
      <c r="I447" s="97"/>
      <c r="J447" s="97"/>
      <c r="K447" s="97"/>
      <c r="L447" s="97"/>
      <c r="M447" s="97"/>
      <c r="N447" s="97"/>
      <c r="O447" s="97"/>
      <c r="P447" s="97"/>
      <c r="Q447" s="97"/>
      <c r="R447" s="97"/>
      <c r="S447" s="97"/>
      <c r="T447" s="97"/>
      <c r="U447" s="97"/>
      <c r="V447" s="25"/>
      <c r="W447" s="25"/>
      <c r="X447" s="25"/>
      <c r="Y447" s="25"/>
      <c r="Z447" s="25"/>
      <c r="AA447" s="25"/>
    </row>
    <row r="448" spans="1:27" x14ac:dyDescent="0.35">
      <c r="A448" s="97"/>
      <c r="B448" s="97"/>
      <c r="C448" s="97"/>
      <c r="D448" s="97"/>
      <c r="E448" s="97"/>
      <c r="F448" s="97"/>
      <c r="G448" s="97"/>
      <c r="H448" s="97"/>
      <c r="I448" s="97"/>
      <c r="J448" s="97"/>
      <c r="K448" s="97"/>
      <c r="L448" s="97"/>
      <c r="M448" s="97"/>
      <c r="N448" s="97"/>
      <c r="O448" s="97"/>
      <c r="P448" s="97"/>
      <c r="Q448" s="97"/>
      <c r="R448" s="97"/>
      <c r="S448" s="97"/>
      <c r="T448" s="97"/>
      <c r="U448" s="97"/>
      <c r="V448" s="25"/>
      <c r="W448" s="25"/>
      <c r="X448" s="25"/>
      <c r="Y448" s="25"/>
      <c r="Z448" s="25"/>
      <c r="AA448" s="25"/>
    </row>
    <row r="449" spans="1:27" x14ac:dyDescent="0.35">
      <c r="A449" s="97"/>
      <c r="B449" s="97"/>
      <c r="C449" s="97"/>
      <c r="D449" s="97"/>
      <c r="E449" s="97"/>
      <c r="F449" s="97"/>
      <c r="G449" s="97"/>
      <c r="H449" s="97"/>
      <c r="I449" s="97"/>
      <c r="J449" s="97"/>
      <c r="K449" s="97"/>
      <c r="L449" s="97"/>
      <c r="M449" s="97"/>
      <c r="N449" s="97"/>
      <c r="O449" s="97"/>
      <c r="P449" s="97"/>
      <c r="Q449" s="97"/>
      <c r="R449" s="97"/>
      <c r="S449" s="97"/>
      <c r="T449" s="97"/>
      <c r="U449" s="97"/>
      <c r="V449" s="25"/>
      <c r="W449" s="25"/>
      <c r="X449" s="25"/>
      <c r="Y449" s="25"/>
      <c r="Z449" s="25"/>
      <c r="AA449" s="25"/>
    </row>
    <row r="450" spans="1:27" x14ac:dyDescent="0.35">
      <c r="A450" s="97"/>
      <c r="B450" s="97"/>
      <c r="C450" s="97"/>
      <c r="D450" s="97"/>
      <c r="E450" s="97"/>
      <c r="F450" s="97"/>
      <c r="G450" s="97"/>
      <c r="H450" s="97"/>
      <c r="I450" s="97"/>
      <c r="J450" s="97"/>
      <c r="K450" s="97"/>
      <c r="L450" s="97"/>
      <c r="M450" s="97"/>
      <c r="N450" s="97"/>
      <c r="O450" s="97"/>
      <c r="P450" s="97"/>
      <c r="Q450" s="97"/>
      <c r="R450" s="97"/>
      <c r="S450" s="97"/>
      <c r="T450" s="97"/>
      <c r="U450" s="97"/>
      <c r="V450" s="25"/>
      <c r="W450" s="25"/>
      <c r="X450" s="25"/>
      <c r="Y450" s="25"/>
      <c r="Z450" s="25"/>
      <c r="AA450" s="25"/>
    </row>
    <row r="451" spans="1:27" x14ac:dyDescent="0.35">
      <c r="A451" s="97"/>
      <c r="B451" s="97"/>
      <c r="C451" s="97"/>
      <c r="D451" s="97"/>
      <c r="E451" s="97"/>
      <c r="F451" s="97"/>
      <c r="G451" s="97"/>
      <c r="H451" s="97"/>
      <c r="I451" s="97"/>
      <c r="J451" s="97"/>
      <c r="K451" s="97"/>
      <c r="L451" s="97"/>
      <c r="M451" s="97"/>
      <c r="N451" s="97"/>
      <c r="O451" s="97"/>
      <c r="P451" s="97"/>
      <c r="Q451" s="97"/>
      <c r="R451" s="97"/>
      <c r="S451" s="97"/>
      <c r="T451" s="97"/>
      <c r="U451" s="97"/>
      <c r="V451" s="25"/>
      <c r="W451" s="25"/>
      <c r="X451" s="25"/>
      <c r="Y451" s="25"/>
      <c r="Z451" s="25"/>
      <c r="AA451" s="25"/>
    </row>
    <row r="452" spans="1:27" x14ac:dyDescent="0.35">
      <c r="A452" s="97"/>
      <c r="B452" s="97"/>
      <c r="C452" s="97"/>
      <c r="D452" s="97"/>
      <c r="E452" s="97"/>
      <c r="F452" s="97"/>
      <c r="G452" s="97"/>
      <c r="H452" s="97"/>
      <c r="I452" s="97"/>
      <c r="J452" s="97"/>
      <c r="K452" s="97"/>
      <c r="L452" s="97"/>
      <c r="M452" s="97"/>
      <c r="N452" s="97"/>
      <c r="O452" s="97"/>
      <c r="P452" s="97"/>
      <c r="Q452" s="97"/>
      <c r="R452" s="97"/>
      <c r="S452" s="97"/>
      <c r="T452" s="97"/>
      <c r="U452" s="97"/>
      <c r="V452" s="25"/>
      <c r="W452" s="25"/>
      <c r="X452" s="25"/>
      <c r="Y452" s="25"/>
      <c r="Z452" s="25"/>
      <c r="AA452" s="25"/>
    </row>
    <row r="453" spans="1:27" x14ac:dyDescent="0.35">
      <c r="A453" s="97"/>
      <c r="B453" s="97"/>
      <c r="C453" s="97"/>
      <c r="D453" s="97"/>
      <c r="E453" s="97"/>
      <c r="F453" s="97"/>
      <c r="G453" s="97"/>
      <c r="H453" s="97"/>
      <c r="I453" s="97"/>
      <c r="J453" s="97"/>
      <c r="K453" s="97"/>
      <c r="L453" s="97"/>
      <c r="M453" s="97"/>
      <c r="N453" s="97"/>
      <c r="O453" s="97"/>
      <c r="P453" s="97"/>
      <c r="Q453" s="97"/>
      <c r="R453" s="97"/>
      <c r="S453" s="97"/>
      <c r="T453" s="97"/>
      <c r="U453" s="97"/>
      <c r="V453" s="25"/>
      <c r="W453" s="25"/>
      <c r="X453" s="25"/>
      <c r="Y453" s="25"/>
      <c r="Z453" s="25"/>
      <c r="AA453" s="25"/>
    </row>
    <row r="454" spans="1:27" x14ac:dyDescent="0.35">
      <c r="A454" s="97"/>
      <c r="B454" s="97"/>
      <c r="C454" s="97"/>
      <c r="D454" s="97"/>
      <c r="E454" s="97"/>
      <c r="F454" s="97"/>
      <c r="G454" s="97"/>
      <c r="H454" s="97"/>
      <c r="I454" s="97"/>
      <c r="J454" s="97"/>
      <c r="K454" s="97"/>
      <c r="L454" s="97"/>
      <c r="M454" s="97"/>
      <c r="N454" s="97"/>
      <c r="O454" s="97"/>
      <c r="P454" s="97"/>
      <c r="Q454" s="97"/>
      <c r="R454" s="97"/>
      <c r="S454" s="97"/>
      <c r="T454" s="97"/>
      <c r="U454" s="97"/>
      <c r="V454" s="25"/>
      <c r="W454" s="25"/>
      <c r="X454" s="25"/>
      <c r="Y454" s="25"/>
      <c r="Z454" s="25"/>
      <c r="AA454" s="25"/>
    </row>
    <row r="455" spans="1:27" x14ac:dyDescent="0.35">
      <c r="A455" s="97"/>
      <c r="B455" s="97"/>
      <c r="C455" s="97"/>
      <c r="D455" s="97"/>
      <c r="E455" s="97"/>
      <c r="F455" s="97"/>
      <c r="G455" s="97"/>
      <c r="H455" s="97"/>
      <c r="I455" s="97"/>
      <c r="J455" s="97"/>
      <c r="K455" s="97"/>
      <c r="L455" s="97"/>
      <c r="M455" s="97"/>
      <c r="N455" s="97"/>
      <c r="O455" s="97"/>
      <c r="P455" s="97"/>
      <c r="Q455" s="97"/>
      <c r="R455" s="97"/>
      <c r="S455" s="97"/>
      <c r="T455" s="97"/>
      <c r="U455" s="97"/>
      <c r="V455" s="25"/>
      <c r="W455" s="25"/>
      <c r="X455" s="25"/>
      <c r="Y455" s="25"/>
      <c r="Z455" s="25"/>
      <c r="AA455" s="25"/>
    </row>
    <row r="456" spans="1:27" x14ac:dyDescent="0.35">
      <c r="A456" s="97"/>
      <c r="B456" s="97"/>
      <c r="C456" s="97"/>
      <c r="D456" s="97"/>
      <c r="E456" s="97"/>
      <c r="F456" s="97"/>
      <c r="G456" s="97"/>
      <c r="H456" s="97"/>
      <c r="I456" s="97"/>
      <c r="J456" s="97"/>
      <c r="K456" s="97"/>
      <c r="L456" s="97"/>
      <c r="M456" s="97"/>
      <c r="N456" s="97"/>
      <c r="O456" s="97"/>
      <c r="P456" s="97"/>
      <c r="Q456" s="97"/>
      <c r="R456" s="97"/>
      <c r="S456" s="97"/>
      <c r="T456" s="97"/>
      <c r="U456" s="97"/>
      <c r="V456" s="25"/>
      <c r="W456" s="25"/>
      <c r="X456" s="25"/>
      <c r="Y456" s="25"/>
      <c r="Z456" s="25"/>
      <c r="AA456" s="25"/>
    </row>
    <row r="457" spans="1:27" x14ac:dyDescent="0.35">
      <c r="A457" s="97"/>
      <c r="B457" s="97"/>
      <c r="C457" s="97"/>
      <c r="D457" s="97"/>
      <c r="E457" s="97"/>
      <c r="F457" s="97"/>
      <c r="G457" s="97"/>
      <c r="H457" s="97"/>
      <c r="I457" s="97"/>
      <c r="J457" s="97"/>
      <c r="K457" s="97"/>
      <c r="L457" s="97"/>
      <c r="M457" s="97"/>
      <c r="N457" s="97"/>
      <c r="O457" s="97"/>
      <c r="P457" s="97"/>
      <c r="Q457" s="97"/>
      <c r="R457" s="97"/>
      <c r="S457" s="97"/>
      <c r="T457" s="97"/>
      <c r="U457" s="97"/>
      <c r="V457" s="25"/>
      <c r="W457" s="25"/>
      <c r="X457" s="25"/>
      <c r="Y457" s="25"/>
      <c r="Z457" s="25"/>
      <c r="AA457" s="25"/>
    </row>
    <row r="458" spans="1:27" x14ac:dyDescent="0.35">
      <c r="A458" s="97"/>
      <c r="B458" s="97"/>
      <c r="C458" s="97"/>
      <c r="D458" s="97"/>
      <c r="E458" s="97"/>
      <c r="F458" s="97"/>
      <c r="G458" s="97"/>
      <c r="H458" s="97"/>
      <c r="I458" s="97"/>
      <c r="J458" s="97"/>
      <c r="K458" s="97"/>
      <c r="L458" s="97"/>
      <c r="M458" s="97"/>
      <c r="N458" s="97"/>
      <c r="O458" s="97"/>
      <c r="P458" s="97"/>
      <c r="Q458" s="97"/>
      <c r="R458" s="97"/>
      <c r="S458" s="97"/>
      <c r="T458" s="97"/>
      <c r="U458" s="97"/>
      <c r="V458" s="25"/>
      <c r="W458" s="25"/>
      <c r="X458" s="25"/>
      <c r="Y458" s="25"/>
      <c r="Z458" s="25"/>
      <c r="AA458" s="25"/>
    </row>
    <row r="459" spans="1:27" x14ac:dyDescent="0.35">
      <c r="A459" s="97"/>
      <c r="B459" s="97"/>
      <c r="C459" s="97"/>
      <c r="D459" s="97"/>
      <c r="E459" s="97"/>
      <c r="F459" s="97"/>
      <c r="G459" s="97"/>
      <c r="H459" s="97"/>
      <c r="I459" s="97"/>
      <c r="J459" s="97"/>
      <c r="K459" s="97"/>
      <c r="L459" s="97"/>
      <c r="M459" s="97"/>
      <c r="N459" s="97"/>
      <c r="O459" s="97"/>
      <c r="P459" s="97"/>
      <c r="Q459" s="97"/>
      <c r="R459" s="97"/>
      <c r="S459" s="97"/>
      <c r="T459" s="97"/>
      <c r="U459" s="97"/>
      <c r="V459" s="25"/>
      <c r="W459" s="25"/>
      <c r="X459" s="25"/>
      <c r="Y459" s="25"/>
      <c r="Z459" s="25"/>
      <c r="AA459" s="25"/>
    </row>
    <row r="460" spans="1:27" x14ac:dyDescent="0.35">
      <c r="A460" s="97"/>
      <c r="B460" s="97"/>
      <c r="C460" s="97"/>
      <c r="D460" s="97"/>
      <c r="E460" s="97"/>
      <c r="F460" s="97"/>
      <c r="G460" s="97"/>
      <c r="H460" s="97"/>
      <c r="I460" s="97"/>
      <c r="J460" s="97"/>
      <c r="K460" s="97"/>
      <c r="L460" s="97"/>
      <c r="M460" s="97"/>
      <c r="N460" s="97"/>
      <c r="O460" s="97"/>
      <c r="P460" s="97"/>
      <c r="Q460" s="97"/>
      <c r="R460" s="97"/>
      <c r="S460" s="97"/>
      <c r="T460" s="97"/>
      <c r="U460" s="97"/>
      <c r="V460" s="25"/>
      <c r="W460" s="25"/>
      <c r="X460" s="25"/>
      <c r="Y460" s="25"/>
      <c r="Z460" s="25"/>
      <c r="AA460" s="25"/>
    </row>
    <row r="461" spans="1:27" x14ac:dyDescent="0.35">
      <c r="A461" s="97"/>
      <c r="B461" s="97"/>
      <c r="C461" s="97"/>
      <c r="D461" s="97"/>
      <c r="E461" s="97"/>
      <c r="F461" s="97"/>
      <c r="G461" s="97"/>
      <c r="H461" s="97"/>
      <c r="I461" s="97"/>
      <c r="J461" s="97"/>
      <c r="K461" s="97"/>
      <c r="L461" s="97"/>
      <c r="M461" s="97"/>
      <c r="N461" s="97"/>
      <c r="O461" s="97"/>
      <c r="P461" s="97"/>
      <c r="Q461" s="97"/>
      <c r="R461" s="97"/>
      <c r="S461" s="97"/>
      <c r="T461" s="97"/>
      <c r="U461" s="97"/>
      <c r="V461" s="25"/>
      <c r="W461" s="25"/>
      <c r="X461" s="25"/>
      <c r="Y461" s="25"/>
      <c r="Z461" s="25"/>
      <c r="AA461" s="25"/>
    </row>
    <row r="462" spans="1:27" x14ac:dyDescent="0.35">
      <c r="A462" s="97"/>
      <c r="B462" s="97"/>
      <c r="C462" s="97"/>
      <c r="D462" s="97"/>
      <c r="E462" s="97"/>
      <c r="F462" s="97"/>
      <c r="G462" s="97"/>
      <c r="H462" s="97"/>
      <c r="I462" s="97"/>
      <c r="J462" s="97"/>
      <c r="K462" s="97"/>
      <c r="L462" s="97"/>
      <c r="M462" s="97"/>
      <c r="N462" s="97"/>
      <c r="O462" s="97"/>
      <c r="P462" s="97"/>
      <c r="Q462" s="97"/>
      <c r="R462" s="97"/>
      <c r="S462" s="97"/>
      <c r="T462" s="97"/>
      <c r="U462" s="97"/>
      <c r="V462" s="25"/>
      <c r="W462" s="25"/>
      <c r="X462" s="25"/>
      <c r="Y462" s="25"/>
      <c r="Z462" s="25"/>
      <c r="AA462" s="25"/>
    </row>
    <row r="463" spans="1:27" x14ac:dyDescent="0.35">
      <c r="A463" s="97"/>
      <c r="B463" s="97"/>
      <c r="C463" s="97"/>
      <c r="D463" s="97"/>
      <c r="E463" s="97"/>
      <c r="F463" s="97"/>
      <c r="G463" s="97"/>
      <c r="H463" s="97"/>
      <c r="I463" s="97"/>
      <c r="J463" s="97"/>
      <c r="K463" s="97"/>
      <c r="L463" s="97"/>
      <c r="M463" s="97"/>
      <c r="N463" s="97"/>
      <c r="O463" s="97"/>
      <c r="P463" s="97"/>
      <c r="Q463" s="97"/>
      <c r="R463" s="97"/>
      <c r="S463" s="97"/>
      <c r="T463" s="97"/>
      <c r="U463" s="97"/>
      <c r="V463" s="25"/>
      <c r="W463" s="25"/>
      <c r="X463" s="25"/>
      <c r="Y463" s="25"/>
      <c r="Z463" s="25"/>
      <c r="AA463" s="25"/>
    </row>
    <row r="464" spans="1:27" x14ac:dyDescent="0.35">
      <c r="A464" s="97"/>
      <c r="B464" s="97"/>
      <c r="C464" s="97"/>
      <c r="D464" s="97"/>
      <c r="E464" s="97"/>
      <c r="F464" s="97"/>
      <c r="G464" s="97"/>
      <c r="H464" s="97"/>
      <c r="I464" s="97"/>
      <c r="J464" s="97"/>
      <c r="K464" s="97"/>
      <c r="L464" s="97"/>
      <c r="M464" s="97"/>
      <c r="N464" s="97"/>
      <c r="O464" s="97"/>
      <c r="P464" s="97"/>
      <c r="Q464" s="97"/>
      <c r="R464" s="97"/>
      <c r="S464" s="97"/>
      <c r="T464" s="97"/>
      <c r="U464" s="97"/>
      <c r="V464" s="25"/>
      <c r="W464" s="25"/>
      <c r="X464" s="25"/>
      <c r="Y464" s="25"/>
      <c r="Z464" s="25"/>
      <c r="AA464" s="25"/>
    </row>
    <row r="465" spans="1:27" x14ac:dyDescent="0.35">
      <c r="A465" s="97"/>
      <c r="B465" s="97"/>
      <c r="C465" s="97"/>
      <c r="D465" s="97"/>
      <c r="E465" s="97"/>
      <c r="F465" s="97"/>
      <c r="G465" s="97"/>
      <c r="H465" s="97"/>
      <c r="I465" s="97"/>
      <c r="J465" s="97"/>
      <c r="K465" s="97"/>
      <c r="L465" s="97"/>
      <c r="M465" s="97"/>
      <c r="N465" s="97"/>
      <c r="O465" s="97"/>
      <c r="P465" s="97"/>
      <c r="Q465" s="97"/>
      <c r="R465" s="97"/>
      <c r="S465" s="97"/>
      <c r="T465" s="97"/>
      <c r="U465" s="97"/>
      <c r="V465" s="25"/>
      <c r="W465" s="25"/>
      <c r="X465" s="25"/>
      <c r="Y465" s="25"/>
      <c r="Z465" s="25"/>
      <c r="AA465" s="25"/>
    </row>
    <row r="466" spans="1:27" x14ac:dyDescent="0.35">
      <c r="A466" s="97"/>
      <c r="B466" s="97"/>
      <c r="C466" s="97"/>
      <c r="D466" s="97"/>
      <c r="E466" s="97"/>
      <c r="F466" s="97"/>
      <c r="G466" s="97"/>
      <c r="H466" s="97"/>
      <c r="I466" s="97"/>
      <c r="J466" s="97"/>
      <c r="K466" s="97"/>
      <c r="L466" s="97"/>
      <c r="M466" s="97"/>
      <c r="N466" s="97"/>
      <c r="O466" s="97"/>
      <c r="P466" s="97"/>
      <c r="Q466" s="97"/>
      <c r="R466" s="97"/>
      <c r="S466" s="97"/>
      <c r="T466" s="97"/>
      <c r="U466" s="97"/>
      <c r="V466" s="25"/>
      <c r="W466" s="25"/>
      <c r="X466" s="25"/>
      <c r="Y466" s="25"/>
      <c r="Z466" s="25"/>
      <c r="AA466" s="25"/>
    </row>
    <row r="467" spans="1:27" x14ac:dyDescent="0.35">
      <c r="A467" s="97"/>
      <c r="B467" s="97"/>
      <c r="C467" s="97"/>
      <c r="D467" s="97"/>
      <c r="E467" s="97"/>
      <c r="F467" s="97"/>
      <c r="G467" s="97"/>
      <c r="H467" s="97"/>
      <c r="I467" s="97"/>
      <c r="J467" s="97"/>
      <c r="K467" s="97"/>
      <c r="L467" s="97"/>
      <c r="M467" s="97"/>
      <c r="N467" s="97"/>
      <c r="O467" s="97"/>
      <c r="P467" s="97"/>
      <c r="Q467" s="97"/>
      <c r="R467" s="97"/>
      <c r="S467" s="97"/>
      <c r="T467" s="97"/>
      <c r="U467" s="97"/>
      <c r="V467" s="25"/>
      <c r="W467" s="25"/>
      <c r="X467" s="25"/>
      <c r="Y467" s="25"/>
      <c r="Z467" s="25"/>
      <c r="AA467" s="25"/>
    </row>
    <row r="468" spans="1:27" x14ac:dyDescent="0.35">
      <c r="A468" s="97"/>
      <c r="B468" s="97"/>
      <c r="C468" s="97"/>
      <c r="D468" s="97"/>
      <c r="E468" s="97"/>
      <c r="F468" s="97"/>
      <c r="G468" s="97"/>
      <c r="H468" s="97"/>
      <c r="I468" s="97"/>
      <c r="J468" s="97"/>
      <c r="K468" s="97"/>
      <c r="L468" s="97"/>
      <c r="M468" s="97"/>
      <c r="N468" s="97"/>
      <c r="O468" s="97"/>
      <c r="P468" s="97"/>
      <c r="Q468" s="97"/>
      <c r="R468" s="97"/>
      <c r="S468" s="97"/>
      <c r="T468" s="97"/>
      <c r="U468" s="97"/>
      <c r="V468" s="25"/>
      <c r="W468" s="25"/>
      <c r="X468" s="25"/>
      <c r="Y468" s="25"/>
      <c r="Z468" s="25"/>
      <c r="AA468" s="25"/>
    </row>
    <row r="469" spans="1:27" x14ac:dyDescent="0.35">
      <c r="A469" s="97"/>
      <c r="B469" s="97"/>
      <c r="C469" s="97"/>
      <c r="D469" s="97"/>
      <c r="E469" s="97"/>
      <c r="F469" s="97"/>
      <c r="G469" s="97"/>
      <c r="H469" s="97"/>
      <c r="I469" s="97"/>
      <c r="J469" s="97"/>
      <c r="K469" s="97"/>
      <c r="L469" s="97"/>
      <c r="M469" s="97"/>
      <c r="N469" s="97"/>
      <c r="O469" s="97"/>
      <c r="P469" s="97"/>
      <c r="Q469" s="97"/>
      <c r="R469" s="97"/>
      <c r="S469" s="97"/>
      <c r="T469" s="97"/>
      <c r="U469" s="97"/>
      <c r="V469" s="25"/>
      <c r="W469" s="25"/>
      <c r="X469" s="25"/>
      <c r="Y469" s="25"/>
      <c r="Z469" s="25"/>
      <c r="AA469" s="25"/>
    </row>
    <row r="470" spans="1:27" x14ac:dyDescent="0.35">
      <c r="A470" s="97"/>
      <c r="B470" s="97"/>
      <c r="C470" s="97"/>
      <c r="D470" s="97"/>
      <c r="E470" s="97"/>
      <c r="F470" s="97"/>
      <c r="G470" s="97"/>
      <c r="H470" s="97"/>
      <c r="I470" s="97"/>
      <c r="J470" s="97"/>
      <c r="K470" s="97"/>
      <c r="L470" s="97"/>
      <c r="M470" s="97"/>
      <c r="N470" s="97"/>
      <c r="O470" s="97"/>
      <c r="P470" s="97"/>
      <c r="Q470" s="97"/>
      <c r="R470" s="97"/>
      <c r="S470" s="97"/>
      <c r="T470" s="97"/>
      <c r="U470" s="97"/>
      <c r="V470" s="25"/>
      <c r="W470" s="25"/>
      <c r="X470" s="25"/>
      <c r="Y470" s="25"/>
      <c r="Z470" s="25"/>
      <c r="AA470" s="25"/>
    </row>
    <row r="471" spans="1:27" x14ac:dyDescent="0.35">
      <c r="A471" s="97"/>
      <c r="B471" s="97"/>
      <c r="C471" s="97"/>
      <c r="D471" s="97"/>
      <c r="E471" s="97"/>
      <c r="F471" s="97"/>
      <c r="G471" s="97"/>
      <c r="H471" s="97"/>
      <c r="I471" s="97"/>
      <c r="J471" s="97"/>
      <c r="K471" s="97"/>
      <c r="L471" s="97"/>
      <c r="M471" s="97"/>
      <c r="N471" s="97"/>
      <c r="O471" s="97"/>
      <c r="P471" s="97"/>
      <c r="Q471" s="97"/>
      <c r="R471" s="97"/>
      <c r="S471" s="97"/>
      <c r="T471" s="97"/>
      <c r="U471" s="97"/>
      <c r="V471" s="25"/>
      <c r="W471" s="25"/>
      <c r="X471" s="25"/>
      <c r="Y471" s="25"/>
      <c r="Z471" s="25"/>
      <c r="AA471" s="25"/>
    </row>
    <row r="472" spans="1:27" x14ac:dyDescent="0.35">
      <c r="A472" s="97"/>
      <c r="B472" s="97"/>
      <c r="C472" s="97"/>
      <c r="D472" s="97"/>
      <c r="E472" s="97"/>
      <c r="F472" s="97"/>
      <c r="G472" s="97"/>
      <c r="H472" s="97"/>
      <c r="I472" s="97"/>
      <c r="J472" s="97"/>
      <c r="K472" s="97"/>
      <c r="L472" s="97"/>
      <c r="M472" s="97"/>
      <c r="N472" s="97"/>
      <c r="O472" s="97"/>
      <c r="P472" s="97"/>
      <c r="Q472" s="97"/>
      <c r="R472" s="97"/>
      <c r="S472" s="97"/>
      <c r="T472" s="97"/>
      <c r="U472" s="97"/>
      <c r="V472" s="25"/>
      <c r="W472" s="25"/>
      <c r="X472" s="25"/>
      <c r="Y472" s="25"/>
      <c r="Z472" s="25"/>
      <c r="AA472" s="25"/>
    </row>
    <row r="473" spans="1:27" x14ac:dyDescent="0.35">
      <c r="A473" s="97"/>
      <c r="B473" s="97"/>
      <c r="C473" s="97"/>
      <c r="D473" s="97"/>
      <c r="E473" s="97"/>
      <c r="F473" s="97"/>
      <c r="G473" s="97"/>
      <c r="H473" s="97"/>
      <c r="I473" s="97"/>
      <c r="J473" s="97"/>
      <c r="K473" s="97"/>
      <c r="L473" s="97"/>
      <c r="M473" s="97"/>
      <c r="N473" s="97"/>
      <c r="O473" s="97"/>
      <c r="P473" s="97"/>
      <c r="Q473" s="97"/>
      <c r="R473" s="97"/>
      <c r="S473" s="97"/>
      <c r="T473" s="97"/>
      <c r="U473" s="97"/>
      <c r="V473" s="25"/>
      <c r="W473" s="25"/>
      <c r="X473" s="25"/>
      <c r="Y473" s="25"/>
      <c r="Z473" s="25"/>
      <c r="AA473" s="25"/>
    </row>
    <row r="474" spans="1:27" x14ac:dyDescent="0.35">
      <c r="A474" s="97"/>
      <c r="B474" s="97"/>
      <c r="C474" s="97"/>
      <c r="D474" s="97"/>
      <c r="E474" s="97"/>
      <c r="F474" s="97"/>
      <c r="G474" s="97"/>
      <c r="H474" s="97"/>
      <c r="I474" s="97"/>
      <c r="J474" s="97"/>
      <c r="K474" s="97"/>
      <c r="L474" s="97"/>
      <c r="M474" s="97"/>
      <c r="N474" s="97"/>
      <c r="O474" s="97"/>
      <c r="P474" s="97"/>
      <c r="Q474" s="97"/>
      <c r="R474" s="97"/>
      <c r="S474" s="97"/>
      <c r="T474" s="97"/>
      <c r="U474" s="97"/>
      <c r="V474" s="25"/>
      <c r="W474" s="25"/>
      <c r="X474" s="25"/>
      <c r="Y474" s="25"/>
      <c r="Z474" s="25"/>
      <c r="AA474" s="25"/>
    </row>
    <row r="475" spans="1:27" x14ac:dyDescent="0.35">
      <c r="A475" s="97"/>
      <c r="B475" s="97"/>
      <c r="C475" s="97"/>
      <c r="D475" s="97"/>
      <c r="E475" s="97"/>
      <c r="F475" s="97"/>
      <c r="G475" s="97"/>
      <c r="H475" s="97"/>
      <c r="I475" s="97"/>
      <c r="J475" s="97"/>
      <c r="K475" s="97"/>
      <c r="L475" s="97"/>
      <c r="M475" s="97"/>
      <c r="N475" s="97"/>
      <c r="O475" s="97"/>
      <c r="P475" s="97"/>
      <c r="Q475" s="97"/>
      <c r="R475" s="97"/>
      <c r="S475" s="97"/>
      <c r="T475" s="97"/>
      <c r="U475" s="97"/>
      <c r="V475" s="25"/>
      <c r="W475" s="25"/>
      <c r="X475" s="25"/>
      <c r="Y475" s="25"/>
      <c r="Z475" s="25"/>
      <c r="AA475" s="25"/>
    </row>
    <row r="476" spans="1:27" x14ac:dyDescent="0.35">
      <c r="A476" s="97"/>
      <c r="B476" s="97"/>
      <c r="C476" s="97"/>
      <c r="D476" s="97"/>
      <c r="E476" s="97"/>
      <c r="F476" s="97"/>
      <c r="G476" s="97"/>
      <c r="H476" s="97"/>
      <c r="I476" s="97"/>
      <c r="J476" s="97"/>
      <c r="K476" s="97"/>
      <c r="L476" s="97"/>
      <c r="M476" s="97"/>
      <c r="N476" s="97"/>
      <c r="O476" s="97"/>
      <c r="P476" s="97"/>
      <c r="Q476" s="97"/>
      <c r="R476" s="97"/>
      <c r="S476" s="97"/>
      <c r="T476" s="97"/>
      <c r="U476" s="97"/>
      <c r="V476" s="25"/>
      <c r="W476" s="25"/>
      <c r="X476" s="25"/>
      <c r="Y476" s="25"/>
      <c r="Z476" s="25"/>
      <c r="AA476" s="25"/>
    </row>
    <row r="477" spans="1:27" x14ac:dyDescent="0.35">
      <c r="A477" s="97"/>
      <c r="B477" s="97"/>
      <c r="C477" s="97"/>
      <c r="D477" s="97"/>
      <c r="E477" s="97"/>
      <c r="F477" s="97"/>
      <c r="G477" s="97"/>
      <c r="H477" s="97"/>
      <c r="I477" s="97"/>
      <c r="J477" s="97"/>
      <c r="K477" s="97"/>
      <c r="L477" s="97"/>
      <c r="M477" s="97"/>
      <c r="N477" s="97"/>
      <c r="O477" s="97"/>
      <c r="P477" s="97"/>
      <c r="Q477" s="97"/>
      <c r="R477" s="97"/>
      <c r="S477" s="97"/>
      <c r="T477" s="97"/>
      <c r="U477" s="97"/>
      <c r="V477" s="25"/>
      <c r="W477" s="25"/>
      <c r="X477" s="25"/>
      <c r="Y477" s="25"/>
      <c r="Z477" s="25"/>
      <c r="AA477" s="25"/>
    </row>
    <row r="478" spans="1:27" x14ac:dyDescent="0.35">
      <c r="A478" s="97"/>
      <c r="B478" s="97"/>
      <c r="C478" s="97"/>
      <c r="D478" s="97"/>
      <c r="E478" s="97"/>
      <c r="F478" s="97"/>
      <c r="G478" s="97"/>
      <c r="H478" s="97"/>
      <c r="I478" s="97"/>
      <c r="J478" s="97"/>
      <c r="K478" s="97"/>
      <c r="L478" s="97"/>
      <c r="M478" s="97"/>
      <c r="N478" s="97"/>
      <c r="O478" s="97"/>
      <c r="P478" s="97"/>
      <c r="Q478" s="97"/>
      <c r="R478" s="97"/>
      <c r="S478" s="97"/>
      <c r="T478" s="97"/>
      <c r="U478" s="97"/>
      <c r="V478" s="25"/>
      <c r="W478" s="25"/>
      <c r="X478" s="25"/>
      <c r="Y478" s="25"/>
      <c r="Z478" s="25"/>
      <c r="AA478" s="25"/>
    </row>
    <row r="479" spans="1:27" x14ac:dyDescent="0.35">
      <c r="A479" s="97"/>
      <c r="B479" s="97"/>
      <c r="C479" s="97"/>
      <c r="D479" s="97"/>
      <c r="E479" s="97"/>
      <c r="F479" s="97"/>
      <c r="G479" s="97"/>
      <c r="H479" s="97"/>
      <c r="I479" s="97"/>
      <c r="J479" s="97"/>
      <c r="K479" s="97"/>
      <c r="L479" s="97"/>
      <c r="M479" s="97"/>
      <c r="N479" s="97"/>
      <c r="O479" s="97"/>
      <c r="P479" s="97"/>
      <c r="Q479" s="97"/>
      <c r="R479" s="97"/>
      <c r="S479" s="97"/>
      <c r="T479" s="97"/>
      <c r="U479" s="97"/>
      <c r="V479" s="25"/>
      <c r="W479" s="25"/>
      <c r="X479" s="25"/>
      <c r="Y479" s="25"/>
      <c r="Z479" s="25"/>
      <c r="AA479" s="25"/>
    </row>
    <row r="480" spans="1:27" x14ac:dyDescent="0.35">
      <c r="A480" s="97"/>
      <c r="B480" s="97"/>
      <c r="C480" s="97"/>
      <c r="D480" s="97"/>
      <c r="E480" s="97"/>
      <c r="F480" s="97"/>
      <c r="G480" s="97"/>
      <c r="H480" s="97"/>
      <c r="I480" s="97"/>
      <c r="J480" s="97"/>
      <c r="K480" s="97"/>
      <c r="L480" s="97"/>
      <c r="M480" s="97"/>
      <c r="N480" s="97"/>
      <c r="O480" s="97"/>
      <c r="P480" s="97"/>
      <c r="Q480" s="97"/>
      <c r="R480" s="97"/>
      <c r="S480" s="97"/>
      <c r="T480" s="97"/>
      <c r="U480" s="97"/>
      <c r="V480" s="25"/>
      <c r="W480" s="25"/>
      <c r="X480" s="25"/>
      <c r="Y480" s="25"/>
      <c r="Z480" s="25"/>
      <c r="AA480" s="25"/>
    </row>
    <row r="481" spans="1:27" x14ac:dyDescent="0.35">
      <c r="A481" s="97"/>
      <c r="B481" s="97"/>
      <c r="C481" s="97"/>
      <c r="D481" s="97"/>
      <c r="E481" s="97"/>
      <c r="F481" s="97"/>
      <c r="G481" s="97"/>
      <c r="H481" s="97"/>
      <c r="I481" s="97"/>
      <c r="J481" s="97"/>
      <c r="K481" s="97"/>
      <c r="L481" s="97"/>
      <c r="M481" s="97"/>
      <c r="N481" s="97"/>
      <c r="O481" s="97"/>
      <c r="P481" s="97"/>
      <c r="Q481" s="97"/>
      <c r="R481" s="97"/>
      <c r="S481" s="97"/>
      <c r="T481" s="97"/>
      <c r="U481" s="97"/>
      <c r="V481" s="25"/>
      <c r="W481" s="25"/>
      <c r="X481" s="25"/>
      <c r="Y481" s="25"/>
      <c r="Z481" s="25"/>
      <c r="AA481" s="25"/>
    </row>
    <row r="482" spans="1:27" x14ac:dyDescent="0.35">
      <c r="A482" s="97"/>
      <c r="B482" s="97"/>
      <c r="C482" s="97"/>
      <c r="D482" s="97"/>
      <c r="E482" s="97"/>
      <c r="F482" s="97"/>
      <c r="G482" s="97"/>
      <c r="H482" s="97"/>
      <c r="I482" s="97"/>
      <c r="J482" s="97"/>
      <c r="K482" s="97"/>
      <c r="L482" s="97"/>
      <c r="M482" s="97"/>
      <c r="N482" s="97"/>
      <c r="O482" s="97"/>
      <c r="P482" s="97"/>
      <c r="Q482" s="97"/>
      <c r="R482" s="97"/>
      <c r="S482" s="97"/>
      <c r="T482" s="97"/>
      <c r="U482" s="97"/>
      <c r="V482" s="25"/>
      <c r="W482" s="25"/>
      <c r="X482" s="25"/>
      <c r="Y482" s="25"/>
      <c r="Z482" s="25"/>
      <c r="AA482" s="25"/>
    </row>
    <row r="483" spans="1:27" x14ac:dyDescent="0.35">
      <c r="A483" s="97"/>
      <c r="B483" s="97"/>
      <c r="C483" s="97"/>
      <c r="D483" s="97"/>
      <c r="E483" s="97"/>
      <c r="F483" s="97"/>
      <c r="G483" s="97"/>
      <c r="H483" s="97"/>
      <c r="I483" s="97"/>
      <c r="J483" s="97"/>
      <c r="K483" s="97"/>
      <c r="L483" s="97"/>
      <c r="M483" s="97"/>
      <c r="N483" s="97"/>
      <c r="O483" s="97"/>
      <c r="P483" s="97"/>
      <c r="Q483" s="97"/>
      <c r="R483" s="97"/>
      <c r="S483" s="97"/>
      <c r="T483" s="97"/>
      <c r="U483" s="97"/>
      <c r="V483" s="25"/>
      <c r="W483" s="25"/>
      <c r="X483" s="25"/>
      <c r="Y483" s="25"/>
      <c r="Z483" s="25"/>
      <c r="AA483" s="25"/>
    </row>
    <row r="484" spans="1:27" x14ac:dyDescent="0.35">
      <c r="A484" s="97"/>
      <c r="B484" s="97"/>
      <c r="C484" s="97"/>
      <c r="D484" s="97"/>
      <c r="E484" s="97"/>
      <c r="F484" s="97"/>
      <c r="G484" s="97"/>
      <c r="H484" s="97"/>
      <c r="I484" s="97"/>
      <c r="J484" s="97"/>
      <c r="K484" s="97"/>
      <c r="L484" s="97"/>
      <c r="M484" s="97"/>
      <c r="N484" s="97"/>
      <c r="O484" s="97"/>
      <c r="P484" s="97"/>
      <c r="Q484" s="97"/>
      <c r="R484" s="97"/>
      <c r="S484" s="97"/>
      <c r="T484" s="97"/>
      <c r="U484" s="97"/>
      <c r="V484" s="25"/>
      <c r="W484" s="25"/>
      <c r="X484" s="25"/>
      <c r="Y484" s="25"/>
      <c r="Z484" s="25"/>
      <c r="AA484" s="25"/>
    </row>
    <row r="485" spans="1:27" x14ac:dyDescent="0.35">
      <c r="A485" s="97"/>
      <c r="B485" s="97"/>
      <c r="C485" s="97"/>
      <c r="D485" s="97"/>
      <c r="E485" s="97"/>
      <c r="F485" s="97"/>
      <c r="G485" s="97"/>
      <c r="H485" s="97"/>
      <c r="I485" s="97"/>
      <c r="J485" s="97"/>
      <c r="K485" s="97"/>
      <c r="L485" s="97"/>
      <c r="M485" s="97"/>
      <c r="N485" s="97"/>
      <c r="O485" s="97"/>
      <c r="P485" s="97"/>
      <c r="Q485" s="97"/>
      <c r="R485" s="97"/>
      <c r="S485" s="97"/>
      <c r="T485" s="97"/>
      <c r="U485" s="97"/>
      <c r="V485" s="25"/>
      <c r="W485" s="25"/>
      <c r="X485" s="25"/>
      <c r="Y485" s="25"/>
      <c r="Z485" s="25"/>
      <c r="AA485" s="25"/>
    </row>
    <row r="486" spans="1:27" x14ac:dyDescent="0.35">
      <c r="A486" s="97"/>
      <c r="B486" s="97"/>
      <c r="C486" s="97"/>
      <c r="D486" s="97"/>
      <c r="E486" s="97"/>
      <c r="F486" s="97"/>
      <c r="G486" s="97"/>
      <c r="H486" s="97"/>
      <c r="I486" s="97"/>
      <c r="J486" s="97"/>
      <c r="K486" s="97"/>
      <c r="L486" s="97"/>
      <c r="M486" s="97"/>
      <c r="N486" s="97"/>
      <c r="O486" s="97"/>
      <c r="P486" s="97"/>
      <c r="Q486" s="97"/>
      <c r="R486" s="97"/>
      <c r="S486" s="97"/>
      <c r="T486" s="97"/>
      <c r="U486" s="97"/>
      <c r="V486" s="25"/>
      <c r="W486" s="25"/>
      <c r="X486" s="25"/>
      <c r="Y486" s="25"/>
      <c r="Z486" s="25"/>
      <c r="AA486" s="25"/>
    </row>
    <row r="487" spans="1:27" x14ac:dyDescent="0.35">
      <c r="A487" s="97"/>
      <c r="B487" s="97"/>
      <c r="C487" s="97"/>
      <c r="D487" s="97"/>
      <c r="E487" s="97"/>
      <c r="F487" s="97"/>
      <c r="G487" s="97"/>
      <c r="H487" s="97"/>
      <c r="I487" s="97"/>
      <c r="J487" s="97"/>
      <c r="K487" s="97"/>
      <c r="L487" s="97"/>
      <c r="M487" s="97"/>
      <c r="N487" s="97"/>
      <c r="O487" s="97"/>
      <c r="P487" s="97"/>
      <c r="Q487" s="97"/>
      <c r="R487" s="97"/>
      <c r="S487" s="97"/>
      <c r="T487" s="97"/>
      <c r="U487" s="97"/>
      <c r="V487" s="25"/>
      <c r="W487" s="25"/>
      <c r="X487" s="25"/>
      <c r="Y487" s="25"/>
      <c r="Z487" s="25"/>
      <c r="AA487" s="25"/>
    </row>
    <row r="488" spans="1:27" x14ac:dyDescent="0.35">
      <c r="A488" s="97"/>
      <c r="B488" s="97"/>
      <c r="C488" s="97"/>
      <c r="D488" s="97"/>
      <c r="E488" s="97"/>
      <c r="F488" s="97"/>
      <c r="G488" s="97"/>
      <c r="H488" s="97"/>
      <c r="I488" s="97"/>
      <c r="J488" s="97"/>
      <c r="K488" s="97"/>
      <c r="L488" s="97"/>
      <c r="M488" s="97"/>
      <c r="N488" s="97"/>
      <c r="O488" s="97"/>
      <c r="P488" s="97"/>
      <c r="Q488" s="97"/>
      <c r="R488" s="97"/>
      <c r="S488" s="97"/>
      <c r="T488" s="97"/>
      <c r="U488" s="97"/>
      <c r="V488" s="25"/>
      <c r="W488" s="25"/>
      <c r="X488" s="25"/>
      <c r="Y488" s="25"/>
      <c r="Z488" s="25"/>
      <c r="AA488" s="25"/>
    </row>
    <row r="489" spans="1:27" x14ac:dyDescent="0.35">
      <c r="A489" s="97"/>
      <c r="B489" s="97"/>
      <c r="C489" s="97"/>
      <c r="D489" s="97"/>
      <c r="E489" s="97"/>
      <c r="F489" s="97"/>
      <c r="G489" s="97"/>
      <c r="H489" s="97"/>
      <c r="I489" s="97"/>
      <c r="J489" s="97"/>
      <c r="K489" s="97"/>
      <c r="L489" s="97"/>
      <c r="M489" s="97"/>
      <c r="N489" s="97"/>
      <c r="O489" s="97"/>
      <c r="P489" s="97"/>
      <c r="Q489" s="97"/>
      <c r="R489" s="97"/>
      <c r="S489" s="97"/>
      <c r="T489" s="97"/>
      <c r="U489" s="97"/>
      <c r="V489" s="25"/>
      <c r="W489" s="25"/>
      <c r="X489" s="25"/>
      <c r="Y489" s="25"/>
      <c r="Z489" s="25"/>
      <c r="AA489" s="25"/>
    </row>
    <row r="490" spans="1:27" x14ac:dyDescent="0.35">
      <c r="A490" s="97"/>
      <c r="B490" s="97"/>
      <c r="C490" s="97"/>
      <c r="D490" s="97"/>
      <c r="E490" s="97"/>
      <c r="F490" s="97"/>
      <c r="G490" s="97"/>
      <c r="H490" s="97"/>
      <c r="I490" s="97"/>
      <c r="J490" s="97"/>
      <c r="K490" s="97"/>
      <c r="L490" s="97"/>
      <c r="M490" s="97"/>
      <c r="N490" s="97"/>
      <c r="O490" s="97"/>
      <c r="P490" s="97"/>
      <c r="Q490" s="97"/>
      <c r="R490" s="97"/>
      <c r="S490" s="97"/>
      <c r="T490" s="97"/>
      <c r="U490" s="97"/>
      <c r="V490" s="25"/>
      <c r="W490" s="25"/>
      <c r="X490" s="25"/>
      <c r="Y490" s="25"/>
      <c r="Z490" s="25"/>
      <c r="AA490" s="25"/>
    </row>
    <row r="491" spans="1:27" x14ac:dyDescent="0.35">
      <c r="A491" s="97"/>
      <c r="B491" s="97"/>
      <c r="C491" s="97"/>
      <c r="D491" s="97"/>
      <c r="E491" s="97"/>
      <c r="F491" s="97"/>
      <c r="G491" s="97"/>
      <c r="H491" s="97"/>
      <c r="I491" s="97"/>
      <c r="J491" s="97"/>
      <c r="K491" s="97"/>
      <c r="L491" s="97"/>
      <c r="M491" s="97"/>
      <c r="N491" s="97"/>
      <c r="O491" s="97"/>
      <c r="P491" s="97"/>
      <c r="Q491" s="97"/>
      <c r="R491" s="97"/>
      <c r="S491" s="97"/>
      <c r="T491" s="97"/>
      <c r="U491" s="97"/>
      <c r="V491" s="25"/>
      <c r="W491" s="25"/>
      <c r="X491" s="25"/>
      <c r="Y491" s="25"/>
      <c r="Z491" s="25"/>
      <c r="AA491" s="25"/>
    </row>
    <row r="492" spans="1:27" x14ac:dyDescent="0.35">
      <c r="A492" s="97"/>
      <c r="B492" s="97"/>
      <c r="C492" s="97"/>
      <c r="D492" s="97"/>
      <c r="E492" s="97"/>
      <c r="F492" s="97"/>
      <c r="G492" s="97"/>
      <c r="H492" s="97"/>
      <c r="I492" s="97"/>
      <c r="J492" s="97"/>
      <c r="K492" s="97"/>
      <c r="L492" s="97"/>
      <c r="M492" s="97"/>
      <c r="N492" s="97"/>
      <c r="O492" s="97"/>
      <c r="P492" s="97"/>
      <c r="Q492" s="97"/>
      <c r="R492" s="97"/>
      <c r="S492" s="97"/>
      <c r="T492" s="97"/>
      <c r="U492" s="97"/>
      <c r="V492" s="25"/>
      <c r="W492" s="25"/>
      <c r="X492" s="25"/>
      <c r="Y492" s="25"/>
      <c r="Z492" s="25"/>
      <c r="AA492" s="25"/>
    </row>
    <row r="493" spans="1:27" x14ac:dyDescent="0.35">
      <c r="A493" s="97"/>
      <c r="B493" s="97"/>
      <c r="C493" s="97"/>
      <c r="D493" s="97"/>
      <c r="E493" s="97"/>
      <c r="F493" s="97"/>
      <c r="G493" s="97"/>
      <c r="H493" s="97"/>
      <c r="I493" s="97"/>
      <c r="J493" s="97"/>
      <c r="K493" s="97"/>
      <c r="L493" s="97"/>
      <c r="M493" s="97"/>
      <c r="N493" s="97"/>
      <c r="O493" s="97"/>
      <c r="P493" s="97"/>
      <c r="Q493" s="97"/>
      <c r="R493" s="97"/>
      <c r="S493" s="97"/>
      <c r="T493" s="97"/>
      <c r="U493" s="97"/>
      <c r="V493" s="25"/>
      <c r="W493" s="25"/>
      <c r="X493" s="25"/>
      <c r="Y493" s="25"/>
      <c r="Z493" s="25"/>
      <c r="AA493" s="25"/>
    </row>
    <row r="494" spans="1:27" x14ac:dyDescent="0.35">
      <c r="A494" s="97"/>
      <c r="B494" s="97"/>
      <c r="C494" s="97"/>
      <c r="D494" s="97"/>
      <c r="E494" s="97"/>
      <c r="F494" s="97"/>
      <c r="G494" s="97"/>
      <c r="H494" s="97"/>
      <c r="I494" s="97"/>
      <c r="J494" s="97"/>
      <c r="K494" s="97"/>
      <c r="L494" s="97"/>
      <c r="M494" s="97"/>
      <c r="N494" s="97"/>
      <c r="O494" s="97"/>
      <c r="P494" s="97"/>
      <c r="Q494" s="97"/>
      <c r="R494" s="97"/>
      <c r="S494" s="97"/>
      <c r="T494" s="97"/>
      <c r="U494" s="97"/>
      <c r="V494" s="25"/>
      <c r="W494" s="25"/>
      <c r="X494" s="25"/>
      <c r="Y494" s="25"/>
      <c r="Z494" s="25"/>
      <c r="AA494" s="25"/>
    </row>
    <row r="495" spans="1:27" x14ac:dyDescent="0.35">
      <c r="A495" s="97"/>
      <c r="B495" s="97"/>
      <c r="C495" s="97"/>
      <c r="D495" s="97"/>
      <c r="E495" s="97"/>
      <c r="F495" s="97"/>
      <c r="G495" s="97"/>
      <c r="H495" s="97"/>
      <c r="I495" s="97"/>
      <c r="J495" s="97"/>
      <c r="K495" s="97"/>
      <c r="L495" s="97"/>
      <c r="M495" s="97"/>
      <c r="N495" s="97"/>
      <c r="O495" s="97"/>
      <c r="P495" s="97"/>
      <c r="Q495" s="97"/>
      <c r="R495" s="97"/>
      <c r="S495" s="97"/>
      <c r="T495" s="97"/>
      <c r="U495" s="97"/>
      <c r="V495" s="25"/>
      <c r="W495" s="25"/>
      <c r="X495" s="25"/>
      <c r="Y495" s="25"/>
      <c r="Z495" s="25"/>
      <c r="AA495" s="25"/>
    </row>
    <row r="496" spans="1:27" x14ac:dyDescent="0.35">
      <c r="A496" s="97"/>
      <c r="B496" s="97"/>
      <c r="C496" s="97"/>
      <c r="D496" s="97"/>
      <c r="E496" s="97"/>
      <c r="F496" s="97"/>
      <c r="G496" s="97"/>
      <c r="H496" s="97"/>
      <c r="I496" s="97"/>
      <c r="J496" s="97"/>
      <c r="K496" s="97"/>
      <c r="L496" s="97"/>
      <c r="M496" s="97"/>
      <c r="N496" s="97"/>
      <c r="O496" s="97"/>
      <c r="P496" s="97"/>
      <c r="Q496" s="97"/>
      <c r="R496" s="97"/>
      <c r="S496" s="97"/>
      <c r="T496" s="97"/>
      <c r="U496" s="97"/>
      <c r="V496" s="25"/>
      <c r="W496" s="25"/>
      <c r="X496" s="25"/>
      <c r="Y496" s="25"/>
      <c r="Z496" s="25"/>
      <c r="AA496" s="25"/>
    </row>
    <row r="497" spans="1:27" x14ac:dyDescent="0.35">
      <c r="A497" s="97"/>
      <c r="B497" s="97"/>
      <c r="C497" s="97"/>
      <c r="D497" s="97"/>
      <c r="E497" s="97"/>
      <c r="F497" s="97"/>
      <c r="G497" s="97"/>
      <c r="H497" s="97"/>
      <c r="I497" s="97"/>
      <c r="J497" s="97"/>
      <c r="K497" s="97"/>
      <c r="L497" s="97"/>
      <c r="M497" s="97"/>
      <c r="N497" s="97"/>
      <c r="O497" s="97"/>
      <c r="P497" s="97"/>
      <c r="Q497" s="97"/>
      <c r="R497" s="97"/>
      <c r="S497" s="97"/>
      <c r="T497" s="97"/>
      <c r="U497" s="97"/>
      <c r="V497" s="25"/>
      <c r="W497" s="25"/>
      <c r="X497" s="25"/>
      <c r="Y497" s="25"/>
      <c r="Z497" s="25"/>
      <c r="AA497" s="25"/>
    </row>
    <row r="498" spans="1:27" x14ac:dyDescent="0.35">
      <c r="A498" s="97"/>
      <c r="B498" s="97"/>
      <c r="C498" s="97"/>
      <c r="D498" s="97"/>
      <c r="E498" s="97"/>
      <c r="F498" s="97"/>
      <c r="G498" s="97"/>
      <c r="H498" s="97"/>
      <c r="I498" s="97"/>
      <c r="J498" s="97"/>
      <c r="K498" s="97"/>
      <c r="L498" s="97"/>
      <c r="M498" s="97"/>
      <c r="N498" s="97"/>
      <c r="O498" s="97"/>
      <c r="P498" s="97"/>
      <c r="Q498" s="97"/>
      <c r="R498" s="97"/>
      <c r="S498" s="97"/>
      <c r="T498" s="97"/>
      <c r="U498" s="97"/>
      <c r="V498" s="25"/>
      <c r="W498" s="25"/>
      <c r="X498" s="25"/>
      <c r="Y498" s="25"/>
      <c r="Z498" s="25"/>
      <c r="AA498" s="25"/>
    </row>
    <row r="499" spans="1:27" x14ac:dyDescent="0.35">
      <c r="A499" s="97"/>
      <c r="B499" s="97"/>
      <c r="C499" s="97"/>
      <c r="D499" s="97"/>
      <c r="E499" s="97"/>
      <c r="F499" s="97"/>
      <c r="G499" s="97"/>
      <c r="H499" s="97"/>
      <c r="I499" s="97"/>
      <c r="J499" s="97"/>
      <c r="K499" s="97"/>
      <c r="L499" s="97"/>
      <c r="M499" s="97"/>
      <c r="N499" s="97"/>
      <c r="O499" s="97"/>
      <c r="P499" s="97"/>
      <c r="Q499" s="97"/>
      <c r="R499" s="97"/>
      <c r="S499" s="97"/>
      <c r="T499" s="97"/>
      <c r="U499" s="97"/>
      <c r="V499" s="25"/>
      <c r="W499" s="25"/>
      <c r="X499" s="25"/>
      <c r="Y499" s="25"/>
      <c r="Z499" s="25"/>
      <c r="AA499" s="25"/>
    </row>
    <row r="500" spans="1:27" x14ac:dyDescent="0.35">
      <c r="A500" s="97"/>
      <c r="B500" s="97"/>
      <c r="C500" s="97"/>
      <c r="D500" s="97"/>
      <c r="E500" s="97"/>
      <c r="F500" s="97"/>
      <c r="G500" s="97"/>
      <c r="H500" s="97"/>
      <c r="I500" s="97"/>
      <c r="J500" s="97"/>
      <c r="K500" s="97"/>
      <c r="L500" s="97"/>
      <c r="M500" s="97"/>
      <c r="N500" s="97"/>
      <c r="O500" s="97"/>
      <c r="P500" s="97"/>
      <c r="Q500" s="97"/>
      <c r="R500" s="97"/>
      <c r="S500" s="97"/>
      <c r="T500" s="97"/>
      <c r="U500" s="97"/>
      <c r="V500" s="25"/>
      <c r="W500" s="25"/>
      <c r="X500" s="25"/>
      <c r="Y500" s="25"/>
      <c r="Z500" s="25"/>
      <c r="AA500" s="25"/>
    </row>
    <row r="501" spans="1:27" x14ac:dyDescent="0.35">
      <c r="A501" s="97"/>
      <c r="B501" s="97"/>
      <c r="C501" s="97"/>
      <c r="D501" s="97"/>
      <c r="E501" s="97"/>
      <c r="F501" s="97"/>
      <c r="G501" s="97"/>
      <c r="H501" s="97"/>
      <c r="I501" s="97"/>
      <c r="J501" s="97"/>
      <c r="K501" s="97"/>
      <c r="L501" s="97"/>
      <c r="M501" s="97"/>
      <c r="N501" s="97"/>
      <c r="O501" s="97"/>
      <c r="P501" s="97"/>
      <c r="Q501" s="97"/>
      <c r="R501" s="97"/>
      <c r="S501" s="97"/>
      <c r="T501" s="97"/>
      <c r="U501" s="97"/>
      <c r="V501" s="25"/>
      <c r="W501" s="25"/>
      <c r="X501" s="25"/>
      <c r="Y501" s="25"/>
      <c r="Z501" s="25"/>
      <c r="AA501" s="25"/>
    </row>
    <row r="502" spans="1:27" x14ac:dyDescent="0.35">
      <c r="A502" s="97"/>
      <c r="B502" s="97"/>
      <c r="C502" s="97"/>
      <c r="D502" s="97"/>
      <c r="E502" s="97"/>
      <c r="F502" s="97"/>
      <c r="G502" s="97"/>
      <c r="H502" s="97"/>
      <c r="I502" s="97"/>
      <c r="J502" s="97"/>
      <c r="K502" s="97"/>
      <c r="L502" s="97"/>
      <c r="M502" s="97"/>
      <c r="N502" s="97"/>
      <c r="O502" s="97"/>
      <c r="P502" s="97"/>
      <c r="Q502" s="97"/>
      <c r="R502" s="97"/>
      <c r="S502" s="97"/>
      <c r="T502" s="97"/>
      <c r="U502" s="97"/>
      <c r="V502" s="25"/>
      <c r="W502" s="25"/>
      <c r="X502" s="25"/>
      <c r="Y502" s="25"/>
      <c r="Z502" s="25"/>
      <c r="AA502" s="25"/>
    </row>
    <row r="503" spans="1:27" x14ac:dyDescent="0.35">
      <c r="A503" s="97"/>
      <c r="B503" s="97"/>
      <c r="C503" s="97"/>
      <c r="D503" s="97"/>
      <c r="E503" s="97"/>
      <c r="F503" s="97"/>
      <c r="G503" s="97"/>
      <c r="H503" s="97"/>
      <c r="I503" s="97"/>
      <c r="J503" s="97"/>
      <c r="K503" s="97"/>
      <c r="L503" s="97"/>
      <c r="M503" s="97"/>
      <c r="N503" s="97"/>
      <c r="O503" s="97"/>
      <c r="P503" s="97"/>
      <c r="Q503" s="97"/>
      <c r="R503" s="97"/>
      <c r="S503" s="97"/>
      <c r="T503" s="97"/>
      <c r="U503" s="97"/>
      <c r="V503" s="25"/>
      <c r="W503" s="25"/>
      <c r="X503" s="25"/>
      <c r="Y503" s="25"/>
      <c r="Z503" s="25"/>
      <c r="AA503" s="25"/>
    </row>
    <row r="504" spans="1:27" x14ac:dyDescent="0.35">
      <c r="A504" s="97"/>
      <c r="B504" s="97"/>
      <c r="C504" s="97"/>
      <c r="D504" s="97"/>
      <c r="E504" s="97"/>
      <c r="F504" s="97"/>
      <c r="G504" s="97"/>
      <c r="H504" s="97"/>
      <c r="I504" s="97"/>
      <c r="J504" s="97"/>
      <c r="K504" s="97"/>
      <c r="L504" s="97"/>
      <c r="M504" s="97"/>
      <c r="N504" s="97"/>
      <c r="O504" s="97"/>
      <c r="P504" s="97"/>
      <c r="Q504" s="97"/>
      <c r="R504" s="97"/>
      <c r="S504" s="97"/>
      <c r="T504" s="97"/>
      <c r="U504" s="97"/>
      <c r="V504" s="25"/>
      <c r="W504" s="25"/>
      <c r="X504" s="25"/>
      <c r="Y504" s="25"/>
      <c r="Z504" s="25"/>
      <c r="AA504" s="25"/>
    </row>
    <row r="505" spans="1:27" x14ac:dyDescent="0.35">
      <c r="A505" s="97"/>
      <c r="B505" s="97"/>
      <c r="C505" s="97"/>
      <c r="D505" s="97"/>
      <c r="E505" s="97"/>
      <c r="F505" s="97"/>
      <c r="G505" s="97"/>
      <c r="H505" s="97"/>
      <c r="I505" s="97"/>
      <c r="J505" s="97"/>
      <c r="K505" s="97"/>
      <c r="L505" s="97"/>
      <c r="M505" s="97"/>
      <c r="N505" s="97"/>
      <c r="O505" s="97"/>
      <c r="P505" s="97"/>
      <c r="Q505" s="97"/>
      <c r="R505" s="97"/>
      <c r="S505" s="97"/>
      <c r="T505" s="97"/>
      <c r="U505" s="97"/>
      <c r="V505" s="25"/>
      <c r="W505" s="25"/>
      <c r="X505" s="25"/>
      <c r="Y505" s="25"/>
      <c r="Z505" s="25"/>
      <c r="AA505" s="25"/>
    </row>
    <row r="506" spans="1:27" x14ac:dyDescent="0.35">
      <c r="A506" s="97"/>
      <c r="B506" s="97"/>
      <c r="C506" s="97"/>
      <c r="D506" s="97"/>
      <c r="E506" s="97"/>
      <c r="F506" s="97"/>
      <c r="G506" s="97"/>
      <c r="H506" s="97"/>
      <c r="I506" s="97"/>
      <c r="J506" s="97"/>
      <c r="K506" s="97"/>
      <c r="L506" s="97"/>
      <c r="M506" s="97"/>
      <c r="N506" s="97"/>
      <c r="O506" s="97"/>
      <c r="P506" s="97"/>
      <c r="Q506" s="97"/>
      <c r="R506" s="97"/>
      <c r="S506" s="97"/>
      <c r="T506" s="97"/>
      <c r="U506" s="97"/>
      <c r="V506" s="25"/>
      <c r="W506" s="25"/>
      <c r="X506" s="25"/>
      <c r="Y506" s="25"/>
      <c r="Z506" s="25"/>
      <c r="AA506" s="25"/>
    </row>
    <row r="507" spans="1:27" x14ac:dyDescent="0.35">
      <c r="A507" s="97"/>
      <c r="B507" s="97"/>
      <c r="C507" s="97"/>
      <c r="D507" s="97"/>
      <c r="E507" s="97"/>
      <c r="F507" s="97"/>
      <c r="G507" s="97"/>
      <c r="H507" s="97"/>
      <c r="I507" s="97"/>
      <c r="J507" s="97"/>
      <c r="K507" s="97"/>
      <c r="L507" s="97"/>
      <c r="M507" s="97"/>
      <c r="N507" s="97"/>
      <c r="O507" s="97"/>
      <c r="P507" s="97"/>
      <c r="Q507" s="97"/>
      <c r="R507" s="97"/>
      <c r="S507" s="97"/>
      <c r="T507" s="97"/>
      <c r="U507" s="97"/>
      <c r="V507" s="25"/>
      <c r="W507" s="25"/>
      <c r="X507" s="25"/>
      <c r="Y507" s="25"/>
      <c r="Z507" s="25"/>
      <c r="AA507" s="25"/>
    </row>
    <row r="508" spans="1:27" x14ac:dyDescent="0.35">
      <c r="A508" s="97"/>
      <c r="B508" s="97"/>
      <c r="C508" s="97"/>
      <c r="D508" s="97"/>
      <c r="E508" s="97"/>
      <c r="F508" s="97"/>
      <c r="G508" s="97"/>
      <c r="H508" s="97"/>
      <c r="I508" s="97"/>
      <c r="J508" s="97"/>
      <c r="K508" s="97"/>
      <c r="L508" s="97"/>
      <c r="M508" s="97"/>
      <c r="N508" s="97"/>
      <c r="O508" s="97"/>
      <c r="P508" s="97"/>
      <c r="Q508" s="97"/>
      <c r="R508" s="97"/>
      <c r="S508" s="97"/>
      <c r="T508" s="97"/>
      <c r="U508" s="97"/>
      <c r="V508" s="25"/>
      <c r="W508" s="25"/>
      <c r="X508" s="25"/>
      <c r="Y508" s="25"/>
      <c r="Z508" s="25"/>
      <c r="AA508" s="25"/>
    </row>
    <row r="509" spans="1:27" x14ac:dyDescent="0.35">
      <c r="A509" s="97"/>
      <c r="B509" s="97"/>
      <c r="C509" s="97"/>
      <c r="D509" s="97"/>
      <c r="E509" s="97"/>
      <c r="F509" s="97"/>
      <c r="G509" s="97"/>
      <c r="H509" s="97"/>
      <c r="I509" s="97"/>
      <c r="J509" s="97"/>
      <c r="K509" s="97"/>
      <c r="L509" s="97"/>
      <c r="M509" s="97"/>
      <c r="N509" s="97"/>
      <c r="O509" s="97"/>
      <c r="P509" s="97"/>
      <c r="Q509" s="97"/>
      <c r="R509" s="97"/>
      <c r="S509" s="97"/>
      <c r="T509" s="97"/>
      <c r="U509" s="97"/>
      <c r="V509" s="25"/>
      <c r="W509" s="25"/>
      <c r="X509" s="25"/>
      <c r="Y509" s="25"/>
      <c r="Z509" s="25"/>
      <c r="AA509" s="25"/>
    </row>
    <row r="510" spans="1:27" x14ac:dyDescent="0.35">
      <c r="A510" s="97"/>
      <c r="B510" s="97"/>
      <c r="C510" s="97"/>
      <c r="D510" s="97"/>
      <c r="E510" s="97"/>
      <c r="F510" s="97"/>
      <c r="G510" s="97"/>
      <c r="H510" s="97"/>
      <c r="I510" s="97"/>
      <c r="J510" s="97"/>
      <c r="K510" s="97"/>
      <c r="L510" s="97"/>
      <c r="M510" s="97"/>
      <c r="N510" s="97"/>
      <c r="O510" s="97"/>
      <c r="P510" s="97"/>
      <c r="Q510" s="97"/>
      <c r="R510" s="97"/>
      <c r="S510" s="97"/>
      <c r="T510" s="97"/>
      <c r="U510" s="97"/>
      <c r="V510" s="25"/>
      <c r="W510" s="25"/>
      <c r="X510" s="25"/>
      <c r="Y510" s="25"/>
      <c r="Z510" s="25"/>
      <c r="AA510" s="25"/>
    </row>
    <row r="511" spans="1:27" x14ac:dyDescent="0.35">
      <c r="A511" s="97"/>
      <c r="B511" s="97"/>
      <c r="C511" s="97"/>
      <c r="D511" s="97"/>
      <c r="E511" s="97"/>
      <c r="F511" s="97"/>
      <c r="G511" s="97"/>
      <c r="H511" s="97"/>
      <c r="I511" s="97"/>
      <c r="J511" s="97"/>
      <c r="K511" s="97"/>
      <c r="L511" s="97"/>
      <c r="M511" s="97"/>
      <c r="N511" s="97"/>
      <c r="O511" s="97"/>
      <c r="P511" s="97"/>
      <c r="Q511" s="97"/>
      <c r="R511" s="97"/>
      <c r="S511" s="97"/>
      <c r="T511" s="97"/>
      <c r="U511" s="97"/>
      <c r="V511" s="25"/>
      <c r="W511" s="25"/>
      <c r="X511" s="25"/>
      <c r="Y511" s="25"/>
      <c r="Z511" s="25"/>
      <c r="AA511" s="25"/>
    </row>
    <row r="512" spans="1:27" x14ac:dyDescent="0.35">
      <c r="A512" s="97"/>
      <c r="B512" s="97"/>
      <c r="C512" s="97"/>
      <c r="D512" s="97"/>
      <c r="E512" s="97"/>
      <c r="F512" s="97"/>
      <c r="G512" s="97"/>
      <c r="H512" s="97"/>
      <c r="I512" s="97"/>
      <c r="J512" s="97"/>
      <c r="K512" s="97"/>
      <c r="L512" s="97"/>
      <c r="M512" s="97"/>
      <c r="N512" s="97"/>
      <c r="O512" s="97"/>
      <c r="P512" s="97"/>
      <c r="Q512" s="97"/>
      <c r="R512" s="97"/>
      <c r="S512" s="97"/>
      <c r="T512" s="97"/>
      <c r="U512" s="97"/>
      <c r="V512" s="25"/>
      <c r="W512" s="25"/>
      <c r="X512" s="25"/>
      <c r="Y512" s="25"/>
      <c r="Z512" s="25"/>
      <c r="AA512" s="25"/>
    </row>
    <row r="513" spans="1:27" x14ac:dyDescent="0.35">
      <c r="A513" s="97"/>
      <c r="B513" s="97"/>
      <c r="C513" s="97"/>
      <c r="D513" s="97"/>
      <c r="E513" s="97"/>
      <c r="F513" s="97"/>
      <c r="G513" s="97"/>
      <c r="H513" s="97"/>
      <c r="I513" s="97"/>
      <c r="J513" s="97"/>
      <c r="K513" s="97"/>
      <c r="L513" s="97"/>
      <c r="M513" s="97"/>
      <c r="N513" s="97"/>
      <c r="O513" s="97"/>
      <c r="P513" s="97"/>
      <c r="Q513" s="97"/>
      <c r="R513" s="97"/>
      <c r="S513" s="97"/>
      <c r="T513" s="97"/>
      <c r="U513" s="97"/>
      <c r="V513" s="25"/>
      <c r="W513" s="25"/>
      <c r="X513" s="25"/>
      <c r="Y513" s="25"/>
      <c r="Z513" s="25"/>
      <c r="AA513" s="25"/>
    </row>
    <row r="514" spans="1:27" x14ac:dyDescent="0.35">
      <c r="A514" s="97"/>
      <c r="B514" s="97"/>
      <c r="C514" s="97"/>
      <c r="D514" s="97"/>
      <c r="E514" s="97"/>
      <c r="F514" s="97"/>
      <c r="G514" s="97"/>
      <c r="H514" s="97"/>
      <c r="I514" s="97"/>
      <c r="J514" s="97"/>
      <c r="K514" s="97"/>
      <c r="L514" s="97"/>
      <c r="M514" s="97"/>
      <c r="N514" s="97"/>
      <c r="O514" s="97"/>
      <c r="P514" s="97"/>
      <c r="Q514" s="97"/>
      <c r="R514" s="97"/>
      <c r="S514" s="97"/>
      <c r="T514" s="97"/>
      <c r="U514" s="97"/>
      <c r="V514" s="25"/>
      <c r="W514" s="25"/>
      <c r="X514" s="25"/>
      <c r="Y514" s="25"/>
      <c r="Z514" s="25"/>
      <c r="AA514" s="25"/>
    </row>
    <row r="515" spans="1:27" x14ac:dyDescent="0.35">
      <c r="A515" s="97"/>
      <c r="B515" s="97"/>
      <c r="C515" s="97"/>
      <c r="D515" s="97"/>
      <c r="E515" s="97"/>
      <c r="F515" s="97"/>
      <c r="G515" s="97"/>
      <c r="H515" s="97"/>
      <c r="I515" s="97"/>
      <c r="J515" s="97"/>
      <c r="K515" s="97"/>
      <c r="L515" s="97"/>
      <c r="M515" s="97"/>
      <c r="N515" s="97"/>
      <c r="O515" s="97"/>
      <c r="P515" s="97"/>
      <c r="Q515" s="97"/>
      <c r="R515" s="97"/>
      <c r="S515" s="97"/>
      <c r="T515" s="97"/>
      <c r="U515" s="97"/>
      <c r="V515" s="25"/>
      <c r="W515" s="25"/>
      <c r="X515" s="25"/>
      <c r="Y515" s="25"/>
      <c r="Z515" s="25"/>
      <c r="AA515" s="25"/>
    </row>
    <row r="516" spans="1:27" x14ac:dyDescent="0.35">
      <c r="A516" s="97"/>
      <c r="B516" s="97"/>
      <c r="C516" s="97"/>
      <c r="D516" s="97"/>
      <c r="E516" s="97"/>
      <c r="F516" s="97"/>
      <c r="G516" s="97"/>
      <c r="H516" s="97"/>
      <c r="I516" s="97"/>
      <c r="J516" s="97"/>
      <c r="K516" s="97"/>
      <c r="L516" s="97"/>
      <c r="M516" s="97"/>
      <c r="N516" s="97"/>
      <c r="O516" s="97"/>
      <c r="P516" s="97"/>
      <c r="Q516" s="97"/>
      <c r="R516" s="97"/>
      <c r="S516" s="97"/>
      <c r="T516" s="97"/>
      <c r="U516" s="97"/>
      <c r="V516" s="25"/>
      <c r="W516" s="25"/>
      <c r="X516" s="25"/>
      <c r="Y516" s="25"/>
      <c r="Z516" s="25"/>
      <c r="AA516" s="25"/>
    </row>
    <row r="517" spans="1:27" x14ac:dyDescent="0.35">
      <c r="A517" s="97"/>
      <c r="B517" s="97"/>
      <c r="C517" s="97"/>
      <c r="D517" s="97"/>
      <c r="E517" s="97"/>
      <c r="F517" s="97"/>
      <c r="G517" s="97"/>
      <c r="H517" s="97"/>
      <c r="I517" s="97"/>
      <c r="J517" s="97"/>
      <c r="K517" s="97"/>
      <c r="L517" s="97"/>
      <c r="M517" s="97"/>
      <c r="N517" s="97"/>
      <c r="O517" s="97"/>
      <c r="P517" s="97"/>
      <c r="Q517" s="97"/>
      <c r="R517" s="97"/>
      <c r="S517" s="97"/>
      <c r="T517" s="97"/>
      <c r="U517" s="97"/>
      <c r="V517" s="25"/>
      <c r="W517" s="25"/>
      <c r="X517" s="25"/>
      <c r="Y517" s="25"/>
      <c r="Z517" s="25"/>
      <c r="AA517" s="25"/>
    </row>
    <row r="518" spans="1:27" x14ac:dyDescent="0.35">
      <c r="A518" s="97"/>
      <c r="B518" s="97"/>
      <c r="C518" s="97"/>
      <c r="D518" s="97"/>
      <c r="E518" s="97"/>
      <c r="F518" s="97"/>
      <c r="G518" s="97"/>
      <c r="H518" s="97"/>
      <c r="I518" s="97"/>
      <c r="J518" s="97"/>
      <c r="K518" s="97"/>
      <c r="L518" s="97"/>
      <c r="M518" s="97"/>
      <c r="N518" s="97"/>
      <c r="O518" s="97"/>
      <c r="P518" s="97"/>
      <c r="Q518" s="97"/>
      <c r="R518" s="97"/>
      <c r="S518" s="97"/>
      <c r="T518" s="97"/>
      <c r="U518" s="97"/>
      <c r="V518" s="25"/>
      <c r="W518" s="25"/>
      <c r="X518" s="25"/>
      <c r="Y518" s="25"/>
      <c r="Z518" s="25"/>
      <c r="AA518" s="25"/>
    </row>
    <row r="519" spans="1:27" x14ac:dyDescent="0.35">
      <c r="A519" s="97"/>
      <c r="B519" s="97"/>
      <c r="C519" s="97"/>
      <c r="D519" s="97"/>
      <c r="E519" s="97"/>
      <c r="F519" s="97"/>
      <c r="G519" s="97"/>
      <c r="H519" s="97"/>
      <c r="I519" s="97"/>
      <c r="J519" s="97"/>
      <c r="K519" s="97"/>
      <c r="L519" s="97"/>
      <c r="M519" s="97"/>
      <c r="N519" s="97"/>
      <c r="O519" s="97"/>
      <c r="P519" s="97"/>
      <c r="Q519" s="97"/>
      <c r="R519" s="97"/>
      <c r="S519" s="97"/>
      <c r="T519" s="97"/>
      <c r="U519" s="97"/>
      <c r="V519" s="25"/>
      <c r="W519" s="25"/>
      <c r="X519" s="25"/>
      <c r="Y519" s="25"/>
      <c r="Z519" s="25"/>
      <c r="AA519" s="25"/>
    </row>
    <row r="520" spans="1:27" x14ac:dyDescent="0.35">
      <c r="A520" s="97"/>
      <c r="B520" s="97"/>
      <c r="C520" s="97"/>
      <c r="D520" s="97"/>
      <c r="E520" s="97"/>
      <c r="F520" s="97"/>
      <c r="G520" s="97"/>
      <c r="H520" s="97"/>
      <c r="I520" s="97"/>
      <c r="J520" s="97"/>
      <c r="K520" s="97"/>
      <c r="L520" s="97"/>
      <c r="M520" s="97"/>
      <c r="N520" s="97"/>
      <c r="O520" s="97"/>
      <c r="P520" s="97"/>
      <c r="Q520" s="97"/>
      <c r="R520" s="97"/>
      <c r="S520" s="97"/>
      <c r="T520" s="97"/>
      <c r="U520" s="97"/>
      <c r="V520" s="25"/>
      <c r="W520" s="25"/>
      <c r="X520" s="25"/>
      <c r="Y520" s="25"/>
      <c r="Z520" s="25"/>
      <c r="AA520" s="25"/>
    </row>
    <row r="521" spans="1:27" x14ac:dyDescent="0.35">
      <c r="A521" s="97"/>
      <c r="B521" s="97"/>
      <c r="C521" s="97"/>
      <c r="D521" s="97"/>
      <c r="E521" s="97"/>
      <c r="F521" s="97"/>
      <c r="G521" s="97"/>
      <c r="H521" s="97"/>
      <c r="I521" s="97"/>
      <c r="J521" s="97"/>
      <c r="K521" s="97"/>
      <c r="L521" s="97"/>
      <c r="M521" s="97"/>
      <c r="N521" s="97"/>
      <c r="O521" s="97"/>
      <c r="P521" s="97"/>
      <c r="Q521" s="97"/>
      <c r="R521" s="97"/>
      <c r="S521" s="97"/>
      <c r="T521" s="97"/>
      <c r="U521" s="97"/>
      <c r="V521" s="25"/>
      <c r="W521" s="25"/>
      <c r="X521" s="25"/>
      <c r="Y521" s="25"/>
      <c r="Z521" s="25"/>
      <c r="AA521" s="25"/>
    </row>
    <row r="522" spans="1:27" x14ac:dyDescent="0.35">
      <c r="A522" s="97"/>
      <c r="B522" s="97"/>
      <c r="C522" s="97"/>
      <c r="D522" s="97"/>
      <c r="E522" s="97"/>
      <c r="F522" s="97"/>
      <c r="G522" s="97"/>
      <c r="H522" s="97"/>
      <c r="I522" s="97"/>
      <c r="J522" s="97"/>
      <c r="K522" s="97"/>
      <c r="L522" s="97"/>
      <c r="M522" s="97"/>
      <c r="N522" s="97"/>
      <c r="O522" s="97"/>
      <c r="P522" s="97"/>
      <c r="Q522" s="97"/>
      <c r="R522" s="97"/>
      <c r="S522" s="97"/>
      <c r="T522" s="97"/>
      <c r="U522" s="97"/>
      <c r="V522" s="25"/>
      <c r="W522" s="25"/>
      <c r="X522" s="25"/>
      <c r="Y522" s="25"/>
      <c r="Z522" s="25"/>
      <c r="AA522" s="25"/>
    </row>
    <row r="523" spans="1:27" x14ac:dyDescent="0.35">
      <c r="A523" s="97"/>
      <c r="B523" s="97"/>
      <c r="C523" s="97"/>
      <c r="D523" s="97"/>
      <c r="E523" s="97"/>
      <c r="F523" s="97"/>
      <c r="G523" s="97"/>
      <c r="H523" s="97"/>
      <c r="I523" s="97"/>
      <c r="J523" s="97"/>
      <c r="K523" s="97"/>
      <c r="L523" s="97"/>
      <c r="M523" s="97"/>
      <c r="N523" s="97"/>
      <c r="O523" s="97"/>
      <c r="P523" s="97"/>
      <c r="Q523" s="97"/>
      <c r="R523" s="97"/>
      <c r="S523" s="97"/>
      <c r="T523" s="97"/>
      <c r="U523" s="97"/>
      <c r="V523" s="25"/>
      <c r="W523" s="25"/>
      <c r="X523" s="25"/>
      <c r="Y523" s="25"/>
      <c r="Z523" s="25"/>
      <c r="AA523" s="25"/>
    </row>
    <row r="524" spans="1:27" x14ac:dyDescent="0.35">
      <c r="A524" s="97"/>
      <c r="B524" s="97"/>
      <c r="C524" s="97"/>
      <c r="D524" s="97"/>
      <c r="E524" s="97"/>
      <c r="F524" s="97"/>
      <c r="G524" s="97"/>
      <c r="H524" s="97"/>
      <c r="I524" s="97"/>
      <c r="J524" s="97"/>
      <c r="K524" s="97"/>
      <c r="L524" s="97"/>
      <c r="M524" s="97"/>
      <c r="N524" s="97"/>
      <c r="O524" s="97"/>
      <c r="P524" s="97"/>
      <c r="Q524" s="97"/>
      <c r="R524" s="97"/>
      <c r="S524" s="97"/>
      <c r="T524" s="97"/>
      <c r="U524" s="97"/>
      <c r="V524" s="25"/>
      <c r="W524" s="25"/>
      <c r="X524" s="25"/>
      <c r="Y524" s="25"/>
      <c r="Z524" s="25"/>
      <c r="AA524" s="25"/>
    </row>
    <row r="525" spans="1:27" x14ac:dyDescent="0.35">
      <c r="A525" s="97"/>
      <c r="B525" s="97"/>
      <c r="C525" s="97"/>
      <c r="D525" s="97"/>
      <c r="E525" s="97"/>
      <c r="F525" s="97"/>
      <c r="G525" s="97"/>
      <c r="H525" s="97"/>
      <c r="I525" s="97"/>
      <c r="J525" s="97"/>
      <c r="K525" s="97"/>
      <c r="L525" s="97"/>
      <c r="M525" s="97"/>
      <c r="N525" s="97"/>
      <c r="O525" s="97"/>
      <c r="P525" s="97"/>
      <c r="Q525" s="97"/>
      <c r="R525" s="97"/>
      <c r="S525" s="97"/>
      <c r="T525" s="97"/>
      <c r="U525" s="97"/>
      <c r="V525" s="25"/>
      <c r="W525" s="25"/>
      <c r="X525" s="25"/>
      <c r="Y525" s="25"/>
      <c r="Z525" s="25"/>
      <c r="AA525" s="25"/>
    </row>
    <row r="526" spans="1:27" x14ac:dyDescent="0.35">
      <c r="A526" s="97"/>
      <c r="B526" s="97"/>
      <c r="C526" s="97"/>
      <c r="D526" s="97"/>
      <c r="E526" s="97"/>
      <c r="F526" s="97"/>
      <c r="G526" s="97"/>
      <c r="H526" s="97"/>
      <c r="I526" s="97"/>
      <c r="J526" s="97"/>
      <c r="K526" s="97"/>
      <c r="L526" s="97"/>
      <c r="M526" s="97"/>
      <c r="N526" s="97"/>
      <c r="O526" s="97"/>
      <c r="P526" s="97"/>
      <c r="Q526" s="97"/>
      <c r="R526" s="97"/>
      <c r="S526" s="97"/>
      <c r="T526" s="97"/>
      <c r="U526" s="97"/>
      <c r="V526" s="25"/>
      <c r="W526" s="25"/>
      <c r="X526" s="25"/>
      <c r="Y526" s="25"/>
      <c r="Z526" s="25"/>
      <c r="AA526" s="25"/>
    </row>
    <row r="527" spans="1:27" x14ac:dyDescent="0.35">
      <c r="A527" s="97"/>
      <c r="B527" s="97"/>
      <c r="C527" s="97"/>
      <c r="D527" s="97"/>
      <c r="E527" s="97"/>
      <c r="F527" s="97"/>
      <c r="G527" s="97"/>
      <c r="H527" s="97"/>
      <c r="I527" s="97"/>
      <c r="J527" s="97"/>
      <c r="K527" s="97"/>
      <c r="L527" s="97"/>
      <c r="M527" s="97"/>
      <c r="N527" s="97"/>
      <c r="O527" s="97"/>
      <c r="P527" s="97"/>
      <c r="Q527" s="97"/>
      <c r="R527" s="97"/>
      <c r="S527" s="97"/>
      <c r="T527" s="97"/>
      <c r="U527" s="97"/>
      <c r="V527" s="25"/>
      <c r="W527" s="25"/>
      <c r="X527" s="25"/>
      <c r="Y527" s="25"/>
      <c r="Z527" s="25"/>
      <c r="AA527" s="25"/>
    </row>
    <row r="528" spans="1:27" x14ac:dyDescent="0.35">
      <c r="A528" s="97"/>
      <c r="B528" s="97"/>
      <c r="C528" s="97"/>
      <c r="D528" s="97"/>
      <c r="E528" s="97"/>
      <c r="F528" s="97"/>
      <c r="G528" s="97"/>
      <c r="H528" s="97"/>
      <c r="I528" s="97"/>
      <c r="J528" s="97"/>
      <c r="K528" s="97"/>
      <c r="L528" s="97"/>
      <c r="M528" s="97"/>
      <c r="N528" s="97"/>
      <c r="O528" s="97"/>
      <c r="P528" s="97"/>
      <c r="Q528" s="97"/>
      <c r="R528" s="97"/>
      <c r="S528" s="97"/>
      <c r="T528" s="97"/>
      <c r="U528" s="97"/>
      <c r="V528" s="25"/>
      <c r="W528" s="25"/>
      <c r="X528" s="25"/>
      <c r="Y528" s="25"/>
      <c r="Z528" s="25"/>
      <c r="AA528" s="25"/>
    </row>
    <row r="529" spans="1:27" x14ac:dyDescent="0.35">
      <c r="A529" s="97"/>
      <c r="B529" s="97"/>
      <c r="C529" s="97"/>
      <c r="D529" s="97"/>
      <c r="E529" s="97"/>
      <c r="F529" s="97"/>
      <c r="G529" s="97"/>
      <c r="H529" s="97"/>
      <c r="I529" s="97"/>
      <c r="J529" s="97"/>
      <c r="K529" s="97"/>
      <c r="L529" s="97"/>
      <c r="M529" s="97"/>
      <c r="N529" s="97"/>
      <c r="O529" s="97"/>
      <c r="P529" s="97"/>
      <c r="Q529" s="97"/>
      <c r="R529" s="97"/>
      <c r="S529" s="97"/>
      <c r="T529" s="97"/>
      <c r="U529" s="97"/>
      <c r="V529" s="25"/>
      <c r="W529" s="25"/>
      <c r="X529" s="25"/>
      <c r="Y529" s="25"/>
      <c r="Z529" s="25"/>
      <c r="AA529" s="25"/>
    </row>
    <row r="530" spans="1:27" x14ac:dyDescent="0.35">
      <c r="A530" s="97"/>
      <c r="B530" s="97"/>
      <c r="C530" s="97"/>
      <c r="D530" s="97"/>
      <c r="E530" s="97"/>
      <c r="F530" s="97"/>
      <c r="G530" s="97"/>
      <c r="H530" s="97"/>
      <c r="I530" s="97"/>
      <c r="J530" s="97"/>
      <c r="K530" s="97"/>
      <c r="L530" s="97"/>
      <c r="M530" s="97"/>
      <c r="N530" s="97"/>
      <c r="O530" s="97"/>
      <c r="P530" s="97"/>
      <c r="Q530" s="97"/>
      <c r="R530" s="97"/>
      <c r="S530" s="97"/>
      <c r="T530" s="97"/>
      <c r="U530" s="97"/>
      <c r="V530" s="25"/>
      <c r="W530" s="25"/>
      <c r="X530" s="25"/>
      <c r="Y530" s="25"/>
      <c r="Z530" s="25"/>
      <c r="AA530" s="25"/>
    </row>
    <row r="531" spans="1:27" x14ac:dyDescent="0.35">
      <c r="A531" s="97"/>
      <c r="B531" s="97"/>
      <c r="C531" s="97"/>
      <c r="D531" s="97"/>
      <c r="E531" s="97"/>
      <c r="F531" s="97"/>
      <c r="G531" s="97"/>
      <c r="H531" s="97"/>
      <c r="I531" s="97"/>
      <c r="J531" s="97"/>
      <c r="K531" s="97"/>
      <c r="L531" s="97"/>
      <c r="M531" s="97"/>
      <c r="N531" s="97"/>
      <c r="O531" s="97"/>
      <c r="P531" s="97"/>
      <c r="Q531" s="97"/>
      <c r="R531" s="97"/>
      <c r="S531" s="97"/>
      <c r="T531" s="97"/>
      <c r="U531" s="97"/>
      <c r="V531" s="25"/>
      <c r="W531" s="25"/>
      <c r="X531" s="25"/>
      <c r="Y531" s="25"/>
      <c r="Z531" s="25"/>
      <c r="AA531" s="25"/>
    </row>
    <row r="532" spans="1:27" x14ac:dyDescent="0.35">
      <c r="A532" s="97"/>
      <c r="B532" s="97"/>
      <c r="C532" s="97"/>
      <c r="D532" s="97"/>
      <c r="E532" s="97"/>
      <c r="F532" s="97"/>
      <c r="G532" s="97"/>
      <c r="H532" s="97"/>
      <c r="I532" s="97"/>
      <c r="J532" s="97"/>
      <c r="K532" s="97"/>
      <c r="L532" s="97"/>
      <c r="M532" s="97"/>
      <c r="N532" s="97"/>
      <c r="O532" s="97"/>
      <c r="P532" s="97"/>
      <c r="Q532" s="97"/>
      <c r="R532" s="97"/>
      <c r="S532" s="97"/>
      <c r="T532" s="97"/>
      <c r="U532" s="97"/>
      <c r="V532" s="25"/>
      <c r="W532" s="25"/>
      <c r="X532" s="25"/>
      <c r="Y532" s="25"/>
      <c r="Z532" s="25"/>
      <c r="AA532" s="25"/>
    </row>
    <row r="533" spans="1:27" x14ac:dyDescent="0.35">
      <c r="A533" s="97"/>
      <c r="B533" s="97"/>
      <c r="C533" s="97"/>
      <c r="D533" s="97"/>
      <c r="E533" s="97"/>
      <c r="F533" s="97"/>
      <c r="G533" s="97"/>
      <c r="H533" s="97"/>
      <c r="I533" s="97"/>
      <c r="J533" s="97"/>
      <c r="K533" s="97"/>
      <c r="L533" s="97"/>
      <c r="M533" s="97"/>
      <c r="N533" s="97"/>
      <c r="O533" s="97"/>
      <c r="P533" s="97"/>
      <c r="Q533" s="97"/>
      <c r="R533" s="97"/>
      <c r="S533" s="97"/>
      <c r="T533" s="97"/>
      <c r="U533" s="97"/>
      <c r="V533" s="25"/>
      <c r="W533" s="25"/>
      <c r="X533" s="25"/>
      <c r="Y533" s="25"/>
      <c r="Z533" s="25"/>
      <c r="AA533" s="25"/>
    </row>
    <row r="534" spans="1:27" x14ac:dyDescent="0.35">
      <c r="A534" s="97"/>
      <c r="B534" s="97"/>
      <c r="C534" s="97"/>
      <c r="D534" s="97"/>
      <c r="E534" s="97"/>
      <c r="F534" s="97"/>
      <c r="G534" s="97"/>
      <c r="H534" s="97"/>
      <c r="I534" s="97"/>
      <c r="J534" s="97"/>
      <c r="K534" s="97"/>
      <c r="L534" s="97"/>
      <c r="M534" s="97"/>
      <c r="N534" s="97"/>
      <c r="O534" s="97"/>
      <c r="P534" s="97"/>
      <c r="Q534" s="97"/>
      <c r="R534" s="97"/>
      <c r="S534" s="97"/>
      <c r="T534" s="97"/>
      <c r="U534" s="97"/>
      <c r="V534" s="25"/>
      <c r="W534" s="25"/>
      <c r="X534" s="25"/>
      <c r="Y534" s="25"/>
      <c r="Z534" s="25"/>
      <c r="AA534" s="25"/>
    </row>
    <row r="535" spans="1:27" x14ac:dyDescent="0.35">
      <c r="A535" s="97"/>
      <c r="B535" s="97"/>
      <c r="C535" s="97"/>
      <c r="D535" s="97"/>
      <c r="E535" s="97"/>
      <c r="F535" s="97"/>
      <c r="G535" s="97"/>
      <c r="H535" s="97"/>
      <c r="I535" s="97"/>
      <c r="J535" s="97"/>
      <c r="K535" s="97"/>
      <c r="L535" s="97"/>
      <c r="M535" s="97"/>
      <c r="N535" s="97"/>
      <c r="O535" s="97"/>
      <c r="P535" s="97"/>
      <c r="Q535" s="97"/>
      <c r="R535" s="97"/>
      <c r="S535" s="97"/>
      <c r="T535" s="97"/>
      <c r="U535" s="97"/>
      <c r="V535" s="25"/>
      <c r="W535" s="25"/>
      <c r="X535" s="25"/>
      <c r="Y535" s="25"/>
      <c r="Z535" s="25"/>
      <c r="AA535" s="25"/>
    </row>
    <row r="536" spans="1:27" x14ac:dyDescent="0.35">
      <c r="A536" s="97"/>
      <c r="B536" s="97"/>
      <c r="C536" s="97"/>
      <c r="D536" s="97"/>
      <c r="E536" s="97"/>
      <c r="F536" s="97"/>
      <c r="G536" s="97"/>
      <c r="H536" s="97"/>
      <c r="I536" s="97"/>
      <c r="J536" s="97"/>
      <c r="K536" s="97"/>
      <c r="L536" s="97"/>
      <c r="M536" s="97"/>
      <c r="N536" s="97"/>
      <c r="O536" s="97"/>
      <c r="P536" s="97"/>
      <c r="Q536" s="97"/>
      <c r="R536" s="97"/>
      <c r="S536" s="97"/>
      <c r="T536" s="97"/>
      <c r="U536" s="97"/>
      <c r="V536" s="25"/>
      <c r="W536" s="25"/>
      <c r="X536" s="25"/>
      <c r="Y536" s="25"/>
      <c r="Z536" s="25"/>
      <c r="AA536" s="25"/>
    </row>
    <row r="537" spans="1:27" x14ac:dyDescent="0.35">
      <c r="A537" s="97"/>
      <c r="B537" s="97"/>
      <c r="C537" s="97"/>
      <c r="D537" s="97"/>
      <c r="E537" s="97"/>
      <c r="F537" s="97"/>
      <c r="G537" s="97"/>
      <c r="H537" s="97"/>
      <c r="I537" s="97"/>
      <c r="J537" s="97"/>
      <c r="K537" s="97"/>
      <c r="L537" s="97"/>
      <c r="M537" s="97"/>
      <c r="N537" s="97"/>
      <c r="O537" s="97"/>
      <c r="P537" s="97"/>
      <c r="Q537" s="97"/>
      <c r="R537" s="97"/>
      <c r="S537" s="97"/>
      <c r="T537" s="97"/>
      <c r="U537" s="97"/>
      <c r="V537" s="25"/>
      <c r="W537" s="25"/>
      <c r="X537" s="25"/>
      <c r="Y537" s="25"/>
      <c r="Z537" s="25"/>
      <c r="AA537" s="25"/>
    </row>
    <row r="538" spans="1:27" x14ac:dyDescent="0.35">
      <c r="A538" s="97"/>
      <c r="B538" s="97"/>
      <c r="C538" s="97"/>
      <c r="D538" s="97"/>
      <c r="E538" s="97"/>
      <c r="F538" s="97"/>
      <c r="G538" s="97"/>
      <c r="H538" s="97"/>
      <c r="I538" s="97"/>
      <c r="J538" s="97"/>
      <c r="K538" s="97"/>
      <c r="L538" s="97"/>
      <c r="M538" s="97"/>
      <c r="N538" s="97"/>
      <c r="O538" s="97"/>
      <c r="P538" s="97"/>
      <c r="Q538" s="97"/>
      <c r="R538" s="97"/>
      <c r="S538" s="97"/>
      <c r="T538" s="97"/>
      <c r="U538" s="97"/>
      <c r="V538" s="25"/>
      <c r="W538" s="25"/>
      <c r="X538" s="25"/>
      <c r="Y538" s="25"/>
      <c r="Z538" s="25"/>
      <c r="AA538" s="25"/>
    </row>
    <row r="539" spans="1:27" x14ac:dyDescent="0.35">
      <c r="A539" s="97"/>
      <c r="B539" s="97"/>
      <c r="C539" s="97"/>
      <c r="D539" s="97"/>
      <c r="E539" s="97"/>
      <c r="F539" s="97"/>
      <c r="G539" s="97"/>
      <c r="H539" s="97"/>
      <c r="I539" s="97"/>
      <c r="J539" s="97"/>
      <c r="K539" s="97"/>
      <c r="L539" s="97"/>
      <c r="M539" s="97"/>
      <c r="N539" s="97"/>
      <c r="O539" s="97"/>
      <c r="P539" s="97"/>
      <c r="Q539" s="97"/>
      <c r="R539" s="97"/>
      <c r="S539" s="97"/>
      <c r="T539" s="97"/>
      <c r="U539" s="97"/>
      <c r="V539" s="25"/>
      <c r="W539" s="25"/>
      <c r="X539" s="25"/>
      <c r="Y539" s="25"/>
      <c r="Z539" s="25"/>
      <c r="AA539" s="25"/>
    </row>
    <row r="540" spans="1:27" x14ac:dyDescent="0.35">
      <c r="A540" s="97"/>
      <c r="B540" s="97"/>
      <c r="C540" s="97"/>
      <c r="D540" s="97"/>
      <c r="E540" s="97"/>
      <c r="F540" s="97"/>
      <c r="G540" s="97"/>
      <c r="H540" s="97"/>
      <c r="I540" s="97"/>
      <c r="J540" s="97"/>
      <c r="K540" s="97"/>
      <c r="L540" s="97"/>
      <c r="M540" s="97"/>
      <c r="N540" s="97"/>
      <c r="O540" s="97"/>
      <c r="P540" s="97"/>
      <c r="Q540" s="97"/>
      <c r="R540" s="97"/>
      <c r="S540" s="97"/>
      <c r="T540" s="97"/>
      <c r="U540" s="97"/>
      <c r="V540" s="25"/>
      <c r="W540" s="25"/>
      <c r="X540" s="25"/>
      <c r="Y540" s="25"/>
      <c r="Z540" s="25"/>
      <c r="AA540" s="25"/>
    </row>
    <row r="541" spans="1:27" x14ac:dyDescent="0.35">
      <c r="A541" s="97"/>
      <c r="B541" s="97"/>
      <c r="C541" s="97"/>
      <c r="D541" s="97"/>
      <c r="E541" s="97"/>
      <c r="F541" s="97"/>
      <c r="G541" s="97"/>
      <c r="H541" s="97"/>
      <c r="I541" s="97"/>
      <c r="J541" s="97"/>
      <c r="K541" s="97"/>
      <c r="L541" s="97"/>
      <c r="M541" s="97"/>
      <c r="N541" s="97"/>
      <c r="O541" s="97"/>
      <c r="P541" s="97"/>
      <c r="Q541" s="97"/>
      <c r="R541" s="97"/>
      <c r="S541" s="97"/>
      <c r="T541" s="97"/>
      <c r="U541" s="97"/>
      <c r="V541" s="25"/>
      <c r="W541" s="25"/>
      <c r="X541" s="25"/>
      <c r="Y541" s="25"/>
      <c r="Z541" s="25"/>
      <c r="AA541" s="25"/>
    </row>
    <row r="542" spans="1:27" x14ac:dyDescent="0.35">
      <c r="A542" s="97"/>
      <c r="B542" s="97"/>
      <c r="C542" s="97"/>
      <c r="D542" s="97"/>
      <c r="E542" s="97"/>
      <c r="F542" s="97"/>
      <c r="G542" s="97"/>
      <c r="H542" s="97"/>
      <c r="I542" s="97"/>
      <c r="J542" s="97"/>
      <c r="K542" s="97"/>
      <c r="L542" s="97"/>
      <c r="M542" s="97"/>
      <c r="N542" s="97"/>
      <c r="O542" s="97"/>
      <c r="P542" s="97"/>
      <c r="Q542" s="97"/>
      <c r="R542" s="97"/>
      <c r="S542" s="97"/>
      <c r="T542" s="97"/>
      <c r="U542" s="97"/>
      <c r="V542" s="25"/>
      <c r="W542" s="25"/>
      <c r="X542" s="25"/>
      <c r="Y542" s="25"/>
      <c r="Z542" s="25"/>
      <c r="AA542" s="25"/>
    </row>
    <row r="543" spans="1:27" x14ac:dyDescent="0.35">
      <c r="A543" s="97"/>
      <c r="B543" s="97"/>
      <c r="C543" s="97"/>
      <c r="D543" s="97"/>
      <c r="E543" s="97"/>
      <c r="F543" s="97"/>
      <c r="G543" s="97"/>
      <c r="H543" s="97"/>
      <c r="I543" s="97"/>
      <c r="J543" s="97"/>
      <c r="K543" s="97"/>
      <c r="L543" s="97"/>
      <c r="M543" s="97"/>
      <c r="N543" s="97"/>
      <c r="O543" s="97"/>
      <c r="P543" s="97"/>
      <c r="Q543" s="97"/>
      <c r="R543" s="97"/>
      <c r="S543" s="97"/>
      <c r="T543" s="97"/>
      <c r="U543" s="97"/>
      <c r="V543" s="25"/>
      <c r="W543" s="25"/>
      <c r="X543" s="25"/>
      <c r="Y543" s="25"/>
      <c r="Z543" s="25"/>
      <c r="AA543" s="25"/>
    </row>
    <row r="544" spans="1:27" x14ac:dyDescent="0.35">
      <c r="A544" s="97"/>
      <c r="B544" s="97"/>
      <c r="C544" s="97"/>
      <c r="D544" s="97"/>
      <c r="E544" s="97"/>
      <c r="F544" s="97"/>
      <c r="G544" s="97"/>
      <c r="H544" s="97"/>
      <c r="I544" s="97"/>
      <c r="J544" s="97"/>
      <c r="K544" s="97"/>
      <c r="L544" s="97"/>
      <c r="M544" s="97"/>
      <c r="N544" s="97"/>
      <c r="O544" s="97"/>
      <c r="P544" s="97"/>
      <c r="Q544" s="97"/>
      <c r="R544" s="97"/>
      <c r="S544" s="97"/>
      <c r="T544" s="97"/>
      <c r="U544" s="97"/>
      <c r="V544" s="25"/>
      <c r="W544" s="25"/>
      <c r="X544" s="25"/>
      <c r="Y544" s="25"/>
      <c r="Z544" s="25"/>
      <c r="AA544" s="25"/>
    </row>
    <row r="545" spans="1:27" x14ac:dyDescent="0.35">
      <c r="A545" s="97"/>
      <c r="B545" s="97"/>
      <c r="C545" s="97"/>
      <c r="D545" s="97"/>
      <c r="E545" s="97"/>
      <c r="F545" s="97"/>
      <c r="G545" s="97"/>
      <c r="H545" s="97"/>
      <c r="I545" s="97"/>
      <c r="J545" s="97"/>
      <c r="K545" s="97"/>
      <c r="L545" s="97"/>
      <c r="M545" s="97"/>
      <c r="N545" s="97"/>
      <c r="O545" s="97"/>
      <c r="P545" s="97"/>
      <c r="Q545" s="97"/>
      <c r="R545" s="97"/>
      <c r="S545" s="97"/>
      <c r="T545" s="97"/>
      <c r="U545" s="97"/>
      <c r="V545" s="25"/>
      <c r="W545" s="25"/>
      <c r="X545" s="25"/>
      <c r="Y545" s="25"/>
      <c r="Z545" s="25"/>
      <c r="AA545" s="25"/>
    </row>
    <row r="546" spans="1:27" x14ac:dyDescent="0.35">
      <c r="A546" s="97"/>
      <c r="B546" s="97"/>
      <c r="C546" s="97"/>
      <c r="D546" s="97"/>
      <c r="E546" s="97"/>
      <c r="F546" s="97"/>
      <c r="G546" s="97"/>
      <c r="H546" s="97"/>
      <c r="I546" s="97"/>
      <c r="J546" s="97"/>
      <c r="K546" s="97"/>
      <c r="L546" s="97"/>
      <c r="M546" s="97"/>
      <c r="N546" s="97"/>
      <c r="O546" s="97"/>
      <c r="P546" s="97"/>
      <c r="Q546" s="97"/>
      <c r="R546" s="97"/>
      <c r="S546" s="97"/>
      <c r="T546" s="97"/>
      <c r="U546" s="97"/>
      <c r="V546" s="25"/>
      <c r="W546" s="25"/>
      <c r="X546" s="25"/>
      <c r="Y546" s="25"/>
      <c r="Z546" s="25"/>
      <c r="AA546" s="25"/>
    </row>
    <row r="547" spans="1:27" x14ac:dyDescent="0.35">
      <c r="A547" s="97"/>
      <c r="B547" s="97"/>
      <c r="C547" s="97"/>
      <c r="D547" s="97"/>
      <c r="E547" s="97"/>
      <c r="F547" s="97"/>
      <c r="G547" s="97"/>
      <c r="H547" s="97"/>
      <c r="I547" s="97"/>
      <c r="J547" s="97"/>
      <c r="K547" s="97"/>
      <c r="L547" s="97"/>
      <c r="M547" s="97"/>
      <c r="N547" s="97"/>
      <c r="O547" s="97"/>
      <c r="P547" s="97"/>
      <c r="Q547" s="97"/>
      <c r="R547" s="97"/>
      <c r="S547" s="97"/>
      <c r="T547" s="97"/>
      <c r="U547" s="97"/>
      <c r="V547" s="25"/>
      <c r="W547" s="25"/>
      <c r="X547" s="25"/>
      <c r="Y547" s="25"/>
      <c r="Z547" s="25"/>
      <c r="AA547" s="25"/>
    </row>
    <row r="548" spans="1:27" x14ac:dyDescent="0.35">
      <c r="A548" s="97"/>
      <c r="B548" s="97"/>
      <c r="C548" s="97"/>
      <c r="D548" s="97"/>
      <c r="E548" s="97"/>
      <c r="F548" s="97"/>
      <c r="G548" s="97"/>
      <c r="H548" s="97"/>
      <c r="I548" s="97"/>
      <c r="J548" s="97"/>
      <c r="K548" s="97"/>
      <c r="L548" s="97"/>
      <c r="M548" s="97"/>
      <c r="N548" s="97"/>
      <c r="O548" s="97"/>
      <c r="P548" s="97"/>
      <c r="Q548" s="97"/>
      <c r="R548" s="97"/>
      <c r="S548" s="97"/>
      <c r="T548" s="97"/>
      <c r="U548" s="97"/>
      <c r="V548" s="25"/>
      <c r="W548" s="25"/>
      <c r="X548" s="25"/>
      <c r="Y548" s="25"/>
      <c r="Z548" s="25"/>
      <c r="AA548" s="25"/>
    </row>
    <row r="549" spans="1:27" x14ac:dyDescent="0.35">
      <c r="A549" s="97"/>
      <c r="B549" s="97"/>
      <c r="C549" s="97"/>
      <c r="D549" s="97"/>
      <c r="E549" s="97"/>
      <c r="F549" s="97"/>
      <c r="G549" s="97"/>
      <c r="H549" s="97"/>
      <c r="I549" s="97"/>
      <c r="J549" s="97"/>
      <c r="K549" s="97"/>
      <c r="L549" s="97"/>
      <c r="M549" s="97"/>
      <c r="N549" s="97"/>
      <c r="O549" s="97"/>
      <c r="P549" s="97"/>
      <c r="Q549" s="97"/>
      <c r="R549" s="97"/>
      <c r="S549" s="97"/>
      <c r="T549" s="97"/>
      <c r="U549" s="97"/>
      <c r="V549" s="25"/>
      <c r="W549" s="25"/>
      <c r="X549" s="25"/>
      <c r="Y549" s="25"/>
      <c r="Z549" s="25"/>
      <c r="AA549" s="25"/>
    </row>
    <row r="550" spans="1:27" x14ac:dyDescent="0.35">
      <c r="A550" s="97"/>
      <c r="B550" s="97"/>
      <c r="C550" s="97"/>
      <c r="D550" s="97"/>
      <c r="E550" s="97"/>
      <c r="F550" s="97"/>
      <c r="G550" s="97"/>
      <c r="H550" s="97"/>
      <c r="I550" s="97"/>
      <c r="J550" s="97"/>
      <c r="K550" s="97"/>
      <c r="L550" s="97"/>
      <c r="M550" s="97"/>
      <c r="N550" s="97"/>
      <c r="O550" s="97"/>
      <c r="P550" s="97"/>
      <c r="Q550" s="97"/>
      <c r="R550" s="97"/>
      <c r="S550" s="97"/>
      <c r="T550" s="97"/>
      <c r="U550" s="97"/>
      <c r="V550" s="25"/>
      <c r="W550" s="25"/>
      <c r="X550" s="25"/>
      <c r="Y550" s="25"/>
      <c r="Z550" s="25"/>
      <c r="AA550" s="25"/>
    </row>
    <row r="551" spans="1:27" x14ac:dyDescent="0.35">
      <c r="A551" s="97"/>
      <c r="B551" s="97"/>
      <c r="C551" s="97"/>
      <c r="D551" s="97"/>
      <c r="E551" s="97"/>
      <c r="F551" s="97"/>
      <c r="G551" s="97"/>
      <c r="H551" s="97"/>
      <c r="I551" s="97"/>
      <c r="J551" s="97"/>
      <c r="K551" s="97"/>
      <c r="L551" s="97"/>
      <c r="M551" s="97"/>
      <c r="N551" s="97"/>
      <c r="O551" s="97"/>
      <c r="P551" s="97"/>
      <c r="Q551" s="97"/>
      <c r="R551" s="97"/>
      <c r="S551" s="97"/>
      <c r="T551" s="97"/>
      <c r="U551" s="97"/>
      <c r="V551" s="25"/>
      <c r="W551" s="25"/>
      <c r="X551" s="25"/>
      <c r="Y551" s="25"/>
      <c r="Z551" s="25"/>
      <c r="AA551" s="25"/>
    </row>
    <row r="552" spans="1:27" x14ac:dyDescent="0.35">
      <c r="A552" s="97"/>
      <c r="B552" s="97"/>
      <c r="C552" s="97"/>
      <c r="D552" s="97"/>
      <c r="E552" s="97"/>
      <c r="F552" s="97"/>
      <c r="G552" s="97"/>
      <c r="H552" s="97"/>
      <c r="I552" s="97"/>
      <c r="J552" s="97"/>
      <c r="K552" s="97"/>
      <c r="L552" s="97"/>
      <c r="M552" s="97"/>
      <c r="N552" s="97"/>
      <c r="O552" s="97"/>
      <c r="P552" s="97"/>
      <c r="Q552" s="97"/>
      <c r="R552" s="97"/>
      <c r="S552" s="97"/>
      <c r="T552" s="97"/>
      <c r="U552" s="97"/>
      <c r="V552" s="25"/>
      <c r="W552" s="25"/>
      <c r="X552" s="25"/>
      <c r="Y552" s="25"/>
      <c r="Z552" s="25"/>
      <c r="AA552" s="25"/>
    </row>
    <row r="553" spans="1:27" x14ac:dyDescent="0.35">
      <c r="A553" s="97"/>
      <c r="B553" s="97"/>
      <c r="C553" s="97"/>
      <c r="D553" s="97"/>
      <c r="E553" s="97"/>
      <c r="F553" s="97"/>
      <c r="G553" s="97"/>
      <c r="H553" s="97"/>
      <c r="I553" s="97"/>
      <c r="J553" s="97"/>
      <c r="K553" s="97"/>
      <c r="L553" s="97"/>
      <c r="M553" s="97"/>
      <c r="N553" s="97"/>
      <c r="O553" s="97"/>
      <c r="P553" s="97"/>
      <c r="Q553" s="97"/>
      <c r="R553" s="97"/>
      <c r="S553" s="97"/>
      <c r="T553" s="97"/>
      <c r="U553" s="97"/>
      <c r="V553" s="25"/>
      <c r="W553" s="25"/>
      <c r="X553" s="25"/>
      <c r="Y553" s="25"/>
      <c r="Z553" s="25"/>
      <c r="AA553" s="25"/>
    </row>
    <row r="554" spans="1:27" x14ac:dyDescent="0.35">
      <c r="A554" s="97"/>
      <c r="B554" s="97"/>
      <c r="C554" s="97"/>
      <c r="D554" s="97"/>
      <c r="E554" s="97"/>
      <c r="F554" s="97"/>
      <c r="G554" s="97"/>
      <c r="H554" s="97"/>
      <c r="I554" s="97"/>
      <c r="J554" s="97"/>
      <c r="K554" s="97"/>
      <c r="L554" s="97"/>
      <c r="M554" s="97"/>
      <c r="N554" s="97"/>
      <c r="O554" s="97"/>
      <c r="P554" s="97"/>
      <c r="Q554" s="97"/>
      <c r="R554" s="97"/>
      <c r="S554" s="97"/>
      <c r="T554" s="97"/>
      <c r="U554" s="97"/>
      <c r="V554" s="25"/>
      <c r="W554" s="25"/>
      <c r="X554" s="25"/>
      <c r="Y554" s="25"/>
      <c r="Z554" s="25"/>
      <c r="AA554" s="25"/>
    </row>
    <row r="555" spans="1:27" x14ac:dyDescent="0.35">
      <c r="A555" s="97"/>
      <c r="B555" s="97"/>
      <c r="C555" s="97"/>
      <c r="D555" s="97"/>
      <c r="E555" s="97"/>
      <c r="F555" s="97"/>
      <c r="G555" s="97"/>
      <c r="H555" s="97"/>
      <c r="I555" s="97"/>
      <c r="J555" s="97"/>
      <c r="K555" s="97"/>
      <c r="L555" s="97"/>
      <c r="M555" s="97"/>
      <c r="N555" s="97"/>
      <c r="O555" s="97"/>
      <c r="P555" s="97"/>
      <c r="Q555" s="97"/>
      <c r="R555" s="97"/>
      <c r="S555" s="97"/>
      <c r="T555" s="97"/>
      <c r="U555" s="97"/>
      <c r="V555" s="25"/>
      <c r="W555" s="25"/>
      <c r="X555" s="25"/>
      <c r="Y555" s="25"/>
      <c r="Z555" s="25"/>
      <c r="AA555" s="25"/>
    </row>
    <row r="556" spans="1:27" x14ac:dyDescent="0.35">
      <c r="A556" s="97"/>
      <c r="B556" s="97"/>
      <c r="C556" s="97"/>
      <c r="D556" s="97"/>
      <c r="E556" s="97"/>
      <c r="F556" s="97"/>
      <c r="G556" s="97"/>
      <c r="H556" s="97"/>
      <c r="I556" s="97"/>
      <c r="J556" s="97"/>
      <c r="K556" s="97"/>
      <c r="L556" s="97"/>
      <c r="M556" s="97"/>
      <c r="N556" s="97"/>
      <c r="O556" s="97"/>
      <c r="P556" s="97"/>
      <c r="Q556" s="97"/>
      <c r="R556" s="97"/>
      <c r="S556" s="97"/>
      <c r="T556" s="97"/>
      <c r="U556" s="97"/>
      <c r="V556" s="25"/>
      <c r="W556" s="25"/>
      <c r="X556" s="25"/>
      <c r="Y556" s="25"/>
      <c r="Z556" s="25"/>
      <c r="AA556" s="25"/>
    </row>
    <row r="557" spans="1:27" x14ac:dyDescent="0.35">
      <c r="A557" s="97"/>
      <c r="B557" s="97"/>
      <c r="C557" s="97"/>
      <c r="D557" s="97"/>
      <c r="E557" s="97"/>
      <c r="F557" s="97"/>
      <c r="G557" s="97"/>
      <c r="H557" s="97"/>
      <c r="I557" s="97"/>
      <c r="J557" s="97"/>
      <c r="K557" s="97"/>
      <c r="L557" s="97"/>
      <c r="M557" s="97"/>
      <c r="N557" s="97"/>
      <c r="O557" s="97"/>
      <c r="P557" s="97"/>
      <c r="Q557" s="97"/>
      <c r="R557" s="97"/>
      <c r="S557" s="97"/>
      <c r="T557" s="97"/>
      <c r="U557" s="97"/>
      <c r="V557" s="25"/>
      <c r="W557" s="25"/>
      <c r="X557" s="25"/>
      <c r="Y557" s="25"/>
      <c r="Z557" s="25"/>
      <c r="AA557" s="25"/>
    </row>
    <row r="558" spans="1:27" x14ac:dyDescent="0.35">
      <c r="A558" s="97"/>
      <c r="B558" s="97"/>
      <c r="C558" s="97"/>
      <c r="D558" s="97"/>
      <c r="E558" s="97"/>
      <c r="F558" s="97"/>
      <c r="G558" s="97"/>
      <c r="H558" s="97"/>
      <c r="I558" s="97"/>
      <c r="J558" s="97"/>
      <c r="K558" s="97"/>
      <c r="L558" s="97"/>
      <c r="M558" s="97"/>
      <c r="N558" s="97"/>
      <c r="O558" s="97"/>
      <c r="P558" s="97"/>
      <c r="Q558" s="97"/>
      <c r="R558" s="97"/>
      <c r="S558" s="97"/>
      <c r="T558" s="97"/>
      <c r="U558" s="97"/>
      <c r="V558" s="25"/>
      <c r="W558" s="25"/>
      <c r="X558" s="25"/>
      <c r="Y558" s="25"/>
      <c r="Z558" s="25"/>
      <c r="AA558" s="25"/>
    </row>
    <row r="559" spans="1:27" x14ac:dyDescent="0.35">
      <c r="A559" s="97"/>
      <c r="B559" s="97"/>
      <c r="C559" s="97"/>
      <c r="D559" s="97"/>
      <c r="E559" s="97"/>
      <c r="F559" s="97"/>
      <c r="G559" s="97"/>
      <c r="H559" s="97"/>
      <c r="I559" s="97"/>
      <c r="J559" s="97"/>
      <c r="K559" s="97"/>
      <c r="L559" s="97"/>
      <c r="M559" s="97"/>
      <c r="N559" s="97"/>
      <c r="O559" s="97"/>
      <c r="P559" s="97"/>
      <c r="Q559" s="97"/>
      <c r="R559" s="97"/>
      <c r="S559" s="97"/>
      <c r="T559" s="97"/>
      <c r="U559" s="97"/>
      <c r="V559" s="25"/>
      <c r="W559" s="25"/>
      <c r="X559" s="25"/>
      <c r="Y559" s="25"/>
      <c r="Z559" s="25"/>
      <c r="AA559" s="25"/>
    </row>
    <row r="560" spans="1:27" x14ac:dyDescent="0.35">
      <c r="A560" s="97"/>
      <c r="B560" s="97"/>
      <c r="C560" s="97"/>
      <c r="D560" s="97"/>
      <c r="E560" s="97"/>
      <c r="F560" s="97"/>
      <c r="G560" s="97"/>
      <c r="H560" s="97"/>
      <c r="I560" s="97"/>
      <c r="J560" s="97"/>
      <c r="K560" s="97"/>
      <c r="L560" s="97"/>
      <c r="M560" s="97"/>
      <c r="N560" s="97"/>
      <c r="O560" s="97"/>
      <c r="P560" s="97"/>
      <c r="Q560" s="97"/>
      <c r="R560" s="97"/>
      <c r="S560" s="97"/>
      <c r="T560" s="97"/>
      <c r="U560" s="97"/>
      <c r="V560" s="25"/>
      <c r="W560" s="25"/>
      <c r="X560" s="25"/>
      <c r="Y560" s="25"/>
      <c r="Z560" s="25"/>
      <c r="AA560" s="25"/>
    </row>
    <row r="561" spans="1:27" x14ac:dyDescent="0.35">
      <c r="A561" s="97"/>
      <c r="B561" s="97"/>
      <c r="C561" s="97"/>
      <c r="D561" s="97"/>
      <c r="E561" s="97"/>
      <c r="F561" s="97"/>
      <c r="G561" s="97"/>
      <c r="H561" s="97"/>
      <c r="I561" s="97"/>
      <c r="J561" s="97"/>
      <c r="K561" s="97"/>
      <c r="L561" s="97"/>
      <c r="M561" s="97"/>
      <c r="N561" s="97"/>
      <c r="O561" s="97"/>
      <c r="P561" s="97"/>
      <c r="Q561" s="97"/>
      <c r="R561" s="97"/>
      <c r="S561" s="97"/>
      <c r="T561" s="97"/>
      <c r="U561" s="97"/>
      <c r="V561" s="25"/>
      <c r="W561" s="25"/>
      <c r="X561" s="25"/>
      <c r="Y561" s="25"/>
      <c r="Z561" s="25"/>
      <c r="AA561" s="25"/>
    </row>
    <row r="562" spans="1:27" x14ac:dyDescent="0.35">
      <c r="A562" s="97"/>
      <c r="B562" s="97"/>
      <c r="C562" s="97"/>
      <c r="D562" s="97"/>
      <c r="E562" s="97"/>
      <c r="F562" s="97"/>
      <c r="G562" s="97"/>
      <c r="H562" s="97"/>
      <c r="I562" s="97"/>
      <c r="J562" s="97"/>
      <c r="K562" s="97"/>
      <c r="L562" s="97"/>
      <c r="M562" s="97"/>
      <c r="N562" s="97"/>
      <c r="O562" s="97"/>
      <c r="P562" s="97"/>
      <c r="Q562" s="97"/>
      <c r="R562" s="97"/>
      <c r="S562" s="97"/>
      <c r="T562" s="97"/>
      <c r="U562" s="97"/>
      <c r="V562" s="25"/>
      <c r="W562" s="25"/>
      <c r="X562" s="25"/>
      <c r="Y562" s="25"/>
      <c r="Z562" s="25"/>
      <c r="AA562" s="25"/>
    </row>
    <row r="563" spans="1:27" x14ac:dyDescent="0.35">
      <c r="A563" s="97"/>
      <c r="B563" s="97"/>
      <c r="C563" s="97"/>
      <c r="D563" s="97"/>
      <c r="E563" s="97"/>
      <c r="F563" s="97"/>
      <c r="G563" s="97"/>
      <c r="H563" s="97"/>
      <c r="I563" s="97"/>
      <c r="J563" s="97"/>
      <c r="K563" s="97"/>
      <c r="L563" s="97"/>
      <c r="M563" s="97"/>
      <c r="N563" s="97"/>
      <c r="O563" s="97"/>
      <c r="P563" s="97"/>
      <c r="Q563" s="97"/>
      <c r="R563" s="97"/>
      <c r="S563" s="97"/>
      <c r="T563" s="97"/>
      <c r="U563" s="97"/>
      <c r="V563" s="25"/>
      <c r="W563" s="25"/>
      <c r="X563" s="25"/>
      <c r="Y563" s="25"/>
      <c r="Z563" s="25"/>
      <c r="AA563" s="25"/>
    </row>
    <row r="564" spans="1:27" x14ac:dyDescent="0.35">
      <c r="A564" s="97"/>
      <c r="B564" s="97"/>
      <c r="C564" s="97"/>
      <c r="D564" s="97"/>
      <c r="E564" s="97"/>
      <c r="F564" s="97"/>
      <c r="G564" s="97"/>
      <c r="H564" s="97"/>
      <c r="I564" s="97"/>
      <c r="J564" s="97"/>
      <c r="K564" s="97"/>
      <c r="L564" s="97"/>
      <c r="M564" s="97"/>
      <c r="N564" s="97"/>
      <c r="O564" s="97"/>
      <c r="P564" s="97"/>
      <c r="Q564" s="97"/>
      <c r="R564" s="97"/>
      <c r="S564" s="97"/>
      <c r="T564" s="97"/>
      <c r="U564" s="97"/>
      <c r="V564" s="25"/>
      <c r="W564" s="25"/>
      <c r="X564" s="25"/>
      <c r="Y564" s="25"/>
      <c r="Z564" s="25"/>
      <c r="AA564" s="25"/>
    </row>
    <row r="565" spans="1:27" x14ac:dyDescent="0.35">
      <c r="A565" s="97"/>
      <c r="B565" s="97"/>
      <c r="C565" s="97"/>
      <c r="D565" s="97"/>
      <c r="E565" s="97"/>
      <c r="F565" s="97"/>
      <c r="G565" s="97"/>
      <c r="H565" s="97"/>
      <c r="I565" s="97"/>
      <c r="J565" s="97"/>
      <c r="K565" s="97"/>
      <c r="L565" s="97"/>
      <c r="M565" s="97"/>
      <c r="N565" s="97"/>
      <c r="O565" s="97"/>
      <c r="P565" s="97"/>
      <c r="Q565" s="97"/>
      <c r="R565" s="97"/>
      <c r="S565" s="97"/>
      <c r="T565" s="97"/>
      <c r="U565" s="97"/>
      <c r="V565" s="25"/>
      <c r="W565" s="25"/>
      <c r="X565" s="25"/>
      <c r="Y565" s="25"/>
      <c r="Z565" s="25"/>
      <c r="AA565" s="25"/>
    </row>
    <row r="566" spans="1:27" x14ac:dyDescent="0.35">
      <c r="A566" s="97"/>
      <c r="B566" s="97"/>
      <c r="C566" s="97"/>
      <c r="D566" s="97"/>
      <c r="E566" s="97"/>
      <c r="F566" s="97"/>
      <c r="G566" s="97"/>
      <c r="H566" s="97"/>
      <c r="I566" s="97"/>
      <c r="J566" s="97"/>
      <c r="K566" s="97"/>
      <c r="L566" s="97"/>
      <c r="M566" s="97"/>
      <c r="N566" s="97"/>
      <c r="O566" s="97"/>
      <c r="P566" s="97"/>
      <c r="Q566" s="97"/>
      <c r="R566" s="97"/>
      <c r="S566" s="97"/>
      <c r="T566" s="97"/>
      <c r="U566" s="97"/>
      <c r="V566" s="25"/>
      <c r="W566" s="25"/>
      <c r="X566" s="25"/>
      <c r="Y566" s="25"/>
      <c r="Z566" s="25"/>
      <c r="AA566" s="25"/>
    </row>
    <row r="567" spans="1:27" x14ac:dyDescent="0.35">
      <c r="A567" s="97"/>
      <c r="B567" s="97"/>
      <c r="C567" s="97"/>
      <c r="D567" s="97"/>
      <c r="E567" s="97"/>
      <c r="F567" s="97"/>
      <c r="G567" s="97"/>
      <c r="H567" s="97"/>
      <c r="I567" s="97"/>
      <c r="J567" s="97"/>
      <c r="K567" s="97"/>
      <c r="L567" s="97"/>
      <c r="M567" s="97"/>
      <c r="N567" s="97"/>
      <c r="O567" s="97"/>
      <c r="P567" s="97"/>
      <c r="Q567" s="97"/>
      <c r="R567" s="97"/>
      <c r="S567" s="97"/>
      <c r="T567" s="97"/>
      <c r="U567" s="97"/>
      <c r="V567" s="25"/>
      <c r="W567" s="25"/>
      <c r="X567" s="25"/>
      <c r="Y567" s="25"/>
      <c r="Z567" s="25"/>
      <c r="AA567" s="25"/>
    </row>
    <row r="568" spans="1:27" x14ac:dyDescent="0.35">
      <c r="A568" s="97"/>
      <c r="B568" s="97"/>
      <c r="C568" s="97"/>
      <c r="D568" s="97"/>
      <c r="E568" s="97"/>
      <c r="F568" s="97"/>
      <c r="G568" s="97"/>
      <c r="H568" s="97"/>
      <c r="I568" s="97"/>
      <c r="J568" s="97"/>
      <c r="K568" s="97"/>
      <c r="L568" s="97"/>
      <c r="M568" s="97"/>
      <c r="N568" s="97"/>
      <c r="O568" s="97"/>
      <c r="P568" s="97"/>
      <c r="Q568" s="97"/>
      <c r="R568" s="97"/>
      <c r="S568" s="97"/>
      <c r="T568" s="97"/>
      <c r="U568" s="97"/>
      <c r="V568" s="25"/>
      <c r="W568" s="25"/>
      <c r="X568" s="25"/>
      <c r="Y568" s="25"/>
      <c r="Z568" s="25"/>
      <c r="AA568" s="25"/>
    </row>
    <row r="569" spans="1:27" x14ac:dyDescent="0.35">
      <c r="A569" s="97"/>
      <c r="B569" s="97"/>
      <c r="C569" s="97"/>
      <c r="D569" s="97"/>
      <c r="E569" s="97"/>
      <c r="F569" s="97"/>
      <c r="G569" s="97"/>
      <c r="H569" s="97"/>
      <c r="I569" s="97"/>
      <c r="J569" s="97"/>
      <c r="K569" s="97"/>
      <c r="L569" s="97"/>
      <c r="M569" s="97"/>
      <c r="N569" s="97"/>
      <c r="O569" s="97"/>
      <c r="P569" s="97"/>
      <c r="Q569" s="97"/>
      <c r="R569" s="97"/>
      <c r="S569" s="97"/>
      <c r="T569" s="97"/>
      <c r="U569" s="97"/>
      <c r="V569" s="25"/>
      <c r="W569" s="25"/>
      <c r="X569" s="25"/>
      <c r="Y569" s="25"/>
      <c r="Z569" s="25"/>
      <c r="AA569" s="25"/>
    </row>
    <row r="570" spans="1:27" x14ac:dyDescent="0.35">
      <c r="A570" s="97"/>
      <c r="B570" s="97"/>
      <c r="C570" s="97"/>
      <c r="D570" s="97"/>
      <c r="E570" s="97"/>
      <c r="F570" s="97"/>
      <c r="G570" s="97"/>
      <c r="H570" s="97"/>
      <c r="I570" s="97"/>
      <c r="J570" s="97"/>
      <c r="K570" s="97"/>
      <c r="L570" s="97"/>
      <c r="M570" s="97"/>
      <c r="N570" s="97"/>
      <c r="O570" s="97"/>
      <c r="P570" s="97"/>
      <c r="Q570" s="97"/>
      <c r="R570" s="97"/>
      <c r="S570" s="97"/>
      <c r="T570" s="97"/>
      <c r="U570" s="97"/>
      <c r="V570" s="25"/>
      <c r="W570" s="25"/>
      <c r="X570" s="25"/>
      <c r="Y570" s="25"/>
      <c r="Z570" s="25"/>
      <c r="AA570" s="25"/>
    </row>
    <row r="571" spans="1:27" x14ac:dyDescent="0.35">
      <c r="A571" s="97"/>
      <c r="B571" s="97"/>
      <c r="C571" s="97"/>
      <c r="D571" s="97"/>
      <c r="E571" s="97"/>
      <c r="F571" s="97"/>
      <c r="G571" s="97"/>
      <c r="H571" s="97"/>
      <c r="I571" s="97"/>
      <c r="J571" s="97"/>
      <c r="K571" s="97"/>
      <c r="L571" s="97"/>
      <c r="M571" s="97"/>
      <c r="N571" s="97"/>
      <c r="O571" s="97"/>
      <c r="P571" s="97"/>
      <c r="Q571" s="97"/>
      <c r="R571" s="97"/>
      <c r="S571" s="97"/>
      <c r="T571" s="97"/>
      <c r="U571" s="97"/>
      <c r="V571" s="25"/>
      <c r="W571" s="25"/>
      <c r="X571" s="25"/>
      <c r="Y571" s="25"/>
      <c r="Z571" s="25"/>
      <c r="AA571" s="25"/>
    </row>
    <row r="572" spans="1:27" x14ac:dyDescent="0.35">
      <c r="A572" s="97"/>
      <c r="B572" s="97"/>
      <c r="C572" s="97"/>
      <c r="D572" s="97"/>
      <c r="E572" s="97"/>
      <c r="F572" s="97"/>
      <c r="G572" s="97"/>
      <c r="H572" s="97"/>
      <c r="I572" s="97"/>
      <c r="J572" s="97"/>
      <c r="K572" s="97"/>
      <c r="L572" s="97"/>
      <c r="M572" s="97"/>
      <c r="N572" s="97"/>
      <c r="O572" s="97"/>
      <c r="P572" s="97"/>
      <c r="Q572" s="97"/>
      <c r="R572" s="97"/>
      <c r="S572" s="97"/>
      <c r="T572" s="97"/>
      <c r="U572" s="97"/>
      <c r="V572" s="25"/>
      <c r="W572" s="25"/>
      <c r="X572" s="25"/>
      <c r="Y572" s="25"/>
      <c r="Z572" s="25"/>
      <c r="AA572" s="25"/>
    </row>
    <row r="573" spans="1:27" x14ac:dyDescent="0.35">
      <c r="A573" s="97"/>
      <c r="B573" s="97"/>
      <c r="C573" s="97"/>
      <c r="D573" s="97"/>
      <c r="E573" s="97"/>
      <c r="F573" s="97"/>
      <c r="G573" s="97"/>
      <c r="H573" s="97"/>
      <c r="I573" s="97"/>
      <c r="J573" s="97"/>
      <c r="K573" s="97"/>
      <c r="L573" s="97"/>
      <c r="M573" s="97"/>
      <c r="N573" s="97"/>
      <c r="O573" s="97"/>
      <c r="P573" s="97"/>
      <c r="Q573" s="97"/>
      <c r="R573" s="97"/>
      <c r="S573" s="97"/>
      <c r="T573" s="97"/>
      <c r="U573" s="97"/>
      <c r="V573" s="25"/>
      <c r="W573" s="25"/>
      <c r="X573" s="25"/>
      <c r="Y573" s="25"/>
      <c r="Z573" s="25"/>
      <c r="AA573" s="25"/>
    </row>
    <row r="574" spans="1:27" x14ac:dyDescent="0.35">
      <c r="A574" s="97"/>
      <c r="B574" s="97"/>
      <c r="C574" s="97"/>
      <c r="D574" s="97"/>
      <c r="E574" s="97"/>
      <c r="F574" s="97"/>
      <c r="G574" s="97"/>
      <c r="H574" s="97"/>
      <c r="I574" s="97"/>
      <c r="J574" s="97"/>
      <c r="K574" s="97"/>
      <c r="L574" s="97"/>
      <c r="M574" s="97"/>
      <c r="N574" s="97"/>
      <c r="O574" s="97"/>
      <c r="P574" s="97"/>
      <c r="Q574" s="97"/>
      <c r="R574" s="97"/>
      <c r="S574" s="97"/>
      <c r="T574" s="97"/>
      <c r="U574" s="97"/>
      <c r="V574" s="25"/>
      <c r="W574" s="25"/>
      <c r="X574" s="25"/>
      <c r="Y574" s="25"/>
      <c r="Z574" s="25"/>
      <c r="AA574" s="25"/>
    </row>
    <row r="575" spans="1:27" x14ac:dyDescent="0.35">
      <c r="A575" s="97"/>
      <c r="B575" s="97"/>
      <c r="C575" s="97"/>
      <c r="D575" s="97"/>
      <c r="E575" s="97"/>
      <c r="F575" s="97"/>
      <c r="G575" s="97"/>
      <c r="H575" s="97"/>
      <c r="I575" s="97"/>
      <c r="J575" s="97"/>
      <c r="K575" s="97"/>
      <c r="L575" s="97"/>
      <c r="M575" s="97"/>
      <c r="N575" s="97"/>
      <c r="O575" s="97"/>
      <c r="P575" s="97"/>
      <c r="Q575" s="97"/>
      <c r="R575" s="97"/>
      <c r="S575" s="97"/>
      <c r="T575" s="97"/>
      <c r="U575" s="97"/>
      <c r="V575" s="25"/>
      <c r="W575" s="25"/>
      <c r="X575" s="25"/>
      <c r="Y575" s="25"/>
      <c r="Z575" s="25"/>
      <c r="AA575" s="25"/>
    </row>
    <row r="576" spans="1:27" x14ac:dyDescent="0.35">
      <c r="A576" s="97"/>
      <c r="B576" s="97"/>
      <c r="C576" s="97"/>
      <c r="D576" s="97"/>
      <c r="E576" s="97"/>
      <c r="F576" s="97"/>
      <c r="G576" s="97"/>
      <c r="H576" s="97"/>
      <c r="I576" s="97"/>
      <c r="J576" s="97"/>
      <c r="K576" s="97"/>
      <c r="L576" s="97"/>
      <c r="M576" s="97"/>
      <c r="N576" s="97"/>
      <c r="O576" s="97"/>
      <c r="P576" s="97"/>
      <c r="Q576" s="97"/>
      <c r="R576" s="97"/>
      <c r="S576" s="97"/>
      <c r="T576" s="97"/>
      <c r="U576" s="97"/>
      <c r="V576" s="25"/>
      <c r="W576" s="25"/>
      <c r="X576" s="25"/>
      <c r="Y576" s="25"/>
      <c r="Z576" s="25"/>
      <c r="AA576" s="25"/>
    </row>
    <row r="577" spans="1:27" x14ac:dyDescent="0.35">
      <c r="A577" s="97"/>
      <c r="B577" s="97"/>
      <c r="C577" s="97"/>
      <c r="D577" s="97"/>
      <c r="E577" s="97"/>
      <c r="F577" s="97"/>
      <c r="G577" s="97"/>
      <c r="H577" s="97"/>
      <c r="I577" s="97"/>
      <c r="J577" s="97"/>
      <c r="K577" s="97"/>
      <c r="L577" s="97"/>
      <c r="M577" s="97"/>
      <c r="N577" s="97"/>
      <c r="O577" s="97"/>
      <c r="P577" s="97"/>
      <c r="Q577" s="97"/>
      <c r="R577" s="97"/>
      <c r="S577" s="97"/>
      <c r="T577" s="97"/>
      <c r="U577" s="97"/>
      <c r="V577" s="25"/>
      <c r="W577" s="25"/>
      <c r="X577" s="25"/>
      <c r="Y577" s="25"/>
      <c r="Z577" s="25"/>
      <c r="AA577" s="25"/>
    </row>
    <row r="578" spans="1:27" x14ac:dyDescent="0.35">
      <c r="A578" s="97"/>
      <c r="B578" s="97"/>
      <c r="C578" s="97"/>
      <c r="D578" s="97"/>
      <c r="E578" s="97"/>
      <c r="F578" s="97"/>
      <c r="G578" s="97"/>
      <c r="H578" s="97"/>
      <c r="I578" s="97"/>
      <c r="J578" s="97"/>
      <c r="K578" s="97"/>
      <c r="L578" s="97"/>
      <c r="M578" s="97"/>
      <c r="N578" s="97"/>
      <c r="O578" s="97"/>
      <c r="P578" s="97"/>
      <c r="Q578" s="97"/>
      <c r="R578" s="97"/>
      <c r="S578" s="97"/>
      <c r="T578" s="97"/>
      <c r="U578" s="97"/>
      <c r="V578" s="25"/>
      <c r="W578" s="25"/>
      <c r="X578" s="25"/>
      <c r="Y578" s="25"/>
      <c r="Z578" s="25"/>
      <c r="AA578" s="25"/>
    </row>
    <row r="579" spans="1:27" x14ac:dyDescent="0.35">
      <c r="A579" s="97"/>
      <c r="B579" s="97"/>
      <c r="C579" s="97"/>
      <c r="D579" s="97"/>
      <c r="E579" s="97"/>
      <c r="F579" s="97"/>
      <c r="G579" s="97"/>
      <c r="H579" s="97"/>
      <c r="I579" s="97"/>
      <c r="J579" s="97"/>
      <c r="K579" s="97"/>
      <c r="L579" s="97"/>
      <c r="M579" s="97"/>
      <c r="N579" s="97"/>
      <c r="O579" s="97"/>
      <c r="P579" s="97"/>
      <c r="Q579" s="97"/>
      <c r="R579" s="97"/>
      <c r="S579" s="97"/>
      <c r="T579" s="97"/>
      <c r="U579" s="97"/>
      <c r="V579" s="25"/>
      <c r="W579" s="25"/>
      <c r="X579" s="25"/>
      <c r="Y579" s="25"/>
      <c r="Z579" s="25"/>
      <c r="AA579" s="25"/>
    </row>
    <row r="580" spans="1:27" x14ac:dyDescent="0.35">
      <c r="A580" s="97"/>
      <c r="B580" s="97"/>
      <c r="C580" s="97"/>
      <c r="D580" s="97"/>
      <c r="E580" s="97"/>
      <c r="F580" s="97"/>
      <c r="G580" s="97"/>
      <c r="H580" s="97"/>
      <c r="I580" s="97"/>
      <c r="J580" s="97"/>
      <c r="K580" s="97"/>
      <c r="L580" s="97"/>
      <c r="M580" s="97"/>
      <c r="N580" s="97"/>
      <c r="O580" s="97"/>
      <c r="P580" s="97"/>
      <c r="Q580" s="97"/>
      <c r="R580" s="97"/>
      <c r="S580" s="97"/>
      <c r="T580" s="97"/>
      <c r="U580" s="97"/>
      <c r="V580" s="25"/>
      <c r="W580" s="25"/>
      <c r="X580" s="25"/>
      <c r="Y580" s="25"/>
      <c r="Z580" s="25"/>
      <c r="AA580" s="25"/>
    </row>
    <row r="581" spans="1:27" x14ac:dyDescent="0.35">
      <c r="A581" s="97"/>
      <c r="B581" s="97"/>
      <c r="C581" s="97"/>
      <c r="D581" s="97"/>
      <c r="E581" s="97"/>
      <c r="F581" s="97"/>
      <c r="G581" s="97"/>
      <c r="H581" s="97"/>
      <c r="I581" s="97"/>
      <c r="J581" s="97"/>
      <c r="K581" s="97"/>
      <c r="L581" s="97"/>
      <c r="M581" s="97"/>
      <c r="N581" s="97"/>
      <c r="O581" s="97"/>
      <c r="P581" s="97"/>
      <c r="Q581" s="97"/>
      <c r="R581" s="97"/>
      <c r="S581" s="97"/>
      <c r="T581" s="97"/>
      <c r="U581" s="97"/>
      <c r="V581" s="25"/>
      <c r="W581" s="25"/>
      <c r="X581" s="25"/>
      <c r="Y581" s="25"/>
      <c r="Z581" s="25"/>
      <c r="AA581" s="25"/>
    </row>
    <row r="582" spans="1:27" x14ac:dyDescent="0.35">
      <c r="A582" s="97"/>
      <c r="B582" s="97"/>
      <c r="C582" s="97"/>
      <c r="D582" s="97"/>
      <c r="E582" s="97"/>
      <c r="F582" s="97"/>
      <c r="G582" s="97"/>
      <c r="H582" s="97"/>
      <c r="I582" s="97"/>
      <c r="J582" s="97"/>
      <c r="K582" s="97"/>
      <c r="L582" s="97"/>
      <c r="M582" s="97"/>
      <c r="N582" s="97"/>
      <c r="O582" s="97"/>
      <c r="P582" s="97"/>
      <c r="Q582" s="97"/>
      <c r="R582" s="97"/>
      <c r="S582" s="97"/>
      <c r="T582" s="97"/>
      <c r="U582" s="97"/>
      <c r="V582" s="25"/>
      <c r="W582" s="25"/>
      <c r="X582" s="25"/>
      <c r="Y582" s="25"/>
      <c r="Z582" s="25"/>
      <c r="AA582" s="25"/>
    </row>
    <row r="583" spans="1:27" x14ac:dyDescent="0.35">
      <c r="A583" s="97"/>
      <c r="B583" s="97"/>
      <c r="C583" s="97"/>
      <c r="D583" s="97"/>
      <c r="E583" s="97"/>
      <c r="F583" s="97"/>
      <c r="G583" s="97"/>
      <c r="H583" s="97"/>
      <c r="I583" s="97"/>
      <c r="J583" s="97"/>
      <c r="K583" s="97"/>
      <c r="L583" s="97"/>
      <c r="M583" s="97"/>
      <c r="N583" s="97"/>
      <c r="O583" s="97"/>
      <c r="P583" s="97"/>
      <c r="Q583" s="97"/>
      <c r="R583" s="97"/>
      <c r="S583" s="97"/>
      <c r="T583" s="97"/>
      <c r="U583" s="97"/>
      <c r="V583" s="25"/>
      <c r="W583" s="25"/>
      <c r="X583" s="25"/>
      <c r="Y583" s="25"/>
      <c r="Z583" s="25"/>
      <c r="AA583" s="25"/>
    </row>
    <row r="584" spans="1:27" x14ac:dyDescent="0.35">
      <c r="A584" s="97"/>
      <c r="B584" s="97"/>
      <c r="C584" s="97"/>
      <c r="D584" s="97"/>
      <c r="E584" s="97"/>
      <c r="F584" s="97"/>
      <c r="G584" s="97"/>
      <c r="H584" s="97"/>
      <c r="I584" s="97"/>
      <c r="J584" s="97"/>
      <c r="K584" s="97"/>
      <c r="L584" s="97"/>
      <c r="M584" s="97"/>
      <c r="N584" s="97"/>
      <c r="O584" s="97"/>
      <c r="P584" s="97"/>
      <c r="Q584" s="97"/>
      <c r="R584" s="97"/>
      <c r="S584" s="97"/>
      <c r="T584" s="97"/>
      <c r="U584" s="97"/>
      <c r="V584" s="25"/>
      <c r="W584" s="25"/>
      <c r="X584" s="25"/>
      <c r="Y584" s="25"/>
      <c r="Z584" s="25"/>
      <c r="AA584" s="25"/>
    </row>
    <row r="585" spans="1:27" x14ac:dyDescent="0.35">
      <c r="A585" s="97"/>
      <c r="B585" s="97"/>
      <c r="C585" s="97"/>
      <c r="D585" s="97"/>
      <c r="E585" s="97"/>
      <c r="F585" s="97"/>
      <c r="G585" s="97"/>
      <c r="H585" s="97"/>
      <c r="I585" s="97"/>
      <c r="J585" s="97"/>
      <c r="K585" s="97"/>
      <c r="L585" s="97"/>
      <c r="M585" s="97"/>
      <c r="N585" s="97"/>
      <c r="O585" s="97"/>
      <c r="P585" s="97"/>
      <c r="Q585" s="97"/>
      <c r="R585" s="97"/>
      <c r="S585" s="97"/>
      <c r="T585" s="97"/>
      <c r="U585" s="97"/>
      <c r="V585" s="25"/>
      <c r="W585" s="25"/>
      <c r="X585" s="25"/>
      <c r="Y585" s="25"/>
      <c r="Z585" s="25"/>
      <c r="AA585" s="25"/>
    </row>
    <row r="586" spans="1:27" x14ac:dyDescent="0.35">
      <c r="A586" s="97"/>
      <c r="B586" s="97"/>
      <c r="C586" s="97"/>
      <c r="D586" s="97"/>
      <c r="E586" s="97"/>
      <c r="F586" s="97"/>
      <c r="G586" s="97"/>
      <c r="H586" s="97"/>
      <c r="I586" s="97"/>
      <c r="J586" s="97"/>
      <c r="K586" s="97"/>
      <c r="L586" s="97"/>
      <c r="M586" s="97"/>
      <c r="N586" s="97"/>
      <c r="O586" s="97"/>
      <c r="P586" s="97"/>
      <c r="Q586" s="97"/>
      <c r="R586" s="97"/>
      <c r="S586" s="97"/>
      <c r="T586" s="97"/>
      <c r="U586" s="97"/>
      <c r="V586" s="25"/>
      <c r="W586" s="25"/>
      <c r="X586" s="25"/>
      <c r="Y586" s="25"/>
      <c r="Z586" s="25"/>
      <c r="AA586" s="25"/>
    </row>
    <row r="587" spans="1:27" x14ac:dyDescent="0.35">
      <c r="A587" s="97"/>
      <c r="B587" s="97"/>
      <c r="C587" s="97"/>
      <c r="D587" s="97"/>
      <c r="E587" s="97"/>
      <c r="F587" s="97"/>
      <c r="G587" s="97"/>
      <c r="H587" s="97"/>
      <c r="I587" s="97"/>
      <c r="J587" s="97"/>
      <c r="K587" s="97"/>
      <c r="L587" s="97"/>
      <c r="M587" s="97"/>
      <c r="N587" s="97"/>
      <c r="O587" s="97"/>
      <c r="P587" s="97"/>
      <c r="Q587" s="97"/>
      <c r="R587" s="97"/>
      <c r="S587" s="97"/>
      <c r="T587" s="97"/>
      <c r="U587" s="97"/>
      <c r="V587" s="25"/>
      <c r="W587" s="25"/>
      <c r="X587" s="25"/>
      <c r="Y587" s="25"/>
      <c r="Z587" s="25"/>
      <c r="AA587" s="25"/>
    </row>
    <row r="588" spans="1:27" x14ac:dyDescent="0.35">
      <c r="A588" s="97"/>
      <c r="B588" s="97"/>
      <c r="C588" s="97"/>
      <c r="D588" s="97"/>
      <c r="E588" s="97"/>
      <c r="F588" s="97"/>
      <c r="G588" s="97"/>
      <c r="H588" s="97"/>
      <c r="I588" s="97"/>
      <c r="J588" s="97"/>
      <c r="K588" s="97"/>
      <c r="L588" s="97"/>
      <c r="M588" s="97"/>
      <c r="N588" s="97"/>
      <c r="O588" s="97"/>
      <c r="P588" s="97"/>
      <c r="Q588" s="97"/>
      <c r="R588" s="97"/>
      <c r="S588" s="97"/>
      <c r="T588" s="97"/>
      <c r="U588" s="97"/>
      <c r="V588" s="25"/>
      <c r="W588" s="25"/>
      <c r="X588" s="25"/>
      <c r="Y588" s="25"/>
      <c r="Z588" s="25"/>
      <c r="AA588" s="25"/>
    </row>
    <row r="589" spans="1:27" x14ac:dyDescent="0.35">
      <c r="A589" s="97"/>
      <c r="B589" s="97"/>
      <c r="C589" s="97"/>
      <c r="D589" s="97"/>
      <c r="E589" s="97"/>
      <c r="F589" s="97"/>
      <c r="G589" s="97"/>
      <c r="H589" s="97"/>
      <c r="I589" s="97"/>
      <c r="J589" s="97"/>
      <c r="K589" s="97"/>
      <c r="L589" s="97"/>
      <c r="M589" s="97"/>
      <c r="N589" s="97"/>
      <c r="O589" s="97"/>
      <c r="P589" s="97"/>
      <c r="Q589" s="97"/>
      <c r="R589" s="97"/>
      <c r="S589" s="97"/>
      <c r="T589" s="97"/>
      <c r="U589" s="97"/>
      <c r="V589" s="25"/>
      <c r="W589" s="25"/>
      <c r="X589" s="25"/>
      <c r="Y589" s="25"/>
      <c r="Z589" s="25"/>
      <c r="AA589" s="25"/>
    </row>
    <row r="590" spans="1:27" x14ac:dyDescent="0.35">
      <c r="A590" s="97"/>
      <c r="B590" s="97"/>
      <c r="C590" s="97"/>
      <c r="D590" s="97"/>
      <c r="E590" s="97"/>
      <c r="F590" s="97"/>
      <c r="G590" s="97"/>
      <c r="H590" s="97"/>
      <c r="I590" s="97"/>
      <c r="J590" s="97"/>
      <c r="K590" s="97"/>
      <c r="L590" s="97"/>
      <c r="M590" s="97"/>
      <c r="N590" s="97"/>
      <c r="O590" s="97"/>
      <c r="P590" s="97"/>
      <c r="Q590" s="97"/>
      <c r="R590" s="97"/>
      <c r="S590" s="97"/>
      <c r="T590" s="97"/>
      <c r="U590" s="97"/>
      <c r="V590" s="25"/>
      <c r="W590" s="25"/>
      <c r="X590" s="25"/>
      <c r="Y590" s="25"/>
      <c r="Z590" s="25"/>
      <c r="AA590" s="25"/>
    </row>
    <row r="591" spans="1:27" x14ac:dyDescent="0.35">
      <c r="A591" s="97"/>
      <c r="B591" s="97"/>
      <c r="C591" s="97"/>
      <c r="D591" s="97"/>
      <c r="E591" s="97"/>
      <c r="F591" s="97"/>
      <c r="G591" s="97"/>
      <c r="H591" s="97"/>
      <c r="I591" s="97"/>
      <c r="J591" s="97"/>
      <c r="K591" s="97"/>
      <c r="L591" s="97"/>
      <c r="M591" s="97"/>
      <c r="N591" s="97"/>
      <c r="O591" s="97"/>
      <c r="P591" s="97"/>
      <c r="Q591" s="97"/>
      <c r="R591" s="97"/>
      <c r="S591" s="97"/>
      <c r="T591" s="97"/>
      <c r="U591" s="97"/>
      <c r="V591" s="25"/>
      <c r="W591" s="25"/>
      <c r="X591" s="25"/>
      <c r="Y591" s="25"/>
      <c r="Z591" s="25"/>
      <c r="AA591" s="25"/>
    </row>
    <row r="592" spans="1:27" x14ac:dyDescent="0.35">
      <c r="A592" s="97"/>
      <c r="B592" s="97"/>
      <c r="C592" s="97"/>
      <c r="D592" s="97"/>
      <c r="E592" s="97"/>
      <c r="F592" s="97"/>
      <c r="G592" s="97"/>
      <c r="H592" s="97"/>
      <c r="I592" s="97"/>
      <c r="J592" s="97"/>
      <c r="K592" s="97"/>
      <c r="L592" s="97"/>
      <c r="M592" s="97"/>
      <c r="N592" s="97"/>
      <c r="O592" s="97"/>
      <c r="P592" s="97"/>
      <c r="Q592" s="97"/>
      <c r="R592" s="97"/>
      <c r="S592" s="97"/>
      <c r="T592" s="97"/>
      <c r="U592" s="97"/>
      <c r="V592" s="25"/>
      <c r="W592" s="25"/>
      <c r="X592" s="25"/>
      <c r="Y592" s="25"/>
      <c r="Z592" s="25"/>
      <c r="AA592" s="25"/>
    </row>
    <row r="593" spans="1:27" x14ac:dyDescent="0.35">
      <c r="A593" s="97"/>
      <c r="B593" s="97"/>
      <c r="C593" s="97"/>
      <c r="D593" s="97"/>
      <c r="E593" s="97"/>
      <c r="F593" s="97"/>
      <c r="G593" s="97"/>
      <c r="H593" s="97"/>
      <c r="I593" s="97"/>
      <c r="J593" s="97"/>
      <c r="K593" s="97"/>
      <c r="L593" s="97"/>
      <c r="M593" s="97"/>
      <c r="N593" s="97"/>
      <c r="O593" s="97"/>
      <c r="P593" s="97"/>
      <c r="Q593" s="97"/>
      <c r="R593" s="97"/>
      <c r="S593" s="97"/>
      <c r="T593" s="97"/>
      <c r="U593" s="97"/>
      <c r="V593" s="25"/>
      <c r="W593" s="25"/>
      <c r="X593" s="25"/>
      <c r="Y593" s="25"/>
      <c r="Z593" s="25"/>
      <c r="AA593" s="25"/>
    </row>
    <row r="594" spans="1:27" x14ac:dyDescent="0.35">
      <c r="A594" s="97"/>
      <c r="B594" s="97"/>
      <c r="C594" s="97"/>
      <c r="D594" s="97"/>
      <c r="E594" s="97"/>
      <c r="F594" s="97"/>
      <c r="G594" s="97"/>
      <c r="H594" s="97"/>
      <c r="I594" s="97"/>
      <c r="J594" s="97"/>
      <c r="K594" s="97"/>
      <c r="L594" s="97"/>
      <c r="M594" s="97"/>
      <c r="N594" s="97"/>
      <c r="O594" s="97"/>
      <c r="P594" s="97"/>
      <c r="Q594" s="97"/>
      <c r="R594" s="97"/>
      <c r="S594" s="97"/>
      <c r="T594" s="97"/>
      <c r="U594" s="97"/>
      <c r="V594" s="25"/>
      <c r="W594" s="25"/>
      <c r="X594" s="25"/>
      <c r="Y594" s="25"/>
      <c r="Z594" s="25"/>
      <c r="AA594" s="25"/>
    </row>
    <row r="595" spans="1:27" x14ac:dyDescent="0.35">
      <c r="A595" s="97"/>
      <c r="B595" s="97"/>
      <c r="C595" s="97"/>
      <c r="D595" s="97"/>
      <c r="E595" s="97"/>
      <c r="F595" s="97"/>
      <c r="G595" s="97"/>
      <c r="H595" s="97"/>
      <c r="I595" s="97"/>
      <c r="J595" s="97"/>
      <c r="K595" s="97"/>
      <c r="L595" s="97"/>
      <c r="M595" s="97"/>
      <c r="N595" s="97"/>
      <c r="O595" s="97"/>
      <c r="P595" s="97"/>
      <c r="Q595" s="97"/>
      <c r="R595" s="97"/>
      <c r="S595" s="97"/>
      <c r="T595" s="97"/>
      <c r="U595" s="97"/>
      <c r="V595" s="25"/>
      <c r="W595" s="25"/>
      <c r="X595" s="25"/>
      <c r="Y595" s="25"/>
      <c r="Z595" s="25"/>
      <c r="AA595" s="25"/>
    </row>
    <row r="596" spans="1:27" x14ac:dyDescent="0.35">
      <c r="A596" s="97"/>
      <c r="B596" s="97"/>
      <c r="C596" s="97"/>
      <c r="D596" s="97"/>
      <c r="E596" s="97"/>
      <c r="F596" s="97"/>
      <c r="G596" s="97"/>
      <c r="H596" s="97"/>
      <c r="I596" s="97"/>
      <c r="J596" s="97"/>
      <c r="K596" s="97"/>
      <c r="L596" s="97"/>
      <c r="M596" s="97"/>
      <c r="N596" s="97"/>
      <c r="O596" s="97"/>
      <c r="P596" s="97"/>
      <c r="Q596" s="97"/>
      <c r="R596" s="97"/>
      <c r="S596" s="97"/>
      <c r="T596" s="97"/>
      <c r="U596" s="97"/>
      <c r="V596" s="25"/>
      <c r="W596" s="25"/>
      <c r="X596" s="25"/>
      <c r="Y596" s="25"/>
      <c r="Z596" s="25"/>
      <c r="AA596" s="25"/>
    </row>
    <row r="597" spans="1:27" x14ac:dyDescent="0.35">
      <c r="A597" s="97"/>
      <c r="B597" s="97"/>
      <c r="C597" s="97"/>
      <c r="D597" s="97"/>
      <c r="E597" s="97"/>
      <c r="F597" s="97"/>
      <c r="G597" s="97"/>
      <c r="H597" s="97"/>
      <c r="I597" s="97"/>
      <c r="J597" s="97"/>
      <c r="K597" s="97"/>
      <c r="L597" s="97"/>
      <c r="M597" s="97"/>
      <c r="N597" s="97"/>
      <c r="O597" s="97"/>
      <c r="P597" s="97"/>
      <c r="Q597" s="97"/>
      <c r="R597" s="97"/>
      <c r="S597" s="97"/>
      <c r="T597" s="97"/>
      <c r="U597" s="97"/>
      <c r="V597" s="25"/>
      <c r="W597" s="25"/>
      <c r="X597" s="25"/>
      <c r="Y597" s="25"/>
      <c r="Z597" s="25"/>
      <c r="AA597" s="25"/>
    </row>
    <row r="598" spans="1:27" x14ac:dyDescent="0.35">
      <c r="A598" s="97"/>
      <c r="B598" s="97"/>
      <c r="C598" s="97"/>
      <c r="D598" s="97"/>
      <c r="E598" s="97"/>
      <c r="F598" s="97"/>
      <c r="G598" s="97"/>
      <c r="H598" s="97"/>
      <c r="I598" s="97"/>
      <c r="J598" s="97"/>
      <c r="K598" s="97"/>
      <c r="L598" s="97"/>
      <c r="M598" s="97"/>
      <c r="N598" s="97"/>
      <c r="O598" s="97"/>
      <c r="P598" s="97"/>
      <c r="Q598" s="97"/>
      <c r="R598" s="97"/>
      <c r="S598" s="97"/>
      <c r="T598" s="97"/>
      <c r="U598" s="97"/>
      <c r="V598" s="25"/>
      <c r="W598" s="25"/>
      <c r="X598" s="25"/>
      <c r="Y598" s="25"/>
      <c r="Z598" s="25"/>
      <c r="AA598" s="25"/>
    </row>
    <row r="599" spans="1:27" x14ac:dyDescent="0.35">
      <c r="A599" s="97"/>
      <c r="B599" s="97"/>
      <c r="C599" s="97"/>
      <c r="D599" s="97"/>
      <c r="E599" s="97"/>
      <c r="F599" s="97"/>
      <c r="G599" s="97"/>
      <c r="H599" s="97"/>
      <c r="I599" s="97"/>
      <c r="J599" s="97"/>
      <c r="K599" s="97"/>
      <c r="L599" s="97"/>
      <c r="M599" s="97"/>
      <c r="N599" s="97"/>
      <c r="O599" s="97"/>
      <c r="P599" s="97"/>
      <c r="Q599" s="97"/>
      <c r="R599" s="97"/>
      <c r="S599" s="97"/>
      <c r="T599" s="97"/>
      <c r="U599" s="97"/>
      <c r="V599" s="25"/>
      <c r="W599" s="25"/>
      <c r="X599" s="25"/>
      <c r="Y599" s="25"/>
      <c r="Z599" s="25"/>
      <c r="AA599" s="25"/>
    </row>
    <row r="600" spans="1:27" x14ac:dyDescent="0.35">
      <c r="A600" s="97"/>
      <c r="B600" s="97"/>
      <c r="C600" s="97"/>
      <c r="D600" s="97"/>
      <c r="E600" s="97"/>
      <c r="F600" s="97"/>
      <c r="G600" s="97"/>
      <c r="H600" s="97"/>
      <c r="I600" s="97"/>
      <c r="J600" s="97"/>
      <c r="K600" s="97"/>
      <c r="L600" s="97"/>
      <c r="M600" s="97"/>
      <c r="N600" s="97"/>
      <c r="O600" s="97"/>
      <c r="P600" s="97"/>
      <c r="Q600" s="97"/>
      <c r="R600" s="97"/>
      <c r="S600" s="97"/>
      <c r="T600" s="97"/>
      <c r="U600" s="97"/>
      <c r="V600" s="25"/>
      <c r="W600" s="25"/>
      <c r="X600" s="25"/>
      <c r="Y600" s="25"/>
      <c r="Z600" s="25"/>
      <c r="AA600" s="25"/>
    </row>
    <row r="601" spans="1:27" x14ac:dyDescent="0.35">
      <c r="A601" s="97"/>
      <c r="B601" s="97"/>
      <c r="C601" s="97"/>
      <c r="D601" s="97"/>
      <c r="E601" s="97"/>
      <c r="F601" s="97"/>
      <c r="G601" s="97"/>
      <c r="H601" s="97"/>
      <c r="I601" s="97"/>
      <c r="J601" s="97"/>
      <c r="K601" s="97"/>
      <c r="L601" s="97"/>
      <c r="M601" s="97"/>
      <c r="N601" s="97"/>
      <c r="O601" s="97"/>
      <c r="P601" s="97"/>
      <c r="Q601" s="97"/>
      <c r="R601" s="97"/>
      <c r="S601" s="97"/>
      <c r="T601" s="97"/>
      <c r="U601" s="97"/>
      <c r="V601" s="25"/>
      <c r="W601" s="25"/>
      <c r="X601" s="25"/>
      <c r="Y601" s="25"/>
      <c r="Z601" s="25"/>
      <c r="AA601" s="25"/>
    </row>
    <row r="602" spans="1:27" x14ac:dyDescent="0.35">
      <c r="A602" s="97"/>
      <c r="B602" s="97"/>
      <c r="C602" s="97"/>
      <c r="D602" s="97"/>
      <c r="E602" s="97"/>
      <c r="F602" s="97"/>
      <c r="G602" s="97"/>
      <c r="H602" s="97"/>
      <c r="I602" s="97"/>
      <c r="J602" s="97"/>
      <c r="K602" s="97"/>
      <c r="L602" s="97"/>
      <c r="M602" s="97"/>
      <c r="N602" s="97"/>
      <c r="O602" s="97"/>
      <c r="P602" s="97"/>
      <c r="Q602" s="97"/>
      <c r="R602" s="97"/>
      <c r="S602" s="97"/>
      <c r="T602" s="97"/>
      <c r="U602" s="97"/>
      <c r="V602" s="25"/>
      <c r="W602" s="25"/>
      <c r="X602" s="25"/>
      <c r="Y602" s="25"/>
      <c r="Z602" s="25"/>
      <c r="AA602" s="25"/>
    </row>
    <row r="603" spans="1:27" x14ac:dyDescent="0.35">
      <c r="A603" s="97"/>
      <c r="B603" s="97"/>
      <c r="C603" s="97"/>
      <c r="D603" s="97"/>
      <c r="E603" s="97"/>
      <c r="F603" s="97"/>
      <c r="G603" s="97"/>
      <c r="H603" s="97"/>
      <c r="I603" s="97"/>
      <c r="J603" s="97"/>
      <c r="K603" s="97"/>
      <c r="L603" s="97"/>
      <c r="M603" s="97"/>
      <c r="N603" s="97"/>
      <c r="O603" s="97"/>
      <c r="P603" s="97"/>
      <c r="Q603" s="97"/>
      <c r="R603" s="97"/>
      <c r="S603" s="97"/>
      <c r="T603" s="97"/>
      <c r="U603" s="97"/>
      <c r="V603" s="25"/>
      <c r="W603" s="25"/>
      <c r="X603" s="25"/>
      <c r="Y603" s="25"/>
      <c r="Z603" s="25"/>
      <c r="AA603" s="25"/>
    </row>
    <row r="604" spans="1:27" x14ac:dyDescent="0.35">
      <c r="A604" s="97"/>
      <c r="B604" s="97"/>
      <c r="C604" s="97"/>
      <c r="D604" s="97"/>
      <c r="E604" s="97"/>
      <c r="F604" s="97"/>
      <c r="G604" s="97"/>
      <c r="H604" s="97"/>
      <c r="I604" s="97"/>
      <c r="J604" s="97"/>
      <c r="K604" s="97"/>
      <c r="L604" s="97"/>
      <c r="M604" s="97"/>
      <c r="N604" s="97"/>
      <c r="O604" s="97"/>
      <c r="P604" s="97"/>
      <c r="Q604" s="97"/>
      <c r="R604" s="97"/>
      <c r="S604" s="97"/>
      <c r="T604" s="97"/>
      <c r="U604" s="97"/>
      <c r="V604" s="25"/>
      <c r="W604" s="25"/>
      <c r="X604" s="25"/>
      <c r="Y604" s="25"/>
      <c r="Z604" s="25"/>
      <c r="AA604" s="25"/>
    </row>
    <row r="605" spans="1:27" x14ac:dyDescent="0.35">
      <c r="A605" s="97"/>
      <c r="B605" s="97"/>
      <c r="C605" s="97"/>
      <c r="D605" s="97"/>
      <c r="E605" s="97"/>
      <c r="F605" s="97"/>
      <c r="G605" s="97"/>
      <c r="H605" s="97"/>
      <c r="I605" s="97"/>
      <c r="J605" s="97"/>
      <c r="K605" s="97"/>
      <c r="L605" s="97"/>
      <c r="M605" s="97"/>
      <c r="N605" s="97"/>
      <c r="O605" s="97"/>
      <c r="P605" s="97"/>
      <c r="Q605" s="97"/>
      <c r="R605" s="97"/>
      <c r="S605" s="97"/>
      <c r="T605" s="97"/>
      <c r="U605" s="97"/>
      <c r="V605" s="25"/>
      <c r="W605" s="25"/>
      <c r="X605" s="25"/>
      <c r="Y605" s="25"/>
      <c r="Z605" s="25"/>
      <c r="AA605" s="25"/>
    </row>
    <row r="606" spans="1:27" x14ac:dyDescent="0.35">
      <c r="A606" s="97"/>
      <c r="B606" s="97"/>
      <c r="C606" s="97"/>
      <c r="D606" s="97"/>
      <c r="E606" s="97"/>
      <c r="F606" s="97"/>
      <c r="G606" s="97"/>
      <c r="H606" s="97"/>
      <c r="I606" s="97"/>
      <c r="J606" s="97"/>
      <c r="K606" s="97"/>
      <c r="L606" s="97"/>
      <c r="M606" s="97"/>
      <c r="N606" s="97"/>
      <c r="O606" s="97"/>
      <c r="P606" s="97"/>
      <c r="Q606" s="97"/>
      <c r="R606" s="97"/>
      <c r="S606" s="97"/>
      <c r="T606" s="97"/>
      <c r="U606" s="97"/>
      <c r="V606" s="25"/>
      <c r="W606" s="25"/>
      <c r="X606" s="25"/>
      <c r="Y606" s="25"/>
      <c r="Z606" s="25"/>
      <c r="AA606" s="25"/>
    </row>
    <row r="607" spans="1:27" x14ac:dyDescent="0.35">
      <c r="A607" s="97"/>
      <c r="B607" s="97"/>
      <c r="C607" s="97"/>
      <c r="D607" s="97"/>
      <c r="E607" s="97"/>
      <c r="F607" s="97"/>
      <c r="G607" s="97"/>
      <c r="H607" s="97"/>
      <c r="I607" s="97"/>
      <c r="J607" s="97"/>
      <c r="K607" s="97"/>
      <c r="L607" s="97"/>
      <c r="M607" s="97"/>
      <c r="N607" s="97"/>
      <c r="O607" s="97"/>
      <c r="P607" s="97"/>
      <c r="Q607" s="97"/>
      <c r="R607" s="97"/>
      <c r="S607" s="97"/>
      <c r="T607" s="97"/>
      <c r="U607" s="97"/>
      <c r="V607" s="25"/>
      <c r="W607" s="25"/>
      <c r="X607" s="25"/>
      <c r="Y607" s="25"/>
      <c r="Z607" s="25"/>
      <c r="AA607" s="25"/>
    </row>
    <row r="608" spans="1:27" x14ac:dyDescent="0.35">
      <c r="A608" s="97"/>
      <c r="B608" s="97"/>
      <c r="C608" s="97"/>
      <c r="D608" s="97"/>
      <c r="E608" s="97"/>
      <c r="F608" s="97"/>
      <c r="G608" s="97"/>
      <c r="H608" s="97"/>
      <c r="I608" s="97"/>
      <c r="J608" s="97"/>
      <c r="K608" s="97"/>
      <c r="L608" s="97"/>
      <c r="M608" s="97"/>
      <c r="N608" s="97"/>
      <c r="O608" s="97"/>
      <c r="P608" s="97"/>
      <c r="Q608" s="97"/>
      <c r="R608" s="97"/>
      <c r="S608" s="97"/>
      <c r="T608" s="97"/>
      <c r="U608" s="97"/>
      <c r="V608" s="25"/>
      <c r="W608" s="25"/>
      <c r="X608" s="25"/>
      <c r="Y608" s="25"/>
      <c r="Z608" s="25"/>
      <c r="AA608" s="25"/>
    </row>
    <row r="609" spans="1:27" x14ac:dyDescent="0.35">
      <c r="A609" s="97"/>
      <c r="B609" s="97"/>
      <c r="C609" s="97"/>
      <c r="D609" s="97"/>
      <c r="E609" s="97"/>
      <c r="F609" s="97"/>
      <c r="G609" s="97"/>
      <c r="H609" s="97"/>
      <c r="I609" s="97"/>
      <c r="J609" s="97"/>
      <c r="K609" s="97"/>
      <c r="L609" s="97"/>
      <c r="M609" s="97"/>
      <c r="N609" s="97"/>
      <c r="O609" s="97"/>
      <c r="P609" s="97"/>
      <c r="Q609" s="97"/>
      <c r="R609" s="97"/>
      <c r="S609" s="97"/>
      <c r="T609" s="97"/>
      <c r="U609" s="97"/>
      <c r="V609" s="25"/>
      <c r="W609" s="25"/>
      <c r="X609" s="25"/>
      <c r="Y609" s="25"/>
      <c r="Z609" s="25"/>
      <c r="AA609" s="25"/>
    </row>
    <row r="610" spans="1:27" x14ac:dyDescent="0.35">
      <c r="A610" s="97"/>
      <c r="B610" s="97"/>
      <c r="C610" s="97"/>
      <c r="D610" s="97"/>
      <c r="E610" s="97"/>
      <c r="F610" s="97"/>
      <c r="G610" s="97"/>
      <c r="H610" s="97"/>
      <c r="I610" s="97"/>
      <c r="J610" s="97"/>
      <c r="K610" s="97"/>
      <c r="L610" s="97"/>
      <c r="M610" s="97"/>
      <c r="N610" s="97"/>
      <c r="O610" s="97"/>
      <c r="P610" s="97"/>
      <c r="Q610" s="97"/>
      <c r="R610" s="97"/>
      <c r="S610" s="97"/>
      <c r="T610" s="97"/>
      <c r="U610" s="97"/>
      <c r="V610" s="25"/>
      <c r="W610" s="25"/>
      <c r="X610" s="25"/>
      <c r="Y610" s="25"/>
      <c r="Z610" s="25"/>
      <c r="AA610" s="25"/>
    </row>
    <row r="611" spans="1:27" x14ac:dyDescent="0.35">
      <c r="A611" s="97"/>
      <c r="B611" s="97"/>
      <c r="C611" s="97"/>
      <c r="D611" s="97"/>
      <c r="E611" s="97"/>
      <c r="F611" s="97"/>
      <c r="G611" s="97"/>
      <c r="H611" s="97"/>
      <c r="I611" s="97"/>
      <c r="J611" s="97"/>
      <c r="K611" s="97"/>
      <c r="L611" s="97"/>
      <c r="M611" s="97"/>
      <c r="N611" s="97"/>
      <c r="O611" s="97"/>
      <c r="P611" s="97"/>
      <c r="Q611" s="97"/>
      <c r="R611" s="97"/>
      <c r="S611" s="97"/>
      <c r="T611" s="97"/>
      <c r="U611" s="97"/>
      <c r="V611" s="25"/>
      <c r="W611" s="25"/>
      <c r="X611" s="25"/>
      <c r="Y611" s="25"/>
      <c r="Z611" s="25"/>
      <c r="AA611" s="25"/>
    </row>
    <row r="612" spans="1:27" x14ac:dyDescent="0.35">
      <c r="A612" s="97"/>
      <c r="B612" s="97"/>
      <c r="C612" s="97"/>
      <c r="D612" s="97"/>
      <c r="E612" s="97"/>
      <c r="F612" s="97"/>
      <c r="G612" s="97"/>
      <c r="H612" s="97"/>
      <c r="I612" s="97"/>
      <c r="J612" s="97"/>
      <c r="K612" s="97"/>
      <c r="L612" s="97"/>
      <c r="M612" s="97"/>
      <c r="N612" s="97"/>
      <c r="O612" s="97"/>
      <c r="P612" s="97"/>
      <c r="Q612" s="97"/>
      <c r="R612" s="97"/>
      <c r="S612" s="97"/>
      <c r="T612" s="97"/>
      <c r="U612" s="97"/>
      <c r="V612" s="25"/>
      <c r="W612" s="25"/>
      <c r="X612" s="25"/>
      <c r="Y612" s="25"/>
      <c r="Z612" s="25"/>
      <c r="AA612" s="25"/>
    </row>
    <row r="613" spans="1:27" x14ac:dyDescent="0.35">
      <c r="A613" s="97"/>
      <c r="B613" s="97"/>
      <c r="C613" s="97"/>
      <c r="D613" s="97"/>
      <c r="E613" s="97"/>
      <c r="F613" s="97"/>
      <c r="G613" s="97"/>
      <c r="H613" s="97"/>
      <c r="I613" s="97"/>
      <c r="J613" s="97"/>
      <c r="K613" s="97"/>
      <c r="L613" s="97"/>
      <c r="M613" s="97"/>
      <c r="N613" s="97"/>
      <c r="O613" s="97"/>
      <c r="P613" s="97"/>
      <c r="Q613" s="97"/>
      <c r="R613" s="97"/>
      <c r="S613" s="97"/>
      <c r="T613" s="97"/>
      <c r="U613" s="97"/>
      <c r="V613" s="25"/>
      <c r="W613" s="25"/>
      <c r="X613" s="25"/>
      <c r="Y613" s="25"/>
      <c r="Z613" s="25"/>
      <c r="AA613" s="25"/>
    </row>
    <row r="614" spans="1:27" x14ac:dyDescent="0.35">
      <c r="A614" s="97"/>
      <c r="B614" s="97"/>
      <c r="C614" s="97"/>
      <c r="D614" s="97"/>
      <c r="E614" s="97"/>
      <c r="F614" s="97"/>
      <c r="G614" s="97"/>
      <c r="H614" s="97"/>
      <c r="I614" s="97"/>
      <c r="J614" s="97"/>
      <c r="K614" s="97"/>
      <c r="L614" s="97"/>
      <c r="M614" s="97"/>
      <c r="N614" s="97"/>
      <c r="O614" s="97"/>
      <c r="P614" s="97"/>
      <c r="Q614" s="97"/>
      <c r="R614" s="97"/>
      <c r="S614" s="97"/>
      <c r="T614" s="97"/>
      <c r="U614" s="97"/>
      <c r="V614" s="25"/>
      <c r="W614" s="25"/>
      <c r="X614" s="25"/>
      <c r="Y614" s="25"/>
      <c r="Z614" s="25"/>
      <c r="AA614" s="25"/>
    </row>
    <row r="615" spans="1:27" x14ac:dyDescent="0.35">
      <c r="A615" s="97"/>
      <c r="B615" s="97"/>
      <c r="C615" s="97"/>
      <c r="D615" s="97"/>
      <c r="E615" s="97"/>
      <c r="F615" s="97"/>
      <c r="G615" s="97"/>
      <c r="H615" s="97"/>
      <c r="I615" s="97"/>
      <c r="J615" s="97"/>
      <c r="K615" s="97"/>
      <c r="L615" s="97"/>
      <c r="M615" s="97"/>
      <c r="N615" s="97"/>
      <c r="O615" s="97"/>
      <c r="P615" s="97"/>
      <c r="Q615" s="97"/>
      <c r="R615" s="97"/>
      <c r="S615" s="97"/>
      <c r="T615" s="97"/>
      <c r="U615" s="97"/>
      <c r="V615" s="25"/>
      <c r="W615" s="25"/>
      <c r="X615" s="25"/>
      <c r="Y615" s="25"/>
      <c r="Z615" s="25"/>
      <c r="AA615" s="25"/>
    </row>
    <row r="616" spans="1:27" x14ac:dyDescent="0.35">
      <c r="A616" s="97"/>
      <c r="B616" s="97"/>
      <c r="C616" s="97"/>
      <c r="D616" s="97"/>
      <c r="E616" s="97"/>
      <c r="F616" s="97"/>
      <c r="G616" s="97"/>
      <c r="H616" s="97"/>
      <c r="I616" s="97"/>
      <c r="J616" s="97"/>
      <c r="K616" s="97"/>
      <c r="L616" s="97"/>
      <c r="M616" s="97"/>
      <c r="N616" s="97"/>
      <c r="O616" s="97"/>
      <c r="P616" s="97"/>
      <c r="Q616" s="97"/>
      <c r="R616" s="97"/>
      <c r="S616" s="97"/>
      <c r="T616" s="97"/>
      <c r="U616" s="97"/>
      <c r="V616" s="25"/>
      <c r="W616" s="25"/>
      <c r="X616" s="25"/>
      <c r="Y616" s="25"/>
      <c r="Z616" s="25"/>
      <c r="AA616" s="25"/>
    </row>
    <row r="617" spans="1:27" x14ac:dyDescent="0.35">
      <c r="A617" s="97"/>
      <c r="B617" s="97"/>
      <c r="C617" s="97"/>
      <c r="D617" s="97"/>
      <c r="E617" s="97"/>
      <c r="F617" s="97"/>
      <c r="G617" s="97"/>
      <c r="H617" s="97"/>
      <c r="I617" s="97"/>
      <c r="J617" s="97"/>
      <c r="K617" s="97"/>
      <c r="L617" s="97"/>
      <c r="M617" s="97"/>
      <c r="N617" s="97"/>
      <c r="O617" s="97"/>
      <c r="P617" s="97"/>
      <c r="Q617" s="97"/>
      <c r="R617" s="97"/>
      <c r="S617" s="97"/>
      <c r="T617" s="97"/>
      <c r="U617" s="97"/>
      <c r="V617" s="25"/>
      <c r="W617" s="25"/>
      <c r="X617" s="25"/>
      <c r="Y617" s="25"/>
      <c r="Z617" s="25"/>
      <c r="AA617" s="25"/>
    </row>
    <row r="618" spans="1:27" x14ac:dyDescent="0.35">
      <c r="A618" s="97"/>
      <c r="B618" s="97"/>
      <c r="C618" s="97"/>
      <c r="D618" s="97"/>
      <c r="E618" s="97"/>
      <c r="F618" s="97"/>
      <c r="G618" s="97"/>
      <c r="H618" s="97"/>
      <c r="I618" s="97"/>
      <c r="J618" s="97"/>
      <c r="K618" s="97"/>
      <c r="L618" s="97"/>
      <c r="M618" s="97"/>
      <c r="N618" s="97"/>
      <c r="O618" s="97"/>
      <c r="P618" s="97"/>
      <c r="Q618" s="97"/>
      <c r="R618" s="97"/>
      <c r="S618" s="97"/>
      <c r="T618" s="97"/>
      <c r="U618" s="97"/>
      <c r="V618" s="25"/>
      <c r="W618" s="25"/>
      <c r="X618" s="25"/>
      <c r="Y618" s="25"/>
      <c r="Z618" s="25"/>
      <c r="AA618" s="25"/>
    </row>
    <row r="619" spans="1:27" x14ac:dyDescent="0.35">
      <c r="A619" s="97"/>
      <c r="B619" s="97"/>
      <c r="C619" s="97"/>
      <c r="D619" s="97"/>
      <c r="E619" s="97"/>
      <c r="F619" s="97"/>
      <c r="G619" s="97"/>
      <c r="H619" s="97"/>
      <c r="I619" s="97"/>
      <c r="J619" s="97"/>
      <c r="K619" s="97"/>
      <c r="L619" s="97"/>
      <c r="M619" s="97"/>
      <c r="N619" s="97"/>
      <c r="O619" s="97"/>
      <c r="P619" s="97"/>
      <c r="Q619" s="97"/>
      <c r="R619" s="97"/>
      <c r="S619" s="97"/>
      <c r="T619" s="97"/>
      <c r="U619" s="97"/>
      <c r="V619" s="25"/>
      <c r="W619" s="25"/>
      <c r="X619" s="25"/>
      <c r="Y619" s="25"/>
      <c r="Z619" s="25"/>
      <c r="AA619" s="25"/>
    </row>
    <row r="620" spans="1:27" x14ac:dyDescent="0.35">
      <c r="A620" s="97"/>
      <c r="B620" s="97"/>
      <c r="C620" s="97"/>
      <c r="D620" s="97"/>
      <c r="E620" s="97"/>
      <c r="F620" s="97"/>
      <c r="G620" s="97"/>
      <c r="H620" s="97"/>
      <c r="I620" s="97"/>
      <c r="J620" s="97"/>
      <c r="K620" s="97"/>
      <c r="L620" s="97"/>
      <c r="M620" s="97"/>
      <c r="N620" s="97"/>
      <c r="O620" s="97"/>
      <c r="P620" s="97"/>
      <c r="Q620" s="97"/>
      <c r="R620" s="97"/>
      <c r="S620" s="97"/>
      <c r="T620" s="97"/>
      <c r="U620" s="97"/>
      <c r="V620" s="25"/>
      <c r="W620" s="25"/>
      <c r="X620" s="25"/>
      <c r="Y620" s="25"/>
      <c r="Z620" s="25"/>
      <c r="AA620" s="25"/>
    </row>
    <row r="621" spans="1:27" x14ac:dyDescent="0.35">
      <c r="A621" s="97"/>
      <c r="B621" s="97"/>
      <c r="C621" s="97"/>
      <c r="D621" s="97"/>
      <c r="E621" s="97"/>
      <c r="F621" s="97"/>
      <c r="G621" s="97"/>
      <c r="H621" s="97"/>
      <c r="I621" s="97"/>
      <c r="J621" s="97"/>
      <c r="K621" s="97"/>
      <c r="L621" s="97"/>
      <c r="M621" s="97"/>
      <c r="N621" s="97"/>
      <c r="O621" s="97"/>
      <c r="P621" s="97"/>
      <c r="Q621" s="97"/>
      <c r="R621" s="97"/>
      <c r="S621" s="97"/>
      <c r="T621" s="97"/>
      <c r="U621" s="97"/>
      <c r="V621" s="25"/>
      <c r="W621" s="25"/>
      <c r="X621" s="25"/>
      <c r="Y621" s="25"/>
      <c r="Z621" s="25"/>
      <c r="AA621" s="25"/>
    </row>
    <row r="622" spans="1:27" x14ac:dyDescent="0.35">
      <c r="A622" s="97"/>
      <c r="B622" s="97"/>
      <c r="C622" s="97"/>
      <c r="D622" s="97"/>
      <c r="E622" s="97"/>
      <c r="F622" s="97"/>
      <c r="G622" s="97"/>
      <c r="H622" s="97"/>
      <c r="I622" s="97"/>
      <c r="J622" s="97"/>
      <c r="K622" s="97"/>
      <c r="L622" s="97"/>
      <c r="M622" s="97"/>
      <c r="N622" s="97"/>
      <c r="O622" s="97"/>
      <c r="P622" s="97"/>
      <c r="Q622" s="97"/>
      <c r="R622" s="97"/>
      <c r="S622" s="97"/>
      <c r="T622" s="97"/>
      <c r="U622" s="97"/>
      <c r="V622" s="25"/>
      <c r="W622" s="25"/>
      <c r="X622" s="25"/>
      <c r="Y622" s="25"/>
      <c r="Z622" s="25"/>
      <c r="AA622" s="25"/>
    </row>
    <row r="623" spans="1:27" x14ac:dyDescent="0.35">
      <c r="A623" s="97"/>
      <c r="B623" s="97"/>
      <c r="C623" s="97"/>
      <c r="D623" s="97"/>
      <c r="E623" s="97"/>
      <c r="F623" s="97"/>
      <c r="G623" s="97"/>
      <c r="H623" s="97"/>
      <c r="I623" s="97"/>
      <c r="J623" s="97"/>
      <c r="K623" s="97"/>
      <c r="L623" s="97"/>
      <c r="M623" s="97"/>
      <c r="N623" s="97"/>
      <c r="O623" s="97"/>
      <c r="P623" s="97"/>
      <c r="Q623" s="97"/>
      <c r="R623" s="97"/>
      <c r="S623" s="97"/>
      <c r="T623" s="97"/>
      <c r="U623" s="97"/>
      <c r="V623" s="25"/>
      <c r="W623" s="25"/>
      <c r="X623" s="25"/>
      <c r="Y623" s="25"/>
      <c r="Z623" s="25"/>
      <c r="AA623" s="25"/>
    </row>
    <row r="624" spans="1:27" x14ac:dyDescent="0.35">
      <c r="A624" s="97"/>
      <c r="B624" s="97"/>
      <c r="C624" s="97"/>
      <c r="D624" s="97"/>
      <c r="E624" s="97"/>
      <c r="F624" s="97"/>
      <c r="G624" s="97"/>
      <c r="H624" s="97"/>
      <c r="I624" s="97"/>
      <c r="J624" s="97"/>
      <c r="K624" s="97"/>
      <c r="L624" s="97"/>
      <c r="M624" s="97"/>
      <c r="N624" s="97"/>
      <c r="O624" s="97"/>
      <c r="P624" s="97"/>
      <c r="Q624" s="97"/>
      <c r="R624" s="97"/>
      <c r="S624" s="97"/>
      <c r="T624" s="97"/>
      <c r="U624" s="97"/>
      <c r="V624" s="25"/>
      <c r="W624" s="25"/>
      <c r="X624" s="25"/>
      <c r="Y624" s="25"/>
      <c r="Z624" s="25"/>
      <c r="AA624" s="25"/>
    </row>
    <row r="625" spans="1:27" x14ac:dyDescent="0.35">
      <c r="A625" s="97"/>
      <c r="B625" s="97"/>
      <c r="C625" s="97"/>
      <c r="D625" s="97"/>
      <c r="E625" s="97"/>
      <c r="F625" s="97"/>
      <c r="G625" s="97"/>
      <c r="H625" s="97"/>
      <c r="I625" s="97"/>
      <c r="J625" s="97"/>
      <c r="K625" s="97"/>
      <c r="L625" s="97"/>
      <c r="M625" s="97"/>
      <c r="N625" s="97"/>
      <c r="O625" s="97"/>
      <c r="P625" s="97"/>
      <c r="Q625" s="97"/>
      <c r="R625" s="97"/>
      <c r="S625" s="97"/>
      <c r="T625" s="97"/>
      <c r="U625" s="97"/>
      <c r="V625" s="25"/>
      <c r="W625" s="25"/>
      <c r="X625" s="25"/>
      <c r="Y625" s="25"/>
      <c r="Z625" s="25"/>
      <c r="AA625" s="25"/>
    </row>
    <row r="626" spans="1:27" x14ac:dyDescent="0.35">
      <c r="A626" s="97"/>
      <c r="B626" s="97"/>
      <c r="C626" s="97"/>
      <c r="D626" s="97"/>
      <c r="E626" s="97"/>
      <c r="F626" s="97"/>
      <c r="G626" s="97"/>
      <c r="H626" s="97"/>
      <c r="I626" s="97"/>
      <c r="J626" s="97"/>
      <c r="K626" s="97"/>
      <c r="L626" s="97"/>
      <c r="M626" s="97"/>
      <c r="N626" s="97"/>
      <c r="O626" s="97"/>
      <c r="P626" s="97"/>
      <c r="Q626" s="97"/>
      <c r="R626" s="97"/>
      <c r="S626" s="97"/>
      <c r="T626" s="97"/>
      <c r="U626" s="97"/>
      <c r="V626" s="25"/>
      <c r="W626" s="25"/>
      <c r="X626" s="25"/>
      <c r="Y626" s="25"/>
      <c r="Z626" s="25"/>
      <c r="AA626" s="25"/>
    </row>
    <row r="627" spans="1:27" x14ac:dyDescent="0.35">
      <c r="A627" s="97"/>
      <c r="B627" s="97"/>
      <c r="C627" s="97"/>
      <c r="D627" s="97"/>
      <c r="E627" s="97"/>
      <c r="F627" s="97"/>
      <c r="G627" s="97"/>
      <c r="H627" s="97"/>
      <c r="I627" s="97"/>
      <c r="J627" s="97"/>
      <c r="K627" s="97"/>
      <c r="L627" s="97"/>
      <c r="M627" s="97"/>
      <c r="N627" s="97"/>
      <c r="O627" s="97"/>
      <c r="P627" s="97"/>
      <c r="Q627" s="97"/>
      <c r="R627" s="97"/>
      <c r="S627" s="97"/>
      <c r="T627" s="97"/>
      <c r="U627" s="97"/>
      <c r="V627" s="25"/>
      <c r="W627" s="25"/>
      <c r="X627" s="25"/>
      <c r="Y627" s="25"/>
      <c r="Z627" s="25"/>
      <c r="AA627" s="25"/>
    </row>
    <row r="628" spans="1:27" x14ac:dyDescent="0.35">
      <c r="A628" s="97"/>
      <c r="B628" s="97"/>
      <c r="C628" s="97"/>
      <c r="D628" s="97"/>
      <c r="E628" s="97"/>
      <c r="F628" s="97"/>
      <c r="G628" s="97"/>
      <c r="H628" s="97"/>
      <c r="I628" s="97"/>
      <c r="J628" s="97"/>
      <c r="K628" s="97"/>
      <c r="L628" s="97"/>
      <c r="M628" s="97"/>
      <c r="N628" s="97"/>
      <c r="O628" s="97"/>
      <c r="P628" s="97"/>
      <c r="Q628" s="97"/>
      <c r="R628" s="97"/>
      <c r="S628" s="97"/>
      <c r="T628" s="97"/>
      <c r="U628" s="97"/>
      <c r="V628" s="25"/>
      <c r="W628" s="25"/>
      <c r="X628" s="25"/>
      <c r="Y628" s="25"/>
      <c r="Z628" s="25"/>
      <c r="AA628" s="25"/>
    </row>
    <row r="629" spans="1:27" x14ac:dyDescent="0.35">
      <c r="A629" s="97"/>
      <c r="B629" s="97"/>
      <c r="C629" s="97"/>
      <c r="D629" s="97"/>
      <c r="E629" s="97"/>
      <c r="F629" s="97"/>
      <c r="G629" s="97"/>
      <c r="H629" s="97"/>
      <c r="I629" s="97"/>
      <c r="J629" s="97"/>
      <c r="K629" s="97"/>
      <c r="L629" s="97"/>
      <c r="M629" s="97"/>
      <c r="N629" s="97"/>
      <c r="O629" s="97"/>
      <c r="P629" s="97"/>
      <c r="Q629" s="97"/>
      <c r="R629" s="97"/>
      <c r="S629" s="97"/>
      <c r="T629" s="97"/>
      <c r="U629" s="97"/>
      <c r="V629" s="25"/>
      <c r="W629" s="25"/>
      <c r="X629" s="25"/>
      <c r="Y629" s="25"/>
      <c r="Z629" s="25"/>
      <c r="AA629" s="25"/>
    </row>
    <row r="630" spans="1:27" x14ac:dyDescent="0.35">
      <c r="A630" s="97"/>
      <c r="B630" s="97"/>
      <c r="C630" s="97"/>
      <c r="D630" s="97"/>
      <c r="E630" s="97"/>
      <c r="F630" s="97"/>
      <c r="G630" s="97"/>
      <c r="H630" s="97"/>
      <c r="I630" s="97"/>
      <c r="J630" s="97"/>
      <c r="K630" s="97"/>
      <c r="L630" s="97"/>
      <c r="M630" s="97"/>
      <c r="N630" s="97"/>
      <c r="O630" s="97"/>
      <c r="P630" s="97"/>
      <c r="Q630" s="97"/>
      <c r="R630" s="97"/>
      <c r="S630" s="97"/>
      <c r="T630" s="97"/>
      <c r="U630" s="97"/>
      <c r="V630" s="25"/>
      <c r="W630" s="25"/>
      <c r="X630" s="25"/>
      <c r="Y630" s="25"/>
      <c r="Z630" s="25"/>
      <c r="AA630" s="25"/>
    </row>
    <row r="631" spans="1:27" x14ac:dyDescent="0.35">
      <c r="A631" s="97"/>
      <c r="B631" s="97"/>
      <c r="C631" s="97"/>
      <c r="D631" s="97"/>
      <c r="E631" s="97"/>
      <c r="F631" s="97"/>
      <c r="G631" s="97"/>
      <c r="H631" s="97"/>
      <c r="I631" s="97"/>
      <c r="J631" s="97"/>
      <c r="K631" s="97"/>
      <c r="L631" s="97"/>
      <c r="M631" s="97"/>
      <c r="N631" s="97"/>
      <c r="O631" s="97"/>
      <c r="P631" s="97"/>
      <c r="Q631" s="97"/>
      <c r="R631" s="97"/>
      <c r="S631" s="97"/>
      <c r="T631" s="97"/>
      <c r="U631" s="97"/>
      <c r="V631" s="25"/>
      <c r="W631" s="25"/>
      <c r="X631" s="25"/>
      <c r="Y631" s="25"/>
      <c r="Z631" s="25"/>
      <c r="AA631" s="25"/>
    </row>
    <row r="632" spans="1:27" x14ac:dyDescent="0.35">
      <c r="A632" s="97"/>
      <c r="B632" s="97"/>
      <c r="C632" s="97"/>
      <c r="D632" s="97"/>
      <c r="E632" s="97"/>
      <c r="F632" s="97"/>
      <c r="G632" s="97"/>
      <c r="H632" s="97"/>
      <c r="I632" s="97"/>
      <c r="J632" s="97"/>
      <c r="K632" s="97"/>
      <c r="L632" s="97"/>
      <c r="M632" s="97"/>
      <c r="N632" s="97"/>
      <c r="O632" s="97"/>
      <c r="P632" s="97"/>
      <c r="Q632" s="97"/>
      <c r="R632" s="97"/>
      <c r="S632" s="97"/>
      <c r="T632" s="97"/>
      <c r="U632" s="97"/>
      <c r="V632" s="25"/>
      <c r="W632" s="25"/>
      <c r="X632" s="25"/>
      <c r="Y632" s="25"/>
      <c r="Z632" s="25"/>
      <c r="AA632" s="25"/>
    </row>
    <row r="633" spans="1:27" x14ac:dyDescent="0.35">
      <c r="A633" s="97"/>
      <c r="B633" s="97"/>
      <c r="C633" s="97"/>
      <c r="D633" s="97"/>
      <c r="E633" s="97"/>
      <c r="F633" s="97"/>
      <c r="G633" s="97"/>
      <c r="H633" s="97"/>
      <c r="I633" s="97"/>
      <c r="J633" s="97"/>
      <c r="K633" s="97"/>
      <c r="L633" s="97"/>
      <c r="M633" s="97"/>
      <c r="N633" s="97"/>
      <c r="O633" s="97"/>
      <c r="P633" s="97"/>
      <c r="Q633" s="97"/>
      <c r="R633" s="97"/>
      <c r="S633" s="97"/>
      <c r="T633" s="97"/>
      <c r="U633" s="97"/>
      <c r="V633" s="25"/>
      <c r="W633" s="25"/>
      <c r="X633" s="25"/>
      <c r="Y633" s="25"/>
      <c r="Z633" s="25"/>
      <c r="AA633" s="25"/>
    </row>
    <row r="634" spans="1:27" x14ac:dyDescent="0.35">
      <c r="A634" s="97"/>
      <c r="B634" s="97"/>
      <c r="C634" s="97"/>
      <c r="D634" s="97"/>
      <c r="E634" s="97"/>
      <c r="F634" s="97"/>
      <c r="G634" s="97"/>
      <c r="H634" s="97"/>
      <c r="I634" s="97"/>
      <c r="J634" s="97"/>
      <c r="K634" s="97"/>
      <c r="L634" s="97"/>
      <c r="M634" s="97"/>
      <c r="N634" s="97"/>
      <c r="O634" s="97"/>
      <c r="P634" s="97"/>
      <c r="Q634" s="97"/>
      <c r="R634" s="97"/>
      <c r="S634" s="97"/>
      <c r="T634" s="97"/>
      <c r="U634" s="97"/>
      <c r="V634" s="25"/>
      <c r="W634" s="25"/>
      <c r="X634" s="25"/>
      <c r="Y634" s="25"/>
      <c r="Z634" s="25"/>
      <c r="AA634" s="25"/>
    </row>
    <row r="635" spans="1:27" x14ac:dyDescent="0.35">
      <c r="A635" s="97"/>
      <c r="B635" s="97"/>
      <c r="C635" s="97"/>
      <c r="D635" s="97"/>
      <c r="E635" s="97"/>
      <c r="F635" s="97"/>
      <c r="G635" s="97"/>
      <c r="H635" s="97"/>
      <c r="I635" s="97"/>
      <c r="J635" s="97"/>
      <c r="K635" s="97"/>
      <c r="L635" s="97"/>
      <c r="M635" s="97"/>
      <c r="N635" s="97"/>
      <c r="O635" s="97"/>
      <c r="P635" s="97"/>
      <c r="Q635" s="97"/>
      <c r="R635" s="97"/>
      <c r="S635" s="97"/>
      <c r="T635" s="97"/>
      <c r="U635" s="97"/>
      <c r="V635" s="25"/>
      <c r="W635" s="25"/>
      <c r="X635" s="25"/>
      <c r="Y635" s="25"/>
      <c r="Z635" s="25"/>
      <c r="AA635" s="25"/>
    </row>
    <row r="636" spans="1:27" x14ac:dyDescent="0.35">
      <c r="A636" s="97"/>
      <c r="B636" s="97"/>
      <c r="C636" s="97"/>
      <c r="D636" s="97"/>
      <c r="E636" s="97"/>
      <c r="F636" s="97"/>
      <c r="G636" s="97"/>
      <c r="H636" s="97"/>
      <c r="I636" s="97"/>
      <c r="J636" s="97"/>
      <c r="K636" s="97"/>
      <c r="L636" s="97"/>
      <c r="M636" s="97"/>
      <c r="N636" s="97"/>
      <c r="O636" s="97"/>
      <c r="P636" s="97"/>
      <c r="Q636" s="97"/>
      <c r="R636" s="97"/>
      <c r="S636" s="97"/>
      <c r="T636" s="97"/>
      <c r="U636" s="97"/>
      <c r="V636" s="25"/>
      <c r="W636" s="25"/>
      <c r="X636" s="25"/>
      <c r="Y636" s="25"/>
      <c r="Z636" s="25"/>
      <c r="AA636" s="25"/>
    </row>
    <row r="637" spans="1:27" x14ac:dyDescent="0.35">
      <c r="A637" s="97"/>
      <c r="B637" s="97"/>
      <c r="C637" s="97"/>
      <c r="D637" s="97"/>
      <c r="E637" s="97"/>
      <c r="F637" s="97"/>
      <c r="G637" s="97"/>
      <c r="H637" s="97"/>
      <c r="I637" s="97"/>
      <c r="J637" s="97"/>
      <c r="K637" s="97"/>
      <c r="L637" s="97"/>
      <c r="M637" s="97"/>
      <c r="N637" s="97"/>
      <c r="O637" s="97"/>
      <c r="P637" s="97"/>
      <c r="Q637" s="97"/>
      <c r="R637" s="97"/>
      <c r="S637" s="97"/>
      <c r="T637" s="97"/>
      <c r="U637" s="97"/>
      <c r="V637" s="25"/>
      <c r="W637" s="25"/>
      <c r="X637" s="25"/>
      <c r="Y637" s="25"/>
      <c r="Z637" s="25"/>
      <c r="AA637" s="25"/>
    </row>
    <row r="638" spans="1:27" x14ac:dyDescent="0.35">
      <c r="A638" s="97"/>
      <c r="B638" s="97"/>
      <c r="C638" s="97"/>
      <c r="D638" s="97"/>
      <c r="E638" s="97"/>
      <c r="F638" s="97"/>
      <c r="G638" s="97"/>
      <c r="H638" s="97"/>
      <c r="I638" s="97"/>
      <c r="J638" s="97"/>
      <c r="K638" s="97"/>
      <c r="L638" s="97"/>
      <c r="M638" s="97"/>
      <c r="N638" s="97"/>
      <c r="O638" s="97"/>
      <c r="P638" s="97"/>
      <c r="Q638" s="97"/>
      <c r="R638" s="97"/>
      <c r="S638" s="97"/>
      <c r="T638" s="97"/>
      <c r="U638" s="97"/>
      <c r="V638" s="25"/>
      <c r="W638" s="25"/>
      <c r="X638" s="25"/>
      <c r="Y638" s="25"/>
      <c r="Z638" s="25"/>
      <c r="AA638" s="25"/>
    </row>
    <row r="639" spans="1:27" x14ac:dyDescent="0.35">
      <c r="A639" s="97"/>
      <c r="B639" s="97"/>
      <c r="C639" s="97"/>
      <c r="D639" s="97"/>
      <c r="E639" s="97"/>
      <c r="F639" s="97"/>
      <c r="G639" s="97"/>
      <c r="H639" s="97"/>
      <c r="I639" s="97"/>
      <c r="J639" s="97"/>
      <c r="K639" s="97"/>
      <c r="L639" s="97"/>
      <c r="M639" s="97"/>
      <c r="N639" s="97"/>
      <c r="O639" s="97"/>
      <c r="P639" s="97"/>
      <c r="Q639" s="97"/>
      <c r="R639" s="97"/>
      <c r="S639" s="97"/>
      <c r="T639" s="97"/>
      <c r="U639" s="97"/>
      <c r="V639" s="25"/>
      <c r="W639" s="25"/>
      <c r="X639" s="25"/>
      <c r="Y639" s="25"/>
      <c r="Z639" s="25"/>
      <c r="AA639" s="25"/>
    </row>
    <row r="640" spans="1:27" x14ac:dyDescent="0.35">
      <c r="A640" s="97"/>
      <c r="B640" s="97"/>
      <c r="C640" s="97"/>
      <c r="D640" s="97"/>
      <c r="E640" s="97"/>
      <c r="F640" s="97"/>
      <c r="G640" s="97"/>
      <c r="H640" s="97"/>
      <c r="I640" s="97"/>
      <c r="J640" s="97"/>
      <c r="K640" s="97"/>
      <c r="L640" s="97"/>
      <c r="M640" s="97"/>
      <c r="N640" s="97"/>
      <c r="O640" s="97"/>
      <c r="P640" s="97"/>
      <c r="Q640" s="97"/>
      <c r="R640" s="97"/>
      <c r="S640" s="97"/>
      <c r="T640" s="97"/>
      <c r="U640" s="97"/>
      <c r="V640" s="25"/>
      <c r="W640" s="25"/>
      <c r="X640" s="25"/>
      <c r="Y640" s="25"/>
      <c r="Z640" s="25"/>
      <c r="AA640" s="25"/>
    </row>
    <row r="641" spans="1:27" x14ac:dyDescent="0.35">
      <c r="A641" s="97"/>
      <c r="B641" s="97"/>
      <c r="C641" s="97"/>
      <c r="D641" s="97"/>
      <c r="E641" s="97"/>
      <c r="F641" s="97"/>
      <c r="G641" s="97"/>
      <c r="H641" s="97"/>
      <c r="I641" s="97"/>
      <c r="J641" s="97"/>
      <c r="K641" s="97"/>
      <c r="L641" s="97"/>
      <c r="M641" s="97"/>
      <c r="N641" s="97"/>
      <c r="O641" s="97"/>
      <c r="P641" s="97"/>
      <c r="Q641" s="97"/>
      <c r="R641" s="97"/>
      <c r="S641" s="97"/>
      <c r="T641" s="97"/>
      <c r="U641" s="97"/>
      <c r="V641" s="25"/>
      <c r="W641" s="25"/>
      <c r="X641" s="25"/>
      <c r="Y641" s="25"/>
      <c r="Z641" s="25"/>
      <c r="AA641" s="25"/>
    </row>
    <row r="642" spans="1:27" x14ac:dyDescent="0.35">
      <c r="A642" s="97"/>
      <c r="B642" s="97"/>
      <c r="C642" s="97"/>
      <c r="D642" s="97"/>
      <c r="E642" s="97"/>
      <c r="F642" s="97"/>
      <c r="G642" s="97"/>
      <c r="H642" s="97"/>
      <c r="I642" s="97"/>
      <c r="J642" s="97"/>
      <c r="K642" s="97"/>
      <c r="L642" s="97"/>
      <c r="M642" s="97"/>
      <c r="N642" s="97"/>
      <c r="O642" s="97"/>
      <c r="P642" s="97"/>
      <c r="Q642" s="97"/>
      <c r="R642" s="97"/>
      <c r="S642" s="97"/>
      <c r="T642" s="97"/>
      <c r="U642" s="97"/>
      <c r="V642" s="25"/>
      <c r="W642" s="25"/>
      <c r="X642" s="25"/>
      <c r="Y642" s="25"/>
      <c r="Z642" s="25"/>
      <c r="AA642" s="25"/>
    </row>
    <row r="643" spans="1:27" x14ac:dyDescent="0.35">
      <c r="A643" s="97"/>
      <c r="B643" s="97"/>
      <c r="C643" s="97"/>
      <c r="D643" s="97"/>
      <c r="E643" s="97"/>
      <c r="F643" s="97"/>
      <c r="G643" s="97"/>
      <c r="H643" s="97"/>
      <c r="I643" s="97"/>
      <c r="J643" s="97"/>
      <c r="K643" s="97"/>
      <c r="L643" s="97"/>
      <c r="M643" s="97"/>
      <c r="N643" s="97"/>
      <c r="O643" s="97"/>
      <c r="P643" s="97"/>
      <c r="Q643" s="97"/>
      <c r="R643" s="97"/>
      <c r="S643" s="97"/>
      <c r="T643" s="97"/>
      <c r="U643" s="97"/>
      <c r="V643" s="25"/>
      <c r="W643" s="25"/>
      <c r="X643" s="25"/>
      <c r="Y643" s="25"/>
      <c r="Z643" s="25"/>
      <c r="AA643" s="25"/>
    </row>
    <row r="644" spans="1:27" x14ac:dyDescent="0.35">
      <c r="A644" s="97"/>
      <c r="B644" s="97"/>
      <c r="C644" s="97"/>
      <c r="D644" s="97"/>
      <c r="E644" s="97"/>
      <c r="F644" s="97"/>
      <c r="G644" s="97"/>
      <c r="H644" s="97"/>
      <c r="I644" s="97"/>
      <c r="J644" s="97"/>
      <c r="K644" s="97"/>
      <c r="L644" s="97"/>
      <c r="M644" s="97"/>
      <c r="N644" s="97"/>
      <c r="O644" s="97"/>
      <c r="P644" s="97"/>
      <c r="Q644" s="97"/>
      <c r="R644" s="97"/>
      <c r="S644" s="97"/>
      <c r="T644" s="97"/>
      <c r="U644" s="97"/>
      <c r="V644" s="25"/>
      <c r="W644" s="25"/>
      <c r="X644" s="25"/>
      <c r="Y644" s="25"/>
      <c r="Z644" s="25"/>
      <c r="AA644" s="25"/>
    </row>
    <row r="645" spans="1:27" x14ac:dyDescent="0.35">
      <c r="A645" s="97"/>
      <c r="B645" s="97"/>
      <c r="C645" s="97"/>
      <c r="D645" s="97"/>
      <c r="E645" s="97"/>
      <c r="F645" s="97"/>
      <c r="G645" s="97"/>
      <c r="H645" s="97"/>
      <c r="I645" s="97"/>
      <c r="J645" s="97"/>
      <c r="K645" s="97"/>
      <c r="L645" s="97"/>
      <c r="M645" s="97"/>
      <c r="N645" s="97"/>
      <c r="O645" s="97"/>
      <c r="P645" s="97"/>
      <c r="Q645" s="97"/>
      <c r="R645" s="97"/>
      <c r="S645" s="97"/>
      <c r="T645" s="97"/>
      <c r="U645" s="97"/>
      <c r="V645" s="25"/>
      <c r="W645" s="25"/>
      <c r="X645" s="25"/>
      <c r="Y645" s="25"/>
      <c r="Z645" s="25"/>
      <c r="AA645" s="25"/>
    </row>
    <row r="646" spans="1:27" x14ac:dyDescent="0.35">
      <c r="A646" s="97"/>
      <c r="B646" s="97"/>
      <c r="C646" s="97"/>
      <c r="D646" s="97"/>
      <c r="E646" s="97"/>
      <c r="F646" s="97"/>
      <c r="G646" s="97"/>
      <c r="H646" s="97"/>
      <c r="I646" s="97"/>
      <c r="J646" s="97"/>
      <c r="K646" s="97"/>
      <c r="L646" s="97"/>
      <c r="M646" s="97"/>
      <c r="N646" s="97"/>
      <c r="O646" s="97"/>
      <c r="P646" s="97"/>
      <c r="Q646" s="97"/>
      <c r="R646" s="97"/>
      <c r="S646" s="97"/>
      <c r="T646" s="97"/>
      <c r="U646" s="97"/>
      <c r="V646" s="25"/>
      <c r="W646" s="25"/>
      <c r="X646" s="25"/>
      <c r="Y646" s="25"/>
      <c r="Z646" s="25"/>
      <c r="AA646" s="25"/>
    </row>
    <row r="647" spans="1:27" x14ac:dyDescent="0.35">
      <c r="A647" s="97"/>
      <c r="B647" s="97"/>
      <c r="C647" s="97"/>
      <c r="D647" s="97"/>
      <c r="E647" s="97"/>
      <c r="F647" s="97"/>
      <c r="G647" s="97"/>
      <c r="H647" s="97"/>
      <c r="I647" s="97"/>
      <c r="J647" s="97"/>
      <c r="K647" s="97"/>
      <c r="L647" s="97"/>
      <c r="M647" s="97"/>
      <c r="N647" s="97"/>
      <c r="O647" s="97"/>
      <c r="P647" s="97"/>
      <c r="Q647" s="97"/>
      <c r="R647" s="97"/>
      <c r="S647" s="97"/>
      <c r="T647" s="97"/>
      <c r="U647" s="97"/>
      <c r="V647" s="25"/>
      <c r="W647" s="25"/>
      <c r="X647" s="25"/>
      <c r="Y647" s="25"/>
      <c r="Z647" s="25"/>
      <c r="AA647" s="25"/>
    </row>
    <row r="648" spans="1:27" x14ac:dyDescent="0.35">
      <c r="A648" s="97"/>
      <c r="B648" s="97"/>
      <c r="C648" s="97"/>
      <c r="D648" s="97"/>
      <c r="E648" s="97"/>
      <c r="F648" s="97"/>
      <c r="G648" s="97"/>
      <c r="H648" s="97"/>
      <c r="I648" s="97"/>
      <c r="J648" s="97"/>
      <c r="K648" s="97"/>
      <c r="L648" s="97"/>
      <c r="M648" s="97"/>
      <c r="N648" s="97"/>
      <c r="O648" s="97"/>
      <c r="P648" s="97"/>
      <c r="Q648" s="97"/>
      <c r="R648" s="97"/>
      <c r="S648" s="97"/>
      <c r="T648" s="97"/>
      <c r="U648" s="97"/>
      <c r="V648" s="25"/>
      <c r="W648" s="25"/>
      <c r="X648" s="25"/>
      <c r="Y648" s="25"/>
      <c r="Z648" s="25"/>
      <c r="AA648" s="25"/>
    </row>
    <row r="649" spans="1:27" x14ac:dyDescent="0.35">
      <c r="A649" s="97"/>
      <c r="B649" s="97"/>
      <c r="C649" s="97"/>
      <c r="D649" s="97"/>
      <c r="E649" s="97"/>
      <c r="F649" s="97"/>
      <c r="G649" s="97"/>
      <c r="H649" s="97"/>
      <c r="I649" s="97"/>
      <c r="J649" s="97"/>
      <c r="K649" s="97"/>
      <c r="L649" s="97"/>
      <c r="M649" s="97"/>
      <c r="N649" s="97"/>
      <c r="O649" s="97"/>
      <c r="P649" s="97"/>
      <c r="Q649" s="97"/>
      <c r="R649" s="97"/>
      <c r="S649" s="97"/>
      <c r="T649" s="97"/>
      <c r="U649" s="97"/>
      <c r="V649" s="25"/>
      <c r="W649" s="25"/>
      <c r="X649" s="25"/>
      <c r="Y649" s="25"/>
      <c r="Z649" s="25"/>
      <c r="AA649" s="25"/>
    </row>
    <row r="650" spans="1:27" x14ac:dyDescent="0.35">
      <c r="A650" s="97"/>
      <c r="B650" s="97"/>
      <c r="C650" s="97"/>
      <c r="D650" s="97"/>
      <c r="E650" s="97"/>
      <c r="F650" s="97"/>
      <c r="G650" s="97"/>
      <c r="H650" s="97"/>
      <c r="I650" s="97"/>
      <c r="J650" s="97"/>
      <c r="K650" s="97"/>
      <c r="L650" s="97"/>
      <c r="M650" s="97"/>
      <c r="N650" s="97"/>
      <c r="O650" s="97"/>
      <c r="P650" s="97"/>
      <c r="Q650" s="97"/>
      <c r="R650" s="97"/>
      <c r="S650" s="97"/>
      <c r="T650" s="97"/>
      <c r="U650" s="97"/>
      <c r="V650" s="25"/>
      <c r="W650" s="25"/>
      <c r="X650" s="25"/>
      <c r="Y650" s="25"/>
      <c r="Z650" s="25"/>
      <c r="AA650" s="25"/>
    </row>
    <row r="651" spans="1:27" x14ac:dyDescent="0.35">
      <c r="A651" s="97"/>
      <c r="B651" s="97"/>
      <c r="C651" s="97"/>
      <c r="D651" s="97"/>
      <c r="E651" s="97"/>
      <c r="F651" s="97"/>
      <c r="G651" s="97"/>
      <c r="H651" s="97"/>
      <c r="I651" s="97"/>
      <c r="J651" s="97"/>
      <c r="K651" s="97"/>
      <c r="L651" s="97"/>
      <c r="M651" s="97"/>
      <c r="N651" s="97"/>
      <c r="O651" s="97"/>
      <c r="P651" s="97"/>
      <c r="Q651" s="97"/>
      <c r="R651" s="97"/>
      <c r="S651" s="97"/>
      <c r="T651" s="97"/>
      <c r="U651" s="97"/>
      <c r="V651" s="25"/>
      <c r="W651" s="25"/>
      <c r="X651" s="25"/>
      <c r="Y651" s="25"/>
      <c r="Z651" s="25"/>
      <c r="AA651" s="25"/>
    </row>
    <row r="652" spans="1:27" x14ac:dyDescent="0.35">
      <c r="A652" s="97"/>
      <c r="B652" s="97"/>
      <c r="C652" s="97"/>
      <c r="D652" s="97"/>
      <c r="E652" s="97"/>
      <c r="F652" s="97"/>
      <c r="G652" s="97"/>
      <c r="H652" s="97"/>
      <c r="I652" s="97"/>
      <c r="J652" s="97"/>
      <c r="K652" s="97"/>
      <c r="L652" s="97"/>
      <c r="M652" s="97"/>
      <c r="N652" s="97"/>
      <c r="O652" s="97"/>
      <c r="P652" s="97"/>
      <c r="Q652" s="97"/>
      <c r="R652" s="97"/>
      <c r="S652" s="97"/>
      <c r="T652" s="97"/>
      <c r="U652" s="97"/>
      <c r="V652" s="25"/>
      <c r="W652" s="25"/>
      <c r="X652" s="25"/>
      <c r="Y652" s="25"/>
      <c r="Z652" s="25"/>
      <c r="AA652" s="25"/>
    </row>
    <row r="653" spans="1:27" x14ac:dyDescent="0.35">
      <c r="A653" s="97"/>
      <c r="B653" s="97"/>
      <c r="C653" s="97"/>
      <c r="D653" s="97"/>
      <c r="E653" s="97"/>
      <c r="F653" s="97"/>
      <c r="G653" s="97"/>
      <c r="H653" s="97"/>
      <c r="I653" s="97"/>
      <c r="J653" s="97"/>
      <c r="K653" s="97"/>
      <c r="L653" s="97"/>
      <c r="M653" s="97"/>
      <c r="N653" s="97"/>
      <c r="O653" s="97"/>
      <c r="P653" s="97"/>
      <c r="Q653" s="97"/>
      <c r="R653" s="97"/>
      <c r="S653" s="97"/>
      <c r="T653" s="97"/>
      <c r="U653" s="97"/>
      <c r="V653" s="25"/>
      <c r="W653" s="25"/>
      <c r="X653" s="25"/>
      <c r="Y653" s="25"/>
      <c r="Z653" s="25"/>
      <c r="AA653" s="25"/>
    </row>
    <row r="654" spans="1:27" x14ac:dyDescent="0.35">
      <c r="A654" s="97"/>
      <c r="B654" s="97"/>
      <c r="C654" s="97"/>
      <c r="D654" s="97"/>
      <c r="E654" s="97"/>
      <c r="F654" s="97"/>
      <c r="G654" s="97"/>
      <c r="H654" s="97"/>
      <c r="I654" s="97"/>
      <c r="J654" s="97"/>
      <c r="K654" s="97"/>
      <c r="L654" s="97"/>
      <c r="M654" s="97"/>
      <c r="N654" s="97"/>
      <c r="O654" s="97"/>
      <c r="P654" s="97"/>
      <c r="Q654" s="97"/>
      <c r="R654" s="97"/>
      <c r="S654" s="97"/>
      <c r="T654" s="97"/>
      <c r="U654" s="97"/>
      <c r="V654" s="25"/>
      <c r="W654" s="25"/>
      <c r="X654" s="25"/>
      <c r="Y654" s="25"/>
      <c r="Z654" s="25"/>
      <c r="AA654" s="25"/>
    </row>
    <row r="655" spans="1:27" x14ac:dyDescent="0.35">
      <c r="A655" s="97"/>
      <c r="B655" s="97"/>
      <c r="C655" s="97"/>
      <c r="D655" s="97"/>
      <c r="E655" s="97"/>
      <c r="F655" s="97"/>
      <c r="G655" s="97"/>
      <c r="H655" s="97"/>
      <c r="I655" s="97"/>
      <c r="J655" s="97"/>
      <c r="K655" s="97"/>
      <c r="L655" s="97"/>
      <c r="M655" s="97"/>
      <c r="N655" s="97"/>
      <c r="O655" s="97"/>
      <c r="P655" s="97"/>
      <c r="Q655" s="97"/>
      <c r="R655" s="97"/>
      <c r="S655" s="97"/>
      <c r="T655" s="97"/>
      <c r="U655" s="97"/>
      <c r="V655" s="25"/>
      <c r="W655" s="25"/>
      <c r="X655" s="25"/>
      <c r="Y655" s="25"/>
      <c r="Z655" s="25"/>
      <c r="AA655" s="25"/>
    </row>
    <row r="656" spans="1:27" x14ac:dyDescent="0.35">
      <c r="A656" s="97"/>
      <c r="B656" s="97"/>
      <c r="C656" s="97"/>
      <c r="D656" s="97"/>
      <c r="E656" s="97"/>
      <c r="F656" s="97"/>
      <c r="G656" s="97"/>
      <c r="H656" s="97"/>
      <c r="I656" s="97"/>
      <c r="J656" s="97"/>
      <c r="K656" s="97"/>
      <c r="L656" s="97"/>
      <c r="M656" s="97"/>
      <c r="N656" s="97"/>
      <c r="O656" s="97"/>
      <c r="P656" s="97"/>
      <c r="Q656" s="97"/>
      <c r="R656" s="97"/>
      <c r="S656" s="97"/>
      <c r="T656" s="97"/>
      <c r="U656" s="97"/>
      <c r="V656" s="25"/>
      <c r="W656" s="25"/>
      <c r="X656" s="25"/>
      <c r="Y656" s="25"/>
      <c r="Z656" s="25"/>
      <c r="AA656" s="25"/>
    </row>
    <row r="657" spans="1:27" x14ac:dyDescent="0.35">
      <c r="A657" s="97"/>
      <c r="B657" s="97"/>
      <c r="C657" s="97"/>
      <c r="D657" s="97"/>
      <c r="E657" s="97"/>
      <c r="F657" s="97"/>
      <c r="G657" s="97"/>
      <c r="H657" s="97"/>
      <c r="I657" s="97"/>
      <c r="J657" s="97"/>
      <c r="K657" s="97"/>
      <c r="L657" s="97"/>
      <c r="M657" s="97"/>
      <c r="N657" s="97"/>
      <c r="O657" s="97"/>
      <c r="P657" s="97"/>
      <c r="Q657" s="97"/>
      <c r="R657" s="97"/>
      <c r="S657" s="97"/>
      <c r="T657" s="97"/>
      <c r="U657" s="97"/>
      <c r="V657" s="25"/>
      <c r="W657" s="25"/>
      <c r="X657" s="25"/>
      <c r="Y657" s="25"/>
      <c r="Z657" s="25"/>
      <c r="AA657" s="25"/>
    </row>
    <row r="658" spans="1:27" x14ac:dyDescent="0.35">
      <c r="A658" s="97"/>
      <c r="B658" s="97"/>
      <c r="C658" s="97"/>
      <c r="D658" s="97"/>
      <c r="E658" s="97"/>
      <c r="F658" s="97"/>
      <c r="G658" s="97"/>
      <c r="H658" s="97"/>
      <c r="I658" s="97"/>
      <c r="J658" s="97"/>
      <c r="K658" s="97"/>
      <c r="L658" s="97"/>
      <c r="M658" s="97"/>
      <c r="N658" s="97"/>
      <c r="O658" s="97"/>
      <c r="P658" s="97"/>
      <c r="Q658" s="97"/>
      <c r="R658" s="97"/>
      <c r="S658" s="97"/>
      <c r="T658" s="97"/>
      <c r="U658" s="97"/>
      <c r="V658" s="25"/>
      <c r="W658" s="25"/>
      <c r="X658" s="25"/>
      <c r="Y658" s="25"/>
      <c r="Z658" s="25"/>
      <c r="AA658" s="25"/>
    </row>
    <row r="659" spans="1:27" x14ac:dyDescent="0.35">
      <c r="A659" s="97"/>
      <c r="B659" s="97"/>
      <c r="C659" s="97"/>
      <c r="D659" s="97"/>
      <c r="E659" s="97"/>
      <c r="F659" s="97"/>
      <c r="G659" s="97"/>
      <c r="H659" s="97"/>
      <c r="I659" s="97"/>
      <c r="J659" s="97"/>
      <c r="K659" s="97"/>
      <c r="L659" s="97"/>
      <c r="M659" s="97"/>
      <c r="N659" s="97"/>
      <c r="O659" s="97"/>
      <c r="P659" s="97"/>
      <c r="Q659" s="97"/>
      <c r="R659" s="97"/>
      <c r="S659" s="97"/>
      <c r="T659" s="97"/>
      <c r="U659" s="97"/>
      <c r="V659" s="25"/>
      <c r="W659" s="25"/>
      <c r="X659" s="25"/>
      <c r="Y659" s="25"/>
      <c r="Z659" s="25"/>
      <c r="AA659" s="25"/>
    </row>
    <row r="660" spans="1:27" x14ac:dyDescent="0.35">
      <c r="A660" s="97"/>
      <c r="B660" s="97"/>
      <c r="C660" s="97"/>
      <c r="D660" s="97"/>
      <c r="E660" s="97"/>
      <c r="F660" s="97"/>
      <c r="G660" s="97"/>
      <c r="H660" s="97"/>
      <c r="I660" s="97"/>
      <c r="J660" s="97"/>
      <c r="K660" s="97"/>
      <c r="L660" s="97"/>
      <c r="M660" s="97"/>
      <c r="N660" s="97"/>
      <c r="O660" s="97"/>
      <c r="P660" s="97"/>
      <c r="Q660" s="97"/>
      <c r="R660" s="97"/>
      <c r="S660" s="97"/>
      <c r="T660" s="97"/>
      <c r="U660" s="97"/>
      <c r="V660" s="25"/>
      <c r="W660" s="25"/>
      <c r="X660" s="25"/>
      <c r="Y660" s="25"/>
      <c r="Z660" s="25"/>
      <c r="AA660" s="25"/>
    </row>
    <row r="661" spans="1:27" x14ac:dyDescent="0.35">
      <c r="A661" s="97"/>
      <c r="B661" s="97"/>
      <c r="C661" s="97"/>
      <c r="D661" s="97"/>
      <c r="E661" s="97"/>
      <c r="F661" s="97"/>
      <c r="G661" s="97"/>
      <c r="H661" s="97"/>
      <c r="I661" s="97"/>
      <c r="J661" s="97"/>
      <c r="K661" s="97"/>
      <c r="L661" s="97"/>
      <c r="M661" s="97"/>
      <c r="N661" s="97"/>
      <c r="O661" s="97"/>
      <c r="P661" s="97"/>
      <c r="Q661" s="97"/>
      <c r="R661" s="97"/>
      <c r="S661" s="97"/>
      <c r="T661" s="97"/>
      <c r="U661" s="97"/>
      <c r="V661" s="25"/>
      <c r="W661" s="25"/>
      <c r="X661" s="25"/>
      <c r="Y661" s="25"/>
      <c r="Z661" s="25"/>
      <c r="AA661" s="25"/>
    </row>
    <row r="662" spans="1:27" x14ac:dyDescent="0.35">
      <c r="A662" s="97"/>
      <c r="B662" s="97"/>
      <c r="C662" s="97"/>
      <c r="D662" s="97"/>
      <c r="E662" s="97"/>
      <c r="F662" s="97"/>
      <c r="G662" s="97"/>
      <c r="H662" s="97"/>
      <c r="I662" s="97"/>
      <c r="J662" s="97"/>
      <c r="K662" s="97"/>
      <c r="L662" s="97"/>
      <c r="M662" s="97"/>
      <c r="N662" s="97"/>
      <c r="O662" s="97"/>
      <c r="P662" s="97"/>
      <c r="Q662" s="97"/>
      <c r="R662" s="97"/>
      <c r="S662" s="97"/>
      <c r="T662" s="97"/>
      <c r="U662" s="97"/>
      <c r="V662" s="25"/>
      <c r="W662" s="25"/>
      <c r="X662" s="25"/>
      <c r="Y662" s="25"/>
      <c r="Z662" s="25"/>
      <c r="AA662" s="25"/>
    </row>
    <row r="663" spans="1:27" x14ac:dyDescent="0.35">
      <c r="A663" s="97"/>
      <c r="B663" s="97"/>
      <c r="C663" s="97"/>
      <c r="D663" s="97"/>
      <c r="E663" s="97"/>
      <c r="F663" s="97"/>
      <c r="G663" s="97"/>
      <c r="H663" s="97"/>
      <c r="I663" s="97"/>
      <c r="J663" s="97"/>
      <c r="K663" s="97"/>
      <c r="L663" s="97"/>
      <c r="M663" s="97"/>
      <c r="N663" s="97"/>
      <c r="O663" s="97"/>
      <c r="P663" s="97"/>
      <c r="Q663" s="97"/>
      <c r="R663" s="97"/>
      <c r="S663" s="97"/>
      <c r="T663" s="97"/>
      <c r="U663" s="97"/>
      <c r="V663" s="25"/>
      <c r="W663" s="25"/>
      <c r="X663" s="25"/>
      <c r="Y663" s="25"/>
      <c r="Z663" s="25"/>
      <c r="AA663" s="25"/>
    </row>
    <row r="664" spans="1:27" x14ac:dyDescent="0.35">
      <c r="A664" s="97"/>
      <c r="B664" s="97"/>
      <c r="C664" s="97"/>
      <c r="D664" s="97"/>
      <c r="E664" s="97"/>
      <c r="F664" s="97"/>
      <c r="G664" s="97"/>
      <c r="H664" s="97"/>
      <c r="I664" s="97"/>
      <c r="J664" s="97"/>
      <c r="K664" s="97"/>
      <c r="L664" s="97"/>
      <c r="M664" s="97"/>
      <c r="N664" s="97"/>
      <c r="O664" s="97"/>
      <c r="P664" s="97"/>
      <c r="Q664" s="97"/>
      <c r="R664" s="97"/>
      <c r="S664" s="97"/>
      <c r="T664" s="97"/>
      <c r="U664" s="97"/>
      <c r="V664" s="25"/>
      <c r="W664" s="25"/>
      <c r="X664" s="25"/>
      <c r="Y664" s="25"/>
      <c r="Z664" s="25"/>
      <c r="AA664" s="25"/>
    </row>
    <row r="665" spans="1:27" x14ac:dyDescent="0.35">
      <c r="A665" s="97"/>
      <c r="B665" s="97"/>
      <c r="C665" s="97"/>
      <c r="D665" s="97"/>
      <c r="E665" s="97"/>
      <c r="F665" s="97"/>
      <c r="G665" s="97"/>
      <c r="H665" s="97"/>
      <c r="I665" s="97"/>
      <c r="J665" s="97"/>
      <c r="K665" s="97"/>
      <c r="L665" s="97"/>
      <c r="M665" s="97"/>
      <c r="N665" s="97"/>
      <c r="O665" s="97"/>
      <c r="P665" s="97"/>
      <c r="Q665" s="97"/>
      <c r="R665" s="97"/>
      <c r="S665" s="97"/>
      <c r="T665" s="97"/>
      <c r="U665" s="97"/>
      <c r="V665" s="25"/>
      <c r="W665" s="25"/>
      <c r="X665" s="25"/>
      <c r="Y665" s="25"/>
      <c r="Z665" s="25"/>
      <c r="AA665" s="25"/>
    </row>
    <row r="666" spans="1:27" x14ac:dyDescent="0.35">
      <c r="A666" s="97"/>
      <c r="B666" s="97"/>
      <c r="C666" s="97"/>
      <c r="D666" s="97"/>
      <c r="E666" s="97"/>
      <c r="F666" s="97"/>
      <c r="G666" s="97"/>
      <c r="H666" s="97"/>
      <c r="I666" s="97"/>
      <c r="J666" s="97"/>
      <c r="K666" s="97"/>
      <c r="L666" s="97"/>
      <c r="M666" s="97"/>
      <c r="N666" s="97"/>
      <c r="O666" s="97"/>
      <c r="P666" s="97"/>
      <c r="Q666" s="97"/>
      <c r="R666" s="97"/>
      <c r="S666" s="97"/>
      <c r="T666" s="97"/>
      <c r="U666" s="97"/>
      <c r="V666" s="25"/>
      <c r="W666" s="25"/>
      <c r="X666" s="25"/>
      <c r="Y666" s="25"/>
      <c r="Z666" s="25"/>
      <c r="AA666" s="25"/>
    </row>
    <row r="667" spans="1:27" x14ac:dyDescent="0.35">
      <c r="A667" s="97"/>
      <c r="B667" s="97"/>
      <c r="C667" s="97"/>
      <c r="D667" s="97"/>
      <c r="E667" s="97"/>
      <c r="F667" s="97"/>
      <c r="G667" s="97"/>
      <c r="H667" s="97"/>
      <c r="I667" s="97"/>
      <c r="J667" s="97"/>
      <c r="K667" s="97"/>
      <c r="L667" s="97"/>
      <c r="M667" s="97"/>
      <c r="N667" s="97"/>
      <c r="O667" s="97"/>
      <c r="P667" s="97"/>
      <c r="Q667" s="97"/>
      <c r="R667" s="97"/>
      <c r="S667" s="97"/>
      <c r="T667" s="97"/>
      <c r="U667" s="97"/>
      <c r="V667" s="25"/>
      <c r="W667" s="25"/>
      <c r="X667" s="25"/>
      <c r="Y667" s="25"/>
      <c r="Z667" s="25"/>
      <c r="AA667" s="25"/>
    </row>
    <row r="668" spans="1:27" x14ac:dyDescent="0.35">
      <c r="A668" s="97"/>
      <c r="B668" s="97"/>
      <c r="C668" s="97"/>
      <c r="D668" s="97"/>
      <c r="E668" s="97"/>
      <c r="F668" s="97"/>
      <c r="G668" s="97"/>
      <c r="H668" s="97"/>
      <c r="I668" s="97"/>
      <c r="J668" s="97"/>
      <c r="K668" s="97"/>
      <c r="L668" s="97"/>
      <c r="M668" s="97"/>
      <c r="N668" s="97"/>
      <c r="O668" s="97"/>
      <c r="P668" s="97"/>
      <c r="Q668" s="97"/>
      <c r="R668" s="97"/>
      <c r="S668" s="97"/>
      <c r="T668" s="97"/>
      <c r="U668" s="97"/>
      <c r="V668" s="25"/>
      <c r="W668" s="25"/>
      <c r="X668" s="25"/>
      <c r="Y668" s="25"/>
      <c r="Z668" s="25"/>
      <c r="AA668" s="25"/>
    </row>
    <row r="669" spans="1:27" x14ac:dyDescent="0.35">
      <c r="A669" s="97"/>
      <c r="B669" s="97"/>
      <c r="C669" s="97"/>
      <c r="D669" s="97"/>
      <c r="E669" s="97"/>
      <c r="F669" s="97"/>
      <c r="G669" s="97"/>
      <c r="H669" s="97"/>
      <c r="I669" s="97"/>
      <c r="J669" s="97"/>
      <c r="K669" s="97"/>
      <c r="L669" s="97"/>
      <c r="M669" s="97"/>
      <c r="N669" s="97"/>
      <c r="O669" s="97"/>
      <c r="P669" s="97"/>
      <c r="Q669" s="97"/>
      <c r="R669" s="97"/>
      <c r="S669" s="97"/>
      <c r="T669" s="97"/>
      <c r="U669" s="97"/>
      <c r="V669" s="25"/>
      <c r="W669" s="25"/>
      <c r="X669" s="25"/>
      <c r="Y669" s="25"/>
      <c r="Z669" s="25"/>
      <c r="AA669" s="25"/>
    </row>
    <row r="670" spans="1:27" x14ac:dyDescent="0.35">
      <c r="A670" s="97"/>
      <c r="B670" s="97"/>
      <c r="C670" s="97"/>
      <c r="D670" s="97"/>
      <c r="E670" s="97"/>
      <c r="F670" s="97"/>
      <c r="G670" s="97"/>
      <c r="H670" s="97"/>
      <c r="I670" s="97"/>
      <c r="J670" s="97"/>
      <c r="K670" s="97"/>
      <c r="L670" s="97"/>
      <c r="M670" s="97"/>
      <c r="N670" s="97"/>
      <c r="O670" s="97"/>
      <c r="P670" s="97"/>
      <c r="Q670" s="97"/>
      <c r="R670" s="97"/>
      <c r="S670" s="97"/>
      <c r="T670" s="97"/>
      <c r="U670" s="97"/>
      <c r="V670" s="25"/>
      <c r="W670" s="25"/>
      <c r="X670" s="25"/>
      <c r="Y670" s="25"/>
      <c r="Z670" s="25"/>
      <c r="AA670" s="25"/>
    </row>
    <row r="671" spans="1:27" x14ac:dyDescent="0.35">
      <c r="A671" s="97"/>
      <c r="B671" s="97"/>
      <c r="C671" s="97"/>
      <c r="D671" s="97"/>
      <c r="E671" s="97"/>
      <c r="F671" s="97"/>
      <c r="G671" s="97"/>
      <c r="H671" s="97"/>
      <c r="I671" s="97"/>
      <c r="J671" s="97"/>
      <c r="K671" s="97"/>
      <c r="L671" s="97"/>
      <c r="M671" s="97"/>
      <c r="N671" s="97"/>
      <c r="O671" s="97"/>
      <c r="P671" s="97"/>
      <c r="Q671" s="97"/>
      <c r="R671" s="97"/>
      <c r="S671" s="97"/>
      <c r="T671" s="97"/>
      <c r="U671" s="97"/>
      <c r="V671" s="25"/>
      <c r="W671" s="25"/>
      <c r="X671" s="25"/>
      <c r="Y671" s="25"/>
      <c r="Z671" s="25"/>
      <c r="AA671" s="25"/>
    </row>
    <row r="672" spans="1:27" x14ac:dyDescent="0.35">
      <c r="A672" s="97"/>
      <c r="B672" s="97"/>
      <c r="C672" s="97"/>
      <c r="D672" s="97"/>
      <c r="E672" s="97"/>
      <c r="F672" s="97"/>
      <c r="G672" s="97"/>
      <c r="H672" s="97"/>
      <c r="I672" s="97"/>
      <c r="J672" s="97"/>
      <c r="K672" s="97"/>
      <c r="L672" s="97"/>
      <c r="M672" s="97"/>
      <c r="N672" s="97"/>
      <c r="O672" s="97"/>
      <c r="P672" s="97"/>
      <c r="Q672" s="97"/>
      <c r="R672" s="97"/>
      <c r="S672" s="97"/>
      <c r="T672" s="97"/>
      <c r="U672" s="97"/>
      <c r="V672" s="25"/>
      <c r="W672" s="25"/>
      <c r="X672" s="25"/>
      <c r="Y672" s="25"/>
      <c r="Z672" s="25"/>
      <c r="AA672" s="25"/>
    </row>
    <row r="673" spans="1:27" x14ac:dyDescent="0.35">
      <c r="A673" s="97"/>
      <c r="B673" s="97"/>
      <c r="C673" s="97"/>
      <c r="D673" s="97"/>
      <c r="E673" s="97"/>
      <c r="F673" s="97"/>
      <c r="G673" s="97"/>
      <c r="H673" s="97"/>
      <c r="I673" s="97"/>
      <c r="J673" s="97"/>
      <c r="K673" s="97"/>
      <c r="L673" s="97"/>
      <c r="M673" s="97"/>
      <c r="N673" s="97"/>
      <c r="O673" s="97"/>
      <c r="P673" s="97"/>
      <c r="Q673" s="97"/>
      <c r="R673" s="97"/>
      <c r="S673" s="97"/>
      <c r="T673" s="97"/>
      <c r="U673" s="97"/>
      <c r="V673" s="25"/>
      <c r="W673" s="25"/>
      <c r="X673" s="25"/>
      <c r="Y673" s="25"/>
      <c r="Z673" s="25"/>
      <c r="AA673" s="25"/>
    </row>
    <row r="674" spans="1:27" x14ac:dyDescent="0.35">
      <c r="A674" s="97"/>
      <c r="B674" s="97"/>
      <c r="C674" s="97"/>
      <c r="D674" s="97"/>
      <c r="E674" s="97"/>
      <c r="F674" s="97"/>
      <c r="G674" s="97"/>
      <c r="H674" s="97"/>
      <c r="I674" s="97"/>
      <c r="J674" s="97"/>
      <c r="K674" s="97"/>
      <c r="L674" s="97"/>
      <c r="M674" s="97"/>
      <c r="N674" s="97"/>
      <c r="O674" s="97"/>
      <c r="P674" s="97"/>
      <c r="Q674" s="97"/>
      <c r="R674" s="97"/>
      <c r="S674" s="97"/>
      <c r="T674" s="97"/>
      <c r="U674" s="97"/>
      <c r="V674" s="25"/>
      <c r="W674" s="25"/>
      <c r="X674" s="25"/>
      <c r="Y674" s="25"/>
      <c r="Z674" s="25"/>
      <c r="AA674" s="25"/>
    </row>
    <row r="675" spans="1:27" x14ac:dyDescent="0.35">
      <c r="A675" s="97"/>
      <c r="B675" s="97"/>
      <c r="C675" s="97"/>
      <c r="D675" s="97"/>
      <c r="E675" s="97"/>
      <c r="F675" s="97"/>
      <c r="G675" s="97"/>
      <c r="H675" s="97"/>
      <c r="I675" s="97"/>
      <c r="J675" s="97"/>
      <c r="K675" s="97"/>
      <c r="L675" s="97"/>
      <c r="M675" s="97"/>
      <c r="N675" s="97"/>
      <c r="O675" s="97"/>
      <c r="P675" s="97"/>
      <c r="Q675" s="97"/>
      <c r="R675" s="97"/>
      <c r="S675" s="97"/>
      <c r="T675" s="97"/>
      <c r="U675" s="97"/>
      <c r="V675" s="25"/>
      <c r="W675" s="25"/>
      <c r="X675" s="25"/>
      <c r="Y675" s="25"/>
      <c r="Z675" s="25"/>
      <c r="AA675" s="25"/>
    </row>
    <row r="676" spans="1:27" x14ac:dyDescent="0.35">
      <c r="A676" s="97"/>
      <c r="B676" s="97"/>
      <c r="C676" s="97"/>
      <c r="D676" s="97"/>
      <c r="E676" s="97"/>
      <c r="F676" s="97"/>
      <c r="G676" s="97"/>
      <c r="H676" s="97"/>
      <c r="I676" s="97"/>
      <c r="J676" s="97"/>
      <c r="K676" s="97"/>
      <c r="L676" s="97"/>
      <c r="M676" s="97"/>
      <c r="N676" s="97"/>
      <c r="O676" s="97"/>
      <c r="P676" s="97"/>
      <c r="Q676" s="97"/>
      <c r="R676" s="97"/>
      <c r="S676" s="97"/>
      <c r="T676" s="97"/>
      <c r="U676" s="97"/>
      <c r="V676" s="25"/>
      <c r="W676" s="25"/>
      <c r="X676" s="25"/>
      <c r="Y676" s="25"/>
      <c r="Z676" s="25"/>
      <c r="AA676" s="25"/>
    </row>
    <row r="677" spans="1:27" x14ac:dyDescent="0.35">
      <c r="A677" s="97"/>
      <c r="B677" s="97"/>
      <c r="C677" s="97"/>
      <c r="D677" s="97"/>
      <c r="E677" s="97"/>
      <c r="F677" s="97"/>
      <c r="G677" s="97"/>
      <c r="H677" s="97"/>
      <c r="I677" s="97"/>
      <c r="J677" s="97"/>
      <c r="K677" s="97"/>
      <c r="L677" s="97"/>
      <c r="M677" s="97"/>
      <c r="N677" s="97"/>
      <c r="O677" s="97"/>
      <c r="P677" s="97"/>
      <c r="Q677" s="97"/>
      <c r="R677" s="97"/>
      <c r="S677" s="97"/>
      <c r="T677" s="97"/>
      <c r="U677" s="97"/>
      <c r="V677" s="25"/>
      <c r="W677" s="25"/>
      <c r="X677" s="25"/>
      <c r="Y677" s="25"/>
      <c r="Z677" s="25"/>
      <c r="AA677" s="25"/>
    </row>
    <row r="678" spans="1:27" x14ac:dyDescent="0.35">
      <c r="A678" s="97"/>
      <c r="B678" s="97"/>
      <c r="C678" s="97"/>
      <c r="D678" s="97"/>
      <c r="E678" s="97"/>
      <c r="F678" s="97"/>
      <c r="G678" s="97"/>
      <c r="H678" s="97"/>
      <c r="I678" s="97"/>
      <c r="J678" s="97"/>
      <c r="K678" s="97"/>
      <c r="L678" s="97"/>
      <c r="M678" s="97"/>
      <c r="N678" s="97"/>
      <c r="O678" s="97"/>
      <c r="P678" s="97"/>
      <c r="Q678" s="97"/>
      <c r="R678" s="97"/>
      <c r="S678" s="97"/>
      <c r="T678" s="97"/>
      <c r="U678" s="97"/>
      <c r="V678" s="25"/>
      <c r="W678" s="25"/>
      <c r="X678" s="25"/>
      <c r="Y678" s="25"/>
      <c r="Z678" s="25"/>
      <c r="AA678" s="25"/>
    </row>
    <row r="679" spans="1:27" x14ac:dyDescent="0.35">
      <c r="A679" s="97"/>
      <c r="B679" s="97"/>
      <c r="C679" s="97"/>
      <c r="D679" s="97"/>
      <c r="E679" s="97"/>
      <c r="F679" s="97"/>
      <c r="G679" s="97"/>
      <c r="H679" s="97"/>
      <c r="I679" s="97"/>
      <c r="J679" s="97"/>
      <c r="K679" s="97"/>
      <c r="L679" s="97"/>
      <c r="M679" s="97"/>
      <c r="N679" s="97"/>
      <c r="O679" s="97"/>
      <c r="P679" s="97"/>
      <c r="Q679" s="97"/>
      <c r="R679" s="97"/>
      <c r="S679" s="97"/>
      <c r="T679" s="97"/>
      <c r="U679" s="97"/>
      <c r="V679" s="25"/>
      <c r="W679" s="25"/>
      <c r="X679" s="25"/>
      <c r="Y679" s="25"/>
      <c r="Z679" s="25"/>
      <c r="AA679" s="25"/>
    </row>
    <row r="680" spans="1:27" x14ac:dyDescent="0.35">
      <c r="A680" s="97"/>
      <c r="B680" s="97"/>
      <c r="C680" s="97"/>
      <c r="D680" s="97"/>
      <c r="E680" s="97"/>
      <c r="F680" s="97"/>
      <c r="G680" s="97"/>
      <c r="H680" s="97"/>
      <c r="I680" s="97"/>
      <c r="J680" s="97"/>
      <c r="K680" s="97"/>
      <c r="L680" s="97"/>
      <c r="M680" s="97"/>
      <c r="N680" s="97"/>
      <c r="O680" s="97"/>
      <c r="P680" s="97"/>
      <c r="Q680" s="97"/>
      <c r="R680" s="97"/>
      <c r="S680" s="97"/>
      <c r="T680" s="97"/>
      <c r="U680" s="97"/>
      <c r="V680" s="25"/>
      <c r="W680" s="25"/>
      <c r="X680" s="25"/>
      <c r="Y680" s="25"/>
      <c r="Z680" s="25"/>
      <c r="AA680" s="25"/>
    </row>
    <row r="681" spans="1:27" x14ac:dyDescent="0.35">
      <c r="A681" s="97"/>
      <c r="B681" s="97"/>
      <c r="C681" s="97"/>
      <c r="D681" s="97"/>
      <c r="E681" s="97"/>
      <c r="F681" s="97"/>
      <c r="G681" s="97"/>
      <c r="H681" s="97"/>
      <c r="I681" s="97"/>
      <c r="J681" s="97"/>
      <c r="K681" s="97"/>
      <c r="L681" s="97"/>
      <c r="M681" s="97"/>
      <c r="N681" s="97"/>
      <c r="O681" s="97"/>
      <c r="P681" s="97"/>
      <c r="Q681" s="97"/>
      <c r="R681" s="97"/>
      <c r="S681" s="97"/>
      <c r="T681" s="97"/>
      <c r="U681" s="97"/>
      <c r="V681" s="25"/>
      <c r="W681" s="25"/>
      <c r="X681" s="25"/>
      <c r="Y681" s="25"/>
      <c r="Z681" s="25"/>
      <c r="AA681" s="25"/>
    </row>
    <row r="682" spans="1:27" x14ac:dyDescent="0.35">
      <c r="A682" s="97"/>
      <c r="B682" s="97"/>
      <c r="C682" s="97"/>
      <c r="D682" s="97"/>
      <c r="E682" s="97"/>
      <c r="F682" s="97"/>
      <c r="G682" s="97"/>
      <c r="H682" s="97"/>
      <c r="I682" s="97"/>
      <c r="J682" s="97"/>
      <c r="K682" s="97"/>
      <c r="L682" s="97"/>
      <c r="M682" s="97"/>
      <c r="N682" s="97"/>
      <c r="O682" s="97"/>
      <c r="P682" s="97"/>
      <c r="Q682" s="97"/>
      <c r="R682" s="97"/>
      <c r="S682" s="97"/>
      <c r="T682" s="97"/>
      <c r="U682" s="97"/>
      <c r="V682" s="25"/>
      <c r="W682" s="25"/>
      <c r="X682" s="25"/>
      <c r="Y682" s="25"/>
      <c r="Z682" s="25"/>
      <c r="AA682" s="25"/>
    </row>
    <row r="683" spans="1:27" x14ac:dyDescent="0.35">
      <c r="A683" s="97"/>
      <c r="B683" s="97"/>
      <c r="C683" s="97"/>
      <c r="D683" s="97"/>
      <c r="E683" s="97"/>
      <c r="F683" s="97"/>
      <c r="G683" s="97"/>
      <c r="H683" s="97"/>
      <c r="I683" s="97"/>
      <c r="J683" s="97"/>
      <c r="K683" s="97"/>
      <c r="L683" s="97"/>
      <c r="M683" s="97"/>
      <c r="N683" s="97"/>
      <c r="O683" s="97"/>
      <c r="P683" s="97"/>
      <c r="Q683" s="97"/>
      <c r="R683" s="97"/>
      <c r="S683" s="97"/>
      <c r="T683" s="97"/>
      <c r="U683" s="97"/>
      <c r="V683" s="25"/>
      <c r="W683" s="25"/>
      <c r="X683" s="25"/>
      <c r="Y683" s="25"/>
      <c r="Z683" s="25"/>
      <c r="AA683" s="25"/>
    </row>
    <row r="684" spans="1:27" x14ac:dyDescent="0.35">
      <c r="A684" s="97"/>
      <c r="B684" s="97"/>
      <c r="C684" s="97"/>
      <c r="D684" s="97"/>
      <c r="E684" s="97"/>
      <c r="F684" s="97"/>
      <c r="G684" s="97"/>
      <c r="H684" s="97"/>
      <c r="I684" s="97"/>
      <c r="J684" s="97"/>
      <c r="K684" s="97"/>
      <c r="L684" s="97"/>
      <c r="M684" s="97"/>
      <c r="N684" s="97"/>
      <c r="O684" s="97"/>
      <c r="P684" s="97"/>
      <c r="Q684" s="97"/>
      <c r="R684" s="97"/>
      <c r="S684" s="97"/>
      <c r="T684" s="97"/>
      <c r="U684" s="97"/>
      <c r="V684" s="25"/>
      <c r="W684" s="25"/>
      <c r="X684" s="25"/>
      <c r="Y684" s="25"/>
      <c r="Z684" s="25"/>
      <c r="AA684" s="25"/>
    </row>
    <row r="685" spans="1:27" x14ac:dyDescent="0.35">
      <c r="A685" s="97"/>
      <c r="B685" s="97"/>
      <c r="C685" s="97"/>
      <c r="D685" s="97"/>
      <c r="E685" s="97"/>
      <c r="F685" s="97"/>
      <c r="G685" s="97"/>
      <c r="H685" s="97"/>
      <c r="I685" s="97"/>
      <c r="J685" s="97"/>
      <c r="K685" s="97"/>
      <c r="L685" s="97"/>
      <c r="M685" s="97"/>
      <c r="N685" s="97"/>
      <c r="O685" s="97"/>
      <c r="P685" s="97"/>
      <c r="Q685" s="97"/>
      <c r="R685" s="97"/>
      <c r="S685" s="97"/>
      <c r="T685" s="97"/>
      <c r="U685" s="97"/>
      <c r="V685" s="25"/>
      <c r="W685" s="25"/>
      <c r="X685" s="25"/>
      <c r="Y685" s="25"/>
      <c r="Z685" s="25"/>
      <c r="AA685" s="25"/>
    </row>
    <row r="686" spans="1:27" x14ac:dyDescent="0.35">
      <c r="A686" s="97"/>
      <c r="B686" s="97"/>
      <c r="C686" s="97"/>
      <c r="D686" s="97"/>
      <c r="E686" s="97"/>
      <c r="F686" s="97"/>
      <c r="G686" s="97"/>
      <c r="H686" s="97"/>
      <c r="I686" s="97"/>
      <c r="J686" s="97"/>
      <c r="K686" s="97"/>
      <c r="L686" s="97"/>
      <c r="M686" s="97"/>
      <c r="N686" s="97"/>
      <c r="O686" s="97"/>
      <c r="P686" s="97"/>
      <c r="Q686" s="97"/>
      <c r="R686" s="97"/>
      <c r="S686" s="97"/>
      <c r="T686" s="97"/>
      <c r="U686" s="97"/>
      <c r="V686" s="25"/>
      <c r="W686" s="25"/>
      <c r="X686" s="25"/>
      <c r="Y686" s="25"/>
      <c r="Z686" s="25"/>
      <c r="AA686" s="25"/>
    </row>
    <row r="687" spans="1:27" x14ac:dyDescent="0.35">
      <c r="A687" s="97"/>
      <c r="B687" s="97"/>
      <c r="C687" s="97"/>
      <c r="D687" s="97"/>
      <c r="E687" s="97"/>
      <c r="F687" s="97"/>
      <c r="G687" s="97"/>
      <c r="H687" s="97"/>
      <c r="I687" s="97"/>
      <c r="J687" s="97"/>
      <c r="K687" s="97"/>
      <c r="L687" s="97"/>
      <c r="M687" s="97"/>
      <c r="N687" s="97"/>
      <c r="O687" s="97"/>
      <c r="P687" s="97"/>
      <c r="Q687" s="97"/>
      <c r="R687" s="97"/>
      <c r="S687" s="97"/>
      <c r="T687" s="97"/>
      <c r="U687" s="97"/>
      <c r="V687" s="25"/>
      <c r="W687" s="25"/>
      <c r="X687" s="25"/>
      <c r="Y687" s="25"/>
      <c r="Z687" s="25"/>
      <c r="AA687" s="25"/>
    </row>
    <row r="688" spans="1:27" x14ac:dyDescent="0.35">
      <c r="A688" s="97"/>
      <c r="B688" s="97"/>
      <c r="C688" s="97"/>
      <c r="D688" s="97"/>
      <c r="E688" s="97"/>
      <c r="F688" s="97"/>
      <c r="G688" s="97"/>
      <c r="H688" s="97"/>
      <c r="I688" s="97"/>
      <c r="J688" s="97"/>
      <c r="K688" s="97"/>
      <c r="L688" s="97"/>
      <c r="M688" s="97"/>
      <c r="N688" s="97"/>
      <c r="O688" s="97"/>
      <c r="P688" s="97"/>
      <c r="Q688" s="97"/>
      <c r="R688" s="97"/>
      <c r="S688" s="97"/>
      <c r="T688" s="97"/>
      <c r="U688" s="97"/>
      <c r="V688" s="25"/>
      <c r="W688" s="25"/>
      <c r="X688" s="25"/>
      <c r="Y688" s="25"/>
      <c r="Z688" s="25"/>
      <c r="AA688" s="25"/>
    </row>
    <row r="689" spans="1:27" x14ac:dyDescent="0.35">
      <c r="A689" s="97"/>
      <c r="B689" s="97"/>
      <c r="C689" s="97"/>
      <c r="D689" s="97"/>
      <c r="E689" s="97"/>
      <c r="F689" s="97"/>
      <c r="G689" s="97"/>
      <c r="H689" s="97"/>
      <c r="I689" s="97"/>
      <c r="J689" s="97"/>
      <c r="K689" s="97"/>
      <c r="L689" s="97"/>
      <c r="M689" s="97"/>
      <c r="N689" s="97"/>
      <c r="O689" s="97"/>
      <c r="P689" s="97"/>
      <c r="Q689" s="97"/>
      <c r="R689" s="97"/>
      <c r="S689" s="97"/>
      <c r="T689" s="97"/>
      <c r="U689" s="97"/>
      <c r="V689" s="25"/>
      <c r="W689" s="25"/>
      <c r="X689" s="25"/>
      <c r="Y689" s="25"/>
      <c r="Z689" s="25"/>
      <c r="AA689" s="25"/>
    </row>
    <row r="690" spans="1:27" x14ac:dyDescent="0.35">
      <c r="A690" s="97"/>
      <c r="B690" s="97"/>
      <c r="C690" s="97"/>
      <c r="D690" s="97"/>
      <c r="E690" s="97"/>
      <c r="F690" s="97"/>
      <c r="G690" s="97"/>
      <c r="H690" s="97"/>
      <c r="I690" s="97"/>
      <c r="J690" s="97"/>
      <c r="K690" s="97"/>
      <c r="L690" s="97"/>
      <c r="M690" s="97"/>
      <c r="N690" s="97"/>
      <c r="O690" s="97"/>
      <c r="P690" s="97"/>
      <c r="Q690" s="97"/>
      <c r="R690" s="97"/>
      <c r="S690" s="97"/>
      <c r="T690" s="97"/>
      <c r="U690" s="97"/>
      <c r="V690" s="25"/>
      <c r="W690" s="25"/>
      <c r="X690" s="25"/>
      <c r="Y690" s="25"/>
      <c r="Z690" s="25"/>
      <c r="AA690" s="25"/>
    </row>
    <row r="691" spans="1:27" x14ac:dyDescent="0.35">
      <c r="A691" s="97"/>
      <c r="B691" s="97"/>
      <c r="C691" s="97"/>
      <c r="D691" s="97"/>
      <c r="E691" s="97"/>
      <c r="F691" s="97"/>
      <c r="G691" s="97"/>
      <c r="H691" s="97"/>
      <c r="I691" s="97"/>
      <c r="J691" s="97"/>
      <c r="K691" s="97"/>
      <c r="L691" s="97"/>
      <c r="M691" s="97"/>
      <c r="N691" s="97"/>
      <c r="O691" s="97"/>
      <c r="P691" s="97"/>
      <c r="Q691" s="97"/>
      <c r="R691" s="97"/>
      <c r="S691" s="97"/>
      <c r="T691" s="97"/>
      <c r="U691" s="97"/>
      <c r="V691" s="25"/>
      <c r="W691" s="25"/>
      <c r="X691" s="25"/>
      <c r="Y691" s="25"/>
      <c r="Z691" s="25"/>
      <c r="AA691" s="25"/>
    </row>
    <row r="692" spans="1:27" x14ac:dyDescent="0.35">
      <c r="A692" s="97"/>
      <c r="B692" s="97"/>
      <c r="C692" s="97"/>
      <c r="D692" s="97"/>
      <c r="E692" s="97"/>
      <c r="F692" s="97"/>
      <c r="G692" s="97"/>
      <c r="H692" s="97"/>
      <c r="I692" s="97"/>
      <c r="J692" s="97"/>
      <c r="K692" s="97"/>
      <c r="L692" s="97"/>
      <c r="M692" s="97"/>
      <c r="N692" s="97"/>
      <c r="O692" s="97"/>
      <c r="P692" s="97"/>
      <c r="Q692" s="97"/>
      <c r="R692" s="97"/>
      <c r="S692" s="97"/>
      <c r="T692" s="97"/>
      <c r="U692" s="97"/>
      <c r="V692" s="25"/>
      <c r="W692" s="25"/>
      <c r="X692" s="25"/>
      <c r="Y692" s="25"/>
      <c r="Z692" s="25"/>
      <c r="AA692" s="25"/>
    </row>
    <row r="693" spans="1:27" x14ac:dyDescent="0.35">
      <c r="A693" s="97"/>
      <c r="B693" s="97"/>
      <c r="C693" s="97"/>
      <c r="D693" s="97"/>
      <c r="E693" s="97"/>
      <c r="F693" s="97"/>
      <c r="G693" s="97"/>
      <c r="H693" s="97"/>
      <c r="I693" s="97"/>
      <c r="J693" s="97"/>
      <c r="K693" s="97"/>
      <c r="L693" s="97"/>
      <c r="M693" s="97"/>
      <c r="N693" s="97"/>
      <c r="O693" s="97"/>
      <c r="P693" s="97"/>
      <c r="Q693" s="97"/>
      <c r="R693" s="97"/>
      <c r="S693" s="97"/>
      <c r="T693" s="97"/>
      <c r="U693" s="97"/>
      <c r="V693" s="25"/>
      <c r="W693" s="25"/>
      <c r="X693" s="25"/>
      <c r="Y693" s="25"/>
      <c r="Z693" s="25"/>
      <c r="AA693" s="25"/>
    </row>
    <row r="694" spans="1:27" x14ac:dyDescent="0.35">
      <c r="A694" s="97"/>
      <c r="B694" s="97"/>
      <c r="C694" s="97"/>
      <c r="D694" s="97"/>
      <c r="E694" s="97"/>
      <c r="F694" s="97"/>
      <c r="G694" s="97"/>
      <c r="H694" s="97"/>
      <c r="I694" s="97"/>
      <c r="J694" s="97"/>
      <c r="K694" s="97"/>
      <c r="L694" s="97"/>
      <c r="M694" s="97"/>
      <c r="N694" s="97"/>
      <c r="O694" s="97"/>
      <c r="P694" s="97"/>
      <c r="Q694" s="97"/>
      <c r="R694" s="97"/>
      <c r="S694" s="97"/>
      <c r="T694" s="97"/>
      <c r="U694" s="97"/>
      <c r="V694" s="25"/>
      <c r="W694" s="25"/>
      <c r="X694" s="25"/>
      <c r="Y694" s="25"/>
      <c r="Z694" s="25"/>
      <c r="AA694" s="25"/>
    </row>
    <row r="695" spans="1:27" x14ac:dyDescent="0.35">
      <c r="A695" s="97"/>
      <c r="B695" s="97"/>
      <c r="C695" s="97"/>
      <c r="D695" s="97"/>
      <c r="E695" s="97"/>
      <c r="F695" s="97"/>
      <c r="G695" s="97"/>
      <c r="H695" s="97"/>
      <c r="I695" s="97"/>
      <c r="J695" s="97"/>
      <c r="K695" s="97"/>
      <c r="L695" s="97"/>
      <c r="M695" s="97"/>
      <c r="N695" s="97"/>
      <c r="O695" s="97"/>
      <c r="P695" s="97"/>
      <c r="Q695" s="97"/>
      <c r="R695" s="97"/>
      <c r="S695" s="97"/>
      <c r="T695" s="97"/>
      <c r="U695" s="97"/>
      <c r="V695" s="25"/>
      <c r="W695" s="25"/>
      <c r="X695" s="25"/>
      <c r="Y695" s="25"/>
      <c r="Z695" s="25"/>
      <c r="AA695" s="25"/>
    </row>
    <row r="696" spans="1:27" x14ac:dyDescent="0.35">
      <c r="A696" s="97"/>
      <c r="B696" s="97"/>
      <c r="C696" s="97"/>
      <c r="D696" s="97"/>
      <c r="E696" s="97"/>
      <c r="F696" s="97"/>
      <c r="G696" s="97"/>
      <c r="H696" s="97"/>
      <c r="I696" s="97"/>
      <c r="J696" s="97"/>
      <c r="K696" s="97"/>
      <c r="L696" s="97"/>
      <c r="M696" s="97"/>
      <c r="N696" s="97"/>
      <c r="O696" s="97"/>
      <c r="P696" s="97"/>
      <c r="Q696" s="97"/>
      <c r="R696" s="97"/>
      <c r="S696" s="97"/>
      <c r="T696" s="97"/>
      <c r="U696" s="97"/>
      <c r="V696" s="25"/>
      <c r="W696" s="25"/>
      <c r="X696" s="25"/>
      <c r="Y696" s="25"/>
      <c r="Z696" s="25"/>
      <c r="AA696" s="25"/>
    </row>
    <row r="697" spans="1:27" x14ac:dyDescent="0.35">
      <c r="A697" s="97"/>
      <c r="B697" s="97"/>
      <c r="C697" s="97"/>
      <c r="D697" s="97"/>
      <c r="E697" s="97"/>
      <c r="F697" s="97"/>
      <c r="G697" s="97"/>
      <c r="H697" s="97"/>
      <c r="I697" s="97"/>
      <c r="J697" s="97"/>
      <c r="K697" s="97"/>
      <c r="L697" s="97"/>
      <c r="M697" s="97"/>
      <c r="N697" s="97"/>
      <c r="O697" s="97"/>
      <c r="P697" s="97"/>
      <c r="Q697" s="97"/>
      <c r="R697" s="97"/>
      <c r="S697" s="97"/>
      <c r="T697" s="97"/>
      <c r="U697" s="97"/>
      <c r="V697" s="25"/>
      <c r="W697" s="25"/>
      <c r="X697" s="25"/>
      <c r="Y697" s="25"/>
      <c r="Z697" s="25"/>
      <c r="AA697" s="25"/>
    </row>
    <row r="698" spans="1:27" x14ac:dyDescent="0.35">
      <c r="A698" s="97"/>
      <c r="B698" s="97"/>
      <c r="C698" s="97"/>
      <c r="D698" s="97"/>
      <c r="E698" s="97"/>
      <c r="F698" s="97"/>
      <c r="G698" s="97"/>
      <c r="H698" s="97"/>
      <c r="I698" s="97"/>
      <c r="J698" s="97"/>
      <c r="K698" s="97"/>
      <c r="L698" s="97"/>
      <c r="M698" s="97"/>
      <c r="N698" s="97"/>
      <c r="O698" s="97"/>
      <c r="P698" s="97"/>
      <c r="Q698" s="97"/>
      <c r="R698" s="97"/>
      <c r="S698" s="97"/>
      <c r="T698" s="97"/>
      <c r="U698" s="97"/>
      <c r="V698" s="25"/>
      <c r="W698" s="25"/>
      <c r="X698" s="25"/>
      <c r="Y698" s="25"/>
      <c r="Z698" s="25"/>
      <c r="AA698" s="25"/>
    </row>
    <row r="699" spans="1:27" x14ac:dyDescent="0.35">
      <c r="A699" s="97"/>
      <c r="B699" s="97"/>
      <c r="C699" s="97"/>
      <c r="D699" s="97"/>
      <c r="E699" s="97"/>
      <c r="F699" s="97"/>
      <c r="G699" s="97"/>
      <c r="H699" s="97"/>
      <c r="I699" s="97"/>
      <c r="J699" s="97"/>
      <c r="K699" s="97"/>
      <c r="L699" s="97"/>
      <c r="M699" s="97"/>
      <c r="N699" s="97"/>
      <c r="O699" s="97"/>
      <c r="P699" s="97"/>
      <c r="Q699" s="97"/>
      <c r="R699" s="97"/>
      <c r="S699" s="97"/>
      <c r="T699" s="97"/>
      <c r="U699" s="97"/>
      <c r="V699" s="25"/>
      <c r="W699" s="25"/>
      <c r="X699" s="25"/>
      <c r="Y699" s="25"/>
      <c r="Z699" s="25"/>
      <c r="AA699" s="25"/>
    </row>
    <row r="700" spans="1:27" x14ac:dyDescent="0.35">
      <c r="A700" s="97"/>
      <c r="B700" s="97"/>
      <c r="C700" s="97"/>
      <c r="D700" s="97"/>
      <c r="E700" s="97"/>
      <c r="F700" s="97"/>
      <c r="G700" s="97"/>
      <c r="H700" s="97"/>
      <c r="I700" s="97"/>
      <c r="J700" s="97"/>
      <c r="K700" s="97"/>
      <c r="L700" s="97"/>
      <c r="M700" s="97"/>
      <c r="N700" s="97"/>
      <c r="O700" s="97"/>
      <c r="P700" s="97"/>
      <c r="Q700" s="97"/>
      <c r="R700" s="97"/>
      <c r="S700" s="97"/>
      <c r="T700" s="97"/>
      <c r="U700" s="97"/>
      <c r="V700" s="25"/>
      <c r="W700" s="25"/>
      <c r="X700" s="25"/>
      <c r="Y700" s="25"/>
      <c r="Z700" s="25"/>
      <c r="AA700" s="25"/>
    </row>
    <row r="701" spans="1:27" x14ac:dyDescent="0.35">
      <c r="A701" s="97"/>
      <c r="B701" s="97"/>
      <c r="C701" s="97"/>
      <c r="D701" s="97"/>
      <c r="E701" s="97"/>
      <c r="F701" s="97"/>
      <c r="G701" s="97"/>
      <c r="H701" s="97"/>
      <c r="I701" s="97"/>
      <c r="J701" s="97"/>
      <c r="K701" s="97"/>
      <c r="L701" s="97"/>
      <c r="M701" s="97"/>
      <c r="N701" s="97"/>
      <c r="O701" s="97"/>
      <c r="P701" s="97"/>
      <c r="Q701" s="97"/>
      <c r="R701" s="97"/>
      <c r="S701" s="97"/>
      <c r="T701" s="97"/>
      <c r="U701" s="97"/>
      <c r="V701" s="25"/>
      <c r="W701" s="25"/>
      <c r="X701" s="25"/>
      <c r="Y701" s="25"/>
      <c r="Z701" s="25"/>
      <c r="AA701" s="25"/>
    </row>
    <row r="702" spans="1:27" x14ac:dyDescent="0.35">
      <c r="A702" s="97"/>
      <c r="B702" s="97"/>
      <c r="C702" s="97"/>
      <c r="D702" s="97"/>
      <c r="E702" s="97"/>
      <c r="F702" s="97"/>
      <c r="G702" s="97"/>
      <c r="H702" s="97"/>
      <c r="I702" s="97"/>
      <c r="J702" s="97"/>
      <c r="K702" s="97"/>
      <c r="L702" s="97"/>
      <c r="M702" s="97"/>
      <c r="N702" s="97"/>
      <c r="O702" s="97"/>
      <c r="P702" s="97"/>
      <c r="Q702" s="97"/>
      <c r="R702" s="97"/>
      <c r="S702" s="97"/>
      <c r="T702" s="97"/>
      <c r="U702" s="97"/>
      <c r="V702" s="25"/>
      <c r="W702" s="25"/>
      <c r="X702" s="25"/>
      <c r="Y702" s="25"/>
      <c r="Z702" s="25"/>
      <c r="AA702" s="25"/>
    </row>
    <row r="703" spans="1:27" x14ac:dyDescent="0.35">
      <c r="A703" s="97"/>
      <c r="B703" s="97"/>
      <c r="C703" s="97"/>
      <c r="D703" s="97"/>
      <c r="E703" s="97"/>
      <c r="F703" s="97"/>
      <c r="G703" s="97"/>
      <c r="H703" s="97"/>
      <c r="I703" s="97"/>
      <c r="J703" s="97"/>
      <c r="K703" s="97"/>
      <c r="L703" s="97"/>
      <c r="M703" s="97"/>
      <c r="N703" s="97"/>
      <c r="O703" s="97"/>
      <c r="P703" s="97"/>
      <c r="Q703" s="97"/>
      <c r="R703" s="97"/>
      <c r="S703" s="97"/>
      <c r="T703" s="97"/>
      <c r="U703" s="97"/>
      <c r="V703" s="25"/>
      <c r="W703" s="25"/>
      <c r="X703" s="25"/>
      <c r="Y703" s="25"/>
      <c r="Z703" s="25"/>
      <c r="AA703" s="25"/>
    </row>
    <row r="704" spans="1:27" x14ac:dyDescent="0.35">
      <c r="A704" s="97"/>
      <c r="B704" s="97"/>
      <c r="C704" s="97"/>
      <c r="D704" s="97"/>
      <c r="E704" s="97"/>
      <c r="F704" s="97"/>
      <c r="G704" s="97"/>
      <c r="H704" s="97"/>
      <c r="I704" s="97"/>
      <c r="J704" s="97"/>
      <c r="K704" s="97"/>
      <c r="L704" s="97"/>
      <c r="M704" s="97"/>
      <c r="N704" s="97"/>
      <c r="O704" s="97"/>
      <c r="P704" s="97"/>
      <c r="Q704" s="97"/>
      <c r="R704" s="97"/>
      <c r="S704" s="97"/>
      <c r="T704" s="97"/>
      <c r="U704" s="97"/>
      <c r="V704" s="25"/>
      <c r="W704" s="25"/>
      <c r="X704" s="25"/>
      <c r="Y704" s="25"/>
      <c r="Z704" s="25"/>
      <c r="AA704" s="25"/>
    </row>
    <row r="705" spans="1:27" x14ac:dyDescent="0.35">
      <c r="A705" s="97"/>
      <c r="B705" s="97"/>
      <c r="C705" s="97"/>
      <c r="D705" s="97"/>
      <c r="E705" s="97"/>
      <c r="F705" s="97"/>
      <c r="G705" s="97"/>
      <c r="H705" s="97"/>
      <c r="I705" s="97"/>
      <c r="J705" s="97"/>
      <c r="K705" s="97"/>
      <c r="L705" s="97"/>
      <c r="M705" s="97"/>
      <c r="N705" s="97"/>
      <c r="O705" s="97"/>
      <c r="P705" s="97"/>
      <c r="Q705" s="97"/>
      <c r="R705" s="97"/>
      <c r="S705" s="97"/>
      <c r="T705" s="97"/>
      <c r="U705" s="97"/>
      <c r="V705" s="25"/>
      <c r="W705" s="25"/>
      <c r="X705" s="25"/>
      <c r="Y705" s="25"/>
      <c r="Z705" s="25"/>
      <c r="AA705" s="25"/>
    </row>
    <row r="706" spans="1:27" x14ac:dyDescent="0.35">
      <c r="A706" s="97"/>
      <c r="B706" s="97"/>
      <c r="C706" s="97"/>
      <c r="D706" s="97"/>
      <c r="E706" s="97"/>
      <c r="F706" s="97"/>
      <c r="G706" s="97"/>
      <c r="H706" s="97"/>
      <c r="I706" s="97"/>
      <c r="J706" s="97"/>
      <c r="K706" s="97"/>
      <c r="L706" s="97"/>
      <c r="M706" s="97"/>
      <c r="N706" s="97"/>
      <c r="O706" s="97"/>
      <c r="P706" s="97"/>
      <c r="Q706" s="97"/>
      <c r="R706" s="97"/>
      <c r="S706" s="97"/>
      <c r="T706" s="97"/>
      <c r="U706" s="97"/>
      <c r="V706" s="25"/>
      <c r="W706" s="25"/>
      <c r="X706" s="25"/>
      <c r="Y706" s="25"/>
      <c r="Z706" s="25"/>
      <c r="AA706" s="25"/>
    </row>
    <row r="707" spans="1:27" x14ac:dyDescent="0.35">
      <c r="A707" s="97"/>
      <c r="B707" s="97"/>
      <c r="C707" s="97"/>
      <c r="D707" s="97"/>
      <c r="E707" s="97"/>
      <c r="F707" s="97"/>
      <c r="G707" s="97"/>
      <c r="H707" s="97"/>
      <c r="I707" s="97"/>
      <c r="J707" s="97"/>
      <c r="K707" s="97"/>
      <c r="L707" s="97"/>
      <c r="M707" s="97"/>
      <c r="N707" s="97"/>
      <c r="O707" s="97"/>
      <c r="P707" s="97"/>
      <c r="Q707" s="97"/>
      <c r="R707" s="97"/>
      <c r="S707" s="97"/>
      <c r="T707" s="97"/>
      <c r="U707" s="97"/>
      <c r="V707" s="25"/>
      <c r="W707" s="25"/>
      <c r="X707" s="25"/>
      <c r="Y707" s="25"/>
      <c r="Z707" s="25"/>
      <c r="AA707" s="25"/>
    </row>
    <row r="708" spans="1:27" x14ac:dyDescent="0.35">
      <c r="A708" s="97"/>
      <c r="B708" s="97"/>
      <c r="C708" s="97"/>
      <c r="D708" s="97"/>
      <c r="E708" s="97"/>
      <c r="F708" s="97"/>
      <c r="G708" s="97"/>
      <c r="H708" s="97"/>
      <c r="I708" s="97"/>
      <c r="J708" s="97"/>
      <c r="K708" s="97"/>
      <c r="L708" s="97"/>
      <c r="M708" s="97"/>
      <c r="N708" s="97"/>
      <c r="O708" s="97"/>
      <c r="P708" s="97"/>
      <c r="Q708" s="97"/>
      <c r="R708" s="97"/>
      <c r="S708" s="97"/>
      <c r="T708" s="97"/>
      <c r="U708" s="97"/>
      <c r="V708" s="25"/>
      <c r="W708" s="25"/>
      <c r="X708" s="25"/>
      <c r="Y708" s="25"/>
      <c r="Z708" s="25"/>
      <c r="AA708" s="25"/>
    </row>
    <row r="709" spans="1:27" x14ac:dyDescent="0.35">
      <c r="A709" s="97"/>
      <c r="B709" s="97"/>
      <c r="C709" s="97"/>
      <c r="D709" s="97"/>
      <c r="E709" s="97"/>
      <c r="F709" s="97"/>
      <c r="G709" s="97"/>
      <c r="H709" s="97"/>
      <c r="I709" s="97"/>
      <c r="J709" s="97"/>
      <c r="K709" s="97"/>
      <c r="L709" s="97"/>
      <c r="M709" s="97"/>
      <c r="N709" s="97"/>
      <c r="O709" s="97"/>
      <c r="P709" s="97"/>
      <c r="Q709" s="97"/>
      <c r="R709" s="97"/>
      <c r="S709" s="97"/>
      <c r="T709" s="97"/>
      <c r="U709" s="97"/>
      <c r="V709" s="25"/>
      <c r="W709" s="25"/>
      <c r="X709" s="25"/>
      <c r="Y709" s="25"/>
      <c r="Z709" s="25"/>
      <c r="AA709" s="25"/>
    </row>
    <row r="710" spans="1:27" x14ac:dyDescent="0.35">
      <c r="A710" s="97"/>
      <c r="B710" s="97"/>
      <c r="C710" s="97"/>
      <c r="D710" s="97"/>
      <c r="E710" s="97"/>
      <c r="F710" s="97"/>
      <c r="G710" s="97"/>
      <c r="H710" s="97"/>
      <c r="I710" s="97"/>
      <c r="J710" s="97"/>
      <c r="K710" s="97"/>
      <c r="L710" s="97"/>
      <c r="M710" s="97"/>
      <c r="N710" s="97"/>
      <c r="O710" s="97"/>
      <c r="P710" s="97"/>
      <c r="Q710" s="97"/>
      <c r="R710" s="97"/>
      <c r="S710" s="97"/>
      <c r="T710" s="97"/>
      <c r="U710" s="97"/>
      <c r="V710" s="25"/>
      <c r="W710" s="25"/>
      <c r="X710" s="25"/>
      <c r="Y710" s="25"/>
      <c r="Z710" s="25"/>
      <c r="AA710" s="25"/>
    </row>
    <row r="711" spans="1:27" x14ac:dyDescent="0.35">
      <c r="A711" s="97"/>
      <c r="B711" s="97"/>
      <c r="C711" s="97"/>
      <c r="D711" s="97"/>
      <c r="E711" s="97"/>
      <c r="F711" s="97"/>
      <c r="G711" s="97"/>
      <c r="H711" s="97"/>
      <c r="I711" s="97"/>
      <c r="J711" s="97"/>
      <c r="K711" s="97"/>
      <c r="L711" s="97"/>
      <c r="M711" s="97"/>
      <c r="N711" s="97"/>
      <c r="O711" s="97"/>
      <c r="P711" s="97"/>
      <c r="Q711" s="97"/>
      <c r="R711" s="97"/>
      <c r="S711" s="97"/>
      <c r="T711" s="97"/>
      <c r="U711" s="97"/>
      <c r="V711" s="25"/>
      <c r="W711" s="25"/>
      <c r="X711" s="25"/>
      <c r="Y711" s="25"/>
      <c r="Z711" s="25"/>
      <c r="AA711" s="25"/>
    </row>
    <row r="712" spans="1:27" x14ac:dyDescent="0.35">
      <c r="A712" s="97"/>
      <c r="B712" s="97"/>
      <c r="C712" s="97"/>
      <c r="D712" s="97"/>
      <c r="E712" s="97"/>
      <c r="F712" s="97"/>
      <c r="G712" s="97"/>
      <c r="H712" s="97"/>
      <c r="I712" s="97"/>
      <c r="J712" s="97"/>
      <c r="K712" s="97"/>
      <c r="L712" s="97"/>
      <c r="M712" s="97"/>
      <c r="N712" s="97"/>
      <c r="O712" s="97"/>
      <c r="P712" s="97"/>
      <c r="Q712" s="97"/>
      <c r="R712" s="97"/>
      <c r="S712" s="97"/>
      <c r="T712" s="97"/>
      <c r="U712" s="97"/>
      <c r="V712" s="25"/>
      <c r="W712" s="25"/>
      <c r="X712" s="25"/>
      <c r="Y712" s="25"/>
      <c r="Z712" s="25"/>
      <c r="AA712" s="25"/>
    </row>
    <row r="713" spans="1:27" x14ac:dyDescent="0.35">
      <c r="A713" s="97"/>
      <c r="B713" s="97"/>
      <c r="C713" s="97"/>
      <c r="D713" s="97"/>
      <c r="E713" s="97"/>
      <c r="F713" s="97"/>
      <c r="G713" s="97"/>
      <c r="H713" s="97"/>
      <c r="I713" s="97"/>
      <c r="J713" s="97"/>
      <c r="K713" s="97"/>
      <c r="L713" s="97"/>
      <c r="M713" s="97"/>
      <c r="N713" s="97"/>
      <c r="O713" s="97"/>
      <c r="P713" s="97"/>
      <c r="Q713" s="97"/>
      <c r="R713" s="97"/>
      <c r="S713" s="97"/>
      <c r="T713" s="97"/>
      <c r="U713" s="97"/>
      <c r="V713" s="25"/>
      <c r="W713" s="25"/>
      <c r="X713" s="25"/>
      <c r="Y713" s="25"/>
      <c r="Z713" s="25"/>
      <c r="AA713" s="25"/>
    </row>
    <row r="714" spans="1:27" x14ac:dyDescent="0.35">
      <c r="A714" s="97"/>
      <c r="B714" s="97"/>
      <c r="C714" s="97"/>
      <c r="D714" s="97"/>
      <c r="E714" s="97"/>
      <c r="F714" s="97"/>
      <c r="G714" s="97"/>
      <c r="H714" s="97"/>
      <c r="I714" s="97"/>
      <c r="J714" s="97"/>
      <c r="K714" s="97"/>
      <c r="L714" s="97"/>
      <c r="M714" s="97"/>
      <c r="N714" s="97"/>
      <c r="O714" s="97"/>
      <c r="P714" s="97"/>
      <c r="Q714" s="97"/>
      <c r="R714" s="97"/>
      <c r="S714" s="97"/>
      <c r="T714" s="97"/>
      <c r="U714" s="97"/>
      <c r="V714" s="25"/>
      <c r="W714" s="25"/>
      <c r="X714" s="25"/>
      <c r="Y714" s="25"/>
      <c r="Z714" s="25"/>
      <c r="AA714" s="25"/>
    </row>
    <row r="715" spans="1:27" x14ac:dyDescent="0.35">
      <c r="A715" s="97"/>
      <c r="B715" s="97"/>
      <c r="C715" s="97"/>
      <c r="D715" s="97"/>
      <c r="E715" s="97"/>
      <c r="F715" s="97"/>
      <c r="G715" s="97"/>
      <c r="H715" s="97"/>
      <c r="I715" s="97"/>
      <c r="J715" s="97"/>
      <c r="K715" s="97"/>
      <c r="L715" s="97"/>
      <c r="M715" s="97"/>
      <c r="N715" s="97"/>
      <c r="O715" s="97"/>
      <c r="P715" s="97"/>
      <c r="Q715" s="97"/>
      <c r="R715" s="97"/>
      <c r="S715" s="97"/>
      <c r="T715" s="97"/>
      <c r="U715" s="97"/>
      <c r="V715" s="25"/>
      <c r="W715" s="25"/>
      <c r="X715" s="25"/>
      <c r="Y715" s="25"/>
      <c r="Z715" s="25"/>
      <c r="AA715" s="25"/>
    </row>
    <row r="716" spans="1:27" x14ac:dyDescent="0.35">
      <c r="A716" s="97"/>
      <c r="B716" s="97"/>
      <c r="C716" s="97"/>
      <c r="D716" s="97"/>
      <c r="E716" s="97"/>
      <c r="F716" s="97"/>
      <c r="G716" s="97"/>
      <c r="H716" s="97"/>
      <c r="I716" s="97"/>
      <c r="J716" s="97"/>
      <c r="K716" s="97"/>
      <c r="L716" s="97"/>
      <c r="M716" s="97"/>
      <c r="N716" s="97"/>
      <c r="O716" s="97"/>
      <c r="P716" s="97"/>
      <c r="Q716" s="97"/>
      <c r="R716" s="97"/>
      <c r="S716" s="97"/>
      <c r="T716" s="97"/>
      <c r="U716" s="97"/>
      <c r="V716" s="25"/>
      <c r="W716" s="25"/>
      <c r="X716" s="25"/>
      <c r="Y716" s="25"/>
      <c r="Z716" s="25"/>
      <c r="AA716" s="25"/>
    </row>
    <row r="717" spans="1:27" x14ac:dyDescent="0.35">
      <c r="A717" s="97"/>
      <c r="B717" s="97"/>
      <c r="C717" s="97"/>
      <c r="D717" s="97"/>
      <c r="E717" s="97"/>
      <c r="F717" s="97"/>
      <c r="G717" s="97"/>
      <c r="H717" s="97"/>
      <c r="I717" s="97"/>
      <c r="J717" s="97"/>
      <c r="K717" s="97"/>
      <c r="L717" s="97"/>
      <c r="M717" s="97"/>
      <c r="N717" s="97"/>
      <c r="O717" s="97"/>
      <c r="P717" s="97"/>
      <c r="Q717" s="97"/>
      <c r="R717" s="97"/>
      <c r="S717" s="97"/>
      <c r="T717" s="97"/>
      <c r="U717" s="97"/>
      <c r="V717" s="25"/>
      <c r="W717" s="25"/>
      <c r="X717" s="25"/>
      <c r="Y717" s="25"/>
      <c r="Z717" s="25"/>
      <c r="AA717" s="25"/>
    </row>
    <row r="718" spans="1:27" x14ac:dyDescent="0.35">
      <c r="A718" s="97"/>
      <c r="B718" s="97"/>
      <c r="C718" s="97"/>
      <c r="D718" s="97"/>
      <c r="E718" s="97"/>
      <c r="F718" s="97"/>
      <c r="G718" s="97"/>
      <c r="H718" s="97"/>
      <c r="I718" s="97"/>
      <c r="J718" s="97"/>
      <c r="K718" s="97"/>
      <c r="L718" s="97"/>
      <c r="M718" s="97"/>
      <c r="N718" s="97"/>
      <c r="O718" s="97"/>
      <c r="P718" s="97"/>
      <c r="Q718" s="97"/>
      <c r="R718" s="97"/>
      <c r="S718" s="97"/>
      <c r="T718" s="97"/>
      <c r="U718" s="97"/>
      <c r="V718" s="25"/>
      <c r="W718" s="25"/>
      <c r="X718" s="25"/>
      <c r="Y718" s="25"/>
      <c r="Z718" s="25"/>
      <c r="AA718" s="25"/>
    </row>
    <row r="719" spans="1:27" x14ac:dyDescent="0.35">
      <c r="A719" s="97"/>
      <c r="B719" s="97"/>
      <c r="C719" s="97"/>
      <c r="D719" s="97"/>
      <c r="E719" s="97"/>
      <c r="F719" s="97"/>
      <c r="G719" s="97"/>
      <c r="H719" s="97"/>
      <c r="I719" s="97"/>
      <c r="J719" s="97"/>
      <c r="K719" s="97"/>
      <c r="L719" s="97"/>
      <c r="M719" s="97"/>
      <c r="N719" s="97"/>
      <c r="O719" s="97"/>
      <c r="P719" s="97"/>
      <c r="Q719" s="97"/>
      <c r="R719" s="97"/>
      <c r="S719" s="97"/>
      <c r="T719" s="97"/>
      <c r="U719" s="97"/>
      <c r="V719" s="25"/>
      <c r="W719" s="25"/>
      <c r="X719" s="25"/>
      <c r="Y719" s="25"/>
      <c r="Z719" s="25"/>
      <c r="AA719" s="25"/>
    </row>
    <row r="720" spans="1:27" x14ac:dyDescent="0.35">
      <c r="A720" s="97"/>
      <c r="B720" s="97"/>
      <c r="C720" s="97"/>
      <c r="D720" s="97"/>
      <c r="E720" s="97"/>
      <c r="F720" s="97"/>
      <c r="G720" s="97"/>
      <c r="H720" s="97"/>
      <c r="I720" s="97"/>
      <c r="J720" s="97"/>
      <c r="K720" s="97"/>
      <c r="L720" s="97"/>
      <c r="M720" s="97"/>
      <c r="N720" s="97"/>
      <c r="O720" s="97"/>
      <c r="P720" s="97"/>
      <c r="Q720" s="97"/>
      <c r="R720" s="97"/>
      <c r="S720" s="97"/>
      <c r="T720" s="97"/>
      <c r="U720" s="97"/>
      <c r="V720" s="25"/>
      <c r="W720" s="25"/>
      <c r="X720" s="25"/>
      <c r="Y720" s="25"/>
      <c r="Z720" s="25"/>
      <c r="AA720" s="25"/>
    </row>
    <row r="721" spans="1:27" x14ac:dyDescent="0.35">
      <c r="A721" s="97"/>
      <c r="B721" s="97"/>
      <c r="C721" s="97"/>
      <c r="D721" s="97"/>
      <c r="E721" s="97"/>
      <c r="F721" s="97"/>
      <c r="G721" s="97"/>
      <c r="H721" s="97"/>
      <c r="I721" s="97"/>
      <c r="J721" s="97"/>
      <c r="K721" s="97"/>
      <c r="L721" s="97"/>
      <c r="M721" s="97"/>
      <c r="N721" s="97"/>
      <c r="O721" s="97"/>
      <c r="P721" s="97"/>
      <c r="Q721" s="97"/>
      <c r="R721" s="97"/>
      <c r="S721" s="97"/>
      <c r="T721" s="97"/>
      <c r="U721" s="97"/>
      <c r="V721" s="25"/>
      <c r="W721" s="25"/>
      <c r="X721" s="25"/>
      <c r="Y721" s="25"/>
      <c r="Z721" s="25"/>
      <c r="AA721" s="25"/>
    </row>
    <row r="722" spans="1:27" x14ac:dyDescent="0.35">
      <c r="A722" s="97"/>
      <c r="B722" s="97"/>
      <c r="C722" s="97"/>
      <c r="D722" s="97"/>
      <c r="E722" s="97"/>
      <c r="F722" s="97"/>
      <c r="G722" s="97"/>
      <c r="H722" s="97"/>
      <c r="I722" s="97"/>
      <c r="J722" s="97"/>
      <c r="K722" s="97"/>
      <c r="L722" s="97"/>
      <c r="M722" s="97"/>
      <c r="N722" s="97"/>
      <c r="O722" s="97"/>
      <c r="P722" s="97"/>
      <c r="Q722" s="97"/>
      <c r="R722" s="97"/>
      <c r="S722" s="97"/>
      <c r="T722" s="97"/>
      <c r="U722" s="97"/>
      <c r="V722" s="25"/>
      <c r="W722" s="25"/>
      <c r="X722" s="25"/>
      <c r="Y722" s="25"/>
      <c r="Z722" s="25"/>
      <c r="AA722" s="25"/>
    </row>
    <row r="723" spans="1:27" x14ac:dyDescent="0.35">
      <c r="A723" s="97"/>
      <c r="B723" s="97"/>
      <c r="C723" s="97"/>
      <c r="D723" s="97"/>
      <c r="E723" s="97"/>
      <c r="F723" s="97"/>
      <c r="G723" s="97"/>
      <c r="H723" s="97"/>
      <c r="I723" s="97"/>
      <c r="J723" s="97"/>
      <c r="K723" s="97"/>
      <c r="L723" s="97"/>
      <c r="M723" s="97"/>
      <c r="N723" s="97"/>
      <c r="O723" s="97"/>
      <c r="P723" s="97"/>
      <c r="Q723" s="97"/>
      <c r="R723" s="97"/>
      <c r="S723" s="97"/>
      <c r="T723" s="97"/>
      <c r="U723" s="97"/>
      <c r="V723" s="25"/>
      <c r="W723" s="25"/>
      <c r="X723" s="25"/>
      <c r="Y723" s="25"/>
      <c r="Z723" s="25"/>
      <c r="AA723" s="25"/>
    </row>
    <row r="724" spans="1:27" x14ac:dyDescent="0.35">
      <c r="A724" s="97"/>
      <c r="B724" s="97"/>
      <c r="C724" s="97"/>
      <c r="D724" s="97"/>
      <c r="E724" s="97"/>
      <c r="F724" s="97"/>
      <c r="G724" s="97"/>
      <c r="H724" s="97"/>
      <c r="I724" s="97"/>
      <c r="J724" s="97"/>
      <c r="K724" s="97"/>
      <c r="L724" s="97"/>
      <c r="M724" s="97"/>
      <c r="N724" s="97"/>
      <c r="O724" s="97"/>
      <c r="P724" s="97"/>
      <c r="Q724" s="97"/>
      <c r="R724" s="97"/>
      <c r="S724" s="97"/>
      <c r="T724" s="97"/>
      <c r="U724" s="97"/>
      <c r="V724" s="25"/>
      <c r="W724" s="25"/>
      <c r="X724" s="25"/>
      <c r="Y724" s="25"/>
      <c r="Z724" s="25"/>
      <c r="AA724" s="25"/>
    </row>
    <row r="725" spans="1:27" x14ac:dyDescent="0.35">
      <c r="A725" s="97"/>
      <c r="B725" s="97"/>
      <c r="C725" s="97"/>
      <c r="D725" s="97"/>
      <c r="E725" s="97"/>
      <c r="F725" s="97"/>
      <c r="G725" s="97"/>
      <c r="H725" s="97"/>
      <c r="I725" s="97"/>
      <c r="J725" s="97"/>
      <c r="K725" s="97"/>
      <c r="L725" s="97"/>
      <c r="M725" s="97"/>
      <c r="N725" s="97"/>
      <c r="O725" s="97"/>
      <c r="P725" s="97"/>
      <c r="Q725" s="97"/>
      <c r="R725" s="97"/>
      <c r="S725" s="97"/>
      <c r="T725" s="97"/>
      <c r="U725" s="97"/>
      <c r="V725" s="25"/>
      <c r="W725" s="25"/>
      <c r="X725" s="25"/>
      <c r="Y725" s="25"/>
      <c r="Z725" s="25"/>
      <c r="AA725" s="25"/>
    </row>
    <row r="726" spans="1:27" x14ac:dyDescent="0.35">
      <c r="A726" s="97"/>
      <c r="B726" s="97"/>
      <c r="C726" s="97"/>
      <c r="D726" s="97"/>
      <c r="E726" s="97"/>
      <c r="F726" s="97"/>
      <c r="G726" s="97"/>
      <c r="H726" s="97"/>
      <c r="I726" s="97"/>
      <c r="J726" s="97"/>
      <c r="K726" s="97"/>
      <c r="L726" s="97"/>
      <c r="M726" s="97"/>
      <c r="N726" s="97"/>
      <c r="O726" s="97"/>
      <c r="P726" s="97"/>
      <c r="Q726" s="97"/>
      <c r="R726" s="97"/>
      <c r="S726" s="97"/>
      <c r="T726" s="97"/>
      <c r="U726" s="97"/>
      <c r="V726" s="25"/>
      <c r="W726" s="25"/>
      <c r="X726" s="25"/>
      <c r="Y726" s="25"/>
      <c r="Z726" s="25"/>
      <c r="AA726" s="25"/>
    </row>
    <row r="727" spans="1:27" x14ac:dyDescent="0.35">
      <c r="A727" s="97"/>
      <c r="B727" s="97"/>
      <c r="C727" s="97"/>
      <c r="D727" s="97"/>
      <c r="E727" s="97"/>
      <c r="F727" s="97"/>
      <c r="G727" s="97"/>
      <c r="H727" s="97"/>
      <c r="I727" s="97"/>
      <c r="J727" s="97"/>
      <c r="K727" s="97"/>
      <c r="L727" s="97"/>
      <c r="M727" s="97"/>
      <c r="N727" s="97"/>
      <c r="O727" s="97"/>
      <c r="P727" s="97"/>
      <c r="Q727" s="97"/>
      <c r="R727" s="97"/>
      <c r="S727" s="97"/>
      <c r="T727" s="97"/>
      <c r="U727" s="97"/>
      <c r="V727" s="25"/>
      <c r="W727" s="25"/>
      <c r="X727" s="25"/>
      <c r="Y727" s="25"/>
      <c r="Z727" s="25"/>
      <c r="AA727" s="25"/>
    </row>
    <row r="728" spans="1:27" x14ac:dyDescent="0.35">
      <c r="A728" s="97"/>
      <c r="B728" s="97"/>
      <c r="C728" s="97"/>
      <c r="D728" s="97"/>
      <c r="E728" s="97"/>
      <c r="F728" s="97"/>
      <c r="G728" s="97"/>
      <c r="H728" s="97"/>
      <c r="I728" s="97"/>
      <c r="J728" s="97"/>
      <c r="K728" s="97"/>
      <c r="L728" s="97"/>
      <c r="M728" s="97"/>
      <c r="N728" s="97"/>
      <c r="O728" s="97"/>
      <c r="P728" s="97"/>
      <c r="Q728" s="97"/>
      <c r="R728" s="97"/>
      <c r="S728" s="97"/>
      <c r="T728" s="97"/>
      <c r="U728" s="97"/>
      <c r="V728" s="25"/>
      <c r="W728" s="25"/>
      <c r="X728" s="25"/>
      <c r="Y728" s="25"/>
      <c r="Z728" s="25"/>
      <c r="AA728" s="25"/>
    </row>
    <row r="729" spans="1:27" x14ac:dyDescent="0.35">
      <c r="A729" s="97"/>
      <c r="B729" s="97"/>
      <c r="C729" s="97"/>
      <c r="D729" s="97"/>
      <c r="E729" s="97"/>
      <c r="F729" s="97"/>
      <c r="G729" s="97"/>
      <c r="H729" s="97"/>
      <c r="I729" s="97"/>
      <c r="J729" s="97"/>
      <c r="K729" s="97"/>
      <c r="L729" s="97"/>
      <c r="M729" s="97"/>
      <c r="N729" s="97"/>
      <c r="O729" s="97"/>
      <c r="P729" s="97"/>
      <c r="Q729" s="97"/>
      <c r="R729" s="97"/>
      <c r="S729" s="97"/>
      <c r="T729" s="97"/>
      <c r="U729" s="97"/>
      <c r="V729" s="25"/>
      <c r="W729" s="25"/>
      <c r="X729" s="25"/>
      <c r="Y729" s="25"/>
      <c r="Z729" s="25"/>
      <c r="AA729" s="25"/>
    </row>
    <row r="730" spans="1:27" x14ac:dyDescent="0.35">
      <c r="A730" s="97"/>
      <c r="B730" s="97"/>
      <c r="C730" s="97"/>
      <c r="D730" s="97"/>
      <c r="E730" s="97"/>
      <c r="F730" s="97"/>
      <c r="G730" s="97"/>
      <c r="H730" s="97"/>
      <c r="I730" s="97"/>
      <c r="J730" s="97"/>
      <c r="K730" s="97"/>
      <c r="L730" s="97"/>
      <c r="M730" s="97"/>
      <c r="N730" s="97"/>
      <c r="O730" s="97"/>
      <c r="P730" s="97"/>
      <c r="Q730" s="97"/>
      <c r="R730" s="97"/>
      <c r="S730" s="97"/>
      <c r="T730" s="97"/>
      <c r="U730" s="97"/>
      <c r="V730" s="25"/>
      <c r="W730" s="25"/>
      <c r="X730" s="25"/>
      <c r="Y730" s="25"/>
      <c r="Z730" s="25"/>
      <c r="AA730" s="25"/>
    </row>
    <row r="731" spans="1:27" x14ac:dyDescent="0.35">
      <c r="A731" s="97"/>
      <c r="B731" s="97"/>
      <c r="C731" s="97"/>
      <c r="D731" s="97"/>
      <c r="E731" s="97"/>
      <c r="F731" s="97"/>
      <c r="G731" s="97"/>
      <c r="H731" s="97"/>
      <c r="I731" s="97"/>
      <c r="J731" s="97"/>
      <c r="K731" s="97"/>
      <c r="L731" s="97"/>
      <c r="M731" s="97"/>
      <c r="N731" s="97"/>
      <c r="O731" s="97"/>
      <c r="P731" s="97"/>
      <c r="Q731" s="97"/>
      <c r="R731" s="97"/>
      <c r="S731" s="97"/>
      <c r="T731" s="97"/>
      <c r="U731" s="97"/>
      <c r="V731" s="25"/>
      <c r="W731" s="25"/>
      <c r="X731" s="25"/>
      <c r="Y731" s="25"/>
      <c r="Z731" s="25"/>
      <c r="AA731" s="25"/>
    </row>
    <row r="732" spans="1:27" x14ac:dyDescent="0.35">
      <c r="A732" s="97"/>
      <c r="B732" s="97"/>
      <c r="C732" s="97"/>
      <c r="D732" s="97"/>
      <c r="E732" s="97"/>
      <c r="F732" s="97"/>
      <c r="G732" s="97"/>
      <c r="H732" s="97"/>
      <c r="I732" s="97"/>
      <c r="J732" s="97"/>
      <c r="K732" s="97"/>
      <c r="L732" s="97"/>
      <c r="M732" s="97"/>
      <c r="N732" s="97"/>
      <c r="O732" s="97"/>
      <c r="P732" s="97"/>
      <c r="Q732" s="97"/>
      <c r="R732" s="97"/>
      <c r="S732" s="97"/>
      <c r="T732" s="97"/>
      <c r="U732" s="97"/>
      <c r="V732" s="25"/>
      <c r="W732" s="25"/>
      <c r="X732" s="25"/>
      <c r="Y732" s="25"/>
      <c r="Z732" s="25"/>
      <c r="AA732" s="25"/>
    </row>
    <row r="733" spans="1:27" x14ac:dyDescent="0.35">
      <c r="A733" s="97"/>
      <c r="B733" s="97"/>
      <c r="C733" s="97"/>
      <c r="D733" s="97"/>
      <c r="E733" s="97"/>
      <c r="F733" s="97"/>
      <c r="G733" s="97"/>
      <c r="H733" s="97"/>
      <c r="I733" s="97"/>
      <c r="J733" s="97"/>
      <c r="K733" s="97"/>
      <c r="L733" s="97"/>
      <c r="M733" s="97"/>
      <c r="N733" s="97"/>
      <c r="O733" s="97"/>
      <c r="P733" s="97"/>
      <c r="Q733" s="97"/>
      <c r="R733" s="97"/>
      <c r="S733" s="97"/>
      <c r="T733" s="97"/>
      <c r="U733" s="97"/>
      <c r="V733" s="25"/>
      <c r="W733" s="25"/>
      <c r="X733" s="25"/>
      <c r="Y733" s="25"/>
      <c r="Z733" s="25"/>
      <c r="AA733" s="25"/>
    </row>
    <row r="734" spans="1:27" x14ac:dyDescent="0.35">
      <c r="A734" s="97"/>
      <c r="B734" s="97"/>
      <c r="C734" s="97"/>
      <c r="D734" s="97"/>
      <c r="E734" s="97"/>
      <c r="F734" s="97"/>
      <c r="G734" s="97"/>
      <c r="H734" s="97"/>
      <c r="I734" s="97"/>
      <c r="J734" s="97"/>
      <c r="K734" s="97"/>
      <c r="L734" s="97"/>
      <c r="M734" s="97"/>
      <c r="N734" s="97"/>
      <c r="O734" s="97"/>
      <c r="P734" s="97"/>
      <c r="Q734" s="97"/>
      <c r="R734" s="97"/>
      <c r="S734" s="97"/>
      <c r="T734" s="97"/>
      <c r="U734" s="97"/>
      <c r="V734" s="25"/>
      <c r="W734" s="25"/>
      <c r="X734" s="25"/>
      <c r="Y734" s="25"/>
      <c r="Z734" s="25"/>
      <c r="AA734" s="25"/>
    </row>
    <row r="735" spans="1:27" x14ac:dyDescent="0.35">
      <c r="A735" s="97"/>
      <c r="B735" s="97"/>
      <c r="C735" s="97"/>
      <c r="D735" s="97"/>
      <c r="E735" s="97"/>
      <c r="F735" s="97"/>
      <c r="G735" s="97"/>
      <c r="H735" s="97"/>
      <c r="I735" s="97"/>
      <c r="J735" s="97"/>
      <c r="K735" s="97"/>
      <c r="L735" s="97"/>
      <c r="M735" s="97"/>
      <c r="N735" s="97"/>
      <c r="O735" s="97"/>
      <c r="P735" s="97"/>
      <c r="Q735" s="97"/>
      <c r="R735" s="97"/>
      <c r="S735" s="97"/>
      <c r="T735" s="97"/>
      <c r="U735" s="97"/>
      <c r="V735" s="25"/>
      <c r="W735" s="25"/>
      <c r="X735" s="25"/>
      <c r="Y735" s="25"/>
      <c r="Z735" s="25"/>
      <c r="AA735" s="25"/>
    </row>
    <row r="736" spans="1:27" x14ac:dyDescent="0.35">
      <c r="A736" s="97"/>
      <c r="B736" s="97"/>
      <c r="C736" s="97"/>
      <c r="D736" s="97"/>
      <c r="E736" s="97"/>
      <c r="F736" s="97"/>
      <c r="G736" s="97"/>
      <c r="H736" s="97"/>
      <c r="I736" s="97"/>
      <c r="J736" s="97"/>
      <c r="K736" s="97"/>
      <c r="L736" s="97"/>
      <c r="M736" s="97"/>
      <c r="N736" s="97"/>
      <c r="O736" s="97"/>
      <c r="P736" s="97"/>
      <c r="Q736" s="97"/>
      <c r="R736" s="97"/>
      <c r="S736" s="97"/>
      <c r="T736" s="97"/>
      <c r="U736" s="97"/>
      <c r="V736" s="25"/>
      <c r="W736" s="25"/>
      <c r="X736" s="25"/>
      <c r="Y736" s="25"/>
      <c r="Z736" s="25"/>
      <c r="AA736" s="25"/>
    </row>
    <row r="737" spans="1:27" x14ac:dyDescent="0.35">
      <c r="A737" s="97"/>
      <c r="B737" s="97"/>
      <c r="C737" s="97"/>
      <c r="D737" s="97"/>
      <c r="E737" s="97"/>
      <c r="F737" s="97"/>
      <c r="G737" s="97"/>
      <c r="H737" s="97"/>
      <c r="I737" s="97"/>
      <c r="J737" s="97"/>
      <c r="K737" s="97"/>
      <c r="L737" s="97"/>
      <c r="M737" s="97"/>
      <c r="N737" s="97"/>
      <c r="O737" s="97"/>
      <c r="P737" s="97"/>
      <c r="Q737" s="97"/>
      <c r="R737" s="97"/>
      <c r="S737" s="97"/>
      <c r="T737" s="97"/>
      <c r="U737" s="97"/>
      <c r="V737" s="25"/>
      <c r="W737" s="25"/>
      <c r="X737" s="25"/>
      <c r="Y737" s="25"/>
      <c r="Z737" s="25"/>
      <c r="AA737" s="25"/>
    </row>
    <row r="738" spans="1:27" x14ac:dyDescent="0.35">
      <c r="A738" s="97"/>
      <c r="B738" s="97"/>
      <c r="C738" s="97"/>
      <c r="D738" s="97"/>
      <c r="E738" s="97"/>
      <c r="F738" s="97"/>
      <c r="G738" s="97"/>
      <c r="H738" s="97"/>
      <c r="I738" s="97"/>
      <c r="J738" s="97"/>
      <c r="K738" s="97"/>
      <c r="L738" s="97"/>
      <c r="M738" s="97"/>
      <c r="N738" s="97"/>
      <c r="O738" s="97"/>
      <c r="P738" s="97"/>
      <c r="Q738" s="97"/>
      <c r="R738" s="97"/>
      <c r="S738" s="97"/>
      <c r="T738" s="97"/>
      <c r="U738" s="97"/>
      <c r="V738" s="25"/>
      <c r="W738" s="25"/>
      <c r="X738" s="25"/>
      <c r="Y738" s="25"/>
      <c r="Z738" s="25"/>
      <c r="AA738" s="25"/>
    </row>
    <row r="739" spans="1:27" x14ac:dyDescent="0.35">
      <c r="A739" s="97"/>
      <c r="B739" s="97"/>
      <c r="C739" s="97"/>
      <c r="D739" s="97"/>
      <c r="E739" s="97"/>
      <c r="F739" s="97"/>
      <c r="G739" s="97"/>
      <c r="H739" s="97"/>
      <c r="I739" s="97"/>
      <c r="J739" s="97"/>
      <c r="K739" s="97"/>
      <c r="L739" s="97"/>
      <c r="M739" s="97"/>
      <c r="N739" s="97"/>
      <c r="O739" s="97"/>
      <c r="P739" s="97"/>
      <c r="Q739" s="97"/>
      <c r="R739" s="97"/>
      <c r="S739" s="97"/>
      <c r="T739" s="97"/>
      <c r="U739" s="97"/>
      <c r="V739" s="25"/>
      <c r="W739" s="25"/>
      <c r="X739" s="25"/>
      <c r="Y739" s="25"/>
      <c r="Z739" s="25"/>
      <c r="AA739" s="25"/>
    </row>
    <row r="740" spans="1:27" x14ac:dyDescent="0.35">
      <c r="A740" s="97"/>
      <c r="B740" s="97"/>
      <c r="C740" s="97"/>
      <c r="D740" s="97"/>
      <c r="E740" s="97"/>
      <c r="F740" s="97"/>
      <c r="G740" s="97"/>
      <c r="H740" s="97"/>
      <c r="I740" s="97"/>
      <c r="J740" s="97"/>
      <c r="K740" s="97"/>
      <c r="L740" s="97"/>
      <c r="M740" s="97"/>
      <c r="N740" s="97"/>
      <c r="O740" s="97"/>
      <c r="P740" s="97"/>
      <c r="Q740" s="97"/>
      <c r="R740" s="97"/>
      <c r="S740" s="97"/>
      <c r="T740" s="97"/>
      <c r="U740" s="97"/>
      <c r="V740" s="25"/>
      <c r="W740" s="25"/>
      <c r="X740" s="25"/>
      <c r="Y740" s="25"/>
      <c r="Z740" s="25"/>
      <c r="AA740" s="25"/>
    </row>
    <row r="741" spans="1:27" x14ac:dyDescent="0.35">
      <c r="A741" s="97"/>
      <c r="B741" s="97"/>
      <c r="C741" s="97"/>
      <c r="D741" s="97"/>
      <c r="E741" s="97"/>
      <c r="F741" s="97"/>
      <c r="G741" s="97"/>
      <c r="H741" s="97"/>
      <c r="I741" s="97"/>
      <c r="J741" s="97"/>
      <c r="K741" s="97"/>
      <c r="L741" s="97"/>
      <c r="M741" s="97"/>
      <c r="N741" s="97"/>
      <c r="O741" s="97"/>
      <c r="P741" s="97"/>
      <c r="Q741" s="97"/>
      <c r="R741" s="97"/>
      <c r="S741" s="97"/>
      <c r="T741" s="97"/>
      <c r="U741" s="97"/>
      <c r="V741" s="25"/>
      <c r="W741" s="25"/>
      <c r="X741" s="25"/>
      <c r="Y741" s="25"/>
      <c r="Z741" s="25"/>
      <c r="AA741" s="25"/>
    </row>
    <row r="742" spans="1:27" x14ac:dyDescent="0.35">
      <c r="A742" s="97"/>
      <c r="B742" s="97"/>
      <c r="C742" s="97"/>
      <c r="D742" s="97"/>
      <c r="E742" s="97"/>
      <c r="F742" s="97"/>
      <c r="G742" s="97"/>
      <c r="H742" s="97"/>
      <c r="I742" s="97"/>
      <c r="J742" s="97"/>
      <c r="K742" s="97"/>
      <c r="L742" s="97"/>
      <c r="M742" s="97"/>
      <c r="N742" s="97"/>
      <c r="O742" s="97"/>
      <c r="P742" s="97"/>
      <c r="Q742" s="97"/>
      <c r="R742" s="97"/>
      <c r="S742" s="97"/>
      <c r="T742" s="97"/>
      <c r="U742" s="97"/>
      <c r="V742" s="25"/>
      <c r="W742" s="25"/>
      <c r="X742" s="25"/>
      <c r="Y742" s="25"/>
      <c r="Z742" s="25"/>
      <c r="AA742" s="25"/>
    </row>
    <row r="743" spans="1:27" x14ac:dyDescent="0.35">
      <c r="A743" s="97"/>
      <c r="B743" s="97"/>
      <c r="C743" s="97"/>
      <c r="D743" s="97"/>
      <c r="E743" s="97"/>
      <c r="F743" s="97"/>
      <c r="G743" s="97"/>
      <c r="H743" s="97"/>
      <c r="I743" s="97"/>
      <c r="J743" s="97"/>
      <c r="K743" s="97"/>
      <c r="L743" s="97"/>
      <c r="M743" s="97"/>
      <c r="N743" s="97"/>
      <c r="O743" s="97"/>
      <c r="P743" s="97"/>
      <c r="Q743" s="97"/>
      <c r="R743" s="97"/>
      <c r="S743" s="97"/>
      <c r="T743" s="97"/>
      <c r="U743" s="97"/>
      <c r="V743" s="25"/>
      <c r="W743" s="25"/>
      <c r="X743" s="25"/>
      <c r="Y743" s="25"/>
      <c r="Z743" s="25"/>
      <c r="AA743" s="25"/>
    </row>
    <row r="744" spans="1:27" x14ac:dyDescent="0.35">
      <c r="A744" s="97"/>
      <c r="B744" s="97"/>
      <c r="C744" s="97"/>
      <c r="D744" s="97"/>
      <c r="E744" s="97"/>
      <c r="F744" s="97"/>
      <c r="G744" s="97"/>
      <c r="H744" s="97"/>
      <c r="I744" s="97"/>
      <c r="J744" s="97"/>
      <c r="K744" s="97"/>
      <c r="L744" s="97"/>
      <c r="M744" s="97"/>
      <c r="N744" s="97"/>
      <c r="O744" s="97"/>
      <c r="P744" s="97"/>
      <c r="Q744" s="97"/>
      <c r="R744" s="97"/>
      <c r="S744" s="97"/>
      <c r="T744" s="97"/>
      <c r="U744" s="97"/>
      <c r="V744" s="25"/>
      <c r="W744" s="25"/>
      <c r="X744" s="25"/>
      <c r="Y744" s="25"/>
      <c r="Z744" s="25"/>
      <c r="AA744" s="25"/>
    </row>
    <row r="745" spans="1:27" x14ac:dyDescent="0.35">
      <c r="A745" s="97"/>
      <c r="B745" s="97"/>
      <c r="C745" s="97"/>
      <c r="D745" s="97"/>
      <c r="E745" s="97"/>
      <c r="F745" s="97"/>
      <c r="G745" s="97"/>
      <c r="H745" s="97"/>
      <c r="I745" s="97"/>
      <c r="J745" s="97"/>
      <c r="K745" s="97"/>
      <c r="L745" s="97"/>
      <c r="M745" s="97"/>
      <c r="N745" s="97"/>
      <c r="O745" s="97"/>
      <c r="P745" s="97"/>
      <c r="Q745" s="97"/>
      <c r="R745" s="97"/>
      <c r="S745" s="97"/>
      <c r="T745" s="97"/>
      <c r="U745" s="97"/>
      <c r="V745" s="25"/>
      <c r="W745" s="25"/>
      <c r="X745" s="25"/>
      <c r="Y745" s="25"/>
      <c r="Z745" s="25"/>
      <c r="AA745" s="25"/>
    </row>
    <row r="746" spans="1:27" x14ac:dyDescent="0.35">
      <c r="A746" s="97"/>
      <c r="B746" s="97"/>
      <c r="C746" s="97"/>
      <c r="D746" s="97"/>
      <c r="E746" s="97"/>
      <c r="F746" s="97"/>
      <c r="G746" s="97"/>
      <c r="H746" s="97"/>
      <c r="I746" s="97"/>
      <c r="J746" s="97"/>
      <c r="K746" s="97"/>
      <c r="L746" s="97"/>
      <c r="M746" s="97"/>
      <c r="N746" s="97"/>
      <c r="O746" s="97"/>
      <c r="P746" s="97"/>
      <c r="Q746" s="97"/>
      <c r="R746" s="97"/>
      <c r="S746" s="97"/>
      <c r="T746" s="97"/>
      <c r="U746" s="97"/>
      <c r="V746" s="25"/>
      <c r="W746" s="25"/>
      <c r="X746" s="25"/>
      <c r="Y746" s="25"/>
      <c r="Z746" s="25"/>
      <c r="AA746" s="25"/>
    </row>
    <row r="747" spans="1:27" x14ac:dyDescent="0.35">
      <c r="A747" s="97"/>
      <c r="B747" s="97"/>
      <c r="C747" s="97"/>
      <c r="D747" s="97"/>
      <c r="E747" s="97"/>
      <c r="F747" s="97"/>
      <c r="G747" s="97"/>
      <c r="H747" s="97"/>
      <c r="I747" s="97"/>
      <c r="J747" s="97"/>
      <c r="K747" s="97"/>
      <c r="L747" s="97"/>
      <c r="M747" s="97"/>
      <c r="N747" s="97"/>
      <c r="O747" s="97"/>
      <c r="P747" s="97"/>
      <c r="Q747" s="97"/>
      <c r="R747" s="97"/>
      <c r="S747" s="97"/>
      <c r="T747" s="97"/>
      <c r="U747" s="97"/>
      <c r="V747" s="25"/>
      <c r="W747" s="25"/>
      <c r="X747" s="25"/>
      <c r="Y747" s="25"/>
      <c r="Z747" s="25"/>
      <c r="AA747" s="25"/>
    </row>
    <row r="748" spans="1:27" x14ac:dyDescent="0.35">
      <c r="A748" s="97"/>
      <c r="B748" s="97"/>
      <c r="C748" s="97"/>
      <c r="D748" s="97"/>
      <c r="E748" s="97"/>
      <c r="F748" s="97"/>
      <c r="G748" s="97"/>
      <c r="H748" s="97"/>
      <c r="I748" s="97"/>
      <c r="J748" s="97"/>
      <c r="K748" s="97"/>
      <c r="L748" s="97"/>
      <c r="M748" s="97"/>
      <c r="N748" s="97"/>
      <c r="O748" s="97"/>
      <c r="P748" s="97"/>
      <c r="Q748" s="97"/>
      <c r="R748" s="97"/>
      <c r="S748" s="97"/>
      <c r="T748" s="97"/>
      <c r="U748" s="97"/>
      <c r="V748" s="25"/>
      <c r="W748" s="25"/>
      <c r="X748" s="25"/>
      <c r="Y748" s="25"/>
      <c r="Z748" s="25"/>
      <c r="AA748" s="25"/>
    </row>
    <row r="749" spans="1:27" x14ac:dyDescent="0.35">
      <c r="A749" s="97"/>
      <c r="B749" s="97"/>
      <c r="C749" s="97"/>
      <c r="D749" s="97"/>
      <c r="E749" s="97"/>
      <c r="F749" s="97"/>
      <c r="G749" s="97"/>
      <c r="H749" s="97"/>
      <c r="I749" s="97"/>
      <c r="J749" s="97"/>
      <c r="K749" s="97"/>
      <c r="L749" s="97"/>
      <c r="M749" s="97"/>
      <c r="N749" s="97"/>
      <c r="O749" s="97"/>
      <c r="P749" s="97"/>
      <c r="Q749" s="97"/>
      <c r="R749" s="97"/>
      <c r="S749" s="97"/>
      <c r="T749" s="97"/>
      <c r="U749" s="97"/>
      <c r="V749" s="25"/>
      <c r="W749" s="25"/>
      <c r="X749" s="25"/>
      <c r="Y749" s="25"/>
      <c r="Z749" s="25"/>
      <c r="AA749" s="25"/>
    </row>
    <row r="750" spans="1:27" x14ac:dyDescent="0.35">
      <c r="A750" s="97"/>
      <c r="B750" s="97"/>
      <c r="C750" s="97"/>
      <c r="D750" s="97"/>
      <c r="E750" s="97"/>
      <c r="F750" s="97"/>
      <c r="G750" s="97"/>
      <c r="H750" s="97"/>
      <c r="I750" s="97"/>
      <c r="J750" s="97"/>
      <c r="K750" s="97"/>
      <c r="L750" s="97"/>
      <c r="M750" s="97"/>
      <c r="N750" s="97"/>
      <c r="O750" s="97"/>
      <c r="P750" s="97"/>
      <c r="Q750" s="97"/>
      <c r="R750" s="97"/>
      <c r="S750" s="97"/>
      <c r="T750" s="97"/>
      <c r="U750" s="97"/>
      <c r="V750" s="25"/>
      <c r="W750" s="25"/>
      <c r="X750" s="25"/>
      <c r="Y750" s="25"/>
      <c r="Z750" s="25"/>
      <c r="AA750" s="25"/>
    </row>
    <row r="751" spans="1:27" x14ac:dyDescent="0.35">
      <c r="A751" s="97"/>
      <c r="B751" s="97"/>
      <c r="C751" s="97"/>
      <c r="D751" s="97"/>
      <c r="E751" s="97"/>
      <c r="F751" s="97"/>
      <c r="G751" s="97"/>
      <c r="H751" s="97"/>
      <c r="I751" s="97"/>
      <c r="J751" s="97"/>
      <c r="K751" s="97"/>
      <c r="L751" s="97"/>
      <c r="M751" s="97"/>
      <c r="N751" s="97"/>
      <c r="O751" s="97"/>
      <c r="P751" s="97"/>
      <c r="Q751" s="97"/>
      <c r="R751" s="97"/>
      <c r="S751" s="97"/>
      <c r="T751" s="97"/>
      <c r="U751" s="97"/>
      <c r="V751" s="25"/>
      <c r="W751" s="25"/>
      <c r="X751" s="25"/>
      <c r="Y751" s="25"/>
      <c r="Z751" s="25"/>
      <c r="AA751" s="25"/>
    </row>
    <row r="752" spans="1:27" x14ac:dyDescent="0.35">
      <c r="A752" s="97"/>
      <c r="B752" s="97"/>
      <c r="C752" s="97"/>
      <c r="D752" s="97"/>
      <c r="E752" s="97"/>
      <c r="F752" s="97"/>
      <c r="G752" s="97"/>
      <c r="H752" s="97"/>
      <c r="I752" s="97"/>
      <c r="J752" s="97"/>
      <c r="K752" s="97"/>
      <c r="L752" s="97"/>
      <c r="M752" s="97"/>
      <c r="N752" s="97"/>
      <c r="O752" s="97"/>
      <c r="P752" s="97"/>
      <c r="Q752" s="97"/>
      <c r="R752" s="97"/>
      <c r="S752" s="97"/>
      <c r="T752" s="97"/>
      <c r="U752" s="97"/>
      <c r="V752" s="25"/>
      <c r="W752" s="25"/>
      <c r="X752" s="25"/>
      <c r="Y752" s="25"/>
      <c r="Z752" s="25"/>
      <c r="AA752" s="25"/>
    </row>
    <row r="753" spans="1:27" x14ac:dyDescent="0.35">
      <c r="A753" s="97"/>
      <c r="B753" s="97"/>
      <c r="C753" s="97"/>
      <c r="D753" s="97"/>
      <c r="E753" s="97"/>
      <c r="F753" s="97"/>
      <c r="G753" s="97"/>
      <c r="H753" s="97"/>
      <c r="I753" s="97"/>
      <c r="J753" s="97"/>
      <c r="K753" s="97"/>
      <c r="L753" s="97"/>
      <c r="M753" s="97"/>
      <c r="N753" s="97"/>
      <c r="O753" s="97"/>
      <c r="P753" s="97"/>
      <c r="Q753" s="97"/>
      <c r="R753" s="97"/>
      <c r="S753" s="97"/>
      <c r="T753" s="97"/>
      <c r="U753" s="97"/>
      <c r="V753" s="25"/>
      <c r="W753" s="25"/>
      <c r="X753" s="25"/>
      <c r="Y753" s="25"/>
      <c r="Z753" s="25"/>
      <c r="AA753" s="25"/>
    </row>
    <row r="754" spans="1:27" x14ac:dyDescent="0.35">
      <c r="A754" s="97"/>
      <c r="B754" s="97"/>
      <c r="C754" s="97"/>
      <c r="D754" s="97"/>
      <c r="E754" s="97"/>
      <c r="F754" s="97"/>
      <c r="G754" s="97"/>
      <c r="H754" s="97"/>
      <c r="I754" s="97"/>
      <c r="J754" s="97"/>
      <c r="K754" s="97"/>
      <c r="L754" s="97"/>
      <c r="M754" s="97"/>
      <c r="N754" s="97"/>
      <c r="O754" s="97"/>
      <c r="P754" s="97"/>
      <c r="Q754" s="97"/>
      <c r="R754" s="97"/>
      <c r="S754" s="97"/>
      <c r="T754" s="97"/>
      <c r="U754" s="97"/>
      <c r="V754" s="25"/>
      <c r="W754" s="25"/>
      <c r="X754" s="25"/>
      <c r="Y754" s="25"/>
      <c r="Z754" s="25"/>
      <c r="AA754" s="25"/>
    </row>
    <row r="755" spans="1:27" x14ac:dyDescent="0.35">
      <c r="A755" s="97"/>
      <c r="B755" s="97"/>
      <c r="C755" s="97"/>
      <c r="D755" s="97"/>
      <c r="E755" s="97"/>
      <c r="F755" s="97"/>
      <c r="G755" s="97"/>
      <c r="H755" s="97"/>
      <c r="I755" s="97"/>
      <c r="J755" s="97"/>
      <c r="K755" s="97"/>
      <c r="L755" s="97"/>
      <c r="M755" s="97"/>
      <c r="N755" s="97"/>
      <c r="O755" s="97"/>
      <c r="P755" s="97"/>
      <c r="Q755" s="97"/>
      <c r="R755" s="97"/>
      <c r="S755" s="97"/>
      <c r="T755" s="97"/>
      <c r="U755" s="97"/>
      <c r="V755" s="25"/>
      <c r="W755" s="25"/>
      <c r="X755" s="25"/>
      <c r="Y755" s="25"/>
      <c r="Z755" s="25"/>
      <c r="AA755" s="25"/>
    </row>
    <row r="756" spans="1:27" x14ac:dyDescent="0.35">
      <c r="A756" s="97"/>
      <c r="B756" s="97"/>
      <c r="C756" s="97"/>
      <c r="D756" s="97"/>
      <c r="E756" s="97"/>
      <c r="F756" s="97"/>
      <c r="G756" s="97"/>
      <c r="H756" s="97"/>
      <c r="I756" s="97"/>
      <c r="J756" s="97"/>
      <c r="K756" s="97"/>
      <c r="L756" s="97"/>
      <c r="M756" s="97"/>
      <c r="N756" s="97"/>
      <c r="O756" s="97"/>
      <c r="P756" s="97"/>
      <c r="Q756" s="97"/>
      <c r="R756" s="97"/>
      <c r="S756" s="97"/>
      <c r="T756" s="97"/>
      <c r="U756" s="97"/>
      <c r="V756" s="25"/>
      <c r="W756" s="25"/>
      <c r="X756" s="25"/>
      <c r="Y756" s="25"/>
      <c r="Z756" s="25"/>
      <c r="AA756" s="25"/>
    </row>
    <row r="757" spans="1:27" x14ac:dyDescent="0.35">
      <c r="A757" s="97"/>
      <c r="B757" s="97"/>
      <c r="C757" s="97"/>
      <c r="D757" s="97"/>
      <c r="E757" s="97"/>
      <c r="F757" s="97"/>
      <c r="G757" s="97"/>
      <c r="H757" s="97"/>
      <c r="I757" s="97"/>
      <c r="J757" s="97"/>
      <c r="K757" s="97"/>
      <c r="L757" s="97"/>
      <c r="M757" s="97"/>
      <c r="N757" s="97"/>
      <c r="O757" s="97"/>
      <c r="P757" s="97"/>
      <c r="Q757" s="97"/>
      <c r="R757" s="97"/>
      <c r="S757" s="97"/>
      <c r="T757" s="97"/>
      <c r="U757" s="97"/>
      <c r="V757" s="25"/>
      <c r="W757" s="25"/>
      <c r="X757" s="25"/>
      <c r="Y757" s="25"/>
      <c r="Z757" s="25"/>
      <c r="AA757" s="25"/>
    </row>
    <row r="758" spans="1:27" x14ac:dyDescent="0.35">
      <c r="A758" s="97"/>
      <c r="B758" s="97"/>
      <c r="C758" s="97"/>
      <c r="D758" s="97"/>
      <c r="E758" s="97"/>
      <c r="F758" s="97"/>
      <c r="G758" s="97"/>
      <c r="H758" s="97"/>
      <c r="I758" s="97"/>
      <c r="J758" s="97"/>
      <c r="K758" s="97"/>
      <c r="L758" s="97"/>
      <c r="M758" s="97"/>
      <c r="N758" s="97"/>
      <c r="O758" s="97"/>
      <c r="P758" s="97"/>
      <c r="Q758" s="97"/>
      <c r="R758" s="97"/>
      <c r="S758" s="97"/>
      <c r="T758" s="97"/>
      <c r="U758" s="97"/>
      <c r="V758" s="25"/>
      <c r="W758" s="25"/>
      <c r="X758" s="25"/>
      <c r="Y758" s="25"/>
      <c r="Z758" s="25"/>
      <c r="AA758" s="25"/>
    </row>
    <row r="759" spans="1:27" x14ac:dyDescent="0.35">
      <c r="A759" s="97"/>
      <c r="B759" s="97"/>
      <c r="C759" s="97"/>
      <c r="D759" s="97"/>
      <c r="E759" s="97"/>
      <c r="F759" s="97"/>
      <c r="G759" s="97"/>
      <c r="H759" s="97"/>
      <c r="I759" s="97"/>
      <c r="J759" s="97"/>
      <c r="K759" s="97"/>
      <c r="L759" s="97"/>
      <c r="M759" s="97"/>
      <c r="N759" s="97"/>
      <c r="O759" s="97"/>
      <c r="P759" s="97"/>
      <c r="Q759" s="97"/>
      <c r="R759" s="97"/>
      <c r="S759" s="97"/>
      <c r="T759" s="97"/>
      <c r="U759" s="97"/>
      <c r="V759" s="25"/>
      <c r="W759" s="25"/>
      <c r="X759" s="25"/>
      <c r="Y759" s="25"/>
      <c r="Z759" s="25"/>
      <c r="AA759" s="25"/>
    </row>
    <row r="760" spans="1:27" x14ac:dyDescent="0.35">
      <c r="A760" s="97"/>
      <c r="B760" s="97"/>
      <c r="C760" s="97"/>
      <c r="D760" s="97"/>
      <c r="E760" s="97"/>
      <c r="F760" s="97"/>
      <c r="G760" s="97"/>
      <c r="H760" s="97"/>
      <c r="I760" s="97"/>
      <c r="J760" s="97"/>
      <c r="K760" s="97"/>
      <c r="L760" s="97"/>
      <c r="M760" s="97"/>
      <c r="N760" s="97"/>
      <c r="O760" s="97"/>
      <c r="P760" s="97"/>
      <c r="Q760" s="97"/>
      <c r="R760" s="97"/>
      <c r="S760" s="97"/>
      <c r="T760" s="97"/>
      <c r="U760" s="97"/>
      <c r="V760" s="25"/>
      <c r="W760" s="25"/>
      <c r="X760" s="25"/>
      <c r="Y760" s="25"/>
      <c r="Z760" s="25"/>
      <c r="AA760" s="25"/>
    </row>
    <row r="761" spans="1:27" x14ac:dyDescent="0.35">
      <c r="A761" s="97"/>
      <c r="B761" s="97"/>
      <c r="C761" s="97"/>
      <c r="D761" s="97"/>
      <c r="E761" s="97"/>
      <c r="F761" s="97"/>
      <c r="G761" s="97"/>
      <c r="H761" s="97"/>
      <c r="I761" s="97"/>
      <c r="J761" s="97"/>
      <c r="K761" s="97"/>
      <c r="L761" s="97"/>
      <c r="M761" s="97"/>
      <c r="N761" s="97"/>
      <c r="O761" s="97"/>
      <c r="P761" s="97"/>
      <c r="Q761" s="97"/>
      <c r="R761" s="97"/>
      <c r="S761" s="97"/>
      <c r="T761" s="97"/>
      <c r="U761" s="97"/>
      <c r="V761" s="25"/>
      <c r="W761" s="25"/>
      <c r="X761" s="25"/>
      <c r="Y761" s="25"/>
      <c r="Z761" s="25"/>
      <c r="AA761" s="25"/>
    </row>
    <row r="762" spans="1:27" x14ac:dyDescent="0.35">
      <c r="A762" s="97"/>
      <c r="B762" s="97"/>
      <c r="C762" s="97"/>
      <c r="D762" s="97"/>
      <c r="E762" s="97"/>
      <c r="F762" s="97"/>
      <c r="G762" s="97"/>
      <c r="H762" s="97"/>
      <c r="I762" s="97"/>
      <c r="J762" s="97"/>
      <c r="K762" s="97"/>
      <c r="L762" s="97"/>
      <c r="M762" s="97"/>
      <c r="N762" s="97"/>
      <c r="O762" s="97"/>
      <c r="P762" s="97"/>
      <c r="Q762" s="97"/>
      <c r="R762" s="97"/>
      <c r="S762" s="97"/>
      <c r="T762" s="97"/>
      <c r="U762" s="97"/>
      <c r="V762" s="25"/>
      <c r="W762" s="25"/>
      <c r="X762" s="25"/>
      <c r="Y762" s="25"/>
      <c r="Z762" s="25"/>
      <c r="AA762" s="25"/>
    </row>
    <row r="763" spans="1:27" x14ac:dyDescent="0.35">
      <c r="A763" s="97"/>
      <c r="B763" s="97"/>
      <c r="C763" s="97"/>
      <c r="D763" s="97"/>
      <c r="E763" s="97"/>
      <c r="F763" s="97"/>
      <c r="G763" s="97"/>
      <c r="H763" s="97"/>
      <c r="I763" s="97"/>
      <c r="J763" s="97"/>
      <c r="K763" s="97"/>
      <c r="L763" s="97"/>
      <c r="M763" s="97"/>
      <c r="N763" s="97"/>
      <c r="O763" s="97"/>
      <c r="P763" s="97"/>
      <c r="Q763" s="97"/>
      <c r="R763" s="97"/>
      <c r="S763" s="97"/>
      <c r="T763" s="97"/>
      <c r="U763" s="97"/>
      <c r="V763" s="25"/>
      <c r="W763" s="25"/>
      <c r="X763" s="25"/>
      <c r="Y763" s="25"/>
      <c r="Z763" s="25"/>
      <c r="AA763" s="25"/>
    </row>
    <row r="764" spans="1:27" x14ac:dyDescent="0.35">
      <c r="A764" s="97"/>
      <c r="B764" s="97"/>
      <c r="C764" s="97"/>
      <c r="D764" s="97"/>
      <c r="E764" s="97"/>
      <c r="F764" s="97"/>
      <c r="G764" s="97"/>
      <c r="H764" s="97"/>
      <c r="I764" s="97"/>
      <c r="J764" s="97"/>
      <c r="K764" s="97"/>
      <c r="L764" s="97"/>
      <c r="M764" s="97"/>
      <c r="N764" s="97"/>
      <c r="O764" s="97"/>
      <c r="P764" s="97"/>
      <c r="Q764" s="97"/>
      <c r="R764" s="97"/>
      <c r="S764" s="97"/>
      <c r="T764" s="97"/>
      <c r="U764" s="97"/>
      <c r="V764" s="25"/>
      <c r="W764" s="25"/>
      <c r="X764" s="25"/>
      <c r="Y764" s="25"/>
      <c r="Z764" s="25"/>
      <c r="AA764" s="25"/>
    </row>
    <row r="765" spans="1:27" x14ac:dyDescent="0.35">
      <c r="A765" s="97"/>
      <c r="B765" s="97"/>
      <c r="C765" s="97"/>
      <c r="D765" s="97"/>
      <c r="E765" s="97"/>
      <c r="F765" s="97"/>
      <c r="G765" s="97"/>
      <c r="H765" s="97"/>
      <c r="I765" s="97"/>
      <c r="J765" s="97"/>
      <c r="K765" s="97"/>
      <c r="L765" s="97"/>
      <c r="M765" s="97"/>
      <c r="N765" s="97"/>
      <c r="O765" s="97"/>
      <c r="P765" s="97"/>
      <c r="Q765" s="97"/>
      <c r="R765" s="97"/>
      <c r="S765" s="97"/>
      <c r="T765" s="97"/>
      <c r="U765" s="97"/>
      <c r="V765" s="25"/>
      <c r="W765" s="25"/>
      <c r="X765" s="25"/>
      <c r="Y765" s="25"/>
      <c r="Z765" s="25"/>
      <c r="AA765" s="25"/>
    </row>
    <row r="766" spans="1:27" x14ac:dyDescent="0.35">
      <c r="A766" s="97"/>
      <c r="B766" s="97"/>
      <c r="C766" s="97"/>
      <c r="D766" s="97"/>
      <c r="E766" s="97"/>
      <c r="F766" s="97"/>
      <c r="G766" s="97"/>
      <c r="H766" s="97"/>
      <c r="I766" s="97"/>
      <c r="J766" s="97"/>
      <c r="K766" s="97"/>
      <c r="L766" s="97"/>
      <c r="M766" s="97"/>
      <c r="N766" s="97"/>
      <c r="O766" s="97"/>
      <c r="P766" s="97"/>
      <c r="Q766" s="97"/>
      <c r="R766" s="97"/>
      <c r="S766" s="97"/>
      <c r="T766" s="97"/>
      <c r="U766" s="97"/>
      <c r="V766" s="25"/>
      <c r="W766" s="25"/>
      <c r="X766" s="25"/>
      <c r="Y766" s="25"/>
      <c r="Z766" s="25"/>
      <c r="AA766" s="25"/>
    </row>
    <row r="767" spans="1:27" x14ac:dyDescent="0.35">
      <c r="A767" s="97"/>
      <c r="B767" s="97"/>
      <c r="C767" s="97"/>
      <c r="D767" s="97"/>
      <c r="E767" s="97"/>
      <c r="F767" s="97"/>
      <c r="G767" s="97"/>
      <c r="H767" s="97"/>
      <c r="I767" s="97"/>
      <c r="J767" s="97"/>
      <c r="K767" s="97"/>
      <c r="L767" s="97"/>
      <c r="M767" s="97"/>
      <c r="N767" s="97"/>
      <c r="O767" s="97"/>
      <c r="P767" s="97"/>
      <c r="Q767" s="97"/>
      <c r="R767" s="97"/>
      <c r="S767" s="97"/>
      <c r="T767" s="97"/>
      <c r="U767" s="97"/>
      <c r="V767" s="25"/>
      <c r="W767" s="25"/>
      <c r="X767" s="25"/>
      <c r="Y767" s="25"/>
      <c r="Z767" s="25"/>
      <c r="AA767" s="25"/>
    </row>
    <row r="768" spans="1:27" x14ac:dyDescent="0.35">
      <c r="A768" s="97"/>
      <c r="B768" s="97"/>
      <c r="C768" s="97"/>
      <c r="D768" s="97"/>
      <c r="E768" s="97"/>
      <c r="F768" s="97"/>
      <c r="G768" s="97"/>
      <c r="H768" s="97"/>
      <c r="I768" s="97"/>
      <c r="J768" s="97"/>
      <c r="K768" s="97"/>
      <c r="L768" s="97"/>
      <c r="M768" s="97"/>
      <c r="N768" s="97"/>
      <c r="O768" s="97"/>
      <c r="P768" s="97"/>
      <c r="Q768" s="97"/>
      <c r="R768" s="97"/>
      <c r="S768" s="97"/>
      <c r="T768" s="97"/>
      <c r="U768" s="97"/>
      <c r="V768" s="25"/>
      <c r="W768" s="25"/>
      <c r="X768" s="25"/>
      <c r="Y768" s="25"/>
      <c r="Z768" s="25"/>
      <c r="AA768" s="25"/>
    </row>
    <row r="769" spans="1:27" x14ac:dyDescent="0.35">
      <c r="A769" s="97"/>
      <c r="B769" s="97"/>
      <c r="C769" s="97"/>
      <c r="D769" s="97"/>
      <c r="E769" s="97"/>
      <c r="F769" s="97"/>
      <c r="G769" s="97"/>
      <c r="H769" s="97"/>
      <c r="I769" s="97"/>
      <c r="J769" s="97"/>
      <c r="K769" s="97"/>
      <c r="L769" s="97"/>
      <c r="M769" s="97"/>
      <c r="N769" s="97"/>
      <c r="O769" s="97"/>
      <c r="P769" s="97"/>
      <c r="Q769" s="97"/>
      <c r="R769" s="97"/>
      <c r="S769" s="97"/>
      <c r="T769" s="97"/>
      <c r="U769" s="97"/>
      <c r="V769" s="25"/>
      <c r="W769" s="25"/>
      <c r="X769" s="25"/>
      <c r="Y769" s="25"/>
      <c r="Z769" s="25"/>
      <c r="AA769" s="25"/>
    </row>
    <row r="770" spans="1:27" x14ac:dyDescent="0.35">
      <c r="A770" s="97"/>
      <c r="B770" s="97"/>
      <c r="C770" s="97"/>
      <c r="D770" s="97"/>
      <c r="E770" s="97"/>
      <c r="F770" s="97"/>
      <c r="G770" s="97"/>
      <c r="H770" s="97"/>
      <c r="I770" s="97"/>
      <c r="J770" s="97"/>
      <c r="K770" s="97"/>
      <c r="L770" s="97"/>
      <c r="M770" s="97"/>
      <c r="N770" s="97"/>
      <c r="O770" s="97"/>
      <c r="P770" s="97"/>
      <c r="Q770" s="97"/>
      <c r="R770" s="97"/>
      <c r="S770" s="97"/>
      <c r="T770" s="97"/>
      <c r="U770" s="97"/>
      <c r="V770" s="25"/>
      <c r="W770" s="25"/>
      <c r="X770" s="25"/>
      <c r="Y770" s="25"/>
      <c r="Z770" s="25"/>
      <c r="AA770" s="25"/>
    </row>
    <row r="771" spans="1:27" x14ac:dyDescent="0.35">
      <c r="A771" s="97"/>
      <c r="B771" s="97"/>
      <c r="C771" s="97"/>
      <c r="D771" s="97"/>
      <c r="E771" s="97"/>
      <c r="F771" s="97"/>
      <c r="G771" s="97"/>
      <c r="H771" s="97"/>
      <c r="I771" s="97"/>
      <c r="J771" s="97"/>
      <c r="K771" s="97"/>
      <c r="L771" s="97"/>
      <c r="M771" s="97"/>
      <c r="N771" s="97"/>
      <c r="O771" s="97"/>
      <c r="P771" s="97"/>
      <c r="Q771" s="97"/>
      <c r="R771" s="97"/>
      <c r="S771" s="97"/>
      <c r="T771" s="97"/>
      <c r="U771" s="97"/>
      <c r="V771" s="25"/>
      <c r="W771" s="25"/>
      <c r="X771" s="25"/>
      <c r="Y771" s="25"/>
      <c r="Z771" s="25"/>
      <c r="AA771" s="25"/>
    </row>
    <row r="772" spans="1:27" x14ac:dyDescent="0.35">
      <c r="A772" s="97"/>
      <c r="B772" s="97"/>
      <c r="C772" s="97"/>
      <c r="D772" s="97"/>
      <c r="E772" s="97"/>
      <c r="F772" s="97"/>
      <c r="G772" s="97"/>
      <c r="H772" s="97"/>
      <c r="I772" s="97"/>
      <c r="J772" s="97"/>
      <c r="K772" s="97"/>
      <c r="L772" s="97"/>
      <c r="M772" s="97"/>
      <c r="N772" s="97"/>
      <c r="O772" s="97"/>
      <c r="P772" s="97"/>
      <c r="Q772" s="97"/>
      <c r="R772" s="97"/>
      <c r="S772" s="97"/>
      <c r="T772" s="97"/>
      <c r="U772" s="97"/>
      <c r="V772" s="25"/>
      <c r="W772" s="25"/>
      <c r="X772" s="25"/>
      <c r="Y772" s="25"/>
      <c r="Z772" s="25"/>
      <c r="AA772" s="25"/>
    </row>
    <row r="773" spans="1:27" x14ac:dyDescent="0.35">
      <c r="A773" s="97"/>
      <c r="B773" s="97"/>
      <c r="C773" s="97"/>
      <c r="D773" s="97"/>
      <c r="E773" s="97"/>
      <c r="F773" s="97"/>
      <c r="G773" s="97"/>
      <c r="H773" s="97"/>
      <c r="I773" s="97"/>
      <c r="J773" s="97"/>
      <c r="K773" s="97"/>
      <c r="L773" s="97"/>
      <c r="M773" s="97"/>
      <c r="N773" s="97"/>
      <c r="O773" s="97"/>
      <c r="P773" s="97"/>
      <c r="Q773" s="97"/>
      <c r="R773" s="97"/>
      <c r="S773" s="97"/>
      <c r="T773" s="97"/>
      <c r="U773" s="97"/>
      <c r="V773" s="25"/>
      <c r="W773" s="25"/>
      <c r="X773" s="25"/>
      <c r="Y773" s="25"/>
      <c r="Z773" s="25"/>
      <c r="AA773" s="25"/>
    </row>
    <row r="774" spans="1:27" x14ac:dyDescent="0.35">
      <c r="A774" s="97"/>
      <c r="B774" s="97"/>
      <c r="C774" s="97"/>
      <c r="D774" s="97"/>
      <c r="E774" s="97"/>
      <c r="F774" s="97"/>
      <c r="G774" s="97"/>
      <c r="H774" s="97"/>
      <c r="I774" s="97"/>
      <c r="J774" s="97"/>
      <c r="K774" s="97"/>
      <c r="L774" s="97"/>
      <c r="M774" s="97"/>
      <c r="N774" s="97"/>
      <c r="O774" s="97"/>
      <c r="P774" s="97"/>
      <c r="Q774" s="97"/>
      <c r="R774" s="97"/>
      <c r="S774" s="97"/>
      <c r="T774" s="97"/>
      <c r="U774" s="97"/>
      <c r="V774" s="25"/>
      <c r="W774" s="25"/>
      <c r="X774" s="25"/>
      <c r="Y774" s="25"/>
      <c r="Z774" s="25"/>
      <c r="AA774" s="25"/>
    </row>
    <row r="775" spans="1:27" x14ac:dyDescent="0.35">
      <c r="A775" s="97"/>
      <c r="B775" s="97"/>
      <c r="C775" s="97"/>
      <c r="D775" s="97"/>
      <c r="E775" s="97"/>
      <c r="F775" s="97"/>
      <c r="G775" s="97"/>
      <c r="H775" s="97"/>
      <c r="I775" s="97"/>
      <c r="J775" s="97"/>
      <c r="K775" s="97"/>
      <c r="L775" s="97"/>
      <c r="M775" s="97"/>
      <c r="N775" s="97"/>
      <c r="O775" s="97"/>
      <c r="P775" s="97"/>
      <c r="Q775" s="97"/>
      <c r="R775" s="97"/>
      <c r="S775" s="97"/>
      <c r="T775" s="97"/>
      <c r="U775" s="97"/>
      <c r="V775" s="25"/>
      <c r="W775" s="25"/>
      <c r="X775" s="25"/>
      <c r="Y775" s="25"/>
      <c r="Z775" s="25"/>
      <c r="AA775" s="25"/>
    </row>
    <row r="776" spans="1:27" x14ac:dyDescent="0.35">
      <c r="A776" s="97"/>
      <c r="B776" s="97"/>
      <c r="C776" s="97"/>
      <c r="D776" s="97"/>
      <c r="E776" s="97"/>
      <c r="F776" s="97"/>
      <c r="G776" s="97"/>
      <c r="H776" s="97"/>
      <c r="I776" s="97"/>
      <c r="J776" s="97"/>
      <c r="K776" s="97"/>
      <c r="L776" s="97"/>
      <c r="M776" s="97"/>
      <c r="N776" s="97"/>
      <c r="O776" s="97"/>
      <c r="P776" s="97"/>
      <c r="Q776" s="97"/>
      <c r="R776" s="97"/>
      <c r="S776" s="97"/>
      <c r="T776" s="97"/>
      <c r="U776" s="97"/>
      <c r="V776" s="25"/>
      <c r="W776" s="25"/>
      <c r="X776" s="25"/>
      <c r="Y776" s="25"/>
      <c r="Z776" s="25"/>
      <c r="AA776" s="25"/>
    </row>
    <row r="777" spans="1:27" x14ac:dyDescent="0.35">
      <c r="A777" s="97"/>
      <c r="B777" s="97"/>
      <c r="C777" s="97"/>
      <c r="D777" s="97"/>
      <c r="E777" s="97"/>
      <c r="F777" s="97"/>
      <c r="G777" s="97"/>
      <c r="H777" s="97"/>
      <c r="I777" s="97"/>
      <c r="J777" s="97"/>
      <c r="K777" s="97"/>
      <c r="L777" s="97"/>
      <c r="M777" s="97"/>
      <c r="N777" s="97"/>
      <c r="O777" s="97"/>
      <c r="P777" s="97"/>
      <c r="Q777" s="97"/>
      <c r="R777" s="97"/>
      <c r="S777" s="97"/>
      <c r="T777" s="97"/>
      <c r="U777" s="97"/>
      <c r="V777" s="25"/>
      <c r="W777" s="25"/>
      <c r="X777" s="25"/>
      <c r="Y777" s="25"/>
      <c r="Z777" s="25"/>
      <c r="AA777" s="25"/>
    </row>
    <row r="778" spans="1:27" x14ac:dyDescent="0.35">
      <c r="A778" s="97"/>
      <c r="B778" s="97"/>
      <c r="C778" s="97"/>
      <c r="D778" s="97"/>
      <c r="E778" s="97"/>
      <c r="F778" s="97"/>
      <c r="G778" s="97"/>
      <c r="H778" s="97"/>
      <c r="I778" s="97"/>
      <c r="J778" s="97"/>
      <c r="K778" s="97"/>
      <c r="L778" s="97"/>
      <c r="M778" s="97"/>
      <c r="N778" s="97"/>
      <c r="O778" s="97"/>
      <c r="P778" s="97"/>
      <c r="Q778" s="97"/>
      <c r="R778" s="97"/>
      <c r="S778" s="97"/>
      <c r="T778" s="97"/>
      <c r="U778" s="97"/>
      <c r="V778" s="25"/>
      <c r="W778" s="25"/>
      <c r="X778" s="25"/>
      <c r="Y778" s="25"/>
      <c r="Z778" s="25"/>
      <c r="AA778" s="25"/>
    </row>
    <row r="779" spans="1:27" x14ac:dyDescent="0.35">
      <c r="A779" s="97"/>
      <c r="B779" s="97"/>
      <c r="C779" s="97"/>
      <c r="D779" s="97"/>
      <c r="E779" s="97"/>
      <c r="F779" s="97"/>
      <c r="G779" s="97"/>
      <c r="H779" s="97"/>
      <c r="I779" s="97"/>
      <c r="J779" s="97"/>
      <c r="K779" s="97"/>
      <c r="L779" s="97"/>
      <c r="M779" s="97"/>
      <c r="N779" s="97"/>
      <c r="O779" s="97"/>
      <c r="P779" s="97"/>
      <c r="Q779" s="97"/>
      <c r="R779" s="97"/>
      <c r="S779" s="97"/>
      <c r="T779" s="97"/>
      <c r="U779" s="97"/>
      <c r="V779" s="25"/>
      <c r="W779" s="25"/>
      <c r="X779" s="25"/>
      <c r="Y779" s="25"/>
      <c r="Z779" s="25"/>
      <c r="AA779" s="25"/>
    </row>
    <row r="780" spans="1:27" x14ac:dyDescent="0.35">
      <c r="A780" s="97"/>
      <c r="B780" s="97"/>
      <c r="C780" s="97"/>
      <c r="D780" s="97"/>
      <c r="E780" s="97"/>
      <c r="F780" s="97"/>
      <c r="G780" s="97"/>
      <c r="H780" s="97"/>
      <c r="I780" s="97"/>
      <c r="J780" s="97"/>
      <c r="K780" s="97"/>
      <c r="L780" s="97"/>
      <c r="M780" s="97"/>
      <c r="N780" s="97"/>
      <c r="O780" s="97"/>
      <c r="P780" s="97"/>
      <c r="Q780" s="97"/>
      <c r="R780" s="97"/>
      <c r="S780" s="97"/>
      <c r="T780" s="97"/>
      <c r="U780" s="97"/>
      <c r="V780" s="25"/>
      <c r="W780" s="25"/>
      <c r="X780" s="25"/>
      <c r="Y780" s="25"/>
      <c r="Z780" s="25"/>
      <c r="AA780" s="25"/>
    </row>
    <row r="781" spans="1:27" x14ac:dyDescent="0.35">
      <c r="A781" s="97"/>
      <c r="B781" s="97"/>
      <c r="C781" s="97"/>
      <c r="D781" s="97"/>
      <c r="E781" s="97"/>
      <c r="F781" s="97"/>
      <c r="G781" s="97"/>
      <c r="H781" s="97"/>
      <c r="I781" s="97"/>
      <c r="J781" s="97"/>
      <c r="K781" s="97"/>
      <c r="L781" s="97"/>
      <c r="M781" s="97"/>
      <c r="N781" s="97"/>
      <c r="O781" s="97"/>
      <c r="P781" s="97"/>
      <c r="Q781" s="97"/>
      <c r="R781" s="97"/>
      <c r="S781" s="97"/>
      <c r="T781" s="97"/>
      <c r="U781" s="97"/>
      <c r="V781" s="25"/>
      <c r="W781" s="25"/>
      <c r="X781" s="25"/>
      <c r="Y781" s="25"/>
      <c r="Z781" s="25"/>
      <c r="AA781" s="25"/>
    </row>
    <row r="782" spans="1:27" x14ac:dyDescent="0.35">
      <c r="A782" s="97"/>
      <c r="B782" s="97"/>
      <c r="C782" s="97"/>
      <c r="D782" s="97"/>
      <c r="E782" s="97"/>
      <c r="F782" s="97"/>
      <c r="G782" s="97"/>
      <c r="H782" s="97"/>
      <c r="I782" s="97"/>
      <c r="J782" s="97"/>
      <c r="K782" s="97"/>
      <c r="L782" s="97"/>
      <c r="M782" s="97"/>
      <c r="N782" s="97"/>
      <c r="O782" s="97"/>
      <c r="P782" s="97"/>
      <c r="Q782" s="97"/>
      <c r="R782" s="97"/>
      <c r="S782" s="97"/>
      <c r="T782" s="97"/>
      <c r="U782" s="97"/>
      <c r="V782" s="25"/>
      <c r="W782" s="25"/>
      <c r="X782" s="25"/>
      <c r="Y782" s="25"/>
      <c r="Z782" s="25"/>
      <c r="AA782" s="25"/>
    </row>
    <row r="783" spans="1:27" x14ac:dyDescent="0.35">
      <c r="A783" s="97"/>
      <c r="B783" s="97"/>
      <c r="C783" s="97"/>
      <c r="D783" s="97"/>
      <c r="E783" s="97"/>
      <c r="F783" s="97"/>
      <c r="G783" s="97"/>
      <c r="H783" s="97"/>
      <c r="I783" s="97"/>
      <c r="J783" s="97"/>
      <c r="K783" s="97"/>
      <c r="L783" s="97"/>
      <c r="M783" s="97"/>
      <c r="N783" s="97"/>
      <c r="O783" s="97"/>
      <c r="P783" s="97"/>
      <c r="Q783" s="97"/>
      <c r="R783" s="97"/>
      <c r="S783" s="97"/>
      <c r="T783" s="97"/>
      <c r="U783" s="97"/>
      <c r="V783" s="25"/>
      <c r="W783" s="25"/>
      <c r="X783" s="25"/>
      <c r="Y783" s="25"/>
      <c r="Z783" s="25"/>
      <c r="AA783" s="25"/>
    </row>
    <row r="784" spans="1:27" x14ac:dyDescent="0.35">
      <c r="A784" s="97"/>
      <c r="B784" s="97"/>
      <c r="C784" s="97"/>
      <c r="D784" s="97"/>
      <c r="E784" s="97"/>
      <c r="F784" s="97"/>
      <c r="G784" s="97"/>
      <c r="H784" s="97"/>
      <c r="I784" s="97"/>
      <c r="J784" s="97"/>
      <c r="K784" s="97"/>
      <c r="L784" s="97"/>
      <c r="M784" s="97"/>
      <c r="N784" s="97"/>
      <c r="O784" s="97"/>
      <c r="P784" s="97"/>
      <c r="Q784" s="97"/>
      <c r="R784" s="97"/>
      <c r="S784" s="97"/>
      <c r="T784" s="97"/>
      <c r="U784" s="97"/>
      <c r="V784" s="25"/>
      <c r="W784" s="25"/>
      <c r="X784" s="25"/>
      <c r="Y784" s="25"/>
      <c r="Z784" s="25"/>
      <c r="AA784" s="25"/>
    </row>
    <row r="785" spans="1:27" x14ac:dyDescent="0.35">
      <c r="A785" s="97"/>
      <c r="B785" s="97"/>
      <c r="C785" s="97"/>
      <c r="D785" s="97"/>
      <c r="E785" s="97"/>
      <c r="F785" s="97"/>
      <c r="G785" s="97"/>
      <c r="H785" s="97"/>
      <c r="I785" s="97"/>
      <c r="J785" s="97"/>
      <c r="K785" s="97"/>
      <c r="L785" s="97"/>
      <c r="M785" s="97"/>
      <c r="N785" s="97"/>
      <c r="O785" s="97"/>
      <c r="P785" s="97"/>
      <c r="Q785" s="97"/>
      <c r="R785" s="97"/>
      <c r="S785" s="97"/>
      <c r="T785" s="97"/>
      <c r="U785" s="97"/>
      <c r="V785" s="25"/>
      <c r="W785" s="25"/>
      <c r="X785" s="25"/>
      <c r="Y785" s="25"/>
      <c r="Z785" s="25"/>
      <c r="AA785" s="25"/>
    </row>
    <row r="786" spans="1:27" x14ac:dyDescent="0.35">
      <c r="A786" s="97"/>
      <c r="B786" s="97"/>
      <c r="C786" s="97"/>
      <c r="D786" s="97"/>
      <c r="E786" s="97"/>
      <c r="F786" s="97"/>
      <c r="G786" s="97"/>
      <c r="H786" s="97"/>
      <c r="I786" s="97"/>
      <c r="J786" s="97"/>
      <c r="K786" s="97"/>
      <c r="L786" s="97"/>
      <c r="M786" s="97"/>
      <c r="N786" s="97"/>
      <c r="O786" s="97"/>
      <c r="P786" s="97"/>
      <c r="Q786" s="97"/>
      <c r="R786" s="97"/>
      <c r="S786" s="97"/>
      <c r="T786" s="97"/>
      <c r="U786" s="97"/>
      <c r="V786" s="25"/>
      <c r="W786" s="25"/>
      <c r="X786" s="25"/>
      <c r="Y786" s="25"/>
      <c r="Z786" s="25"/>
      <c r="AA786" s="25"/>
    </row>
    <row r="787" spans="1:27" x14ac:dyDescent="0.35">
      <c r="A787" s="97"/>
      <c r="B787" s="97"/>
      <c r="C787" s="97"/>
      <c r="D787" s="97"/>
      <c r="E787" s="97"/>
      <c r="F787" s="97"/>
      <c r="G787" s="97"/>
      <c r="H787" s="97"/>
      <c r="I787" s="97"/>
      <c r="J787" s="97"/>
      <c r="K787" s="97"/>
      <c r="L787" s="97"/>
      <c r="M787" s="97"/>
      <c r="N787" s="97"/>
      <c r="O787" s="97"/>
      <c r="P787" s="97"/>
      <c r="Q787" s="97"/>
      <c r="R787" s="97"/>
      <c r="S787" s="97"/>
      <c r="T787" s="97"/>
      <c r="U787" s="97"/>
      <c r="V787" s="25"/>
      <c r="W787" s="25"/>
      <c r="X787" s="25"/>
      <c r="Y787" s="25"/>
      <c r="Z787" s="25"/>
      <c r="AA787" s="25"/>
    </row>
    <row r="788" spans="1:27" x14ac:dyDescent="0.35">
      <c r="A788" s="97"/>
      <c r="B788" s="97"/>
      <c r="C788" s="97"/>
      <c r="D788" s="97"/>
      <c r="E788" s="97"/>
      <c r="F788" s="97"/>
      <c r="G788" s="97"/>
      <c r="H788" s="97"/>
      <c r="I788" s="97"/>
      <c r="J788" s="97"/>
      <c r="K788" s="97"/>
      <c r="L788" s="97"/>
      <c r="M788" s="97"/>
      <c r="N788" s="97"/>
      <c r="O788" s="97"/>
      <c r="P788" s="97"/>
      <c r="Q788" s="97"/>
      <c r="R788" s="97"/>
      <c r="S788" s="97"/>
      <c r="T788" s="97"/>
      <c r="U788" s="97"/>
      <c r="V788" s="25"/>
      <c r="W788" s="25"/>
      <c r="X788" s="25"/>
      <c r="Y788" s="25"/>
      <c r="Z788" s="25"/>
      <c r="AA788" s="25"/>
    </row>
    <row r="789" spans="1:27" x14ac:dyDescent="0.35">
      <c r="A789" s="97"/>
      <c r="B789" s="97"/>
      <c r="C789" s="97"/>
      <c r="D789" s="97"/>
      <c r="E789" s="97"/>
      <c r="F789" s="97"/>
      <c r="G789" s="97"/>
      <c r="H789" s="97"/>
      <c r="I789" s="97"/>
      <c r="J789" s="97"/>
      <c r="K789" s="97"/>
      <c r="L789" s="97"/>
      <c r="M789" s="97"/>
      <c r="N789" s="97"/>
      <c r="O789" s="97"/>
      <c r="P789" s="97"/>
      <c r="Q789" s="97"/>
      <c r="R789" s="97"/>
      <c r="S789" s="97"/>
      <c r="T789" s="97"/>
      <c r="U789" s="97"/>
      <c r="V789" s="25"/>
      <c r="W789" s="25"/>
      <c r="X789" s="25"/>
      <c r="Y789" s="25"/>
      <c r="Z789" s="25"/>
      <c r="AA789" s="25"/>
    </row>
    <row r="790" spans="1:27" x14ac:dyDescent="0.35">
      <c r="A790" s="97"/>
      <c r="B790" s="97"/>
      <c r="C790" s="97"/>
      <c r="D790" s="97"/>
      <c r="E790" s="97"/>
      <c r="F790" s="97"/>
      <c r="G790" s="97"/>
      <c r="H790" s="97"/>
      <c r="I790" s="97"/>
      <c r="J790" s="97"/>
      <c r="K790" s="97"/>
      <c r="L790" s="97"/>
      <c r="M790" s="97"/>
      <c r="N790" s="97"/>
      <c r="O790" s="97"/>
      <c r="P790" s="97"/>
      <c r="Q790" s="97"/>
      <c r="R790" s="97"/>
      <c r="S790" s="97"/>
      <c r="T790" s="97"/>
      <c r="U790" s="97"/>
      <c r="V790" s="25"/>
      <c r="W790" s="25"/>
      <c r="X790" s="25"/>
      <c r="Y790" s="25"/>
      <c r="Z790" s="25"/>
      <c r="AA790" s="25"/>
    </row>
    <row r="791" spans="1:27" x14ac:dyDescent="0.35">
      <c r="A791" s="97"/>
      <c r="B791" s="97"/>
      <c r="C791" s="97"/>
      <c r="D791" s="97"/>
      <c r="E791" s="97"/>
      <c r="F791" s="97"/>
      <c r="G791" s="97"/>
      <c r="H791" s="97"/>
      <c r="I791" s="97"/>
      <c r="J791" s="97"/>
      <c r="K791" s="97"/>
      <c r="L791" s="97"/>
      <c r="M791" s="97"/>
      <c r="N791" s="97"/>
      <c r="O791" s="97"/>
      <c r="P791" s="97"/>
      <c r="Q791" s="97"/>
      <c r="R791" s="97"/>
      <c r="S791" s="97"/>
      <c r="T791" s="97"/>
      <c r="U791" s="97"/>
      <c r="V791" s="25"/>
      <c r="W791" s="25"/>
      <c r="X791" s="25"/>
      <c r="Y791" s="25"/>
      <c r="Z791" s="25"/>
      <c r="AA791" s="25"/>
    </row>
    <row r="792" spans="1:27" x14ac:dyDescent="0.35">
      <c r="A792" s="97"/>
      <c r="B792" s="97"/>
      <c r="C792" s="97"/>
      <c r="D792" s="97"/>
      <c r="E792" s="97"/>
      <c r="F792" s="97"/>
      <c r="G792" s="97"/>
      <c r="H792" s="97"/>
      <c r="I792" s="97"/>
      <c r="J792" s="97"/>
      <c r="K792" s="97"/>
      <c r="L792" s="97"/>
      <c r="M792" s="97"/>
      <c r="N792" s="97"/>
      <c r="O792" s="97"/>
      <c r="P792" s="97"/>
      <c r="Q792" s="97"/>
      <c r="R792" s="97"/>
      <c r="S792" s="97"/>
      <c r="T792" s="97"/>
      <c r="U792" s="97"/>
      <c r="V792" s="25"/>
      <c r="W792" s="25"/>
      <c r="X792" s="25"/>
      <c r="Y792" s="25"/>
      <c r="Z792" s="25"/>
      <c r="AA792" s="25"/>
    </row>
    <row r="793" spans="1:27" x14ac:dyDescent="0.35">
      <c r="A793" s="97"/>
      <c r="B793" s="97"/>
      <c r="C793" s="97"/>
      <c r="D793" s="97"/>
      <c r="E793" s="97"/>
      <c r="F793" s="97"/>
      <c r="G793" s="97"/>
      <c r="H793" s="97"/>
      <c r="I793" s="97"/>
      <c r="J793" s="97"/>
      <c r="K793" s="97"/>
      <c r="L793" s="97"/>
      <c r="M793" s="97"/>
      <c r="N793" s="97"/>
      <c r="O793" s="97"/>
      <c r="P793" s="97"/>
      <c r="Q793" s="97"/>
      <c r="R793" s="97"/>
      <c r="S793" s="97"/>
      <c r="T793" s="97"/>
      <c r="U793" s="97"/>
      <c r="V793" s="25"/>
      <c r="W793" s="25"/>
      <c r="X793" s="25"/>
      <c r="Y793" s="25"/>
      <c r="Z793" s="25"/>
      <c r="AA793" s="25"/>
    </row>
    <row r="794" spans="1:27" x14ac:dyDescent="0.35">
      <c r="A794" s="97"/>
      <c r="B794" s="97"/>
      <c r="C794" s="97"/>
      <c r="D794" s="97"/>
      <c r="E794" s="97"/>
      <c r="F794" s="97"/>
      <c r="G794" s="97"/>
      <c r="H794" s="97"/>
      <c r="I794" s="97"/>
      <c r="J794" s="97"/>
      <c r="K794" s="97"/>
      <c r="L794" s="97"/>
      <c r="M794" s="97"/>
      <c r="N794" s="97"/>
      <c r="O794" s="97"/>
      <c r="P794" s="97"/>
      <c r="Q794" s="97"/>
      <c r="R794" s="97"/>
      <c r="S794" s="97"/>
      <c r="T794" s="97"/>
      <c r="U794" s="97"/>
      <c r="V794" s="25"/>
      <c r="W794" s="25"/>
      <c r="X794" s="25"/>
      <c r="Y794" s="25"/>
      <c r="Z794" s="25"/>
      <c r="AA794" s="25"/>
    </row>
    <row r="795" spans="1:27" x14ac:dyDescent="0.35">
      <c r="A795" s="97"/>
      <c r="B795" s="97"/>
      <c r="C795" s="97"/>
      <c r="D795" s="97"/>
      <c r="E795" s="97"/>
      <c r="F795" s="97"/>
      <c r="G795" s="97"/>
      <c r="H795" s="97"/>
      <c r="I795" s="97"/>
      <c r="J795" s="97"/>
      <c r="K795" s="97"/>
      <c r="L795" s="97"/>
      <c r="M795" s="97"/>
      <c r="N795" s="97"/>
      <c r="O795" s="97"/>
      <c r="P795" s="97"/>
      <c r="Q795" s="97"/>
      <c r="R795" s="97"/>
      <c r="S795" s="97"/>
      <c r="T795" s="97"/>
      <c r="U795" s="97"/>
      <c r="V795" s="25"/>
      <c r="W795" s="25"/>
      <c r="X795" s="25"/>
      <c r="Y795" s="25"/>
      <c r="Z795" s="25"/>
      <c r="AA795" s="25"/>
    </row>
    <row r="796" spans="1:27" x14ac:dyDescent="0.35">
      <c r="A796" s="97"/>
      <c r="B796" s="97"/>
      <c r="C796" s="97"/>
      <c r="D796" s="97"/>
      <c r="E796" s="97"/>
      <c r="F796" s="97"/>
      <c r="G796" s="97"/>
      <c r="H796" s="97"/>
      <c r="I796" s="97"/>
      <c r="J796" s="97"/>
      <c r="K796" s="97"/>
      <c r="L796" s="97"/>
      <c r="M796" s="97"/>
      <c r="N796" s="97"/>
      <c r="O796" s="97"/>
      <c r="P796" s="97"/>
      <c r="Q796" s="97"/>
      <c r="R796" s="97"/>
      <c r="S796" s="97"/>
      <c r="T796" s="97"/>
      <c r="U796" s="97"/>
      <c r="V796" s="25"/>
      <c r="W796" s="25"/>
      <c r="X796" s="25"/>
      <c r="Y796" s="25"/>
      <c r="Z796" s="25"/>
      <c r="AA796" s="25"/>
    </row>
    <row r="797" spans="1:27" x14ac:dyDescent="0.35">
      <c r="A797" s="97"/>
      <c r="B797" s="97"/>
      <c r="C797" s="97"/>
      <c r="D797" s="97"/>
      <c r="E797" s="97"/>
      <c r="F797" s="97"/>
      <c r="G797" s="97"/>
      <c r="H797" s="97"/>
      <c r="I797" s="97"/>
      <c r="J797" s="97"/>
      <c r="K797" s="97"/>
      <c r="L797" s="97"/>
      <c r="M797" s="97"/>
      <c r="N797" s="97"/>
      <c r="O797" s="97"/>
      <c r="P797" s="97"/>
      <c r="Q797" s="97"/>
      <c r="R797" s="97"/>
      <c r="S797" s="97"/>
      <c r="T797" s="97"/>
      <c r="U797" s="97"/>
      <c r="V797" s="25"/>
      <c r="W797" s="25"/>
      <c r="X797" s="25"/>
      <c r="Y797" s="25"/>
      <c r="Z797" s="25"/>
      <c r="AA797" s="25"/>
    </row>
    <row r="798" spans="1:27" x14ac:dyDescent="0.35">
      <c r="A798" s="97"/>
      <c r="B798" s="97"/>
      <c r="C798" s="97"/>
      <c r="D798" s="97"/>
      <c r="E798" s="97"/>
      <c r="F798" s="97"/>
      <c r="G798" s="97"/>
      <c r="H798" s="97"/>
      <c r="I798" s="97"/>
      <c r="J798" s="97"/>
      <c r="K798" s="97"/>
      <c r="L798" s="97"/>
      <c r="M798" s="97"/>
      <c r="N798" s="97"/>
      <c r="O798" s="97"/>
      <c r="P798" s="97"/>
      <c r="Q798" s="97"/>
      <c r="R798" s="97"/>
      <c r="S798" s="97"/>
      <c r="T798" s="97"/>
      <c r="U798" s="97"/>
      <c r="V798" s="25"/>
      <c r="W798" s="25"/>
      <c r="X798" s="25"/>
      <c r="Y798" s="25"/>
      <c r="Z798" s="25"/>
      <c r="AA798" s="25"/>
    </row>
    <row r="799" spans="1:27" x14ac:dyDescent="0.35">
      <c r="A799" s="97"/>
      <c r="B799" s="97"/>
      <c r="C799" s="97"/>
      <c r="D799" s="97"/>
      <c r="E799" s="97"/>
      <c r="F799" s="97"/>
      <c r="G799" s="97"/>
      <c r="H799" s="97"/>
      <c r="I799" s="97"/>
      <c r="J799" s="97"/>
      <c r="K799" s="97"/>
      <c r="L799" s="97"/>
      <c r="M799" s="97"/>
      <c r="N799" s="97"/>
      <c r="O799" s="97"/>
      <c r="P799" s="97"/>
      <c r="Q799" s="97"/>
      <c r="R799" s="97"/>
      <c r="S799" s="97"/>
      <c r="T799" s="97"/>
      <c r="U799" s="97"/>
      <c r="V799" s="25"/>
      <c r="W799" s="25"/>
      <c r="X799" s="25"/>
      <c r="Y799" s="25"/>
      <c r="Z799" s="25"/>
      <c r="AA799" s="25"/>
    </row>
    <row r="800" spans="1:27" x14ac:dyDescent="0.35">
      <c r="A800" s="97"/>
      <c r="B800" s="97"/>
      <c r="C800" s="97"/>
      <c r="D800" s="97"/>
      <c r="E800" s="97"/>
      <c r="F800" s="97"/>
      <c r="G800" s="97"/>
      <c r="H800" s="97"/>
      <c r="I800" s="97"/>
      <c r="J800" s="97"/>
      <c r="K800" s="97"/>
      <c r="L800" s="97"/>
      <c r="M800" s="97"/>
      <c r="N800" s="97"/>
      <c r="O800" s="97"/>
      <c r="P800" s="97"/>
      <c r="Q800" s="97"/>
      <c r="R800" s="97"/>
      <c r="S800" s="97"/>
      <c r="T800" s="97"/>
      <c r="U800" s="97"/>
      <c r="V800" s="25"/>
      <c r="W800" s="25"/>
      <c r="X800" s="25"/>
      <c r="Y800" s="25"/>
      <c r="Z800" s="25"/>
      <c r="AA800" s="25"/>
    </row>
    <row r="801" spans="1:27" x14ac:dyDescent="0.35">
      <c r="A801" s="97"/>
      <c r="B801" s="97"/>
      <c r="C801" s="97"/>
      <c r="D801" s="97"/>
      <c r="E801" s="97"/>
      <c r="F801" s="97"/>
      <c r="G801" s="97"/>
      <c r="H801" s="97"/>
      <c r="I801" s="97"/>
      <c r="J801" s="97"/>
      <c r="K801" s="97"/>
      <c r="L801" s="97"/>
      <c r="M801" s="97"/>
      <c r="N801" s="97"/>
      <c r="O801" s="97"/>
      <c r="P801" s="97"/>
      <c r="Q801" s="97"/>
      <c r="R801" s="97"/>
      <c r="S801" s="97"/>
      <c r="T801" s="97"/>
      <c r="U801" s="97"/>
      <c r="V801" s="25"/>
      <c r="W801" s="25"/>
      <c r="X801" s="25"/>
      <c r="Y801" s="25"/>
      <c r="Z801" s="25"/>
      <c r="AA801" s="25"/>
    </row>
    <row r="802" spans="1:27" x14ac:dyDescent="0.35">
      <c r="A802" s="97"/>
      <c r="B802" s="97"/>
      <c r="C802" s="97"/>
      <c r="D802" s="97"/>
      <c r="E802" s="97"/>
      <c r="F802" s="97"/>
      <c r="G802" s="97"/>
      <c r="H802" s="97"/>
      <c r="I802" s="97"/>
      <c r="J802" s="97"/>
      <c r="K802" s="97"/>
      <c r="L802" s="97"/>
      <c r="M802" s="97"/>
      <c r="N802" s="97"/>
      <c r="O802" s="97"/>
      <c r="P802" s="97"/>
      <c r="Q802" s="97"/>
      <c r="R802" s="97"/>
      <c r="S802" s="97"/>
      <c r="T802" s="97"/>
      <c r="U802" s="97"/>
      <c r="V802" s="25"/>
      <c r="W802" s="25"/>
      <c r="X802" s="25"/>
      <c r="Y802" s="25"/>
      <c r="Z802" s="25"/>
      <c r="AA802" s="25"/>
    </row>
    <row r="803" spans="1:27" x14ac:dyDescent="0.35">
      <c r="A803" s="97"/>
      <c r="B803" s="97"/>
      <c r="C803" s="97"/>
      <c r="D803" s="97"/>
      <c r="E803" s="97"/>
      <c r="F803" s="97"/>
      <c r="G803" s="97"/>
      <c r="H803" s="97"/>
      <c r="I803" s="97"/>
      <c r="J803" s="97"/>
      <c r="K803" s="97"/>
      <c r="L803" s="97"/>
      <c r="M803" s="97"/>
      <c r="N803" s="97"/>
      <c r="O803" s="97"/>
      <c r="P803" s="97"/>
      <c r="Q803" s="97"/>
      <c r="R803" s="97"/>
      <c r="S803" s="97"/>
      <c r="T803" s="97"/>
      <c r="U803" s="97"/>
      <c r="V803" s="25"/>
      <c r="W803" s="25"/>
      <c r="X803" s="25"/>
      <c r="Y803" s="25"/>
      <c r="Z803" s="25"/>
      <c r="AA803" s="25"/>
    </row>
    <row r="804" spans="1:27" x14ac:dyDescent="0.35">
      <c r="A804" s="97"/>
      <c r="B804" s="97"/>
      <c r="C804" s="97"/>
      <c r="D804" s="97"/>
      <c r="E804" s="97"/>
      <c r="F804" s="97"/>
      <c r="G804" s="97"/>
      <c r="H804" s="97"/>
      <c r="I804" s="97"/>
      <c r="J804" s="97"/>
      <c r="K804" s="97"/>
      <c r="L804" s="97"/>
      <c r="M804" s="97"/>
      <c r="N804" s="97"/>
      <c r="O804" s="97"/>
      <c r="P804" s="97"/>
      <c r="Q804" s="97"/>
      <c r="R804" s="97"/>
      <c r="S804" s="97"/>
      <c r="T804" s="97"/>
      <c r="U804" s="97"/>
      <c r="V804" s="25"/>
      <c r="W804" s="25"/>
      <c r="X804" s="25"/>
      <c r="Y804" s="25"/>
      <c r="Z804" s="25"/>
      <c r="AA804" s="25"/>
    </row>
    <row r="805" spans="1:27" x14ac:dyDescent="0.35">
      <c r="A805" s="97"/>
      <c r="B805" s="97"/>
      <c r="C805" s="97"/>
      <c r="D805" s="97"/>
      <c r="E805" s="97"/>
      <c r="F805" s="97"/>
      <c r="G805" s="97"/>
      <c r="H805" s="97"/>
      <c r="I805" s="97"/>
      <c r="J805" s="97"/>
      <c r="K805" s="97"/>
      <c r="L805" s="97"/>
      <c r="M805" s="97"/>
      <c r="N805" s="97"/>
      <c r="O805" s="97"/>
      <c r="P805" s="97"/>
      <c r="Q805" s="97"/>
      <c r="R805" s="97"/>
      <c r="S805" s="97"/>
      <c r="T805" s="97"/>
      <c r="U805" s="97"/>
      <c r="V805" s="25"/>
      <c r="W805" s="25"/>
      <c r="X805" s="25"/>
      <c r="Y805" s="25"/>
      <c r="Z805" s="25"/>
      <c r="AA805" s="25"/>
    </row>
    <row r="806" spans="1:27" x14ac:dyDescent="0.35">
      <c r="A806" s="97"/>
      <c r="B806" s="97"/>
      <c r="C806" s="97"/>
      <c r="D806" s="97"/>
      <c r="E806" s="97"/>
      <c r="F806" s="97"/>
      <c r="G806" s="97"/>
      <c r="H806" s="97"/>
      <c r="I806" s="97"/>
      <c r="J806" s="97"/>
      <c r="K806" s="97"/>
      <c r="L806" s="97"/>
      <c r="M806" s="97"/>
      <c r="N806" s="97"/>
      <c r="O806" s="97"/>
      <c r="P806" s="97"/>
      <c r="Q806" s="97"/>
      <c r="R806" s="97"/>
      <c r="S806" s="97"/>
      <c r="T806" s="97"/>
      <c r="U806" s="97"/>
      <c r="V806" s="25"/>
      <c r="W806" s="25"/>
      <c r="X806" s="25"/>
      <c r="Y806" s="25"/>
      <c r="Z806" s="25"/>
      <c r="AA806" s="25"/>
    </row>
    <row r="807" spans="1:27" x14ac:dyDescent="0.35">
      <c r="A807" s="97"/>
      <c r="B807" s="97"/>
      <c r="C807" s="97"/>
      <c r="D807" s="97"/>
      <c r="E807" s="97"/>
      <c r="F807" s="97"/>
      <c r="G807" s="97"/>
      <c r="H807" s="97"/>
      <c r="I807" s="97"/>
      <c r="J807" s="97"/>
      <c r="K807" s="97"/>
      <c r="L807" s="97"/>
      <c r="M807" s="97"/>
      <c r="N807" s="97"/>
      <c r="O807" s="97"/>
      <c r="P807" s="97"/>
      <c r="Q807" s="97"/>
      <c r="R807" s="97"/>
      <c r="S807" s="97"/>
      <c r="T807" s="97"/>
      <c r="U807" s="97"/>
      <c r="V807" s="25"/>
      <c r="W807" s="25"/>
      <c r="X807" s="25"/>
      <c r="Y807" s="25"/>
      <c r="Z807" s="25"/>
      <c r="AA807" s="25"/>
    </row>
    <row r="808" spans="1:27" x14ac:dyDescent="0.35">
      <c r="A808" s="97"/>
      <c r="B808" s="97"/>
      <c r="C808" s="97"/>
      <c r="D808" s="97"/>
      <c r="E808" s="97"/>
      <c r="F808" s="97"/>
      <c r="G808" s="97"/>
      <c r="H808" s="97"/>
      <c r="I808" s="97"/>
      <c r="J808" s="97"/>
      <c r="K808" s="97"/>
      <c r="L808" s="97"/>
      <c r="M808" s="97"/>
      <c r="N808" s="97"/>
      <c r="O808" s="97"/>
      <c r="P808" s="97"/>
      <c r="Q808" s="97"/>
      <c r="R808" s="97"/>
      <c r="S808" s="97"/>
      <c r="T808" s="97"/>
      <c r="U808" s="97"/>
      <c r="V808" s="25"/>
      <c r="W808" s="25"/>
      <c r="X808" s="25"/>
      <c r="Y808" s="25"/>
      <c r="Z808" s="25"/>
      <c r="AA808" s="25"/>
    </row>
    <row r="809" spans="1:27" x14ac:dyDescent="0.35">
      <c r="A809" s="97"/>
      <c r="B809" s="97"/>
      <c r="C809" s="97"/>
      <c r="D809" s="97"/>
      <c r="E809" s="97"/>
      <c r="F809" s="97"/>
      <c r="G809" s="97"/>
      <c r="H809" s="97"/>
      <c r="I809" s="97"/>
      <c r="J809" s="97"/>
      <c r="K809" s="97"/>
      <c r="L809" s="97"/>
      <c r="M809" s="97"/>
      <c r="N809" s="97"/>
      <c r="O809" s="97"/>
      <c r="P809" s="97"/>
      <c r="Q809" s="97"/>
      <c r="R809" s="97"/>
      <c r="S809" s="97"/>
      <c r="T809" s="97"/>
      <c r="U809" s="97"/>
      <c r="V809" s="25"/>
      <c r="W809" s="25"/>
      <c r="X809" s="25"/>
      <c r="Y809" s="25"/>
      <c r="Z809" s="25"/>
      <c r="AA809" s="25"/>
    </row>
    <row r="810" spans="1:27" x14ac:dyDescent="0.35">
      <c r="A810" s="97"/>
      <c r="B810" s="97"/>
      <c r="C810" s="97"/>
      <c r="D810" s="97"/>
      <c r="E810" s="97"/>
      <c r="F810" s="97"/>
      <c r="G810" s="97"/>
      <c r="H810" s="97"/>
      <c r="I810" s="97"/>
      <c r="J810" s="97"/>
      <c r="K810" s="97"/>
      <c r="L810" s="97"/>
      <c r="M810" s="97"/>
      <c r="N810" s="97"/>
      <c r="O810" s="97"/>
      <c r="P810" s="97"/>
      <c r="Q810" s="97"/>
      <c r="R810" s="97"/>
      <c r="S810" s="97"/>
      <c r="T810" s="97"/>
      <c r="U810" s="97"/>
      <c r="V810" s="25"/>
      <c r="W810" s="25"/>
      <c r="X810" s="25"/>
      <c r="Y810" s="25"/>
      <c r="Z810" s="25"/>
      <c r="AA810" s="25"/>
    </row>
    <row r="811" spans="1:27" x14ac:dyDescent="0.35">
      <c r="A811" s="97"/>
      <c r="B811" s="97"/>
      <c r="C811" s="97"/>
      <c r="D811" s="97"/>
      <c r="E811" s="97"/>
      <c r="F811" s="97"/>
      <c r="G811" s="97"/>
      <c r="H811" s="97"/>
      <c r="I811" s="97"/>
      <c r="J811" s="97"/>
      <c r="K811" s="97"/>
      <c r="L811" s="97"/>
      <c r="M811" s="97"/>
      <c r="N811" s="97"/>
      <c r="O811" s="97"/>
      <c r="P811" s="97"/>
      <c r="Q811" s="97"/>
      <c r="R811" s="97"/>
      <c r="S811" s="97"/>
      <c r="T811" s="97"/>
      <c r="U811" s="97"/>
      <c r="V811" s="25"/>
      <c r="W811" s="25"/>
      <c r="X811" s="25"/>
      <c r="Y811" s="25"/>
      <c r="Z811" s="25"/>
      <c r="AA811" s="25"/>
    </row>
    <row r="812" spans="1:27" x14ac:dyDescent="0.35">
      <c r="A812" s="97"/>
      <c r="B812" s="97"/>
      <c r="C812" s="97"/>
      <c r="D812" s="97"/>
      <c r="E812" s="97"/>
      <c r="F812" s="97"/>
      <c r="G812" s="97"/>
      <c r="H812" s="97"/>
      <c r="I812" s="97"/>
      <c r="J812" s="97"/>
      <c r="K812" s="97"/>
      <c r="L812" s="97"/>
      <c r="M812" s="97"/>
      <c r="N812" s="97"/>
      <c r="O812" s="97"/>
      <c r="P812" s="97"/>
      <c r="Q812" s="97"/>
      <c r="R812" s="97"/>
      <c r="S812" s="97"/>
      <c r="T812" s="97"/>
      <c r="U812" s="97"/>
      <c r="V812" s="25"/>
      <c r="W812" s="25"/>
      <c r="X812" s="25"/>
      <c r="Y812" s="25"/>
      <c r="Z812" s="25"/>
      <c r="AA812" s="25"/>
    </row>
    <row r="813" spans="1:27" x14ac:dyDescent="0.35">
      <c r="A813" s="97"/>
      <c r="B813" s="97"/>
      <c r="C813" s="97"/>
      <c r="D813" s="97"/>
      <c r="E813" s="97"/>
      <c r="F813" s="97"/>
      <c r="G813" s="97"/>
      <c r="H813" s="97"/>
      <c r="I813" s="97"/>
      <c r="J813" s="97"/>
      <c r="K813" s="97"/>
      <c r="L813" s="97"/>
      <c r="M813" s="97"/>
      <c r="N813" s="97"/>
      <c r="O813" s="97"/>
      <c r="P813" s="97"/>
      <c r="Q813" s="97"/>
      <c r="R813" s="97"/>
      <c r="S813" s="97"/>
      <c r="T813" s="97"/>
      <c r="U813" s="97"/>
      <c r="V813" s="25"/>
      <c r="W813" s="25"/>
      <c r="X813" s="25"/>
      <c r="Y813" s="25"/>
      <c r="Z813" s="25"/>
      <c r="AA813" s="25"/>
    </row>
    <row r="814" spans="1:27" x14ac:dyDescent="0.35">
      <c r="A814" s="97"/>
      <c r="B814" s="97"/>
      <c r="C814" s="97"/>
      <c r="D814" s="97"/>
      <c r="E814" s="97"/>
      <c r="F814" s="97"/>
      <c r="G814" s="97"/>
      <c r="H814" s="97"/>
      <c r="I814" s="97"/>
      <c r="J814" s="97"/>
      <c r="K814" s="97"/>
      <c r="L814" s="97"/>
      <c r="M814" s="97"/>
      <c r="N814" s="97"/>
      <c r="O814" s="97"/>
      <c r="P814" s="97"/>
      <c r="Q814" s="97"/>
      <c r="R814" s="97"/>
      <c r="S814" s="97"/>
      <c r="T814" s="97"/>
      <c r="U814" s="97"/>
      <c r="V814" s="25"/>
      <c r="W814" s="25"/>
      <c r="X814" s="25"/>
      <c r="Y814" s="25"/>
      <c r="Z814" s="25"/>
      <c r="AA814" s="25"/>
    </row>
    <row r="815" spans="1:27" x14ac:dyDescent="0.35">
      <c r="A815" s="97"/>
      <c r="B815" s="97"/>
      <c r="C815" s="97"/>
      <c r="D815" s="97"/>
      <c r="E815" s="97"/>
      <c r="F815" s="97"/>
      <c r="G815" s="97"/>
      <c r="H815" s="97"/>
      <c r="I815" s="97"/>
      <c r="J815" s="97"/>
      <c r="K815" s="97"/>
      <c r="L815" s="97"/>
      <c r="M815" s="97"/>
      <c r="N815" s="97"/>
      <c r="O815" s="97"/>
      <c r="P815" s="97"/>
      <c r="Q815" s="97"/>
      <c r="R815" s="97"/>
      <c r="S815" s="97"/>
      <c r="T815" s="97"/>
      <c r="U815" s="97"/>
      <c r="V815" s="25"/>
      <c r="W815" s="25"/>
      <c r="X815" s="25"/>
      <c r="Y815" s="25"/>
      <c r="Z815" s="25"/>
      <c r="AA815" s="25"/>
    </row>
    <row r="816" spans="1:27" x14ac:dyDescent="0.35">
      <c r="A816" s="97"/>
      <c r="B816" s="97"/>
      <c r="C816" s="97"/>
      <c r="D816" s="97"/>
      <c r="E816" s="97"/>
      <c r="F816" s="97"/>
      <c r="G816" s="97"/>
      <c r="H816" s="97"/>
      <c r="I816" s="97"/>
      <c r="J816" s="97"/>
      <c r="K816" s="97"/>
      <c r="L816" s="97"/>
      <c r="M816" s="97"/>
      <c r="N816" s="97"/>
      <c r="O816" s="97"/>
      <c r="P816" s="97"/>
      <c r="Q816" s="97"/>
      <c r="R816" s="97"/>
      <c r="S816" s="97"/>
      <c r="T816" s="97"/>
      <c r="U816" s="97"/>
      <c r="V816" s="25"/>
      <c r="W816" s="25"/>
      <c r="X816" s="25"/>
      <c r="Y816" s="25"/>
      <c r="Z816" s="25"/>
      <c r="AA816" s="25"/>
    </row>
    <row r="817" spans="1:27" x14ac:dyDescent="0.35">
      <c r="A817" s="97"/>
      <c r="B817" s="97"/>
      <c r="C817" s="97"/>
      <c r="D817" s="97"/>
      <c r="E817" s="97"/>
      <c r="F817" s="97"/>
      <c r="G817" s="97"/>
      <c r="H817" s="97"/>
      <c r="I817" s="97"/>
      <c r="J817" s="97"/>
      <c r="K817" s="97"/>
      <c r="L817" s="97"/>
      <c r="M817" s="97"/>
      <c r="N817" s="97"/>
      <c r="O817" s="97"/>
      <c r="P817" s="97"/>
      <c r="Q817" s="97"/>
      <c r="R817" s="97"/>
      <c r="S817" s="97"/>
      <c r="T817" s="97"/>
      <c r="U817" s="97"/>
      <c r="V817" s="25"/>
      <c r="W817" s="25"/>
      <c r="X817" s="25"/>
      <c r="Y817" s="25"/>
      <c r="Z817" s="25"/>
      <c r="AA817" s="25"/>
    </row>
    <row r="818" spans="1:27" x14ac:dyDescent="0.35">
      <c r="A818" s="97"/>
      <c r="B818" s="97"/>
      <c r="C818" s="97"/>
      <c r="D818" s="97"/>
      <c r="E818" s="97"/>
      <c r="F818" s="97"/>
      <c r="G818" s="97"/>
      <c r="H818" s="97"/>
      <c r="I818" s="97"/>
      <c r="J818" s="97"/>
      <c r="K818" s="97"/>
      <c r="L818" s="97"/>
      <c r="M818" s="97"/>
      <c r="N818" s="97"/>
      <c r="O818" s="97"/>
      <c r="P818" s="97"/>
      <c r="Q818" s="97"/>
      <c r="R818" s="97"/>
      <c r="S818" s="97"/>
      <c r="T818" s="97"/>
      <c r="U818" s="97"/>
      <c r="V818" s="25"/>
      <c r="W818" s="25"/>
      <c r="X818" s="25"/>
      <c r="Y818" s="25"/>
      <c r="Z818" s="25"/>
      <c r="AA818" s="25"/>
    </row>
    <row r="819" spans="1:27" x14ac:dyDescent="0.35">
      <c r="A819" s="97"/>
      <c r="B819" s="97"/>
      <c r="C819" s="97"/>
      <c r="D819" s="97"/>
      <c r="E819" s="97"/>
      <c r="F819" s="97"/>
      <c r="G819" s="97"/>
      <c r="H819" s="97"/>
      <c r="I819" s="97"/>
      <c r="J819" s="97"/>
      <c r="K819" s="97"/>
      <c r="L819" s="97"/>
      <c r="M819" s="97"/>
      <c r="N819" s="97"/>
      <c r="O819" s="97"/>
      <c r="P819" s="97"/>
      <c r="Q819" s="97"/>
      <c r="R819" s="97"/>
      <c r="S819" s="97"/>
      <c r="T819" s="97"/>
      <c r="U819" s="97"/>
      <c r="V819" s="25"/>
      <c r="W819" s="25"/>
      <c r="X819" s="25"/>
      <c r="Y819" s="25"/>
      <c r="Z819" s="25"/>
      <c r="AA819" s="25"/>
    </row>
    <row r="820" spans="1:27" x14ac:dyDescent="0.35">
      <c r="A820" s="97"/>
      <c r="B820" s="97"/>
      <c r="C820" s="97"/>
      <c r="D820" s="97"/>
      <c r="E820" s="97"/>
      <c r="F820" s="97"/>
      <c r="G820" s="97"/>
      <c r="H820" s="97"/>
      <c r="I820" s="97"/>
      <c r="J820" s="97"/>
      <c r="K820" s="97"/>
      <c r="L820" s="97"/>
      <c r="M820" s="97"/>
      <c r="N820" s="97"/>
      <c r="O820" s="97"/>
      <c r="P820" s="97"/>
      <c r="Q820" s="97"/>
      <c r="R820" s="97"/>
      <c r="S820" s="97"/>
      <c r="T820" s="97"/>
      <c r="U820" s="97"/>
      <c r="V820" s="25"/>
      <c r="W820" s="25"/>
      <c r="X820" s="25"/>
      <c r="Y820" s="25"/>
      <c r="Z820" s="25"/>
      <c r="AA820" s="25"/>
    </row>
    <row r="821" spans="1:27" x14ac:dyDescent="0.35">
      <c r="A821" s="97"/>
      <c r="B821" s="97"/>
      <c r="C821" s="97"/>
      <c r="D821" s="97"/>
      <c r="E821" s="97"/>
      <c r="F821" s="97"/>
      <c r="G821" s="97"/>
      <c r="H821" s="97"/>
      <c r="I821" s="97"/>
      <c r="J821" s="97"/>
      <c r="K821" s="97"/>
      <c r="L821" s="97"/>
      <c r="M821" s="97"/>
      <c r="N821" s="97"/>
      <c r="O821" s="97"/>
      <c r="P821" s="97"/>
      <c r="Q821" s="97"/>
      <c r="R821" s="97"/>
      <c r="S821" s="97"/>
      <c r="T821" s="97"/>
      <c r="U821" s="97"/>
      <c r="V821" s="25"/>
      <c r="W821" s="25"/>
      <c r="X821" s="25"/>
      <c r="Y821" s="25"/>
      <c r="Z821" s="25"/>
      <c r="AA821" s="25"/>
    </row>
    <row r="822" spans="1:27" x14ac:dyDescent="0.35">
      <c r="A822" s="97"/>
      <c r="B822" s="97"/>
      <c r="C822" s="97"/>
      <c r="D822" s="97"/>
      <c r="E822" s="97"/>
      <c r="F822" s="97"/>
      <c r="G822" s="97"/>
      <c r="H822" s="97"/>
      <c r="I822" s="97"/>
      <c r="J822" s="97"/>
      <c r="K822" s="97"/>
      <c r="L822" s="97"/>
      <c r="M822" s="97"/>
      <c r="N822" s="97"/>
      <c r="O822" s="97"/>
      <c r="P822" s="97"/>
      <c r="Q822" s="97"/>
      <c r="R822" s="97"/>
      <c r="S822" s="97"/>
      <c r="T822" s="97"/>
      <c r="U822" s="97"/>
      <c r="V822" s="25"/>
      <c r="W822" s="25"/>
      <c r="X822" s="25"/>
      <c r="Y822" s="25"/>
      <c r="Z822" s="25"/>
      <c r="AA822" s="25"/>
    </row>
    <row r="823" spans="1:27" x14ac:dyDescent="0.35">
      <c r="A823" s="97"/>
      <c r="B823" s="97"/>
      <c r="C823" s="97"/>
      <c r="D823" s="97"/>
      <c r="E823" s="97"/>
      <c r="F823" s="97"/>
      <c r="G823" s="97"/>
      <c r="H823" s="97"/>
      <c r="I823" s="97"/>
      <c r="J823" s="97"/>
      <c r="K823" s="97"/>
      <c r="L823" s="97"/>
      <c r="M823" s="97"/>
      <c r="N823" s="97"/>
      <c r="O823" s="97"/>
      <c r="P823" s="97"/>
      <c r="Q823" s="97"/>
      <c r="R823" s="97"/>
      <c r="S823" s="97"/>
      <c r="T823" s="97"/>
      <c r="U823" s="97"/>
      <c r="V823" s="25"/>
      <c r="W823" s="25"/>
      <c r="X823" s="25"/>
      <c r="Y823" s="25"/>
      <c r="Z823" s="25"/>
      <c r="AA823" s="25"/>
    </row>
    <row r="824" spans="1:27" x14ac:dyDescent="0.35">
      <c r="A824" s="97"/>
      <c r="B824" s="97"/>
      <c r="C824" s="97"/>
      <c r="D824" s="97"/>
      <c r="E824" s="97"/>
      <c r="F824" s="97"/>
      <c r="G824" s="97"/>
      <c r="H824" s="97"/>
      <c r="I824" s="97"/>
      <c r="J824" s="97"/>
      <c r="K824" s="97"/>
      <c r="L824" s="97"/>
      <c r="M824" s="97"/>
      <c r="N824" s="97"/>
      <c r="O824" s="97"/>
      <c r="P824" s="97"/>
      <c r="Q824" s="97"/>
      <c r="R824" s="97"/>
      <c r="S824" s="97"/>
      <c r="T824" s="97"/>
      <c r="U824" s="97"/>
      <c r="V824" s="25"/>
      <c r="W824" s="25"/>
      <c r="X824" s="25"/>
      <c r="Y824" s="25"/>
      <c r="Z824" s="25"/>
      <c r="AA824" s="25"/>
    </row>
    <row r="825" spans="1:27" x14ac:dyDescent="0.35">
      <c r="A825" s="97"/>
      <c r="B825" s="97"/>
      <c r="C825" s="97"/>
      <c r="D825" s="97"/>
      <c r="E825" s="97"/>
      <c r="F825" s="97"/>
      <c r="G825" s="97"/>
      <c r="H825" s="97"/>
      <c r="I825" s="97"/>
      <c r="J825" s="97"/>
      <c r="K825" s="97"/>
      <c r="L825" s="97"/>
      <c r="M825" s="97"/>
      <c r="N825" s="97"/>
      <c r="O825" s="97"/>
      <c r="P825" s="97"/>
      <c r="Q825" s="97"/>
      <c r="R825" s="97"/>
      <c r="S825" s="97"/>
      <c r="T825" s="97"/>
      <c r="U825" s="97"/>
      <c r="V825" s="25"/>
      <c r="W825" s="25"/>
      <c r="X825" s="25"/>
      <c r="Y825" s="25"/>
      <c r="Z825" s="25"/>
      <c r="AA825" s="25"/>
    </row>
    <row r="826" spans="1:27" x14ac:dyDescent="0.35">
      <c r="A826" s="97"/>
      <c r="B826" s="97"/>
      <c r="C826" s="97"/>
      <c r="D826" s="97"/>
      <c r="E826" s="97"/>
      <c r="F826" s="97"/>
      <c r="G826" s="97"/>
      <c r="H826" s="97"/>
      <c r="I826" s="97"/>
      <c r="J826" s="97"/>
      <c r="K826" s="97"/>
      <c r="L826" s="97"/>
      <c r="M826" s="97"/>
      <c r="N826" s="97"/>
      <c r="O826" s="97"/>
      <c r="P826" s="97"/>
      <c r="Q826" s="97"/>
      <c r="R826" s="97"/>
      <c r="S826" s="97"/>
      <c r="T826" s="97"/>
      <c r="U826" s="97"/>
      <c r="V826" s="25"/>
      <c r="W826" s="25"/>
      <c r="X826" s="25"/>
      <c r="Y826" s="25"/>
      <c r="Z826" s="25"/>
      <c r="AA826" s="25"/>
    </row>
    <row r="827" spans="1:27" x14ac:dyDescent="0.35">
      <c r="A827" s="97"/>
      <c r="B827" s="97"/>
      <c r="C827" s="97"/>
      <c r="D827" s="97"/>
      <c r="E827" s="97"/>
      <c r="F827" s="97"/>
      <c r="G827" s="97"/>
      <c r="H827" s="97"/>
      <c r="I827" s="97"/>
      <c r="J827" s="97"/>
      <c r="K827" s="97"/>
      <c r="L827" s="97"/>
      <c r="M827" s="97"/>
      <c r="N827" s="97"/>
      <c r="O827" s="97"/>
      <c r="P827" s="97"/>
      <c r="Q827" s="97"/>
      <c r="R827" s="97"/>
      <c r="S827" s="97"/>
      <c r="T827" s="97"/>
      <c r="U827" s="97"/>
      <c r="V827" s="25"/>
      <c r="W827" s="25"/>
      <c r="X827" s="25"/>
      <c r="Y827" s="25"/>
      <c r="Z827" s="25"/>
      <c r="AA827" s="25"/>
    </row>
    <row r="828" spans="1:27" x14ac:dyDescent="0.35">
      <c r="A828" s="97"/>
      <c r="B828" s="97"/>
      <c r="C828" s="97"/>
      <c r="D828" s="97"/>
      <c r="E828" s="97"/>
      <c r="F828" s="97"/>
      <c r="G828" s="97"/>
      <c r="H828" s="97"/>
      <c r="I828" s="97"/>
      <c r="J828" s="97"/>
      <c r="K828" s="97"/>
      <c r="L828" s="97"/>
      <c r="M828" s="97"/>
      <c r="N828" s="97"/>
      <c r="O828" s="97"/>
      <c r="P828" s="97"/>
      <c r="Q828" s="97"/>
      <c r="R828" s="97"/>
      <c r="S828" s="97"/>
      <c r="T828" s="97"/>
      <c r="U828" s="97"/>
      <c r="V828" s="25"/>
      <c r="W828" s="25"/>
      <c r="X828" s="25"/>
      <c r="Y828" s="25"/>
      <c r="Z828" s="25"/>
      <c r="AA828" s="25"/>
    </row>
    <row r="829" spans="1:27" x14ac:dyDescent="0.35">
      <c r="A829" s="97"/>
      <c r="B829" s="97"/>
      <c r="C829" s="97"/>
      <c r="D829" s="97"/>
      <c r="E829" s="97"/>
      <c r="F829" s="97"/>
      <c r="G829" s="97"/>
      <c r="H829" s="97"/>
      <c r="I829" s="97"/>
      <c r="J829" s="97"/>
      <c r="K829" s="97"/>
      <c r="L829" s="97"/>
      <c r="M829" s="97"/>
      <c r="N829" s="97"/>
      <c r="O829" s="97"/>
      <c r="P829" s="97"/>
      <c r="Q829" s="97"/>
      <c r="R829" s="97"/>
      <c r="S829" s="97"/>
      <c r="T829" s="97"/>
      <c r="U829" s="97"/>
      <c r="V829" s="25"/>
      <c r="W829" s="25"/>
      <c r="X829" s="25"/>
      <c r="Y829" s="25"/>
      <c r="Z829" s="25"/>
      <c r="AA829" s="25"/>
    </row>
    <row r="830" spans="1:27" x14ac:dyDescent="0.35">
      <c r="A830" s="97"/>
      <c r="B830" s="97"/>
      <c r="C830" s="97"/>
      <c r="D830" s="97"/>
      <c r="E830" s="97"/>
      <c r="F830" s="97"/>
      <c r="G830" s="97"/>
      <c r="H830" s="97"/>
      <c r="I830" s="97"/>
      <c r="J830" s="97"/>
      <c r="K830" s="97"/>
      <c r="L830" s="97"/>
      <c r="M830" s="97"/>
      <c r="N830" s="97"/>
      <c r="O830" s="97"/>
      <c r="P830" s="97"/>
      <c r="Q830" s="97"/>
      <c r="R830" s="97"/>
      <c r="S830" s="97"/>
      <c r="T830" s="97"/>
      <c r="U830" s="97"/>
      <c r="V830" s="25"/>
      <c r="W830" s="25"/>
      <c r="X830" s="25"/>
      <c r="Y830" s="25"/>
      <c r="Z830" s="25"/>
      <c r="AA830" s="25"/>
    </row>
    <row r="831" spans="1:27" x14ac:dyDescent="0.35">
      <c r="A831" s="97"/>
      <c r="B831" s="97"/>
      <c r="C831" s="97"/>
      <c r="D831" s="97"/>
      <c r="E831" s="97"/>
      <c r="F831" s="97"/>
      <c r="G831" s="97"/>
      <c r="H831" s="97"/>
      <c r="I831" s="97"/>
      <c r="J831" s="97"/>
      <c r="K831" s="97"/>
      <c r="L831" s="97"/>
      <c r="M831" s="97"/>
      <c r="N831" s="97"/>
      <c r="O831" s="97"/>
      <c r="P831" s="97"/>
      <c r="Q831" s="97"/>
      <c r="R831" s="97"/>
      <c r="S831" s="97"/>
      <c r="T831" s="97"/>
      <c r="U831" s="97"/>
      <c r="V831" s="25"/>
      <c r="W831" s="25"/>
      <c r="X831" s="25"/>
      <c r="Y831" s="25"/>
      <c r="Z831" s="25"/>
      <c r="AA831" s="25"/>
    </row>
    <row r="832" spans="1:27" x14ac:dyDescent="0.35">
      <c r="A832" s="97"/>
      <c r="B832" s="97"/>
      <c r="C832" s="97"/>
      <c r="D832" s="97"/>
      <c r="E832" s="97"/>
      <c r="F832" s="97"/>
      <c r="G832" s="97"/>
      <c r="H832" s="97"/>
      <c r="I832" s="97"/>
      <c r="J832" s="97"/>
      <c r="K832" s="97"/>
      <c r="L832" s="97"/>
      <c r="M832" s="97"/>
      <c r="N832" s="97"/>
      <c r="O832" s="97"/>
      <c r="P832" s="97"/>
      <c r="Q832" s="97"/>
      <c r="R832" s="97"/>
      <c r="S832" s="97"/>
      <c r="T832" s="97"/>
      <c r="U832" s="97"/>
      <c r="V832" s="25"/>
      <c r="W832" s="25"/>
      <c r="X832" s="25"/>
      <c r="Y832" s="25"/>
      <c r="Z832" s="25"/>
      <c r="AA832" s="25"/>
    </row>
    <row r="833" spans="1:27" x14ac:dyDescent="0.35">
      <c r="A833" s="97"/>
      <c r="B833" s="97"/>
      <c r="C833" s="97"/>
      <c r="D833" s="97"/>
      <c r="E833" s="97"/>
      <c r="F833" s="97"/>
      <c r="G833" s="97"/>
      <c r="H833" s="97"/>
      <c r="I833" s="97"/>
      <c r="J833" s="97"/>
      <c r="K833" s="97"/>
      <c r="L833" s="97"/>
      <c r="M833" s="97"/>
      <c r="N833" s="97"/>
      <c r="O833" s="97"/>
      <c r="P833" s="97"/>
      <c r="Q833" s="97"/>
      <c r="R833" s="97"/>
      <c r="S833" s="97"/>
      <c r="T833" s="97"/>
      <c r="U833" s="97"/>
      <c r="V833" s="25"/>
      <c r="W833" s="25"/>
      <c r="X833" s="25"/>
      <c r="Y833" s="25"/>
      <c r="Z833" s="25"/>
      <c r="AA833" s="25"/>
    </row>
    <row r="834" spans="1:27" x14ac:dyDescent="0.35">
      <c r="A834" s="97"/>
      <c r="B834" s="97"/>
      <c r="C834" s="97"/>
      <c r="D834" s="97"/>
      <c r="E834" s="97"/>
      <c r="F834" s="97"/>
      <c r="G834" s="97"/>
      <c r="H834" s="97"/>
      <c r="I834" s="97"/>
      <c r="J834" s="97"/>
      <c r="K834" s="97"/>
      <c r="L834" s="97"/>
      <c r="M834" s="97"/>
      <c r="N834" s="97"/>
      <c r="O834" s="97"/>
      <c r="P834" s="97"/>
      <c r="Q834" s="97"/>
      <c r="R834" s="97"/>
      <c r="S834" s="97"/>
      <c r="T834" s="97"/>
      <c r="U834" s="97"/>
      <c r="V834" s="25"/>
      <c r="W834" s="25"/>
      <c r="X834" s="25"/>
      <c r="Y834" s="25"/>
      <c r="Z834" s="25"/>
      <c r="AA834" s="25"/>
    </row>
    <row r="835" spans="1:27" x14ac:dyDescent="0.35">
      <c r="A835" s="97"/>
      <c r="B835" s="97"/>
      <c r="C835" s="97"/>
      <c r="D835" s="97"/>
      <c r="E835" s="97"/>
      <c r="F835" s="97"/>
      <c r="G835" s="97"/>
      <c r="H835" s="97"/>
      <c r="I835" s="97"/>
      <c r="J835" s="97"/>
      <c r="K835" s="97"/>
      <c r="L835" s="97"/>
      <c r="M835" s="97"/>
      <c r="N835" s="97"/>
      <c r="O835" s="97"/>
      <c r="P835" s="97"/>
      <c r="Q835" s="97"/>
      <c r="R835" s="97"/>
      <c r="S835" s="97"/>
      <c r="T835" s="97"/>
      <c r="U835" s="97"/>
      <c r="V835" s="25"/>
      <c r="W835" s="25"/>
      <c r="X835" s="25"/>
      <c r="Y835" s="25"/>
      <c r="Z835" s="25"/>
      <c r="AA835" s="25"/>
    </row>
    <row r="836" spans="1:27" x14ac:dyDescent="0.35">
      <c r="A836" s="97"/>
      <c r="B836" s="97"/>
      <c r="C836" s="97"/>
      <c r="D836" s="97"/>
      <c r="E836" s="97"/>
      <c r="F836" s="97"/>
      <c r="G836" s="97"/>
      <c r="H836" s="97"/>
      <c r="I836" s="97"/>
      <c r="J836" s="97"/>
      <c r="K836" s="97"/>
      <c r="L836" s="97"/>
      <c r="M836" s="97"/>
      <c r="N836" s="97"/>
      <c r="O836" s="97"/>
      <c r="P836" s="97"/>
      <c r="Q836" s="97"/>
      <c r="R836" s="97"/>
      <c r="S836" s="97"/>
      <c r="T836" s="97"/>
      <c r="U836" s="97"/>
      <c r="V836" s="25"/>
      <c r="W836" s="25"/>
      <c r="X836" s="25"/>
      <c r="Y836" s="25"/>
      <c r="Z836" s="25"/>
      <c r="AA836" s="25"/>
    </row>
    <row r="837" spans="1:27" x14ac:dyDescent="0.35">
      <c r="A837" s="97"/>
      <c r="B837" s="97"/>
      <c r="C837" s="97"/>
      <c r="D837" s="97"/>
      <c r="E837" s="97"/>
      <c r="F837" s="97"/>
      <c r="G837" s="97"/>
      <c r="H837" s="97"/>
      <c r="I837" s="97"/>
      <c r="J837" s="97"/>
      <c r="K837" s="97"/>
      <c r="L837" s="97"/>
      <c r="M837" s="97"/>
      <c r="N837" s="97"/>
      <c r="O837" s="97"/>
      <c r="P837" s="97"/>
      <c r="Q837" s="97"/>
      <c r="R837" s="97"/>
      <c r="S837" s="97"/>
      <c r="T837" s="97"/>
      <c r="U837" s="97"/>
      <c r="V837" s="25"/>
      <c r="W837" s="25"/>
      <c r="X837" s="25"/>
      <c r="Y837" s="25"/>
      <c r="Z837" s="25"/>
      <c r="AA837" s="25"/>
    </row>
    <row r="838" spans="1:27" x14ac:dyDescent="0.35">
      <c r="A838" s="97"/>
      <c r="B838" s="97"/>
      <c r="C838" s="97"/>
      <c r="D838" s="97"/>
      <c r="E838" s="97"/>
      <c r="F838" s="97"/>
      <c r="G838" s="97"/>
      <c r="H838" s="97"/>
      <c r="I838" s="97"/>
      <c r="J838" s="97"/>
      <c r="K838" s="97"/>
      <c r="L838" s="97"/>
      <c r="M838" s="97"/>
      <c r="N838" s="97"/>
      <c r="O838" s="97"/>
      <c r="P838" s="97"/>
      <c r="Q838" s="97"/>
      <c r="R838" s="97"/>
      <c r="S838" s="97"/>
      <c r="T838" s="97"/>
      <c r="U838" s="97"/>
      <c r="V838" s="25"/>
      <c r="W838" s="25"/>
      <c r="X838" s="25"/>
      <c r="Y838" s="25"/>
      <c r="Z838" s="25"/>
      <c r="AA838" s="25"/>
    </row>
    <row r="839" spans="1:27" x14ac:dyDescent="0.35">
      <c r="A839" s="97"/>
      <c r="B839" s="97"/>
      <c r="C839" s="97"/>
      <c r="D839" s="97"/>
      <c r="E839" s="97"/>
      <c r="F839" s="97"/>
      <c r="G839" s="97"/>
      <c r="H839" s="97"/>
      <c r="I839" s="97"/>
      <c r="J839" s="97"/>
      <c r="K839" s="97"/>
      <c r="L839" s="97"/>
      <c r="M839" s="97"/>
      <c r="N839" s="97"/>
      <c r="O839" s="97"/>
      <c r="P839" s="97"/>
      <c r="Q839" s="97"/>
      <c r="R839" s="97"/>
      <c r="S839" s="97"/>
      <c r="T839" s="97"/>
      <c r="U839" s="97"/>
      <c r="V839" s="25"/>
      <c r="W839" s="25"/>
      <c r="X839" s="25"/>
      <c r="Y839" s="25"/>
      <c r="Z839" s="25"/>
      <c r="AA839" s="25"/>
    </row>
    <row r="840" spans="1:27" x14ac:dyDescent="0.35">
      <c r="A840" s="97"/>
      <c r="B840" s="97"/>
      <c r="C840" s="97"/>
      <c r="D840" s="97"/>
      <c r="E840" s="97"/>
      <c r="F840" s="97"/>
      <c r="G840" s="97"/>
      <c r="H840" s="97"/>
      <c r="I840" s="97"/>
      <c r="J840" s="97"/>
      <c r="K840" s="97"/>
      <c r="L840" s="97"/>
      <c r="M840" s="97"/>
      <c r="N840" s="97"/>
      <c r="O840" s="97"/>
      <c r="P840" s="97"/>
      <c r="Q840" s="97"/>
      <c r="R840" s="97"/>
      <c r="S840" s="97"/>
      <c r="T840" s="97"/>
      <c r="U840" s="97"/>
      <c r="V840" s="25"/>
      <c r="W840" s="25"/>
      <c r="X840" s="25"/>
      <c r="Y840" s="25"/>
      <c r="Z840" s="25"/>
      <c r="AA840" s="25"/>
    </row>
    <row r="841" spans="1:27" x14ac:dyDescent="0.35">
      <c r="A841" s="97"/>
      <c r="B841" s="97"/>
      <c r="C841" s="97"/>
      <c r="D841" s="97"/>
      <c r="E841" s="97"/>
      <c r="F841" s="97"/>
      <c r="G841" s="97"/>
      <c r="H841" s="97"/>
      <c r="I841" s="97"/>
      <c r="J841" s="97"/>
      <c r="K841" s="97"/>
      <c r="L841" s="97"/>
      <c r="M841" s="97"/>
      <c r="N841" s="97"/>
      <c r="O841" s="97"/>
      <c r="P841" s="97"/>
      <c r="Q841" s="97"/>
      <c r="R841" s="97"/>
      <c r="S841" s="97"/>
      <c r="T841" s="97"/>
      <c r="U841" s="97"/>
      <c r="V841" s="25"/>
      <c r="W841" s="25"/>
      <c r="X841" s="25"/>
      <c r="Y841" s="25"/>
      <c r="Z841" s="25"/>
      <c r="AA841" s="25"/>
    </row>
    <row r="842" spans="1:27" x14ac:dyDescent="0.35">
      <c r="A842" s="97"/>
      <c r="B842" s="97"/>
      <c r="C842" s="97"/>
      <c r="D842" s="97"/>
      <c r="E842" s="97"/>
      <c r="F842" s="97"/>
      <c r="G842" s="97"/>
      <c r="H842" s="97"/>
      <c r="I842" s="97"/>
      <c r="J842" s="97"/>
      <c r="K842" s="97"/>
      <c r="L842" s="97"/>
      <c r="M842" s="97"/>
      <c r="N842" s="97"/>
      <c r="O842" s="97"/>
      <c r="P842" s="97"/>
      <c r="Q842" s="97"/>
      <c r="R842" s="97"/>
      <c r="S842" s="97"/>
      <c r="T842" s="97"/>
      <c r="U842" s="97"/>
      <c r="V842" s="25"/>
      <c r="W842" s="25"/>
      <c r="X842" s="25"/>
      <c r="Y842" s="25"/>
      <c r="Z842" s="25"/>
      <c r="AA842" s="25"/>
    </row>
    <row r="843" spans="1:27" x14ac:dyDescent="0.35">
      <c r="A843" s="97"/>
      <c r="B843" s="97"/>
      <c r="C843" s="97"/>
      <c r="D843" s="97"/>
      <c r="E843" s="97"/>
      <c r="F843" s="97"/>
      <c r="G843" s="97"/>
      <c r="H843" s="97"/>
      <c r="I843" s="97"/>
      <c r="J843" s="97"/>
      <c r="K843" s="97"/>
      <c r="L843" s="97"/>
      <c r="M843" s="97"/>
      <c r="N843" s="97"/>
      <c r="O843" s="97"/>
      <c r="P843" s="97"/>
      <c r="Q843" s="97"/>
      <c r="R843" s="97"/>
      <c r="S843" s="97"/>
      <c r="T843" s="97"/>
      <c r="U843" s="97"/>
      <c r="V843" s="25"/>
      <c r="W843" s="25"/>
      <c r="X843" s="25"/>
      <c r="Y843" s="25"/>
      <c r="Z843" s="25"/>
      <c r="AA843" s="25"/>
    </row>
    <row r="844" spans="1:27" x14ac:dyDescent="0.35">
      <c r="A844" s="97"/>
      <c r="B844" s="97"/>
      <c r="C844" s="97"/>
      <c r="D844" s="97"/>
      <c r="E844" s="97"/>
      <c r="F844" s="97"/>
      <c r="G844" s="97"/>
      <c r="H844" s="97"/>
      <c r="I844" s="97"/>
      <c r="J844" s="97"/>
      <c r="K844" s="97"/>
      <c r="L844" s="97"/>
      <c r="M844" s="97"/>
      <c r="N844" s="97"/>
      <c r="O844" s="97"/>
      <c r="P844" s="97"/>
      <c r="Q844" s="97"/>
      <c r="R844" s="97"/>
      <c r="S844" s="97"/>
      <c r="T844" s="97"/>
      <c r="U844" s="97"/>
      <c r="V844" s="25"/>
      <c r="W844" s="25"/>
      <c r="X844" s="25"/>
      <c r="Y844" s="25"/>
      <c r="Z844" s="25"/>
      <c r="AA844" s="25"/>
    </row>
    <row r="845" spans="1:27" x14ac:dyDescent="0.35">
      <c r="A845" s="97"/>
      <c r="B845" s="97"/>
      <c r="C845" s="97"/>
      <c r="D845" s="97"/>
      <c r="E845" s="97"/>
      <c r="F845" s="97"/>
      <c r="G845" s="97"/>
      <c r="H845" s="97"/>
      <c r="I845" s="97"/>
      <c r="J845" s="97"/>
      <c r="K845" s="97"/>
      <c r="L845" s="97"/>
      <c r="M845" s="97"/>
      <c r="N845" s="97"/>
      <c r="O845" s="97"/>
      <c r="P845" s="97"/>
      <c r="Q845" s="97"/>
      <c r="R845" s="97"/>
      <c r="S845" s="97"/>
      <c r="T845" s="97"/>
      <c r="U845" s="97"/>
      <c r="V845" s="25"/>
      <c r="W845" s="25"/>
      <c r="X845" s="25"/>
      <c r="Y845" s="25"/>
      <c r="Z845" s="25"/>
      <c r="AA845" s="25"/>
    </row>
    <row r="846" spans="1:27" x14ac:dyDescent="0.35">
      <c r="A846" s="97"/>
      <c r="B846" s="97"/>
      <c r="C846" s="97"/>
      <c r="D846" s="97"/>
      <c r="E846" s="97"/>
      <c r="F846" s="97"/>
      <c r="G846" s="97"/>
      <c r="H846" s="97"/>
      <c r="I846" s="97"/>
      <c r="J846" s="97"/>
      <c r="K846" s="97"/>
      <c r="L846" s="97"/>
      <c r="M846" s="97"/>
      <c r="N846" s="97"/>
      <c r="O846" s="97"/>
      <c r="P846" s="97"/>
      <c r="Q846" s="97"/>
      <c r="R846" s="97"/>
      <c r="S846" s="97"/>
      <c r="T846" s="97"/>
      <c r="U846" s="97"/>
      <c r="V846" s="25"/>
      <c r="W846" s="25"/>
      <c r="X846" s="25"/>
      <c r="Y846" s="25"/>
      <c r="Z846" s="25"/>
      <c r="AA846" s="25"/>
    </row>
    <row r="847" spans="1:27" x14ac:dyDescent="0.35">
      <c r="A847" s="97"/>
      <c r="B847" s="97"/>
      <c r="C847" s="97"/>
      <c r="D847" s="97"/>
      <c r="E847" s="97"/>
      <c r="F847" s="97"/>
      <c r="G847" s="97"/>
      <c r="H847" s="97"/>
      <c r="I847" s="97"/>
      <c r="J847" s="97"/>
      <c r="K847" s="97"/>
      <c r="L847" s="97"/>
      <c r="M847" s="97"/>
      <c r="N847" s="97"/>
      <c r="O847" s="97"/>
      <c r="P847" s="97"/>
      <c r="Q847" s="97"/>
      <c r="R847" s="97"/>
      <c r="S847" s="97"/>
      <c r="T847" s="97"/>
      <c r="U847" s="97"/>
      <c r="V847" s="25"/>
      <c r="W847" s="25"/>
      <c r="X847" s="25"/>
      <c r="Y847" s="25"/>
      <c r="Z847" s="25"/>
      <c r="AA847" s="25"/>
    </row>
    <row r="848" spans="1:27" x14ac:dyDescent="0.35">
      <c r="A848" s="97"/>
      <c r="B848" s="97"/>
      <c r="C848" s="97"/>
      <c r="D848" s="97"/>
      <c r="E848" s="97"/>
      <c r="F848" s="97"/>
      <c r="G848" s="97"/>
      <c r="H848" s="97"/>
      <c r="I848" s="97"/>
      <c r="J848" s="97"/>
      <c r="K848" s="97"/>
      <c r="L848" s="97"/>
      <c r="M848" s="97"/>
      <c r="N848" s="97"/>
      <c r="O848" s="97"/>
      <c r="P848" s="97"/>
      <c r="Q848" s="97"/>
      <c r="R848" s="97"/>
      <c r="S848" s="97"/>
      <c r="T848" s="97"/>
      <c r="U848" s="97"/>
      <c r="V848" s="25"/>
      <c r="W848" s="25"/>
      <c r="X848" s="25"/>
      <c r="Y848" s="25"/>
      <c r="Z848" s="25"/>
      <c r="AA848" s="25"/>
    </row>
    <row r="849" spans="1:27" x14ac:dyDescent="0.35">
      <c r="A849" s="97"/>
      <c r="B849" s="97"/>
      <c r="C849" s="97"/>
      <c r="D849" s="97"/>
      <c r="E849" s="97"/>
      <c r="F849" s="97"/>
      <c r="G849" s="97"/>
      <c r="H849" s="97"/>
      <c r="I849" s="97"/>
      <c r="J849" s="97"/>
      <c r="K849" s="97"/>
      <c r="L849" s="97"/>
      <c r="M849" s="97"/>
      <c r="N849" s="97"/>
      <c r="O849" s="97"/>
      <c r="P849" s="97"/>
      <c r="Q849" s="97"/>
      <c r="R849" s="97"/>
      <c r="S849" s="97"/>
      <c r="T849" s="97"/>
      <c r="U849" s="97"/>
      <c r="V849" s="25"/>
      <c r="W849" s="25"/>
      <c r="X849" s="25"/>
      <c r="Y849" s="25"/>
      <c r="Z849" s="25"/>
      <c r="AA849" s="25"/>
    </row>
    <row r="850" spans="1:27" x14ac:dyDescent="0.35">
      <c r="A850" s="97"/>
      <c r="B850" s="97"/>
      <c r="C850" s="97"/>
      <c r="D850" s="97"/>
      <c r="E850" s="97"/>
      <c r="F850" s="97"/>
      <c r="G850" s="97"/>
      <c r="H850" s="97"/>
      <c r="I850" s="97"/>
      <c r="J850" s="97"/>
      <c r="K850" s="97"/>
      <c r="L850" s="97"/>
      <c r="M850" s="97"/>
      <c r="N850" s="97"/>
      <c r="O850" s="97"/>
      <c r="P850" s="97"/>
      <c r="Q850" s="97"/>
      <c r="R850" s="97"/>
      <c r="S850" s="97"/>
      <c r="T850" s="97"/>
      <c r="U850" s="97"/>
      <c r="V850" s="25"/>
      <c r="W850" s="25"/>
      <c r="X850" s="25"/>
      <c r="Y850" s="25"/>
      <c r="Z850" s="25"/>
      <c r="AA850" s="25"/>
    </row>
    <row r="851" spans="1:27" x14ac:dyDescent="0.35">
      <c r="A851" s="97"/>
      <c r="B851" s="97"/>
      <c r="C851" s="97"/>
      <c r="D851" s="97"/>
      <c r="E851" s="97"/>
      <c r="F851" s="97"/>
      <c r="G851" s="97"/>
      <c r="H851" s="97"/>
      <c r="I851" s="97"/>
      <c r="J851" s="97"/>
      <c r="K851" s="97"/>
      <c r="L851" s="97"/>
      <c r="M851" s="97"/>
      <c r="N851" s="97"/>
      <c r="O851" s="97"/>
      <c r="P851" s="97"/>
      <c r="Q851" s="97"/>
      <c r="R851" s="97"/>
      <c r="S851" s="97"/>
      <c r="T851" s="97"/>
      <c r="U851" s="97"/>
      <c r="V851" s="25"/>
      <c r="W851" s="25"/>
      <c r="X851" s="25"/>
      <c r="Y851" s="25"/>
      <c r="Z851" s="25"/>
      <c r="AA851" s="25"/>
    </row>
    <row r="852" spans="1:27" x14ac:dyDescent="0.35">
      <c r="A852" s="97"/>
      <c r="B852" s="97"/>
      <c r="C852" s="97"/>
      <c r="D852" s="97"/>
      <c r="E852" s="97"/>
      <c r="F852" s="97"/>
      <c r="G852" s="97"/>
      <c r="H852" s="97"/>
      <c r="I852" s="97"/>
      <c r="J852" s="97"/>
      <c r="K852" s="97"/>
      <c r="L852" s="97"/>
      <c r="M852" s="97"/>
      <c r="N852" s="97"/>
      <c r="O852" s="97"/>
      <c r="P852" s="97"/>
      <c r="Q852" s="97"/>
      <c r="R852" s="97"/>
      <c r="S852" s="97"/>
      <c r="T852" s="97"/>
      <c r="U852" s="97"/>
      <c r="V852" s="25"/>
      <c r="W852" s="25"/>
      <c r="X852" s="25"/>
      <c r="Y852" s="25"/>
      <c r="Z852" s="25"/>
      <c r="AA852" s="25"/>
    </row>
    <row r="853" spans="1:27" x14ac:dyDescent="0.35">
      <c r="A853" s="97"/>
      <c r="B853" s="97"/>
      <c r="C853" s="97"/>
      <c r="D853" s="97"/>
      <c r="E853" s="97"/>
      <c r="F853" s="97"/>
      <c r="G853" s="97"/>
      <c r="H853" s="97"/>
      <c r="I853" s="97"/>
      <c r="J853" s="97"/>
      <c r="K853" s="97"/>
      <c r="L853" s="97"/>
      <c r="M853" s="97"/>
      <c r="N853" s="97"/>
      <c r="O853" s="97"/>
      <c r="P853" s="97"/>
      <c r="Q853" s="97"/>
      <c r="R853" s="97"/>
      <c r="S853" s="97"/>
      <c r="T853" s="97"/>
      <c r="U853" s="97"/>
      <c r="V853" s="25"/>
      <c r="W853" s="25"/>
      <c r="X853" s="25"/>
      <c r="Y853" s="25"/>
      <c r="Z853" s="25"/>
      <c r="AA853" s="25"/>
    </row>
    <row r="854" spans="1:27" x14ac:dyDescent="0.35">
      <c r="A854" s="97"/>
      <c r="B854" s="97"/>
      <c r="C854" s="97"/>
      <c r="D854" s="97"/>
      <c r="E854" s="97"/>
      <c r="F854" s="97"/>
      <c r="G854" s="97"/>
      <c r="H854" s="97"/>
      <c r="I854" s="97"/>
      <c r="J854" s="97"/>
      <c r="K854" s="97"/>
      <c r="L854" s="97"/>
      <c r="M854" s="97"/>
      <c r="N854" s="97"/>
      <c r="O854" s="97"/>
      <c r="P854" s="97"/>
      <c r="Q854" s="97"/>
      <c r="R854" s="97"/>
      <c r="S854" s="97"/>
      <c r="T854" s="97"/>
      <c r="U854" s="97"/>
      <c r="V854" s="25"/>
      <c r="W854" s="25"/>
      <c r="X854" s="25"/>
      <c r="Y854" s="25"/>
      <c r="Z854" s="25"/>
      <c r="AA854" s="25"/>
    </row>
    <row r="855" spans="1:27" x14ac:dyDescent="0.35">
      <c r="A855" s="97"/>
      <c r="B855" s="97"/>
      <c r="C855" s="97"/>
      <c r="D855" s="97"/>
      <c r="E855" s="97"/>
      <c r="F855" s="97"/>
      <c r="G855" s="97"/>
      <c r="H855" s="97"/>
      <c r="I855" s="97"/>
      <c r="J855" s="97"/>
      <c r="K855" s="97"/>
      <c r="L855" s="97"/>
      <c r="M855" s="97"/>
      <c r="N855" s="97"/>
      <c r="O855" s="97"/>
      <c r="P855" s="97"/>
      <c r="Q855" s="97"/>
      <c r="R855" s="97"/>
      <c r="S855" s="97"/>
      <c r="T855" s="97"/>
      <c r="U855" s="97"/>
      <c r="V855" s="25"/>
      <c r="W855" s="25"/>
      <c r="X855" s="25"/>
      <c r="Y855" s="25"/>
      <c r="Z855" s="25"/>
      <c r="AA855" s="25"/>
    </row>
    <row r="856" spans="1:27" x14ac:dyDescent="0.35">
      <c r="A856" s="97"/>
      <c r="B856" s="97"/>
      <c r="C856" s="97"/>
      <c r="D856" s="97"/>
      <c r="E856" s="97"/>
      <c r="F856" s="97"/>
      <c r="G856" s="97"/>
      <c r="H856" s="97"/>
      <c r="I856" s="97"/>
      <c r="J856" s="97"/>
      <c r="K856" s="97"/>
      <c r="L856" s="97"/>
      <c r="M856" s="97"/>
      <c r="N856" s="97"/>
      <c r="O856" s="97"/>
      <c r="P856" s="97"/>
      <c r="Q856" s="97"/>
      <c r="R856" s="97"/>
      <c r="S856" s="97"/>
      <c r="T856" s="97"/>
      <c r="U856" s="97"/>
      <c r="V856" s="25"/>
      <c r="W856" s="25"/>
      <c r="X856" s="25"/>
      <c r="Y856" s="25"/>
      <c r="Z856" s="25"/>
      <c r="AA856" s="25"/>
    </row>
    <row r="857" spans="1:27" x14ac:dyDescent="0.35">
      <c r="A857" s="97"/>
      <c r="B857" s="97"/>
      <c r="C857" s="97"/>
      <c r="D857" s="97"/>
      <c r="E857" s="97"/>
      <c r="F857" s="97"/>
      <c r="G857" s="97"/>
      <c r="H857" s="97"/>
      <c r="I857" s="97"/>
      <c r="J857" s="97"/>
      <c r="K857" s="97"/>
      <c r="L857" s="97"/>
      <c r="M857" s="97"/>
      <c r="N857" s="97"/>
      <c r="O857" s="97"/>
      <c r="P857" s="97"/>
      <c r="Q857" s="97"/>
      <c r="R857" s="97"/>
      <c r="S857" s="97"/>
      <c r="T857" s="97"/>
      <c r="U857" s="97"/>
      <c r="V857" s="25"/>
      <c r="W857" s="25"/>
      <c r="X857" s="25"/>
      <c r="Y857" s="25"/>
      <c r="Z857" s="25"/>
      <c r="AA857" s="25"/>
    </row>
    <row r="858" spans="1:27" x14ac:dyDescent="0.35">
      <c r="A858" s="97"/>
      <c r="B858" s="97"/>
      <c r="C858" s="97"/>
      <c r="D858" s="97"/>
      <c r="E858" s="97"/>
      <c r="F858" s="97"/>
      <c r="G858" s="97"/>
      <c r="H858" s="97"/>
      <c r="I858" s="97"/>
      <c r="J858" s="97"/>
      <c r="K858" s="97"/>
      <c r="L858" s="97"/>
      <c r="M858" s="97"/>
      <c r="N858" s="97"/>
      <c r="O858" s="97"/>
      <c r="P858" s="97"/>
      <c r="Q858" s="97"/>
      <c r="R858" s="97"/>
      <c r="S858" s="97"/>
      <c r="T858" s="97"/>
      <c r="U858" s="97"/>
      <c r="V858" s="25"/>
      <c r="W858" s="25"/>
      <c r="X858" s="25"/>
      <c r="Y858" s="25"/>
      <c r="Z858" s="25"/>
      <c r="AA858" s="25"/>
    </row>
    <row r="859" spans="1:27" x14ac:dyDescent="0.35">
      <c r="A859" s="97"/>
      <c r="B859" s="97"/>
      <c r="C859" s="97"/>
      <c r="D859" s="97"/>
      <c r="E859" s="97"/>
      <c r="F859" s="97"/>
      <c r="G859" s="97"/>
      <c r="H859" s="97"/>
      <c r="I859" s="97"/>
      <c r="J859" s="97"/>
      <c r="K859" s="97"/>
      <c r="L859" s="97"/>
      <c r="M859" s="97"/>
      <c r="N859" s="97"/>
      <c r="O859" s="97"/>
      <c r="P859" s="97"/>
      <c r="Q859" s="97"/>
      <c r="R859" s="97"/>
      <c r="S859" s="97"/>
      <c r="T859" s="97"/>
      <c r="U859" s="97"/>
      <c r="V859" s="25"/>
      <c r="W859" s="25"/>
      <c r="X859" s="25"/>
      <c r="Y859" s="25"/>
      <c r="Z859" s="25"/>
      <c r="AA859" s="25"/>
    </row>
    <row r="860" spans="1:27" x14ac:dyDescent="0.35">
      <c r="A860" s="97"/>
      <c r="B860" s="97"/>
      <c r="C860" s="97"/>
      <c r="D860" s="97"/>
      <c r="E860" s="97"/>
      <c r="F860" s="97"/>
      <c r="G860" s="97"/>
      <c r="H860" s="97"/>
      <c r="I860" s="97"/>
      <c r="J860" s="97"/>
      <c r="K860" s="97"/>
      <c r="L860" s="97"/>
      <c r="M860" s="97"/>
      <c r="N860" s="97"/>
      <c r="O860" s="97"/>
      <c r="P860" s="97"/>
      <c r="Q860" s="97"/>
      <c r="R860" s="97"/>
      <c r="S860" s="97"/>
      <c r="T860" s="97"/>
      <c r="U860" s="97"/>
      <c r="V860" s="25"/>
      <c r="W860" s="25"/>
      <c r="X860" s="25"/>
      <c r="Y860" s="25"/>
      <c r="Z860" s="25"/>
      <c r="AA860" s="25"/>
    </row>
    <row r="861" spans="1:27" x14ac:dyDescent="0.35">
      <c r="A861" s="97"/>
      <c r="B861" s="97"/>
      <c r="C861" s="97"/>
      <c r="D861" s="97"/>
      <c r="E861" s="97"/>
      <c r="F861" s="97"/>
      <c r="G861" s="97"/>
      <c r="H861" s="97"/>
      <c r="I861" s="97"/>
      <c r="J861" s="97"/>
      <c r="K861" s="97"/>
      <c r="L861" s="97"/>
      <c r="M861" s="97"/>
      <c r="N861" s="97"/>
      <c r="O861" s="97"/>
      <c r="P861" s="97"/>
      <c r="Q861" s="97"/>
      <c r="R861" s="97"/>
      <c r="S861" s="97"/>
      <c r="T861" s="97"/>
      <c r="U861" s="97"/>
      <c r="V861" s="25"/>
      <c r="W861" s="25"/>
      <c r="X861" s="25"/>
      <c r="Y861" s="25"/>
      <c r="Z861" s="25"/>
      <c r="AA861" s="25"/>
    </row>
    <row r="862" spans="1:27" x14ac:dyDescent="0.35">
      <c r="A862" s="97"/>
      <c r="B862" s="97"/>
      <c r="C862" s="97"/>
      <c r="D862" s="97"/>
      <c r="E862" s="97"/>
      <c r="F862" s="97"/>
      <c r="G862" s="97"/>
      <c r="H862" s="97"/>
      <c r="I862" s="97"/>
      <c r="J862" s="97"/>
      <c r="K862" s="97"/>
      <c r="L862" s="97"/>
      <c r="M862" s="97"/>
      <c r="N862" s="97"/>
      <c r="O862" s="97"/>
      <c r="P862" s="97"/>
      <c r="Q862" s="97"/>
      <c r="R862" s="97"/>
      <c r="S862" s="97"/>
      <c r="T862" s="97"/>
      <c r="U862" s="97"/>
      <c r="V862" s="25"/>
      <c r="W862" s="25"/>
      <c r="X862" s="25"/>
      <c r="Y862" s="25"/>
      <c r="Z862" s="25"/>
      <c r="AA862" s="25"/>
    </row>
    <row r="863" spans="1:27" x14ac:dyDescent="0.35">
      <c r="A863" s="97"/>
      <c r="B863" s="97"/>
      <c r="C863" s="97"/>
      <c r="D863" s="97"/>
      <c r="E863" s="97"/>
      <c r="F863" s="97"/>
      <c r="G863" s="97"/>
      <c r="H863" s="97"/>
      <c r="I863" s="97"/>
      <c r="J863" s="97"/>
      <c r="K863" s="97"/>
      <c r="L863" s="97"/>
      <c r="M863" s="97"/>
      <c r="N863" s="97"/>
      <c r="O863" s="97"/>
      <c r="P863" s="97"/>
      <c r="Q863" s="97"/>
      <c r="R863" s="97"/>
      <c r="S863" s="97"/>
      <c r="T863" s="97"/>
      <c r="U863" s="97"/>
      <c r="V863" s="25"/>
      <c r="W863" s="25"/>
      <c r="X863" s="25"/>
      <c r="Y863" s="25"/>
      <c r="Z863" s="25"/>
      <c r="AA863" s="25"/>
    </row>
    <row r="864" spans="1:27" x14ac:dyDescent="0.35">
      <c r="A864" s="97"/>
      <c r="B864" s="97"/>
      <c r="C864" s="97"/>
      <c r="D864" s="97"/>
      <c r="E864" s="97"/>
      <c r="F864" s="97"/>
      <c r="G864" s="97"/>
      <c r="H864" s="97"/>
      <c r="I864" s="97"/>
      <c r="J864" s="97"/>
      <c r="K864" s="97"/>
      <c r="L864" s="97"/>
      <c r="M864" s="97"/>
      <c r="N864" s="97"/>
      <c r="O864" s="97"/>
      <c r="P864" s="97"/>
      <c r="Q864" s="97"/>
      <c r="R864" s="97"/>
      <c r="S864" s="97"/>
      <c r="T864" s="97"/>
      <c r="U864" s="97"/>
      <c r="V864" s="25"/>
      <c r="W864" s="25"/>
      <c r="X864" s="25"/>
      <c r="Y864" s="25"/>
      <c r="Z864" s="25"/>
      <c r="AA864" s="25"/>
    </row>
    <row r="865" spans="1:27" x14ac:dyDescent="0.35">
      <c r="A865" s="97"/>
      <c r="B865" s="97"/>
      <c r="C865" s="97"/>
      <c r="D865" s="97"/>
      <c r="E865" s="97"/>
      <c r="F865" s="97"/>
      <c r="G865" s="97"/>
      <c r="H865" s="97"/>
      <c r="I865" s="97"/>
      <c r="J865" s="97"/>
      <c r="K865" s="97"/>
      <c r="L865" s="97"/>
      <c r="M865" s="97"/>
      <c r="N865" s="97"/>
      <c r="O865" s="97"/>
      <c r="P865" s="97"/>
      <c r="Q865" s="97"/>
      <c r="R865" s="97"/>
      <c r="S865" s="97"/>
      <c r="T865" s="97"/>
      <c r="U865" s="97"/>
      <c r="V865" s="25"/>
      <c r="W865" s="25"/>
      <c r="X865" s="25"/>
      <c r="Y865" s="25"/>
      <c r="Z865" s="25"/>
      <c r="AA865" s="25"/>
    </row>
    <row r="866" spans="1:27" x14ac:dyDescent="0.35">
      <c r="A866" s="97"/>
      <c r="B866" s="97"/>
      <c r="C866" s="97"/>
      <c r="D866" s="97"/>
      <c r="E866" s="97"/>
      <c r="F866" s="97"/>
      <c r="G866" s="97"/>
      <c r="H866" s="97"/>
      <c r="I866" s="97"/>
      <c r="J866" s="97"/>
      <c r="K866" s="97"/>
      <c r="L866" s="97"/>
      <c r="M866" s="97"/>
      <c r="N866" s="97"/>
      <c r="O866" s="97"/>
      <c r="P866" s="97"/>
      <c r="Q866" s="97"/>
      <c r="R866" s="97"/>
      <c r="S866" s="97"/>
      <c r="T866" s="97"/>
      <c r="U866" s="97"/>
      <c r="V866" s="25"/>
      <c r="W866" s="25"/>
      <c r="X866" s="25"/>
      <c r="Y866" s="25"/>
      <c r="Z866" s="25"/>
      <c r="AA866" s="25"/>
    </row>
    <row r="867" spans="1:27" x14ac:dyDescent="0.35">
      <c r="A867" s="97"/>
      <c r="B867" s="97"/>
      <c r="C867" s="97"/>
      <c r="D867" s="97"/>
      <c r="E867" s="97"/>
      <c r="F867" s="97"/>
      <c r="G867" s="97"/>
      <c r="H867" s="97"/>
      <c r="I867" s="97"/>
      <c r="J867" s="97"/>
      <c r="K867" s="97"/>
      <c r="L867" s="97"/>
      <c r="M867" s="97"/>
      <c r="N867" s="97"/>
      <c r="O867" s="97"/>
      <c r="P867" s="97"/>
      <c r="Q867" s="97"/>
      <c r="R867" s="97"/>
      <c r="S867" s="97"/>
      <c r="T867" s="97"/>
      <c r="U867" s="97"/>
      <c r="V867" s="25"/>
      <c r="W867" s="25"/>
      <c r="X867" s="25"/>
      <c r="Y867" s="25"/>
      <c r="Z867" s="25"/>
      <c r="AA867" s="25"/>
    </row>
    <row r="868" spans="1:27" x14ac:dyDescent="0.35">
      <c r="A868" s="97"/>
      <c r="B868" s="97"/>
      <c r="C868" s="97"/>
      <c r="D868" s="97"/>
      <c r="E868" s="97"/>
      <c r="F868" s="97"/>
      <c r="G868" s="97"/>
      <c r="H868" s="97"/>
      <c r="I868" s="97"/>
      <c r="J868" s="97"/>
      <c r="K868" s="97"/>
      <c r="L868" s="97"/>
      <c r="M868" s="97"/>
      <c r="N868" s="97"/>
      <c r="O868" s="97"/>
      <c r="P868" s="97"/>
      <c r="Q868" s="97"/>
      <c r="R868" s="97"/>
      <c r="S868" s="97"/>
      <c r="T868" s="97"/>
      <c r="U868" s="97"/>
      <c r="V868" s="25"/>
      <c r="W868" s="25"/>
      <c r="X868" s="25"/>
      <c r="Y868" s="25"/>
      <c r="Z868" s="25"/>
      <c r="AA868" s="25"/>
    </row>
    <row r="869" spans="1:27" x14ac:dyDescent="0.35">
      <c r="A869" s="97"/>
      <c r="B869" s="97"/>
      <c r="C869" s="97"/>
      <c r="D869" s="97"/>
      <c r="E869" s="97"/>
      <c r="F869" s="97"/>
      <c r="G869" s="97"/>
      <c r="H869" s="97"/>
      <c r="I869" s="97"/>
      <c r="J869" s="97"/>
      <c r="K869" s="97"/>
      <c r="L869" s="97"/>
      <c r="M869" s="97"/>
      <c r="N869" s="97"/>
      <c r="O869" s="97"/>
      <c r="P869" s="97"/>
      <c r="Q869" s="97"/>
      <c r="R869" s="97"/>
      <c r="S869" s="97"/>
      <c r="T869" s="97"/>
      <c r="U869" s="97"/>
      <c r="V869" s="25"/>
      <c r="W869" s="25"/>
      <c r="X869" s="25"/>
      <c r="Y869" s="25"/>
      <c r="Z869" s="25"/>
      <c r="AA869" s="25"/>
    </row>
    <row r="870" spans="1:27" x14ac:dyDescent="0.35">
      <c r="A870" s="97"/>
      <c r="B870" s="97"/>
      <c r="C870" s="97"/>
      <c r="D870" s="97"/>
      <c r="E870" s="97"/>
      <c r="F870" s="97"/>
      <c r="G870" s="97"/>
      <c r="H870" s="97"/>
      <c r="I870" s="97"/>
      <c r="J870" s="97"/>
      <c r="K870" s="97"/>
      <c r="L870" s="97"/>
      <c r="M870" s="97"/>
      <c r="N870" s="97"/>
      <c r="O870" s="97"/>
      <c r="P870" s="97"/>
      <c r="Q870" s="97"/>
      <c r="R870" s="97"/>
      <c r="S870" s="97"/>
      <c r="T870" s="97"/>
      <c r="U870" s="97"/>
      <c r="V870" s="25"/>
      <c r="W870" s="25"/>
      <c r="X870" s="25"/>
      <c r="Y870" s="25"/>
      <c r="Z870" s="25"/>
      <c r="AA870" s="25"/>
    </row>
    <row r="871" spans="1:27" x14ac:dyDescent="0.35">
      <c r="A871" s="97"/>
      <c r="B871" s="97"/>
      <c r="C871" s="97"/>
      <c r="D871" s="97"/>
      <c r="E871" s="97"/>
      <c r="F871" s="97"/>
      <c r="G871" s="97"/>
      <c r="H871" s="97"/>
      <c r="I871" s="97"/>
      <c r="J871" s="97"/>
      <c r="K871" s="97"/>
      <c r="L871" s="97"/>
      <c r="M871" s="97"/>
      <c r="N871" s="97"/>
      <c r="O871" s="97"/>
      <c r="P871" s="97"/>
      <c r="Q871" s="97"/>
      <c r="R871" s="97"/>
      <c r="S871" s="97"/>
      <c r="T871" s="97"/>
      <c r="U871" s="97"/>
      <c r="V871" s="25"/>
      <c r="W871" s="25"/>
      <c r="X871" s="25"/>
      <c r="Y871" s="25"/>
      <c r="Z871" s="25"/>
      <c r="AA871" s="25"/>
    </row>
    <row r="872" spans="1:27" x14ac:dyDescent="0.35">
      <c r="A872" s="97"/>
      <c r="B872" s="97"/>
      <c r="C872" s="97"/>
      <c r="D872" s="97"/>
      <c r="E872" s="97"/>
      <c r="F872" s="97"/>
      <c r="G872" s="97"/>
      <c r="H872" s="97"/>
      <c r="I872" s="97"/>
      <c r="J872" s="97"/>
      <c r="K872" s="97"/>
      <c r="L872" s="97"/>
      <c r="M872" s="97"/>
      <c r="N872" s="97"/>
      <c r="O872" s="97"/>
      <c r="P872" s="97"/>
      <c r="Q872" s="97"/>
      <c r="R872" s="97"/>
      <c r="S872" s="97"/>
      <c r="T872" s="97"/>
      <c r="U872" s="97"/>
      <c r="V872" s="25"/>
      <c r="W872" s="25"/>
      <c r="X872" s="25"/>
      <c r="Y872" s="25"/>
      <c r="Z872" s="25"/>
      <c r="AA872" s="25"/>
    </row>
    <row r="873" spans="1:27" x14ac:dyDescent="0.35">
      <c r="A873" s="97"/>
      <c r="B873" s="97"/>
      <c r="C873" s="97"/>
      <c r="D873" s="97"/>
      <c r="E873" s="97"/>
      <c r="F873" s="97"/>
      <c r="G873" s="97"/>
      <c r="H873" s="97"/>
      <c r="I873" s="97"/>
      <c r="J873" s="97"/>
      <c r="K873" s="97"/>
      <c r="L873" s="97"/>
      <c r="M873" s="97"/>
      <c r="N873" s="97"/>
      <c r="O873" s="97"/>
      <c r="P873" s="97"/>
      <c r="Q873" s="97"/>
      <c r="R873" s="97"/>
      <c r="S873" s="97"/>
      <c r="T873" s="97"/>
      <c r="U873" s="97"/>
      <c r="V873" s="25"/>
      <c r="W873" s="25"/>
      <c r="X873" s="25"/>
      <c r="Y873" s="25"/>
      <c r="Z873" s="25"/>
      <c r="AA873" s="25"/>
    </row>
    <row r="874" spans="1:27" x14ac:dyDescent="0.35">
      <c r="A874" s="97"/>
      <c r="B874" s="97"/>
      <c r="C874" s="97"/>
      <c r="D874" s="97"/>
      <c r="E874" s="97"/>
      <c r="F874" s="97"/>
      <c r="G874" s="97"/>
      <c r="H874" s="97"/>
      <c r="I874" s="97"/>
      <c r="J874" s="97"/>
      <c r="K874" s="97"/>
      <c r="L874" s="97"/>
      <c r="M874" s="97"/>
      <c r="N874" s="97"/>
      <c r="O874" s="97"/>
      <c r="P874" s="97"/>
      <c r="Q874" s="97"/>
      <c r="R874" s="97"/>
      <c r="S874" s="97"/>
      <c r="T874" s="97"/>
      <c r="U874" s="97"/>
      <c r="V874" s="25"/>
      <c r="W874" s="25"/>
      <c r="X874" s="25"/>
      <c r="Y874" s="25"/>
      <c r="Z874" s="25"/>
      <c r="AA874" s="25"/>
    </row>
    <row r="875" spans="1:27" x14ac:dyDescent="0.35">
      <c r="A875" s="97"/>
      <c r="B875" s="97"/>
      <c r="C875" s="97"/>
      <c r="D875" s="97"/>
      <c r="E875" s="97"/>
      <c r="F875" s="97"/>
      <c r="G875" s="97"/>
      <c r="H875" s="97"/>
      <c r="I875" s="97"/>
      <c r="J875" s="97"/>
      <c r="K875" s="97"/>
      <c r="L875" s="97"/>
      <c r="M875" s="97"/>
      <c r="N875" s="97"/>
      <c r="O875" s="97"/>
      <c r="P875" s="97"/>
      <c r="Q875" s="97"/>
      <c r="R875" s="97"/>
      <c r="S875" s="97"/>
      <c r="T875" s="97"/>
      <c r="U875" s="97"/>
      <c r="V875" s="25"/>
      <c r="W875" s="25"/>
      <c r="X875" s="25"/>
      <c r="Y875" s="25"/>
      <c r="Z875" s="25"/>
      <c r="AA875" s="25"/>
    </row>
    <row r="876" spans="1:27" x14ac:dyDescent="0.35">
      <c r="A876" s="97"/>
      <c r="B876" s="97"/>
      <c r="C876" s="97"/>
      <c r="D876" s="97"/>
      <c r="E876" s="97"/>
      <c r="F876" s="97"/>
      <c r="G876" s="97"/>
      <c r="H876" s="97"/>
      <c r="I876" s="97"/>
      <c r="J876" s="97"/>
      <c r="K876" s="97"/>
      <c r="L876" s="97"/>
      <c r="M876" s="97"/>
      <c r="N876" s="97"/>
      <c r="O876" s="97"/>
      <c r="P876" s="97"/>
      <c r="Q876" s="97"/>
      <c r="R876" s="97"/>
      <c r="S876" s="97"/>
      <c r="T876" s="97"/>
      <c r="U876" s="97"/>
      <c r="V876" s="25"/>
      <c r="W876" s="25"/>
      <c r="X876" s="25"/>
      <c r="Y876" s="25"/>
      <c r="Z876" s="25"/>
      <c r="AA876" s="25"/>
    </row>
    <row r="877" spans="1:27" x14ac:dyDescent="0.35">
      <c r="A877" s="97"/>
      <c r="B877" s="97"/>
      <c r="C877" s="97"/>
      <c r="D877" s="97"/>
      <c r="E877" s="97"/>
      <c r="F877" s="97"/>
      <c r="G877" s="97"/>
      <c r="H877" s="97"/>
      <c r="I877" s="97"/>
      <c r="J877" s="97"/>
      <c r="K877" s="97"/>
      <c r="L877" s="97"/>
      <c r="M877" s="97"/>
      <c r="N877" s="97"/>
      <c r="O877" s="97"/>
      <c r="P877" s="97"/>
      <c r="Q877" s="97"/>
      <c r="R877" s="97"/>
      <c r="S877" s="97"/>
      <c r="T877" s="97"/>
      <c r="U877" s="97"/>
      <c r="V877" s="25"/>
      <c r="W877" s="25"/>
      <c r="X877" s="25"/>
      <c r="Y877" s="25"/>
      <c r="Z877" s="25"/>
      <c r="AA877" s="25"/>
    </row>
    <row r="878" spans="1:27" x14ac:dyDescent="0.35">
      <c r="A878" s="97"/>
      <c r="B878" s="97"/>
      <c r="C878" s="97"/>
      <c r="D878" s="97"/>
      <c r="E878" s="97"/>
      <c r="F878" s="97"/>
      <c r="G878" s="97"/>
      <c r="H878" s="97"/>
      <c r="I878" s="97"/>
      <c r="J878" s="97"/>
      <c r="K878" s="97"/>
      <c r="L878" s="97"/>
      <c r="M878" s="97"/>
      <c r="N878" s="97"/>
      <c r="O878" s="97"/>
      <c r="P878" s="97"/>
      <c r="Q878" s="97"/>
      <c r="R878" s="97"/>
      <c r="S878" s="97"/>
      <c r="T878" s="97"/>
      <c r="U878" s="97"/>
      <c r="V878" s="25"/>
      <c r="W878" s="25"/>
      <c r="X878" s="25"/>
      <c r="Y878" s="25"/>
      <c r="Z878" s="25"/>
      <c r="AA878" s="25"/>
    </row>
    <row r="879" spans="1:27" x14ac:dyDescent="0.35">
      <c r="A879" s="97"/>
      <c r="B879" s="97"/>
      <c r="C879" s="97"/>
      <c r="D879" s="97"/>
      <c r="E879" s="97"/>
      <c r="F879" s="97"/>
      <c r="G879" s="97"/>
      <c r="H879" s="97"/>
      <c r="I879" s="97"/>
      <c r="J879" s="97"/>
      <c r="K879" s="97"/>
      <c r="L879" s="97"/>
      <c r="M879" s="97"/>
      <c r="N879" s="97"/>
      <c r="O879" s="97"/>
      <c r="P879" s="97"/>
      <c r="Q879" s="97"/>
      <c r="R879" s="97"/>
      <c r="S879" s="97"/>
      <c r="T879" s="97"/>
      <c r="U879" s="97"/>
      <c r="V879" s="25"/>
      <c r="W879" s="25"/>
      <c r="X879" s="25"/>
      <c r="Y879" s="25"/>
      <c r="Z879" s="25"/>
      <c r="AA879" s="25"/>
    </row>
    <row r="880" spans="1:27" x14ac:dyDescent="0.35">
      <c r="A880" s="97"/>
      <c r="B880" s="97"/>
      <c r="C880" s="97"/>
      <c r="D880" s="97"/>
      <c r="E880" s="97"/>
      <c r="F880" s="97"/>
      <c r="G880" s="97"/>
      <c r="H880" s="97"/>
      <c r="I880" s="97"/>
      <c r="J880" s="97"/>
      <c r="K880" s="97"/>
      <c r="L880" s="97"/>
      <c r="M880" s="97"/>
      <c r="N880" s="97"/>
      <c r="O880" s="97"/>
      <c r="P880" s="97"/>
      <c r="Q880" s="97"/>
      <c r="R880" s="97"/>
      <c r="S880" s="97"/>
      <c r="T880" s="97"/>
      <c r="U880" s="97"/>
      <c r="V880" s="25"/>
      <c r="W880" s="25"/>
      <c r="X880" s="25"/>
      <c r="Y880" s="25"/>
      <c r="Z880" s="25"/>
      <c r="AA880" s="25"/>
    </row>
    <row r="881" spans="1:27" x14ac:dyDescent="0.35">
      <c r="A881" s="97"/>
      <c r="B881" s="97"/>
      <c r="C881" s="97"/>
      <c r="D881" s="97"/>
      <c r="E881" s="97"/>
      <c r="F881" s="97"/>
      <c r="G881" s="97"/>
      <c r="H881" s="97"/>
      <c r="I881" s="97"/>
      <c r="J881" s="97"/>
      <c r="K881" s="97"/>
      <c r="L881" s="97"/>
      <c r="M881" s="97"/>
      <c r="N881" s="97"/>
      <c r="O881" s="97"/>
      <c r="P881" s="97"/>
      <c r="Q881" s="97"/>
      <c r="R881" s="97"/>
      <c r="S881" s="97"/>
      <c r="T881" s="97"/>
      <c r="U881" s="97"/>
      <c r="V881" s="25"/>
      <c r="W881" s="25"/>
      <c r="X881" s="25"/>
      <c r="Y881" s="25"/>
      <c r="Z881" s="25"/>
      <c r="AA881" s="25"/>
    </row>
    <row r="882" spans="1:27" x14ac:dyDescent="0.35">
      <c r="A882" s="97"/>
      <c r="B882" s="97"/>
      <c r="C882" s="97"/>
      <c r="D882" s="97"/>
      <c r="E882" s="97"/>
      <c r="F882" s="97"/>
      <c r="G882" s="97"/>
      <c r="H882" s="97"/>
      <c r="I882" s="97"/>
      <c r="J882" s="97"/>
      <c r="K882" s="97"/>
      <c r="L882" s="97"/>
      <c r="M882" s="97"/>
      <c r="N882" s="97"/>
      <c r="O882" s="97"/>
      <c r="P882" s="97"/>
      <c r="Q882" s="97"/>
      <c r="R882" s="97"/>
      <c r="S882" s="97"/>
      <c r="T882" s="97"/>
      <c r="U882" s="97"/>
      <c r="V882" s="25"/>
      <c r="W882" s="25"/>
      <c r="X882" s="25"/>
      <c r="Y882" s="25"/>
      <c r="Z882" s="25"/>
      <c r="AA882" s="25"/>
    </row>
    <row r="883" spans="1:27" x14ac:dyDescent="0.35">
      <c r="A883" s="97"/>
      <c r="B883" s="97"/>
      <c r="C883" s="97"/>
      <c r="D883" s="97"/>
      <c r="E883" s="97"/>
      <c r="F883" s="97"/>
      <c r="G883" s="97"/>
      <c r="H883" s="97"/>
      <c r="I883" s="97"/>
      <c r="J883" s="97"/>
      <c r="K883" s="97"/>
      <c r="L883" s="97"/>
      <c r="M883" s="97"/>
      <c r="N883" s="97"/>
      <c r="O883" s="97"/>
      <c r="P883" s="97"/>
      <c r="Q883" s="97"/>
      <c r="R883" s="97"/>
      <c r="S883" s="97"/>
      <c r="T883" s="97"/>
      <c r="U883" s="97"/>
      <c r="V883" s="25"/>
      <c r="W883" s="25"/>
      <c r="X883" s="25"/>
      <c r="Y883" s="25"/>
      <c r="Z883" s="25"/>
      <c r="AA883" s="25"/>
    </row>
    <row r="884" spans="1:27" x14ac:dyDescent="0.35">
      <c r="A884" s="97"/>
      <c r="B884" s="97"/>
      <c r="C884" s="97"/>
      <c r="D884" s="97"/>
      <c r="E884" s="97"/>
      <c r="F884" s="97"/>
      <c r="G884" s="97"/>
      <c r="H884" s="97"/>
      <c r="I884" s="97"/>
      <c r="J884" s="97"/>
      <c r="K884" s="97"/>
      <c r="L884" s="97"/>
      <c r="M884" s="97"/>
      <c r="N884" s="97"/>
      <c r="O884" s="97"/>
      <c r="P884" s="97"/>
      <c r="Q884" s="97"/>
      <c r="R884" s="97"/>
      <c r="S884" s="97"/>
      <c r="T884" s="97"/>
      <c r="U884" s="97"/>
      <c r="V884" s="25"/>
      <c r="W884" s="25"/>
      <c r="X884" s="25"/>
      <c r="Y884" s="25"/>
      <c r="Z884" s="25"/>
      <c r="AA884" s="25"/>
    </row>
    <row r="885" spans="1:27" x14ac:dyDescent="0.35">
      <c r="A885" s="97"/>
      <c r="B885" s="97"/>
      <c r="C885" s="97"/>
      <c r="D885" s="97"/>
      <c r="E885" s="97"/>
      <c r="F885" s="97"/>
      <c r="G885" s="97"/>
      <c r="H885" s="97"/>
      <c r="I885" s="97"/>
      <c r="J885" s="97"/>
      <c r="K885" s="97"/>
      <c r="L885" s="97"/>
      <c r="M885" s="97"/>
      <c r="N885" s="97"/>
      <c r="O885" s="97"/>
      <c r="P885" s="97"/>
      <c r="Q885" s="97"/>
      <c r="R885" s="97"/>
      <c r="S885" s="97"/>
      <c r="T885" s="97"/>
      <c r="U885" s="97"/>
      <c r="V885" s="25"/>
      <c r="W885" s="25"/>
      <c r="X885" s="25"/>
      <c r="Y885" s="25"/>
      <c r="Z885" s="25"/>
      <c r="AA885" s="25"/>
    </row>
    <row r="886" spans="1:27" x14ac:dyDescent="0.35">
      <c r="A886" s="97"/>
      <c r="B886" s="97"/>
      <c r="C886" s="97"/>
      <c r="D886" s="97"/>
      <c r="E886" s="97"/>
      <c r="F886" s="97"/>
      <c r="G886" s="97"/>
      <c r="H886" s="97"/>
      <c r="I886" s="97"/>
      <c r="J886" s="97"/>
      <c r="K886" s="97"/>
      <c r="L886" s="97"/>
      <c r="M886" s="97"/>
      <c r="N886" s="97"/>
      <c r="O886" s="97"/>
      <c r="P886" s="97"/>
      <c r="Q886" s="97"/>
      <c r="R886" s="97"/>
      <c r="S886" s="97"/>
      <c r="T886" s="97"/>
      <c r="U886" s="97"/>
      <c r="V886" s="25"/>
      <c r="W886" s="25"/>
      <c r="X886" s="25"/>
      <c r="Y886" s="25"/>
      <c r="Z886" s="25"/>
      <c r="AA886" s="25"/>
    </row>
    <row r="887" spans="1:27" x14ac:dyDescent="0.35">
      <c r="A887" s="97"/>
      <c r="B887" s="97"/>
      <c r="C887" s="97"/>
      <c r="D887" s="97"/>
      <c r="E887" s="97"/>
      <c r="F887" s="97"/>
      <c r="G887" s="97"/>
      <c r="H887" s="97"/>
      <c r="I887" s="97"/>
      <c r="J887" s="97"/>
      <c r="K887" s="97"/>
      <c r="L887" s="97"/>
      <c r="M887" s="97"/>
      <c r="N887" s="97"/>
      <c r="O887" s="97"/>
      <c r="P887" s="97"/>
      <c r="Q887" s="97"/>
      <c r="R887" s="97"/>
      <c r="S887" s="97"/>
      <c r="T887" s="97"/>
      <c r="U887" s="97"/>
      <c r="V887" s="25"/>
      <c r="W887" s="25"/>
      <c r="X887" s="25"/>
      <c r="Y887" s="25"/>
      <c r="Z887" s="25"/>
      <c r="AA887" s="25"/>
    </row>
    <row r="888" spans="1:27" x14ac:dyDescent="0.35">
      <c r="A888" s="97"/>
      <c r="B888" s="97"/>
      <c r="C888" s="97"/>
      <c r="D888" s="97"/>
      <c r="E888" s="97"/>
      <c r="F888" s="97"/>
      <c r="G888" s="97"/>
      <c r="H888" s="97"/>
      <c r="I888" s="97"/>
      <c r="J888" s="97"/>
      <c r="K888" s="97"/>
      <c r="L888" s="97"/>
      <c r="M888" s="97"/>
      <c r="N888" s="97"/>
      <c r="O888" s="97"/>
      <c r="P888" s="97"/>
      <c r="Q888" s="97"/>
      <c r="R888" s="97"/>
      <c r="S888" s="97"/>
      <c r="T888" s="97"/>
      <c r="U888" s="97"/>
      <c r="V888" s="25"/>
      <c r="W888" s="25"/>
      <c r="X888" s="25"/>
      <c r="Y888" s="25"/>
      <c r="Z888" s="25"/>
      <c r="AA888" s="25"/>
    </row>
    <row r="889" spans="1:27" x14ac:dyDescent="0.35">
      <c r="A889" s="97"/>
      <c r="B889" s="97"/>
      <c r="C889" s="97"/>
      <c r="D889" s="97"/>
      <c r="E889" s="97"/>
      <c r="F889" s="97"/>
      <c r="G889" s="97"/>
      <c r="H889" s="97"/>
      <c r="I889" s="97"/>
      <c r="J889" s="97"/>
      <c r="K889" s="97"/>
      <c r="L889" s="97"/>
      <c r="M889" s="97"/>
      <c r="N889" s="97"/>
      <c r="O889" s="97"/>
      <c r="P889" s="97"/>
      <c r="Q889" s="97"/>
      <c r="R889" s="97"/>
      <c r="S889" s="97"/>
      <c r="T889" s="97"/>
      <c r="U889" s="97"/>
      <c r="V889" s="25"/>
      <c r="W889" s="25"/>
      <c r="X889" s="25"/>
      <c r="Y889" s="25"/>
      <c r="Z889" s="25"/>
      <c r="AA889" s="25"/>
    </row>
    <row r="890" spans="1:27" x14ac:dyDescent="0.35">
      <c r="A890" s="97"/>
      <c r="B890" s="97"/>
      <c r="C890" s="97"/>
      <c r="D890" s="97"/>
      <c r="E890" s="97"/>
      <c r="F890" s="97"/>
      <c r="G890" s="97"/>
      <c r="H890" s="97"/>
      <c r="I890" s="97"/>
      <c r="J890" s="97"/>
      <c r="K890" s="97"/>
      <c r="L890" s="97"/>
      <c r="M890" s="97"/>
      <c r="N890" s="97"/>
      <c r="O890" s="97"/>
      <c r="P890" s="97"/>
      <c r="Q890" s="97"/>
      <c r="R890" s="97"/>
      <c r="S890" s="97"/>
      <c r="T890" s="97"/>
      <c r="U890" s="97"/>
      <c r="V890" s="25"/>
      <c r="W890" s="25"/>
      <c r="X890" s="25"/>
      <c r="Y890" s="25"/>
      <c r="Z890" s="25"/>
      <c r="AA890" s="25"/>
    </row>
    <row r="891" spans="1:27" x14ac:dyDescent="0.35">
      <c r="A891" s="97"/>
      <c r="B891" s="97"/>
      <c r="C891" s="97"/>
      <c r="D891" s="97"/>
      <c r="E891" s="97"/>
      <c r="F891" s="97"/>
      <c r="G891" s="97"/>
      <c r="H891" s="97"/>
      <c r="I891" s="97"/>
      <c r="J891" s="97"/>
      <c r="K891" s="97"/>
      <c r="L891" s="97"/>
      <c r="M891" s="97"/>
      <c r="N891" s="97"/>
      <c r="O891" s="97"/>
      <c r="P891" s="97"/>
      <c r="Q891" s="97"/>
      <c r="R891" s="97"/>
      <c r="S891" s="97"/>
      <c r="T891" s="97"/>
      <c r="U891" s="97"/>
      <c r="V891" s="25"/>
      <c r="W891" s="25"/>
      <c r="X891" s="25"/>
      <c r="Y891" s="25"/>
      <c r="Z891" s="25"/>
      <c r="AA891" s="25"/>
    </row>
    <row r="892" spans="1:27" x14ac:dyDescent="0.35">
      <c r="A892" s="97"/>
      <c r="B892" s="97"/>
      <c r="C892" s="97"/>
      <c r="D892" s="97"/>
      <c r="E892" s="97"/>
      <c r="F892" s="97"/>
      <c r="G892" s="97"/>
      <c r="H892" s="97"/>
      <c r="I892" s="97"/>
      <c r="J892" s="97"/>
      <c r="K892" s="97"/>
      <c r="L892" s="97"/>
      <c r="M892" s="97"/>
      <c r="N892" s="97"/>
      <c r="O892" s="97"/>
      <c r="P892" s="97"/>
      <c r="Q892" s="97"/>
      <c r="R892" s="97"/>
      <c r="S892" s="97"/>
      <c r="T892" s="97"/>
      <c r="U892" s="97"/>
      <c r="V892" s="25"/>
      <c r="W892" s="25"/>
      <c r="X892" s="25"/>
      <c r="Y892" s="25"/>
      <c r="Z892" s="25"/>
      <c r="AA892" s="25"/>
    </row>
    <row r="893" spans="1:27" x14ac:dyDescent="0.35">
      <c r="A893" s="97"/>
      <c r="B893" s="97"/>
      <c r="C893" s="97"/>
      <c r="D893" s="97"/>
      <c r="E893" s="97"/>
      <c r="F893" s="97"/>
      <c r="G893" s="97"/>
      <c r="H893" s="97"/>
      <c r="I893" s="97"/>
      <c r="J893" s="97"/>
      <c r="K893" s="97"/>
      <c r="L893" s="97"/>
      <c r="M893" s="97"/>
      <c r="N893" s="97"/>
      <c r="O893" s="97"/>
      <c r="P893" s="97"/>
      <c r="Q893" s="97"/>
      <c r="R893" s="97"/>
      <c r="S893" s="97"/>
      <c r="T893" s="97"/>
      <c r="U893" s="97"/>
      <c r="V893" s="25"/>
      <c r="W893" s="25"/>
      <c r="X893" s="25"/>
      <c r="Y893" s="25"/>
      <c r="Z893" s="25"/>
      <c r="AA893" s="25"/>
    </row>
    <row r="894" spans="1:27" x14ac:dyDescent="0.35">
      <c r="A894" s="97"/>
      <c r="B894" s="97"/>
      <c r="C894" s="97"/>
      <c r="D894" s="97"/>
      <c r="E894" s="97"/>
      <c r="F894" s="97"/>
      <c r="G894" s="97"/>
      <c r="H894" s="97"/>
      <c r="I894" s="97"/>
      <c r="J894" s="97"/>
      <c r="K894" s="97"/>
      <c r="L894" s="97"/>
      <c r="M894" s="97"/>
      <c r="N894" s="97"/>
      <c r="O894" s="97"/>
      <c r="P894" s="97"/>
      <c r="Q894" s="97"/>
      <c r="R894" s="97"/>
      <c r="S894" s="97"/>
      <c r="T894" s="97"/>
      <c r="U894" s="97"/>
      <c r="V894" s="25"/>
      <c r="W894" s="25"/>
      <c r="X894" s="25"/>
      <c r="Y894" s="25"/>
      <c r="Z894" s="25"/>
      <c r="AA894" s="25"/>
    </row>
    <row r="895" spans="1:27" x14ac:dyDescent="0.35">
      <c r="A895" s="97"/>
      <c r="B895" s="97"/>
      <c r="C895" s="97"/>
      <c r="D895" s="97"/>
      <c r="E895" s="97"/>
      <c r="F895" s="97"/>
      <c r="G895" s="97"/>
      <c r="H895" s="97"/>
      <c r="I895" s="97"/>
      <c r="J895" s="97"/>
      <c r="K895" s="97"/>
      <c r="L895" s="97"/>
      <c r="M895" s="97"/>
      <c r="N895" s="97"/>
      <c r="O895" s="97"/>
      <c r="P895" s="97"/>
      <c r="Q895" s="97"/>
      <c r="R895" s="97"/>
      <c r="S895" s="97"/>
      <c r="T895" s="97"/>
      <c r="U895" s="97"/>
      <c r="V895" s="25"/>
      <c r="W895" s="25"/>
      <c r="X895" s="25"/>
      <c r="Y895" s="25"/>
      <c r="Z895" s="25"/>
      <c r="AA895" s="25"/>
    </row>
    <row r="896" spans="1:27" x14ac:dyDescent="0.35">
      <c r="A896" s="97"/>
      <c r="B896" s="97"/>
      <c r="C896" s="97"/>
      <c r="D896" s="97"/>
      <c r="E896" s="97"/>
      <c r="F896" s="97"/>
      <c r="G896" s="97"/>
      <c r="H896" s="97"/>
      <c r="I896" s="97"/>
      <c r="J896" s="97"/>
      <c r="K896" s="97"/>
      <c r="L896" s="97"/>
      <c r="M896" s="97"/>
      <c r="N896" s="97"/>
      <c r="O896" s="97"/>
      <c r="P896" s="97"/>
      <c r="Q896" s="97"/>
      <c r="R896" s="97"/>
      <c r="S896" s="97"/>
      <c r="T896" s="97"/>
      <c r="U896" s="97"/>
      <c r="V896" s="25"/>
      <c r="W896" s="25"/>
      <c r="X896" s="25"/>
      <c r="Y896" s="25"/>
      <c r="Z896" s="25"/>
      <c r="AA896" s="25"/>
    </row>
    <row r="897" spans="1:27" x14ac:dyDescent="0.35">
      <c r="A897" s="97"/>
      <c r="B897" s="97"/>
      <c r="C897" s="97"/>
      <c r="D897" s="97"/>
      <c r="E897" s="97"/>
      <c r="F897" s="97"/>
      <c r="G897" s="97"/>
      <c r="H897" s="97"/>
      <c r="I897" s="97"/>
      <c r="J897" s="97"/>
      <c r="K897" s="97"/>
      <c r="L897" s="97"/>
      <c r="M897" s="97"/>
      <c r="N897" s="97"/>
      <c r="O897" s="97"/>
      <c r="P897" s="97"/>
      <c r="Q897" s="97"/>
      <c r="R897" s="97"/>
      <c r="S897" s="97"/>
      <c r="T897" s="97"/>
      <c r="U897" s="97"/>
      <c r="V897" s="25"/>
      <c r="W897" s="25"/>
      <c r="X897" s="25"/>
      <c r="Y897" s="25"/>
      <c r="Z897" s="25"/>
      <c r="AA897" s="25"/>
    </row>
    <row r="898" spans="1:27" x14ac:dyDescent="0.35">
      <c r="A898" s="97"/>
      <c r="B898" s="97"/>
      <c r="C898" s="97"/>
      <c r="D898" s="97"/>
      <c r="E898" s="97"/>
      <c r="F898" s="97"/>
      <c r="G898" s="97"/>
      <c r="H898" s="97"/>
      <c r="I898" s="97"/>
      <c r="J898" s="97"/>
      <c r="K898" s="97"/>
      <c r="L898" s="97"/>
      <c r="M898" s="97"/>
      <c r="N898" s="97"/>
      <c r="O898" s="97"/>
      <c r="P898" s="97"/>
      <c r="Q898" s="97"/>
      <c r="R898" s="97"/>
      <c r="S898" s="97"/>
      <c r="T898" s="97"/>
      <c r="U898" s="97"/>
      <c r="V898" s="25"/>
      <c r="W898" s="25"/>
      <c r="X898" s="25"/>
      <c r="Y898" s="25"/>
      <c r="Z898" s="25"/>
      <c r="AA898" s="25"/>
    </row>
    <row r="899" spans="1:27" x14ac:dyDescent="0.35">
      <c r="A899" s="97"/>
      <c r="B899" s="97"/>
      <c r="C899" s="97"/>
      <c r="D899" s="97"/>
      <c r="E899" s="97"/>
      <c r="F899" s="97"/>
      <c r="G899" s="97"/>
      <c r="H899" s="97"/>
      <c r="I899" s="97"/>
      <c r="J899" s="97"/>
      <c r="K899" s="97"/>
      <c r="L899" s="97"/>
      <c r="M899" s="97"/>
      <c r="N899" s="97"/>
      <c r="O899" s="97"/>
      <c r="P899" s="97"/>
      <c r="Q899" s="97"/>
      <c r="R899" s="97"/>
      <c r="S899" s="97"/>
      <c r="T899" s="97"/>
      <c r="U899" s="97"/>
      <c r="V899" s="25"/>
      <c r="W899" s="25"/>
      <c r="X899" s="25"/>
      <c r="Y899" s="25"/>
      <c r="Z899" s="25"/>
      <c r="AA899" s="25"/>
    </row>
    <row r="900" spans="1:27" x14ac:dyDescent="0.35">
      <c r="A900" s="97"/>
      <c r="B900" s="97"/>
      <c r="C900" s="97"/>
      <c r="D900" s="97"/>
      <c r="E900" s="97"/>
      <c r="F900" s="97"/>
      <c r="G900" s="97"/>
      <c r="H900" s="97"/>
      <c r="I900" s="97"/>
      <c r="J900" s="97"/>
      <c r="K900" s="97"/>
      <c r="L900" s="97"/>
      <c r="M900" s="97"/>
      <c r="N900" s="97"/>
      <c r="O900" s="97"/>
      <c r="P900" s="97"/>
      <c r="Q900" s="97"/>
      <c r="R900" s="97"/>
      <c r="S900" s="97"/>
      <c r="T900" s="97"/>
      <c r="U900" s="97"/>
      <c r="V900" s="25"/>
      <c r="W900" s="25"/>
      <c r="X900" s="25"/>
      <c r="Y900" s="25"/>
      <c r="Z900" s="25"/>
      <c r="AA900" s="25"/>
    </row>
    <row r="901" spans="1:27" x14ac:dyDescent="0.35">
      <c r="A901" s="97"/>
      <c r="B901" s="97"/>
      <c r="C901" s="97"/>
      <c r="D901" s="97"/>
      <c r="E901" s="97"/>
      <c r="F901" s="97"/>
      <c r="G901" s="97"/>
      <c r="H901" s="97"/>
      <c r="I901" s="97"/>
      <c r="J901" s="97"/>
      <c r="K901" s="97"/>
      <c r="L901" s="97"/>
      <c r="M901" s="97"/>
      <c r="N901" s="97"/>
      <c r="O901" s="97"/>
      <c r="P901" s="97"/>
      <c r="Q901" s="97"/>
      <c r="R901" s="97"/>
      <c r="S901" s="97"/>
      <c r="T901" s="97"/>
      <c r="U901" s="97"/>
      <c r="V901" s="25"/>
      <c r="W901" s="25"/>
      <c r="X901" s="25"/>
      <c r="Y901" s="25"/>
      <c r="Z901" s="25"/>
      <c r="AA901" s="25"/>
    </row>
    <row r="902" spans="1:27" x14ac:dyDescent="0.35">
      <c r="A902" s="97"/>
      <c r="B902" s="97"/>
      <c r="C902" s="97"/>
      <c r="D902" s="97"/>
      <c r="E902" s="97"/>
      <c r="F902" s="97"/>
      <c r="G902" s="97"/>
      <c r="H902" s="97"/>
      <c r="I902" s="97"/>
      <c r="J902" s="97"/>
      <c r="K902" s="97"/>
      <c r="L902" s="97"/>
      <c r="M902" s="97"/>
      <c r="N902" s="97"/>
      <c r="O902" s="97"/>
      <c r="P902" s="97"/>
      <c r="Q902" s="97"/>
      <c r="R902" s="97"/>
      <c r="S902" s="97"/>
      <c r="T902" s="97"/>
      <c r="U902" s="97"/>
      <c r="V902" s="25"/>
      <c r="W902" s="25"/>
      <c r="X902" s="25"/>
      <c r="Y902" s="25"/>
      <c r="Z902" s="25"/>
      <c r="AA902" s="25"/>
    </row>
    <row r="903" spans="1:27" x14ac:dyDescent="0.35">
      <c r="A903" s="97"/>
      <c r="B903" s="97"/>
      <c r="C903" s="97"/>
      <c r="D903" s="97"/>
      <c r="E903" s="97"/>
      <c r="F903" s="97"/>
      <c r="G903" s="97"/>
      <c r="H903" s="97"/>
      <c r="I903" s="97"/>
      <c r="J903" s="97"/>
      <c r="K903" s="97"/>
      <c r="L903" s="97"/>
      <c r="M903" s="97"/>
      <c r="N903" s="97"/>
      <c r="O903" s="97"/>
      <c r="P903" s="97"/>
      <c r="Q903" s="97"/>
      <c r="R903" s="97"/>
      <c r="S903" s="97"/>
      <c r="T903" s="97"/>
      <c r="U903" s="97"/>
      <c r="V903" s="25"/>
      <c r="W903" s="25"/>
      <c r="X903" s="25"/>
      <c r="Y903" s="25"/>
      <c r="Z903" s="25"/>
      <c r="AA903" s="25"/>
    </row>
    <row r="904" spans="1:27" x14ac:dyDescent="0.35">
      <c r="A904" s="97"/>
      <c r="B904" s="97"/>
      <c r="C904" s="97"/>
      <c r="D904" s="97"/>
      <c r="E904" s="97"/>
      <c r="F904" s="97"/>
      <c r="G904" s="97"/>
      <c r="H904" s="97"/>
      <c r="I904" s="97"/>
      <c r="J904" s="97"/>
      <c r="K904" s="97"/>
      <c r="L904" s="97"/>
      <c r="M904" s="97"/>
      <c r="N904" s="97"/>
      <c r="O904" s="97"/>
      <c r="P904" s="97"/>
      <c r="Q904" s="97"/>
      <c r="R904" s="97"/>
      <c r="S904" s="97"/>
      <c r="T904" s="97"/>
      <c r="U904" s="97"/>
      <c r="V904" s="25"/>
      <c r="W904" s="25"/>
      <c r="X904" s="25"/>
      <c r="Y904" s="25"/>
      <c r="Z904" s="25"/>
      <c r="AA904" s="25"/>
    </row>
    <row r="905" spans="1:27" x14ac:dyDescent="0.35">
      <c r="A905" s="97"/>
      <c r="B905" s="97"/>
      <c r="C905" s="97"/>
      <c r="D905" s="97"/>
      <c r="E905" s="97"/>
      <c r="F905" s="97"/>
      <c r="G905" s="97"/>
      <c r="H905" s="97"/>
      <c r="I905" s="97"/>
      <c r="J905" s="97"/>
      <c r="K905" s="97"/>
      <c r="L905" s="97"/>
      <c r="M905" s="97"/>
      <c r="N905" s="97"/>
      <c r="O905" s="97"/>
      <c r="P905" s="97"/>
      <c r="Q905" s="97"/>
      <c r="R905" s="97"/>
      <c r="S905" s="97"/>
      <c r="T905" s="97"/>
      <c r="U905" s="97"/>
      <c r="V905" s="25"/>
      <c r="W905" s="25"/>
      <c r="X905" s="25"/>
      <c r="Y905" s="25"/>
      <c r="Z905" s="25"/>
      <c r="AA905" s="25"/>
    </row>
    <row r="906" spans="1:27" x14ac:dyDescent="0.35">
      <c r="A906" s="97"/>
      <c r="B906" s="97"/>
      <c r="C906" s="97"/>
      <c r="D906" s="97"/>
      <c r="E906" s="97"/>
      <c r="F906" s="97"/>
      <c r="G906" s="97"/>
      <c r="H906" s="97"/>
      <c r="I906" s="97"/>
      <c r="J906" s="97"/>
      <c r="K906" s="97"/>
      <c r="L906" s="97"/>
      <c r="M906" s="97"/>
      <c r="N906" s="97"/>
      <c r="O906" s="97"/>
      <c r="P906" s="97"/>
      <c r="Q906" s="97"/>
      <c r="R906" s="97"/>
      <c r="S906" s="97"/>
      <c r="T906" s="97"/>
      <c r="U906" s="97"/>
      <c r="V906" s="25"/>
      <c r="W906" s="25"/>
      <c r="X906" s="25"/>
      <c r="Y906" s="25"/>
      <c r="Z906" s="25"/>
      <c r="AA906" s="25"/>
    </row>
    <row r="907" spans="1:27" x14ac:dyDescent="0.35">
      <c r="A907" s="97"/>
      <c r="B907" s="97"/>
      <c r="C907" s="97"/>
      <c r="D907" s="97"/>
      <c r="E907" s="97"/>
      <c r="F907" s="97"/>
      <c r="G907" s="97"/>
      <c r="H907" s="97"/>
      <c r="I907" s="97"/>
      <c r="J907" s="97"/>
      <c r="K907" s="97"/>
      <c r="L907" s="97"/>
      <c r="M907" s="97"/>
      <c r="N907" s="97"/>
      <c r="O907" s="97"/>
      <c r="P907" s="97"/>
      <c r="Q907" s="97"/>
      <c r="R907" s="97"/>
      <c r="S907" s="97"/>
      <c r="T907" s="97"/>
      <c r="U907" s="97"/>
      <c r="V907" s="25"/>
      <c r="W907" s="25"/>
      <c r="X907" s="25"/>
      <c r="Y907" s="25"/>
      <c r="Z907" s="25"/>
      <c r="AA907" s="25"/>
    </row>
    <row r="908" spans="1:27" x14ac:dyDescent="0.35">
      <c r="A908" s="97"/>
      <c r="B908" s="97"/>
      <c r="C908" s="97"/>
      <c r="D908" s="97"/>
      <c r="E908" s="97"/>
      <c r="F908" s="97"/>
      <c r="G908" s="97"/>
      <c r="H908" s="97"/>
      <c r="I908" s="97"/>
      <c r="J908" s="97"/>
      <c r="K908" s="97"/>
      <c r="L908" s="97"/>
      <c r="M908" s="97"/>
      <c r="N908" s="97"/>
      <c r="O908" s="97"/>
      <c r="P908" s="97"/>
      <c r="Q908" s="97"/>
      <c r="R908" s="97"/>
      <c r="S908" s="97"/>
      <c r="T908" s="97"/>
      <c r="U908" s="97"/>
      <c r="V908" s="25"/>
      <c r="W908" s="25"/>
      <c r="X908" s="25"/>
      <c r="Y908" s="25"/>
      <c r="Z908" s="25"/>
      <c r="AA908" s="25"/>
    </row>
    <row r="909" spans="1:27" x14ac:dyDescent="0.35">
      <c r="A909" s="97"/>
      <c r="B909" s="97"/>
      <c r="C909" s="97"/>
      <c r="D909" s="97"/>
      <c r="E909" s="97"/>
      <c r="F909" s="97"/>
      <c r="G909" s="97"/>
      <c r="H909" s="97"/>
      <c r="I909" s="97"/>
      <c r="J909" s="97"/>
      <c r="K909" s="97"/>
      <c r="L909" s="97"/>
      <c r="M909" s="97"/>
      <c r="N909" s="97"/>
      <c r="O909" s="97"/>
      <c r="P909" s="97"/>
      <c r="Q909" s="97"/>
      <c r="R909" s="97"/>
      <c r="S909" s="97"/>
      <c r="T909" s="97"/>
      <c r="U909" s="97"/>
      <c r="V909" s="25"/>
      <c r="W909" s="25"/>
      <c r="X909" s="25"/>
      <c r="Y909" s="25"/>
      <c r="Z909" s="25"/>
      <c r="AA909" s="25"/>
    </row>
    <row r="910" spans="1:27" x14ac:dyDescent="0.35">
      <c r="A910" s="97"/>
      <c r="B910" s="97"/>
      <c r="C910" s="97"/>
      <c r="D910" s="97"/>
      <c r="E910" s="97"/>
      <c r="F910" s="97"/>
      <c r="G910" s="97"/>
      <c r="H910" s="97"/>
      <c r="I910" s="97"/>
      <c r="J910" s="97"/>
      <c r="K910" s="97"/>
      <c r="L910" s="97"/>
      <c r="M910" s="97"/>
      <c r="N910" s="97"/>
      <c r="O910" s="97"/>
      <c r="P910" s="97"/>
      <c r="Q910" s="97"/>
      <c r="R910" s="97"/>
      <c r="S910" s="97"/>
      <c r="T910" s="97"/>
      <c r="U910" s="97"/>
      <c r="V910" s="25"/>
      <c r="W910" s="25"/>
      <c r="X910" s="25"/>
      <c r="Y910" s="25"/>
      <c r="Z910" s="25"/>
      <c r="AA910" s="25"/>
    </row>
    <row r="911" spans="1:27" x14ac:dyDescent="0.35">
      <c r="A911" s="97"/>
      <c r="B911" s="97"/>
      <c r="C911" s="97"/>
      <c r="D911" s="97"/>
      <c r="E911" s="97"/>
      <c r="F911" s="97"/>
      <c r="G911" s="97"/>
      <c r="H911" s="97"/>
      <c r="I911" s="97"/>
      <c r="J911" s="97"/>
      <c r="K911" s="97"/>
      <c r="L911" s="97"/>
      <c r="M911" s="97"/>
      <c r="N911" s="97"/>
      <c r="O911" s="97"/>
      <c r="P911" s="97"/>
      <c r="Q911" s="97"/>
      <c r="R911" s="97"/>
      <c r="S911" s="97"/>
      <c r="T911" s="97"/>
      <c r="U911" s="97"/>
      <c r="V911" s="25"/>
      <c r="W911" s="25"/>
      <c r="X911" s="25"/>
      <c r="Y911" s="25"/>
      <c r="Z911" s="25"/>
      <c r="AA911" s="25"/>
    </row>
    <row r="912" spans="1:27" x14ac:dyDescent="0.35">
      <c r="A912" s="97"/>
      <c r="B912" s="97"/>
      <c r="C912" s="97"/>
      <c r="D912" s="97"/>
      <c r="E912" s="97"/>
      <c r="F912" s="97"/>
      <c r="G912" s="97"/>
      <c r="H912" s="97"/>
      <c r="I912" s="97"/>
      <c r="J912" s="97"/>
      <c r="K912" s="97"/>
      <c r="L912" s="97"/>
      <c r="M912" s="97"/>
      <c r="N912" s="97"/>
      <c r="O912" s="97"/>
      <c r="P912" s="97"/>
      <c r="Q912" s="97"/>
      <c r="R912" s="97"/>
      <c r="S912" s="97"/>
      <c r="T912" s="97"/>
      <c r="U912" s="97"/>
      <c r="V912" s="25"/>
      <c r="W912" s="25"/>
      <c r="X912" s="25"/>
      <c r="Y912" s="25"/>
      <c r="Z912" s="25"/>
      <c r="AA912" s="25"/>
    </row>
    <row r="913" spans="1:27" x14ac:dyDescent="0.35">
      <c r="A913" s="97"/>
      <c r="B913" s="97"/>
      <c r="C913" s="97"/>
      <c r="D913" s="97"/>
      <c r="E913" s="97"/>
      <c r="F913" s="97"/>
      <c r="G913" s="97"/>
      <c r="H913" s="97"/>
      <c r="I913" s="97"/>
      <c r="J913" s="97"/>
      <c r="K913" s="97"/>
      <c r="L913" s="97"/>
      <c r="M913" s="97"/>
      <c r="N913" s="97"/>
      <c r="O913" s="97"/>
      <c r="P913" s="97"/>
      <c r="Q913" s="97"/>
      <c r="R913" s="97"/>
      <c r="S913" s="97"/>
      <c r="T913" s="97"/>
      <c r="U913" s="97"/>
      <c r="V913" s="25"/>
      <c r="W913" s="25"/>
      <c r="X913" s="25"/>
      <c r="Y913" s="25"/>
      <c r="Z913" s="25"/>
      <c r="AA913" s="25"/>
    </row>
    <row r="914" spans="1:27" x14ac:dyDescent="0.35">
      <c r="A914" s="97"/>
      <c r="B914" s="97"/>
      <c r="C914" s="97"/>
      <c r="D914" s="97"/>
      <c r="E914" s="97"/>
      <c r="F914" s="97"/>
      <c r="G914" s="97"/>
      <c r="H914" s="97"/>
      <c r="I914" s="97"/>
      <c r="J914" s="97"/>
      <c r="K914" s="97"/>
      <c r="L914" s="97"/>
      <c r="M914" s="97"/>
      <c r="N914" s="97"/>
      <c r="O914" s="97"/>
      <c r="P914" s="97"/>
      <c r="Q914" s="97"/>
      <c r="R914" s="97"/>
      <c r="S914" s="97"/>
      <c r="T914" s="97"/>
      <c r="U914" s="97"/>
      <c r="V914" s="25"/>
      <c r="W914" s="25"/>
      <c r="X914" s="25"/>
      <c r="Y914" s="25"/>
      <c r="Z914" s="25"/>
      <c r="AA914" s="25"/>
    </row>
    <row r="915" spans="1:27" x14ac:dyDescent="0.35">
      <c r="A915" s="97"/>
      <c r="B915" s="97"/>
      <c r="C915" s="97"/>
      <c r="D915" s="97"/>
      <c r="E915" s="97"/>
      <c r="F915" s="97"/>
      <c r="G915" s="97"/>
      <c r="H915" s="97"/>
      <c r="I915" s="97"/>
      <c r="J915" s="97"/>
      <c r="K915" s="97"/>
      <c r="L915" s="97"/>
      <c r="M915" s="97"/>
      <c r="N915" s="97"/>
      <c r="O915" s="97"/>
      <c r="P915" s="97"/>
      <c r="Q915" s="97"/>
      <c r="R915" s="97"/>
      <c r="S915" s="97"/>
      <c r="T915" s="97"/>
      <c r="U915" s="97"/>
      <c r="V915" s="25"/>
      <c r="W915" s="25"/>
      <c r="X915" s="25"/>
      <c r="Y915" s="25"/>
      <c r="Z915" s="25"/>
      <c r="AA915" s="25"/>
    </row>
    <row r="916" spans="1:27" x14ac:dyDescent="0.35">
      <c r="A916" s="97"/>
      <c r="B916" s="97"/>
      <c r="C916" s="97"/>
      <c r="D916" s="97"/>
      <c r="E916" s="97"/>
      <c r="F916" s="97"/>
      <c r="G916" s="97"/>
      <c r="H916" s="97"/>
      <c r="I916" s="97"/>
      <c r="J916" s="97"/>
      <c r="K916" s="97"/>
      <c r="L916" s="97"/>
      <c r="M916" s="97"/>
      <c r="N916" s="97"/>
      <c r="O916" s="97"/>
      <c r="P916" s="97"/>
      <c r="Q916" s="97"/>
      <c r="R916" s="97"/>
      <c r="S916" s="97"/>
      <c r="T916" s="97"/>
      <c r="U916" s="97"/>
      <c r="V916" s="25"/>
      <c r="W916" s="25"/>
      <c r="X916" s="25"/>
      <c r="Y916" s="25"/>
      <c r="Z916" s="25"/>
      <c r="AA916" s="25"/>
    </row>
    <row r="917" spans="1:27" x14ac:dyDescent="0.35">
      <c r="A917" s="97"/>
      <c r="B917" s="97"/>
      <c r="C917" s="97"/>
      <c r="D917" s="97"/>
      <c r="E917" s="97"/>
      <c r="F917" s="97"/>
      <c r="G917" s="97"/>
      <c r="H917" s="97"/>
      <c r="I917" s="97"/>
      <c r="J917" s="97"/>
      <c r="K917" s="97"/>
      <c r="L917" s="97"/>
      <c r="M917" s="97"/>
      <c r="N917" s="97"/>
      <c r="O917" s="97"/>
      <c r="P917" s="97"/>
      <c r="Q917" s="97"/>
      <c r="R917" s="97"/>
      <c r="S917" s="97"/>
      <c r="T917" s="97"/>
      <c r="U917" s="97"/>
      <c r="V917" s="25"/>
      <c r="W917" s="25"/>
      <c r="X917" s="25"/>
      <c r="Y917" s="25"/>
      <c r="Z917" s="25"/>
      <c r="AA917" s="25"/>
    </row>
    <row r="918" spans="1:27" x14ac:dyDescent="0.35">
      <c r="A918" s="97"/>
      <c r="B918" s="97"/>
      <c r="C918" s="97"/>
      <c r="D918" s="97"/>
      <c r="E918" s="97"/>
      <c r="F918" s="97"/>
      <c r="G918" s="97"/>
      <c r="H918" s="97"/>
      <c r="I918" s="97"/>
      <c r="J918" s="97"/>
      <c r="K918" s="97"/>
      <c r="L918" s="97"/>
      <c r="M918" s="97"/>
      <c r="N918" s="97"/>
      <c r="O918" s="97"/>
      <c r="P918" s="97"/>
      <c r="Q918" s="97"/>
      <c r="R918" s="97"/>
      <c r="S918" s="97"/>
      <c r="T918" s="97"/>
      <c r="U918" s="97"/>
      <c r="V918" s="25"/>
      <c r="W918" s="25"/>
      <c r="X918" s="25"/>
      <c r="Y918" s="25"/>
      <c r="Z918" s="25"/>
      <c r="AA918" s="25"/>
    </row>
    <row r="919" spans="1:27" x14ac:dyDescent="0.35">
      <c r="A919" s="97"/>
      <c r="B919" s="97"/>
      <c r="C919" s="97"/>
      <c r="D919" s="97"/>
      <c r="E919" s="97"/>
      <c r="F919" s="97"/>
      <c r="G919" s="97"/>
      <c r="H919" s="97"/>
      <c r="I919" s="97"/>
      <c r="J919" s="97"/>
      <c r="K919" s="97"/>
      <c r="L919" s="97"/>
      <c r="M919" s="97"/>
      <c r="N919" s="97"/>
      <c r="O919" s="97"/>
      <c r="P919" s="97"/>
      <c r="Q919" s="97"/>
      <c r="R919" s="97"/>
      <c r="S919" s="97"/>
      <c r="T919" s="97"/>
      <c r="U919" s="97"/>
      <c r="V919" s="25"/>
      <c r="W919" s="25"/>
      <c r="X919" s="25"/>
      <c r="Y919" s="25"/>
      <c r="Z919" s="25"/>
      <c r="AA919" s="25"/>
    </row>
    <row r="920" spans="1:27" x14ac:dyDescent="0.35">
      <c r="A920" s="97"/>
      <c r="B920" s="97"/>
      <c r="C920" s="97"/>
      <c r="D920" s="97"/>
      <c r="E920" s="97"/>
      <c r="F920" s="97"/>
      <c r="G920" s="97"/>
      <c r="H920" s="97"/>
      <c r="I920" s="97"/>
      <c r="J920" s="97"/>
      <c r="K920" s="97"/>
      <c r="L920" s="97"/>
      <c r="M920" s="97"/>
      <c r="N920" s="97"/>
      <c r="O920" s="97"/>
      <c r="P920" s="97"/>
      <c r="Q920" s="97"/>
      <c r="R920" s="97"/>
      <c r="S920" s="97"/>
      <c r="T920" s="97"/>
      <c r="U920" s="97"/>
      <c r="V920" s="25"/>
      <c r="W920" s="25"/>
      <c r="X920" s="25"/>
      <c r="Y920" s="25"/>
      <c r="Z920" s="25"/>
      <c r="AA920" s="25"/>
    </row>
    <row r="921" spans="1:27" x14ac:dyDescent="0.35">
      <c r="A921" s="97"/>
      <c r="B921" s="97"/>
      <c r="C921" s="97"/>
      <c r="D921" s="97"/>
      <c r="E921" s="97"/>
      <c r="F921" s="97"/>
      <c r="G921" s="97"/>
      <c r="H921" s="97"/>
      <c r="I921" s="97"/>
      <c r="J921" s="97"/>
      <c r="K921" s="97"/>
      <c r="L921" s="97"/>
      <c r="M921" s="97"/>
      <c r="N921" s="97"/>
      <c r="O921" s="97"/>
      <c r="P921" s="97"/>
      <c r="Q921" s="97"/>
      <c r="R921" s="97"/>
      <c r="S921" s="97"/>
      <c r="T921" s="97"/>
      <c r="U921" s="97"/>
      <c r="V921" s="25"/>
      <c r="W921" s="25"/>
      <c r="X921" s="25"/>
      <c r="Y921" s="25"/>
      <c r="Z921" s="25"/>
      <c r="AA921" s="25"/>
    </row>
    <row r="922" spans="1:27" x14ac:dyDescent="0.35">
      <c r="A922" s="97"/>
      <c r="B922" s="97"/>
      <c r="C922" s="97"/>
      <c r="D922" s="97"/>
      <c r="E922" s="97"/>
      <c r="F922" s="97"/>
      <c r="G922" s="97"/>
      <c r="H922" s="97"/>
      <c r="I922" s="97"/>
      <c r="J922" s="97"/>
      <c r="K922" s="97"/>
      <c r="L922" s="97"/>
      <c r="M922" s="97"/>
      <c r="N922" s="97"/>
      <c r="O922" s="97"/>
      <c r="P922" s="97"/>
      <c r="Q922" s="97"/>
      <c r="R922" s="97"/>
      <c r="S922" s="97"/>
      <c r="T922" s="97"/>
      <c r="U922" s="97"/>
      <c r="V922" s="25"/>
      <c r="W922" s="25"/>
      <c r="X922" s="25"/>
      <c r="Y922" s="25"/>
      <c r="Z922" s="25"/>
      <c r="AA922" s="25"/>
    </row>
    <row r="923" spans="1:27" x14ac:dyDescent="0.35">
      <c r="A923" s="97"/>
      <c r="B923" s="97"/>
      <c r="C923" s="97"/>
      <c r="D923" s="97"/>
      <c r="E923" s="97"/>
      <c r="F923" s="97"/>
      <c r="G923" s="97"/>
      <c r="H923" s="97"/>
      <c r="I923" s="97"/>
      <c r="J923" s="97"/>
      <c r="K923" s="97"/>
      <c r="L923" s="97"/>
      <c r="M923" s="97"/>
      <c r="N923" s="97"/>
      <c r="O923" s="97"/>
      <c r="P923" s="97"/>
      <c r="Q923" s="97"/>
      <c r="R923" s="97"/>
      <c r="S923" s="97"/>
      <c r="T923" s="97"/>
      <c r="U923" s="97"/>
      <c r="V923" s="25"/>
      <c r="W923" s="25"/>
      <c r="X923" s="25"/>
      <c r="Y923" s="25"/>
      <c r="Z923" s="25"/>
      <c r="AA923" s="25"/>
    </row>
    <row r="924" spans="1:27" x14ac:dyDescent="0.35">
      <c r="A924" s="97"/>
      <c r="B924" s="97"/>
      <c r="C924" s="97"/>
      <c r="D924" s="97"/>
      <c r="E924" s="97"/>
      <c r="F924" s="97"/>
      <c r="G924" s="97"/>
      <c r="H924" s="97"/>
      <c r="I924" s="97"/>
      <c r="J924" s="97"/>
      <c r="K924" s="97"/>
      <c r="L924" s="97"/>
      <c r="M924" s="97"/>
      <c r="N924" s="97"/>
      <c r="O924" s="97"/>
      <c r="P924" s="97"/>
      <c r="Q924" s="97"/>
      <c r="R924" s="97"/>
      <c r="S924" s="97"/>
      <c r="T924" s="97"/>
      <c r="U924" s="97"/>
      <c r="V924" s="25"/>
      <c r="W924" s="25"/>
      <c r="X924" s="25"/>
      <c r="Y924" s="25"/>
      <c r="Z924" s="25"/>
      <c r="AA924" s="25"/>
    </row>
    <row r="925" spans="1:27" x14ac:dyDescent="0.35">
      <c r="A925" s="97"/>
      <c r="B925" s="97"/>
      <c r="C925" s="97"/>
      <c r="D925" s="97"/>
      <c r="E925" s="97"/>
      <c r="F925" s="97"/>
      <c r="G925" s="97"/>
      <c r="H925" s="97"/>
      <c r="I925" s="97"/>
      <c r="J925" s="97"/>
      <c r="K925" s="97"/>
      <c r="L925" s="97"/>
      <c r="M925" s="97"/>
      <c r="N925" s="97"/>
      <c r="O925" s="97"/>
      <c r="P925" s="97"/>
      <c r="Q925" s="97"/>
      <c r="R925" s="97"/>
      <c r="S925" s="97"/>
      <c r="T925" s="97"/>
      <c r="U925" s="97"/>
      <c r="V925" s="25"/>
      <c r="W925" s="25"/>
      <c r="X925" s="25"/>
      <c r="Y925" s="25"/>
      <c r="Z925" s="25"/>
      <c r="AA925" s="25"/>
    </row>
    <row r="926" spans="1:27" x14ac:dyDescent="0.35">
      <c r="A926" s="97"/>
      <c r="B926" s="97"/>
      <c r="C926" s="97"/>
      <c r="D926" s="97"/>
      <c r="E926" s="97"/>
      <c r="F926" s="97"/>
      <c r="G926" s="97"/>
      <c r="H926" s="97"/>
      <c r="I926" s="97"/>
      <c r="J926" s="97"/>
      <c r="K926" s="97"/>
      <c r="L926" s="97"/>
      <c r="M926" s="97"/>
      <c r="N926" s="97"/>
      <c r="O926" s="97"/>
      <c r="P926" s="97"/>
      <c r="Q926" s="97"/>
      <c r="R926" s="97"/>
      <c r="S926" s="97"/>
      <c r="T926" s="97"/>
      <c r="U926" s="97"/>
      <c r="V926" s="25"/>
      <c r="W926" s="25"/>
      <c r="X926" s="25"/>
      <c r="Y926" s="25"/>
      <c r="Z926" s="25"/>
      <c r="AA926" s="25"/>
    </row>
    <row r="927" spans="1:27" x14ac:dyDescent="0.35">
      <c r="A927" s="97"/>
      <c r="B927" s="97"/>
      <c r="C927" s="97"/>
      <c r="D927" s="97"/>
      <c r="E927" s="97"/>
      <c r="F927" s="97"/>
      <c r="G927" s="97"/>
      <c r="H927" s="97"/>
      <c r="I927" s="97"/>
      <c r="J927" s="97"/>
      <c r="K927" s="97"/>
      <c r="L927" s="97"/>
      <c r="M927" s="97"/>
      <c r="N927" s="97"/>
      <c r="O927" s="97"/>
      <c r="P927" s="97"/>
      <c r="Q927" s="97"/>
      <c r="R927" s="97"/>
      <c r="S927" s="97"/>
      <c r="T927" s="97"/>
      <c r="U927" s="97"/>
      <c r="V927" s="25"/>
      <c r="W927" s="25"/>
      <c r="X927" s="25"/>
      <c r="Y927" s="25"/>
      <c r="Z927" s="25"/>
      <c r="AA927" s="25"/>
    </row>
    <row r="928" spans="1:27" x14ac:dyDescent="0.35">
      <c r="A928" s="97"/>
      <c r="B928" s="97"/>
      <c r="C928" s="97"/>
      <c r="D928" s="97"/>
      <c r="E928" s="97"/>
      <c r="F928" s="97"/>
      <c r="G928" s="97"/>
      <c r="H928" s="97"/>
      <c r="I928" s="97"/>
      <c r="J928" s="97"/>
      <c r="K928" s="97"/>
      <c r="L928" s="97"/>
      <c r="M928" s="97"/>
      <c r="N928" s="97"/>
      <c r="O928" s="97"/>
      <c r="P928" s="97"/>
      <c r="Q928" s="97"/>
      <c r="R928" s="97"/>
      <c r="S928" s="97"/>
      <c r="T928" s="97"/>
      <c r="U928" s="97"/>
      <c r="V928" s="25"/>
      <c r="W928" s="25"/>
      <c r="X928" s="25"/>
      <c r="Y928" s="25"/>
      <c r="Z928" s="25"/>
      <c r="AA928" s="25"/>
    </row>
    <row r="929" spans="1:27" x14ac:dyDescent="0.35">
      <c r="A929" s="97"/>
      <c r="B929" s="97"/>
      <c r="C929" s="97"/>
      <c r="D929" s="97"/>
      <c r="E929" s="97"/>
      <c r="F929" s="97"/>
      <c r="G929" s="97"/>
      <c r="H929" s="97"/>
      <c r="I929" s="97"/>
      <c r="J929" s="97"/>
      <c r="K929" s="97"/>
      <c r="L929" s="97"/>
      <c r="M929" s="97"/>
      <c r="N929" s="97"/>
      <c r="O929" s="97"/>
      <c r="P929" s="97"/>
      <c r="Q929" s="97"/>
      <c r="R929" s="97"/>
      <c r="S929" s="97"/>
      <c r="T929" s="97"/>
      <c r="U929" s="97"/>
      <c r="V929" s="25"/>
      <c r="W929" s="25"/>
      <c r="X929" s="25"/>
      <c r="Y929" s="25"/>
      <c r="Z929" s="25"/>
      <c r="AA929" s="25"/>
    </row>
    <row r="930" spans="1:27" x14ac:dyDescent="0.35">
      <c r="A930" s="97"/>
      <c r="B930" s="97"/>
      <c r="C930" s="97"/>
      <c r="D930" s="97"/>
      <c r="E930" s="97"/>
      <c r="F930" s="97"/>
      <c r="G930" s="97"/>
      <c r="H930" s="97"/>
      <c r="I930" s="97"/>
      <c r="J930" s="97"/>
      <c r="K930" s="97"/>
      <c r="L930" s="97"/>
      <c r="M930" s="97"/>
      <c r="N930" s="97"/>
      <c r="O930" s="97"/>
      <c r="P930" s="97"/>
      <c r="Q930" s="97"/>
      <c r="R930" s="97"/>
      <c r="S930" s="97"/>
      <c r="T930" s="97"/>
      <c r="U930" s="97"/>
      <c r="V930" s="25"/>
      <c r="W930" s="25"/>
      <c r="X930" s="25"/>
      <c r="Y930" s="25"/>
      <c r="Z930" s="25"/>
      <c r="AA930" s="25"/>
    </row>
    <row r="931" spans="1:27" x14ac:dyDescent="0.35">
      <c r="A931" s="97"/>
      <c r="B931" s="97"/>
      <c r="C931" s="97"/>
      <c r="D931" s="97"/>
      <c r="E931" s="97"/>
      <c r="F931" s="97"/>
      <c r="G931" s="97"/>
      <c r="H931" s="97"/>
      <c r="I931" s="97"/>
      <c r="J931" s="97"/>
      <c r="K931" s="97"/>
      <c r="L931" s="97"/>
      <c r="M931" s="97"/>
      <c r="N931" s="97"/>
      <c r="O931" s="97"/>
      <c r="P931" s="97"/>
      <c r="Q931" s="97"/>
      <c r="R931" s="97"/>
      <c r="S931" s="97"/>
      <c r="T931" s="97"/>
      <c r="U931" s="97"/>
      <c r="V931" s="25"/>
      <c r="W931" s="25"/>
      <c r="X931" s="25"/>
      <c r="Y931" s="25"/>
      <c r="Z931" s="25"/>
      <c r="AA931" s="25"/>
    </row>
    <row r="932" spans="1:27" x14ac:dyDescent="0.35">
      <c r="A932" s="97"/>
      <c r="B932" s="97"/>
      <c r="C932" s="97"/>
      <c r="D932" s="97"/>
      <c r="E932" s="97"/>
      <c r="F932" s="97"/>
      <c r="G932" s="97"/>
      <c r="H932" s="97"/>
      <c r="I932" s="97"/>
      <c r="J932" s="97"/>
      <c r="K932" s="97"/>
      <c r="L932" s="97"/>
      <c r="M932" s="97"/>
      <c r="N932" s="97"/>
      <c r="O932" s="97"/>
      <c r="P932" s="97"/>
      <c r="Q932" s="97"/>
      <c r="R932" s="97"/>
      <c r="S932" s="97"/>
      <c r="T932" s="97"/>
      <c r="U932" s="97"/>
      <c r="V932" s="25"/>
      <c r="W932" s="25"/>
      <c r="X932" s="25"/>
      <c r="Y932" s="25"/>
      <c r="Z932" s="25"/>
      <c r="AA932" s="25"/>
    </row>
    <row r="933" spans="1:27" x14ac:dyDescent="0.35">
      <c r="A933" s="97"/>
      <c r="B933" s="97"/>
      <c r="C933" s="97"/>
      <c r="D933" s="97"/>
      <c r="E933" s="97"/>
      <c r="F933" s="97"/>
      <c r="G933" s="97"/>
      <c r="H933" s="97"/>
      <c r="I933" s="97"/>
      <c r="J933" s="97"/>
      <c r="K933" s="97"/>
      <c r="L933" s="97"/>
      <c r="M933" s="97"/>
      <c r="N933" s="97"/>
      <c r="O933" s="97"/>
      <c r="P933" s="97"/>
      <c r="Q933" s="97"/>
      <c r="R933" s="97"/>
      <c r="S933" s="97"/>
      <c r="T933" s="97"/>
      <c r="U933" s="97"/>
      <c r="V933" s="25"/>
      <c r="W933" s="25"/>
      <c r="X933" s="25"/>
      <c r="Y933" s="25"/>
      <c r="Z933" s="25"/>
      <c r="AA933" s="25"/>
    </row>
    <row r="934" spans="1:27" x14ac:dyDescent="0.35">
      <c r="A934" s="97"/>
      <c r="B934" s="97"/>
      <c r="C934" s="97"/>
      <c r="D934" s="97"/>
      <c r="E934" s="97"/>
      <c r="F934" s="97"/>
      <c r="G934" s="97"/>
      <c r="H934" s="97"/>
      <c r="I934" s="97"/>
      <c r="J934" s="97"/>
      <c r="K934" s="97"/>
      <c r="L934" s="97"/>
      <c r="M934" s="97"/>
      <c r="N934" s="97"/>
      <c r="O934" s="97"/>
      <c r="P934" s="97"/>
      <c r="Q934" s="97"/>
      <c r="R934" s="97"/>
      <c r="S934" s="97"/>
      <c r="T934" s="97"/>
      <c r="U934" s="97"/>
      <c r="V934" s="25"/>
      <c r="W934" s="25"/>
      <c r="X934" s="25"/>
      <c r="Y934" s="25"/>
      <c r="Z934" s="25"/>
      <c r="AA934" s="25"/>
    </row>
    <row r="935" spans="1:27" x14ac:dyDescent="0.35">
      <c r="A935" s="97"/>
      <c r="B935" s="97"/>
      <c r="C935" s="97"/>
      <c r="D935" s="97"/>
      <c r="E935" s="97"/>
      <c r="F935" s="97"/>
      <c r="G935" s="97"/>
      <c r="H935" s="97"/>
      <c r="I935" s="97"/>
      <c r="J935" s="97"/>
      <c r="K935" s="97"/>
      <c r="L935" s="97"/>
      <c r="M935" s="97"/>
      <c r="N935" s="97"/>
      <c r="O935" s="97"/>
      <c r="P935" s="97"/>
      <c r="Q935" s="97"/>
      <c r="R935" s="97"/>
      <c r="S935" s="97"/>
      <c r="T935" s="97"/>
      <c r="U935" s="97"/>
      <c r="V935" s="25"/>
      <c r="W935" s="25"/>
      <c r="X935" s="25"/>
      <c r="Y935" s="25"/>
      <c r="Z935" s="25"/>
      <c r="AA935" s="25"/>
    </row>
    <row r="936" spans="1:27" x14ac:dyDescent="0.35">
      <c r="A936" s="97"/>
      <c r="B936" s="97"/>
      <c r="C936" s="97"/>
      <c r="D936" s="97"/>
      <c r="E936" s="97"/>
      <c r="F936" s="97"/>
      <c r="G936" s="97"/>
      <c r="H936" s="97"/>
      <c r="I936" s="97"/>
      <c r="J936" s="97"/>
      <c r="K936" s="97"/>
      <c r="L936" s="97"/>
      <c r="M936" s="97"/>
      <c r="N936" s="97"/>
      <c r="O936" s="97"/>
      <c r="P936" s="97"/>
      <c r="Q936" s="97"/>
      <c r="R936" s="97"/>
      <c r="S936" s="97"/>
      <c r="T936" s="97"/>
      <c r="U936" s="97"/>
      <c r="V936" s="25"/>
      <c r="W936" s="25"/>
      <c r="X936" s="25"/>
      <c r="Y936" s="25"/>
      <c r="Z936" s="25"/>
      <c r="AA936" s="25"/>
    </row>
    <row r="937" spans="1:27" x14ac:dyDescent="0.35">
      <c r="A937" s="97"/>
      <c r="B937" s="97"/>
      <c r="C937" s="97"/>
      <c r="D937" s="97"/>
      <c r="E937" s="97"/>
      <c r="F937" s="97"/>
      <c r="G937" s="97"/>
      <c r="H937" s="97"/>
      <c r="I937" s="97"/>
      <c r="J937" s="97"/>
      <c r="K937" s="97"/>
      <c r="L937" s="97"/>
      <c r="M937" s="97"/>
      <c r="N937" s="97"/>
      <c r="O937" s="97"/>
      <c r="P937" s="97"/>
      <c r="Q937" s="97"/>
      <c r="R937" s="97"/>
      <c r="S937" s="97"/>
      <c r="T937" s="97"/>
      <c r="U937" s="97"/>
      <c r="V937" s="25"/>
      <c r="W937" s="25"/>
      <c r="X937" s="25"/>
      <c r="Y937" s="25"/>
      <c r="Z937" s="25"/>
      <c r="AA937" s="25"/>
    </row>
    <row r="938" spans="1:27" x14ac:dyDescent="0.35">
      <c r="A938" s="97"/>
      <c r="B938" s="97"/>
      <c r="C938" s="97"/>
      <c r="D938" s="97"/>
      <c r="E938" s="97"/>
      <c r="F938" s="97"/>
      <c r="G938" s="97"/>
      <c r="H938" s="97"/>
      <c r="I938" s="97"/>
      <c r="J938" s="97"/>
      <c r="K938" s="97"/>
      <c r="L938" s="97"/>
      <c r="M938" s="97"/>
      <c r="N938" s="97"/>
      <c r="O938" s="97"/>
      <c r="P938" s="97"/>
      <c r="Q938" s="97"/>
      <c r="R938" s="97"/>
      <c r="S938" s="97"/>
      <c r="T938" s="97"/>
      <c r="U938" s="97"/>
      <c r="V938" s="25"/>
      <c r="W938" s="25"/>
      <c r="X938" s="25"/>
      <c r="Y938" s="25"/>
      <c r="Z938" s="25"/>
      <c r="AA938" s="25"/>
    </row>
    <row r="939" spans="1:27" x14ac:dyDescent="0.35">
      <c r="A939" s="97"/>
      <c r="B939" s="97"/>
      <c r="C939" s="97"/>
      <c r="D939" s="97"/>
      <c r="E939" s="97"/>
      <c r="F939" s="97"/>
      <c r="G939" s="97"/>
      <c r="H939" s="97"/>
      <c r="I939" s="97"/>
      <c r="J939" s="97"/>
      <c r="K939" s="97"/>
      <c r="L939" s="97"/>
      <c r="M939" s="97"/>
      <c r="N939" s="97"/>
      <c r="O939" s="97"/>
      <c r="P939" s="97"/>
      <c r="Q939" s="97"/>
      <c r="R939" s="97"/>
      <c r="S939" s="97"/>
      <c r="T939" s="97"/>
      <c r="U939" s="97"/>
      <c r="V939" s="25"/>
      <c r="W939" s="25"/>
      <c r="X939" s="25"/>
      <c r="Y939" s="25"/>
      <c r="Z939" s="25"/>
      <c r="AA939" s="25"/>
    </row>
    <row r="940" spans="1:27" x14ac:dyDescent="0.35">
      <c r="A940" s="97"/>
      <c r="B940" s="97"/>
      <c r="C940" s="97"/>
      <c r="D940" s="97"/>
      <c r="E940" s="97"/>
      <c r="F940" s="97"/>
      <c r="G940" s="97"/>
      <c r="H940" s="97"/>
      <c r="I940" s="97"/>
      <c r="J940" s="97"/>
      <c r="K940" s="97"/>
      <c r="L940" s="97"/>
      <c r="M940" s="97"/>
      <c r="N940" s="97"/>
      <c r="O940" s="97"/>
      <c r="P940" s="97"/>
      <c r="Q940" s="97"/>
      <c r="R940" s="97"/>
      <c r="S940" s="97"/>
      <c r="T940" s="97"/>
      <c r="U940" s="97"/>
      <c r="V940" s="25"/>
      <c r="W940" s="25"/>
      <c r="X940" s="25"/>
      <c r="Y940" s="25"/>
      <c r="Z940" s="25"/>
      <c r="AA940" s="25"/>
    </row>
    <row r="941" spans="1:27" x14ac:dyDescent="0.35">
      <c r="A941" s="97"/>
      <c r="B941" s="97"/>
      <c r="C941" s="97"/>
      <c r="D941" s="97"/>
      <c r="E941" s="97"/>
      <c r="F941" s="97"/>
      <c r="G941" s="97"/>
      <c r="H941" s="97"/>
      <c r="I941" s="97"/>
      <c r="J941" s="97"/>
      <c r="K941" s="97"/>
      <c r="L941" s="97"/>
      <c r="M941" s="97"/>
      <c r="N941" s="97"/>
      <c r="O941" s="97"/>
      <c r="P941" s="97"/>
      <c r="Q941" s="97"/>
      <c r="R941" s="97"/>
      <c r="S941" s="97"/>
      <c r="T941" s="97"/>
      <c r="U941" s="97"/>
      <c r="V941" s="25"/>
      <c r="W941" s="25"/>
      <c r="X941" s="25"/>
      <c r="Y941" s="25"/>
      <c r="Z941" s="25"/>
      <c r="AA941" s="25"/>
    </row>
    <row r="942" spans="1:27" x14ac:dyDescent="0.35">
      <c r="A942" s="97"/>
      <c r="B942" s="97"/>
      <c r="C942" s="97"/>
      <c r="D942" s="97"/>
      <c r="E942" s="97"/>
      <c r="F942" s="97"/>
      <c r="G942" s="97"/>
      <c r="H942" s="97"/>
      <c r="I942" s="97"/>
      <c r="J942" s="97"/>
      <c r="K942" s="97"/>
      <c r="L942" s="97"/>
      <c r="M942" s="97"/>
      <c r="N942" s="97"/>
      <c r="O942" s="97"/>
      <c r="P942" s="97"/>
      <c r="Q942" s="97"/>
      <c r="R942" s="97"/>
      <c r="S942" s="97"/>
      <c r="T942" s="97"/>
      <c r="U942" s="97"/>
      <c r="V942" s="25"/>
      <c r="W942" s="25"/>
      <c r="X942" s="25"/>
      <c r="Y942" s="25"/>
      <c r="Z942" s="25"/>
      <c r="AA942" s="25"/>
    </row>
    <row r="943" spans="1:27" x14ac:dyDescent="0.35">
      <c r="A943" s="97"/>
      <c r="B943" s="97"/>
      <c r="C943" s="97"/>
      <c r="D943" s="97"/>
      <c r="E943" s="97"/>
      <c r="F943" s="97"/>
      <c r="G943" s="97"/>
      <c r="H943" s="97"/>
      <c r="I943" s="97"/>
      <c r="J943" s="97"/>
      <c r="K943" s="97"/>
      <c r="L943" s="97"/>
      <c r="M943" s="97"/>
      <c r="N943" s="97"/>
      <c r="O943" s="97"/>
      <c r="P943" s="97"/>
      <c r="Q943" s="97"/>
      <c r="R943" s="97"/>
      <c r="S943" s="97"/>
      <c r="T943" s="97"/>
      <c r="U943" s="97"/>
      <c r="V943" s="25"/>
      <c r="W943" s="25"/>
      <c r="X943" s="25"/>
      <c r="Y943" s="25"/>
      <c r="Z943" s="25"/>
      <c r="AA943" s="25"/>
    </row>
    <row r="944" spans="1:27" x14ac:dyDescent="0.35">
      <c r="A944" s="97"/>
      <c r="B944" s="97"/>
      <c r="C944" s="97"/>
      <c r="D944" s="97"/>
      <c r="E944" s="97"/>
      <c r="F944" s="97"/>
      <c r="G944" s="97"/>
      <c r="H944" s="97"/>
      <c r="I944" s="97"/>
      <c r="J944" s="97"/>
      <c r="K944" s="97"/>
      <c r="L944" s="97"/>
      <c r="M944" s="97"/>
      <c r="N944" s="97"/>
      <c r="O944" s="97"/>
      <c r="P944" s="97"/>
      <c r="Q944" s="97"/>
      <c r="R944" s="97"/>
      <c r="S944" s="97"/>
      <c r="T944" s="97"/>
      <c r="U944" s="97"/>
      <c r="V944" s="25"/>
      <c r="W944" s="25"/>
      <c r="X944" s="25"/>
      <c r="Y944" s="25"/>
      <c r="Z944" s="25"/>
      <c r="AA944" s="25"/>
    </row>
    <row r="945" spans="1:27" x14ac:dyDescent="0.35">
      <c r="A945" s="97"/>
      <c r="B945" s="97"/>
      <c r="C945" s="97"/>
      <c r="D945" s="97"/>
      <c r="E945" s="97"/>
      <c r="F945" s="97"/>
      <c r="G945" s="97"/>
      <c r="H945" s="97"/>
      <c r="I945" s="97"/>
      <c r="J945" s="97"/>
      <c r="K945" s="97"/>
      <c r="L945" s="97"/>
      <c r="M945" s="97"/>
      <c r="N945" s="97"/>
      <c r="O945" s="97"/>
      <c r="P945" s="97"/>
      <c r="Q945" s="97"/>
      <c r="R945" s="97"/>
      <c r="S945" s="97"/>
      <c r="T945" s="97"/>
      <c r="U945" s="97"/>
      <c r="V945" s="25"/>
      <c r="W945" s="25"/>
      <c r="X945" s="25"/>
      <c r="Y945" s="25"/>
      <c r="Z945" s="25"/>
      <c r="AA945" s="25"/>
    </row>
    <row r="946" spans="1:27" x14ac:dyDescent="0.35">
      <c r="A946" s="97"/>
      <c r="B946" s="97"/>
      <c r="C946" s="97"/>
      <c r="D946" s="97"/>
      <c r="E946" s="97"/>
      <c r="F946" s="97"/>
      <c r="G946" s="97"/>
      <c r="H946" s="97"/>
      <c r="I946" s="97"/>
      <c r="J946" s="97"/>
      <c r="K946" s="97"/>
      <c r="L946" s="97"/>
      <c r="M946" s="97"/>
      <c r="N946" s="97"/>
      <c r="O946" s="97"/>
      <c r="P946" s="97"/>
      <c r="Q946" s="97"/>
      <c r="R946" s="97"/>
      <c r="S946" s="97"/>
      <c r="T946" s="97"/>
      <c r="U946" s="97"/>
      <c r="V946" s="25"/>
      <c r="W946" s="25"/>
      <c r="X946" s="25"/>
      <c r="Y946" s="25"/>
      <c r="Z946" s="25"/>
      <c r="AA946" s="25"/>
    </row>
    <row r="947" spans="1:27" x14ac:dyDescent="0.35">
      <c r="A947" s="97"/>
      <c r="B947" s="97"/>
      <c r="C947" s="97"/>
      <c r="D947" s="97"/>
      <c r="E947" s="97"/>
      <c r="F947" s="97"/>
      <c r="G947" s="97"/>
      <c r="H947" s="97"/>
      <c r="I947" s="97"/>
      <c r="J947" s="97"/>
      <c r="K947" s="97"/>
      <c r="L947" s="97"/>
      <c r="M947" s="97"/>
      <c r="N947" s="97"/>
      <c r="O947" s="97"/>
      <c r="P947" s="97"/>
      <c r="Q947" s="97"/>
      <c r="R947" s="97"/>
      <c r="S947" s="97"/>
      <c r="T947" s="97"/>
      <c r="U947" s="97"/>
      <c r="V947" s="25"/>
      <c r="W947" s="25"/>
      <c r="X947" s="25"/>
      <c r="Y947" s="25"/>
      <c r="Z947" s="25"/>
      <c r="AA947" s="25"/>
    </row>
    <row r="948" spans="1:27" x14ac:dyDescent="0.35">
      <c r="A948" s="97"/>
      <c r="B948" s="97"/>
      <c r="C948" s="97"/>
      <c r="D948" s="97"/>
      <c r="E948" s="97"/>
      <c r="F948" s="97"/>
      <c r="G948" s="97"/>
      <c r="H948" s="97"/>
      <c r="I948" s="97"/>
      <c r="J948" s="97"/>
      <c r="K948" s="97"/>
      <c r="L948" s="97"/>
      <c r="M948" s="97"/>
      <c r="N948" s="97"/>
      <c r="O948" s="97"/>
      <c r="P948" s="97"/>
      <c r="Q948" s="97"/>
      <c r="R948" s="97"/>
      <c r="S948" s="97"/>
      <c r="T948" s="97"/>
      <c r="U948" s="97"/>
      <c r="V948" s="25"/>
      <c r="W948" s="25"/>
      <c r="X948" s="25"/>
      <c r="Y948" s="25"/>
      <c r="Z948" s="25"/>
      <c r="AA948" s="25"/>
    </row>
    <row r="949" spans="1:27" x14ac:dyDescent="0.35">
      <c r="A949" s="97"/>
      <c r="B949" s="97"/>
      <c r="C949" s="97"/>
      <c r="D949" s="97"/>
      <c r="E949" s="97"/>
      <c r="F949" s="97"/>
      <c r="G949" s="97"/>
      <c r="H949" s="97"/>
      <c r="I949" s="97"/>
      <c r="J949" s="97"/>
      <c r="K949" s="97"/>
      <c r="L949" s="97"/>
      <c r="M949" s="97"/>
      <c r="N949" s="97"/>
      <c r="O949" s="97"/>
      <c r="P949" s="97"/>
      <c r="Q949" s="97"/>
      <c r="R949" s="97"/>
      <c r="S949" s="97"/>
      <c r="T949" s="97"/>
      <c r="U949" s="97"/>
      <c r="V949" s="25"/>
      <c r="W949" s="25"/>
      <c r="X949" s="25"/>
      <c r="Y949" s="25"/>
      <c r="Z949" s="25"/>
      <c r="AA949" s="25"/>
    </row>
    <row r="950" spans="1:27" x14ac:dyDescent="0.35">
      <c r="A950" s="97"/>
      <c r="B950" s="97"/>
      <c r="C950" s="97"/>
      <c r="D950" s="97"/>
      <c r="E950" s="97"/>
      <c r="F950" s="97"/>
      <c r="G950" s="97"/>
      <c r="H950" s="97"/>
      <c r="I950" s="97"/>
      <c r="J950" s="97"/>
      <c r="K950" s="97"/>
      <c r="L950" s="97"/>
      <c r="M950" s="97"/>
      <c r="N950" s="97"/>
      <c r="O950" s="97"/>
      <c r="P950" s="97"/>
      <c r="Q950" s="97"/>
      <c r="R950" s="97"/>
      <c r="S950" s="97"/>
      <c r="T950" s="97"/>
      <c r="U950" s="97"/>
      <c r="V950" s="25"/>
      <c r="W950" s="25"/>
      <c r="X950" s="25"/>
      <c r="Y950" s="25"/>
      <c r="Z950" s="25"/>
      <c r="AA950" s="25"/>
    </row>
    <row r="951" spans="1:27" x14ac:dyDescent="0.35">
      <c r="A951" s="97"/>
      <c r="B951" s="97"/>
      <c r="C951" s="97"/>
      <c r="D951" s="97"/>
      <c r="E951" s="97"/>
      <c r="F951" s="97"/>
      <c r="G951" s="97"/>
      <c r="H951" s="97"/>
      <c r="I951" s="97"/>
      <c r="J951" s="97"/>
      <c r="K951" s="97"/>
      <c r="L951" s="97"/>
      <c r="M951" s="97"/>
      <c r="N951" s="97"/>
      <c r="O951" s="97"/>
      <c r="P951" s="97"/>
      <c r="Q951" s="97"/>
      <c r="R951" s="97"/>
      <c r="S951" s="97"/>
      <c r="T951" s="97"/>
      <c r="U951" s="97"/>
      <c r="V951" s="25"/>
      <c r="W951" s="25"/>
      <c r="X951" s="25"/>
      <c r="Y951" s="25"/>
      <c r="Z951" s="25"/>
      <c r="AA951" s="25"/>
    </row>
    <row r="952" spans="1:27" x14ac:dyDescent="0.35">
      <c r="A952" s="97"/>
      <c r="B952" s="97"/>
      <c r="C952" s="97"/>
      <c r="D952" s="97"/>
      <c r="E952" s="97"/>
      <c r="F952" s="97"/>
      <c r="G952" s="97"/>
      <c r="H952" s="97"/>
      <c r="I952" s="97"/>
      <c r="J952" s="97"/>
      <c r="K952" s="97"/>
      <c r="L952" s="97"/>
      <c r="M952" s="97"/>
      <c r="N952" s="97"/>
      <c r="O952" s="97"/>
      <c r="P952" s="97"/>
      <c r="Q952" s="97"/>
      <c r="R952" s="97"/>
      <c r="S952" s="97"/>
      <c r="T952" s="97"/>
      <c r="U952" s="97"/>
      <c r="V952" s="25"/>
      <c r="W952" s="25"/>
      <c r="X952" s="25"/>
      <c r="Y952" s="25"/>
      <c r="Z952" s="25"/>
      <c r="AA952" s="25"/>
    </row>
    <row r="953" spans="1:27" x14ac:dyDescent="0.35">
      <c r="A953" s="97"/>
      <c r="B953" s="97"/>
      <c r="C953" s="97"/>
      <c r="D953" s="97"/>
      <c r="E953" s="97"/>
      <c r="F953" s="97"/>
      <c r="G953" s="97"/>
      <c r="H953" s="97"/>
      <c r="I953" s="97"/>
      <c r="J953" s="97"/>
      <c r="K953" s="97"/>
      <c r="L953" s="97"/>
      <c r="M953" s="97"/>
      <c r="N953" s="97"/>
      <c r="O953" s="97"/>
      <c r="P953" s="97"/>
      <c r="Q953" s="97"/>
      <c r="R953" s="97"/>
      <c r="S953" s="97"/>
      <c r="T953" s="97"/>
      <c r="U953" s="97"/>
      <c r="V953" s="25"/>
      <c r="W953" s="25"/>
      <c r="X953" s="25"/>
      <c r="Y953" s="25"/>
      <c r="Z953" s="25"/>
      <c r="AA953" s="25"/>
    </row>
    <row r="954" spans="1:27" x14ac:dyDescent="0.35">
      <c r="A954" s="97"/>
      <c r="B954" s="97"/>
      <c r="C954" s="97"/>
      <c r="D954" s="97"/>
      <c r="E954" s="97"/>
      <c r="F954" s="97"/>
      <c r="G954" s="97"/>
      <c r="H954" s="97"/>
      <c r="I954" s="97"/>
      <c r="J954" s="97"/>
      <c r="K954" s="97"/>
      <c r="L954" s="97"/>
      <c r="M954" s="97"/>
      <c r="N954" s="97"/>
      <c r="O954" s="97"/>
      <c r="P954" s="97"/>
      <c r="Q954" s="97"/>
      <c r="R954" s="97"/>
      <c r="S954" s="97"/>
      <c r="T954" s="97"/>
      <c r="U954" s="97"/>
      <c r="V954" s="25"/>
      <c r="W954" s="25"/>
      <c r="X954" s="25"/>
      <c r="Y954" s="25"/>
      <c r="Z954" s="25"/>
      <c r="AA954" s="25"/>
    </row>
    <row r="955" spans="1:27" x14ac:dyDescent="0.35">
      <c r="A955" s="97"/>
      <c r="B955" s="97"/>
      <c r="C955" s="97"/>
      <c r="D955" s="97"/>
      <c r="E955" s="97"/>
      <c r="F955" s="97"/>
      <c r="G955" s="97"/>
      <c r="H955" s="97"/>
      <c r="I955" s="97"/>
      <c r="J955" s="97"/>
      <c r="K955" s="97"/>
      <c r="L955" s="97"/>
      <c r="M955" s="97"/>
      <c r="N955" s="97"/>
      <c r="O955" s="97"/>
      <c r="P955" s="97"/>
      <c r="Q955" s="97"/>
      <c r="R955" s="97"/>
      <c r="S955" s="97"/>
      <c r="T955" s="97"/>
      <c r="U955" s="97"/>
      <c r="V955" s="25"/>
      <c r="W955" s="25"/>
      <c r="X955" s="25"/>
      <c r="Y955" s="25"/>
      <c r="Z955" s="25"/>
      <c r="AA955" s="25"/>
    </row>
    <row r="956" spans="1:27" x14ac:dyDescent="0.35">
      <c r="A956" s="97"/>
      <c r="B956" s="97"/>
      <c r="C956" s="97"/>
      <c r="D956" s="97"/>
      <c r="E956" s="97"/>
      <c r="F956" s="97"/>
      <c r="G956" s="97"/>
      <c r="H956" s="97"/>
      <c r="I956" s="97"/>
      <c r="J956" s="97"/>
      <c r="K956" s="97"/>
      <c r="L956" s="97"/>
      <c r="M956" s="97"/>
      <c r="N956" s="97"/>
      <c r="O956" s="97"/>
      <c r="P956" s="97"/>
      <c r="Q956" s="97"/>
      <c r="R956" s="97"/>
      <c r="S956" s="97"/>
      <c r="T956" s="97"/>
      <c r="U956" s="97"/>
      <c r="V956" s="25"/>
      <c r="W956" s="25"/>
      <c r="X956" s="25"/>
      <c r="Y956" s="25"/>
      <c r="Z956" s="25"/>
      <c r="AA956" s="25"/>
    </row>
    <row r="957" spans="1:27" x14ac:dyDescent="0.35">
      <c r="A957" s="97"/>
      <c r="B957" s="97"/>
      <c r="C957" s="97"/>
      <c r="D957" s="97"/>
      <c r="E957" s="97"/>
      <c r="F957" s="97"/>
      <c r="G957" s="97"/>
      <c r="H957" s="97"/>
      <c r="I957" s="97"/>
      <c r="J957" s="97"/>
      <c r="K957" s="97"/>
      <c r="L957" s="97"/>
      <c r="M957" s="97"/>
      <c r="N957" s="97"/>
      <c r="O957" s="97"/>
      <c r="P957" s="97"/>
      <c r="Q957" s="97"/>
      <c r="R957" s="97"/>
      <c r="S957" s="97"/>
      <c r="T957" s="97"/>
      <c r="U957" s="97"/>
      <c r="V957" s="25"/>
      <c r="W957" s="25"/>
      <c r="X957" s="25"/>
      <c r="Y957" s="25"/>
      <c r="Z957" s="25"/>
      <c r="AA957" s="25"/>
    </row>
    <row r="958" spans="1:27" x14ac:dyDescent="0.35">
      <c r="A958" s="97"/>
      <c r="B958" s="97"/>
      <c r="C958" s="97"/>
      <c r="D958" s="97"/>
      <c r="E958" s="97"/>
      <c r="F958" s="97"/>
      <c r="G958" s="97"/>
      <c r="H958" s="97"/>
      <c r="I958" s="97"/>
      <c r="J958" s="97"/>
      <c r="K958" s="97"/>
      <c r="L958" s="97"/>
      <c r="M958" s="97"/>
      <c r="N958" s="97"/>
      <c r="O958" s="97"/>
      <c r="P958" s="97"/>
      <c r="Q958" s="97"/>
      <c r="R958" s="97"/>
      <c r="S958" s="97"/>
      <c r="T958" s="97"/>
      <c r="U958" s="97"/>
      <c r="V958" s="25"/>
      <c r="W958" s="25"/>
      <c r="X958" s="25"/>
      <c r="Y958" s="25"/>
      <c r="Z958" s="25"/>
      <c r="AA958" s="25"/>
    </row>
    <row r="959" spans="1:27" x14ac:dyDescent="0.35">
      <c r="A959" s="97"/>
      <c r="B959" s="97"/>
      <c r="C959" s="97"/>
      <c r="D959" s="97"/>
      <c r="E959" s="97"/>
      <c r="F959" s="97"/>
      <c r="G959" s="97"/>
      <c r="H959" s="97"/>
      <c r="I959" s="97"/>
      <c r="J959" s="97"/>
      <c r="K959" s="97"/>
      <c r="L959" s="97"/>
      <c r="M959" s="97"/>
      <c r="N959" s="97"/>
      <c r="O959" s="97"/>
      <c r="P959" s="97"/>
      <c r="Q959" s="97"/>
      <c r="R959" s="97"/>
      <c r="S959" s="97"/>
      <c r="T959" s="97"/>
      <c r="U959" s="97"/>
      <c r="V959" s="25"/>
      <c r="W959" s="25"/>
      <c r="X959" s="25"/>
      <c r="Y959" s="25"/>
      <c r="Z959" s="25"/>
      <c r="AA959" s="25"/>
    </row>
    <row r="960" spans="1:27" x14ac:dyDescent="0.35">
      <c r="A960" s="97"/>
      <c r="B960" s="97"/>
      <c r="C960" s="97"/>
      <c r="D960" s="97"/>
      <c r="E960" s="97"/>
      <c r="F960" s="97"/>
      <c r="G960" s="97"/>
      <c r="H960" s="97"/>
      <c r="I960" s="97"/>
      <c r="J960" s="97"/>
      <c r="K960" s="97"/>
      <c r="L960" s="97"/>
      <c r="M960" s="97"/>
      <c r="N960" s="97"/>
      <c r="O960" s="97"/>
      <c r="P960" s="97"/>
      <c r="Q960" s="97"/>
      <c r="R960" s="97"/>
      <c r="S960" s="97"/>
      <c r="T960" s="97"/>
      <c r="U960" s="97"/>
      <c r="V960" s="25"/>
      <c r="W960" s="25"/>
      <c r="X960" s="25"/>
      <c r="Y960" s="25"/>
      <c r="Z960" s="25"/>
      <c r="AA960" s="25"/>
    </row>
    <row r="961" spans="1:27" x14ac:dyDescent="0.35">
      <c r="A961" s="97"/>
      <c r="B961" s="97"/>
      <c r="C961" s="97"/>
      <c r="D961" s="97"/>
      <c r="E961" s="97"/>
      <c r="F961" s="97"/>
      <c r="G961" s="97"/>
      <c r="H961" s="97"/>
      <c r="I961" s="97"/>
      <c r="J961" s="97"/>
      <c r="K961" s="97"/>
      <c r="L961" s="97"/>
      <c r="M961" s="97"/>
      <c r="N961" s="97"/>
      <c r="O961" s="97"/>
      <c r="P961" s="97"/>
      <c r="Q961" s="97"/>
      <c r="R961" s="97"/>
      <c r="S961" s="97"/>
      <c r="T961" s="97"/>
      <c r="U961" s="97"/>
      <c r="V961" s="25"/>
      <c r="W961" s="25"/>
      <c r="X961" s="25"/>
      <c r="Y961" s="25"/>
      <c r="Z961" s="25"/>
      <c r="AA961" s="25"/>
    </row>
    <row r="962" spans="1:27" x14ac:dyDescent="0.35">
      <c r="A962" s="97"/>
      <c r="B962" s="97"/>
      <c r="C962" s="97"/>
      <c r="D962" s="97"/>
      <c r="E962" s="97"/>
      <c r="F962" s="97"/>
      <c r="G962" s="97"/>
      <c r="H962" s="97"/>
      <c r="I962" s="97"/>
      <c r="J962" s="97"/>
      <c r="K962" s="97"/>
      <c r="L962" s="97"/>
      <c r="M962" s="97"/>
      <c r="N962" s="97"/>
      <c r="O962" s="97"/>
      <c r="P962" s="97"/>
      <c r="Q962" s="97"/>
      <c r="R962" s="97"/>
      <c r="S962" s="97"/>
      <c r="T962" s="97"/>
      <c r="U962" s="97"/>
      <c r="V962" s="25"/>
      <c r="W962" s="25"/>
      <c r="X962" s="25"/>
      <c r="Y962" s="25"/>
      <c r="Z962" s="25"/>
      <c r="AA962" s="25"/>
    </row>
    <row r="963" spans="1:27" x14ac:dyDescent="0.35">
      <c r="A963" s="97"/>
      <c r="B963" s="97"/>
      <c r="C963" s="97"/>
      <c r="D963" s="97"/>
      <c r="E963" s="97"/>
      <c r="F963" s="97"/>
      <c r="G963" s="97"/>
      <c r="H963" s="97"/>
      <c r="I963" s="97"/>
      <c r="J963" s="97"/>
      <c r="K963" s="97"/>
      <c r="L963" s="97"/>
      <c r="M963" s="97"/>
      <c r="N963" s="97"/>
      <c r="O963" s="97"/>
      <c r="P963" s="97"/>
      <c r="Q963" s="97"/>
      <c r="R963" s="97"/>
      <c r="S963" s="97"/>
      <c r="T963" s="97"/>
      <c r="U963" s="97"/>
      <c r="V963" s="25"/>
      <c r="W963" s="25"/>
      <c r="X963" s="25"/>
      <c r="Y963" s="25"/>
      <c r="Z963" s="25"/>
      <c r="AA963" s="25"/>
    </row>
    <row r="964" spans="1:27" x14ac:dyDescent="0.35">
      <c r="A964" s="97"/>
      <c r="B964" s="97"/>
      <c r="C964" s="97"/>
      <c r="D964" s="97"/>
      <c r="E964" s="97"/>
      <c r="F964" s="97"/>
      <c r="G964" s="97"/>
      <c r="H964" s="97"/>
      <c r="I964" s="97"/>
      <c r="J964" s="97"/>
      <c r="K964" s="97"/>
      <c r="L964" s="97"/>
      <c r="M964" s="97"/>
      <c r="N964" s="97"/>
      <c r="O964" s="97"/>
      <c r="P964" s="97"/>
      <c r="Q964" s="97"/>
      <c r="R964" s="97"/>
      <c r="S964" s="97"/>
      <c r="T964" s="97"/>
      <c r="U964" s="97"/>
      <c r="V964" s="25"/>
      <c r="W964" s="25"/>
      <c r="X964" s="25"/>
      <c r="Y964" s="25"/>
      <c r="Z964" s="25"/>
      <c r="AA964" s="25"/>
    </row>
    <row r="965" spans="1:27" x14ac:dyDescent="0.35">
      <c r="A965" s="97"/>
      <c r="B965" s="97"/>
      <c r="C965" s="97"/>
      <c r="D965" s="97"/>
      <c r="E965" s="97"/>
      <c r="F965" s="97"/>
      <c r="G965" s="97"/>
      <c r="H965" s="97"/>
      <c r="I965" s="97"/>
      <c r="J965" s="97"/>
      <c r="K965" s="97"/>
      <c r="L965" s="97"/>
      <c r="M965" s="97"/>
      <c r="N965" s="97"/>
      <c r="O965" s="97"/>
      <c r="P965" s="97"/>
      <c r="Q965" s="97"/>
      <c r="R965" s="97"/>
      <c r="S965" s="97"/>
      <c r="T965" s="97"/>
      <c r="U965" s="97"/>
      <c r="V965" s="25"/>
      <c r="W965" s="25"/>
      <c r="X965" s="25"/>
      <c r="Y965" s="25"/>
      <c r="Z965" s="25"/>
      <c r="AA965" s="25"/>
    </row>
    <row r="966" spans="1:27" x14ac:dyDescent="0.35">
      <c r="A966" s="97"/>
      <c r="B966" s="97"/>
      <c r="C966" s="97"/>
      <c r="D966" s="97"/>
      <c r="E966" s="97"/>
      <c r="F966" s="97"/>
      <c r="G966" s="97"/>
      <c r="H966" s="97"/>
      <c r="I966" s="97"/>
      <c r="J966" s="97"/>
      <c r="K966" s="97"/>
      <c r="L966" s="97"/>
      <c r="M966" s="97"/>
      <c r="N966" s="97"/>
      <c r="O966" s="97"/>
      <c r="P966" s="97"/>
      <c r="Q966" s="97"/>
      <c r="R966" s="97"/>
      <c r="S966" s="97"/>
      <c r="T966" s="97"/>
      <c r="U966" s="97"/>
      <c r="V966" s="25"/>
      <c r="W966" s="25"/>
      <c r="X966" s="25"/>
      <c r="Y966" s="25"/>
      <c r="Z966" s="25"/>
      <c r="AA966" s="25"/>
    </row>
    <row r="967" spans="1:27" x14ac:dyDescent="0.35">
      <c r="A967" s="97"/>
      <c r="B967" s="97"/>
      <c r="C967" s="97"/>
      <c r="D967" s="97"/>
      <c r="E967" s="97"/>
      <c r="F967" s="97"/>
      <c r="G967" s="97"/>
      <c r="H967" s="97"/>
      <c r="I967" s="97"/>
      <c r="J967" s="97"/>
      <c r="K967" s="97"/>
      <c r="L967" s="97"/>
      <c r="M967" s="97"/>
      <c r="N967" s="97"/>
      <c r="O967" s="97"/>
      <c r="P967" s="97"/>
      <c r="Q967" s="97"/>
      <c r="R967" s="97"/>
      <c r="S967" s="97"/>
      <c r="T967" s="97"/>
      <c r="U967" s="97"/>
      <c r="V967" s="25"/>
      <c r="W967" s="25"/>
      <c r="X967" s="25"/>
      <c r="Y967" s="25"/>
      <c r="Z967" s="25"/>
      <c r="AA967" s="25"/>
    </row>
    <row r="968" spans="1:27" x14ac:dyDescent="0.35">
      <c r="A968" s="97"/>
      <c r="B968" s="97"/>
      <c r="C968" s="97"/>
      <c r="D968" s="97"/>
      <c r="E968" s="97"/>
      <c r="F968" s="97"/>
      <c r="G968" s="97"/>
      <c r="H968" s="97"/>
      <c r="I968" s="97"/>
      <c r="J968" s="97"/>
      <c r="K968" s="97"/>
      <c r="L968" s="97"/>
      <c r="M968" s="97"/>
      <c r="N968" s="97"/>
      <c r="O968" s="97"/>
      <c r="P968" s="97"/>
      <c r="Q968" s="97"/>
      <c r="R968" s="97"/>
      <c r="S968" s="97"/>
      <c r="T968" s="97"/>
      <c r="U968" s="97"/>
      <c r="V968" s="25"/>
      <c r="W968" s="25"/>
      <c r="X968" s="25"/>
      <c r="Y968" s="25"/>
      <c r="Z968" s="25"/>
      <c r="AA968" s="25"/>
    </row>
    <row r="969" spans="1:27" x14ac:dyDescent="0.35">
      <c r="A969" s="97"/>
      <c r="B969" s="97"/>
      <c r="C969" s="97"/>
      <c r="D969" s="97"/>
      <c r="E969" s="97"/>
      <c r="F969" s="97"/>
      <c r="G969" s="97"/>
      <c r="H969" s="97"/>
      <c r="I969" s="97"/>
      <c r="J969" s="97"/>
      <c r="K969" s="97"/>
      <c r="L969" s="97"/>
      <c r="M969" s="97"/>
      <c r="N969" s="97"/>
      <c r="O969" s="97"/>
      <c r="P969" s="97"/>
      <c r="Q969" s="97"/>
      <c r="R969" s="97"/>
      <c r="S969" s="97"/>
      <c r="T969" s="97"/>
      <c r="U969" s="97"/>
      <c r="V969" s="25"/>
      <c r="W969" s="25"/>
      <c r="X969" s="25"/>
      <c r="Y969" s="25"/>
      <c r="Z969" s="25"/>
      <c r="AA969" s="25"/>
    </row>
    <row r="970" spans="1:27" x14ac:dyDescent="0.35">
      <c r="A970" s="97"/>
      <c r="B970" s="97"/>
      <c r="C970" s="97"/>
      <c r="D970" s="97"/>
      <c r="E970" s="97"/>
      <c r="F970" s="97"/>
      <c r="G970" s="97"/>
      <c r="H970" s="97"/>
      <c r="I970" s="97"/>
      <c r="J970" s="97"/>
      <c r="K970" s="97"/>
      <c r="L970" s="97"/>
      <c r="M970" s="97"/>
      <c r="N970" s="97"/>
      <c r="O970" s="97"/>
      <c r="P970" s="97"/>
      <c r="Q970" s="97"/>
      <c r="R970" s="97"/>
      <c r="S970" s="97"/>
      <c r="T970" s="97"/>
      <c r="U970" s="97"/>
      <c r="V970" s="25"/>
      <c r="W970" s="25"/>
      <c r="X970" s="25"/>
      <c r="Y970" s="25"/>
      <c r="Z970" s="25"/>
      <c r="AA970" s="25"/>
    </row>
    <row r="971" spans="1:27" x14ac:dyDescent="0.35">
      <c r="A971" s="97"/>
      <c r="B971" s="97"/>
      <c r="C971" s="97"/>
      <c r="D971" s="97"/>
      <c r="E971" s="97"/>
      <c r="F971" s="97"/>
      <c r="G971" s="97"/>
      <c r="H971" s="97"/>
      <c r="I971" s="97"/>
      <c r="J971" s="97"/>
      <c r="K971" s="97"/>
      <c r="L971" s="97"/>
      <c r="M971" s="97"/>
      <c r="N971" s="97"/>
      <c r="O971" s="97"/>
      <c r="P971" s="97"/>
      <c r="Q971" s="97"/>
      <c r="R971" s="97"/>
      <c r="S971" s="97"/>
      <c r="T971" s="97"/>
      <c r="U971" s="97"/>
      <c r="V971" s="25"/>
      <c r="W971" s="25"/>
      <c r="X971" s="25"/>
      <c r="Y971" s="25"/>
      <c r="Z971" s="25"/>
      <c r="AA971" s="25"/>
    </row>
    <row r="972" spans="1:27" x14ac:dyDescent="0.35">
      <c r="A972" s="97"/>
      <c r="B972" s="97"/>
      <c r="C972" s="97"/>
      <c r="D972" s="97"/>
      <c r="E972" s="97"/>
      <c r="F972" s="97"/>
      <c r="G972" s="97"/>
      <c r="H972" s="97"/>
      <c r="I972" s="97"/>
      <c r="J972" s="97"/>
      <c r="K972" s="97"/>
      <c r="L972" s="97"/>
      <c r="M972" s="97"/>
      <c r="N972" s="97"/>
      <c r="O972" s="97"/>
      <c r="P972" s="97"/>
      <c r="Q972" s="97"/>
      <c r="R972" s="97"/>
      <c r="S972" s="97"/>
      <c r="T972" s="97"/>
      <c r="U972" s="97"/>
      <c r="V972" s="25"/>
      <c r="W972" s="25"/>
      <c r="X972" s="25"/>
      <c r="Y972" s="25"/>
      <c r="Z972" s="25"/>
      <c r="AA972" s="25"/>
    </row>
    <row r="973" spans="1:27" x14ac:dyDescent="0.35">
      <c r="A973" s="97"/>
      <c r="B973" s="97"/>
      <c r="C973" s="97"/>
      <c r="D973" s="97"/>
      <c r="E973" s="97"/>
      <c r="F973" s="97"/>
      <c r="G973" s="97"/>
      <c r="H973" s="97"/>
      <c r="I973" s="97"/>
      <c r="J973" s="97"/>
      <c r="K973" s="97"/>
      <c r="L973" s="97"/>
      <c r="M973" s="97"/>
      <c r="N973" s="97"/>
      <c r="O973" s="97"/>
      <c r="P973" s="97"/>
      <c r="Q973" s="97"/>
      <c r="R973" s="97"/>
      <c r="S973" s="97"/>
      <c r="T973" s="97"/>
      <c r="U973" s="97"/>
      <c r="V973" s="25"/>
      <c r="W973" s="25"/>
      <c r="X973" s="25"/>
      <c r="Y973" s="25"/>
      <c r="Z973" s="25"/>
      <c r="AA973" s="25"/>
    </row>
    <row r="974" spans="1:27" x14ac:dyDescent="0.35">
      <c r="A974" s="97"/>
      <c r="B974" s="97"/>
      <c r="C974" s="97"/>
      <c r="D974" s="97"/>
      <c r="E974" s="97"/>
      <c r="F974" s="97"/>
      <c r="G974" s="97"/>
      <c r="H974" s="97"/>
      <c r="I974" s="97"/>
      <c r="J974" s="97"/>
      <c r="K974" s="97"/>
      <c r="L974" s="97"/>
      <c r="M974" s="97"/>
      <c r="N974" s="97"/>
      <c r="O974" s="97"/>
      <c r="P974" s="97"/>
      <c r="Q974" s="97"/>
      <c r="R974" s="97"/>
      <c r="S974" s="97"/>
      <c r="T974" s="97"/>
      <c r="U974" s="97"/>
      <c r="V974" s="25"/>
      <c r="W974" s="25"/>
      <c r="X974" s="25"/>
      <c r="Y974" s="25"/>
      <c r="Z974" s="25"/>
      <c r="AA974" s="25"/>
    </row>
    <row r="975" spans="1:27" x14ac:dyDescent="0.35">
      <c r="A975" s="97"/>
      <c r="B975" s="97"/>
      <c r="C975" s="97"/>
      <c r="D975" s="97"/>
      <c r="E975" s="97"/>
      <c r="F975" s="97"/>
      <c r="G975" s="97"/>
      <c r="H975" s="97"/>
      <c r="I975" s="97"/>
      <c r="J975" s="97"/>
      <c r="K975" s="97"/>
      <c r="L975" s="97"/>
      <c r="M975" s="97"/>
      <c r="N975" s="97"/>
      <c r="O975" s="97"/>
      <c r="P975" s="97"/>
      <c r="Q975" s="97"/>
      <c r="R975" s="97"/>
      <c r="S975" s="97"/>
      <c r="T975" s="97"/>
      <c r="U975" s="97"/>
      <c r="V975" s="25"/>
      <c r="W975" s="25"/>
      <c r="X975" s="25"/>
      <c r="Y975" s="25"/>
      <c r="Z975" s="25"/>
      <c r="AA975" s="25"/>
    </row>
    <row r="976" spans="1:27" x14ac:dyDescent="0.35">
      <c r="A976" s="97"/>
      <c r="B976" s="97"/>
      <c r="C976" s="97"/>
      <c r="D976" s="97"/>
      <c r="E976" s="97"/>
      <c r="F976" s="97"/>
      <c r="G976" s="97"/>
      <c r="H976" s="97"/>
      <c r="I976" s="97"/>
      <c r="J976" s="97"/>
      <c r="K976" s="97"/>
      <c r="L976" s="97"/>
      <c r="M976" s="97"/>
      <c r="N976" s="97"/>
      <c r="O976" s="97"/>
      <c r="P976" s="97"/>
      <c r="Q976" s="97"/>
      <c r="R976" s="97"/>
      <c r="S976" s="97"/>
      <c r="T976" s="97"/>
      <c r="U976" s="97"/>
      <c r="V976" s="25"/>
      <c r="W976" s="25"/>
      <c r="X976" s="25"/>
      <c r="Y976" s="25"/>
      <c r="Z976" s="25"/>
      <c r="AA976" s="25"/>
    </row>
    <row r="977" spans="1:27" x14ac:dyDescent="0.35">
      <c r="A977" s="97"/>
      <c r="B977" s="97"/>
      <c r="C977" s="97"/>
      <c r="D977" s="97"/>
      <c r="E977" s="97"/>
      <c r="F977" s="97"/>
      <c r="G977" s="97"/>
      <c r="H977" s="97"/>
      <c r="I977" s="97"/>
      <c r="J977" s="97"/>
      <c r="K977" s="97"/>
      <c r="L977" s="97"/>
      <c r="M977" s="97"/>
      <c r="N977" s="97"/>
      <c r="O977" s="97"/>
      <c r="P977" s="97"/>
      <c r="Q977" s="97"/>
      <c r="R977" s="97"/>
      <c r="S977" s="97"/>
      <c r="T977" s="97"/>
      <c r="U977" s="97"/>
      <c r="V977" s="25"/>
      <c r="W977" s="25"/>
      <c r="X977" s="25"/>
      <c r="Y977" s="25"/>
      <c r="Z977" s="25"/>
      <c r="AA977" s="25"/>
    </row>
    <row r="978" spans="1:27" x14ac:dyDescent="0.35">
      <c r="A978" s="97"/>
      <c r="B978" s="97"/>
      <c r="C978" s="97"/>
      <c r="D978" s="97"/>
      <c r="E978" s="97"/>
      <c r="F978" s="97"/>
      <c r="G978" s="97"/>
      <c r="H978" s="97"/>
      <c r="I978" s="97"/>
      <c r="J978" s="97"/>
      <c r="K978" s="97"/>
      <c r="L978" s="97"/>
      <c r="M978" s="97"/>
      <c r="N978" s="97"/>
      <c r="O978" s="97"/>
      <c r="P978" s="97"/>
      <c r="Q978" s="97"/>
      <c r="R978" s="97"/>
      <c r="S978" s="97"/>
      <c r="T978" s="97"/>
      <c r="U978" s="97"/>
      <c r="V978" s="25"/>
      <c r="W978" s="25"/>
      <c r="X978" s="25"/>
      <c r="Y978" s="25"/>
      <c r="Z978" s="25"/>
      <c r="AA978" s="25"/>
    </row>
    <row r="979" spans="1:27" x14ac:dyDescent="0.35">
      <c r="A979" s="97"/>
      <c r="B979" s="97"/>
      <c r="C979" s="97"/>
      <c r="D979" s="97"/>
      <c r="E979" s="97"/>
      <c r="F979" s="97"/>
      <c r="G979" s="97"/>
      <c r="H979" s="97"/>
      <c r="I979" s="97"/>
      <c r="J979" s="97"/>
      <c r="K979" s="97"/>
      <c r="L979" s="97"/>
      <c r="M979" s="97"/>
      <c r="N979" s="97"/>
      <c r="O979" s="97"/>
      <c r="P979" s="97"/>
      <c r="Q979" s="97"/>
      <c r="R979" s="97"/>
      <c r="S979" s="97"/>
      <c r="T979" s="97"/>
      <c r="U979" s="97"/>
      <c r="V979" s="25"/>
      <c r="W979" s="25"/>
      <c r="X979" s="25"/>
      <c r="Y979" s="25"/>
      <c r="Z979" s="25"/>
      <c r="AA979" s="25"/>
    </row>
    <row r="980" spans="1:27" x14ac:dyDescent="0.35">
      <c r="A980" s="97"/>
      <c r="B980" s="97"/>
      <c r="C980" s="97"/>
      <c r="D980" s="97"/>
      <c r="E980" s="97"/>
      <c r="F980" s="97"/>
      <c r="G980" s="97"/>
      <c r="H980" s="97"/>
      <c r="I980" s="97"/>
      <c r="J980" s="97"/>
      <c r="K980" s="97"/>
      <c r="L980" s="97"/>
      <c r="M980" s="97"/>
      <c r="N980" s="97"/>
      <c r="O980" s="97"/>
      <c r="P980" s="97"/>
      <c r="Q980" s="97"/>
      <c r="R980" s="97"/>
      <c r="S980" s="97"/>
      <c r="T980" s="97"/>
      <c r="U980" s="97"/>
      <c r="V980" s="25"/>
      <c r="W980" s="25"/>
      <c r="X980" s="25"/>
      <c r="Y980" s="25"/>
      <c r="Z980" s="25"/>
      <c r="AA980" s="25"/>
    </row>
    <row r="981" spans="1:27" x14ac:dyDescent="0.35">
      <c r="A981" s="97"/>
      <c r="B981" s="97"/>
      <c r="C981" s="97"/>
      <c r="D981" s="97"/>
      <c r="E981" s="97"/>
      <c r="F981" s="97"/>
      <c r="G981" s="97"/>
      <c r="H981" s="97"/>
      <c r="I981" s="97"/>
      <c r="J981" s="97"/>
      <c r="K981" s="97"/>
      <c r="L981" s="97"/>
      <c r="M981" s="97"/>
      <c r="N981" s="97"/>
      <c r="O981" s="97"/>
      <c r="P981" s="97"/>
      <c r="Q981" s="97"/>
      <c r="R981" s="97"/>
      <c r="S981" s="97"/>
      <c r="T981" s="97"/>
      <c r="U981" s="97"/>
      <c r="V981" s="25"/>
      <c r="W981" s="25"/>
      <c r="X981" s="25"/>
      <c r="Y981" s="25"/>
      <c r="Z981" s="25"/>
      <c r="AA981" s="25"/>
    </row>
    <row r="982" spans="1:27" x14ac:dyDescent="0.35">
      <c r="A982" s="97"/>
      <c r="B982" s="97"/>
      <c r="C982" s="97"/>
      <c r="D982" s="97"/>
      <c r="E982" s="97"/>
      <c r="F982" s="97"/>
      <c r="G982" s="97"/>
      <c r="H982" s="97"/>
      <c r="I982" s="97"/>
      <c r="J982" s="97"/>
      <c r="K982" s="97"/>
      <c r="L982" s="97"/>
      <c r="M982" s="97"/>
      <c r="N982" s="97"/>
      <c r="O982" s="97"/>
      <c r="P982" s="97"/>
      <c r="Q982" s="97"/>
      <c r="R982" s="97"/>
      <c r="S982" s="97"/>
      <c r="T982" s="97"/>
      <c r="U982" s="97"/>
      <c r="V982" s="25"/>
      <c r="W982" s="25"/>
      <c r="X982" s="25"/>
      <c r="Y982" s="25"/>
      <c r="Z982" s="25"/>
      <c r="AA982" s="25"/>
    </row>
    <row r="983" spans="1:27" x14ac:dyDescent="0.35">
      <c r="A983" s="97"/>
      <c r="B983" s="97"/>
      <c r="C983" s="97"/>
      <c r="D983" s="97"/>
      <c r="E983" s="97"/>
      <c r="F983" s="97"/>
      <c r="G983" s="97"/>
      <c r="H983" s="97"/>
      <c r="I983" s="97"/>
      <c r="J983" s="97"/>
      <c r="K983" s="97"/>
      <c r="L983" s="97"/>
      <c r="M983" s="97"/>
      <c r="N983" s="97"/>
      <c r="O983" s="97"/>
      <c r="P983" s="97"/>
      <c r="Q983" s="97"/>
      <c r="R983" s="97"/>
      <c r="S983" s="97"/>
      <c r="T983" s="97"/>
      <c r="U983" s="97"/>
      <c r="V983" s="25"/>
      <c r="W983" s="25"/>
      <c r="X983" s="25"/>
      <c r="Y983" s="25"/>
      <c r="Z983" s="25"/>
      <c r="AA983" s="25"/>
    </row>
    <row r="984" spans="1:27" x14ac:dyDescent="0.35">
      <c r="A984" s="97"/>
      <c r="B984" s="97"/>
      <c r="C984" s="97"/>
      <c r="D984" s="97"/>
      <c r="E984" s="97"/>
      <c r="F984" s="97"/>
      <c r="G984" s="97"/>
      <c r="H984" s="97"/>
      <c r="I984" s="97"/>
      <c r="J984" s="97"/>
      <c r="K984" s="97"/>
      <c r="L984" s="97"/>
      <c r="M984" s="97"/>
      <c r="N984" s="97"/>
      <c r="O984" s="97"/>
      <c r="P984" s="97"/>
      <c r="Q984" s="97"/>
      <c r="R984" s="97"/>
      <c r="S984" s="97"/>
      <c r="T984" s="97"/>
      <c r="U984" s="97"/>
      <c r="V984" s="25"/>
      <c r="W984" s="25"/>
      <c r="X984" s="25"/>
      <c r="Y984" s="25"/>
      <c r="Z984" s="25"/>
      <c r="AA984" s="25"/>
    </row>
    <row r="985" spans="1:27" x14ac:dyDescent="0.35">
      <c r="A985" s="97"/>
      <c r="B985" s="97"/>
      <c r="C985" s="97"/>
      <c r="D985" s="97"/>
      <c r="E985" s="97"/>
      <c r="F985" s="97"/>
      <c r="G985" s="97"/>
      <c r="H985" s="97"/>
      <c r="I985" s="97"/>
      <c r="J985" s="97"/>
      <c r="K985" s="97"/>
      <c r="L985" s="97"/>
      <c r="M985" s="97"/>
      <c r="N985" s="97"/>
      <c r="O985" s="97"/>
      <c r="P985" s="97"/>
      <c r="Q985" s="97"/>
      <c r="R985" s="97"/>
      <c r="S985" s="97"/>
      <c r="T985" s="97"/>
      <c r="U985" s="97"/>
      <c r="V985" s="25"/>
      <c r="W985" s="25"/>
      <c r="X985" s="25"/>
      <c r="Y985" s="25"/>
      <c r="Z985" s="25"/>
      <c r="AA985" s="25"/>
    </row>
    <row r="986" spans="1:27" x14ac:dyDescent="0.35">
      <c r="A986" s="97"/>
      <c r="B986" s="97"/>
      <c r="C986" s="97"/>
      <c r="D986" s="97"/>
      <c r="E986" s="97"/>
      <c r="F986" s="97"/>
      <c r="G986" s="97"/>
      <c r="H986" s="97"/>
      <c r="I986" s="97"/>
      <c r="J986" s="97"/>
      <c r="K986" s="97"/>
      <c r="L986" s="97"/>
      <c r="M986" s="97"/>
      <c r="N986" s="97"/>
      <c r="O986" s="97"/>
      <c r="P986" s="97"/>
      <c r="Q986" s="97"/>
      <c r="R986" s="97"/>
      <c r="S986" s="97"/>
      <c r="T986" s="97"/>
      <c r="U986" s="97"/>
      <c r="V986" s="25"/>
      <c r="W986" s="25"/>
      <c r="X986" s="25"/>
      <c r="Y986" s="25"/>
      <c r="Z986" s="25"/>
      <c r="AA986" s="25"/>
    </row>
    <row r="987" spans="1:27" x14ac:dyDescent="0.35">
      <c r="A987" s="97"/>
      <c r="B987" s="97"/>
      <c r="C987" s="97"/>
      <c r="D987" s="97"/>
      <c r="E987" s="97"/>
      <c r="F987" s="97"/>
      <c r="G987" s="97"/>
      <c r="H987" s="97"/>
      <c r="I987" s="97"/>
      <c r="J987" s="97"/>
      <c r="K987" s="97"/>
      <c r="L987" s="97"/>
      <c r="M987" s="97"/>
      <c r="N987" s="97"/>
      <c r="O987" s="97"/>
      <c r="P987" s="97"/>
      <c r="Q987" s="97"/>
      <c r="R987" s="97"/>
      <c r="S987" s="97"/>
      <c r="T987" s="97"/>
      <c r="U987" s="97"/>
      <c r="V987" s="25"/>
      <c r="W987" s="25"/>
      <c r="X987" s="25"/>
      <c r="Y987" s="25"/>
      <c r="Z987" s="25"/>
      <c r="AA987" s="25"/>
    </row>
    <row r="988" spans="1:27" x14ac:dyDescent="0.35">
      <c r="A988" s="97"/>
      <c r="B988" s="97"/>
      <c r="C988" s="97"/>
      <c r="D988" s="97"/>
      <c r="E988" s="97"/>
      <c r="F988" s="97"/>
      <c r="G988" s="97"/>
      <c r="H988" s="97"/>
      <c r="I988" s="97"/>
      <c r="J988" s="97"/>
      <c r="K988" s="97"/>
      <c r="L988" s="97"/>
      <c r="M988" s="97"/>
      <c r="N988" s="97"/>
      <c r="O988" s="97"/>
      <c r="P988" s="97"/>
      <c r="Q988" s="97"/>
      <c r="R988" s="97"/>
      <c r="S988" s="97"/>
      <c r="T988" s="97"/>
      <c r="U988" s="97"/>
      <c r="V988" s="25"/>
      <c r="W988" s="25"/>
      <c r="X988" s="25"/>
      <c r="Y988" s="25"/>
      <c r="Z988" s="25"/>
      <c r="AA988" s="25"/>
    </row>
    <row r="989" spans="1:27" x14ac:dyDescent="0.35">
      <c r="A989" s="97"/>
      <c r="B989" s="97"/>
      <c r="C989" s="97"/>
      <c r="D989" s="97"/>
      <c r="E989" s="97"/>
      <c r="F989" s="97"/>
      <c r="G989" s="97"/>
      <c r="H989" s="97"/>
      <c r="I989" s="97"/>
      <c r="J989" s="97"/>
      <c r="K989" s="97"/>
      <c r="L989" s="97"/>
      <c r="M989" s="97"/>
      <c r="N989" s="97"/>
      <c r="O989" s="97"/>
      <c r="P989" s="97"/>
      <c r="Q989" s="97"/>
      <c r="R989" s="97"/>
      <c r="S989" s="97"/>
      <c r="T989" s="97"/>
      <c r="U989" s="97"/>
      <c r="V989" s="25"/>
      <c r="W989" s="25"/>
      <c r="X989" s="25"/>
      <c r="Y989" s="25"/>
      <c r="Z989" s="25"/>
      <c r="AA989" s="25"/>
    </row>
    <row r="990" spans="1:27" x14ac:dyDescent="0.35">
      <c r="A990" s="97"/>
      <c r="B990" s="97"/>
      <c r="C990" s="97"/>
      <c r="D990" s="97"/>
      <c r="E990" s="97"/>
      <c r="F990" s="97"/>
      <c r="G990" s="97"/>
      <c r="H990" s="97"/>
      <c r="I990" s="97"/>
      <c r="J990" s="97"/>
      <c r="K990" s="97"/>
      <c r="L990" s="97"/>
      <c r="M990" s="97"/>
      <c r="N990" s="97"/>
      <c r="O990" s="97"/>
      <c r="P990" s="97"/>
      <c r="Q990" s="97"/>
      <c r="R990" s="97"/>
      <c r="S990" s="97"/>
      <c r="T990" s="97"/>
      <c r="U990" s="97"/>
      <c r="V990" s="25"/>
      <c r="W990" s="25"/>
      <c r="X990" s="25"/>
      <c r="Y990" s="25"/>
      <c r="Z990" s="25"/>
      <c r="AA990" s="25"/>
    </row>
    <row r="991" spans="1:27" x14ac:dyDescent="0.35">
      <c r="A991" s="97"/>
      <c r="B991" s="97"/>
      <c r="C991" s="97"/>
      <c r="D991" s="97"/>
      <c r="E991" s="97"/>
      <c r="F991" s="97"/>
      <c r="G991" s="97"/>
      <c r="H991" s="97"/>
      <c r="I991" s="97"/>
      <c r="J991" s="97"/>
      <c r="K991" s="97"/>
      <c r="L991" s="97"/>
      <c r="M991" s="97"/>
      <c r="N991" s="97"/>
      <c r="O991" s="97"/>
      <c r="P991" s="97"/>
      <c r="Q991" s="97"/>
      <c r="R991" s="97"/>
      <c r="S991" s="97"/>
      <c r="T991" s="97"/>
      <c r="U991" s="97"/>
      <c r="V991" s="25"/>
      <c r="W991" s="25"/>
      <c r="X991" s="25"/>
      <c r="Y991" s="25"/>
      <c r="Z991" s="25"/>
      <c r="AA991" s="25"/>
    </row>
    <row r="992" spans="1:27" x14ac:dyDescent="0.35">
      <c r="A992" s="97"/>
      <c r="B992" s="97"/>
      <c r="C992" s="97"/>
      <c r="D992" s="97"/>
      <c r="E992" s="97"/>
      <c r="F992" s="97"/>
      <c r="G992" s="97"/>
      <c r="H992" s="97"/>
      <c r="I992" s="97"/>
      <c r="J992" s="97"/>
      <c r="K992" s="97"/>
      <c r="L992" s="97"/>
      <c r="M992" s="97"/>
      <c r="N992" s="97"/>
      <c r="O992" s="97"/>
      <c r="P992" s="97"/>
      <c r="Q992" s="97"/>
      <c r="R992" s="97"/>
      <c r="S992" s="97"/>
      <c r="T992" s="97"/>
      <c r="U992" s="97"/>
      <c r="V992" s="25"/>
      <c r="W992" s="25"/>
      <c r="X992" s="25"/>
      <c r="Y992" s="25"/>
      <c r="Z992" s="25"/>
      <c r="AA992" s="25"/>
    </row>
    <row r="993" spans="1:27" x14ac:dyDescent="0.35">
      <c r="A993" s="97"/>
      <c r="B993" s="97"/>
      <c r="C993" s="97"/>
      <c r="D993" s="97"/>
      <c r="E993" s="97"/>
      <c r="F993" s="97"/>
      <c r="G993" s="97"/>
      <c r="H993" s="97"/>
      <c r="I993" s="97"/>
      <c r="J993" s="97"/>
      <c r="K993" s="97"/>
      <c r="L993" s="97"/>
      <c r="M993" s="97"/>
      <c r="N993" s="97"/>
      <c r="O993" s="97"/>
      <c r="P993" s="97"/>
      <c r="Q993" s="97"/>
      <c r="R993" s="97"/>
      <c r="S993" s="97"/>
      <c r="T993" s="97"/>
      <c r="U993" s="97"/>
      <c r="V993" s="25"/>
      <c r="W993" s="25"/>
      <c r="X993" s="25"/>
      <c r="Y993" s="25"/>
      <c r="Z993" s="25"/>
      <c r="AA993" s="25"/>
    </row>
    <row r="994" spans="1:27" x14ac:dyDescent="0.35">
      <c r="A994" s="97"/>
      <c r="B994" s="97"/>
      <c r="C994" s="97"/>
      <c r="D994" s="97"/>
      <c r="E994" s="97"/>
      <c r="F994" s="97"/>
      <c r="G994" s="97"/>
      <c r="H994" s="97"/>
      <c r="I994" s="97"/>
      <c r="J994" s="97"/>
      <c r="K994" s="97"/>
      <c r="L994" s="97"/>
      <c r="M994" s="97"/>
      <c r="N994" s="97"/>
      <c r="O994" s="97"/>
      <c r="P994" s="97"/>
      <c r="Q994" s="97"/>
      <c r="R994" s="97"/>
      <c r="S994" s="97"/>
      <c r="T994" s="97"/>
      <c r="U994" s="97"/>
      <c r="V994" s="25"/>
      <c r="W994" s="25"/>
      <c r="X994" s="25"/>
      <c r="Y994" s="25"/>
      <c r="Z994" s="25"/>
      <c r="AA994" s="25"/>
    </row>
    <row r="995" spans="1:27" x14ac:dyDescent="0.35">
      <c r="A995" s="97"/>
      <c r="B995" s="97"/>
      <c r="C995" s="97"/>
      <c r="D995" s="97"/>
      <c r="E995" s="97"/>
      <c r="F995" s="97"/>
      <c r="G995" s="97"/>
      <c r="H995" s="97"/>
      <c r="I995" s="97"/>
      <c r="J995" s="97"/>
      <c r="K995" s="97"/>
      <c r="L995" s="97"/>
      <c r="M995" s="97"/>
      <c r="N995" s="97"/>
      <c r="O995" s="97"/>
      <c r="P995" s="97"/>
      <c r="Q995" s="97"/>
      <c r="R995" s="97"/>
      <c r="S995" s="97"/>
      <c r="T995" s="97"/>
      <c r="U995" s="97"/>
      <c r="V995" s="25"/>
      <c r="W995" s="25"/>
      <c r="X995" s="25"/>
      <c r="Y995" s="25"/>
      <c r="Z995" s="25"/>
      <c r="AA995" s="25"/>
    </row>
    <row r="996" spans="1:27" x14ac:dyDescent="0.35">
      <c r="A996" s="97"/>
      <c r="B996" s="97"/>
      <c r="C996" s="97"/>
      <c r="D996" s="97"/>
      <c r="E996" s="97"/>
      <c r="F996" s="97"/>
      <c r="G996" s="97"/>
      <c r="H996" s="97"/>
      <c r="I996" s="97"/>
      <c r="J996" s="97"/>
      <c r="K996" s="97"/>
      <c r="L996" s="97"/>
      <c r="M996" s="97"/>
      <c r="N996" s="97"/>
      <c r="O996" s="97"/>
      <c r="P996" s="97"/>
      <c r="Q996" s="97"/>
      <c r="R996" s="97"/>
      <c r="S996" s="97"/>
      <c r="T996" s="97"/>
      <c r="U996" s="97"/>
      <c r="V996" s="25"/>
      <c r="W996" s="25"/>
      <c r="X996" s="25"/>
      <c r="Y996" s="25"/>
      <c r="Z996" s="25"/>
      <c r="AA996" s="25"/>
    </row>
    <row r="997" spans="1:27" x14ac:dyDescent="0.35">
      <c r="A997" s="97"/>
      <c r="B997" s="97"/>
      <c r="C997" s="97"/>
      <c r="D997" s="97"/>
      <c r="E997" s="97"/>
      <c r="F997" s="97"/>
      <c r="G997" s="97"/>
      <c r="H997" s="97"/>
      <c r="I997" s="97"/>
      <c r="J997" s="97"/>
      <c r="K997" s="97"/>
      <c r="L997" s="97"/>
      <c r="M997" s="97"/>
      <c r="N997" s="97"/>
      <c r="O997" s="97"/>
      <c r="P997" s="97"/>
      <c r="Q997" s="97"/>
      <c r="R997" s="97"/>
      <c r="S997" s="97"/>
      <c r="T997" s="97"/>
      <c r="U997" s="97"/>
      <c r="V997" s="25"/>
      <c r="W997" s="25"/>
      <c r="X997" s="25"/>
      <c r="Y997" s="25"/>
      <c r="Z997" s="25"/>
      <c r="AA997" s="25"/>
    </row>
    <row r="998" spans="1:27" x14ac:dyDescent="0.35">
      <c r="A998" s="97"/>
      <c r="B998" s="97"/>
      <c r="C998" s="97"/>
      <c r="D998" s="97"/>
      <c r="E998" s="97"/>
      <c r="F998" s="97"/>
      <c r="G998" s="97"/>
      <c r="H998" s="97"/>
      <c r="I998" s="97"/>
      <c r="J998" s="97"/>
      <c r="K998" s="97"/>
      <c r="L998" s="97"/>
      <c r="M998" s="97"/>
      <c r="N998" s="97"/>
      <c r="O998" s="97"/>
      <c r="P998" s="97"/>
      <c r="Q998" s="97"/>
      <c r="R998" s="97"/>
      <c r="S998" s="97"/>
      <c r="T998" s="97"/>
      <c r="U998" s="97"/>
      <c r="V998" s="25"/>
      <c r="W998" s="25"/>
      <c r="X998" s="25"/>
      <c r="Y998" s="25"/>
      <c r="Z998" s="25"/>
      <c r="AA998" s="25"/>
    </row>
    <row r="999" spans="1:27" x14ac:dyDescent="0.35">
      <c r="A999" s="97"/>
      <c r="B999" s="97"/>
      <c r="C999" s="97"/>
      <c r="D999" s="97"/>
      <c r="E999" s="97"/>
      <c r="F999" s="97"/>
      <c r="G999" s="97"/>
      <c r="H999" s="97"/>
      <c r="I999" s="97"/>
      <c r="J999" s="97"/>
      <c r="K999" s="97"/>
      <c r="L999" s="97"/>
      <c r="M999" s="97"/>
      <c r="N999" s="97"/>
      <c r="O999" s="97"/>
      <c r="P999" s="97"/>
      <c r="Q999" s="97"/>
      <c r="R999" s="97"/>
      <c r="S999" s="97"/>
      <c r="T999" s="97"/>
      <c r="U999" s="97"/>
      <c r="V999" s="25"/>
      <c r="W999" s="25"/>
      <c r="X999" s="25"/>
      <c r="Y999" s="25"/>
      <c r="Z999" s="25"/>
      <c r="AA999" s="25"/>
    </row>
    <row r="1000" spans="1:27" x14ac:dyDescent="0.35">
      <c r="A1000" s="97"/>
      <c r="B1000" s="97"/>
      <c r="C1000" s="97"/>
      <c r="D1000" s="97"/>
      <c r="E1000" s="97"/>
      <c r="F1000" s="97"/>
      <c r="G1000" s="97"/>
      <c r="H1000" s="97"/>
      <c r="I1000" s="97"/>
      <c r="J1000" s="97"/>
      <c r="K1000" s="97"/>
      <c r="L1000" s="97"/>
      <c r="M1000" s="97"/>
      <c r="N1000" s="97"/>
      <c r="O1000" s="97"/>
      <c r="P1000" s="97"/>
      <c r="Q1000" s="97"/>
      <c r="R1000" s="97"/>
      <c r="S1000" s="97"/>
      <c r="T1000" s="97"/>
      <c r="U1000" s="97"/>
      <c r="V1000" s="25"/>
      <c r="W1000" s="25"/>
      <c r="X1000" s="25"/>
      <c r="Y1000" s="25"/>
      <c r="Z1000" s="25"/>
      <c r="AA1000" s="25"/>
    </row>
    <row r="1001" spans="1:27" x14ac:dyDescent="0.35">
      <c r="A1001" s="97"/>
      <c r="B1001" s="97"/>
      <c r="C1001" s="97"/>
      <c r="D1001" s="97"/>
      <c r="E1001" s="97"/>
      <c r="F1001" s="97"/>
      <c r="G1001" s="97"/>
      <c r="H1001" s="97"/>
      <c r="I1001" s="97"/>
      <c r="J1001" s="97"/>
      <c r="K1001" s="97"/>
      <c r="L1001" s="97"/>
      <c r="M1001" s="97"/>
      <c r="N1001" s="97"/>
      <c r="O1001" s="97"/>
      <c r="P1001" s="97"/>
      <c r="Q1001" s="97"/>
      <c r="R1001" s="97"/>
      <c r="S1001" s="97"/>
      <c r="T1001" s="97"/>
      <c r="U1001" s="97"/>
      <c r="V1001" s="25"/>
      <c r="W1001" s="25"/>
      <c r="X1001" s="25"/>
      <c r="Y1001" s="25"/>
      <c r="Z1001" s="25"/>
      <c r="AA1001" s="25"/>
    </row>
    <row r="1002" spans="1:27" x14ac:dyDescent="0.35">
      <c r="A1002" s="97"/>
      <c r="B1002" s="97"/>
      <c r="C1002" s="97"/>
      <c r="D1002" s="97"/>
      <c r="E1002" s="97"/>
      <c r="F1002" s="97"/>
      <c r="G1002" s="97"/>
      <c r="H1002" s="97"/>
      <c r="I1002" s="97"/>
      <c r="J1002" s="97"/>
      <c r="K1002" s="97"/>
      <c r="L1002" s="97"/>
      <c r="M1002" s="97"/>
      <c r="N1002" s="97"/>
      <c r="O1002" s="97"/>
      <c r="P1002" s="97"/>
      <c r="Q1002" s="97"/>
      <c r="R1002" s="97"/>
      <c r="S1002" s="97"/>
      <c r="T1002" s="97"/>
      <c r="U1002" s="97"/>
      <c r="V1002" s="25"/>
      <c r="W1002" s="25"/>
      <c r="X1002" s="25"/>
      <c r="Y1002" s="25"/>
      <c r="Z1002" s="25"/>
      <c r="AA1002" s="25"/>
    </row>
    <row r="1003" spans="1:27" x14ac:dyDescent="0.35">
      <c r="A1003" s="97"/>
      <c r="B1003" s="97"/>
      <c r="C1003" s="97"/>
      <c r="D1003" s="97"/>
      <c r="E1003" s="97"/>
      <c r="F1003" s="97"/>
      <c r="G1003" s="97"/>
      <c r="H1003" s="97"/>
      <c r="I1003" s="97"/>
      <c r="J1003" s="97"/>
      <c r="K1003" s="97"/>
      <c r="L1003" s="97"/>
      <c r="M1003" s="97"/>
      <c r="N1003" s="97"/>
      <c r="O1003" s="97"/>
      <c r="P1003" s="97"/>
      <c r="Q1003" s="97"/>
      <c r="R1003" s="97"/>
      <c r="S1003" s="97"/>
      <c r="T1003" s="97"/>
      <c r="U1003" s="97"/>
      <c r="V1003" s="25"/>
      <c r="W1003" s="25"/>
      <c r="X1003" s="25"/>
      <c r="Y1003" s="25"/>
      <c r="Z1003" s="25"/>
      <c r="AA1003" s="25"/>
    </row>
    <row r="1004" spans="1:27" x14ac:dyDescent="0.35">
      <c r="A1004" s="97"/>
      <c r="B1004" s="97"/>
      <c r="C1004" s="97"/>
      <c r="D1004" s="97"/>
      <c r="E1004" s="97"/>
      <c r="F1004" s="97"/>
      <c r="G1004" s="97"/>
      <c r="H1004" s="97"/>
      <c r="I1004" s="97"/>
      <c r="J1004" s="97"/>
      <c r="K1004" s="97"/>
      <c r="L1004" s="97"/>
      <c r="M1004" s="97"/>
      <c r="N1004" s="97"/>
      <c r="O1004" s="97"/>
      <c r="P1004" s="97"/>
      <c r="Q1004" s="97"/>
      <c r="R1004" s="97"/>
      <c r="S1004" s="97"/>
      <c r="T1004" s="97"/>
      <c r="U1004" s="97"/>
      <c r="V1004" s="25"/>
      <c r="W1004" s="25"/>
      <c r="X1004" s="25"/>
      <c r="Y1004" s="25"/>
      <c r="Z1004" s="25"/>
      <c r="AA1004" s="25"/>
    </row>
    <row r="1005" spans="1:27" x14ac:dyDescent="0.35">
      <c r="A1005" s="97"/>
      <c r="B1005" s="97"/>
      <c r="C1005" s="97"/>
      <c r="D1005" s="97"/>
      <c r="E1005" s="97"/>
      <c r="F1005" s="97"/>
      <c r="G1005" s="97"/>
      <c r="H1005" s="97"/>
      <c r="I1005" s="97"/>
      <c r="J1005" s="97"/>
      <c r="K1005" s="97"/>
      <c r="L1005" s="97"/>
      <c r="M1005" s="97"/>
      <c r="N1005" s="97"/>
      <c r="O1005" s="97"/>
      <c r="P1005" s="97"/>
      <c r="Q1005" s="97"/>
      <c r="R1005" s="97"/>
      <c r="S1005" s="97"/>
      <c r="T1005" s="97"/>
      <c r="U1005" s="97"/>
      <c r="V1005" s="25"/>
      <c r="W1005" s="25"/>
      <c r="X1005" s="25"/>
      <c r="Y1005" s="25"/>
      <c r="Z1005" s="25"/>
      <c r="AA1005" s="25"/>
    </row>
    <row r="1006" spans="1:27" x14ac:dyDescent="0.35">
      <c r="A1006" s="97"/>
      <c r="B1006" s="97"/>
      <c r="C1006" s="97"/>
      <c r="D1006" s="97"/>
      <c r="E1006" s="97"/>
      <c r="F1006" s="97"/>
      <c r="G1006" s="97"/>
      <c r="H1006" s="97"/>
      <c r="I1006" s="97"/>
      <c r="J1006" s="97"/>
      <c r="K1006" s="97"/>
      <c r="L1006" s="97"/>
      <c r="M1006" s="97"/>
      <c r="N1006" s="97"/>
      <c r="O1006" s="97"/>
      <c r="P1006" s="97"/>
      <c r="Q1006" s="97"/>
      <c r="R1006" s="97"/>
      <c r="S1006" s="97"/>
      <c r="T1006" s="97"/>
      <c r="U1006" s="97"/>
      <c r="V1006" s="25"/>
      <c r="W1006" s="25"/>
      <c r="X1006" s="25"/>
      <c r="Y1006" s="25"/>
      <c r="Z1006" s="25"/>
      <c r="AA1006" s="25"/>
    </row>
    <row r="1007" spans="1:27" x14ac:dyDescent="0.35">
      <c r="A1007" s="97"/>
      <c r="B1007" s="97"/>
      <c r="C1007" s="97"/>
      <c r="D1007" s="97"/>
      <c r="E1007" s="97"/>
      <c r="F1007" s="97"/>
      <c r="G1007" s="97"/>
      <c r="H1007" s="97"/>
      <c r="I1007" s="97"/>
      <c r="J1007" s="97"/>
      <c r="K1007" s="97"/>
      <c r="L1007" s="97"/>
      <c r="M1007" s="97"/>
      <c r="N1007" s="97"/>
      <c r="O1007" s="97"/>
      <c r="P1007" s="97"/>
      <c r="Q1007" s="97"/>
      <c r="R1007" s="97"/>
      <c r="S1007" s="97"/>
      <c r="T1007" s="97"/>
      <c r="U1007" s="97"/>
      <c r="V1007" s="25"/>
      <c r="W1007" s="25"/>
      <c r="X1007" s="25"/>
      <c r="Y1007" s="25"/>
      <c r="Z1007" s="25"/>
      <c r="AA1007" s="25"/>
    </row>
    <row r="1008" spans="1:27" x14ac:dyDescent="0.35">
      <c r="A1008" s="97"/>
      <c r="B1008" s="97"/>
      <c r="C1008" s="97"/>
      <c r="D1008" s="97"/>
      <c r="E1008" s="97"/>
      <c r="F1008" s="97"/>
      <c r="G1008" s="97"/>
      <c r="H1008" s="97"/>
      <c r="I1008" s="97"/>
      <c r="J1008" s="97"/>
      <c r="K1008" s="97"/>
      <c r="L1008" s="97"/>
      <c r="M1008" s="97"/>
      <c r="N1008" s="97"/>
      <c r="O1008" s="97"/>
      <c r="P1008" s="97"/>
      <c r="Q1008" s="97"/>
      <c r="R1008" s="97"/>
      <c r="S1008" s="97"/>
      <c r="T1008" s="97"/>
      <c r="U1008" s="97"/>
      <c r="V1008" s="25"/>
      <c r="W1008" s="25"/>
      <c r="X1008" s="25"/>
      <c r="Y1008" s="25"/>
      <c r="Z1008" s="25"/>
      <c r="AA1008" s="25"/>
    </row>
    <row r="1009" spans="1:27" x14ac:dyDescent="0.35">
      <c r="A1009" s="97"/>
      <c r="B1009" s="97"/>
      <c r="C1009" s="97"/>
      <c r="D1009" s="97"/>
      <c r="E1009" s="97"/>
      <c r="F1009" s="97"/>
      <c r="G1009" s="97"/>
      <c r="H1009" s="97"/>
      <c r="I1009" s="97"/>
      <c r="J1009" s="97"/>
      <c r="K1009" s="97"/>
      <c r="L1009" s="97"/>
      <c r="M1009" s="97"/>
      <c r="N1009" s="97"/>
      <c r="O1009" s="97"/>
      <c r="P1009" s="97"/>
      <c r="Q1009" s="97"/>
      <c r="R1009" s="97"/>
      <c r="S1009" s="97"/>
      <c r="T1009" s="97"/>
      <c r="U1009" s="97"/>
      <c r="V1009" s="25"/>
      <c r="W1009" s="25"/>
      <c r="X1009" s="25"/>
      <c r="Y1009" s="25"/>
      <c r="Z1009" s="25"/>
      <c r="AA1009" s="25"/>
    </row>
    <row r="1010" spans="1:27" x14ac:dyDescent="0.35">
      <c r="A1010" s="97"/>
      <c r="B1010" s="97"/>
      <c r="C1010" s="97"/>
      <c r="D1010" s="97"/>
      <c r="E1010" s="97"/>
      <c r="F1010" s="97"/>
      <c r="G1010" s="97"/>
      <c r="H1010" s="97"/>
      <c r="I1010" s="97"/>
      <c r="J1010" s="97"/>
      <c r="K1010" s="97"/>
      <c r="L1010" s="97"/>
      <c r="M1010" s="97"/>
      <c r="N1010" s="97"/>
      <c r="O1010" s="97"/>
      <c r="P1010" s="97"/>
      <c r="Q1010" s="97"/>
      <c r="R1010" s="97"/>
      <c r="S1010" s="97"/>
      <c r="T1010" s="97"/>
      <c r="U1010" s="97"/>
      <c r="V1010" s="25"/>
      <c r="W1010" s="25"/>
      <c r="X1010" s="25"/>
      <c r="Y1010" s="25"/>
      <c r="Z1010" s="25"/>
      <c r="AA1010" s="25"/>
    </row>
    <row r="1011" spans="1:27" x14ac:dyDescent="0.35">
      <c r="A1011" s="97"/>
      <c r="B1011" s="97"/>
      <c r="C1011" s="97"/>
      <c r="D1011" s="97"/>
      <c r="E1011" s="97"/>
      <c r="F1011" s="97"/>
      <c r="G1011" s="97"/>
      <c r="H1011" s="97"/>
      <c r="I1011" s="97"/>
      <c r="J1011" s="97"/>
      <c r="K1011" s="97"/>
      <c r="L1011" s="97"/>
      <c r="M1011" s="97"/>
      <c r="N1011" s="97"/>
      <c r="O1011" s="97"/>
      <c r="P1011" s="97"/>
      <c r="Q1011" s="97"/>
      <c r="R1011" s="97"/>
      <c r="S1011" s="97"/>
      <c r="T1011" s="97"/>
      <c r="U1011" s="97"/>
      <c r="V1011" s="25"/>
      <c r="W1011" s="25"/>
      <c r="X1011" s="25"/>
      <c r="Y1011" s="25"/>
      <c r="Z1011" s="25"/>
      <c r="AA1011" s="25"/>
    </row>
    <row r="1012" spans="1:27" x14ac:dyDescent="0.35">
      <c r="A1012" s="97"/>
      <c r="B1012" s="97"/>
      <c r="C1012" s="97"/>
      <c r="D1012" s="97"/>
      <c r="E1012" s="97"/>
      <c r="F1012" s="97"/>
      <c r="G1012" s="97"/>
      <c r="H1012" s="97"/>
      <c r="I1012" s="97"/>
      <c r="J1012" s="97"/>
      <c r="K1012" s="97"/>
      <c r="L1012" s="97"/>
      <c r="M1012" s="97"/>
      <c r="N1012" s="97"/>
      <c r="O1012" s="97"/>
      <c r="P1012" s="97"/>
      <c r="Q1012" s="97"/>
      <c r="R1012" s="97"/>
      <c r="S1012" s="97"/>
      <c r="T1012" s="97"/>
      <c r="U1012" s="97"/>
      <c r="V1012" s="25"/>
      <c r="W1012" s="25"/>
      <c r="X1012" s="25"/>
      <c r="Y1012" s="25"/>
      <c r="Z1012" s="25"/>
      <c r="AA1012" s="25"/>
    </row>
    <row r="1013" spans="1:27" x14ac:dyDescent="0.35">
      <c r="A1013" s="97"/>
      <c r="B1013" s="97"/>
      <c r="C1013" s="97"/>
      <c r="D1013" s="97"/>
      <c r="E1013" s="97"/>
      <c r="F1013" s="97"/>
      <c r="G1013" s="97"/>
      <c r="H1013" s="97"/>
      <c r="I1013" s="97"/>
      <c r="J1013" s="97"/>
      <c r="K1013" s="97"/>
      <c r="L1013" s="97"/>
      <c r="M1013" s="97"/>
      <c r="N1013" s="97"/>
      <c r="O1013" s="97"/>
      <c r="P1013" s="97"/>
      <c r="Q1013" s="97"/>
      <c r="R1013" s="97"/>
      <c r="S1013" s="97"/>
      <c r="T1013" s="97"/>
      <c r="U1013" s="97"/>
      <c r="V1013" s="25"/>
      <c r="W1013" s="25"/>
      <c r="X1013" s="25"/>
      <c r="Y1013" s="25"/>
      <c r="Z1013" s="25"/>
      <c r="AA1013" s="25"/>
    </row>
    <row r="1014" spans="1:27" x14ac:dyDescent="0.35">
      <c r="A1014" s="97"/>
      <c r="B1014" s="97"/>
      <c r="C1014" s="97"/>
      <c r="D1014" s="97"/>
      <c r="E1014" s="97"/>
      <c r="F1014" s="97"/>
      <c r="G1014" s="97"/>
      <c r="H1014" s="97"/>
      <c r="I1014" s="97"/>
      <c r="J1014" s="97"/>
      <c r="K1014" s="97"/>
      <c r="L1014" s="97"/>
      <c r="M1014" s="97"/>
      <c r="N1014" s="97"/>
      <c r="O1014" s="97"/>
      <c r="P1014" s="97"/>
      <c r="Q1014" s="97"/>
      <c r="R1014" s="97"/>
      <c r="S1014" s="97"/>
      <c r="T1014" s="97"/>
      <c r="U1014" s="97"/>
      <c r="V1014" s="25"/>
      <c r="W1014" s="25"/>
      <c r="X1014" s="25"/>
      <c r="Y1014" s="25"/>
      <c r="Z1014" s="25"/>
      <c r="AA1014" s="25"/>
    </row>
    <row r="1015" spans="1:27" x14ac:dyDescent="0.35">
      <c r="A1015" s="97"/>
      <c r="B1015" s="97"/>
      <c r="C1015" s="97"/>
      <c r="D1015" s="97"/>
      <c r="E1015" s="97"/>
      <c r="F1015" s="97"/>
      <c r="G1015" s="97"/>
      <c r="H1015" s="97"/>
      <c r="I1015" s="97"/>
      <c r="J1015" s="97"/>
      <c r="K1015" s="97"/>
      <c r="L1015" s="97"/>
      <c r="M1015" s="97"/>
      <c r="N1015" s="97"/>
      <c r="O1015" s="97"/>
      <c r="P1015" s="97"/>
      <c r="Q1015" s="97"/>
      <c r="R1015" s="97"/>
      <c r="S1015" s="97"/>
      <c r="T1015" s="97"/>
      <c r="U1015" s="97"/>
      <c r="V1015" s="25"/>
      <c r="W1015" s="25"/>
      <c r="X1015" s="25"/>
      <c r="Y1015" s="25"/>
      <c r="Z1015" s="25"/>
      <c r="AA1015" s="25"/>
    </row>
    <row r="1016" spans="1:27" x14ac:dyDescent="0.35">
      <c r="A1016" s="97"/>
      <c r="B1016" s="97"/>
      <c r="C1016" s="97"/>
      <c r="D1016" s="97"/>
      <c r="E1016" s="97"/>
      <c r="F1016" s="97"/>
      <c r="G1016" s="97"/>
      <c r="H1016" s="97"/>
      <c r="I1016" s="97"/>
      <c r="J1016" s="97"/>
      <c r="K1016" s="97"/>
      <c r="L1016" s="97"/>
      <c r="M1016" s="97"/>
      <c r="N1016" s="97"/>
      <c r="O1016" s="97"/>
      <c r="P1016" s="97"/>
      <c r="Q1016" s="97"/>
      <c r="R1016" s="97"/>
      <c r="S1016" s="97"/>
      <c r="T1016" s="97"/>
      <c r="U1016" s="97"/>
      <c r="V1016" s="25"/>
      <c r="W1016" s="25"/>
      <c r="X1016" s="25"/>
      <c r="Y1016" s="25"/>
      <c r="Z1016" s="25"/>
      <c r="AA1016" s="25"/>
    </row>
    <row r="1017" spans="1:27" x14ac:dyDescent="0.35">
      <c r="A1017" s="97"/>
      <c r="B1017" s="97"/>
      <c r="C1017" s="97"/>
      <c r="D1017" s="97"/>
      <c r="E1017" s="97"/>
      <c r="F1017" s="97"/>
      <c r="G1017" s="97"/>
      <c r="H1017" s="97"/>
      <c r="I1017" s="97"/>
      <c r="J1017" s="97"/>
      <c r="K1017" s="97"/>
      <c r="L1017" s="97"/>
      <c r="M1017" s="97"/>
      <c r="N1017" s="97"/>
      <c r="O1017" s="97"/>
      <c r="P1017" s="97"/>
      <c r="Q1017" s="97"/>
      <c r="R1017" s="97"/>
      <c r="S1017" s="97"/>
      <c r="T1017" s="97"/>
      <c r="U1017" s="97"/>
      <c r="V1017" s="25"/>
      <c r="W1017" s="25"/>
      <c r="X1017" s="25"/>
      <c r="Y1017" s="25"/>
      <c r="Z1017" s="25"/>
      <c r="AA1017" s="25"/>
    </row>
    <row r="1018" spans="1:27" x14ac:dyDescent="0.35">
      <c r="A1018" s="97"/>
      <c r="B1018" s="97"/>
      <c r="C1018" s="97"/>
      <c r="D1018" s="97"/>
      <c r="E1018" s="97"/>
      <c r="F1018" s="97"/>
      <c r="G1018" s="97"/>
      <c r="H1018" s="97"/>
      <c r="I1018" s="97"/>
      <c r="J1018" s="97"/>
      <c r="K1018" s="97"/>
      <c r="L1018" s="97"/>
      <c r="M1018" s="97"/>
      <c r="N1018" s="97"/>
      <c r="O1018" s="97"/>
      <c r="P1018" s="97"/>
      <c r="Q1018" s="97"/>
      <c r="R1018" s="97"/>
      <c r="S1018" s="97"/>
      <c r="T1018" s="97"/>
      <c r="U1018" s="97"/>
      <c r="V1018" s="25"/>
      <c r="W1018" s="25"/>
      <c r="X1018" s="25"/>
      <c r="Y1018" s="25"/>
      <c r="Z1018" s="25"/>
      <c r="AA1018" s="25"/>
    </row>
    <row r="1019" spans="1:27" x14ac:dyDescent="0.35">
      <c r="A1019" s="97"/>
      <c r="B1019" s="97"/>
      <c r="C1019" s="97"/>
      <c r="D1019" s="97"/>
      <c r="E1019" s="97"/>
      <c r="F1019" s="97"/>
      <c r="G1019" s="97"/>
      <c r="H1019" s="97"/>
      <c r="I1019" s="97"/>
      <c r="J1019" s="97"/>
      <c r="K1019" s="97"/>
      <c r="L1019" s="97"/>
      <c r="M1019" s="97"/>
      <c r="N1019" s="97"/>
      <c r="O1019" s="97"/>
      <c r="P1019" s="97"/>
      <c r="Q1019" s="97"/>
      <c r="R1019" s="97"/>
      <c r="S1019" s="97"/>
      <c r="T1019" s="97"/>
      <c r="U1019" s="97"/>
      <c r="V1019" s="25"/>
      <c r="W1019" s="25"/>
      <c r="X1019" s="25"/>
      <c r="Y1019" s="25"/>
      <c r="Z1019" s="25"/>
      <c r="AA1019" s="25"/>
    </row>
    <row r="1020" spans="1:27" x14ac:dyDescent="0.35">
      <c r="A1020" s="97"/>
      <c r="B1020" s="97"/>
      <c r="C1020" s="97"/>
      <c r="D1020" s="97"/>
      <c r="E1020" s="97"/>
      <c r="F1020" s="97"/>
      <c r="G1020" s="97"/>
      <c r="H1020" s="97"/>
      <c r="I1020" s="97"/>
      <c r="J1020" s="97"/>
      <c r="K1020" s="97"/>
      <c r="L1020" s="97"/>
      <c r="M1020" s="97"/>
      <c r="N1020" s="97"/>
      <c r="O1020" s="97"/>
      <c r="P1020" s="97"/>
      <c r="Q1020" s="97"/>
      <c r="R1020" s="97"/>
      <c r="S1020" s="97"/>
      <c r="T1020" s="97"/>
      <c r="U1020" s="97"/>
      <c r="V1020" s="25"/>
      <c r="W1020" s="25"/>
      <c r="X1020" s="25"/>
      <c r="Y1020" s="25"/>
      <c r="Z1020" s="25"/>
      <c r="AA1020" s="25"/>
    </row>
    <row r="1021" spans="1:27" x14ac:dyDescent="0.35">
      <c r="A1021" s="97"/>
      <c r="B1021" s="97"/>
      <c r="C1021" s="97"/>
      <c r="D1021" s="97"/>
      <c r="E1021" s="97"/>
      <c r="F1021" s="97"/>
      <c r="G1021" s="97"/>
      <c r="H1021" s="97"/>
      <c r="I1021" s="97"/>
      <c r="J1021" s="97"/>
      <c r="K1021" s="97"/>
      <c r="L1021" s="97"/>
      <c r="M1021" s="97"/>
      <c r="N1021" s="97"/>
      <c r="O1021" s="97"/>
      <c r="P1021" s="97"/>
      <c r="Q1021" s="97"/>
      <c r="R1021" s="97"/>
      <c r="S1021" s="97"/>
      <c r="T1021" s="97"/>
      <c r="U1021" s="97"/>
      <c r="V1021" s="25"/>
      <c r="W1021" s="25"/>
      <c r="X1021" s="25"/>
      <c r="Y1021" s="25"/>
      <c r="Z1021" s="25"/>
      <c r="AA1021" s="25"/>
    </row>
    <row r="1022" spans="1:27" x14ac:dyDescent="0.35">
      <c r="A1022" s="97"/>
      <c r="B1022" s="97"/>
      <c r="C1022" s="97"/>
      <c r="D1022" s="97"/>
      <c r="E1022" s="97"/>
      <c r="F1022" s="97"/>
      <c r="G1022" s="97"/>
      <c r="H1022" s="97"/>
      <c r="I1022" s="97"/>
      <c r="J1022" s="97"/>
      <c r="K1022" s="97"/>
      <c r="L1022" s="97"/>
      <c r="M1022" s="97"/>
      <c r="N1022" s="97"/>
      <c r="O1022" s="97"/>
      <c r="P1022" s="97"/>
      <c r="Q1022" s="97"/>
      <c r="R1022" s="97"/>
      <c r="S1022" s="97"/>
      <c r="T1022" s="97"/>
      <c r="U1022" s="97"/>
      <c r="V1022" s="25"/>
      <c r="W1022" s="25"/>
      <c r="X1022" s="25"/>
      <c r="Y1022" s="25"/>
      <c r="Z1022" s="25"/>
      <c r="AA1022" s="25"/>
    </row>
    <row r="1023" spans="1:27" x14ac:dyDescent="0.35">
      <c r="A1023" s="97"/>
      <c r="B1023" s="97"/>
      <c r="C1023" s="97"/>
      <c r="D1023" s="97"/>
      <c r="E1023" s="97"/>
      <c r="F1023" s="97"/>
      <c r="G1023" s="97"/>
      <c r="H1023" s="97"/>
      <c r="I1023" s="97"/>
      <c r="J1023" s="97"/>
      <c r="K1023" s="97"/>
      <c r="L1023" s="97"/>
      <c r="M1023" s="97"/>
      <c r="N1023" s="97"/>
      <c r="O1023" s="97"/>
      <c r="P1023" s="97"/>
      <c r="Q1023" s="97"/>
      <c r="R1023" s="97"/>
      <c r="S1023" s="97"/>
      <c r="T1023" s="97"/>
      <c r="U1023" s="97"/>
      <c r="V1023" s="25"/>
      <c r="W1023" s="25"/>
      <c r="X1023" s="25"/>
      <c r="Y1023" s="25"/>
      <c r="Z1023" s="25"/>
      <c r="AA1023" s="25"/>
    </row>
    <row r="1024" spans="1:27" x14ac:dyDescent="0.35">
      <c r="A1024" s="97"/>
      <c r="B1024" s="97"/>
      <c r="C1024" s="97"/>
      <c r="D1024" s="97"/>
      <c r="E1024" s="97"/>
      <c r="F1024" s="97"/>
      <c r="G1024" s="97"/>
      <c r="H1024" s="97"/>
      <c r="I1024" s="97"/>
      <c r="J1024" s="97"/>
      <c r="K1024" s="97"/>
      <c r="L1024" s="97"/>
      <c r="M1024" s="97"/>
      <c r="N1024" s="97"/>
      <c r="O1024" s="97"/>
      <c r="P1024" s="97"/>
      <c r="Q1024" s="97"/>
      <c r="R1024" s="97"/>
      <c r="S1024" s="97"/>
      <c r="T1024" s="97"/>
      <c r="U1024" s="97"/>
      <c r="V1024" s="25"/>
      <c r="W1024" s="25"/>
      <c r="X1024" s="25"/>
      <c r="Y1024" s="25"/>
      <c r="Z1024" s="25"/>
      <c r="AA1024" s="25"/>
    </row>
    <row r="1025" spans="1:27" x14ac:dyDescent="0.35">
      <c r="A1025" s="97"/>
      <c r="B1025" s="97"/>
      <c r="C1025" s="97"/>
      <c r="D1025" s="97"/>
      <c r="E1025" s="97"/>
      <c r="F1025" s="97"/>
      <c r="G1025" s="97"/>
      <c r="H1025" s="97"/>
      <c r="I1025" s="97"/>
      <c r="J1025" s="97"/>
      <c r="K1025" s="97"/>
      <c r="L1025" s="97"/>
      <c r="M1025" s="97"/>
      <c r="N1025" s="97"/>
      <c r="O1025" s="97"/>
      <c r="P1025" s="97"/>
      <c r="Q1025" s="97"/>
      <c r="R1025" s="97"/>
      <c r="S1025" s="97"/>
      <c r="T1025" s="97"/>
      <c r="U1025" s="97"/>
      <c r="V1025" s="25"/>
      <c r="W1025" s="25"/>
      <c r="X1025" s="25"/>
      <c r="Y1025" s="25"/>
      <c r="Z1025" s="25"/>
      <c r="AA1025" s="25"/>
    </row>
    <row r="1026" spans="1:27" x14ac:dyDescent="0.35">
      <c r="A1026" s="97"/>
      <c r="B1026" s="97"/>
      <c r="C1026" s="97"/>
      <c r="D1026" s="97"/>
      <c r="E1026" s="97"/>
      <c r="F1026" s="97"/>
      <c r="G1026" s="97"/>
      <c r="H1026" s="97"/>
      <c r="I1026" s="97"/>
      <c r="J1026" s="97"/>
      <c r="K1026" s="97"/>
      <c r="L1026" s="97"/>
      <c r="M1026" s="97"/>
      <c r="N1026" s="97"/>
      <c r="O1026" s="97"/>
      <c r="P1026" s="97"/>
      <c r="Q1026" s="97"/>
      <c r="R1026" s="97"/>
      <c r="S1026" s="97"/>
      <c r="T1026" s="97"/>
      <c r="U1026" s="97"/>
      <c r="V1026" s="25"/>
      <c r="W1026" s="25"/>
      <c r="X1026" s="25"/>
      <c r="Y1026" s="25"/>
      <c r="Z1026" s="25"/>
      <c r="AA1026" s="25"/>
    </row>
    <row r="1027" spans="1:27" x14ac:dyDescent="0.35">
      <c r="A1027" s="97"/>
      <c r="B1027" s="97"/>
      <c r="C1027" s="97"/>
      <c r="D1027" s="97"/>
      <c r="E1027" s="97"/>
      <c r="F1027" s="97"/>
      <c r="G1027" s="97"/>
      <c r="H1027" s="97"/>
      <c r="I1027" s="97"/>
      <c r="J1027" s="97"/>
      <c r="K1027" s="97"/>
      <c r="L1027" s="97"/>
      <c r="M1027" s="97"/>
      <c r="N1027" s="97"/>
      <c r="O1027" s="97"/>
      <c r="P1027" s="97"/>
      <c r="Q1027" s="97"/>
      <c r="R1027" s="97"/>
      <c r="S1027" s="97"/>
      <c r="T1027" s="97"/>
      <c r="U1027" s="97"/>
      <c r="V1027" s="25"/>
      <c r="W1027" s="25"/>
      <c r="X1027" s="25"/>
      <c r="Y1027" s="25"/>
      <c r="Z1027" s="25"/>
      <c r="AA1027" s="25"/>
    </row>
    <row r="1028" spans="1:27" x14ac:dyDescent="0.35">
      <c r="A1028" s="97"/>
      <c r="B1028" s="97"/>
      <c r="C1028" s="97"/>
      <c r="D1028" s="97"/>
      <c r="E1028" s="97"/>
      <c r="F1028" s="97"/>
      <c r="G1028" s="97"/>
      <c r="H1028" s="97"/>
      <c r="I1028" s="97"/>
      <c r="J1028" s="97"/>
      <c r="K1028" s="97"/>
      <c r="L1028" s="97"/>
      <c r="M1028" s="97"/>
      <c r="N1028" s="97"/>
      <c r="O1028" s="97"/>
      <c r="P1028" s="97"/>
      <c r="Q1028" s="97"/>
      <c r="R1028" s="97"/>
      <c r="S1028" s="97"/>
      <c r="T1028" s="97"/>
      <c r="U1028" s="97"/>
      <c r="V1028" s="25"/>
      <c r="W1028" s="25"/>
      <c r="X1028" s="25"/>
      <c r="Y1028" s="25"/>
      <c r="Z1028" s="25"/>
      <c r="AA1028" s="25"/>
    </row>
    <row r="1029" spans="1:27" x14ac:dyDescent="0.35">
      <c r="A1029" s="97"/>
      <c r="B1029" s="97"/>
      <c r="C1029" s="97"/>
      <c r="D1029" s="97"/>
      <c r="E1029" s="97"/>
      <c r="F1029" s="97"/>
      <c r="G1029" s="97"/>
      <c r="H1029" s="97"/>
      <c r="I1029" s="97"/>
      <c r="J1029" s="97"/>
      <c r="K1029" s="97"/>
      <c r="L1029" s="97"/>
      <c r="M1029" s="97"/>
      <c r="N1029" s="97"/>
      <c r="O1029" s="97"/>
      <c r="P1029" s="97"/>
      <c r="Q1029" s="97"/>
      <c r="R1029" s="97"/>
      <c r="S1029" s="97"/>
      <c r="T1029" s="97"/>
      <c r="U1029" s="97"/>
      <c r="V1029" s="25"/>
      <c r="W1029" s="25"/>
      <c r="X1029" s="25"/>
      <c r="Y1029" s="25"/>
      <c r="Z1029" s="25"/>
      <c r="AA1029" s="25"/>
    </row>
    <row r="1030" spans="1:27" x14ac:dyDescent="0.35">
      <c r="A1030" s="97"/>
      <c r="B1030" s="97"/>
      <c r="C1030" s="97"/>
      <c r="D1030" s="97"/>
      <c r="E1030" s="97"/>
      <c r="F1030" s="97"/>
      <c r="G1030" s="97"/>
      <c r="H1030" s="97"/>
      <c r="I1030" s="97"/>
      <c r="J1030" s="97"/>
      <c r="K1030" s="97"/>
      <c r="L1030" s="97"/>
      <c r="M1030" s="97"/>
      <c r="N1030" s="97"/>
      <c r="O1030" s="97"/>
      <c r="P1030" s="97"/>
      <c r="Q1030" s="97"/>
      <c r="R1030" s="97"/>
      <c r="S1030" s="97"/>
      <c r="T1030" s="97"/>
      <c r="U1030" s="97"/>
      <c r="V1030" s="25"/>
      <c r="W1030" s="25"/>
      <c r="X1030" s="25"/>
      <c r="Y1030" s="25"/>
      <c r="Z1030" s="25"/>
      <c r="AA1030" s="25"/>
    </row>
    <row r="1031" spans="1:27" x14ac:dyDescent="0.35">
      <c r="A1031" s="97"/>
      <c r="B1031" s="97"/>
      <c r="C1031" s="97"/>
      <c r="D1031" s="97"/>
      <c r="E1031" s="97"/>
      <c r="F1031" s="97"/>
      <c r="G1031" s="97"/>
      <c r="H1031" s="97"/>
      <c r="I1031" s="97"/>
      <c r="J1031" s="97"/>
      <c r="K1031" s="97"/>
      <c r="L1031" s="97"/>
      <c r="M1031" s="97"/>
      <c r="N1031" s="97"/>
      <c r="O1031" s="97"/>
      <c r="P1031" s="97"/>
      <c r="Q1031" s="97"/>
      <c r="R1031" s="97"/>
      <c r="S1031" s="97"/>
      <c r="T1031" s="97"/>
      <c r="U1031" s="97"/>
      <c r="V1031" s="25"/>
      <c r="W1031" s="25"/>
      <c r="X1031" s="25"/>
      <c r="Y1031" s="25"/>
      <c r="Z1031" s="25"/>
      <c r="AA1031" s="25"/>
    </row>
    <row r="1032" spans="1:27" x14ac:dyDescent="0.35">
      <c r="A1032" s="97"/>
      <c r="B1032" s="97"/>
      <c r="C1032" s="97"/>
      <c r="D1032" s="97"/>
      <c r="E1032" s="97"/>
      <c r="F1032" s="97"/>
      <c r="G1032" s="97"/>
      <c r="H1032" s="97"/>
      <c r="I1032" s="97"/>
      <c r="J1032" s="97"/>
      <c r="K1032" s="97"/>
      <c r="L1032" s="97"/>
      <c r="M1032" s="97"/>
      <c r="N1032" s="97"/>
      <c r="O1032" s="97"/>
      <c r="P1032" s="97"/>
      <c r="Q1032" s="97"/>
      <c r="R1032" s="97"/>
      <c r="S1032" s="97"/>
      <c r="T1032" s="97"/>
      <c r="U1032" s="97"/>
      <c r="V1032" s="25"/>
      <c r="W1032" s="25"/>
      <c r="X1032" s="25"/>
      <c r="Y1032" s="25"/>
      <c r="Z1032" s="25"/>
      <c r="AA1032" s="25"/>
    </row>
    <row r="1033" spans="1:27" x14ac:dyDescent="0.35">
      <c r="A1033" s="97"/>
      <c r="B1033" s="97"/>
      <c r="C1033" s="97"/>
      <c r="D1033" s="97"/>
      <c r="E1033" s="97"/>
      <c r="F1033" s="97"/>
      <c r="G1033" s="97"/>
      <c r="H1033" s="97"/>
      <c r="I1033" s="97"/>
      <c r="J1033" s="97"/>
      <c r="K1033" s="97"/>
      <c r="L1033" s="97"/>
      <c r="M1033" s="97"/>
      <c r="N1033" s="97"/>
      <c r="O1033" s="97"/>
      <c r="P1033" s="97"/>
      <c r="Q1033" s="97"/>
      <c r="R1033" s="97"/>
      <c r="S1033" s="97"/>
      <c r="T1033" s="97"/>
      <c r="U1033" s="97"/>
      <c r="V1033" s="25"/>
      <c r="W1033" s="25"/>
      <c r="X1033" s="25"/>
      <c r="Y1033" s="25"/>
      <c r="Z1033" s="25"/>
      <c r="AA1033" s="25"/>
    </row>
    <row r="1034" spans="1:27" x14ac:dyDescent="0.35">
      <c r="A1034" s="97"/>
      <c r="B1034" s="97"/>
      <c r="C1034" s="97"/>
      <c r="D1034" s="97"/>
      <c r="E1034" s="97"/>
      <c r="F1034" s="97"/>
      <c r="G1034" s="97"/>
      <c r="H1034" s="97"/>
      <c r="I1034" s="97"/>
      <c r="J1034" s="97"/>
      <c r="K1034" s="97"/>
      <c r="L1034" s="97"/>
      <c r="M1034" s="97"/>
      <c r="N1034" s="97"/>
      <c r="O1034" s="97"/>
      <c r="P1034" s="97"/>
      <c r="Q1034" s="97"/>
      <c r="R1034" s="97"/>
      <c r="S1034" s="97"/>
      <c r="T1034" s="97"/>
      <c r="U1034" s="97"/>
      <c r="V1034" s="25"/>
      <c r="W1034" s="25"/>
      <c r="X1034" s="25"/>
      <c r="Y1034" s="25"/>
      <c r="Z1034" s="25"/>
      <c r="AA1034" s="25"/>
    </row>
    <row r="1035" spans="1:27" x14ac:dyDescent="0.35">
      <c r="A1035" s="97"/>
      <c r="B1035" s="97"/>
      <c r="C1035" s="97"/>
      <c r="D1035" s="97"/>
      <c r="E1035" s="97"/>
      <c r="F1035" s="97"/>
      <c r="G1035" s="97"/>
      <c r="H1035" s="97"/>
      <c r="I1035" s="97"/>
      <c r="J1035" s="97"/>
      <c r="K1035" s="97"/>
      <c r="L1035" s="97"/>
      <c r="M1035" s="97"/>
      <c r="N1035" s="97"/>
      <c r="O1035" s="97"/>
      <c r="P1035" s="97"/>
      <c r="Q1035" s="97"/>
      <c r="R1035" s="97"/>
      <c r="S1035" s="97"/>
      <c r="T1035" s="97"/>
      <c r="U1035" s="97"/>
      <c r="V1035" s="25"/>
      <c r="W1035" s="25"/>
      <c r="X1035" s="25"/>
      <c r="Y1035" s="25"/>
      <c r="Z1035" s="25"/>
      <c r="AA1035" s="25"/>
    </row>
    <row r="1036" spans="1:27" x14ac:dyDescent="0.35">
      <c r="A1036" s="97"/>
      <c r="B1036" s="97"/>
      <c r="C1036" s="97"/>
      <c r="D1036" s="97"/>
      <c r="E1036" s="97"/>
      <c r="F1036" s="97"/>
      <c r="G1036" s="97"/>
      <c r="H1036" s="97"/>
      <c r="I1036" s="97"/>
      <c r="J1036" s="97"/>
      <c r="K1036" s="97"/>
      <c r="L1036" s="97"/>
      <c r="M1036" s="97"/>
      <c r="N1036" s="97"/>
      <c r="O1036" s="97"/>
      <c r="P1036" s="97"/>
      <c r="Q1036" s="97"/>
      <c r="R1036" s="97"/>
      <c r="S1036" s="97"/>
      <c r="T1036" s="97"/>
      <c r="U1036" s="97"/>
      <c r="V1036" s="25"/>
      <c r="W1036" s="25"/>
      <c r="X1036" s="25"/>
      <c r="Y1036" s="25"/>
      <c r="Z1036" s="25"/>
      <c r="AA1036" s="25"/>
    </row>
    <row r="1037" spans="1:27" x14ac:dyDescent="0.35">
      <c r="A1037" s="97"/>
      <c r="B1037" s="97"/>
      <c r="C1037" s="97"/>
      <c r="D1037" s="97"/>
      <c r="E1037" s="97"/>
      <c r="F1037" s="97"/>
      <c r="G1037" s="97"/>
      <c r="H1037" s="97"/>
      <c r="I1037" s="97"/>
      <c r="J1037" s="97"/>
      <c r="K1037" s="97"/>
      <c r="L1037" s="97"/>
      <c r="M1037" s="97"/>
      <c r="N1037" s="97"/>
      <c r="O1037" s="97"/>
      <c r="P1037" s="97"/>
      <c r="Q1037" s="97"/>
      <c r="R1037" s="97"/>
      <c r="S1037" s="97"/>
      <c r="T1037" s="97"/>
      <c r="U1037" s="97"/>
      <c r="V1037" s="25"/>
      <c r="W1037" s="25"/>
      <c r="X1037" s="25"/>
      <c r="Y1037" s="25"/>
      <c r="Z1037" s="25"/>
      <c r="AA1037" s="25"/>
    </row>
    <row r="1038" spans="1:27" x14ac:dyDescent="0.35">
      <c r="A1038" s="97"/>
      <c r="B1038" s="97"/>
      <c r="C1038" s="97"/>
      <c r="D1038" s="97"/>
      <c r="E1038" s="97"/>
      <c r="F1038" s="97"/>
      <c r="G1038" s="97"/>
      <c r="H1038" s="97"/>
      <c r="I1038" s="97"/>
      <c r="J1038" s="97"/>
      <c r="K1038" s="97"/>
      <c r="L1038" s="97"/>
      <c r="M1038" s="97"/>
      <c r="N1038" s="97"/>
      <c r="O1038" s="97"/>
      <c r="P1038" s="97"/>
      <c r="Q1038" s="97"/>
      <c r="R1038" s="97"/>
      <c r="S1038" s="97"/>
      <c r="T1038" s="97"/>
      <c r="U1038" s="97"/>
      <c r="V1038" s="25"/>
      <c r="W1038" s="25"/>
      <c r="X1038" s="25"/>
      <c r="Y1038" s="25"/>
      <c r="Z1038" s="25"/>
      <c r="AA1038" s="25"/>
    </row>
    <row r="1039" spans="1:27" x14ac:dyDescent="0.35">
      <c r="A1039" s="97"/>
      <c r="B1039" s="97"/>
      <c r="C1039" s="97"/>
      <c r="D1039" s="97"/>
      <c r="E1039" s="97"/>
      <c r="F1039" s="97"/>
      <c r="G1039" s="97"/>
      <c r="H1039" s="97"/>
      <c r="I1039" s="97"/>
      <c r="J1039" s="97"/>
      <c r="K1039" s="97"/>
      <c r="L1039" s="97"/>
      <c r="M1039" s="97"/>
      <c r="N1039" s="97"/>
      <c r="O1039" s="97"/>
      <c r="P1039" s="97"/>
      <c r="Q1039" s="97"/>
      <c r="R1039" s="97"/>
      <c r="S1039" s="97"/>
      <c r="T1039" s="97"/>
      <c r="U1039" s="97"/>
      <c r="V1039" s="25"/>
      <c r="W1039" s="25"/>
      <c r="X1039" s="25"/>
      <c r="Y1039" s="25"/>
      <c r="Z1039" s="25"/>
      <c r="AA1039" s="25"/>
    </row>
    <row r="1040" spans="1:27" x14ac:dyDescent="0.35">
      <c r="A1040" s="97"/>
      <c r="B1040" s="97"/>
      <c r="C1040" s="97"/>
      <c r="D1040" s="97"/>
      <c r="E1040" s="97"/>
      <c r="F1040" s="97"/>
      <c r="G1040" s="97"/>
      <c r="H1040" s="97"/>
      <c r="I1040" s="97"/>
      <c r="J1040" s="97"/>
      <c r="K1040" s="97"/>
      <c r="L1040" s="97"/>
      <c r="M1040" s="97"/>
      <c r="N1040" s="97"/>
      <c r="O1040" s="97"/>
      <c r="P1040" s="97"/>
      <c r="Q1040" s="97"/>
      <c r="R1040" s="97"/>
      <c r="S1040" s="97"/>
      <c r="T1040" s="97"/>
      <c r="U1040" s="97"/>
      <c r="V1040" s="25"/>
      <c r="W1040" s="25"/>
      <c r="X1040" s="25"/>
      <c r="Y1040" s="25"/>
      <c r="Z1040" s="25"/>
      <c r="AA1040" s="25"/>
    </row>
    <row r="1041" spans="1:27" x14ac:dyDescent="0.35">
      <c r="A1041" s="97"/>
      <c r="B1041" s="97"/>
      <c r="C1041" s="97"/>
      <c r="D1041" s="97"/>
      <c r="E1041" s="97"/>
      <c r="F1041" s="97"/>
      <c r="G1041" s="97"/>
      <c r="H1041" s="97"/>
      <c r="I1041" s="97"/>
      <c r="J1041" s="97"/>
      <c r="K1041" s="97"/>
      <c r="L1041" s="97"/>
      <c r="M1041" s="97"/>
      <c r="N1041" s="97"/>
      <c r="O1041" s="97"/>
      <c r="P1041" s="97"/>
      <c r="Q1041" s="97"/>
      <c r="R1041" s="97"/>
      <c r="S1041" s="97"/>
      <c r="T1041" s="97"/>
      <c r="U1041" s="97"/>
      <c r="V1041" s="25"/>
      <c r="W1041" s="25"/>
      <c r="X1041" s="25"/>
      <c r="Y1041" s="25"/>
      <c r="Z1041" s="25"/>
      <c r="AA1041" s="25"/>
    </row>
    <row r="1042" spans="1:27" x14ac:dyDescent="0.35">
      <c r="A1042" s="97"/>
      <c r="B1042" s="97"/>
      <c r="C1042" s="97"/>
      <c r="D1042" s="97"/>
      <c r="E1042" s="97"/>
      <c r="F1042" s="97"/>
      <c r="G1042" s="97"/>
      <c r="H1042" s="97"/>
      <c r="I1042" s="97"/>
      <c r="J1042" s="97"/>
      <c r="K1042" s="97"/>
      <c r="L1042" s="97"/>
      <c r="M1042" s="97"/>
      <c r="N1042" s="97"/>
      <c r="O1042" s="97"/>
      <c r="P1042" s="97"/>
      <c r="Q1042" s="97"/>
      <c r="R1042" s="97"/>
      <c r="S1042" s="97"/>
      <c r="T1042" s="97"/>
      <c r="U1042" s="97"/>
      <c r="V1042" s="25"/>
      <c r="W1042" s="25"/>
      <c r="X1042" s="25"/>
      <c r="Y1042" s="25"/>
      <c r="Z1042" s="25"/>
      <c r="AA1042" s="25"/>
    </row>
    <row r="1043" spans="1:27" x14ac:dyDescent="0.35">
      <c r="A1043" s="97"/>
      <c r="B1043" s="97"/>
      <c r="C1043" s="97"/>
      <c r="D1043" s="97"/>
      <c r="E1043" s="97"/>
      <c r="F1043" s="97"/>
      <c r="G1043" s="97"/>
      <c r="H1043" s="97"/>
      <c r="I1043" s="97"/>
      <c r="J1043" s="97"/>
      <c r="K1043" s="97"/>
      <c r="L1043" s="97"/>
      <c r="M1043" s="97"/>
      <c r="N1043" s="97"/>
      <c r="O1043" s="97"/>
      <c r="P1043" s="97"/>
      <c r="Q1043" s="97"/>
      <c r="R1043" s="97"/>
      <c r="S1043" s="97"/>
      <c r="T1043" s="97"/>
      <c r="U1043" s="97"/>
      <c r="V1043" s="25"/>
      <c r="W1043" s="25"/>
      <c r="X1043" s="25"/>
      <c r="Y1043" s="25"/>
      <c r="Z1043" s="25"/>
      <c r="AA1043" s="25"/>
    </row>
    <row r="1044" spans="1:27" x14ac:dyDescent="0.35">
      <c r="A1044" s="97"/>
      <c r="B1044" s="97"/>
      <c r="C1044" s="97"/>
      <c r="D1044" s="97"/>
      <c r="E1044" s="97"/>
      <c r="F1044" s="97"/>
      <c r="G1044" s="97"/>
      <c r="H1044" s="97"/>
      <c r="I1044" s="97"/>
      <c r="J1044" s="97"/>
      <c r="K1044" s="97"/>
      <c r="L1044" s="97"/>
      <c r="M1044" s="97"/>
      <c r="N1044" s="97"/>
      <c r="O1044" s="97"/>
      <c r="P1044" s="97"/>
      <c r="Q1044" s="97"/>
      <c r="R1044" s="97"/>
      <c r="S1044" s="97"/>
      <c r="T1044" s="97"/>
      <c r="U1044" s="97"/>
      <c r="V1044" s="25"/>
      <c r="W1044" s="25"/>
      <c r="X1044" s="25"/>
      <c r="Y1044" s="25"/>
      <c r="Z1044" s="25"/>
      <c r="AA1044" s="25"/>
    </row>
    <row r="1045" spans="1:27" x14ac:dyDescent="0.35">
      <c r="A1045" s="97"/>
      <c r="B1045" s="97"/>
      <c r="C1045" s="97"/>
      <c r="D1045" s="97"/>
      <c r="E1045" s="97"/>
      <c r="F1045" s="97"/>
      <c r="G1045" s="97"/>
      <c r="H1045" s="97"/>
      <c r="I1045" s="97"/>
      <c r="J1045" s="97"/>
      <c r="K1045" s="97"/>
      <c r="L1045" s="97"/>
      <c r="M1045" s="97"/>
      <c r="N1045" s="97"/>
      <c r="O1045" s="97"/>
      <c r="P1045" s="97"/>
      <c r="Q1045" s="97"/>
      <c r="R1045" s="97"/>
      <c r="S1045" s="97"/>
      <c r="T1045" s="97"/>
      <c r="U1045" s="97"/>
      <c r="V1045" s="25"/>
      <c r="W1045" s="25"/>
      <c r="X1045" s="25"/>
      <c r="Y1045" s="25"/>
      <c r="Z1045" s="25"/>
      <c r="AA1045" s="25"/>
    </row>
    <row r="1046" spans="1:27" x14ac:dyDescent="0.35">
      <c r="A1046" s="97"/>
      <c r="B1046" s="97"/>
      <c r="C1046" s="97"/>
      <c r="D1046" s="97"/>
      <c r="E1046" s="97"/>
      <c r="F1046" s="97"/>
      <c r="G1046" s="97"/>
      <c r="H1046" s="97"/>
      <c r="I1046" s="97"/>
      <c r="J1046" s="97"/>
      <c r="K1046" s="97"/>
      <c r="L1046" s="97"/>
      <c r="M1046" s="97"/>
      <c r="N1046" s="97"/>
      <c r="O1046" s="97"/>
      <c r="P1046" s="97"/>
      <c r="Q1046" s="97"/>
      <c r="R1046" s="97"/>
      <c r="S1046" s="97"/>
      <c r="T1046" s="97"/>
      <c r="U1046" s="97"/>
      <c r="V1046" s="25"/>
      <c r="W1046" s="25"/>
      <c r="X1046" s="25"/>
      <c r="Y1046" s="25"/>
      <c r="Z1046" s="25"/>
      <c r="AA1046" s="25"/>
    </row>
    <row r="1047" spans="1:27" x14ac:dyDescent="0.35">
      <c r="A1047" s="97"/>
      <c r="B1047" s="97"/>
      <c r="C1047" s="97"/>
      <c r="D1047" s="97"/>
      <c r="E1047" s="97"/>
      <c r="F1047" s="97"/>
      <c r="G1047" s="97"/>
      <c r="H1047" s="97"/>
      <c r="I1047" s="97"/>
      <c r="J1047" s="97"/>
      <c r="K1047" s="97"/>
      <c r="L1047" s="97"/>
      <c r="M1047" s="97"/>
      <c r="N1047" s="97"/>
      <c r="O1047" s="97"/>
      <c r="P1047" s="97"/>
      <c r="Q1047" s="97"/>
      <c r="R1047" s="97"/>
      <c r="S1047" s="97"/>
      <c r="T1047" s="97"/>
      <c r="U1047" s="97"/>
      <c r="V1047" s="25"/>
      <c r="W1047" s="25"/>
      <c r="X1047" s="25"/>
      <c r="Y1047" s="25"/>
      <c r="Z1047" s="25"/>
      <c r="AA1047" s="25"/>
    </row>
    <row r="1048" spans="1:27" x14ac:dyDescent="0.35">
      <c r="A1048" s="97"/>
      <c r="B1048" s="97"/>
      <c r="C1048" s="97"/>
      <c r="D1048" s="97"/>
      <c r="E1048" s="97"/>
      <c r="F1048" s="97"/>
      <c r="G1048" s="97"/>
      <c r="H1048" s="97"/>
      <c r="I1048" s="97"/>
      <c r="J1048" s="97"/>
      <c r="K1048" s="97"/>
      <c r="L1048" s="97"/>
      <c r="M1048" s="97"/>
      <c r="N1048" s="97"/>
      <c r="O1048" s="97"/>
      <c r="P1048" s="97"/>
      <c r="Q1048" s="97"/>
      <c r="R1048" s="97"/>
      <c r="S1048" s="97"/>
      <c r="T1048" s="97"/>
      <c r="U1048" s="97"/>
      <c r="V1048" s="25"/>
      <c r="W1048" s="25"/>
      <c r="X1048" s="25"/>
      <c r="Y1048" s="25"/>
      <c r="Z1048" s="25"/>
      <c r="AA1048" s="25"/>
    </row>
    <row r="1049" spans="1:27" x14ac:dyDescent="0.35">
      <c r="A1049" s="97"/>
      <c r="B1049" s="97"/>
      <c r="C1049" s="97"/>
      <c r="D1049" s="97"/>
      <c r="E1049" s="97"/>
      <c r="F1049" s="97"/>
      <c r="G1049" s="97"/>
      <c r="H1049" s="97"/>
      <c r="I1049" s="97"/>
      <c r="J1049" s="97"/>
      <c r="K1049" s="97"/>
      <c r="L1049" s="97"/>
      <c r="M1049" s="97"/>
      <c r="N1049" s="97"/>
      <c r="O1049" s="97"/>
      <c r="P1049" s="97"/>
      <c r="Q1049" s="97"/>
      <c r="R1049" s="97"/>
      <c r="S1049" s="97"/>
      <c r="T1049" s="97"/>
      <c r="U1049" s="97"/>
      <c r="V1049" s="25"/>
      <c r="W1049" s="25"/>
      <c r="X1049" s="25"/>
      <c r="Y1049" s="25"/>
      <c r="Z1049" s="25"/>
      <c r="AA1049" s="25"/>
    </row>
    <row r="1050" spans="1:27" x14ac:dyDescent="0.35">
      <c r="A1050" s="97"/>
      <c r="B1050" s="97"/>
      <c r="C1050" s="97"/>
      <c r="D1050" s="97"/>
      <c r="E1050" s="97"/>
      <c r="F1050" s="97"/>
      <c r="G1050" s="97"/>
      <c r="H1050" s="97"/>
      <c r="I1050" s="97"/>
      <c r="J1050" s="97"/>
      <c r="K1050" s="97"/>
      <c r="L1050" s="97"/>
      <c r="M1050" s="97"/>
      <c r="N1050" s="97"/>
      <c r="O1050" s="97"/>
      <c r="P1050" s="97"/>
      <c r="Q1050" s="97"/>
      <c r="R1050" s="97"/>
      <c r="S1050" s="97"/>
      <c r="T1050" s="97"/>
      <c r="U1050" s="97"/>
      <c r="V1050" s="25"/>
      <c r="W1050" s="25"/>
      <c r="X1050" s="25"/>
      <c r="Y1050" s="25"/>
      <c r="Z1050" s="25"/>
      <c r="AA1050" s="25"/>
    </row>
    <row r="1051" spans="1:27" x14ac:dyDescent="0.35">
      <c r="A1051" s="97"/>
      <c r="B1051" s="97"/>
      <c r="C1051" s="97"/>
      <c r="D1051" s="97"/>
      <c r="E1051" s="97"/>
      <c r="F1051" s="97"/>
      <c r="G1051" s="97"/>
      <c r="H1051" s="97"/>
      <c r="I1051" s="97"/>
      <c r="J1051" s="97"/>
      <c r="K1051" s="97"/>
      <c r="L1051" s="97"/>
      <c r="M1051" s="97"/>
      <c r="N1051" s="97"/>
      <c r="O1051" s="97"/>
      <c r="P1051" s="97"/>
      <c r="Q1051" s="97"/>
      <c r="R1051" s="97"/>
      <c r="S1051" s="97"/>
      <c r="T1051" s="97"/>
      <c r="U1051" s="97"/>
      <c r="V1051" s="25"/>
      <c r="W1051" s="25"/>
      <c r="X1051" s="25"/>
      <c r="Y1051" s="25"/>
      <c r="Z1051" s="25"/>
      <c r="AA1051" s="25"/>
    </row>
    <row r="1052" spans="1:27" x14ac:dyDescent="0.35">
      <c r="A1052" s="97"/>
      <c r="B1052" s="97"/>
      <c r="C1052" s="97"/>
      <c r="D1052" s="97"/>
      <c r="E1052" s="97"/>
      <c r="F1052" s="97"/>
      <c r="G1052" s="97"/>
      <c r="H1052" s="97"/>
      <c r="I1052" s="97"/>
      <c r="J1052" s="97"/>
      <c r="K1052" s="97"/>
      <c r="L1052" s="97"/>
      <c r="M1052" s="97"/>
      <c r="N1052" s="97"/>
      <c r="O1052" s="97"/>
      <c r="P1052" s="97"/>
      <c r="Q1052" s="97"/>
      <c r="R1052" s="97"/>
      <c r="S1052" s="97"/>
      <c r="T1052" s="97"/>
      <c r="U1052" s="97"/>
      <c r="V1052" s="25"/>
      <c r="W1052" s="25"/>
      <c r="X1052" s="25"/>
      <c r="Y1052" s="25"/>
      <c r="Z1052" s="25"/>
      <c r="AA1052" s="25"/>
    </row>
    <row r="1053" spans="1:27" x14ac:dyDescent="0.35">
      <c r="A1053" s="97"/>
      <c r="B1053" s="97"/>
      <c r="C1053" s="97"/>
      <c r="D1053" s="97"/>
      <c r="E1053" s="97"/>
      <c r="F1053" s="97"/>
      <c r="G1053" s="97"/>
      <c r="H1053" s="97"/>
      <c r="I1053" s="97"/>
      <c r="J1053" s="97"/>
      <c r="K1053" s="97"/>
      <c r="L1053" s="97"/>
      <c r="M1053" s="97"/>
      <c r="N1053" s="97"/>
      <c r="O1053" s="97"/>
      <c r="P1053" s="97"/>
      <c r="Q1053" s="97"/>
      <c r="R1053" s="97"/>
      <c r="S1053" s="97"/>
      <c r="T1053" s="97"/>
      <c r="U1053" s="97"/>
      <c r="V1053" s="25"/>
      <c r="W1053" s="25"/>
      <c r="X1053" s="25"/>
      <c r="Y1053" s="25"/>
      <c r="Z1053" s="25"/>
      <c r="AA1053" s="25"/>
    </row>
    <row r="1054" spans="1:27" x14ac:dyDescent="0.35">
      <c r="A1054" s="97"/>
      <c r="B1054" s="97"/>
      <c r="C1054" s="97"/>
      <c r="D1054" s="97"/>
      <c r="E1054" s="97"/>
      <c r="F1054" s="97"/>
      <c r="G1054" s="97"/>
      <c r="H1054" s="97"/>
      <c r="I1054" s="97"/>
      <c r="J1054" s="97"/>
      <c r="K1054" s="97"/>
      <c r="L1054" s="97"/>
      <c r="M1054" s="97"/>
      <c r="N1054" s="97"/>
      <c r="O1054" s="97"/>
      <c r="P1054" s="97"/>
      <c r="Q1054" s="97"/>
      <c r="R1054" s="97"/>
      <c r="S1054" s="97"/>
      <c r="T1054" s="97"/>
      <c r="U1054" s="97"/>
      <c r="V1054" s="25"/>
      <c r="W1054" s="25"/>
      <c r="X1054" s="25"/>
      <c r="Y1054" s="25"/>
      <c r="Z1054" s="25"/>
      <c r="AA1054" s="25"/>
    </row>
    <row r="1055" spans="1:27" x14ac:dyDescent="0.35">
      <c r="A1055" s="97"/>
      <c r="B1055" s="97"/>
      <c r="C1055" s="97"/>
      <c r="D1055" s="97"/>
      <c r="E1055" s="97"/>
      <c r="F1055" s="97"/>
      <c r="G1055" s="97"/>
      <c r="H1055" s="97"/>
      <c r="I1055" s="97"/>
      <c r="J1055" s="97"/>
      <c r="K1055" s="97"/>
      <c r="L1055" s="97"/>
      <c r="M1055" s="97"/>
      <c r="N1055" s="97"/>
      <c r="O1055" s="97"/>
      <c r="P1055" s="97"/>
      <c r="Q1055" s="97"/>
      <c r="R1055" s="97"/>
      <c r="S1055" s="97"/>
      <c r="T1055" s="97"/>
      <c r="U1055" s="97"/>
      <c r="V1055" s="25"/>
      <c r="W1055" s="25"/>
      <c r="X1055" s="25"/>
      <c r="Y1055" s="25"/>
      <c r="Z1055" s="25"/>
      <c r="AA1055" s="25"/>
    </row>
    <row r="1056" spans="1:27" x14ac:dyDescent="0.35">
      <c r="A1056" s="97"/>
      <c r="B1056" s="97"/>
      <c r="C1056" s="97"/>
      <c r="D1056" s="97"/>
      <c r="E1056" s="97"/>
      <c r="F1056" s="97"/>
      <c r="G1056" s="97"/>
      <c r="H1056" s="97"/>
      <c r="I1056" s="97"/>
      <c r="J1056" s="97"/>
      <c r="K1056" s="97"/>
      <c r="L1056" s="97"/>
      <c r="M1056" s="97"/>
      <c r="N1056" s="97"/>
      <c r="O1056" s="97"/>
      <c r="P1056" s="97"/>
      <c r="Q1056" s="97"/>
      <c r="R1056" s="97"/>
      <c r="S1056" s="97"/>
      <c r="T1056" s="97"/>
      <c r="U1056" s="97"/>
      <c r="V1056" s="25"/>
      <c r="W1056" s="25"/>
      <c r="X1056" s="25"/>
      <c r="Y1056" s="25"/>
      <c r="Z1056" s="25"/>
      <c r="AA1056" s="25"/>
    </row>
    <row r="1057" spans="1:27" x14ac:dyDescent="0.35">
      <c r="A1057" s="97"/>
      <c r="B1057" s="97"/>
      <c r="C1057" s="97"/>
      <c r="D1057" s="97"/>
      <c r="E1057" s="97"/>
      <c r="F1057" s="97"/>
      <c r="G1057" s="97"/>
      <c r="H1057" s="97"/>
      <c r="I1057" s="97"/>
      <c r="J1057" s="97"/>
      <c r="K1057" s="97"/>
      <c r="L1057" s="97"/>
      <c r="M1057" s="97"/>
      <c r="N1057" s="97"/>
      <c r="O1057" s="97"/>
      <c r="P1057" s="97"/>
      <c r="Q1057" s="97"/>
      <c r="R1057" s="97"/>
      <c r="S1057" s="97"/>
      <c r="T1057" s="97"/>
      <c r="U1057" s="97"/>
      <c r="V1057" s="25"/>
      <c r="W1057" s="25"/>
      <c r="X1057" s="25"/>
      <c r="Y1057" s="25"/>
      <c r="Z1057" s="25"/>
      <c r="AA1057" s="25"/>
    </row>
    <row r="1058" spans="1:27" x14ac:dyDescent="0.35">
      <c r="A1058" s="97"/>
      <c r="B1058" s="97"/>
      <c r="C1058" s="97"/>
      <c r="D1058" s="97"/>
      <c r="E1058" s="97"/>
      <c r="F1058" s="97"/>
      <c r="G1058" s="97"/>
      <c r="H1058" s="97"/>
      <c r="I1058" s="97"/>
      <c r="J1058" s="97"/>
      <c r="K1058" s="97"/>
      <c r="L1058" s="97"/>
      <c r="M1058" s="97"/>
      <c r="N1058" s="97"/>
      <c r="O1058" s="97"/>
      <c r="P1058" s="97"/>
      <c r="Q1058" s="97"/>
      <c r="R1058" s="97"/>
      <c r="S1058" s="97"/>
      <c r="T1058" s="97"/>
      <c r="U1058" s="97"/>
      <c r="V1058" s="25"/>
      <c r="W1058" s="25"/>
      <c r="X1058" s="25"/>
      <c r="Y1058" s="25"/>
      <c r="Z1058" s="25"/>
      <c r="AA1058" s="25"/>
    </row>
    <row r="1059" spans="1:27" x14ac:dyDescent="0.35">
      <c r="A1059" s="97"/>
      <c r="B1059" s="97"/>
      <c r="C1059" s="97"/>
      <c r="D1059" s="97"/>
      <c r="E1059" s="97"/>
      <c r="F1059" s="97"/>
      <c r="G1059" s="97"/>
      <c r="H1059" s="97"/>
      <c r="I1059" s="97"/>
      <c r="J1059" s="97"/>
      <c r="K1059" s="97"/>
      <c r="L1059" s="97"/>
      <c r="M1059" s="97"/>
      <c r="N1059" s="97"/>
      <c r="O1059" s="97"/>
      <c r="P1059" s="97"/>
      <c r="Q1059" s="97"/>
      <c r="R1059" s="97"/>
      <c r="S1059" s="97"/>
      <c r="T1059" s="97"/>
      <c r="U1059" s="97"/>
      <c r="V1059" s="25"/>
      <c r="W1059" s="25"/>
      <c r="X1059" s="25"/>
      <c r="Y1059" s="25"/>
      <c r="Z1059" s="25"/>
      <c r="AA1059" s="25"/>
    </row>
    <row r="1060" spans="1:27" x14ac:dyDescent="0.35">
      <c r="A1060" s="97"/>
      <c r="B1060" s="97"/>
      <c r="C1060" s="97"/>
      <c r="D1060" s="97"/>
      <c r="E1060" s="97"/>
      <c r="F1060" s="97"/>
      <c r="G1060" s="97"/>
      <c r="H1060" s="97"/>
      <c r="I1060" s="97"/>
      <c r="J1060" s="97"/>
      <c r="K1060" s="97"/>
      <c r="L1060" s="97"/>
      <c r="M1060" s="97"/>
      <c r="N1060" s="97"/>
      <c r="O1060" s="97"/>
      <c r="P1060" s="97"/>
      <c r="Q1060" s="97"/>
      <c r="R1060" s="97"/>
      <c r="S1060" s="97"/>
      <c r="T1060" s="97"/>
      <c r="U1060" s="97"/>
      <c r="V1060" s="25"/>
      <c r="W1060" s="25"/>
      <c r="X1060" s="25"/>
      <c r="Y1060" s="25"/>
      <c r="Z1060" s="25"/>
      <c r="AA1060" s="25"/>
    </row>
    <row r="1061" spans="1:27" x14ac:dyDescent="0.35">
      <c r="A1061" s="97"/>
      <c r="B1061" s="97"/>
      <c r="C1061" s="97"/>
      <c r="D1061" s="97"/>
      <c r="E1061" s="97"/>
      <c r="F1061" s="97"/>
      <c r="G1061" s="97"/>
      <c r="H1061" s="97"/>
      <c r="I1061" s="97"/>
      <c r="J1061" s="97"/>
      <c r="K1061" s="97"/>
      <c r="L1061" s="97"/>
      <c r="M1061" s="97"/>
      <c r="N1061" s="97"/>
      <c r="O1061" s="97"/>
      <c r="P1061" s="97"/>
      <c r="Q1061" s="97"/>
      <c r="R1061" s="97"/>
      <c r="S1061" s="97"/>
      <c r="T1061" s="97"/>
      <c r="U1061" s="97"/>
      <c r="V1061" s="25"/>
      <c r="W1061" s="25"/>
      <c r="X1061" s="25"/>
      <c r="Y1061" s="25"/>
      <c r="Z1061" s="25"/>
      <c r="AA1061" s="25"/>
    </row>
    <row r="1062" spans="1:27" x14ac:dyDescent="0.35">
      <c r="A1062" s="97"/>
      <c r="B1062" s="97"/>
      <c r="C1062" s="97"/>
      <c r="D1062" s="97"/>
      <c r="E1062" s="97"/>
      <c r="F1062" s="97"/>
      <c r="G1062" s="97"/>
      <c r="H1062" s="97"/>
      <c r="I1062" s="97"/>
      <c r="J1062" s="97"/>
      <c r="K1062" s="97"/>
      <c r="L1062" s="97"/>
      <c r="M1062" s="97"/>
      <c r="N1062" s="97"/>
      <c r="O1062" s="97"/>
      <c r="P1062" s="97"/>
      <c r="Q1062" s="97"/>
      <c r="R1062" s="97"/>
      <c r="S1062" s="97"/>
      <c r="T1062" s="97"/>
      <c r="U1062" s="97"/>
      <c r="V1062" s="25"/>
      <c r="W1062" s="25"/>
      <c r="X1062" s="25"/>
      <c r="Y1062" s="25"/>
      <c r="Z1062" s="25"/>
      <c r="AA1062" s="25"/>
    </row>
    <row r="1063" spans="1:27" x14ac:dyDescent="0.35">
      <c r="A1063" s="26"/>
      <c r="B1063" s="26"/>
      <c r="C1063" s="26"/>
      <c r="D1063" s="26"/>
      <c r="E1063" s="26"/>
      <c r="F1063" s="26"/>
      <c r="G1063" s="26"/>
      <c r="H1063" s="26"/>
      <c r="I1063" s="26"/>
      <c r="J1063" s="26"/>
      <c r="K1063" s="26"/>
      <c r="L1063" s="26"/>
      <c r="M1063" s="26"/>
      <c r="N1063" s="26"/>
      <c r="O1063" s="26"/>
      <c r="P1063" s="26"/>
      <c r="Q1063" s="26"/>
      <c r="R1063" s="26"/>
      <c r="S1063" s="26"/>
      <c r="T1063" s="97"/>
      <c r="U1063" s="97"/>
      <c r="V1063" s="25"/>
      <c r="W1063" s="25"/>
      <c r="X1063" s="25"/>
      <c r="Y1063" s="25"/>
      <c r="Z1063" s="25"/>
      <c r="AA1063" s="25"/>
    </row>
    <row r="1064" spans="1:27" x14ac:dyDescent="0.35">
      <c r="A1064" s="26"/>
      <c r="B1064" s="26"/>
      <c r="C1064" s="26"/>
      <c r="D1064" s="26"/>
      <c r="E1064" s="26"/>
      <c r="F1064" s="26"/>
      <c r="G1064" s="26"/>
      <c r="H1064" s="26"/>
      <c r="I1064" s="26"/>
      <c r="J1064" s="26"/>
      <c r="K1064" s="26"/>
      <c r="L1064" s="26"/>
      <c r="M1064" s="26"/>
      <c r="N1064" s="26"/>
      <c r="O1064" s="26"/>
      <c r="P1064" s="26"/>
      <c r="Q1064" s="26"/>
      <c r="R1064" s="26"/>
      <c r="S1064" s="26"/>
      <c r="T1064" s="97"/>
      <c r="U1064" s="97"/>
      <c r="V1064" s="25"/>
      <c r="W1064" s="25"/>
      <c r="X1064" s="25"/>
      <c r="Y1064" s="25"/>
      <c r="Z1064" s="25"/>
      <c r="AA1064" s="25"/>
    </row>
    <row r="1065" spans="1:27" x14ac:dyDescent="0.35">
      <c r="A1065" s="26"/>
      <c r="B1065" s="26"/>
      <c r="C1065" s="26"/>
      <c r="D1065" s="26"/>
      <c r="E1065" s="26"/>
      <c r="F1065" s="26"/>
      <c r="G1065" s="26"/>
      <c r="H1065" s="26"/>
      <c r="I1065" s="26"/>
      <c r="J1065" s="26"/>
      <c r="K1065" s="26"/>
      <c r="L1065" s="26"/>
      <c r="M1065" s="26"/>
      <c r="N1065" s="26"/>
      <c r="O1065" s="26"/>
      <c r="P1065" s="26"/>
      <c r="Q1065" s="26"/>
      <c r="R1065" s="26"/>
      <c r="S1065" s="26"/>
      <c r="T1065" s="97"/>
      <c r="U1065" s="97"/>
      <c r="V1065" s="25"/>
      <c r="W1065" s="25"/>
      <c r="X1065" s="25"/>
      <c r="Y1065" s="25"/>
      <c r="Z1065" s="25"/>
      <c r="AA1065" s="25"/>
    </row>
    <row r="1066" spans="1:27" x14ac:dyDescent="0.35">
      <c r="A1066" s="26"/>
      <c r="B1066" s="26"/>
      <c r="C1066" s="26"/>
      <c r="D1066" s="26"/>
      <c r="E1066" s="26"/>
      <c r="F1066" s="26"/>
      <c r="G1066" s="26"/>
      <c r="H1066" s="26"/>
      <c r="I1066" s="26"/>
      <c r="J1066" s="26"/>
      <c r="K1066" s="26"/>
      <c r="L1066" s="26"/>
      <c r="M1066" s="26"/>
      <c r="N1066" s="26"/>
      <c r="O1066" s="26"/>
      <c r="P1066" s="26"/>
      <c r="Q1066" s="26"/>
      <c r="R1066" s="26"/>
      <c r="S1066" s="26"/>
      <c r="T1066" s="97"/>
      <c r="U1066" s="97"/>
      <c r="V1066" s="25"/>
      <c r="W1066" s="25"/>
      <c r="X1066" s="25"/>
      <c r="Y1066" s="25"/>
      <c r="Z1066" s="25"/>
      <c r="AA1066" s="25"/>
    </row>
    <row r="1067" spans="1:27" x14ac:dyDescent="0.35">
      <c r="A1067" s="26"/>
      <c r="B1067" s="26"/>
      <c r="C1067" s="26"/>
      <c r="D1067" s="26"/>
      <c r="E1067" s="26"/>
      <c r="F1067" s="26"/>
      <c r="G1067" s="26"/>
      <c r="H1067" s="26"/>
      <c r="I1067" s="26"/>
      <c r="J1067" s="26"/>
      <c r="K1067" s="26"/>
      <c r="L1067" s="26"/>
      <c r="M1067" s="26"/>
      <c r="N1067" s="26"/>
      <c r="O1067" s="26"/>
      <c r="P1067" s="26"/>
      <c r="Q1067" s="26"/>
      <c r="R1067" s="26"/>
      <c r="S1067" s="26"/>
      <c r="T1067" s="97"/>
      <c r="U1067" s="97"/>
      <c r="V1067" s="25"/>
      <c r="W1067" s="25"/>
      <c r="X1067" s="25"/>
      <c r="Y1067" s="25"/>
      <c r="Z1067" s="25"/>
      <c r="AA1067" s="25"/>
    </row>
    <row r="1068" spans="1:27" x14ac:dyDescent="0.35">
      <c r="A1068" s="26"/>
      <c r="B1068" s="26"/>
      <c r="C1068" s="26"/>
      <c r="D1068" s="26"/>
      <c r="E1068" s="26"/>
      <c r="F1068" s="26"/>
      <c r="G1068" s="26"/>
      <c r="H1068" s="26"/>
      <c r="I1068" s="26"/>
      <c r="J1068" s="26"/>
      <c r="K1068" s="26"/>
      <c r="L1068" s="26"/>
      <c r="M1068" s="26"/>
      <c r="N1068" s="26"/>
      <c r="O1068" s="26"/>
      <c r="P1068" s="26"/>
      <c r="Q1068" s="26"/>
      <c r="R1068" s="26"/>
      <c r="S1068" s="26"/>
      <c r="T1068" s="97"/>
      <c r="U1068" s="97"/>
      <c r="V1068" s="25"/>
      <c r="W1068" s="25"/>
      <c r="X1068" s="25"/>
      <c r="Y1068" s="25"/>
      <c r="Z1068" s="25"/>
      <c r="AA1068" s="25"/>
    </row>
    <row r="1069" spans="1:27" x14ac:dyDescent="0.35">
      <c r="A1069" s="26"/>
      <c r="B1069" s="26"/>
      <c r="C1069" s="26"/>
      <c r="D1069" s="26"/>
      <c r="E1069" s="26"/>
      <c r="F1069" s="26"/>
      <c r="G1069" s="26"/>
      <c r="H1069" s="26"/>
      <c r="I1069" s="26"/>
      <c r="J1069" s="26"/>
      <c r="K1069" s="26"/>
      <c r="L1069" s="26"/>
      <c r="M1069" s="26"/>
      <c r="N1069" s="26"/>
      <c r="O1069" s="26"/>
      <c r="P1069" s="26"/>
      <c r="Q1069" s="26"/>
      <c r="R1069" s="26"/>
      <c r="S1069" s="26"/>
      <c r="T1069" s="97"/>
      <c r="U1069" s="97"/>
      <c r="V1069" s="25"/>
      <c r="W1069" s="25"/>
      <c r="X1069" s="25"/>
      <c r="Y1069" s="25"/>
      <c r="Z1069" s="25"/>
      <c r="AA1069" s="25"/>
    </row>
    <row r="1070" spans="1:27" x14ac:dyDescent="0.35">
      <c r="A1070" s="26"/>
      <c r="B1070" s="26"/>
      <c r="C1070" s="26"/>
      <c r="D1070" s="26"/>
      <c r="E1070" s="26"/>
      <c r="F1070" s="26"/>
      <c r="G1070" s="26"/>
      <c r="H1070" s="26"/>
      <c r="I1070" s="26"/>
      <c r="J1070" s="26"/>
      <c r="K1070" s="26"/>
      <c r="L1070" s="26"/>
      <c r="M1070" s="26"/>
      <c r="N1070" s="26"/>
      <c r="O1070" s="26"/>
      <c r="P1070" s="26"/>
      <c r="Q1070" s="26"/>
      <c r="R1070" s="26"/>
      <c r="S1070" s="26"/>
      <c r="T1070" s="97"/>
      <c r="U1070" s="97"/>
      <c r="V1070" s="25"/>
      <c r="W1070" s="25"/>
      <c r="X1070" s="25"/>
      <c r="Y1070" s="25"/>
      <c r="Z1070" s="25"/>
      <c r="AA1070" s="25"/>
    </row>
    <row r="1071" spans="1:27" x14ac:dyDescent="0.35">
      <c r="A1071" s="26"/>
      <c r="B1071" s="26"/>
      <c r="C1071" s="26"/>
      <c r="D1071" s="26"/>
      <c r="E1071" s="26"/>
      <c r="F1071" s="26"/>
      <c r="G1071" s="26"/>
      <c r="H1071" s="26"/>
      <c r="I1071" s="26"/>
      <c r="J1071" s="26"/>
      <c r="K1071" s="26"/>
      <c r="L1071" s="26"/>
      <c r="M1071" s="26"/>
      <c r="N1071" s="26"/>
      <c r="O1071" s="26"/>
      <c r="P1071" s="26"/>
      <c r="Q1071" s="26"/>
      <c r="R1071" s="26"/>
      <c r="S1071" s="26"/>
      <c r="T1071" s="97"/>
      <c r="U1071" s="97"/>
      <c r="V1071" s="25"/>
      <c r="W1071" s="25"/>
      <c r="X1071" s="25"/>
      <c r="Y1071" s="25"/>
      <c r="Z1071" s="25"/>
      <c r="AA1071" s="25"/>
    </row>
    <row r="1072" spans="1:27" x14ac:dyDescent="0.35">
      <c r="A1072" s="26"/>
      <c r="B1072" s="26"/>
      <c r="C1072" s="26"/>
      <c r="D1072" s="26"/>
      <c r="E1072" s="26"/>
      <c r="F1072" s="26"/>
      <c r="G1072" s="26"/>
      <c r="H1072" s="26"/>
      <c r="I1072" s="26"/>
      <c r="J1072" s="26"/>
      <c r="K1072" s="26"/>
      <c r="L1072" s="26"/>
      <c r="M1072" s="26"/>
      <c r="N1072" s="26"/>
      <c r="O1072" s="26"/>
      <c r="P1072" s="26"/>
      <c r="Q1072" s="26"/>
      <c r="R1072" s="26"/>
      <c r="S1072" s="26"/>
      <c r="T1072" s="97"/>
      <c r="U1072" s="97"/>
      <c r="V1072" s="25"/>
      <c r="W1072" s="25"/>
      <c r="X1072" s="25"/>
      <c r="Y1072" s="25"/>
      <c r="Z1072" s="25"/>
      <c r="AA1072" s="25"/>
    </row>
    <row r="1073" spans="1:27" x14ac:dyDescent="0.35">
      <c r="A1073" s="26"/>
      <c r="B1073" s="26"/>
      <c r="C1073" s="26"/>
      <c r="D1073" s="26"/>
      <c r="E1073" s="26"/>
      <c r="F1073" s="26"/>
      <c r="G1073" s="26"/>
      <c r="H1073" s="26"/>
      <c r="I1073" s="26"/>
      <c r="J1073" s="26"/>
      <c r="K1073" s="26"/>
      <c r="L1073" s="26"/>
      <c r="M1073" s="26"/>
      <c r="N1073" s="26"/>
      <c r="O1073" s="26"/>
      <c r="P1073" s="26"/>
      <c r="Q1073" s="26"/>
      <c r="R1073" s="26"/>
      <c r="S1073" s="26"/>
      <c r="T1073" s="97"/>
      <c r="U1073" s="97"/>
      <c r="V1073" s="25"/>
      <c r="W1073" s="25"/>
      <c r="X1073" s="25"/>
      <c r="Y1073" s="25"/>
      <c r="Z1073" s="25"/>
      <c r="AA1073" s="25"/>
    </row>
    <row r="1074" spans="1:27" x14ac:dyDescent="0.35">
      <c r="A1074" s="26"/>
      <c r="B1074" s="26"/>
      <c r="C1074" s="26"/>
      <c r="D1074" s="26"/>
      <c r="E1074" s="26"/>
      <c r="F1074" s="26"/>
      <c r="G1074" s="26"/>
      <c r="H1074" s="26"/>
      <c r="I1074" s="26"/>
      <c r="J1074" s="26"/>
      <c r="K1074" s="26"/>
      <c r="L1074" s="26"/>
      <c r="M1074" s="26"/>
      <c r="N1074" s="26"/>
      <c r="O1074" s="26"/>
      <c r="P1074" s="26"/>
      <c r="Q1074" s="26"/>
      <c r="R1074" s="26"/>
      <c r="S1074" s="26"/>
      <c r="T1074" s="97"/>
      <c r="U1074" s="97"/>
      <c r="V1074" s="25"/>
      <c r="W1074" s="25"/>
      <c r="X1074" s="25"/>
      <c r="Y1074" s="25"/>
      <c r="Z1074" s="25"/>
      <c r="AA1074" s="25"/>
    </row>
    <row r="1075" spans="1:27" x14ac:dyDescent="0.35">
      <c r="A1075" s="26"/>
      <c r="B1075" s="26"/>
      <c r="C1075" s="26"/>
      <c r="D1075" s="26"/>
      <c r="E1075" s="26"/>
      <c r="F1075" s="26"/>
      <c r="G1075" s="26"/>
      <c r="H1075" s="26"/>
      <c r="I1075" s="26"/>
      <c r="J1075" s="26"/>
      <c r="K1075" s="26"/>
      <c r="L1075" s="26"/>
      <c r="M1075" s="26"/>
      <c r="N1075" s="26"/>
      <c r="O1075" s="26"/>
      <c r="P1075" s="26"/>
      <c r="Q1075" s="26"/>
      <c r="R1075" s="26"/>
      <c r="S1075" s="26"/>
      <c r="T1075" s="97"/>
      <c r="U1075" s="97"/>
      <c r="V1075" s="25"/>
      <c r="W1075" s="25"/>
      <c r="X1075" s="25"/>
      <c r="Y1075" s="25"/>
      <c r="Z1075" s="25"/>
      <c r="AA1075" s="25"/>
    </row>
    <row r="1076" spans="1:27" x14ac:dyDescent="0.35">
      <c r="A1076" s="26"/>
      <c r="B1076" s="26"/>
      <c r="C1076" s="26"/>
      <c r="D1076" s="26"/>
      <c r="E1076" s="26"/>
      <c r="F1076" s="26"/>
      <c r="G1076" s="26"/>
      <c r="H1076" s="26"/>
      <c r="I1076" s="26"/>
      <c r="J1076" s="26"/>
      <c r="K1076" s="26"/>
      <c r="L1076" s="26"/>
      <c r="M1076" s="26"/>
      <c r="N1076" s="26"/>
      <c r="O1076" s="26"/>
      <c r="P1076" s="26"/>
      <c r="Q1076" s="26"/>
      <c r="R1076" s="26"/>
      <c r="S1076" s="26"/>
      <c r="T1076" s="97"/>
      <c r="U1076" s="97"/>
      <c r="V1076" s="25"/>
      <c r="W1076" s="25"/>
      <c r="X1076" s="25"/>
      <c r="Y1076" s="25"/>
      <c r="Z1076" s="25"/>
      <c r="AA1076" s="25"/>
    </row>
    <row r="1077" spans="1:27" x14ac:dyDescent="0.35">
      <c r="A1077" s="26"/>
      <c r="B1077" s="26"/>
      <c r="C1077" s="26"/>
      <c r="D1077" s="26"/>
      <c r="E1077" s="26"/>
      <c r="F1077" s="26"/>
      <c r="G1077" s="26"/>
      <c r="H1077" s="26"/>
      <c r="I1077" s="26"/>
      <c r="J1077" s="26"/>
      <c r="K1077" s="26"/>
      <c r="L1077" s="26"/>
      <c r="M1077" s="26"/>
      <c r="N1077" s="26"/>
      <c r="O1077" s="26"/>
      <c r="P1077" s="26"/>
      <c r="Q1077" s="26"/>
      <c r="R1077" s="26"/>
      <c r="S1077" s="26"/>
      <c r="T1077" s="97"/>
      <c r="U1077" s="97"/>
      <c r="V1077" s="25"/>
      <c r="W1077" s="25"/>
      <c r="X1077" s="25"/>
      <c r="Y1077" s="25"/>
      <c r="Z1077" s="25"/>
      <c r="AA1077" s="25"/>
    </row>
    <row r="1078" spans="1:27" x14ac:dyDescent="0.35">
      <c r="A1078" s="26"/>
      <c r="B1078" s="26"/>
      <c r="C1078" s="26"/>
      <c r="D1078" s="26"/>
      <c r="E1078" s="26"/>
      <c r="F1078" s="26"/>
      <c r="G1078" s="26"/>
      <c r="H1078" s="26"/>
      <c r="I1078" s="26"/>
      <c r="J1078" s="26"/>
      <c r="K1078" s="26"/>
      <c r="L1078" s="26"/>
      <c r="M1078" s="26"/>
      <c r="N1078" s="26"/>
      <c r="O1078" s="26"/>
      <c r="P1078" s="26"/>
      <c r="Q1078" s="26"/>
      <c r="R1078" s="26"/>
      <c r="S1078" s="26"/>
      <c r="T1078" s="97"/>
      <c r="U1078" s="97"/>
      <c r="V1078" s="25"/>
      <c r="W1078" s="25"/>
      <c r="X1078" s="25"/>
      <c r="Y1078" s="25"/>
      <c r="Z1078" s="25"/>
      <c r="AA1078" s="25"/>
    </row>
    <row r="1079" spans="1:27" x14ac:dyDescent="0.35">
      <c r="A1079" s="26"/>
      <c r="B1079" s="26"/>
      <c r="C1079" s="26"/>
      <c r="D1079" s="26"/>
      <c r="E1079" s="26"/>
      <c r="F1079" s="26"/>
      <c r="G1079" s="26"/>
      <c r="H1079" s="26"/>
      <c r="I1079" s="26"/>
      <c r="J1079" s="26"/>
      <c r="K1079" s="26"/>
      <c r="L1079" s="26"/>
      <c r="M1079" s="26"/>
      <c r="N1079" s="26"/>
      <c r="O1079" s="26"/>
      <c r="P1079" s="26"/>
      <c r="Q1079" s="26"/>
      <c r="R1079" s="26"/>
      <c r="S1079" s="26"/>
      <c r="T1079" s="97"/>
      <c r="U1079" s="97"/>
      <c r="V1079" s="25"/>
      <c r="W1079" s="25"/>
      <c r="X1079" s="25"/>
      <c r="Y1079" s="25"/>
      <c r="Z1079" s="25"/>
      <c r="AA1079" s="25"/>
    </row>
    <row r="1080" spans="1:27" x14ac:dyDescent="0.35">
      <c r="A1080" s="26"/>
      <c r="B1080" s="26"/>
      <c r="C1080" s="26"/>
      <c r="D1080" s="26"/>
      <c r="E1080" s="26"/>
      <c r="F1080" s="26"/>
      <c r="G1080" s="26"/>
      <c r="H1080" s="26"/>
      <c r="I1080" s="26"/>
      <c r="J1080" s="26"/>
      <c r="K1080" s="26"/>
      <c r="L1080" s="26"/>
      <c r="M1080" s="26"/>
      <c r="N1080" s="26"/>
      <c r="O1080" s="26"/>
      <c r="P1080" s="26"/>
      <c r="Q1080" s="26"/>
      <c r="R1080" s="26"/>
      <c r="S1080" s="26"/>
      <c r="T1080" s="97"/>
      <c r="U1080" s="97"/>
      <c r="V1080" s="25"/>
      <c r="W1080" s="25"/>
      <c r="X1080" s="25"/>
      <c r="Y1080" s="25"/>
      <c r="Z1080" s="25"/>
      <c r="AA1080" s="25"/>
    </row>
    <row r="1081" spans="1:27" x14ac:dyDescent="0.35">
      <c r="A1081" s="26"/>
      <c r="B1081" s="26"/>
      <c r="C1081" s="26"/>
      <c r="D1081" s="26"/>
      <c r="E1081" s="26"/>
      <c r="F1081" s="26"/>
      <c r="G1081" s="26"/>
      <c r="H1081" s="26"/>
      <c r="I1081" s="26"/>
      <c r="J1081" s="26"/>
      <c r="K1081" s="26"/>
      <c r="L1081" s="26"/>
      <c r="M1081" s="26"/>
      <c r="N1081" s="26"/>
      <c r="O1081" s="26"/>
      <c r="P1081" s="26"/>
      <c r="Q1081" s="26"/>
      <c r="R1081" s="26"/>
      <c r="S1081" s="26"/>
      <c r="T1081" s="97"/>
      <c r="U1081" s="97"/>
      <c r="V1081" s="25"/>
      <c r="W1081" s="25"/>
      <c r="X1081" s="25"/>
      <c r="Y1081" s="25"/>
      <c r="Z1081" s="25"/>
      <c r="AA1081" s="25"/>
    </row>
    <row r="1082" spans="1:27" x14ac:dyDescent="0.35">
      <c r="A1082" s="26"/>
      <c r="B1082" s="26"/>
      <c r="C1082" s="26"/>
      <c r="D1082" s="26"/>
      <c r="E1082" s="26"/>
      <c r="F1082" s="26"/>
      <c r="G1082" s="26"/>
      <c r="H1082" s="26"/>
      <c r="I1082" s="26"/>
      <c r="J1082" s="26"/>
      <c r="K1082" s="26"/>
      <c r="L1082" s="26"/>
      <c r="M1082" s="26"/>
      <c r="N1082" s="26"/>
      <c r="O1082" s="26"/>
      <c r="P1082" s="26"/>
      <c r="Q1082" s="26"/>
      <c r="R1082" s="26"/>
      <c r="S1082" s="26"/>
      <c r="T1082" s="97"/>
      <c r="U1082" s="97"/>
      <c r="V1082" s="25"/>
      <c r="W1082" s="25"/>
      <c r="X1082" s="25"/>
      <c r="Y1082" s="25"/>
      <c r="Z1082" s="25"/>
      <c r="AA1082" s="25"/>
    </row>
    <row r="1083" spans="1:27" x14ac:dyDescent="0.35">
      <c r="A1083" s="26"/>
      <c r="B1083" s="26"/>
      <c r="C1083" s="26"/>
      <c r="D1083" s="26"/>
      <c r="E1083" s="26"/>
      <c r="F1083" s="26"/>
      <c r="G1083" s="26"/>
      <c r="H1083" s="26"/>
      <c r="I1083" s="26"/>
      <c r="J1083" s="26"/>
      <c r="K1083" s="26"/>
      <c r="L1083" s="26"/>
      <c r="M1083" s="26"/>
      <c r="N1083" s="26"/>
      <c r="O1083" s="26"/>
      <c r="P1083" s="26"/>
      <c r="Q1083" s="26"/>
      <c r="R1083" s="26"/>
      <c r="S1083" s="26"/>
      <c r="T1083" s="97"/>
      <c r="U1083" s="97"/>
      <c r="V1083" s="25"/>
      <c r="W1083" s="25"/>
      <c r="X1083" s="25"/>
      <c r="Y1083" s="25"/>
      <c r="Z1083" s="25"/>
      <c r="AA1083" s="25"/>
    </row>
    <row r="1084" spans="1:27" x14ac:dyDescent="0.35">
      <c r="A1084" s="26"/>
      <c r="B1084" s="26"/>
      <c r="C1084" s="26"/>
      <c r="D1084" s="26"/>
      <c r="E1084" s="26"/>
      <c r="F1084" s="26"/>
      <c r="G1084" s="26"/>
      <c r="H1084" s="26"/>
      <c r="I1084" s="26"/>
      <c r="J1084" s="26"/>
      <c r="K1084" s="26"/>
      <c r="L1084" s="26"/>
      <c r="M1084" s="26"/>
      <c r="N1084" s="26"/>
      <c r="O1084" s="26"/>
      <c r="P1084" s="26"/>
      <c r="Q1084" s="26"/>
      <c r="R1084" s="26"/>
      <c r="S1084" s="26"/>
      <c r="T1084" s="97"/>
      <c r="U1084" s="97"/>
      <c r="V1084" s="25"/>
      <c r="W1084" s="25"/>
      <c r="X1084" s="25"/>
      <c r="Y1084" s="25"/>
      <c r="Z1084" s="25"/>
      <c r="AA1084" s="25"/>
    </row>
    <row r="1085" spans="1:27" x14ac:dyDescent="0.35">
      <c r="A1085" s="26"/>
      <c r="B1085" s="26"/>
      <c r="C1085" s="26"/>
      <c r="D1085" s="26"/>
      <c r="E1085" s="26"/>
      <c r="F1085" s="26"/>
      <c r="G1085" s="26"/>
      <c r="H1085" s="26"/>
      <c r="I1085" s="26"/>
      <c r="J1085" s="26"/>
      <c r="K1085" s="26"/>
      <c r="L1085" s="26"/>
      <c r="M1085" s="26"/>
      <c r="N1085" s="26"/>
      <c r="O1085" s="26"/>
      <c r="P1085" s="26"/>
      <c r="Q1085" s="26"/>
      <c r="R1085" s="26"/>
      <c r="S1085" s="26"/>
      <c r="T1085" s="97"/>
      <c r="U1085" s="97"/>
      <c r="V1085" s="25"/>
      <c r="W1085" s="25"/>
      <c r="X1085" s="25"/>
      <c r="Y1085" s="25"/>
      <c r="Z1085" s="25"/>
      <c r="AA1085" s="25"/>
    </row>
    <row r="1086" spans="1:27" x14ac:dyDescent="0.35">
      <c r="A1086" s="26"/>
      <c r="B1086" s="26"/>
      <c r="C1086" s="26"/>
      <c r="D1086" s="26"/>
      <c r="E1086" s="26"/>
      <c r="F1086" s="26"/>
      <c r="G1086" s="26"/>
      <c r="H1086" s="26"/>
      <c r="I1086" s="26"/>
      <c r="J1086" s="26"/>
      <c r="K1086" s="26"/>
      <c r="L1086" s="26"/>
      <c r="M1086" s="26"/>
      <c r="N1086" s="26"/>
      <c r="O1086" s="26"/>
      <c r="P1086" s="26"/>
      <c r="Q1086" s="26"/>
      <c r="R1086" s="26"/>
      <c r="S1086" s="26"/>
      <c r="T1086" s="97"/>
      <c r="U1086" s="97"/>
      <c r="V1086" s="25"/>
      <c r="W1086" s="25"/>
      <c r="X1086" s="25"/>
      <c r="Y1086" s="25"/>
      <c r="Z1086" s="25"/>
      <c r="AA1086" s="25"/>
    </row>
    <row r="1087" spans="1:27" x14ac:dyDescent="0.35">
      <c r="A1087" s="26"/>
      <c r="B1087" s="26"/>
      <c r="C1087" s="26"/>
      <c r="D1087" s="26"/>
      <c r="E1087" s="26"/>
      <c r="F1087" s="26"/>
      <c r="G1087" s="26"/>
      <c r="H1087" s="26"/>
      <c r="I1087" s="26"/>
      <c r="J1087" s="26"/>
      <c r="K1087" s="26"/>
      <c r="L1087" s="26"/>
      <c r="M1087" s="26"/>
      <c r="N1087" s="26"/>
      <c r="O1087" s="26"/>
      <c r="P1087" s="26"/>
      <c r="Q1087" s="26"/>
      <c r="R1087" s="26"/>
      <c r="S1087" s="26"/>
      <c r="T1087" s="97"/>
      <c r="U1087" s="97"/>
      <c r="V1087" s="25"/>
      <c r="W1087" s="25"/>
      <c r="X1087" s="25"/>
      <c r="Y1087" s="25"/>
      <c r="Z1087" s="25"/>
      <c r="AA1087" s="25"/>
    </row>
    <row r="1088" spans="1:27" x14ac:dyDescent="0.35">
      <c r="A1088" s="26"/>
      <c r="B1088" s="26"/>
      <c r="C1088" s="26"/>
      <c r="D1088" s="26"/>
      <c r="E1088" s="26"/>
      <c r="F1088" s="26"/>
      <c r="G1088" s="26"/>
      <c r="H1088" s="26"/>
      <c r="I1088" s="26"/>
      <c r="J1088" s="26"/>
      <c r="K1088" s="26"/>
      <c r="L1088" s="26"/>
      <c r="M1088" s="26"/>
      <c r="N1088" s="26"/>
      <c r="O1088" s="26"/>
      <c r="P1088" s="26"/>
      <c r="Q1088" s="26"/>
      <c r="R1088" s="26"/>
      <c r="S1088" s="26"/>
      <c r="T1088" s="97"/>
      <c r="U1088" s="97"/>
      <c r="V1088" s="25"/>
      <c r="W1088" s="25"/>
      <c r="X1088" s="25"/>
      <c r="Y1088" s="25"/>
      <c r="Z1088" s="25"/>
      <c r="AA1088" s="25"/>
    </row>
    <row r="1089" spans="1:27" x14ac:dyDescent="0.35">
      <c r="A1089" s="26"/>
      <c r="B1089" s="26"/>
      <c r="C1089" s="26"/>
      <c r="D1089" s="26"/>
      <c r="E1089" s="26"/>
      <c r="F1089" s="26"/>
      <c r="G1089" s="26"/>
      <c r="H1089" s="26"/>
      <c r="I1089" s="26"/>
      <c r="J1089" s="26"/>
      <c r="K1089" s="26"/>
      <c r="L1089" s="26"/>
      <c r="M1089" s="26"/>
      <c r="N1089" s="26"/>
      <c r="O1089" s="26"/>
      <c r="P1089" s="26"/>
      <c r="Q1089" s="26"/>
      <c r="R1089" s="26"/>
      <c r="S1089" s="26"/>
      <c r="T1089" s="97"/>
      <c r="U1089" s="97"/>
      <c r="V1089" s="25"/>
      <c r="W1089" s="25"/>
      <c r="X1089" s="25"/>
      <c r="Y1089" s="25"/>
      <c r="Z1089" s="25"/>
      <c r="AA1089" s="25"/>
    </row>
    <row r="1090" spans="1:27" x14ac:dyDescent="0.35">
      <c r="A1090" s="26"/>
      <c r="B1090" s="26"/>
      <c r="C1090" s="26"/>
      <c r="D1090" s="26"/>
      <c r="E1090" s="26"/>
      <c r="F1090" s="26"/>
      <c r="G1090" s="26"/>
      <c r="H1090" s="26"/>
      <c r="I1090" s="26"/>
      <c r="J1090" s="26"/>
      <c r="K1090" s="26"/>
      <c r="L1090" s="26"/>
      <c r="M1090" s="26"/>
      <c r="N1090" s="26"/>
      <c r="O1090" s="26"/>
      <c r="P1090" s="26"/>
      <c r="Q1090" s="26"/>
      <c r="R1090" s="26"/>
      <c r="S1090" s="26"/>
      <c r="T1090" s="97"/>
      <c r="U1090" s="97"/>
      <c r="V1090" s="25"/>
      <c r="W1090" s="25"/>
      <c r="X1090" s="25"/>
      <c r="Y1090" s="25"/>
      <c r="Z1090" s="25"/>
      <c r="AA1090" s="25"/>
    </row>
    <row r="1091" spans="1:27" x14ac:dyDescent="0.35">
      <c r="A1091" s="26"/>
      <c r="B1091" s="26"/>
      <c r="C1091" s="26"/>
      <c r="D1091" s="26"/>
      <c r="E1091" s="26"/>
      <c r="F1091" s="26"/>
      <c r="G1091" s="26"/>
      <c r="H1091" s="26"/>
      <c r="I1091" s="26"/>
      <c r="J1091" s="26"/>
      <c r="K1091" s="26"/>
      <c r="L1091" s="26"/>
      <c r="M1091" s="26"/>
      <c r="N1091" s="26"/>
      <c r="O1091" s="26"/>
      <c r="P1091" s="26"/>
      <c r="Q1091" s="26"/>
      <c r="R1091" s="26"/>
      <c r="S1091" s="26"/>
      <c r="T1091" s="97"/>
      <c r="U1091" s="97"/>
      <c r="V1091" s="25"/>
      <c r="W1091" s="25"/>
      <c r="X1091" s="25"/>
      <c r="Y1091" s="25"/>
      <c r="Z1091" s="25"/>
      <c r="AA1091" s="25"/>
    </row>
    <row r="1092" spans="1:27" x14ac:dyDescent="0.35">
      <c r="A1092" s="26"/>
      <c r="B1092" s="26"/>
      <c r="C1092" s="26"/>
      <c r="D1092" s="26"/>
      <c r="E1092" s="26"/>
      <c r="F1092" s="26"/>
      <c r="G1092" s="26"/>
      <c r="H1092" s="26"/>
      <c r="I1092" s="26"/>
      <c r="J1092" s="26"/>
      <c r="K1092" s="26"/>
      <c r="L1092" s="26"/>
      <c r="M1092" s="26"/>
      <c r="N1092" s="26"/>
      <c r="O1092" s="26"/>
      <c r="P1092" s="26"/>
      <c r="Q1092" s="26"/>
      <c r="R1092" s="26"/>
      <c r="S1092" s="26"/>
      <c r="T1092" s="97"/>
      <c r="U1092" s="97"/>
      <c r="V1092" s="25"/>
      <c r="W1092" s="25"/>
      <c r="X1092" s="25"/>
      <c r="Y1092" s="25"/>
      <c r="Z1092" s="25"/>
      <c r="AA1092" s="25"/>
    </row>
    <row r="1093" spans="1:27" x14ac:dyDescent="0.35">
      <c r="A1093" s="26"/>
      <c r="B1093" s="26"/>
      <c r="C1093" s="26"/>
      <c r="D1093" s="26"/>
      <c r="E1093" s="26"/>
      <c r="F1093" s="26"/>
      <c r="G1093" s="26"/>
      <c r="H1093" s="26"/>
      <c r="I1093" s="26"/>
      <c r="J1093" s="26"/>
      <c r="K1093" s="26"/>
      <c r="L1093" s="26"/>
      <c r="M1093" s="26"/>
      <c r="N1093" s="26"/>
      <c r="O1093" s="26"/>
      <c r="P1093" s="26"/>
      <c r="Q1093" s="26"/>
      <c r="R1093" s="26"/>
      <c r="S1093" s="26"/>
      <c r="T1093" s="97"/>
      <c r="U1093" s="97"/>
      <c r="V1093" s="25"/>
      <c r="W1093" s="25"/>
      <c r="X1093" s="25"/>
      <c r="Y1093" s="25"/>
      <c r="Z1093" s="25"/>
      <c r="AA1093" s="25"/>
    </row>
    <row r="1094" spans="1:27" x14ac:dyDescent="0.35">
      <c r="A1094" s="26"/>
      <c r="B1094" s="26"/>
      <c r="C1094" s="26"/>
      <c r="D1094" s="26"/>
      <c r="E1094" s="26"/>
      <c r="F1094" s="26"/>
      <c r="G1094" s="26"/>
      <c r="H1094" s="26"/>
      <c r="I1094" s="26"/>
      <c r="J1094" s="26"/>
      <c r="K1094" s="26"/>
      <c r="L1094" s="26"/>
      <c r="M1094" s="26"/>
      <c r="N1094" s="26"/>
      <c r="O1094" s="26"/>
      <c r="P1094" s="26"/>
      <c r="Q1094" s="26"/>
      <c r="R1094" s="26"/>
      <c r="S1094" s="26"/>
      <c r="T1094" s="97"/>
      <c r="U1094" s="97"/>
      <c r="V1094" s="25"/>
      <c r="W1094" s="25"/>
      <c r="X1094" s="25"/>
      <c r="Y1094" s="25"/>
      <c r="Z1094" s="25"/>
      <c r="AA1094" s="25"/>
    </row>
    <row r="1095" spans="1:27" x14ac:dyDescent="0.35">
      <c r="A1095" s="26"/>
      <c r="B1095" s="26"/>
      <c r="C1095" s="26"/>
      <c r="D1095" s="26"/>
      <c r="E1095" s="26"/>
      <c r="F1095" s="26"/>
      <c r="G1095" s="26"/>
      <c r="H1095" s="26"/>
      <c r="I1095" s="26"/>
      <c r="J1095" s="26"/>
      <c r="K1095" s="26"/>
      <c r="L1095" s="26"/>
      <c r="M1095" s="26"/>
      <c r="N1095" s="26"/>
      <c r="O1095" s="26"/>
      <c r="P1095" s="26"/>
      <c r="Q1095" s="26"/>
      <c r="R1095" s="26"/>
      <c r="S1095" s="26"/>
      <c r="T1095" s="97"/>
      <c r="U1095" s="97"/>
      <c r="V1095" s="25"/>
      <c r="W1095" s="25"/>
      <c r="X1095" s="25"/>
      <c r="Y1095" s="25"/>
      <c r="Z1095" s="25"/>
      <c r="AA1095" s="25"/>
    </row>
    <row r="1096" spans="1:27" x14ac:dyDescent="0.35">
      <c r="A1096" s="26"/>
      <c r="B1096" s="26"/>
      <c r="C1096" s="26"/>
      <c r="D1096" s="26"/>
      <c r="E1096" s="26"/>
      <c r="F1096" s="26"/>
      <c r="G1096" s="26"/>
      <c r="H1096" s="26"/>
      <c r="I1096" s="26"/>
      <c r="J1096" s="26"/>
      <c r="K1096" s="26"/>
      <c r="L1096" s="26"/>
      <c r="M1096" s="26"/>
      <c r="N1096" s="26"/>
      <c r="O1096" s="26"/>
      <c r="P1096" s="26"/>
      <c r="Q1096" s="26"/>
      <c r="R1096" s="26"/>
      <c r="S1096" s="26"/>
      <c r="T1096" s="97"/>
      <c r="U1096" s="97"/>
      <c r="V1096" s="25"/>
      <c r="W1096" s="25"/>
      <c r="X1096" s="25"/>
      <c r="Y1096" s="25"/>
      <c r="Z1096" s="25"/>
      <c r="AA1096" s="25"/>
    </row>
    <row r="1097" spans="1:27" x14ac:dyDescent="0.35">
      <c r="A1097" s="26"/>
      <c r="B1097" s="26"/>
      <c r="C1097" s="26"/>
      <c r="D1097" s="26"/>
      <c r="E1097" s="26"/>
      <c r="F1097" s="26"/>
      <c r="G1097" s="26"/>
      <c r="H1097" s="26"/>
      <c r="I1097" s="26"/>
      <c r="J1097" s="26"/>
      <c r="K1097" s="26"/>
      <c r="L1097" s="26"/>
      <c r="M1097" s="26"/>
      <c r="N1097" s="26"/>
      <c r="O1097" s="26"/>
      <c r="P1097" s="26"/>
      <c r="Q1097" s="26"/>
      <c r="R1097" s="26"/>
      <c r="S1097" s="26"/>
      <c r="T1097" s="97"/>
      <c r="U1097" s="97"/>
      <c r="V1097" s="25"/>
      <c r="W1097" s="25"/>
      <c r="X1097" s="25"/>
      <c r="Y1097" s="25"/>
      <c r="Z1097" s="25"/>
      <c r="AA1097" s="25"/>
    </row>
    <row r="1098" spans="1:27" x14ac:dyDescent="0.35">
      <c r="A1098" s="26"/>
      <c r="B1098" s="26"/>
      <c r="C1098" s="26"/>
      <c r="D1098" s="26"/>
      <c r="E1098" s="26"/>
      <c r="F1098" s="26"/>
      <c r="G1098" s="26"/>
      <c r="H1098" s="26"/>
      <c r="I1098" s="26"/>
      <c r="J1098" s="26"/>
      <c r="K1098" s="26"/>
      <c r="L1098" s="26"/>
      <c r="M1098" s="26"/>
      <c r="N1098" s="26"/>
      <c r="O1098" s="26"/>
      <c r="P1098" s="26"/>
      <c r="Q1098" s="26"/>
      <c r="R1098" s="26"/>
      <c r="S1098" s="26"/>
      <c r="T1098" s="97"/>
      <c r="U1098" s="97"/>
      <c r="V1098" s="25"/>
      <c r="W1098" s="25"/>
      <c r="X1098" s="25"/>
      <c r="Y1098" s="25"/>
      <c r="Z1098" s="25"/>
      <c r="AA1098" s="25"/>
    </row>
    <row r="1099" spans="1:27" x14ac:dyDescent="0.35">
      <c r="A1099" s="26"/>
      <c r="B1099" s="26"/>
      <c r="C1099" s="26"/>
      <c r="D1099" s="26"/>
      <c r="E1099" s="26"/>
      <c r="F1099" s="26"/>
      <c r="G1099" s="26"/>
      <c r="H1099" s="26"/>
      <c r="I1099" s="26"/>
      <c r="J1099" s="26"/>
      <c r="K1099" s="26"/>
      <c r="L1099" s="26"/>
      <c r="M1099" s="26"/>
      <c r="N1099" s="26"/>
      <c r="O1099" s="26"/>
      <c r="P1099" s="26"/>
      <c r="Q1099" s="26"/>
      <c r="R1099" s="26"/>
      <c r="S1099" s="26"/>
      <c r="T1099" s="97"/>
      <c r="U1099" s="97"/>
      <c r="V1099" s="25"/>
      <c r="W1099" s="25"/>
      <c r="X1099" s="25"/>
      <c r="Y1099" s="25"/>
      <c r="Z1099" s="25"/>
      <c r="AA1099" s="25"/>
    </row>
    <row r="1100" spans="1:27" x14ac:dyDescent="0.35">
      <c r="A1100" s="26"/>
      <c r="B1100" s="26"/>
      <c r="C1100" s="26"/>
      <c r="D1100" s="26"/>
      <c r="E1100" s="26"/>
      <c r="F1100" s="26"/>
      <c r="G1100" s="26"/>
      <c r="H1100" s="26"/>
      <c r="I1100" s="26"/>
      <c r="J1100" s="26"/>
      <c r="K1100" s="26"/>
      <c r="L1100" s="26"/>
      <c r="M1100" s="26"/>
      <c r="N1100" s="26"/>
      <c r="O1100" s="26"/>
      <c r="P1100" s="26"/>
      <c r="Q1100" s="26"/>
      <c r="R1100" s="26"/>
      <c r="S1100" s="26"/>
      <c r="T1100" s="97"/>
      <c r="U1100" s="97"/>
      <c r="V1100" s="25"/>
      <c r="W1100" s="25"/>
      <c r="X1100" s="25"/>
      <c r="Y1100" s="25"/>
      <c r="Z1100" s="25"/>
      <c r="AA1100" s="25"/>
    </row>
    <row r="1101" spans="1:27" x14ac:dyDescent="0.35">
      <c r="A1101" s="26"/>
      <c r="B1101" s="26"/>
      <c r="C1101" s="26"/>
      <c r="D1101" s="26"/>
      <c r="E1101" s="26"/>
      <c r="F1101" s="26"/>
      <c r="G1101" s="26"/>
      <c r="H1101" s="26"/>
      <c r="I1101" s="26"/>
      <c r="J1101" s="26"/>
      <c r="K1101" s="26"/>
      <c r="L1101" s="26"/>
      <c r="M1101" s="26"/>
      <c r="N1101" s="26"/>
      <c r="O1101" s="26"/>
      <c r="P1101" s="26"/>
      <c r="Q1101" s="26"/>
      <c r="R1101" s="26"/>
      <c r="S1101" s="26"/>
      <c r="T1101" s="97"/>
      <c r="U1101" s="97"/>
      <c r="V1101" s="25"/>
      <c r="W1101" s="25"/>
      <c r="X1101" s="25"/>
      <c r="Y1101" s="25"/>
      <c r="Z1101" s="25"/>
      <c r="AA1101" s="25"/>
    </row>
    <row r="1102" spans="1:27" x14ac:dyDescent="0.35">
      <c r="A1102" s="26"/>
      <c r="B1102" s="26"/>
      <c r="C1102" s="26"/>
      <c r="D1102" s="26"/>
      <c r="E1102" s="26"/>
      <c r="F1102" s="26"/>
      <c r="G1102" s="26"/>
      <c r="H1102" s="26"/>
      <c r="I1102" s="26"/>
      <c r="J1102" s="26"/>
      <c r="K1102" s="26"/>
      <c r="L1102" s="26"/>
      <c r="M1102" s="26"/>
      <c r="N1102" s="26"/>
      <c r="O1102" s="26"/>
      <c r="P1102" s="26"/>
      <c r="Q1102" s="26"/>
      <c r="R1102" s="26"/>
      <c r="S1102" s="26"/>
      <c r="T1102" s="97"/>
      <c r="U1102" s="97"/>
      <c r="V1102" s="25"/>
      <c r="W1102" s="25"/>
      <c r="X1102" s="25"/>
      <c r="Y1102" s="25"/>
      <c r="Z1102" s="25"/>
      <c r="AA1102" s="25"/>
    </row>
    <row r="1103" spans="1:27" x14ac:dyDescent="0.35">
      <c r="A1103" s="26"/>
      <c r="B1103" s="26"/>
      <c r="C1103" s="26"/>
      <c r="D1103" s="26"/>
      <c r="E1103" s="26"/>
      <c r="F1103" s="26"/>
      <c r="G1103" s="26"/>
      <c r="H1103" s="26"/>
      <c r="I1103" s="26"/>
      <c r="J1103" s="26"/>
      <c r="K1103" s="26"/>
      <c r="L1103" s="26"/>
      <c r="M1103" s="26"/>
      <c r="N1103" s="26"/>
      <c r="O1103" s="26"/>
      <c r="P1103" s="26"/>
      <c r="Q1103" s="26"/>
      <c r="R1103" s="26"/>
      <c r="S1103" s="26"/>
      <c r="T1103" s="97"/>
      <c r="U1103" s="97"/>
      <c r="V1103" s="25"/>
      <c r="W1103" s="25"/>
      <c r="X1103" s="25"/>
      <c r="Y1103" s="25"/>
      <c r="Z1103" s="25"/>
      <c r="AA1103" s="25"/>
    </row>
    <row r="1104" spans="1:27" x14ac:dyDescent="0.35">
      <c r="A1104" s="26"/>
      <c r="B1104" s="26"/>
      <c r="C1104" s="26"/>
      <c r="D1104" s="26"/>
      <c r="E1104" s="26"/>
      <c r="F1104" s="26"/>
      <c r="G1104" s="26"/>
      <c r="H1104" s="26"/>
      <c r="I1104" s="26"/>
      <c r="J1104" s="26"/>
      <c r="K1104" s="26"/>
      <c r="L1104" s="26"/>
      <c r="M1104" s="26"/>
      <c r="N1104" s="26"/>
      <c r="O1104" s="26"/>
      <c r="P1104" s="26"/>
      <c r="Q1104" s="26"/>
      <c r="R1104" s="26"/>
      <c r="S1104" s="26"/>
      <c r="T1104" s="97"/>
      <c r="U1104" s="97"/>
      <c r="V1104" s="25"/>
      <c r="W1104" s="25"/>
      <c r="X1104" s="25"/>
      <c r="Y1104" s="25"/>
      <c r="Z1104" s="25"/>
      <c r="AA1104" s="25"/>
    </row>
    <row r="1105" spans="1:27" x14ac:dyDescent="0.35">
      <c r="A1105" s="26"/>
      <c r="B1105" s="26"/>
      <c r="C1105" s="26"/>
      <c r="D1105" s="26"/>
      <c r="E1105" s="26"/>
      <c r="F1105" s="26"/>
      <c r="G1105" s="26"/>
      <c r="H1105" s="26"/>
      <c r="I1105" s="26"/>
      <c r="J1105" s="26"/>
      <c r="K1105" s="26"/>
      <c r="L1105" s="26"/>
      <c r="M1105" s="26"/>
      <c r="N1105" s="26"/>
      <c r="O1105" s="26"/>
      <c r="P1105" s="26"/>
      <c r="Q1105" s="26"/>
      <c r="R1105" s="26"/>
      <c r="S1105" s="26"/>
      <c r="T1105" s="97"/>
      <c r="U1105" s="97"/>
      <c r="V1105" s="25"/>
      <c r="W1105" s="25"/>
      <c r="X1105" s="25"/>
      <c r="Y1105" s="25"/>
      <c r="Z1105" s="25"/>
      <c r="AA1105" s="25"/>
    </row>
    <row r="1106" spans="1:27" x14ac:dyDescent="0.35">
      <c r="A1106" s="26"/>
      <c r="B1106" s="26"/>
      <c r="C1106" s="26"/>
      <c r="D1106" s="26"/>
      <c r="E1106" s="26"/>
      <c r="F1106" s="26"/>
      <c r="G1106" s="26"/>
      <c r="H1106" s="26"/>
      <c r="I1106" s="26"/>
      <c r="J1106" s="26"/>
      <c r="K1106" s="26"/>
      <c r="L1106" s="26"/>
      <c r="M1106" s="26"/>
      <c r="N1106" s="26"/>
      <c r="O1106" s="26"/>
      <c r="P1106" s="26"/>
      <c r="Q1106" s="26"/>
      <c r="R1106" s="26"/>
      <c r="S1106" s="26"/>
      <c r="T1106" s="97"/>
      <c r="U1106" s="97"/>
      <c r="V1106" s="25"/>
      <c r="W1106" s="25"/>
      <c r="X1106" s="25"/>
      <c r="Y1106" s="25"/>
      <c r="Z1106" s="25"/>
      <c r="AA1106" s="25"/>
    </row>
    <row r="1107" spans="1:27" x14ac:dyDescent="0.35">
      <c r="A1107" s="26"/>
      <c r="B1107" s="26"/>
      <c r="C1107" s="26"/>
      <c r="D1107" s="26"/>
      <c r="E1107" s="26"/>
      <c r="F1107" s="26"/>
      <c r="G1107" s="26"/>
      <c r="H1107" s="26"/>
      <c r="I1107" s="26"/>
      <c r="J1107" s="26"/>
      <c r="K1107" s="26"/>
      <c r="L1107" s="26"/>
      <c r="M1107" s="26"/>
      <c r="N1107" s="26"/>
      <c r="O1107" s="26"/>
      <c r="P1107" s="26"/>
      <c r="Q1107" s="26"/>
      <c r="R1107" s="26"/>
      <c r="S1107" s="26"/>
      <c r="T1107" s="97"/>
      <c r="U1107" s="97"/>
      <c r="V1107" s="25"/>
      <c r="W1107" s="25"/>
      <c r="X1107" s="25"/>
      <c r="Y1107" s="25"/>
      <c r="Z1107" s="25"/>
      <c r="AA1107" s="25"/>
    </row>
    <row r="1108" spans="1:27" x14ac:dyDescent="0.35">
      <c r="A1108" s="26"/>
      <c r="B1108" s="26"/>
      <c r="C1108" s="26"/>
      <c r="D1108" s="26"/>
      <c r="E1108" s="26"/>
      <c r="F1108" s="26"/>
      <c r="G1108" s="26"/>
      <c r="H1108" s="26"/>
      <c r="I1108" s="26"/>
      <c r="J1108" s="26"/>
      <c r="K1108" s="26"/>
      <c r="L1108" s="26"/>
      <c r="M1108" s="26"/>
      <c r="N1108" s="26"/>
      <c r="O1108" s="26"/>
      <c r="P1108" s="26"/>
      <c r="Q1108" s="26"/>
      <c r="R1108" s="26"/>
      <c r="S1108" s="26"/>
      <c r="T1108" s="97"/>
      <c r="U1108" s="97"/>
      <c r="V1108" s="25"/>
      <c r="W1108" s="25"/>
      <c r="X1108" s="25"/>
      <c r="Y1108" s="25"/>
      <c r="Z1108" s="25"/>
      <c r="AA1108" s="25"/>
    </row>
    <row r="1109" spans="1:27" x14ac:dyDescent="0.35">
      <c r="A1109" s="26"/>
      <c r="B1109" s="26"/>
      <c r="C1109" s="26"/>
      <c r="D1109" s="26"/>
      <c r="E1109" s="26"/>
      <c r="F1109" s="26"/>
      <c r="G1109" s="26"/>
      <c r="H1109" s="26"/>
      <c r="I1109" s="26"/>
      <c r="J1109" s="26"/>
      <c r="K1109" s="26"/>
      <c r="L1109" s="26"/>
      <c r="M1109" s="26"/>
      <c r="N1109" s="26"/>
      <c r="O1109" s="26"/>
      <c r="P1109" s="26"/>
      <c r="Q1109" s="26"/>
      <c r="R1109" s="26"/>
      <c r="S1109" s="26"/>
      <c r="T1109" s="97"/>
      <c r="U1109" s="97"/>
      <c r="V1109" s="25"/>
      <c r="W1109" s="25"/>
      <c r="X1109" s="25"/>
      <c r="Y1109" s="25"/>
      <c r="Z1109" s="25"/>
      <c r="AA1109" s="25"/>
    </row>
    <row r="1110" spans="1:27" x14ac:dyDescent="0.35">
      <c r="T1110" s="97"/>
      <c r="U1110" s="97"/>
      <c r="V1110" s="25"/>
      <c r="W1110" s="25"/>
      <c r="X1110" s="25"/>
      <c r="Y1110" s="25"/>
      <c r="Z1110" s="25"/>
      <c r="AA1110" s="25"/>
    </row>
    <row r="1111" spans="1:27" x14ac:dyDescent="0.35">
      <c r="T1111" s="97"/>
      <c r="U1111" s="97"/>
      <c r="V1111" s="25"/>
      <c r="W1111" s="25"/>
      <c r="X1111" s="25"/>
      <c r="Y1111" s="25"/>
      <c r="Z1111" s="25"/>
      <c r="AA1111" s="25"/>
    </row>
    <row r="1112" spans="1:27" x14ac:dyDescent="0.35">
      <c r="T1112" s="97"/>
      <c r="U1112" s="97"/>
      <c r="V1112" s="25"/>
      <c r="W1112" s="25"/>
      <c r="X1112" s="25"/>
      <c r="Y1112" s="25"/>
      <c r="Z1112" s="25"/>
      <c r="AA1112" s="25"/>
    </row>
    <row r="1113" spans="1:27" x14ac:dyDescent="0.35">
      <c r="T1113" s="97"/>
      <c r="U1113" s="97"/>
      <c r="V1113" s="25"/>
      <c r="W1113" s="25"/>
      <c r="X1113" s="25"/>
      <c r="Y1113" s="25"/>
      <c r="Z1113" s="25"/>
      <c r="AA1113" s="25"/>
    </row>
    <row r="1114" spans="1:27" x14ac:dyDescent="0.35">
      <c r="T1114" s="97"/>
      <c r="U1114" s="97"/>
      <c r="V1114" s="25"/>
      <c r="W1114" s="25"/>
      <c r="X1114" s="25"/>
      <c r="Y1114" s="25"/>
      <c r="Z1114" s="25"/>
      <c r="AA1114" s="25"/>
    </row>
    <row r="1115" spans="1:27" x14ac:dyDescent="0.35">
      <c r="T1115" s="97"/>
      <c r="U1115" s="97"/>
      <c r="V1115" s="25"/>
      <c r="W1115" s="25"/>
      <c r="X1115" s="25"/>
      <c r="Y1115" s="25"/>
      <c r="Z1115" s="25"/>
      <c r="AA1115" s="25"/>
    </row>
    <row r="1116" spans="1:27" x14ac:dyDescent="0.35">
      <c r="T1116" s="97"/>
      <c r="U1116" s="97"/>
      <c r="V1116" s="25"/>
      <c r="W1116" s="25"/>
      <c r="X1116" s="25"/>
      <c r="Y1116" s="25"/>
      <c r="Z1116" s="25"/>
      <c r="AA1116" s="25"/>
    </row>
    <row r="1117" spans="1:27" x14ac:dyDescent="0.35">
      <c r="T1117" s="97"/>
      <c r="U1117" s="97"/>
      <c r="V1117" s="25"/>
      <c r="W1117" s="25"/>
      <c r="X1117" s="25"/>
      <c r="Y1117" s="25"/>
      <c r="Z1117" s="25"/>
      <c r="AA1117" s="25"/>
    </row>
    <row r="1118" spans="1:27" x14ac:dyDescent="0.35">
      <c r="T1118" s="97"/>
      <c r="U1118" s="97"/>
      <c r="V1118" s="25"/>
      <c r="W1118" s="25"/>
      <c r="X1118" s="25"/>
      <c r="Y1118" s="25"/>
      <c r="Z1118" s="25"/>
      <c r="AA1118" s="25"/>
    </row>
    <row r="1119" spans="1:27" x14ac:dyDescent="0.35">
      <c r="T1119" s="97"/>
      <c r="U1119" s="97"/>
      <c r="V1119" s="25"/>
      <c r="W1119" s="25"/>
      <c r="X1119" s="25"/>
      <c r="Y1119" s="25"/>
      <c r="Z1119" s="25"/>
      <c r="AA1119" s="25"/>
    </row>
    <row r="1120" spans="1:27" x14ac:dyDescent="0.35">
      <c r="T1120" s="97"/>
      <c r="U1120" s="97"/>
      <c r="V1120" s="25"/>
      <c r="W1120" s="25"/>
      <c r="X1120" s="25"/>
      <c r="Y1120" s="25"/>
      <c r="Z1120" s="25"/>
      <c r="AA1120" s="25"/>
    </row>
    <row r="1121" spans="20:27" x14ac:dyDescent="0.35">
      <c r="T1121" s="97"/>
      <c r="U1121" s="97"/>
      <c r="V1121" s="25"/>
      <c r="W1121" s="25"/>
      <c r="X1121" s="25"/>
      <c r="Y1121" s="25"/>
      <c r="Z1121" s="25"/>
      <c r="AA1121" s="25"/>
    </row>
    <row r="1122" spans="20:27" x14ac:dyDescent="0.35">
      <c r="T1122" s="97"/>
      <c r="U1122" s="97"/>
      <c r="V1122" s="25"/>
      <c r="W1122" s="25"/>
      <c r="X1122" s="25"/>
      <c r="Y1122" s="25"/>
      <c r="Z1122" s="25"/>
      <c r="AA1122" s="25"/>
    </row>
    <row r="1123" spans="20:27" x14ac:dyDescent="0.35">
      <c r="T1123" s="97"/>
      <c r="U1123" s="97"/>
      <c r="V1123" s="25"/>
      <c r="W1123" s="25"/>
      <c r="X1123" s="25"/>
      <c r="Y1123" s="25"/>
      <c r="Z1123" s="25"/>
      <c r="AA1123" s="25"/>
    </row>
    <row r="1124" spans="20:27" x14ac:dyDescent="0.35">
      <c r="T1124" s="97"/>
      <c r="U1124" s="97"/>
      <c r="V1124" s="25"/>
      <c r="W1124" s="25"/>
      <c r="X1124" s="25"/>
      <c r="Y1124" s="25"/>
      <c r="Z1124" s="25"/>
      <c r="AA1124" s="25"/>
    </row>
    <row r="1125" spans="20:27" x14ac:dyDescent="0.35">
      <c r="T1125" s="97"/>
      <c r="U1125" s="97"/>
      <c r="V1125" s="25"/>
      <c r="W1125" s="25"/>
      <c r="X1125" s="25"/>
      <c r="Y1125" s="25"/>
      <c r="Z1125" s="25"/>
      <c r="AA1125" s="25"/>
    </row>
    <row r="1126" spans="20:27" x14ac:dyDescent="0.35">
      <c r="T1126" s="97"/>
      <c r="U1126" s="97"/>
      <c r="V1126" s="25"/>
      <c r="W1126" s="25"/>
      <c r="X1126" s="25"/>
      <c r="Y1126" s="25"/>
      <c r="Z1126" s="25"/>
      <c r="AA1126" s="25"/>
    </row>
    <row r="1127" spans="20:27" x14ac:dyDescent="0.35">
      <c r="T1127" s="97"/>
      <c r="U1127" s="97"/>
      <c r="V1127" s="25"/>
      <c r="W1127" s="25"/>
      <c r="X1127" s="25"/>
      <c r="Y1127" s="25"/>
      <c r="Z1127" s="25"/>
      <c r="AA1127" s="25"/>
    </row>
    <row r="1128" spans="20:27" x14ac:dyDescent="0.35">
      <c r="T1128" s="97"/>
      <c r="U1128" s="97"/>
      <c r="V1128" s="25"/>
      <c r="W1128" s="25"/>
      <c r="X1128" s="25"/>
      <c r="Y1128" s="25"/>
      <c r="Z1128" s="25"/>
      <c r="AA1128" s="25"/>
    </row>
    <row r="1129" spans="20:27" x14ac:dyDescent="0.35">
      <c r="T1129" s="97"/>
      <c r="U1129" s="97"/>
      <c r="V1129" s="25"/>
      <c r="W1129" s="25"/>
      <c r="X1129" s="25"/>
      <c r="Y1129" s="25"/>
      <c r="Z1129" s="25"/>
      <c r="AA1129" s="25"/>
    </row>
    <row r="1130" spans="20:27" x14ac:dyDescent="0.35">
      <c r="T1130" s="97"/>
      <c r="U1130" s="97"/>
      <c r="V1130" s="25"/>
      <c r="W1130" s="25"/>
      <c r="X1130" s="25"/>
      <c r="Y1130" s="25"/>
      <c r="Z1130" s="25"/>
      <c r="AA1130" s="25"/>
    </row>
    <row r="1131" spans="20:27" x14ac:dyDescent="0.35">
      <c r="T1131" s="97"/>
      <c r="U1131" s="97"/>
      <c r="V1131" s="25"/>
      <c r="W1131" s="25"/>
      <c r="X1131" s="25"/>
      <c r="Y1131" s="25"/>
      <c r="Z1131" s="25"/>
      <c r="AA1131" s="25"/>
    </row>
    <row r="1132" spans="20:27" x14ac:dyDescent="0.35">
      <c r="T1132" s="97"/>
      <c r="U1132" s="97"/>
      <c r="V1132" s="25"/>
      <c r="W1132" s="25"/>
      <c r="X1132" s="25"/>
      <c r="Y1132" s="25"/>
      <c r="Z1132" s="25"/>
      <c r="AA1132" s="25"/>
    </row>
    <row r="1133" spans="20:27" x14ac:dyDescent="0.35">
      <c r="T1133" s="97"/>
      <c r="U1133" s="97"/>
      <c r="V1133" s="25"/>
      <c r="W1133" s="25"/>
      <c r="X1133" s="25"/>
      <c r="Y1133" s="25"/>
      <c r="Z1133" s="25"/>
      <c r="AA1133" s="25"/>
    </row>
    <row r="1134" spans="20:27" x14ac:dyDescent="0.35">
      <c r="T1134" s="97"/>
      <c r="U1134" s="97"/>
      <c r="V1134" s="25"/>
      <c r="W1134" s="25"/>
      <c r="X1134" s="25"/>
      <c r="Y1134" s="25"/>
      <c r="Z1134" s="25"/>
      <c r="AA1134" s="25"/>
    </row>
    <row r="1135" spans="20:27" x14ac:dyDescent="0.35">
      <c r="T1135" s="97"/>
      <c r="U1135" s="97"/>
      <c r="V1135" s="25"/>
      <c r="W1135" s="25"/>
      <c r="X1135" s="25"/>
      <c r="Y1135" s="25"/>
      <c r="Z1135" s="25"/>
      <c r="AA1135" s="25"/>
    </row>
    <row r="1136" spans="20:27" x14ac:dyDescent="0.35">
      <c r="T1136" s="97"/>
      <c r="U1136" s="97"/>
      <c r="V1136" s="25"/>
      <c r="W1136" s="25"/>
      <c r="X1136" s="25"/>
      <c r="Y1136" s="25"/>
      <c r="Z1136" s="25"/>
      <c r="AA1136" s="25"/>
    </row>
    <row r="1137" spans="20:27" x14ac:dyDescent="0.35">
      <c r="T1137" s="97"/>
      <c r="U1137" s="97"/>
      <c r="V1137" s="25"/>
      <c r="W1137" s="25"/>
      <c r="X1137" s="25"/>
      <c r="Y1137" s="25"/>
      <c r="Z1137" s="25"/>
      <c r="AA1137" s="25"/>
    </row>
    <row r="1138" spans="20:27" x14ac:dyDescent="0.35">
      <c r="T1138" s="97"/>
      <c r="U1138" s="97"/>
      <c r="V1138" s="25"/>
      <c r="W1138" s="25"/>
      <c r="X1138" s="25"/>
      <c r="Y1138" s="25"/>
      <c r="Z1138" s="25"/>
      <c r="AA1138" s="25"/>
    </row>
    <row r="1139" spans="20:27" x14ac:dyDescent="0.35">
      <c r="T1139" s="97"/>
      <c r="U1139" s="97"/>
      <c r="V1139" s="25"/>
      <c r="W1139" s="25"/>
      <c r="X1139" s="25"/>
      <c r="Y1139" s="25"/>
      <c r="Z1139" s="25"/>
      <c r="AA1139" s="25"/>
    </row>
    <row r="1140" spans="20:27" x14ac:dyDescent="0.35">
      <c r="T1140" s="97"/>
      <c r="U1140" s="97"/>
      <c r="V1140" s="25"/>
      <c r="W1140" s="25"/>
      <c r="X1140" s="25"/>
      <c r="Y1140" s="25"/>
      <c r="Z1140" s="25"/>
      <c r="AA1140" s="25"/>
    </row>
    <row r="1141" spans="20:27" x14ac:dyDescent="0.35">
      <c r="T1141" s="97"/>
      <c r="U1141" s="97"/>
      <c r="V1141" s="25"/>
      <c r="W1141" s="25"/>
      <c r="X1141" s="25"/>
      <c r="Y1141" s="25"/>
      <c r="Z1141" s="25"/>
      <c r="AA1141" s="25"/>
    </row>
    <row r="1142" spans="20:27" x14ac:dyDescent="0.35">
      <c r="T1142" s="97"/>
      <c r="U1142" s="97"/>
      <c r="V1142" s="25"/>
      <c r="W1142" s="25"/>
      <c r="X1142" s="25"/>
      <c r="Y1142" s="25"/>
      <c r="Z1142" s="25"/>
      <c r="AA1142" s="25"/>
    </row>
    <row r="1143" spans="20:27" x14ac:dyDescent="0.35">
      <c r="T1143" s="97"/>
      <c r="U1143" s="97"/>
      <c r="V1143" s="25"/>
      <c r="W1143" s="25"/>
      <c r="X1143" s="25"/>
      <c r="Y1143" s="25"/>
      <c r="Z1143" s="25"/>
      <c r="AA1143" s="25"/>
    </row>
    <row r="1144" spans="20:27" x14ac:dyDescent="0.35">
      <c r="T1144" s="97"/>
      <c r="U1144" s="97"/>
      <c r="V1144" s="25"/>
      <c r="W1144" s="25"/>
      <c r="X1144" s="25"/>
      <c r="Y1144" s="25"/>
      <c r="Z1144" s="25"/>
      <c r="AA1144" s="25"/>
    </row>
    <row r="1145" spans="20:27" x14ac:dyDescent="0.35">
      <c r="T1145" s="97"/>
      <c r="U1145" s="97"/>
      <c r="V1145" s="25"/>
      <c r="W1145" s="25"/>
      <c r="X1145" s="25"/>
      <c r="Y1145" s="25"/>
      <c r="Z1145" s="25"/>
      <c r="AA1145" s="25"/>
    </row>
    <row r="1146" spans="20:27" x14ac:dyDescent="0.35">
      <c r="T1146" s="97"/>
      <c r="U1146" s="97"/>
      <c r="V1146" s="25"/>
      <c r="W1146" s="25"/>
      <c r="X1146" s="25"/>
      <c r="Y1146" s="25"/>
      <c r="Z1146" s="25"/>
      <c r="AA1146" s="25"/>
    </row>
    <row r="1147" spans="20:27" x14ac:dyDescent="0.35">
      <c r="T1147" s="97"/>
      <c r="U1147" s="97"/>
      <c r="V1147" s="25"/>
      <c r="W1147" s="25"/>
      <c r="X1147" s="25"/>
      <c r="Y1147" s="25"/>
      <c r="Z1147" s="25"/>
      <c r="AA1147" s="25"/>
    </row>
    <row r="1148" spans="20:27" x14ac:dyDescent="0.35">
      <c r="T1148" s="97"/>
      <c r="U1148" s="97"/>
      <c r="V1148" s="25"/>
      <c r="W1148" s="25"/>
      <c r="X1148" s="25"/>
      <c r="Y1148" s="25"/>
      <c r="Z1148" s="25"/>
      <c r="AA1148" s="25"/>
    </row>
    <row r="1149" spans="20:27" x14ac:dyDescent="0.35">
      <c r="T1149" s="97"/>
      <c r="U1149" s="97"/>
      <c r="V1149" s="25"/>
      <c r="W1149" s="25"/>
      <c r="X1149" s="25"/>
      <c r="Y1149" s="25"/>
      <c r="Z1149" s="25"/>
      <c r="AA1149" s="25"/>
    </row>
    <row r="1150" spans="20:27" x14ac:dyDescent="0.35">
      <c r="T1150" s="97"/>
      <c r="U1150" s="97"/>
      <c r="V1150" s="25"/>
      <c r="W1150" s="25"/>
      <c r="X1150" s="25"/>
      <c r="Y1150" s="25"/>
      <c r="Z1150" s="25"/>
      <c r="AA1150" s="25"/>
    </row>
    <row r="1151" spans="20:27" x14ac:dyDescent="0.35">
      <c r="T1151" s="97"/>
      <c r="U1151" s="97"/>
      <c r="V1151" s="25"/>
      <c r="W1151" s="25"/>
      <c r="X1151" s="25"/>
      <c r="Y1151" s="25"/>
      <c r="Z1151" s="25"/>
      <c r="AA1151" s="25"/>
    </row>
    <row r="1152" spans="20:27" x14ac:dyDescent="0.35">
      <c r="T1152" s="97"/>
      <c r="U1152" s="97"/>
      <c r="V1152" s="25"/>
      <c r="W1152" s="25"/>
      <c r="X1152" s="25"/>
      <c r="Y1152" s="25"/>
      <c r="Z1152" s="25"/>
      <c r="AA1152" s="25"/>
    </row>
    <row r="1153" spans="20:27" x14ac:dyDescent="0.35">
      <c r="T1153" s="97"/>
      <c r="U1153" s="97"/>
      <c r="V1153" s="25"/>
      <c r="W1153" s="25"/>
      <c r="X1153" s="25"/>
      <c r="Y1153" s="25"/>
      <c r="Z1153" s="25"/>
      <c r="AA1153" s="25"/>
    </row>
    <row r="1154" spans="20:27" x14ac:dyDescent="0.35">
      <c r="T1154" s="97"/>
      <c r="U1154" s="97"/>
      <c r="V1154" s="25"/>
      <c r="W1154" s="25"/>
      <c r="X1154" s="25"/>
      <c r="Y1154" s="25"/>
      <c r="Z1154" s="25"/>
      <c r="AA1154" s="25"/>
    </row>
    <row r="1155" spans="20:27" x14ac:dyDescent="0.35">
      <c r="T1155" s="97"/>
      <c r="U1155" s="97"/>
      <c r="V1155" s="25"/>
      <c r="W1155" s="25"/>
      <c r="X1155" s="25"/>
      <c r="Y1155" s="25"/>
      <c r="Z1155" s="25"/>
      <c r="AA1155" s="25"/>
    </row>
    <row r="1156" spans="20:27" x14ac:dyDescent="0.35">
      <c r="T1156" s="97"/>
      <c r="U1156" s="97"/>
      <c r="V1156" s="25"/>
      <c r="W1156" s="25"/>
      <c r="X1156" s="25"/>
      <c r="Y1156" s="25"/>
      <c r="Z1156" s="25"/>
      <c r="AA1156" s="25"/>
    </row>
    <row r="1157" spans="20:27" x14ac:dyDescent="0.35">
      <c r="T1157" s="97"/>
      <c r="U1157" s="97"/>
      <c r="V1157" s="25"/>
      <c r="W1157" s="25"/>
      <c r="X1157" s="25"/>
      <c r="Y1157" s="25"/>
      <c r="Z1157" s="25"/>
      <c r="AA1157" s="25"/>
    </row>
    <row r="1158" spans="20:27" x14ac:dyDescent="0.35">
      <c r="T1158" s="97"/>
      <c r="U1158" s="97"/>
      <c r="V1158" s="25"/>
      <c r="W1158" s="25"/>
      <c r="X1158" s="25"/>
      <c r="Y1158" s="25"/>
      <c r="Z1158" s="25"/>
      <c r="AA1158" s="25"/>
    </row>
    <row r="1159" spans="20:27" x14ac:dyDescent="0.35">
      <c r="T1159" s="97"/>
      <c r="U1159" s="97"/>
      <c r="V1159" s="25"/>
      <c r="W1159" s="25"/>
      <c r="X1159" s="25"/>
      <c r="Y1159" s="25"/>
      <c r="Z1159" s="25"/>
      <c r="AA1159" s="25"/>
    </row>
    <row r="1160" spans="20:27" x14ac:dyDescent="0.35">
      <c r="T1160" s="97"/>
      <c r="U1160" s="97"/>
      <c r="V1160" s="25"/>
      <c r="W1160" s="25"/>
      <c r="X1160" s="25"/>
      <c r="Y1160" s="25"/>
      <c r="Z1160" s="25"/>
      <c r="AA1160" s="25"/>
    </row>
    <row r="1161" spans="20:27" x14ac:dyDescent="0.35">
      <c r="T1161" s="97"/>
      <c r="U1161" s="97"/>
      <c r="V1161" s="25"/>
      <c r="W1161" s="25"/>
      <c r="X1161" s="25"/>
      <c r="Y1161" s="25"/>
      <c r="Z1161" s="25"/>
      <c r="AA1161" s="25"/>
    </row>
    <row r="1162" spans="20:27" x14ac:dyDescent="0.35">
      <c r="T1162" s="97"/>
      <c r="U1162" s="97"/>
      <c r="V1162" s="25"/>
      <c r="W1162" s="25"/>
      <c r="X1162" s="25"/>
      <c r="Y1162" s="25"/>
      <c r="Z1162" s="25"/>
      <c r="AA1162" s="25"/>
    </row>
    <row r="1163" spans="20:27" x14ac:dyDescent="0.35">
      <c r="T1163" s="97"/>
      <c r="U1163" s="97"/>
      <c r="V1163" s="25"/>
      <c r="W1163" s="25"/>
      <c r="X1163" s="25"/>
      <c r="Y1163" s="25"/>
      <c r="Z1163" s="25"/>
      <c r="AA1163" s="25"/>
    </row>
    <row r="1164" spans="20:27" x14ac:dyDescent="0.35">
      <c r="T1164" s="97"/>
      <c r="U1164" s="97"/>
      <c r="V1164" s="25"/>
      <c r="W1164" s="25"/>
      <c r="X1164" s="25"/>
      <c r="Y1164" s="25"/>
      <c r="Z1164" s="25"/>
      <c r="AA1164" s="25"/>
    </row>
    <row r="1165" spans="20:27" x14ac:dyDescent="0.35">
      <c r="T1165" s="97"/>
      <c r="U1165" s="97"/>
      <c r="V1165" s="25"/>
      <c r="W1165" s="25"/>
      <c r="X1165" s="25"/>
      <c r="Y1165" s="25"/>
      <c r="Z1165" s="25"/>
      <c r="AA1165" s="25"/>
    </row>
    <row r="1166" spans="20:27" x14ac:dyDescent="0.35">
      <c r="T1166" s="97"/>
      <c r="U1166" s="97"/>
      <c r="V1166" s="25"/>
      <c r="W1166" s="25"/>
      <c r="X1166" s="25"/>
      <c r="Y1166" s="25"/>
      <c r="Z1166" s="25"/>
      <c r="AA1166" s="25"/>
    </row>
    <row r="1167" spans="20:27" x14ac:dyDescent="0.35">
      <c r="T1167" s="97"/>
      <c r="U1167" s="97"/>
      <c r="V1167" s="25"/>
      <c r="W1167" s="25"/>
      <c r="X1167" s="25"/>
      <c r="Y1167" s="25"/>
      <c r="Z1167" s="25"/>
      <c r="AA1167" s="25"/>
    </row>
    <row r="1168" spans="20:27" x14ac:dyDescent="0.35">
      <c r="T1168" s="97"/>
      <c r="U1168" s="97"/>
      <c r="V1168" s="25"/>
      <c r="W1168" s="25"/>
      <c r="X1168" s="25"/>
      <c r="Y1168" s="25"/>
      <c r="Z1168" s="25"/>
      <c r="AA1168" s="25"/>
    </row>
    <row r="1169" spans="20:27" x14ac:dyDescent="0.35">
      <c r="T1169" s="97"/>
      <c r="U1169" s="97"/>
      <c r="V1169" s="25"/>
      <c r="W1169" s="25"/>
      <c r="X1169" s="25"/>
      <c r="Y1169" s="25"/>
      <c r="Z1169" s="25"/>
      <c r="AA1169" s="25"/>
    </row>
    <row r="1170" spans="20:27" x14ac:dyDescent="0.35">
      <c r="T1170" s="97"/>
      <c r="U1170" s="97"/>
      <c r="V1170" s="25"/>
      <c r="W1170" s="25"/>
      <c r="X1170" s="25"/>
      <c r="Y1170" s="25"/>
      <c r="Z1170" s="25"/>
      <c r="AA1170" s="25"/>
    </row>
    <row r="1171" spans="20:27" x14ac:dyDescent="0.35">
      <c r="T1171" s="97"/>
      <c r="U1171" s="97"/>
      <c r="V1171" s="25"/>
      <c r="W1171" s="25"/>
      <c r="X1171" s="25"/>
      <c r="Y1171" s="25"/>
      <c r="Z1171" s="25"/>
      <c r="AA1171" s="25"/>
    </row>
    <row r="1172" spans="20:27" x14ac:dyDescent="0.35">
      <c r="T1172" s="97"/>
      <c r="U1172" s="97"/>
      <c r="V1172" s="25"/>
      <c r="W1172" s="25"/>
      <c r="X1172" s="25"/>
      <c r="Y1172" s="25"/>
      <c r="Z1172" s="25"/>
      <c r="AA1172" s="25"/>
    </row>
    <row r="1173" spans="20:27" x14ac:dyDescent="0.35">
      <c r="T1173" s="97"/>
      <c r="U1173" s="97"/>
      <c r="V1173" s="25"/>
      <c r="W1173" s="25"/>
      <c r="X1173" s="25"/>
      <c r="Y1173" s="25"/>
      <c r="Z1173" s="25"/>
      <c r="AA1173" s="25"/>
    </row>
    <row r="1174" spans="20:27" x14ac:dyDescent="0.35">
      <c r="T1174" s="97"/>
      <c r="U1174" s="97"/>
      <c r="V1174" s="25"/>
      <c r="W1174" s="25"/>
      <c r="X1174" s="25"/>
      <c r="Y1174" s="25"/>
      <c r="Z1174" s="25"/>
      <c r="AA1174" s="25"/>
    </row>
    <row r="1175" spans="20:27" x14ac:dyDescent="0.35">
      <c r="T1175" s="97"/>
      <c r="U1175" s="97"/>
      <c r="V1175" s="25"/>
      <c r="W1175" s="25"/>
      <c r="X1175" s="25"/>
      <c r="Y1175" s="25"/>
      <c r="Z1175" s="25"/>
      <c r="AA1175" s="25"/>
    </row>
    <row r="1176" spans="20:27" x14ac:dyDescent="0.35">
      <c r="T1176" s="97"/>
      <c r="U1176" s="97"/>
      <c r="V1176" s="25"/>
      <c r="W1176" s="25"/>
      <c r="X1176" s="25"/>
      <c r="Y1176" s="25"/>
      <c r="Z1176" s="25"/>
      <c r="AA1176" s="25"/>
    </row>
    <row r="1177" spans="20:27" x14ac:dyDescent="0.35">
      <c r="T1177" s="97"/>
      <c r="U1177" s="97"/>
      <c r="V1177" s="25"/>
      <c r="W1177" s="25"/>
      <c r="X1177" s="25"/>
      <c r="Y1177" s="25"/>
      <c r="Z1177" s="25"/>
      <c r="AA1177" s="25"/>
    </row>
    <row r="1178" spans="20:27" x14ac:dyDescent="0.35">
      <c r="T1178" s="97"/>
      <c r="U1178" s="97"/>
      <c r="V1178" s="25"/>
      <c r="W1178" s="25"/>
      <c r="X1178" s="25"/>
      <c r="Y1178" s="25"/>
      <c r="Z1178" s="25"/>
      <c r="AA1178" s="25"/>
    </row>
    <row r="1179" spans="20:27" x14ac:dyDescent="0.35">
      <c r="T1179" s="97"/>
      <c r="U1179" s="97"/>
      <c r="V1179" s="25"/>
      <c r="W1179" s="25"/>
      <c r="X1179" s="25"/>
      <c r="Y1179" s="25"/>
      <c r="Z1179" s="25"/>
      <c r="AA1179" s="25"/>
    </row>
    <row r="1180" spans="20:27" x14ac:dyDescent="0.35">
      <c r="T1180" s="97"/>
      <c r="U1180" s="97"/>
      <c r="V1180" s="25"/>
      <c r="W1180" s="25"/>
      <c r="X1180" s="25"/>
      <c r="Y1180" s="25"/>
      <c r="Z1180" s="25"/>
      <c r="AA1180" s="25"/>
    </row>
    <row r="1181" spans="20:27" x14ac:dyDescent="0.35">
      <c r="T1181" s="97"/>
      <c r="U1181" s="97"/>
      <c r="V1181" s="25"/>
      <c r="W1181" s="25"/>
      <c r="X1181" s="25"/>
      <c r="Y1181" s="25"/>
      <c r="Z1181" s="25"/>
      <c r="AA1181" s="25"/>
    </row>
    <row r="1182" spans="20:27" x14ac:dyDescent="0.35">
      <c r="T1182" s="97"/>
      <c r="U1182" s="97"/>
      <c r="V1182" s="25"/>
      <c r="W1182" s="25"/>
      <c r="X1182" s="25"/>
      <c r="Y1182" s="25"/>
      <c r="Z1182" s="25"/>
      <c r="AA1182" s="25"/>
    </row>
    <row r="1183" spans="20:27" x14ac:dyDescent="0.35">
      <c r="T1183" s="97"/>
      <c r="U1183" s="97"/>
      <c r="V1183" s="25"/>
      <c r="W1183" s="25"/>
      <c r="X1183" s="25"/>
      <c r="Y1183" s="25"/>
      <c r="Z1183" s="25"/>
      <c r="AA1183" s="25"/>
    </row>
    <row r="1184" spans="20:27" x14ac:dyDescent="0.35">
      <c r="T1184" s="97"/>
      <c r="U1184" s="97"/>
      <c r="V1184" s="25"/>
      <c r="W1184" s="25"/>
      <c r="X1184" s="25"/>
      <c r="Y1184" s="25"/>
      <c r="Z1184" s="25"/>
      <c r="AA1184" s="25"/>
    </row>
    <row r="1185" spans="20:27" x14ac:dyDescent="0.35">
      <c r="T1185" s="97"/>
      <c r="U1185" s="97"/>
      <c r="V1185" s="25"/>
      <c r="W1185" s="25"/>
      <c r="X1185" s="25"/>
      <c r="Y1185" s="25"/>
      <c r="Z1185" s="25"/>
      <c r="AA1185" s="25"/>
    </row>
    <row r="1186" spans="20:27" x14ac:dyDescent="0.35">
      <c r="T1186" s="97"/>
      <c r="U1186" s="97"/>
      <c r="V1186" s="25"/>
      <c r="W1186" s="25"/>
      <c r="X1186" s="25"/>
      <c r="Y1186" s="25"/>
      <c r="Z1186" s="25"/>
      <c r="AA1186" s="25"/>
    </row>
    <row r="1187" spans="20:27" x14ac:dyDescent="0.35">
      <c r="T1187" s="97"/>
      <c r="U1187" s="97"/>
      <c r="V1187" s="25"/>
      <c r="W1187" s="25"/>
      <c r="X1187" s="25"/>
      <c r="Y1187" s="25"/>
      <c r="Z1187" s="25"/>
      <c r="AA1187" s="25"/>
    </row>
    <row r="1188" spans="20:27" x14ac:dyDescent="0.35">
      <c r="T1188" s="97"/>
      <c r="U1188" s="97"/>
      <c r="V1188" s="25"/>
      <c r="W1188" s="25"/>
      <c r="X1188" s="25"/>
      <c r="Y1188" s="25"/>
      <c r="Z1188" s="25"/>
      <c r="AA1188" s="25"/>
    </row>
    <row r="1189" spans="20:27" x14ac:dyDescent="0.35">
      <c r="T1189" s="97"/>
      <c r="U1189" s="97"/>
      <c r="V1189" s="25"/>
      <c r="W1189" s="25"/>
      <c r="X1189" s="25"/>
      <c r="Y1189" s="25"/>
      <c r="Z1189" s="25"/>
      <c r="AA1189" s="25"/>
    </row>
    <row r="1190" spans="20:27" x14ac:dyDescent="0.35">
      <c r="T1190" s="97"/>
      <c r="U1190" s="97"/>
      <c r="V1190" s="25"/>
      <c r="W1190" s="25"/>
      <c r="X1190" s="25"/>
      <c r="Y1190" s="25"/>
      <c r="Z1190" s="25"/>
      <c r="AA1190" s="25"/>
    </row>
    <row r="1191" spans="20:27" x14ac:dyDescent="0.35">
      <c r="T1191" s="97"/>
      <c r="U1191" s="97"/>
      <c r="V1191" s="25"/>
      <c r="W1191" s="25"/>
      <c r="X1191" s="25"/>
      <c r="Y1191" s="25"/>
      <c r="Z1191" s="25"/>
      <c r="AA1191" s="25"/>
    </row>
    <row r="1192" spans="20:27" x14ac:dyDescent="0.35">
      <c r="T1192" s="97"/>
      <c r="U1192" s="97"/>
      <c r="V1192" s="25"/>
      <c r="W1192" s="25"/>
      <c r="X1192" s="25"/>
      <c r="Y1192" s="25"/>
      <c r="Z1192" s="25"/>
      <c r="AA1192" s="25"/>
    </row>
    <row r="1193" spans="20:27" x14ac:dyDescent="0.35">
      <c r="T1193" s="97"/>
      <c r="U1193" s="97"/>
      <c r="V1193" s="25"/>
      <c r="W1193" s="25"/>
      <c r="X1193" s="25"/>
      <c r="Y1193" s="25"/>
      <c r="Z1193" s="25"/>
      <c r="AA1193" s="25"/>
    </row>
    <row r="1194" spans="20:27" x14ac:dyDescent="0.35">
      <c r="T1194" s="97"/>
      <c r="U1194" s="97"/>
      <c r="V1194" s="25"/>
      <c r="W1194" s="25"/>
      <c r="X1194" s="25"/>
      <c r="Y1194" s="25"/>
      <c r="Z1194" s="25"/>
      <c r="AA1194" s="25"/>
    </row>
    <row r="1195" spans="20:27" x14ac:dyDescent="0.35">
      <c r="T1195" s="97"/>
      <c r="U1195" s="97"/>
      <c r="V1195" s="25"/>
      <c r="W1195" s="25"/>
      <c r="X1195" s="25"/>
      <c r="Y1195" s="25"/>
      <c r="Z1195" s="25"/>
      <c r="AA1195" s="25"/>
    </row>
    <row r="1196" spans="20:27" x14ac:dyDescent="0.35">
      <c r="T1196" s="97"/>
      <c r="U1196" s="97"/>
      <c r="V1196" s="25"/>
      <c r="W1196" s="25"/>
      <c r="X1196" s="25"/>
      <c r="Y1196" s="25"/>
      <c r="Z1196" s="25"/>
      <c r="AA1196" s="25"/>
    </row>
    <row r="1197" spans="20:27" x14ac:dyDescent="0.35">
      <c r="T1197" s="97"/>
      <c r="U1197" s="97"/>
      <c r="V1197" s="25"/>
      <c r="W1197" s="25"/>
      <c r="X1197" s="25"/>
      <c r="Y1197" s="25"/>
      <c r="Z1197" s="25"/>
      <c r="AA1197" s="25"/>
    </row>
    <row r="1198" spans="20:27" x14ac:dyDescent="0.35">
      <c r="T1198" s="97"/>
      <c r="U1198" s="97"/>
      <c r="V1198" s="25"/>
      <c r="W1198" s="25"/>
      <c r="X1198" s="25"/>
      <c r="Y1198" s="25"/>
      <c r="Z1198" s="25"/>
      <c r="AA1198" s="25"/>
    </row>
    <row r="1199" spans="20:27" x14ac:dyDescent="0.35">
      <c r="T1199" s="97"/>
      <c r="U1199" s="97"/>
      <c r="V1199" s="25"/>
      <c r="W1199" s="25"/>
      <c r="X1199" s="25"/>
      <c r="Y1199" s="25"/>
      <c r="Z1199" s="25"/>
      <c r="AA1199" s="25"/>
    </row>
    <row r="1200" spans="20:27" x14ac:dyDescent="0.35">
      <c r="T1200" s="97"/>
      <c r="U1200" s="97"/>
      <c r="V1200" s="25"/>
      <c r="W1200" s="25"/>
      <c r="X1200" s="25"/>
      <c r="Y1200" s="25"/>
      <c r="Z1200" s="25"/>
      <c r="AA1200" s="25"/>
    </row>
    <row r="1201" spans="20:27" x14ac:dyDescent="0.35">
      <c r="T1201" s="97"/>
      <c r="U1201" s="97"/>
      <c r="V1201" s="25"/>
      <c r="W1201" s="25"/>
      <c r="X1201" s="25"/>
      <c r="Y1201" s="25"/>
      <c r="Z1201" s="25"/>
      <c r="AA1201" s="25"/>
    </row>
    <row r="1202" spans="20:27" x14ac:dyDescent="0.35">
      <c r="T1202" s="97"/>
      <c r="U1202" s="97"/>
      <c r="V1202" s="25"/>
      <c r="W1202" s="25"/>
      <c r="X1202" s="25"/>
      <c r="Y1202" s="25"/>
      <c r="Z1202" s="25"/>
      <c r="AA1202" s="25"/>
    </row>
    <row r="1203" spans="20:27" x14ac:dyDescent="0.35">
      <c r="T1203" s="97"/>
      <c r="U1203" s="97"/>
      <c r="V1203" s="25"/>
      <c r="W1203" s="25"/>
      <c r="X1203" s="25"/>
      <c r="Y1203" s="25"/>
      <c r="Z1203" s="25"/>
      <c r="AA1203" s="25"/>
    </row>
    <row r="1204" spans="20:27" x14ac:dyDescent="0.35">
      <c r="T1204" s="97"/>
      <c r="U1204" s="97"/>
      <c r="V1204" s="25"/>
      <c r="W1204" s="25"/>
      <c r="X1204" s="25"/>
      <c r="Y1204" s="25"/>
      <c r="Z1204" s="25"/>
      <c r="AA1204" s="25"/>
    </row>
    <row r="1205" spans="20:27" x14ac:dyDescent="0.35">
      <c r="T1205" s="97"/>
      <c r="U1205" s="97"/>
      <c r="V1205" s="25"/>
      <c r="W1205" s="25"/>
      <c r="X1205" s="25"/>
      <c r="Y1205" s="25"/>
      <c r="Z1205" s="25"/>
      <c r="AA1205" s="25"/>
    </row>
    <row r="1206" spans="20:27" x14ac:dyDescent="0.35">
      <c r="T1206" s="97"/>
      <c r="U1206" s="97"/>
      <c r="V1206" s="25"/>
      <c r="W1206" s="25"/>
      <c r="X1206" s="25"/>
      <c r="Y1206" s="25"/>
      <c r="Z1206" s="25"/>
      <c r="AA1206" s="25"/>
    </row>
    <row r="1207" spans="20:27" x14ac:dyDescent="0.35">
      <c r="T1207" s="97"/>
      <c r="U1207" s="97"/>
      <c r="V1207" s="25"/>
      <c r="W1207" s="25"/>
      <c r="X1207" s="25"/>
      <c r="Y1207" s="25"/>
      <c r="Z1207" s="25"/>
      <c r="AA1207" s="25"/>
    </row>
    <row r="1208" spans="20:27" x14ac:dyDescent="0.35">
      <c r="T1208" s="97"/>
      <c r="U1208" s="97"/>
      <c r="V1208" s="25"/>
      <c r="W1208" s="25"/>
      <c r="X1208" s="25"/>
      <c r="Y1208" s="25"/>
      <c r="Z1208" s="25"/>
      <c r="AA1208" s="25"/>
    </row>
    <row r="1209" spans="20:27" x14ac:dyDescent="0.35">
      <c r="T1209" s="97"/>
      <c r="U1209" s="97"/>
      <c r="V1209" s="25"/>
      <c r="W1209" s="25"/>
      <c r="X1209" s="25"/>
      <c r="Y1209" s="25"/>
      <c r="Z1209" s="25"/>
      <c r="AA1209" s="25"/>
    </row>
    <row r="1210" spans="20:27" x14ac:dyDescent="0.35">
      <c r="T1210" s="97"/>
      <c r="U1210" s="97"/>
      <c r="V1210" s="25"/>
      <c r="W1210" s="25"/>
      <c r="X1210" s="25"/>
      <c r="Y1210" s="25"/>
      <c r="Z1210" s="25"/>
      <c r="AA1210" s="25"/>
    </row>
    <row r="1211" spans="20:27" x14ac:dyDescent="0.35">
      <c r="T1211" s="97"/>
      <c r="U1211" s="97"/>
      <c r="V1211" s="25"/>
      <c r="W1211" s="25"/>
      <c r="X1211" s="25"/>
      <c r="Y1211" s="25"/>
      <c r="Z1211" s="25"/>
      <c r="AA1211" s="25"/>
    </row>
    <row r="1212" spans="20:27" x14ac:dyDescent="0.35">
      <c r="T1212" s="97"/>
      <c r="U1212" s="97"/>
      <c r="V1212" s="25"/>
      <c r="W1212" s="25"/>
      <c r="X1212" s="25"/>
      <c r="Y1212" s="25"/>
      <c r="Z1212" s="25"/>
      <c r="AA1212" s="25"/>
    </row>
    <row r="1213" spans="20:27" x14ac:dyDescent="0.35">
      <c r="T1213" s="97"/>
      <c r="U1213" s="97"/>
      <c r="V1213" s="25"/>
      <c r="W1213" s="25"/>
      <c r="X1213" s="25"/>
      <c r="Y1213" s="25"/>
      <c r="Z1213" s="25"/>
      <c r="AA1213" s="25"/>
    </row>
    <row r="1214" spans="20:27" x14ac:dyDescent="0.35">
      <c r="T1214" s="97"/>
      <c r="U1214" s="97"/>
      <c r="V1214" s="25"/>
      <c r="W1214" s="25"/>
      <c r="X1214" s="25"/>
      <c r="Y1214" s="25"/>
      <c r="Z1214" s="25"/>
      <c r="AA1214" s="25"/>
    </row>
    <row r="1215" spans="20:27" x14ac:dyDescent="0.35">
      <c r="T1215" s="97"/>
      <c r="U1215" s="97"/>
      <c r="V1215" s="25"/>
      <c r="W1215" s="25"/>
      <c r="X1215" s="25"/>
      <c r="Y1215" s="25"/>
      <c r="Z1215" s="25"/>
      <c r="AA1215" s="25"/>
    </row>
    <row r="1216" spans="20:27" x14ac:dyDescent="0.35">
      <c r="T1216" s="97"/>
      <c r="U1216" s="97"/>
      <c r="V1216" s="25"/>
      <c r="W1216" s="25"/>
      <c r="X1216" s="25"/>
      <c r="Y1216" s="25"/>
      <c r="Z1216" s="25"/>
      <c r="AA1216" s="25"/>
    </row>
    <row r="1217" spans="20:27" x14ac:dyDescent="0.35">
      <c r="T1217" s="97"/>
      <c r="U1217" s="97"/>
      <c r="V1217" s="25"/>
      <c r="W1217" s="25"/>
      <c r="X1217" s="25"/>
      <c r="Y1217" s="25"/>
      <c r="Z1217" s="25"/>
      <c r="AA1217" s="25"/>
    </row>
    <row r="1218" spans="20:27" x14ac:dyDescent="0.35">
      <c r="T1218" s="97"/>
      <c r="U1218" s="97"/>
      <c r="V1218" s="25"/>
      <c r="W1218" s="25"/>
      <c r="X1218" s="25"/>
      <c r="Y1218" s="25"/>
      <c r="Z1218" s="25"/>
      <c r="AA1218" s="25"/>
    </row>
    <row r="1219" spans="20:27" x14ac:dyDescent="0.35">
      <c r="T1219" s="97"/>
      <c r="U1219" s="97"/>
      <c r="V1219" s="25"/>
      <c r="W1219" s="25"/>
      <c r="X1219" s="25"/>
      <c r="Y1219" s="25"/>
      <c r="Z1219" s="25"/>
      <c r="AA1219" s="25"/>
    </row>
    <row r="1220" spans="20:27" x14ac:dyDescent="0.35">
      <c r="T1220" s="97"/>
      <c r="U1220" s="97"/>
      <c r="V1220" s="25"/>
      <c r="W1220" s="25"/>
      <c r="X1220" s="25"/>
      <c r="Y1220" s="25"/>
      <c r="Z1220" s="25"/>
      <c r="AA1220" s="25"/>
    </row>
    <row r="1221" spans="20:27" x14ac:dyDescent="0.35">
      <c r="T1221" s="97"/>
      <c r="U1221" s="97"/>
      <c r="V1221" s="25"/>
      <c r="W1221" s="25"/>
      <c r="X1221" s="25"/>
      <c r="Y1221" s="25"/>
      <c r="Z1221" s="25"/>
      <c r="AA1221" s="25"/>
    </row>
    <row r="1222" spans="20:27" x14ac:dyDescent="0.35">
      <c r="T1222" s="97"/>
      <c r="U1222" s="97"/>
      <c r="V1222" s="25"/>
      <c r="W1222" s="25"/>
      <c r="X1222" s="25"/>
      <c r="Y1222" s="25"/>
      <c r="Z1222" s="25"/>
      <c r="AA1222" s="25"/>
    </row>
    <row r="1223" spans="20:27" x14ac:dyDescent="0.35">
      <c r="T1223" s="97"/>
      <c r="U1223" s="97"/>
      <c r="V1223" s="25"/>
      <c r="W1223" s="25"/>
      <c r="X1223" s="25"/>
      <c r="Y1223" s="25"/>
      <c r="Z1223" s="25"/>
      <c r="AA1223" s="25"/>
    </row>
    <row r="1224" spans="20:27" x14ac:dyDescent="0.35">
      <c r="T1224" s="97"/>
      <c r="U1224" s="97"/>
      <c r="V1224" s="25"/>
      <c r="W1224" s="25"/>
      <c r="X1224" s="25"/>
      <c r="Y1224" s="25"/>
      <c r="Z1224" s="25"/>
      <c r="AA1224" s="25"/>
    </row>
    <row r="1225" spans="20:27" x14ac:dyDescent="0.35">
      <c r="T1225" s="97"/>
      <c r="U1225" s="97"/>
      <c r="V1225" s="25"/>
      <c r="W1225" s="25"/>
      <c r="X1225" s="25"/>
      <c r="Y1225" s="25"/>
      <c r="Z1225" s="25"/>
      <c r="AA1225" s="25"/>
    </row>
    <row r="1226" spans="20:27" x14ac:dyDescent="0.35">
      <c r="T1226" s="97"/>
      <c r="U1226" s="97"/>
      <c r="V1226" s="25"/>
      <c r="W1226" s="25"/>
      <c r="X1226" s="25"/>
      <c r="Y1226" s="25"/>
      <c r="Z1226" s="25"/>
      <c r="AA1226" s="25"/>
    </row>
    <row r="1227" spans="20:27" x14ac:dyDescent="0.35">
      <c r="T1227" s="97"/>
      <c r="U1227" s="97"/>
      <c r="V1227" s="25"/>
      <c r="W1227" s="25"/>
      <c r="X1227" s="25"/>
      <c r="Y1227" s="25"/>
      <c r="Z1227" s="25"/>
      <c r="AA1227" s="25"/>
    </row>
    <row r="1228" spans="20:27" x14ac:dyDescent="0.35">
      <c r="T1228" s="97"/>
      <c r="U1228" s="97"/>
      <c r="V1228" s="25"/>
      <c r="W1228" s="25"/>
      <c r="X1228" s="25"/>
      <c r="Y1228" s="25"/>
      <c r="Z1228" s="25"/>
      <c r="AA1228" s="25"/>
    </row>
    <row r="1229" spans="20:27" x14ac:dyDescent="0.35">
      <c r="T1229" s="97"/>
      <c r="U1229" s="97"/>
      <c r="V1229" s="25"/>
      <c r="W1229" s="25"/>
      <c r="X1229" s="25"/>
      <c r="Y1229" s="25"/>
      <c r="Z1229" s="25"/>
      <c r="AA1229" s="25"/>
    </row>
    <row r="1230" spans="20:27" x14ac:dyDescent="0.35">
      <c r="T1230" s="97"/>
      <c r="U1230" s="97"/>
      <c r="V1230" s="25"/>
      <c r="W1230" s="25"/>
      <c r="X1230" s="25"/>
      <c r="Y1230" s="25"/>
      <c r="Z1230" s="25"/>
      <c r="AA1230" s="25"/>
    </row>
    <row r="1231" spans="20:27" x14ac:dyDescent="0.35">
      <c r="T1231" s="97"/>
      <c r="U1231" s="97"/>
      <c r="V1231" s="25"/>
      <c r="W1231" s="25"/>
      <c r="X1231" s="25"/>
      <c r="Y1231" s="25"/>
      <c r="Z1231" s="25"/>
      <c r="AA1231" s="25"/>
    </row>
    <row r="1232" spans="20:27" x14ac:dyDescent="0.35">
      <c r="T1232" s="97"/>
      <c r="U1232" s="97"/>
      <c r="V1232" s="25"/>
      <c r="W1232" s="25"/>
      <c r="X1232" s="25"/>
      <c r="Y1232" s="25"/>
      <c r="Z1232" s="25"/>
      <c r="AA1232" s="25"/>
    </row>
    <row r="1233" spans="20:27" x14ac:dyDescent="0.35">
      <c r="T1233" s="97"/>
      <c r="U1233" s="97"/>
      <c r="V1233" s="25"/>
      <c r="W1233" s="25"/>
      <c r="X1233" s="25"/>
      <c r="Y1233" s="25"/>
      <c r="Z1233" s="25"/>
      <c r="AA1233" s="25"/>
    </row>
    <row r="1234" spans="20:27" x14ac:dyDescent="0.35">
      <c r="T1234" s="97"/>
      <c r="U1234" s="97"/>
      <c r="V1234" s="25"/>
      <c r="W1234" s="25"/>
      <c r="X1234" s="25"/>
      <c r="Y1234" s="25"/>
      <c r="Z1234" s="25"/>
      <c r="AA1234" s="25"/>
    </row>
    <row r="1235" spans="20:27" x14ac:dyDescent="0.35">
      <c r="T1235" s="97"/>
      <c r="U1235" s="97"/>
      <c r="V1235" s="25"/>
      <c r="W1235" s="25"/>
      <c r="X1235" s="25"/>
      <c r="Y1235" s="25"/>
      <c r="Z1235" s="25"/>
      <c r="AA1235" s="25"/>
    </row>
    <row r="1236" spans="20:27" x14ac:dyDescent="0.35">
      <c r="T1236" s="97"/>
      <c r="U1236" s="97"/>
      <c r="V1236" s="25"/>
      <c r="W1236" s="25"/>
      <c r="X1236" s="25"/>
      <c r="Y1236" s="25"/>
      <c r="Z1236" s="25"/>
      <c r="AA1236" s="25"/>
    </row>
    <row r="1237" spans="20:27" x14ac:dyDescent="0.35">
      <c r="T1237" s="97"/>
      <c r="U1237" s="97"/>
      <c r="V1237" s="25"/>
      <c r="W1237" s="25"/>
      <c r="X1237" s="25"/>
      <c r="Y1237" s="25"/>
      <c r="Z1237" s="25"/>
      <c r="AA1237" s="25"/>
    </row>
    <row r="1238" spans="20:27" x14ac:dyDescent="0.35">
      <c r="T1238" s="97"/>
      <c r="U1238" s="97"/>
      <c r="V1238" s="25"/>
      <c r="W1238" s="25"/>
      <c r="X1238" s="25"/>
      <c r="Y1238" s="25"/>
      <c r="Z1238" s="25"/>
      <c r="AA1238" s="25"/>
    </row>
    <row r="1239" spans="20:27" x14ac:dyDescent="0.35">
      <c r="T1239" s="97"/>
      <c r="U1239" s="97"/>
      <c r="V1239" s="25"/>
      <c r="W1239" s="25"/>
      <c r="X1239" s="25"/>
      <c r="Y1239" s="25"/>
      <c r="Z1239" s="25"/>
      <c r="AA1239" s="25"/>
    </row>
    <row r="1240" spans="20:27" x14ac:dyDescent="0.35">
      <c r="T1240" s="97"/>
      <c r="U1240" s="97"/>
      <c r="V1240" s="25"/>
      <c r="W1240" s="25"/>
      <c r="X1240" s="25"/>
      <c r="Y1240" s="25"/>
      <c r="Z1240" s="25"/>
      <c r="AA1240" s="25"/>
    </row>
    <row r="1241" spans="20:27" x14ac:dyDescent="0.35">
      <c r="T1241" s="97"/>
      <c r="U1241" s="97"/>
      <c r="V1241" s="25"/>
      <c r="W1241" s="25"/>
      <c r="X1241" s="25"/>
      <c r="Y1241" s="25"/>
      <c r="Z1241" s="25"/>
      <c r="AA1241" s="25"/>
    </row>
    <row r="1242" spans="20:27" x14ac:dyDescent="0.35">
      <c r="T1242" s="97"/>
      <c r="U1242" s="97"/>
      <c r="V1242" s="25"/>
      <c r="W1242" s="25"/>
      <c r="X1242" s="25"/>
      <c r="Y1242" s="25"/>
      <c r="Z1242" s="25"/>
      <c r="AA1242" s="25"/>
    </row>
    <row r="1243" spans="20:27" x14ac:dyDescent="0.35">
      <c r="T1243" s="97"/>
      <c r="U1243" s="97"/>
      <c r="V1243" s="25"/>
      <c r="W1243" s="25"/>
      <c r="X1243" s="25"/>
      <c r="Y1243" s="25"/>
      <c r="Z1243" s="25"/>
      <c r="AA1243" s="25"/>
    </row>
    <row r="1244" spans="20:27" x14ac:dyDescent="0.35">
      <c r="T1244" s="97"/>
      <c r="U1244" s="97"/>
      <c r="V1244" s="25"/>
      <c r="W1244" s="25"/>
      <c r="X1244" s="25"/>
      <c r="Y1244" s="25"/>
      <c r="Z1244" s="25"/>
      <c r="AA1244" s="25"/>
    </row>
    <row r="1245" spans="20:27" x14ac:dyDescent="0.35">
      <c r="T1245" s="97"/>
      <c r="U1245" s="97"/>
      <c r="V1245" s="25"/>
      <c r="W1245" s="25"/>
      <c r="X1245" s="25"/>
      <c r="Y1245" s="25"/>
      <c r="Z1245" s="25"/>
      <c r="AA1245" s="25"/>
    </row>
    <row r="1246" spans="20:27" x14ac:dyDescent="0.35">
      <c r="T1246" s="97"/>
      <c r="U1246" s="97"/>
      <c r="V1246" s="25"/>
      <c r="W1246" s="25"/>
      <c r="X1246" s="25"/>
      <c r="Y1246" s="25"/>
      <c r="Z1246" s="25"/>
      <c r="AA1246" s="25"/>
    </row>
    <row r="1247" spans="20:27" x14ac:dyDescent="0.35">
      <c r="T1247" s="97"/>
      <c r="U1247" s="97"/>
      <c r="V1247" s="25"/>
      <c r="W1247" s="25"/>
      <c r="X1247" s="25"/>
      <c r="Y1247" s="25"/>
      <c r="Z1247" s="25"/>
      <c r="AA1247" s="25"/>
    </row>
    <row r="1248" spans="20:27" x14ac:dyDescent="0.35">
      <c r="T1248" s="97"/>
      <c r="U1248" s="97"/>
      <c r="V1248" s="25"/>
      <c r="W1248" s="25"/>
      <c r="X1248" s="25"/>
      <c r="Y1248" s="25"/>
      <c r="Z1248" s="25"/>
      <c r="AA1248" s="25"/>
    </row>
    <row r="1249" spans="20:27" x14ac:dyDescent="0.35">
      <c r="T1249" s="97"/>
      <c r="U1249" s="97"/>
      <c r="V1249" s="25"/>
      <c r="W1249" s="25"/>
      <c r="X1249" s="25"/>
      <c r="Y1249" s="25"/>
      <c r="Z1249" s="25"/>
      <c r="AA1249" s="25"/>
    </row>
    <row r="1250" spans="20:27" x14ac:dyDescent="0.35">
      <c r="T1250" s="97"/>
      <c r="U1250" s="97"/>
      <c r="V1250" s="25"/>
      <c r="W1250" s="25"/>
      <c r="X1250" s="25"/>
      <c r="Y1250" s="25"/>
      <c r="Z1250" s="25"/>
      <c r="AA1250" s="25"/>
    </row>
    <row r="1251" spans="20:27" x14ac:dyDescent="0.35">
      <c r="T1251" s="97"/>
      <c r="U1251" s="97"/>
      <c r="V1251" s="25"/>
      <c r="W1251" s="25"/>
      <c r="X1251" s="25"/>
      <c r="Y1251" s="25"/>
      <c r="Z1251" s="25"/>
      <c r="AA1251" s="25"/>
    </row>
    <row r="1252" spans="20:27" x14ac:dyDescent="0.35">
      <c r="T1252" s="97"/>
      <c r="U1252" s="97"/>
      <c r="V1252" s="25"/>
      <c r="W1252" s="25"/>
      <c r="X1252" s="25"/>
      <c r="Y1252" s="25"/>
      <c r="Z1252" s="25"/>
      <c r="AA1252" s="25"/>
    </row>
    <row r="1253" spans="20:27" x14ac:dyDescent="0.35">
      <c r="T1253" s="97"/>
      <c r="U1253" s="97"/>
      <c r="V1253" s="25"/>
      <c r="W1253" s="25"/>
      <c r="X1253" s="25"/>
      <c r="Y1253" s="25"/>
      <c r="Z1253" s="25"/>
      <c r="AA1253" s="25"/>
    </row>
    <row r="1254" spans="20:27" x14ac:dyDescent="0.35">
      <c r="T1254" s="97"/>
      <c r="U1254" s="97"/>
      <c r="V1254" s="25"/>
      <c r="W1254" s="25"/>
      <c r="X1254" s="25"/>
      <c r="Y1254" s="25"/>
      <c r="Z1254" s="25"/>
      <c r="AA1254" s="25"/>
    </row>
    <row r="1255" spans="20:27" x14ac:dyDescent="0.35">
      <c r="T1255" s="97"/>
      <c r="U1255" s="97"/>
      <c r="V1255" s="25"/>
      <c r="W1255" s="25"/>
      <c r="X1255" s="25"/>
      <c r="Y1255" s="25"/>
      <c r="Z1255" s="25"/>
      <c r="AA1255" s="25"/>
    </row>
    <row r="1256" spans="20:27" x14ac:dyDescent="0.35">
      <c r="T1256" s="97"/>
      <c r="U1256" s="97"/>
      <c r="V1256" s="25"/>
      <c r="W1256" s="25"/>
      <c r="X1256" s="25"/>
      <c r="Y1256" s="25"/>
      <c r="Z1256" s="25"/>
      <c r="AA1256" s="25"/>
    </row>
    <row r="1257" spans="20:27" x14ac:dyDescent="0.35">
      <c r="T1257" s="97"/>
      <c r="U1257" s="97"/>
      <c r="V1257" s="25"/>
      <c r="W1257" s="25"/>
      <c r="X1257" s="25"/>
      <c r="Y1257" s="25"/>
      <c r="Z1257" s="25"/>
      <c r="AA1257" s="25"/>
    </row>
    <row r="1258" spans="20:27" x14ac:dyDescent="0.35">
      <c r="T1258" s="97"/>
      <c r="U1258" s="97"/>
      <c r="V1258" s="25"/>
      <c r="W1258" s="25"/>
      <c r="X1258" s="25"/>
      <c r="Y1258" s="25"/>
      <c r="Z1258" s="25"/>
      <c r="AA1258" s="25"/>
    </row>
    <row r="1259" spans="20:27" x14ac:dyDescent="0.35">
      <c r="T1259" s="97"/>
      <c r="U1259" s="97"/>
      <c r="V1259" s="25"/>
      <c r="W1259" s="25"/>
      <c r="X1259" s="25"/>
      <c r="Y1259" s="25"/>
      <c r="Z1259" s="25"/>
      <c r="AA1259" s="25"/>
    </row>
    <row r="1260" spans="20:27" x14ac:dyDescent="0.35">
      <c r="T1260" s="97"/>
      <c r="U1260" s="97"/>
      <c r="V1260" s="25"/>
      <c r="W1260" s="25"/>
      <c r="X1260" s="25"/>
      <c r="Y1260" s="25"/>
      <c r="Z1260" s="25"/>
      <c r="AA1260" s="25"/>
    </row>
    <row r="1261" spans="20:27" x14ac:dyDescent="0.35">
      <c r="T1261" s="97"/>
      <c r="U1261" s="97"/>
      <c r="V1261" s="25"/>
      <c r="W1261" s="25"/>
      <c r="X1261" s="25"/>
      <c r="Y1261" s="25"/>
      <c r="Z1261" s="25"/>
      <c r="AA1261" s="25"/>
    </row>
    <row r="1262" spans="20:27" x14ac:dyDescent="0.35">
      <c r="T1262" s="97"/>
      <c r="U1262" s="97"/>
      <c r="V1262" s="25"/>
      <c r="W1262" s="25"/>
      <c r="X1262" s="25"/>
      <c r="Y1262" s="25"/>
      <c r="Z1262" s="25"/>
      <c r="AA1262" s="25"/>
    </row>
    <row r="1263" spans="20:27" x14ac:dyDescent="0.35">
      <c r="T1263" s="97"/>
      <c r="U1263" s="97"/>
      <c r="V1263" s="25"/>
      <c r="W1263" s="25"/>
      <c r="X1263" s="25"/>
      <c r="Y1263" s="25"/>
      <c r="Z1263" s="25"/>
      <c r="AA1263" s="25"/>
    </row>
    <row r="1264" spans="20:27" x14ac:dyDescent="0.35">
      <c r="T1264" s="97"/>
      <c r="U1264" s="97"/>
      <c r="V1264" s="25"/>
      <c r="W1264" s="25"/>
      <c r="X1264" s="25"/>
      <c r="Y1264" s="25"/>
      <c r="Z1264" s="25"/>
      <c r="AA1264" s="25"/>
    </row>
    <row r="1265" spans="20:27" x14ac:dyDescent="0.35">
      <c r="T1265" s="97"/>
      <c r="U1265" s="97"/>
      <c r="V1265" s="25"/>
      <c r="W1265" s="25"/>
      <c r="X1265" s="25"/>
      <c r="Y1265" s="25"/>
      <c r="Z1265" s="25"/>
      <c r="AA1265" s="25"/>
    </row>
    <row r="1266" spans="20:27" x14ac:dyDescent="0.35">
      <c r="T1266" s="97"/>
      <c r="U1266" s="97"/>
      <c r="V1266" s="25"/>
      <c r="W1266" s="25"/>
      <c r="X1266" s="25"/>
      <c r="Y1266" s="25"/>
      <c r="Z1266" s="25"/>
      <c r="AA1266" s="25"/>
    </row>
    <row r="1267" spans="20:27" x14ac:dyDescent="0.35">
      <c r="T1267" s="97"/>
      <c r="U1267" s="97"/>
      <c r="V1267" s="25"/>
      <c r="W1267" s="25"/>
      <c r="X1267" s="25"/>
      <c r="Y1267" s="25"/>
      <c r="Z1267" s="25"/>
      <c r="AA1267" s="25"/>
    </row>
    <row r="1268" spans="20:27" x14ac:dyDescent="0.35">
      <c r="T1268" s="97"/>
      <c r="U1268" s="97"/>
      <c r="V1268" s="25"/>
      <c r="W1268" s="25"/>
      <c r="X1268" s="25"/>
      <c r="Y1268" s="25"/>
      <c r="Z1268" s="25"/>
      <c r="AA1268" s="25"/>
    </row>
    <row r="1269" spans="20:27" x14ac:dyDescent="0.35">
      <c r="T1269" s="97"/>
      <c r="U1269" s="97"/>
      <c r="V1269" s="25"/>
      <c r="W1269" s="25"/>
      <c r="X1269" s="25"/>
      <c r="Y1269" s="25"/>
      <c r="Z1269" s="25"/>
      <c r="AA1269" s="25"/>
    </row>
    <row r="1270" spans="20:27" x14ac:dyDescent="0.35">
      <c r="T1270" s="97"/>
      <c r="U1270" s="97"/>
      <c r="V1270" s="25"/>
      <c r="W1270" s="25"/>
      <c r="X1270" s="25"/>
      <c r="Y1270" s="25"/>
      <c r="Z1270" s="25"/>
      <c r="AA1270" s="25"/>
    </row>
    <row r="1271" spans="20:27" x14ac:dyDescent="0.35">
      <c r="T1271" s="97"/>
      <c r="U1271" s="97"/>
      <c r="V1271" s="25"/>
      <c r="W1271" s="25"/>
      <c r="X1271" s="25"/>
      <c r="Y1271" s="25"/>
      <c r="Z1271" s="25"/>
      <c r="AA1271" s="25"/>
    </row>
    <row r="1272" spans="20:27" x14ac:dyDescent="0.35">
      <c r="T1272" s="97"/>
      <c r="U1272" s="97"/>
      <c r="V1272" s="25"/>
      <c r="W1272" s="25"/>
      <c r="X1272" s="25"/>
      <c r="Y1272" s="25"/>
      <c r="Z1272" s="25"/>
      <c r="AA1272" s="25"/>
    </row>
    <row r="1273" spans="20:27" x14ac:dyDescent="0.35">
      <c r="T1273" s="97"/>
      <c r="U1273" s="97"/>
      <c r="V1273" s="25"/>
      <c r="W1273" s="25"/>
      <c r="X1273" s="25"/>
      <c r="Y1273" s="25"/>
      <c r="Z1273" s="25"/>
      <c r="AA1273" s="25"/>
    </row>
    <row r="1274" spans="20:27" x14ac:dyDescent="0.35">
      <c r="T1274" s="97"/>
      <c r="U1274" s="97"/>
      <c r="V1274" s="25"/>
      <c r="W1274" s="25"/>
      <c r="X1274" s="25"/>
      <c r="Y1274" s="25"/>
      <c r="Z1274" s="25"/>
      <c r="AA1274" s="25"/>
    </row>
    <row r="1275" spans="20:27" x14ac:dyDescent="0.35">
      <c r="T1275" s="97"/>
      <c r="U1275" s="97"/>
      <c r="V1275" s="25"/>
      <c r="W1275" s="25"/>
      <c r="X1275" s="25"/>
      <c r="Y1275" s="25"/>
      <c r="Z1275" s="25"/>
      <c r="AA1275" s="25"/>
    </row>
    <row r="1276" spans="20:27" x14ac:dyDescent="0.35">
      <c r="T1276" s="97"/>
      <c r="U1276" s="97"/>
      <c r="V1276" s="25"/>
      <c r="W1276" s="25"/>
      <c r="X1276" s="25"/>
      <c r="Y1276" s="25"/>
      <c r="Z1276" s="25"/>
      <c r="AA1276" s="25"/>
    </row>
    <row r="1277" spans="20:27" x14ac:dyDescent="0.35">
      <c r="T1277" s="97"/>
      <c r="U1277" s="97"/>
      <c r="V1277" s="25"/>
      <c r="W1277" s="25"/>
      <c r="X1277" s="25"/>
      <c r="Y1277" s="25"/>
      <c r="Z1277" s="25"/>
      <c r="AA1277" s="25"/>
    </row>
    <row r="1278" spans="20:27" x14ac:dyDescent="0.35">
      <c r="T1278" s="97"/>
      <c r="U1278" s="97"/>
      <c r="V1278" s="25"/>
      <c r="W1278" s="25"/>
      <c r="X1278" s="25"/>
      <c r="Y1278" s="25"/>
      <c r="Z1278" s="25"/>
      <c r="AA1278" s="25"/>
    </row>
    <row r="1279" spans="20:27" x14ac:dyDescent="0.35">
      <c r="T1279" s="97"/>
      <c r="U1279" s="97"/>
      <c r="V1279" s="25"/>
      <c r="W1279" s="25"/>
      <c r="X1279" s="25"/>
      <c r="Y1279" s="25"/>
      <c r="Z1279" s="25"/>
      <c r="AA1279" s="25"/>
    </row>
    <row r="1280" spans="20:27" x14ac:dyDescent="0.35">
      <c r="T1280" s="97"/>
      <c r="U1280" s="97"/>
      <c r="V1280" s="25"/>
      <c r="W1280" s="25"/>
      <c r="X1280" s="25"/>
      <c r="Y1280" s="25"/>
      <c r="Z1280" s="25"/>
      <c r="AA1280" s="25"/>
    </row>
    <row r="1281" spans="20:27" x14ac:dyDescent="0.35">
      <c r="T1281" s="97"/>
      <c r="U1281" s="97"/>
      <c r="V1281" s="25"/>
      <c r="W1281" s="25"/>
      <c r="X1281" s="25"/>
      <c r="Y1281" s="25"/>
      <c r="Z1281" s="25"/>
      <c r="AA1281" s="25"/>
    </row>
    <row r="1282" spans="20:27" x14ac:dyDescent="0.35">
      <c r="T1282" s="97"/>
      <c r="U1282" s="97"/>
      <c r="V1282" s="25"/>
      <c r="W1282" s="25"/>
      <c r="X1282" s="25"/>
      <c r="Y1282" s="25"/>
      <c r="Z1282" s="25"/>
      <c r="AA1282" s="25"/>
    </row>
    <row r="1283" spans="20:27" x14ac:dyDescent="0.35">
      <c r="T1283" s="97"/>
      <c r="U1283" s="97"/>
      <c r="V1283" s="25"/>
      <c r="W1283" s="25"/>
      <c r="X1283" s="25"/>
      <c r="Y1283" s="25"/>
      <c r="Z1283" s="25"/>
      <c r="AA1283" s="25"/>
    </row>
    <row r="1284" spans="20:27" x14ac:dyDescent="0.35">
      <c r="T1284" s="97"/>
      <c r="U1284" s="97"/>
      <c r="V1284" s="25"/>
      <c r="W1284" s="25"/>
      <c r="X1284" s="25"/>
      <c r="Y1284" s="25"/>
      <c r="Z1284" s="25"/>
      <c r="AA1284" s="25"/>
    </row>
    <row r="1285" spans="20:27" x14ac:dyDescent="0.35">
      <c r="T1285" s="97"/>
      <c r="U1285" s="97"/>
      <c r="V1285" s="25"/>
      <c r="W1285" s="25"/>
      <c r="X1285" s="25"/>
      <c r="Y1285" s="25"/>
      <c r="Z1285" s="25"/>
      <c r="AA1285" s="25"/>
    </row>
    <row r="1286" spans="20:27" x14ac:dyDescent="0.35">
      <c r="T1286" s="97"/>
      <c r="U1286" s="97"/>
      <c r="V1286" s="25"/>
      <c r="W1286" s="25"/>
      <c r="X1286" s="25"/>
      <c r="Y1286" s="25"/>
      <c r="Z1286" s="25"/>
      <c r="AA1286" s="25"/>
    </row>
    <row r="1287" spans="20:27" x14ac:dyDescent="0.35">
      <c r="T1287" s="97"/>
      <c r="U1287" s="97"/>
      <c r="V1287" s="25"/>
      <c r="W1287" s="25"/>
      <c r="X1287" s="25"/>
      <c r="Y1287" s="25"/>
      <c r="Z1287" s="25"/>
      <c r="AA1287" s="25"/>
    </row>
    <row r="1288" spans="20:27" x14ac:dyDescent="0.35">
      <c r="T1288" s="97"/>
      <c r="U1288" s="97"/>
      <c r="V1288" s="25"/>
      <c r="W1288" s="25"/>
      <c r="X1288" s="25"/>
      <c r="Y1288" s="25"/>
      <c r="Z1288" s="25"/>
      <c r="AA1288" s="25"/>
    </row>
    <row r="1289" spans="20:27" x14ac:dyDescent="0.35">
      <c r="T1289" s="97"/>
      <c r="U1289" s="97"/>
      <c r="V1289" s="25"/>
      <c r="W1289" s="25"/>
      <c r="X1289" s="25"/>
      <c r="Y1289" s="25"/>
      <c r="Z1289" s="25"/>
      <c r="AA1289" s="25"/>
    </row>
    <row r="1290" spans="20:27" x14ac:dyDescent="0.35">
      <c r="T1290" s="97"/>
      <c r="U1290" s="97"/>
      <c r="V1290" s="25"/>
      <c r="W1290" s="25"/>
      <c r="X1290" s="25"/>
      <c r="Y1290" s="25"/>
      <c r="Z1290" s="25"/>
      <c r="AA1290" s="25"/>
    </row>
    <row r="1291" spans="20:27" x14ac:dyDescent="0.35">
      <c r="T1291" s="97"/>
      <c r="U1291" s="97"/>
      <c r="V1291" s="25"/>
      <c r="W1291" s="25"/>
      <c r="X1291" s="25"/>
      <c r="Y1291" s="25"/>
      <c r="Z1291" s="25"/>
      <c r="AA1291" s="25"/>
    </row>
    <row r="1292" spans="20:27" x14ac:dyDescent="0.35">
      <c r="T1292" s="97"/>
      <c r="U1292" s="97"/>
      <c r="V1292" s="25"/>
      <c r="W1292" s="25"/>
      <c r="X1292" s="25"/>
      <c r="Y1292" s="25"/>
      <c r="Z1292" s="25"/>
      <c r="AA1292" s="25"/>
    </row>
    <row r="1293" spans="20:27" x14ac:dyDescent="0.35">
      <c r="T1293" s="97"/>
      <c r="U1293" s="97"/>
      <c r="V1293" s="25"/>
      <c r="W1293" s="25"/>
      <c r="X1293" s="25"/>
      <c r="Y1293" s="25"/>
      <c r="Z1293" s="25"/>
      <c r="AA1293" s="25"/>
    </row>
    <row r="1294" spans="20:27" x14ac:dyDescent="0.35">
      <c r="T1294" s="97"/>
      <c r="U1294" s="97"/>
      <c r="V1294" s="25"/>
      <c r="W1294" s="25"/>
      <c r="X1294" s="25"/>
      <c r="Y1294" s="25"/>
      <c r="Z1294" s="25"/>
      <c r="AA1294" s="25"/>
    </row>
    <row r="1295" spans="20:27" x14ac:dyDescent="0.35">
      <c r="T1295" s="97"/>
      <c r="U1295" s="97"/>
      <c r="V1295" s="25"/>
      <c r="W1295" s="25"/>
      <c r="X1295" s="25"/>
      <c r="Y1295" s="25"/>
      <c r="Z1295" s="25"/>
      <c r="AA1295" s="25"/>
    </row>
    <row r="1296" spans="20:27" x14ac:dyDescent="0.35">
      <c r="T1296" s="97"/>
      <c r="U1296" s="97"/>
      <c r="V1296" s="25"/>
      <c r="W1296" s="25"/>
      <c r="X1296" s="25"/>
      <c r="Y1296" s="25"/>
      <c r="Z1296" s="25"/>
      <c r="AA1296" s="25"/>
    </row>
    <row r="1297" spans="20:27" x14ac:dyDescent="0.35">
      <c r="T1297" s="97"/>
      <c r="U1297" s="97"/>
      <c r="V1297" s="25"/>
      <c r="W1297" s="25"/>
      <c r="X1297" s="25"/>
      <c r="Y1297" s="25"/>
      <c r="Z1297" s="25"/>
      <c r="AA1297" s="25"/>
    </row>
    <row r="1298" spans="20:27" x14ac:dyDescent="0.35">
      <c r="T1298" s="97"/>
      <c r="U1298" s="97"/>
      <c r="V1298" s="25"/>
      <c r="W1298" s="25"/>
      <c r="X1298" s="25"/>
      <c r="Y1298" s="25"/>
      <c r="Z1298" s="25"/>
      <c r="AA1298" s="25"/>
    </row>
    <row r="1299" spans="20:27" x14ac:dyDescent="0.35">
      <c r="T1299" s="97"/>
      <c r="U1299" s="97"/>
      <c r="V1299" s="25"/>
      <c r="W1299" s="25"/>
      <c r="X1299" s="25"/>
      <c r="Y1299" s="25"/>
      <c r="Z1299" s="25"/>
      <c r="AA1299" s="25"/>
    </row>
    <row r="1300" spans="20:27" x14ac:dyDescent="0.35">
      <c r="T1300" s="97"/>
      <c r="U1300" s="97"/>
      <c r="V1300" s="25"/>
      <c r="W1300" s="25"/>
      <c r="X1300" s="25"/>
      <c r="Y1300" s="25"/>
      <c r="Z1300" s="25"/>
      <c r="AA1300" s="25"/>
    </row>
    <row r="1301" spans="20:27" x14ac:dyDescent="0.35">
      <c r="T1301" s="97"/>
      <c r="U1301" s="97"/>
      <c r="V1301" s="25"/>
      <c r="W1301" s="25"/>
      <c r="X1301" s="25"/>
      <c r="Y1301" s="25"/>
      <c r="Z1301" s="25"/>
      <c r="AA1301" s="25"/>
    </row>
    <row r="1302" spans="20:27" x14ac:dyDescent="0.35">
      <c r="T1302" s="97"/>
      <c r="U1302" s="97"/>
      <c r="V1302" s="25"/>
      <c r="W1302" s="25"/>
      <c r="X1302" s="25"/>
      <c r="Y1302" s="25"/>
      <c r="Z1302" s="25"/>
      <c r="AA1302" s="25"/>
    </row>
    <row r="1303" spans="20:27" x14ac:dyDescent="0.35">
      <c r="T1303" s="97"/>
      <c r="U1303" s="97"/>
      <c r="V1303" s="25"/>
      <c r="W1303" s="25"/>
      <c r="X1303" s="25"/>
      <c r="Y1303" s="25"/>
      <c r="Z1303" s="25"/>
      <c r="AA1303" s="25"/>
    </row>
    <row r="1304" spans="20:27" x14ac:dyDescent="0.35">
      <c r="T1304" s="97"/>
      <c r="U1304" s="97"/>
      <c r="V1304" s="25"/>
      <c r="W1304" s="25"/>
      <c r="X1304" s="25"/>
      <c r="Y1304" s="25"/>
      <c r="Z1304" s="25"/>
      <c r="AA1304" s="25"/>
    </row>
    <row r="1305" spans="20:27" x14ac:dyDescent="0.35">
      <c r="T1305" s="97"/>
      <c r="U1305" s="97"/>
      <c r="V1305" s="25"/>
      <c r="W1305" s="25"/>
      <c r="X1305" s="25"/>
      <c r="Y1305" s="25"/>
      <c r="Z1305" s="25"/>
      <c r="AA1305" s="25"/>
    </row>
    <row r="1306" spans="20:27" x14ac:dyDescent="0.35">
      <c r="T1306" s="97"/>
      <c r="U1306" s="97"/>
      <c r="V1306" s="25"/>
      <c r="W1306" s="25"/>
      <c r="X1306" s="25"/>
      <c r="Y1306" s="25"/>
      <c r="Z1306" s="25"/>
      <c r="AA1306" s="25"/>
    </row>
    <row r="1307" spans="20:27" x14ac:dyDescent="0.35">
      <c r="T1307" s="97"/>
      <c r="U1307" s="97"/>
      <c r="V1307" s="25"/>
      <c r="W1307" s="25"/>
      <c r="X1307" s="25"/>
      <c r="Y1307" s="25"/>
      <c r="Z1307" s="25"/>
      <c r="AA1307" s="25"/>
    </row>
    <row r="1308" spans="20:27" x14ac:dyDescent="0.35">
      <c r="T1308" s="97"/>
      <c r="U1308" s="97"/>
      <c r="V1308" s="25"/>
      <c r="W1308" s="25"/>
      <c r="X1308" s="25"/>
      <c r="Y1308" s="25"/>
      <c r="Z1308" s="25"/>
      <c r="AA1308" s="25"/>
    </row>
    <row r="1309" spans="20:27" x14ac:dyDescent="0.35">
      <c r="T1309" s="97"/>
      <c r="U1309" s="97"/>
      <c r="V1309" s="25"/>
      <c r="W1309" s="25"/>
      <c r="X1309" s="25"/>
      <c r="Y1309" s="25"/>
      <c r="Z1309" s="25"/>
      <c r="AA1309" s="25"/>
    </row>
    <row r="1310" spans="20:27" x14ac:dyDescent="0.35">
      <c r="T1310" s="97"/>
      <c r="U1310" s="97"/>
      <c r="V1310" s="25"/>
      <c r="W1310" s="25"/>
      <c r="X1310" s="25"/>
      <c r="Y1310" s="25"/>
      <c r="Z1310" s="25"/>
      <c r="AA1310" s="25"/>
    </row>
    <row r="1311" spans="20:27" x14ac:dyDescent="0.35">
      <c r="T1311" s="97"/>
      <c r="U1311" s="97"/>
      <c r="V1311" s="25"/>
      <c r="W1311" s="25"/>
      <c r="X1311" s="25"/>
      <c r="Y1311" s="25"/>
      <c r="Z1311" s="25"/>
      <c r="AA1311" s="25"/>
    </row>
    <row r="1312" spans="20:27" x14ac:dyDescent="0.35">
      <c r="T1312" s="97"/>
      <c r="U1312" s="97"/>
      <c r="V1312" s="25"/>
      <c r="W1312" s="25"/>
      <c r="X1312" s="25"/>
      <c r="Y1312" s="25"/>
      <c r="Z1312" s="25"/>
      <c r="AA1312" s="25"/>
    </row>
    <row r="1313" spans="20:27" x14ac:dyDescent="0.35">
      <c r="T1313" s="97"/>
      <c r="U1313" s="97"/>
      <c r="V1313" s="25"/>
      <c r="W1313" s="25"/>
      <c r="X1313" s="25"/>
      <c r="Y1313" s="25"/>
      <c r="Z1313" s="25"/>
      <c r="AA1313" s="25"/>
    </row>
    <row r="1314" spans="20:27" x14ac:dyDescent="0.35">
      <c r="T1314" s="97"/>
      <c r="U1314" s="97"/>
      <c r="V1314" s="25"/>
      <c r="W1314" s="25"/>
      <c r="X1314" s="25"/>
      <c r="Y1314" s="25"/>
      <c r="Z1314" s="25"/>
      <c r="AA1314" s="25"/>
    </row>
    <row r="1315" spans="20:27" x14ac:dyDescent="0.35">
      <c r="T1315" s="97"/>
      <c r="U1315" s="97"/>
      <c r="V1315" s="25"/>
      <c r="W1315" s="25"/>
      <c r="X1315" s="25"/>
      <c r="Y1315" s="25"/>
      <c r="Z1315" s="25"/>
      <c r="AA1315" s="25"/>
    </row>
    <row r="1316" spans="20:27" x14ac:dyDescent="0.35">
      <c r="T1316" s="97"/>
      <c r="U1316" s="97"/>
      <c r="V1316" s="25"/>
      <c r="W1316" s="25"/>
      <c r="X1316" s="25"/>
      <c r="Y1316" s="25"/>
      <c r="Z1316" s="25"/>
      <c r="AA1316" s="25"/>
    </row>
    <row r="1317" spans="20:27" x14ac:dyDescent="0.35">
      <c r="T1317" s="97"/>
      <c r="U1317" s="97"/>
      <c r="V1317" s="25"/>
      <c r="W1317" s="25"/>
      <c r="X1317" s="25"/>
      <c r="Y1317" s="25"/>
      <c r="Z1317" s="25"/>
      <c r="AA1317" s="25"/>
    </row>
    <row r="1318" spans="20:27" x14ac:dyDescent="0.35">
      <c r="T1318" s="97"/>
      <c r="U1318" s="97"/>
      <c r="V1318" s="25"/>
      <c r="W1318" s="25"/>
      <c r="X1318" s="25"/>
      <c r="Y1318" s="25"/>
      <c r="Z1318" s="25"/>
      <c r="AA1318" s="25"/>
    </row>
    <row r="1319" spans="20:27" x14ac:dyDescent="0.35">
      <c r="T1319" s="97"/>
      <c r="U1319" s="97"/>
      <c r="V1319" s="25"/>
      <c r="W1319" s="25"/>
      <c r="X1319" s="25"/>
      <c r="Y1319" s="25"/>
      <c r="Z1319" s="25"/>
      <c r="AA1319" s="25"/>
    </row>
    <row r="1320" spans="20:27" x14ac:dyDescent="0.35">
      <c r="T1320" s="97"/>
      <c r="U1320" s="97"/>
      <c r="V1320" s="25"/>
      <c r="W1320" s="25"/>
      <c r="X1320" s="25"/>
      <c r="Y1320" s="25"/>
      <c r="Z1320" s="25"/>
      <c r="AA1320" s="25"/>
    </row>
    <row r="1321" spans="20:27" x14ac:dyDescent="0.35">
      <c r="T1321" s="97"/>
      <c r="U1321" s="97"/>
      <c r="V1321" s="25"/>
      <c r="W1321" s="25"/>
      <c r="X1321" s="25"/>
      <c r="Y1321" s="25"/>
      <c r="Z1321" s="25"/>
      <c r="AA1321" s="25"/>
    </row>
    <row r="1322" spans="20:27" x14ac:dyDescent="0.35">
      <c r="T1322" s="97"/>
      <c r="U1322" s="97"/>
      <c r="V1322" s="25"/>
      <c r="W1322" s="25"/>
      <c r="X1322" s="25"/>
      <c r="Y1322" s="25"/>
      <c r="Z1322" s="25"/>
      <c r="AA1322" s="25"/>
    </row>
    <row r="1323" spans="20:27" x14ac:dyDescent="0.35">
      <c r="T1323" s="97"/>
      <c r="U1323" s="97"/>
      <c r="V1323" s="25"/>
      <c r="W1323" s="25"/>
      <c r="X1323" s="25"/>
      <c r="Y1323" s="25"/>
      <c r="Z1323" s="25"/>
      <c r="AA1323" s="25"/>
    </row>
    <row r="1324" spans="20:27" x14ac:dyDescent="0.35">
      <c r="T1324" s="97"/>
      <c r="U1324" s="97"/>
      <c r="V1324" s="25"/>
      <c r="W1324" s="25"/>
      <c r="X1324" s="25"/>
      <c r="Y1324" s="25"/>
      <c r="Z1324" s="25"/>
      <c r="AA1324" s="25"/>
    </row>
    <row r="1325" spans="20:27" x14ac:dyDescent="0.35">
      <c r="T1325" s="97"/>
      <c r="U1325" s="97"/>
      <c r="V1325" s="25"/>
      <c r="W1325" s="25"/>
      <c r="X1325" s="25"/>
      <c r="Y1325" s="25"/>
      <c r="Z1325" s="25"/>
      <c r="AA1325" s="25"/>
    </row>
    <row r="1326" spans="20:27" x14ac:dyDescent="0.35">
      <c r="T1326" s="97"/>
      <c r="U1326" s="97"/>
      <c r="V1326" s="25"/>
      <c r="W1326" s="25"/>
      <c r="X1326" s="25"/>
      <c r="Y1326" s="25"/>
      <c r="Z1326" s="25"/>
      <c r="AA1326" s="25"/>
    </row>
    <row r="1327" spans="20:27" x14ac:dyDescent="0.35">
      <c r="T1327" s="97"/>
      <c r="U1327" s="97"/>
      <c r="V1327" s="25"/>
      <c r="W1327" s="25"/>
      <c r="X1327" s="25"/>
      <c r="Y1327" s="25"/>
      <c r="Z1327" s="25"/>
      <c r="AA1327" s="25"/>
    </row>
    <row r="1328" spans="20:27" x14ac:dyDescent="0.35">
      <c r="T1328" s="97"/>
      <c r="U1328" s="97"/>
      <c r="V1328" s="25"/>
      <c r="W1328" s="25"/>
      <c r="X1328" s="25"/>
      <c r="Y1328" s="25"/>
      <c r="Z1328" s="25"/>
      <c r="AA1328" s="25"/>
    </row>
    <row r="1329" spans="20:27" x14ac:dyDescent="0.35">
      <c r="T1329" s="97"/>
      <c r="U1329" s="97"/>
      <c r="V1329" s="25"/>
      <c r="W1329" s="25"/>
      <c r="X1329" s="25"/>
      <c r="Y1329" s="25"/>
      <c r="Z1329" s="25"/>
      <c r="AA1329" s="25"/>
    </row>
    <row r="1330" spans="20:27" x14ac:dyDescent="0.35">
      <c r="T1330" s="97"/>
      <c r="U1330" s="97"/>
      <c r="V1330" s="25"/>
      <c r="W1330" s="25"/>
      <c r="X1330" s="25"/>
      <c r="Y1330" s="25"/>
      <c r="Z1330" s="25"/>
      <c r="AA1330" s="25"/>
    </row>
    <row r="1331" spans="20:27" x14ac:dyDescent="0.35">
      <c r="T1331" s="97"/>
      <c r="U1331" s="97"/>
      <c r="V1331" s="25"/>
      <c r="W1331" s="25"/>
      <c r="X1331" s="25"/>
      <c r="Y1331" s="25"/>
      <c r="Z1331" s="25"/>
      <c r="AA1331" s="25"/>
    </row>
    <row r="1332" spans="20:27" x14ac:dyDescent="0.35">
      <c r="T1332" s="97"/>
      <c r="U1332" s="97"/>
      <c r="V1332" s="25"/>
      <c r="W1332" s="25"/>
      <c r="X1332" s="25"/>
      <c r="Y1332" s="25"/>
      <c r="Z1332" s="25"/>
      <c r="AA1332" s="25"/>
    </row>
    <row r="1333" spans="20:27" x14ac:dyDescent="0.35">
      <c r="T1333" s="97"/>
      <c r="U1333" s="97"/>
      <c r="V1333" s="25"/>
      <c r="W1333" s="25"/>
      <c r="X1333" s="25"/>
      <c r="Y1333" s="25"/>
      <c r="Z1333" s="25"/>
      <c r="AA1333" s="25"/>
    </row>
    <row r="1334" spans="20:27" x14ac:dyDescent="0.35">
      <c r="T1334" s="97"/>
      <c r="U1334" s="97"/>
      <c r="V1334" s="25"/>
      <c r="W1334" s="25"/>
      <c r="X1334" s="25"/>
      <c r="Y1334" s="25"/>
      <c r="Z1334" s="25"/>
      <c r="AA1334" s="25"/>
    </row>
    <row r="1335" spans="20:27" x14ac:dyDescent="0.35">
      <c r="T1335" s="97"/>
      <c r="U1335" s="97"/>
      <c r="V1335" s="25"/>
      <c r="W1335" s="25"/>
      <c r="X1335" s="25"/>
      <c r="Y1335" s="25"/>
      <c r="Z1335" s="25"/>
      <c r="AA1335" s="25"/>
    </row>
    <row r="1336" spans="20:27" x14ac:dyDescent="0.35">
      <c r="T1336" s="97"/>
      <c r="U1336" s="97"/>
      <c r="V1336" s="25"/>
      <c r="W1336" s="25"/>
      <c r="X1336" s="25"/>
      <c r="Y1336" s="25"/>
      <c r="Z1336" s="25"/>
      <c r="AA1336" s="25"/>
    </row>
    <row r="1337" spans="20:27" x14ac:dyDescent="0.35">
      <c r="T1337" s="97"/>
      <c r="U1337" s="97"/>
      <c r="V1337" s="25"/>
      <c r="W1337" s="25"/>
      <c r="X1337" s="25"/>
      <c r="Y1337" s="25"/>
      <c r="Z1337" s="25"/>
      <c r="AA1337" s="25"/>
    </row>
    <row r="1338" spans="20:27" x14ac:dyDescent="0.35">
      <c r="T1338" s="97"/>
      <c r="U1338" s="97"/>
      <c r="V1338" s="25"/>
      <c r="W1338" s="25"/>
      <c r="X1338" s="25"/>
      <c r="Y1338" s="25"/>
      <c r="Z1338" s="25"/>
      <c r="AA1338" s="25"/>
    </row>
    <row r="1339" spans="20:27" x14ac:dyDescent="0.35">
      <c r="T1339" s="97"/>
      <c r="U1339" s="97"/>
      <c r="V1339" s="25"/>
      <c r="W1339" s="25"/>
      <c r="X1339" s="25"/>
      <c r="Y1339" s="25"/>
      <c r="Z1339" s="25"/>
      <c r="AA1339" s="25"/>
    </row>
    <row r="1340" spans="20:27" x14ac:dyDescent="0.35">
      <c r="T1340" s="97"/>
      <c r="U1340" s="97"/>
      <c r="V1340" s="25"/>
      <c r="W1340" s="25"/>
      <c r="X1340" s="25"/>
      <c r="Y1340" s="25"/>
      <c r="Z1340" s="25"/>
      <c r="AA1340" s="25"/>
    </row>
    <row r="1341" spans="20:27" x14ac:dyDescent="0.35">
      <c r="T1341" s="97"/>
      <c r="U1341" s="97"/>
      <c r="V1341" s="25"/>
      <c r="W1341" s="25"/>
      <c r="X1341" s="25"/>
      <c r="Y1341" s="25"/>
      <c r="Z1341" s="25"/>
      <c r="AA1341" s="25"/>
    </row>
    <row r="1342" spans="20:27" x14ac:dyDescent="0.35">
      <c r="T1342" s="97"/>
      <c r="U1342" s="97"/>
      <c r="V1342" s="25"/>
      <c r="W1342" s="25"/>
      <c r="X1342" s="25"/>
      <c r="Y1342" s="25"/>
      <c r="Z1342" s="25"/>
      <c r="AA1342" s="25"/>
    </row>
    <row r="1343" spans="20:27" x14ac:dyDescent="0.35">
      <c r="T1343" s="97"/>
      <c r="U1343" s="97"/>
      <c r="V1343" s="25"/>
      <c r="W1343" s="25"/>
      <c r="X1343" s="25"/>
      <c r="Y1343" s="25"/>
      <c r="Z1343" s="25"/>
      <c r="AA1343" s="25"/>
    </row>
    <row r="1344" spans="20:27" x14ac:dyDescent="0.35">
      <c r="T1344" s="97"/>
      <c r="U1344" s="97"/>
      <c r="V1344" s="25"/>
      <c r="W1344" s="25"/>
      <c r="X1344" s="25"/>
      <c r="Y1344" s="25"/>
      <c r="Z1344" s="25"/>
      <c r="AA1344" s="25"/>
    </row>
    <row r="1345" spans="20:27" x14ac:dyDescent="0.35">
      <c r="T1345" s="97"/>
      <c r="U1345" s="97"/>
      <c r="V1345" s="25"/>
      <c r="W1345" s="25"/>
      <c r="X1345" s="25"/>
      <c r="Y1345" s="25"/>
      <c r="Z1345" s="25"/>
      <c r="AA1345" s="25"/>
    </row>
    <row r="1346" spans="20:27" x14ac:dyDescent="0.35">
      <c r="T1346" s="97"/>
      <c r="U1346" s="97"/>
      <c r="V1346" s="25"/>
      <c r="W1346" s="25"/>
      <c r="X1346" s="25"/>
      <c r="Y1346" s="25"/>
      <c r="Z1346" s="25"/>
      <c r="AA1346" s="25"/>
    </row>
    <row r="1347" spans="20:27" x14ac:dyDescent="0.35">
      <c r="T1347" s="97"/>
      <c r="U1347" s="97"/>
      <c r="V1347" s="25"/>
      <c r="W1347" s="25"/>
      <c r="X1347" s="25"/>
      <c r="Y1347" s="25"/>
      <c r="Z1347" s="25"/>
      <c r="AA1347" s="25"/>
    </row>
    <row r="1348" spans="20:27" x14ac:dyDescent="0.35">
      <c r="T1348" s="97"/>
      <c r="U1348" s="97"/>
      <c r="V1348" s="25"/>
      <c r="W1348" s="25"/>
      <c r="X1348" s="25"/>
      <c r="Y1348" s="25"/>
      <c r="Z1348" s="25"/>
      <c r="AA1348" s="25"/>
    </row>
    <row r="1349" spans="20:27" x14ac:dyDescent="0.35">
      <c r="T1349" s="97"/>
      <c r="U1349" s="97"/>
      <c r="V1349" s="25"/>
      <c r="W1349" s="25"/>
      <c r="X1349" s="25"/>
      <c r="Y1349" s="25"/>
      <c r="Z1349" s="25"/>
      <c r="AA1349" s="25"/>
    </row>
    <row r="1350" spans="20:27" x14ac:dyDescent="0.35">
      <c r="T1350" s="97"/>
      <c r="U1350" s="97"/>
      <c r="V1350" s="25"/>
      <c r="W1350" s="25"/>
      <c r="X1350" s="25"/>
      <c r="Y1350" s="25"/>
      <c r="Z1350" s="25"/>
      <c r="AA1350" s="25"/>
    </row>
    <row r="1351" spans="20:27" x14ac:dyDescent="0.35">
      <c r="T1351" s="97"/>
      <c r="U1351" s="97"/>
      <c r="V1351" s="25"/>
      <c r="W1351" s="25"/>
      <c r="X1351" s="25"/>
      <c r="Y1351" s="25"/>
      <c r="Z1351" s="25"/>
      <c r="AA1351" s="25"/>
    </row>
    <row r="1352" spans="20:27" x14ac:dyDescent="0.35">
      <c r="T1352" s="97"/>
      <c r="U1352" s="97"/>
      <c r="V1352" s="25"/>
      <c r="W1352" s="25"/>
      <c r="X1352" s="25"/>
      <c r="Y1352" s="25"/>
      <c r="Z1352" s="25"/>
      <c r="AA1352" s="25"/>
    </row>
    <row r="1353" spans="20:27" x14ac:dyDescent="0.35">
      <c r="T1353" s="97"/>
      <c r="U1353" s="97"/>
      <c r="V1353" s="25"/>
      <c r="W1353" s="25"/>
      <c r="X1353" s="25"/>
      <c r="Y1353" s="25"/>
      <c r="Z1353" s="25"/>
      <c r="AA1353" s="25"/>
    </row>
    <row r="1354" spans="20:27" x14ac:dyDescent="0.35">
      <c r="T1354" s="97"/>
      <c r="U1354" s="97"/>
      <c r="V1354" s="25"/>
      <c r="W1354" s="25"/>
      <c r="X1354" s="25"/>
      <c r="Y1354" s="25"/>
      <c r="Z1354" s="25"/>
      <c r="AA1354" s="25"/>
    </row>
    <row r="1355" spans="20:27" x14ac:dyDescent="0.35">
      <c r="T1355" s="97"/>
      <c r="U1355" s="97"/>
      <c r="V1355" s="25"/>
      <c r="W1355" s="25"/>
      <c r="X1355" s="25"/>
      <c r="Y1355" s="25"/>
      <c r="Z1355" s="25"/>
      <c r="AA1355" s="25"/>
    </row>
    <row r="1356" spans="20:27" x14ac:dyDescent="0.35">
      <c r="T1356" s="97"/>
      <c r="U1356" s="97"/>
      <c r="V1356" s="25"/>
      <c r="W1356" s="25"/>
      <c r="X1356" s="25"/>
      <c r="Y1356" s="25"/>
      <c r="Z1356" s="25"/>
      <c r="AA1356" s="25"/>
    </row>
    <row r="1357" spans="20:27" x14ac:dyDescent="0.35">
      <c r="T1357" s="97"/>
      <c r="U1357" s="97"/>
      <c r="V1357" s="25"/>
      <c r="W1357" s="25"/>
      <c r="X1357" s="25"/>
      <c r="Y1357" s="25"/>
      <c r="Z1357" s="25"/>
      <c r="AA1357" s="25"/>
    </row>
    <row r="1358" spans="20:27" x14ac:dyDescent="0.35">
      <c r="T1358" s="97"/>
      <c r="U1358" s="97"/>
      <c r="V1358" s="25"/>
      <c r="W1358" s="25"/>
      <c r="X1358" s="25"/>
      <c r="Y1358" s="25"/>
      <c r="Z1358" s="25"/>
      <c r="AA1358" s="25"/>
    </row>
    <row r="1359" spans="20:27" x14ac:dyDescent="0.35">
      <c r="T1359" s="97"/>
      <c r="U1359" s="97"/>
      <c r="V1359" s="25"/>
      <c r="W1359" s="25"/>
      <c r="X1359" s="25"/>
      <c r="Y1359" s="25"/>
      <c r="Z1359" s="25"/>
      <c r="AA1359" s="25"/>
    </row>
    <row r="1360" spans="20:27" x14ac:dyDescent="0.35">
      <c r="T1360" s="97"/>
      <c r="U1360" s="97"/>
      <c r="V1360" s="25"/>
      <c r="W1360" s="25"/>
      <c r="X1360" s="25"/>
      <c r="Y1360" s="25"/>
      <c r="Z1360" s="25"/>
      <c r="AA1360" s="25"/>
    </row>
    <row r="1361" spans="20:27" x14ac:dyDescent="0.35">
      <c r="T1361" s="97"/>
      <c r="U1361" s="97"/>
      <c r="V1361" s="25"/>
      <c r="W1361" s="25"/>
      <c r="X1361" s="25"/>
      <c r="Y1361" s="25"/>
      <c r="Z1361" s="25"/>
      <c r="AA1361" s="25"/>
    </row>
    <row r="1362" spans="20:27" x14ac:dyDescent="0.35">
      <c r="T1362" s="97"/>
      <c r="U1362" s="97"/>
      <c r="V1362" s="25"/>
      <c r="W1362" s="25"/>
      <c r="X1362" s="25"/>
      <c r="Y1362" s="25"/>
      <c r="Z1362" s="25"/>
      <c r="AA1362" s="25"/>
    </row>
    <row r="1363" spans="20:27" x14ac:dyDescent="0.35">
      <c r="T1363" s="97"/>
      <c r="U1363" s="97"/>
      <c r="V1363" s="25"/>
      <c r="W1363" s="25"/>
      <c r="X1363" s="25"/>
      <c r="Y1363" s="25"/>
      <c r="Z1363" s="25"/>
      <c r="AA1363" s="25"/>
    </row>
    <row r="1364" spans="20:27" x14ac:dyDescent="0.35">
      <c r="T1364" s="97"/>
      <c r="U1364" s="97"/>
      <c r="V1364" s="25"/>
      <c r="W1364" s="25"/>
      <c r="X1364" s="25"/>
      <c r="Y1364" s="25"/>
      <c r="Z1364" s="25"/>
      <c r="AA1364" s="25"/>
    </row>
    <row r="1365" spans="20:27" x14ac:dyDescent="0.35">
      <c r="T1365" s="97"/>
      <c r="U1365" s="97"/>
      <c r="V1365" s="25"/>
      <c r="W1365" s="25"/>
      <c r="X1365" s="25"/>
      <c r="Y1365" s="25"/>
      <c r="Z1365" s="25"/>
      <c r="AA1365" s="25"/>
    </row>
    <row r="1366" spans="20:27" x14ac:dyDescent="0.35">
      <c r="T1366" s="97"/>
      <c r="U1366" s="97"/>
      <c r="V1366" s="25"/>
      <c r="W1366" s="25"/>
      <c r="X1366" s="25"/>
      <c r="Y1366" s="25"/>
      <c r="Z1366" s="25"/>
      <c r="AA1366" s="25"/>
    </row>
    <row r="1367" spans="20:27" x14ac:dyDescent="0.35">
      <c r="T1367" s="97"/>
      <c r="U1367" s="97"/>
      <c r="V1367" s="25"/>
      <c r="W1367" s="25"/>
      <c r="X1367" s="25"/>
      <c r="Y1367" s="25"/>
      <c r="Z1367" s="25"/>
      <c r="AA1367" s="25"/>
    </row>
    <row r="1368" spans="20:27" x14ac:dyDescent="0.35">
      <c r="T1368" s="97"/>
      <c r="U1368" s="97"/>
      <c r="V1368" s="25"/>
      <c r="W1368" s="25"/>
      <c r="X1368" s="25"/>
      <c r="Y1368" s="25"/>
      <c r="Z1368" s="25"/>
      <c r="AA1368" s="25"/>
    </row>
    <row r="1369" spans="20:27" x14ac:dyDescent="0.35">
      <c r="T1369" s="97"/>
      <c r="U1369" s="97"/>
      <c r="V1369" s="25"/>
      <c r="W1369" s="25"/>
      <c r="X1369" s="25"/>
      <c r="Y1369" s="25"/>
      <c r="Z1369" s="25"/>
      <c r="AA1369" s="25"/>
    </row>
    <row r="1370" spans="20:27" x14ac:dyDescent="0.35">
      <c r="T1370" s="97"/>
      <c r="U1370" s="97"/>
      <c r="V1370" s="25"/>
      <c r="W1370" s="25"/>
      <c r="X1370" s="25"/>
      <c r="Y1370" s="25"/>
      <c r="Z1370" s="25"/>
      <c r="AA1370" s="25"/>
    </row>
    <row r="1371" spans="20:27" x14ac:dyDescent="0.35">
      <c r="T1371" s="97"/>
      <c r="U1371" s="97"/>
      <c r="V1371" s="25"/>
      <c r="W1371" s="25"/>
      <c r="X1371" s="25"/>
      <c r="Y1371" s="25"/>
      <c r="Z1371" s="25"/>
      <c r="AA1371" s="25"/>
    </row>
    <row r="1372" spans="20:27" x14ac:dyDescent="0.35">
      <c r="T1372" s="97"/>
      <c r="U1372" s="97"/>
      <c r="V1372" s="25"/>
      <c r="W1372" s="25"/>
      <c r="X1372" s="25"/>
      <c r="Y1372" s="25"/>
      <c r="Z1372" s="25"/>
      <c r="AA1372" s="25"/>
    </row>
    <row r="1373" spans="20:27" x14ac:dyDescent="0.35">
      <c r="T1373" s="97"/>
      <c r="U1373" s="97"/>
      <c r="V1373" s="25"/>
      <c r="W1373" s="25"/>
      <c r="X1373" s="25"/>
      <c r="Y1373" s="25"/>
      <c r="Z1373" s="25"/>
      <c r="AA1373" s="25"/>
    </row>
    <row r="1374" spans="20:27" x14ac:dyDescent="0.35">
      <c r="T1374" s="97"/>
      <c r="U1374" s="97"/>
      <c r="V1374" s="25"/>
      <c r="W1374" s="25"/>
      <c r="X1374" s="25"/>
      <c r="Y1374" s="25"/>
      <c r="Z1374" s="25"/>
      <c r="AA1374" s="25"/>
    </row>
    <row r="1375" spans="20:27" x14ac:dyDescent="0.35">
      <c r="T1375" s="97"/>
      <c r="U1375" s="97"/>
      <c r="V1375" s="25"/>
      <c r="W1375" s="25"/>
      <c r="X1375" s="25"/>
      <c r="Y1375" s="25"/>
      <c r="Z1375" s="25"/>
      <c r="AA1375" s="25"/>
    </row>
    <row r="1376" spans="20:27" x14ac:dyDescent="0.35">
      <c r="T1376" s="97"/>
      <c r="U1376" s="97"/>
      <c r="V1376" s="25"/>
      <c r="W1376" s="25"/>
      <c r="X1376" s="25"/>
      <c r="Y1376" s="25"/>
      <c r="Z1376" s="25"/>
      <c r="AA1376" s="25"/>
    </row>
    <row r="1377" spans="20:27" x14ac:dyDescent="0.35">
      <c r="T1377" s="97"/>
      <c r="U1377" s="97"/>
      <c r="V1377" s="25"/>
      <c r="W1377" s="25"/>
      <c r="X1377" s="25"/>
      <c r="Y1377" s="25"/>
      <c r="Z1377" s="25"/>
      <c r="AA1377" s="25"/>
    </row>
    <row r="1378" spans="20:27" x14ac:dyDescent="0.35">
      <c r="T1378" s="97"/>
      <c r="U1378" s="97"/>
      <c r="V1378" s="25"/>
      <c r="W1378" s="25"/>
      <c r="X1378" s="25"/>
      <c r="Y1378" s="25"/>
      <c r="Z1378" s="25"/>
      <c r="AA1378" s="25"/>
    </row>
    <row r="1379" spans="20:27" x14ac:dyDescent="0.35">
      <c r="T1379" s="97"/>
      <c r="U1379" s="97"/>
      <c r="V1379" s="25"/>
      <c r="W1379" s="25"/>
      <c r="X1379" s="25"/>
      <c r="Y1379" s="25"/>
      <c r="Z1379" s="25"/>
      <c r="AA1379" s="25"/>
    </row>
    <row r="1380" spans="20:27" x14ac:dyDescent="0.35">
      <c r="T1380" s="97"/>
      <c r="U1380" s="97"/>
      <c r="V1380" s="25"/>
      <c r="W1380" s="25"/>
      <c r="X1380" s="25"/>
      <c r="Y1380" s="25"/>
      <c r="Z1380" s="25"/>
      <c r="AA1380" s="25"/>
    </row>
    <row r="1381" spans="20:27" x14ac:dyDescent="0.35">
      <c r="T1381" s="97"/>
      <c r="U1381" s="97"/>
      <c r="V1381" s="25"/>
      <c r="W1381" s="25"/>
      <c r="X1381" s="25"/>
      <c r="Y1381" s="25"/>
      <c r="Z1381" s="25"/>
      <c r="AA1381" s="25"/>
    </row>
    <row r="1382" spans="20:27" x14ac:dyDescent="0.35">
      <c r="T1382" s="97"/>
      <c r="U1382" s="97"/>
      <c r="V1382" s="25"/>
      <c r="W1382" s="25"/>
      <c r="X1382" s="25"/>
      <c r="Y1382" s="25"/>
      <c r="Z1382" s="25"/>
      <c r="AA1382" s="25"/>
    </row>
    <row r="1383" spans="20:27" x14ac:dyDescent="0.35">
      <c r="T1383" s="97"/>
      <c r="U1383" s="97"/>
      <c r="V1383" s="25"/>
      <c r="W1383" s="25"/>
      <c r="X1383" s="25"/>
      <c r="Y1383" s="25"/>
      <c r="Z1383" s="25"/>
      <c r="AA1383" s="25"/>
    </row>
    <row r="1384" spans="20:27" x14ac:dyDescent="0.35">
      <c r="T1384" s="97"/>
      <c r="U1384" s="97"/>
      <c r="V1384" s="25"/>
      <c r="W1384" s="25"/>
      <c r="X1384" s="25"/>
      <c r="Y1384" s="25"/>
      <c r="Z1384" s="25"/>
      <c r="AA1384" s="25"/>
    </row>
    <row r="1385" spans="20:27" x14ac:dyDescent="0.35">
      <c r="T1385" s="97"/>
      <c r="U1385" s="97"/>
      <c r="V1385" s="25"/>
      <c r="W1385" s="25"/>
      <c r="X1385" s="25"/>
      <c r="Y1385" s="25"/>
      <c r="Z1385" s="25"/>
      <c r="AA1385" s="25"/>
    </row>
    <row r="1386" spans="20:27" x14ac:dyDescent="0.35">
      <c r="T1386" s="97"/>
      <c r="U1386" s="97"/>
      <c r="V1386" s="25"/>
      <c r="W1386" s="25"/>
      <c r="X1386" s="25"/>
      <c r="Y1386" s="25"/>
      <c r="Z1386" s="25"/>
      <c r="AA1386" s="25"/>
    </row>
    <row r="1387" spans="20:27" x14ac:dyDescent="0.35">
      <c r="T1387" s="97"/>
      <c r="U1387" s="97"/>
      <c r="V1387" s="25"/>
      <c r="W1387" s="25"/>
      <c r="X1387" s="25"/>
      <c r="Y1387" s="25"/>
      <c r="Z1387" s="25"/>
      <c r="AA1387" s="25"/>
    </row>
    <row r="1388" spans="20:27" x14ac:dyDescent="0.35">
      <c r="T1388" s="97"/>
      <c r="U1388" s="97"/>
      <c r="V1388" s="25"/>
      <c r="W1388" s="25"/>
      <c r="X1388" s="25"/>
      <c r="Y1388" s="25"/>
      <c r="Z1388" s="25"/>
      <c r="AA1388" s="25"/>
    </row>
    <row r="1389" spans="20:27" x14ac:dyDescent="0.35">
      <c r="T1389" s="97"/>
      <c r="U1389" s="97"/>
      <c r="V1389" s="25"/>
      <c r="W1389" s="25"/>
      <c r="X1389" s="25"/>
      <c r="Y1389" s="25"/>
      <c r="Z1389" s="25"/>
      <c r="AA1389" s="25"/>
    </row>
    <row r="1390" spans="20:27" x14ac:dyDescent="0.35">
      <c r="T1390" s="97"/>
      <c r="U1390" s="97"/>
      <c r="V1390" s="25"/>
      <c r="W1390" s="25"/>
      <c r="X1390" s="25"/>
      <c r="Y1390" s="25"/>
      <c r="Z1390" s="25"/>
      <c r="AA1390" s="25"/>
    </row>
    <row r="1391" spans="20:27" x14ac:dyDescent="0.35">
      <c r="T1391" s="97"/>
      <c r="U1391" s="97"/>
      <c r="V1391" s="25"/>
      <c r="W1391" s="25"/>
      <c r="X1391" s="25"/>
      <c r="Y1391" s="25"/>
      <c r="Z1391" s="25"/>
      <c r="AA1391" s="25"/>
    </row>
    <row r="1392" spans="20:27" x14ac:dyDescent="0.35">
      <c r="T1392" s="97"/>
      <c r="U1392" s="97"/>
      <c r="V1392" s="25"/>
      <c r="W1392" s="25"/>
      <c r="X1392" s="25"/>
      <c r="Y1392" s="25"/>
      <c r="Z1392" s="25"/>
      <c r="AA1392" s="25"/>
    </row>
    <row r="1393" spans="20:27" x14ac:dyDescent="0.35">
      <c r="T1393" s="97"/>
      <c r="U1393" s="97"/>
      <c r="V1393" s="25"/>
      <c r="W1393" s="25"/>
      <c r="X1393" s="25"/>
      <c r="Y1393" s="25"/>
      <c r="Z1393" s="25"/>
      <c r="AA1393" s="25"/>
    </row>
    <row r="1394" spans="20:27" x14ac:dyDescent="0.35">
      <c r="T1394" s="97"/>
      <c r="U1394" s="97"/>
      <c r="V1394" s="25"/>
      <c r="W1394" s="25"/>
      <c r="X1394" s="25"/>
      <c r="Y1394" s="25"/>
      <c r="Z1394" s="25"/>
      <c r="AA1394" s="25"/>
    </row>
    <row r="1395" spans="20:27" x14ac:dyDescent="0.35">
      <c r="T1395" s="97"/>
      <c r="U1395" s="97"/>
      <c r="V1395" s="25"/>
      <c r="W1395" s="25"/>
      <c r="X1395" s="25"/>
      <c r="Y1395" s="25"/>
      <c r="Z1395" s="25"/>
      <c r="AA1395" s="25"/>
    </row>
    <row r="1396" spans="20:27" x14ac:dyDescent="0.35">
      <c r="T1396" s="97"/>
      <c r="U1396" s="97"/>
      <c r="V1396" s="25"/>
      <c r="W1396" s="25"/>
      <c r="X1396" s="25"/>
      <c r="Y1396" s="25"/>
      <c r="Z1396" s="25"/>
      <c r="AA1396" s="25"/>
    </row>
    <row r="1397" spans="20:27" x14ac:dyDescent="0.35">
      <c r="T1397" s="97"/>
      <c r="U1397" s="97"/>
      <c r="V1397" s="25"/>
      <c r="W1397" s="25"/>
      <c r="X1397" s="25"/>
      <c r="Y1397" s="25"/>
      <c r="Z1397" s="25"/>
      <c r="AA1397" s="25"/>
    </row>
    <row r="1398" spans="20:27" x14ac:dyDescent="0.35">
      <c r="T1398" s="97"/>
      <c r="U1398" s="97"/>
      <c r="V1398" s="25"/>
      <c r="W1398" s="25"/>
      <c r="X1398" s="25"/>
      <c r="Y1398" s="25"/>
      <c r="Z1398" s="25"/>
      <c r="AA1398" s="25"/>
    </row>
    <row r="1399" spans="20:27" x14ac:dyDescent="0.35">
      <c r="T1399" s="97"/>
      <c r="U1399" s="97"/>
      <c r="V1399" s="25"/>
      <c r="W1399" s="25"/>
      <c r="X1399" s="25"/>
      <c r="Y1399" s="25"/>
      <c r="Z1399" s="25"/>
      <c r="AA1399" s="25"/>
    </row>
    <row r="1400" spans="20:27" x14ac:dyDescent="0.35">
      <c r="T1400" s="97"/>
      <c r="U1400" s="97"/>
      <c r="V1400" s="25"/>
      <c r="W1400" s="25"/>
      <c r="X1400" s="25"/>
      <c r="Y1400" s="25"/>
      <c r="Z1400" s="25"/>
      <c r="AA1400" s="25"/>
    </row>
    <row r="1401" spans="20:27" x14ac:dyDescent="0.35">
      <c r="T1401" s="97"/>
      <c r="U1401" s="97"/>
      <c r="V1401" s="25"/>
      <c r="W1401" s="25"/>
      <c r="X1401" s="25"/>
      <c r="Y1401" s="25"/>
      <c r="Z1401" s="25"/>
      <c r="AA1401" s="25"/>
    </row>
    <row r="1402" spans="20:27" x14ac:dyDescent="0.35">
      <c r="T1402" s="97"/>
      <c r="U1402" s="97"/>
      <c r="V1402" s="25"/>
      <c r="W1402" s="25"/>
      <c r="X1402" s="25"/>
      <c r="Y1402" s="25"/>
      <c r="Z1402" s="25"/>
      <c r="AA1402" s="25"/>
    </row>
    <row r="1403" spans="20:27" x14ac:dyDescent="0.35">
      <c r="T1403" s="97"/>
      <c r="U1403" s="97"/>
      <c r="V1403" s="25"/>
      <c r="W1403" s="25"/>
      <c r="X1403" s="25"/>
      <c r="Y1403" s="25"/>
      <c r="Z1403" s="25"/>
      <c r="AA1403" s="25"/>
    </row>
    <row r="1404" spans="20:27" x14ac:dyDescent="0.35">
      <c r="T1404" s="97"/>
      <c r="U1404" s="97"/>
      <c r="V1404" s="25"/>
      <c r="W1404" s="25"/>
      <c r="X1404" s="25"/>
      <c r="Y1404" s="25"/>
      <c r="Z1404" s="25"/>
      <c r="AA1404" s="25"/>
    </row>
    <row r="1405" spans="20:27" x14ac:dyDescent="0.35">
      <c r="T1405" s="97"/>
      <c r="U1405" s="97"/>
      <c r="V1405" s="25"/>
      <c r="W1405" s="25"/>
      <c r="X1405" s="25"/>
      <c r="Y1405" s="25"/>
      <c r="Z1405" s="25"/>
      <c r="AA1405" s="25"/>
    </row>
    <row r="1406" spans="20:27" x14ac:dyDescent="0.35">
      <c r="T1406" s="97"/>
      <c r="U1406" s="97"/>
      <c r="V1406" s="25"/>
      <c r="W1406" s="25"/>
      <c r="X1406" s="25"/>
      <c r="Y1406" s="25"/>
      <c r="Z1406" s="25"/>
      <c r="AA1406" s="25"/>
    </row>
    <row r="1407" spans="20:27" x14ac:dyDescent="0.35">
      <c r="T1407" s="97"/>
      <c r="U1407" s="97"/>
      <c r="V1407" s="25"/>
      <c r="W1407" s="25"/>
      <c r="X1407" s="25"/>
      <c r="Y1407" s="25"/>
      <c r="Z1407" s="25"/>
      <c r="AA1407" s="25"/>
    </row>
    <row r="1408" spans="20:27" x14ac:dyDescent="0.35">
      <c r="T1408" s="97"/>
      <c r="U1408" s="97"/>
      <c r="V1408" s="25"/>
      <c r="W1408" s="25"/>
      <c r="X1408" s="25"/>
      <c r="Y1408" s="25"/>
      <c r="Z1408" s="25"/>
      <c r="AA1408" s="25"/>
    </row>
    <row r="1409" spans="20:27" x14ac:dyDescent="0.35">
      <c r="T1409" s="97"/>
      <c r="U1409" s="97"/>
      <c r="V1409" s="25"/>
      <c r="W1409" s="25"/>
      <c r="X1409" s="25"/>
      <c r="Y1409" s="25"/>
      <c r="Z1409" s="25"/>
      <c r="AA1409" s="25"/>
    </row>
    <row r="1410" spans="20:27" x14ac:dyDescent="0.35">
      <c r="T1410" s="97"/>
      <c r="U1410" s="97"/>
      <c r="V1410" s="25"/>
      <c r="W1410" s="25"/>
      <c r="X1410" s="25"/>
      <c r="Y1410" s="25"/>
      <c r="Z1410" s="25"/>
      <c r="AA1410" s="25"/>
    </row>
    <row r="1411" spans="20:27" x14ac:dyDescent="0.35">
      <c r="T1411" s="97"/>
      <c r="U1411" s="97"/>
      <c r="V1411" s="25"/>
      <c r="W1411" s="25"/>
      <c r="X1411" s="25"/>
      <c r="Y1411" s="25"/>
      <c r="Z1411" s="25"/>
      <c r="AA1411" s="25"/>
    </row>
    <row r="1412" spans="20:27" x14ac:dyDescent="0.35">
      <c r="T1412" s="97"/>
      <c r="U1412" s="97"/>
      <c r="V1412" s="25"/>
      <c r="W1412" s="25"/>
      <c r="X1412" s="25"/>
      <c r="Y1412" s="25"/>
      <c r="Z1412" s="25"/>
      <c r="AA1412" s="25"/>
    </row>
    <row r="1413" spans="20:27" x14ac:dyDescent="0.35">
      <c r="T1413" s="97"/>
      <c r="U1413" s="97"/>
      <c r="V1413" s="25"/>
      <c r="W1413" s="25"/>
      <c r="X1413" s="25"/>
      <c r="Y1413" s="25"/>
      <c r="Z1413" s="25"/>
      <c r="AA1413" s="25"/>
    </row>
    <row r="1414" spans="20:27" x14ac:dyDescent="0.35">
      <c r="T1414" s="97"/>
      <c r="U1414" s="97"/>
      <c r="V1414" s="25"/>
      <c r="W1414" s="25"/>
      <c r="X1414" s="25"/>
      <c r="Y1414" s="25"/>
      <c r="Z1414" s="25"/>
      <c r="AA1414" s="25"/>
    </row>
    <row r="1415" spans="20:27" x14ac:dyDescent="0.35">
      <c r="T1415" s="97"/>
      <c r="U1415" s="97"/>
      <c r="V1415" s="25"/>
      <c r="W1415" s="25"/>
      <c r="X1415" s="25"/>
      <c r="Y1415" s="25"/>
      <c r="Z1415" s="25"/>
      <c r="AA1415" s="25"/>
    </row>
    <row r="1416" spans="20:27" x14ac:dyDescent="0.35">
      <c r="T1416" s="97"/>
      <c r="U1416" s="97"/>
      <c r="V1416" s="25"/>
      <c r="W1416" s="25"/>
      <c r="X1416" s="25"/>
      <c r="Y1416" s="25"/>
      <c r="Z1416" s="25"/>
      <c r="AA1416" s="25"/>
    </row>
    <row r="1417" spans="20:27" x14ac:dyDescent="0.35">
      <c r="T1417" s="97"/>
      <c r="U1417" s="97"/>
      <c r="V1417" s="25"/>
      <c r="W1417" s="25"/>
      <c r="X1417" s="25"/>
      <c r="Y1417" s="25"/>
      <c r="Z1417" s="25"/>
      <c r="AA1417" s="25"/>
    </row>
    <row r="1418" spans="20:27" x14ac:dyDescent="0.35">
      <c r="T1418" s="97"/>
      <c r="U1418" s="97"/>
      <c r="V1418" s="25"/>
      <c r="W1418" s="25"/>
      <c r="X1418" s="25"/>
      <c r="Y1418" s="25"/>
      <c r="Z1418" s="25"/>
      <c r="AA1418" s="25"/>
    </row>
    <row r="1419" spans="20:27" x14ac:dyDescent="0.35">
      <c r="T1419" s="97"/>
      <c r="U1419" s="97"/>
      <c r="V1419" s="25"/>
      <c r="W1419" s="25"/>
      <c r="X1419" s="25"/>
      <c r="Y1419" s="25"/>
      <c r="Z1419" s="25"/>
      <c r="AA1419" s="25"/>
    </row>
    <row r="1420" spans="20:27" x14ac:dyDescent="0.35">
      <c r="T1420" s="97"/>
      <c r="U1420" s="97"/>
      <c r="V1420" s="25"/>
      <c r="W1420" s="25"/>
      <c r="X1420" s="25"/>
      <c r="Y1420" s="25"/>
      <c r="Z1420" s="25"/>
      <c r="AA1420" s="25"/>
    </row>
    <row r="1421" spans="20:27" x14ac:dyDescent="0.35">
      <c r="T1421" s="97"/>
      <c r="U1421" s="97"/>
      <c r="V1421" s="25"/>
      <c r="W1421" s="25"/>
      <c r="X1421" s="25"/>
      <c r="Y1421" s="25"/>
      <c r="Z1421" s="25"/>
      <c r="AA1421" s="25"/>
    </row>
    <row r="1422" spans="20:27" x14ac:dyDescent="0.35">
      <c r="T1422" s="97"/>
      <c r="U1422" s="97"/>
      <c r="V1422" s="25"/>
      <c r="W1422" s="25"/>
      <c r="X1422" s="25"/>
      <c r="Y1422" s="25"/>
      <c r="Z1422" s="25"/>
      <c r="AA1422" s="25"/>
    </row>
    <row r="1423" spans="20:27" x14ac:dyDescent="0.35">
      <c r="T1423" s="97"/>
      <c r="U1423" s="97"/>
      <c r="V1423" s="25"/>
      <c r="W1423" s="25"/>
      <c r="X1423" s="25"/>
      <c r="Y1423" s="25"/>
      <c r="Z1423" s="25"/>
      <c r="AA1423" s="25"/>
    </row>
    <row r="1424" spans="20:27" x14ac:dyDescent="0.35">
      <c r="T1424" s="97"/>
      <c r="U1424" s="97"/>
      <c r="V1424" s="25"/>
      <c r="W1424" s="25"/>
      <c r="X1424" s="25"/>
      <c r="Y1424" s="25"/>
      <c r="Z1424" s="25"/>
      <c r="AA1424" s="25"/>
    </row>
    <row r="1425" spans="20:27" x14ac:dyDescent="0.35">
      <c r="T1425" s="97"/>
      <c r="U1425" s="97"/>
      <c r="V1425" s="25"/>
      <c r="W1425" s="25"/>
      <c r="X1425" s="25"/>
      <c r="Y1425" s="25"/>
      <c r="Z1425" s="25"/>
      <c r="AA1425" s="25"/>
    </row>
    <row r="1426" spans="20:27" x14ac:dyDescent="0.35">
      <c r="T1426" s="97"/>
      <c r="U1426" s="97"/>
      <c r="V1426" s="25"/>
      <c r="W1426" s="25"/>
      <c r="X1426" s="25"/>
      <c r="Y1426" s="25"/>
      <c r="Z1426" s="25"/>
      <c r="AA1426" s="25"/>
    </row>
    <row r="1427" spans="20:27" x14ac:dyDescent="0.35">
      <c r="T1427" s="97"/>
      <c r="U1427" s="97"/>
      <c r="V1427" s="25"/>
      <c r="W1427" s="25"/>
      <c r="X1427" s="25"/>
      <c r="Y1427" s="25"/>
      <c r="Z1427" s="25"/>
      <c r="AA1427" s="25"/>
    </row>
    <row r="1428" spans="20:27" x14ac:dyDescent="0.35">
      <c r="T1428" s="97"/>
      <c r="U1428" s="97"/>
      <c r="V1428" s="25"/>
      <c r="W1428" s="25"/>
      <c r="X1428" s="25"/>
      <c r="Y1428" s="25"/>
      <c r="Z1428" s="25"/>
      <c r="AA1428" s="25"/>
    </row>
    <row r="1429" spans="20:27" x14ac:dyDescent="0.35">
      <c r="T1429" s="97"/>
      <c r="U1429" s="97"/>
      <c r="V1429" s="25"/>
      <c r="W1429" s="25"/>
      <c r="X1429" s="25"/>
      <c r="Y1429" s="25"/>
      <c r="Z1429" s="25"/>
      <c r="AA1429" s="25"/>
    </row>
    <row r="1430" spans="20:27" x14ac:dyDescent="0.35">
      <c r="T1430" s="97"/>
      <c r="U1430" s="97"/>
      <c r="V1430" s="25"/>
      <c r="W1430" s="25"/>
      <c r="X1430" s="25"/>
      <c r="Y1430" s="25"/>
      <c r="Z1430" s="25"/>
      <c r="AA1430" s="25"/>
    </row>
    <row r="1431" spans="20:27" x14ac:dyDescent="0.35">
      <c r="T1431" s="97"/>
      <c r="U1431" s="97"/>
      <c r="V1431" s="25"/>
      <c r="W1431" s="25"/>
      <c r="X1431" s="25"/>
      <c r="Y1431" s="25"/>
      <c r="Z1431" s="25"/>
      <c r="AA1431" s="25"/>
    </row>
    <row r="1432" spans="20:27" x14ac:dyDescent="0.35">
      <c r="T1432" s="97"/>
      <c r="U1432" s="97"/>
      <c r="V1432" s="25"/>
      <c r="W1432" s="25"/>
      <c r="X1432" s="25"/>
      <c r="Y1432" s="25"/>
      <c r="Z1432" s="25"/>
      <c r="AA1432" s="25"/>
    </row>
    <row r="1433" spans="20:27" x14ac:dyDescent="0.35">
      <c r="T1433" s="97"/>
      <c r="U1433" s="97"/>
      <c r="V1433" s="25"/>
      <c r="W1433" s="25"/>
      <c r="X1433" s="25"/>
      <c r="Y1433" s="25"/>
      <c r="Z1433" s="25"/>
      <c r="AA1433" s="25"/>
    </row>
    <row r="1434" spans="20:27" x14ac:dyDescent="0.35">
      <c r="T1434" s="97"/>
      <c r="U1434" s="97"/>
      <c r="V1434" s="25"/>
      <c r="W1434" s="25"/>
      <c r="X1434" s="25"/>
      <c r="Y1434" s="25"/>
      <c r="Z1434" s="25"/>
      <c r="AA1434" s="25"/>
    </row>
    <row r="1435" spans="20:27" x14ac:dyDescent="0.35">
      <c r="T1435" s="97"/>
      <c r="U1435" s="97"/>
      <c r="V1435" s="25"/>
      <c r="W1435" s="25"/>
      <c r="X1435" s="25"/>
      <c r="Y1435" s="25"/>
      <c r="Z1435" s="25"/>
      <c r="AA1435" s="25"/>
    </row>
    <row r="1436" spans="20:27" x14ac:dyDescent="0.35">
      <c r="T1436" s="97"/>
      <c r="U1436" s="97"/>
      <c r="V1436" s="25"/>
      <c r="W1436" s="25"/>
      <c r="X1436" s="25"/>
      <c r="Y1436" s="25"/>
      <c r="Z1436" s="25"/>
      <c r="AA1436" s="25"/>
    </row>
    <row r="1437" spans="20:27" x14ac:dyDescent="0.35">
      <c r="T1437" s="97"/>
      <c r="U1437" s="97"/>
      <c r="V1437" s="25"/>
      <c r="W1437" s="25"/>
      <c r="X1437" s="25"/>
      <c r="Y1437" s="25"/>
      <c r="Z1437" s="25"/>
      <c r="AA1437" s="25"/>
    </row>
    <row r="1438" spans="20:27" x14ac:dyDescent="0.35">
      <c r="T1438" s="97"/>
      <c r="U1438" s="97"/>
      <c r="V1438" s="25"/>
      <c r="W1438" s="25"/>
      <c r="X1438" s="25"/>
      <c r="Y1438" s="25"/>
      <c r="Z1438" s="25"/>
      <c r="AA1438" s="25"/>
    </row>
    <row r="1439" spans="20:27" x14ac:dyDescent="0.35">
      <c r="T1439" s="97"/>
      <c r="U1439" s="97"/>
      <c r="V1439" s="25"/>
      <c r="W1439" s="25"/>
      <c r="X1439" s="25"/>
      <c r="Y1439" s="25"/>
      <c r="Z1439" s="25"/>
      <c r="AA1439" s="25"/>
    </row>
    <row r="1440" spans="20:27" x14ac:dyDescent="0.35">
      <c r="T1440" s="97"/>
      <c r="U1440" s="97"/>
      <c r="V1440" s="25"/>
      <c r="W1440" s="25"/>
      <c r="X1440" s="25"/>
      <c r="Y1440" s="25"/>
      <c r="Z1440" s="25"/>
      <c r="AA1440" s="25"/>
    </row>
    <row r="1441" spans="20:27" x14ac:dyDescent="0.35">
      <c r="T1441" s="97"/>
      <c r="U1441" s="97"/>
      <c r="V1441" s="25"/>
      <c r="W1441" s="25"/>
      <c r="X1441" s="25"/>
      <c r="Y1441" s="25"/>
      <c r="Z1441" s="25"/>
      <c r="AA1441" s="25"/>
    </row>
    <row r="1442" spans="20:27" x14ac:dyDescent="0.35">
      <c r="T1442" s="97"/>
      <c r="U1442" s="97"/>
      <c r="V1442" s="25"/>
      <c r="W1442" s="25"/>
      <c r="X1442" s="25"/>
      <c r="Y1442" s="25"/>
      <c r="Z1442" s="25"/>
      <c r="AA1442" s="25"/>
    </row>
    <row r="1443" spans="20:27" x14ac:dyDescent="0.35">
      <c r="T1443" s="97"/>
      <c r="U1443" s="97"/>
      <c r="V1443" s="25"/>
      <c r="W1443" s="25"/>
      <c r="X1443" s="25"/>
      <c r="Y1443" s="25"/>
      <c r="Z1443" s="25"/>
      <c r="AA1443" s="25"/>
    </row>
    <row r="1444" spans="20:27" x14ac:dyDescent="0.35">
      <c r="T1444" s="97"/>
      <c r="U1444" s="97"/>
      <c r="V1444" s="25"/>
      <c r="W1444" s="25"/>
      <c r="X1444" s="25"/>
      <c r="Y1444" s="25"/>
      <c r="Z1444" s="25"/>
      <c r="AA1444" s="25"/>
    </row>
    <row r="1445" spans="20:27" x14ac:dyDescent="0.35">
      <c r="T1445" s="97"/>
      <c r="U1445" s="97"/>
      <c r="V1445" s="25"/>
      <c r="W1445" s="25"/>
      <c r="X1445" s="25"/>
      <c r="Y1445" s="25"/>
      <c r="Z1445" s="25"/>
      <c r="AA1445" s="25"/>
    </row>
    <row r="1446" spans="20:27" x14ac:dyDescent="0.35">
      <c r="T1446" s="97"/>
      <c r="U1446" s="97"/>
      <c r="V1446" s="25"/>
      <c r="W1446" s="25"/>
      <c r="X1446" s="25"/>
      <c r="Y1446" s="25"/>
      <c r="Z1446" s="25"/>
      <c r="AA1446" s="25"/>
    </row>
    <row r="1447" spans="20:27" x14ac:dyDescent="0.35">
      <c r="T1447" s="97"/>
      <c r="U1447" s="97"/>
      <c r="V1447" s="25"/>
      <c r="W1447" s="25"/>
      <c r="X1447" s="25"/>
      <c r="Y1447" s="25"/>
      <c r="Z1447" s="25"/>
      <c r="AA1447" s="25"/>
    </row>
    <row r="1448" spans="20:27" x14ac:dyDescent="0.35">
      <c r="T1448" s="97"/>
      <c r="U1448" s="97"/>
      <c r="V1448" s="25"/>
      <c r="W1448" s="25"/>
      <c r="X1448" s="25"/>
      <c r="Y1448" s="25"/>
      <c r="Z1448" s="25"/>
      <c r="AA1448" s="25"/>
    </row>
    <row r="1449" spans="20:27" x14ac:dyDescent="0.35">
      <c r="T1449" s="97"/>
      <c r="U1449" s="97"/>
      <c r="V1449" s="25"/>
      <c r="W1449" s="25"/>
      <c r="X1449" s="25"/>
      <c r="Y1449" s="25"/>
      <c r="Z1449" s="25"/>
      <c r="AA1449" s="25"/>
    </row>
    <row r="1450" spans="20:27" x14ac:dyDescent="0.35">
      <c r="T1450" s="97"/>
      <c r="U1450" s="97"/>
      <c r="V1450" s="25"/>
      <c r="W1450" s="25"/>
      <c r="X1450" s="25"/>
      <c r="Y1450" s="25"/>
      <c r="Z1450" s="25"/>
      <c r="AA1450" s="25"/>
    </row>
    <row r="1451" spans="20:27" x14ac:dyDescent="0.35">
      <c r="T1451" s="97"/>
      <c r="U1451" s="97"/>
      <c r="V1451" s="25"/>
      <c r="W1451" s="25"/>
      <c r="X1451" s="25"/>
      <c r="Y1451" s="25"/>
      <c r="Z1451" s="25"/>
      <c r="AA1451" s="25"/>
    </row>
    <row r="1452" spans="20:27" x14ac:dyDescent="0.35">
      <c r="T1452" s="97"/>
      <c r="U1452" s="97"/>
      <c r="V1452" s="25"/>
      <c r="W1452" s="25"/>
      <c r="X1452" s="25"/>
      <c r="Y1452" s="25"/>
      <c r="Z1452" s="25"/>
      <c r="AA1452" s="25"/>
    </row>
    <row r="1453" spans="20:27" x14ac:dyDescent="0.35">
      <c r="T1453" s="97"/>
      <c r="U1453" s="97"/>
      <c r="V1453" s="25"/>
      <c r="W1453" s="25"/>
      <c r="X1453" s="25"/>
      <c r="Y1453" s="25"/>
      <c r="Z1453" s="25"/>
      <c r="AA1453" s="25"/>
    </row>
    <row r="1454" spans="20:27" x14ac:dyDescent="0.35">
      <c r="T1454" s="97"/>
      <c r="U1454" s="97"/>
      <c r="V1454" s="25"/>
      <c r="W1454" s="25"/>
      <c r="X1454" s="25"/>
      <c r="Y1454" s="25"/>
      <c r="Z1454" s="25"/>
      <c r="AA1454" s="25"/>
    </row>
    <row r="1455" spans="20:27" x14ac:dyDescent="0.35">
      <c r="T1455" s="97"/>
      <c r="U1455" s="97"/>
      <c r="V1455" s="25"/>
      <c r="W1455" s="25"/>
      <c r="X1455" s="25"/>
      <c r="Y1455" s="25"/>
      <c r="Z1455" s="25"/>
      <c r="AA1455" s="25"/>
    </row>
    <row r="1456" spans="20:27" x14ac:dyDescent="0.35">
      <c r="T1456" s="97"/>
      <c r="U1456" s="97"/>
      <c r="V1456" s="25"/>
      <c r="W1456" s="25"/>
      <c r="X1456" s="25"/>
      <c r="Y1456" s="25"/>
      <c r="Z1456" s="25"/>
      <c r="AA1456" s="25"/>
    </row>
    <row r="1457" spans="20:27" x14ac:dyDescent="0.35">
      <c r="T1457" s="97"/>
      <c r="U1457" s="97"/>
      <c r="V1457" s="25"/>
      <c r="W1457" s="25"/>
      <c r="X1457" s="25"/>
      <c r="Y1457" s="25"/>
      <c r="Z1457" s="25"/>
      <c r="AA1457" s="25"/>
    </row>
    <row r="1458" spans="20:27" x14ac:dyDescent="0.35">
      <c r="T1458" s="97"/>
      <c r="U1458" s="97"/>
      <c r="V1458" s="25"/>
      <c r="W1458" s="25"/>
      <c r="X1458" s="25"/>
      <c r="Y1458" s="25"/>
      <c r="Z1458" s="25"/>
      <c r="AA1458" s="25"/>
    </row>
    <row r="1459" spans="20:27" x14ac:dyDescent="0.35">
      <c r="T1459" s="97"/>
      <c r="U1459" s="97"/>
      <c r="V1459" s="25"/>
      <c r="W1459" s="25"/>
      <c r="X1459" s="25"/>
      <c r="Y1459" s="25"/>
      <c r="Z1459" s="25"/>
      <c r="AA1459" s="25"/>
    </row>
    <row r="1460" spans="20:27" x14ac:dyDescent="0.35">
      <c r="T1460" s="97"/>
      <c r="U1460" s="97"/>
      <c r="V1460" s="25"/>
      <c r="W1460" s="25"/>
      <c r="X1460" s="25"/>
      <c r="Y1460" s="25"/>
      <c r="Z1460" s="25"/>
      <c r="AA1460" s="25"/>
    </row>
    <row r="1461" spans="20:27" x14ac:dyDescent="0.35">
      <c r="T1461" s="97"/>
      <c r="U1461" s="97"/>
      <c r="V1461" s="25"/>
      <c r="W1461" s="25"/>
      <c r="X1461" s="25"/>
      <c r="Y1461" s="25"/>
      <c r="Z1461" s="25"/>
      <c r="AA1461" s="25"/>
    </row>
    <row r="1462" spans="20:27" x14ac:dyDescent="0.35">
      <c r="T1462" s="97"/>
      <c r="U1462" s="97"/>
      <c r="V1462" s="25"/>
      <c r="W1462" s="25"/>
      <c r="X1462" s="25"/>
      <c r="Y1462" s="25"/>
      <c r="Z1462" s="25"/>
      <c r="AA1462" s="25"/>
    </row>
    <row r="1463" spans="20:27" x14ac:dyDescent="0.35">
      <c r="T1463" s="97"/>
      <c r="U1463" s="97"/>
      <c r="V1463" s="25"/>
      <c r="W1463" s="25"/>
      <c r="X1463" s="25"/>
      <c r="Y1463" s="25"/>
      <c r="Z1463" s="25"/>
      <c r="AA1463" s="25"/>
    </row>
    <row r="1464" spans="20:27" x14ac:dyDescent="0.35">
      <c r="T1464" s="97"/>
      <c r="U1464" s="97"/>
      <c r="V1464" s="25"/>
      <c r="W1464" s="25"/>
      <c r="X1464" s="25"/>
      <c r="Y1464" s="25"/>
      <c r="Z1464" s="25"/>
      <c r="AA1464" s="25"/>
    </row>
    <row r="1465" spans="20:27" x14ac:dyDescent="0.35">
      <c r="T1465" s="97"/>
      <c r="U1465" s="97"/>
      <c r="V1465" s="25"/>
      <c r="W1465" s="25"/>
      <c r="X1465" s="25"/>
      <c r="Y1465" s="25"/>
      <c r="Z1465" s="25"/>
      <c r="AA1465" s="25"/>
    </row>
    <row r="1466" spans="20:27" x14ac:dyDescent="0.35">
      <c r="T1466" s="97"/>
      <c r="U1466" s="97"/>
      <c r="V1466" s="25"/>
      <c r="W1466" s="25"/>
      <c r="X1466" s="25"/>
      <c r="Y1466" s="25"/>
      <c r="Z1466" s="25"/>
      <c r="AA1466" s="25"/>
    </row>
    <row r="1467" spans="20:27" x14ac:dyDescent="0.35">
      <c r="T1467" s="97"/>
      <c r="U1467" s="97"/>
      <c r="V1467" s="25"/>
      <c r="W1467" s="25"/>
      <c r="X1467" s="25"/>
      <c r="Y1467" s="25"/>
      <c r="Z1467" s="25"/>
      <c r="AA1467" s="25"/>
    </row>
    <row r="1468" spans="20:27" x14ac:dyDescent="0.35">
      <c r="T1468" s="97"/>
      <c r="U1468" s="97"/>
      <c r="V1468" s="25"/>
      <c r="W1468" s="25"/>
      <c r="X1468" s="25"/>
      <c r="Y1468" s="25"/>
      <c r="Z1468" s="25"/>
      <c r="AA1468" s="25"/>
    </row>
    <row r="1469" spans="20:27" x14ac:dyDescent="0.35">
      <c r="T1469" s="97"/>
      <c r="U1469" s="97"/>
      <c r="V1469" s="25"/>
      <c r="W1469" s="25"/>
      <c r="X1469" s="25"/>
      <c r="Y1469" s="25"/>
      <c r="Z1469" s="25"/>
      <c r="AA1469" s="25"/>
    </row>
    <row r="1470" spans="20:27" x14ac:dyDescent="0.35">
      <c r="T1470" s="97"/>
      <c r="U1470" s="97"/>
      <c r="V1470" s="25"/>
      <c r="W1470" s="25"/>
      <c r="X1470" s="25"/>
      <c r="Y1470" s="25"/>
      <c r="Z1470" s="25"/>
      <c r="AA1470" s="25"/>
    </row>
    <row r="1471" spans="20:27" x14ac:dyDescent="0.35">
      <c r="T1471" s="97"/>
      <c r="U1471" s="97"/>
      <c r="V1471" s="25"/>
      <c r="W1471" s="25"/>
      <c r="X1471" s="25"/>
      <c r="Y1471" s="25"/>
      <c r="Z1471" s="25"/>
      <c r="AA1471" s="25"/>
    </row>
    <row r="1472" spans="20:27" x14ac:dyDescent="0.35">
      <c r="T1472" s="97"/>
      <c r="U1472" s="97"/>
      <c r="V1472" s="25"/>
      <c r="W1472" s="25"/>
      <c r="X1472" s="25"/>
      <c r="Y1472" s="25"/>
      <c r="Z1472" s="25"/>
      <c r="AA1472" s="25"/>
    </row>
    <row r="1473" spans="20:27" x14ac:dyDescent="0.35">
      <c r="T1473" s="97"/>
      <c r="U1473" s="97"/>
      <c r="V1473" s="25"/>
      <c r="W1473" s="25"/>
      <c r="X1473" s="25"/>
      <c r="Y1473" s="25"/>
      <c r="Z1473" s="25"/>
      <c r="AA1473" s="25"/>
    </row>
    <row r="1474" spans="20:27" x14ac:dyDescent="0.35">
      <c r="T1474" s="97"/>
      <c r="U1474" s="97"/>
      <c r="V1474" s="25"/>
      <c r="W1474" s="25"/>
      <c r="X1474" s="25"/>
      <c r="Y1474" s="25"/>
      <c r="Z1474" s="25"/>
      <c r="AA1474" s="25"/>
    </row>
    <row r="1475" spans="20:27" x14ac:dyDescent="0.35">
      <c r="T1475" s="97"/>
      <c r="U1475" s="97"/>
      <c r="V1475" s="25"/>
      <c r="W1475" s="25"/>
      <c r="X1475" s="25"/>
      <c r="Y1475" s="25"/>
      <c r="Z1475" s="25"/>
      <c r="AA1475" s="25"/>
    </row>
    <row r="1476" spans="20:27" x14ac:dyDescent="0.35">
      <c r="T1476" s="97"/>
      <c r="U1476" s="97"/>
      <c r="V1476" s="25"/>
      <c r="W1476" s="25"/>
      <c r="X1476" s="25"/>
      <c r="Y1476" s="25"/>
      <c r="Z1476" s="25"/>
      <c r="AA1476" s="25"/>
    </row>
    <row r="1477" spans="20:27" x14ac:dyDescent="0.35">
      <c r="T1477" s="97"/>
      <c r="U1477" s="97"/>
      <c r="V1477" s="25"/>
      <c r="W1477" s="25"/>
      <c r="X1477" s="25"/>
      <c r="Y1477" s="25"/>
      <c r="Z1477" s="25"/>
      <c r="AA1477" s="25"/>
    </row>
    <row r="1478" spans="20:27" x14ac:dyDescent="0.35">
      <c r="T1478" s="97"/>
      <c r="U1478" s="97"/>
      <c r="V1478" s="25"/>
      <c r="W1478" s="25"/>
      <c r="X1478" s="25"/>
      <c r="Y1478" s="25"/>
      <c r="Z1478" s="25"/>
      <c r="AA1478" s="25"/>
    </row>
    <row r="1479" spans="20:27" x14ac:dyDescent="0.35">
      <c r="T1479" s="97"/>
      <c r="U1479" s="97"/>
      <c r="V1479" s="25"/>
      <c r="W1479" s="25"/>
      <c r="X1479" s="25"/>
      <c r="Y1479" s="25"/>
      <c r="Z1479" s="25"/>
      <c r="AA1479" s="25"/>
    </row>
    <row r="1480" spans="20:27" x14ac:dyDescent="0.35">
      <c r="T1480" s="97"/>
      <c r="U1480" s="97"/>
      <c r="V1480" s="25"/>
      <c r="W1480" s="25"/>
      <c r="X1480" s="25"/>
      <c r="Y1480" s="25"/>
      <c r="Z1480" s="25"/>
      <c r="AA1480" s="25"/>
    </row>
    <row r="1481" spans="20:27" x14ac:dyDescent="0.35">
      <c r="T1481" s="97"/>
      <c r="U1481" s="97"/>
      <c r="V1481" s="25"/>
      <c r="W1481" s="25"/>
      <c r="X1481" s="25"/>
      <c r="Y1481" s="25"/>
      <c r="Z1481" s="25"/>
      <c r="AA1481" s="25"/>
    </row>
    <row r="1482" spans="20:27" x14ac:dyDescent="0.35">
      <c r="T1482" s="97"/>
      <c r="U1482" s="97"/>
      <c r="V1482" s="25"/>
      <c r="W1482" s="25"/>
      <c r="X1482" s="25"/>
      <c r="Y1482" s="25"/>
      <c r="Z1482" s="25"/>
      <c r="AA1482" s="25"/>
    </row>
    <row r="1483" spans="20:27" x14ac:dyDescent="0.35">
      <c r="T1483" s="97"/>
      <c r="U1483" s="97"/>
      <c r="V1483" s="25"/>
      <c r="W1483" s="25"/>
      <c r="X1483" s="25"/>
      <c r="Y1483" s="25"/>
      <c r="Z1483" s="25"/>
      <c r="AA1483" s="25"/>
    </row>
    <row r="1484" spans="20:27" x14ac:dyDescent="0.35">
      <c r="T1484" s="97"/>
      <c r="U1484" s="97"/>
      <c r="V1484" s="25"/>
      <c r="W1484" s="25"/>
      <c r="X1484" s="25"/>
      <c r="Y1484" s="25"/>
      <c r="Z1484" s="25"/>
      <c r="AA1484" s="25"/>
    </row>
    <row r="1485" spans="20:27" x14ac:dyDescent="0.35">
      <c r="T1485" s="97"/>
      <c r="U1485" s="97"/>
      <c r="V1485" s="25"/>
      <c r="W1485" s="25"/>
      <c r="X1485" s="25"/>
      <c r="Y1485" s="25"/>
      <c r="Z1485" s="25"/>
      <c r="AA1485" s="25"/>
    </row>
    <row r="1486" spans="20:27" x14ac:dyDescent="0.35">
      <c r="T1486" s="97"/>
      <c r="U1486" s="97"/>
      <c r="V1486" s="25"/>
      <c r="W1486" s="25"/>
      <c r="X1486" s="25"/>
      <c r="Y1486" s="25"/>
      <c r="Z1486" s="25"/>
      <c r="AA1486" s="25"/>
    </row>
    <row r="1487" spans="20:27" x14ac:dyDescent="0.35">
      <c r="T1487" s="97"/>
      <c r="U1487" s="97"/>
      <c r="V1487" s="25"/>
      <c r="W1487" s="25"/>
      <c r="X1487" s="25"/>
      <c r="Y1487" s="25"/>
      <c r="Z1487" s="25"/>
      <c r="AA1487" s="25"/>
    </row>
    <row r="1488" spans="20:27" x14ac:dyDescent="0.35">
      <c r="T1488" s="97"/>
      <c r="U1488" s="97"/>
      <c r="V1488" s="25"/>
      <c r="W1488" s="25"/>
      <c r="X1488" s="25"/>
      <c r="Y1488" s="25"/>
      <c r="Z1488" s="25"/>
      <c r="AA1488" s="25"/>
    </row>
    <row r="1489" spans="20:27" x14ac:dyDescent="0.35">
      <c r="T1489" s="97"/>
      <c r="U1489" s="97"/>
      <c r="V1489" s="25"/>
      <c r="W1489" s="25"/>
      <c r="X1489" s="25"/>
      <c r="Y1489" s="25"/>
      <c r="Z1489" s="25"/>
      <c r="AA1489" s="25"/>
    </row>
    <row r="1490" spans="20:27" x14ac:dyDescent="0.35">
      <c r="T1490" s="97"/>
      <c r="U1490" s="97"/>
      <c r="V1490" s="25"/>
      <c r="W1490" s="25"/>
      <c r="X1490" s="25"/>
      <c r="Y1490" s="25"/>
      <c r="Z1490" s="25"/>
      <c r="AA1490" s="25"/>
    </row>
    <row r="1491" spans="20:27" x14ac:dyDescent="0.35">
      <c r="T1491" s="97"/>
      <c r="U1491" s="97"/>
      <c r="V1491" s="25"/>
      <c r="W1491" s="25"/>
      <c r="X1491" s="25"/>
      <c r="Y1491" s="25"/>
      <c r="Z1491" s="25"/>
      <c r="AA1491" s="25"/>
    </row>
    <row r="1492" spans="20:27" x14ac:dyDescent="0.35">
      <c r="T1492" s="97"/>
      <c r="U1492" s="97"/>
      <c r="V1492" s="25"/>
      <c r="W1492" s="25"/>
      <c r="X1492" s="25"/>
      <c r="Y1492" s="25"/>
      <c r="Z1492" s="25"/>
      <c r="AA1492" s="25"/>
    </row>
    <row r="1493" spans="20:27" x14ac:dyDescent="0.35">
      <c r="T1493" s="97"/>
      <c r="U1493" s="97"/>
      <c r="V1493" s="25"/>
      <c r="W1493" s="25"/>
      <c r="X1493" s="25"/>
      <c r="Y1493" s="25"/>
      <c r="Z1493" s="25"/>
      <c r="AA1493" s="25"/>
    </row>
    <row r="1494" spans="20:27" x14ac:dyDescent="0.35">
      <c r="T1494" s="97"/>
      <c r="U1494" s="97"/>
      <c r="V1494" s="25"/>
      <c r="W1494" s="25"/>
      <c r="X1494" s="25"/>
      <c r="Y1494" s="25"/>
      <c r="Z1494" s="25"/>
      <c r="AA1494" s="25"/>
    </row>
    <row r="1495" spans="20:27" x14ac:dyDescent="0.35">
      <c r="T1495" s="97"/>
      <c r="U1495" s="97"/>
      <c r="V1495" s="25"/>
      <c r="W1495" s="25"/>
      <c r="X1495" s="25"/>
      <c r="Y1495" s="25"/>
      <c r="Z1495" s="25"/>
      <c r="AA1495" s="25"/>
    </row>
    <row r="1496" spans="20:27" x14ac:dyDescent="0.35">
      <c r="T1496" s="97"/>
      <c r="U1496" s="97"/>
      <c r="V1496" s="25"/>
      <c r="W1496" s="25"/>
      <c r="X1496" s="25"/>
      <c r="Y1496" s="25"/>
      <c r="Z1496" s="25"/>
      <c r="AA1496" s="25"/>
    </row>
    <row r="1497" spans="20:27" x14ac:dyDescent="0.35">
      <c r="T1497" s="97"/>
      <c r="U1497" s="97"/>
      <c r="V1497" s="25"/>
      <c r="W1497" s="25"/>
      <c r="X1497" s="25"/>
      <c r="Y1497" s="25"/>
      <c r="Z1497" s="25"/>
      <c r="AA1497" s="25"/>
    </row>
    <row r="1498" spans="20:27" x14ac:dyDescent="0.35">
      <c r="T1498" s="97"/>
      <c r="U1498" s="97"/>
      <c r="V1498" s="25"/>
      <c r="W1498" s="25"/>
      <c r="X1498" s="25"/>
      <c r="Y1498" s="25"/>
      <c r="Z1498" s="25"/>
      <c r="AA1498" s="25"/>
    </row>
    <row r="1499" spans="20:27" x14ac:dyDescent="0.35">
      <c r="T1499" s="97"/>
      <c r="U1499" s="97"/>
      <c r="V1499" s="25"/>
      <c r="W1499" s="25"/>
      <c r="X1499" s="25"/>
      <c r="Y1499" s="25"/>
      <c r="Z1499" s="25"/>
      <c r="AA1499" s="25"/>
    </row>
    <row r="1500" spans="20:27" x14ac:dyDescent="0.35">
      <c r="T1500" s="97"/>
      <c r="U1500" s="97"/>
      <c r="V1500" s="25"/>
      <c r="W1500" s="25"/>
      <c r="X1500" s="25"/>
      <c r="Y1500" s="25"/>
      <c r="Z1500" s="25"/>
      <c r="AA1500" s="25"/>
    </row>
    <row r="1501" spans="20:27" x14ac:dyDescent="0.35">
      <c r="T1501" s="97"/>
      <c r="U1501" s="97"/>
      <c r="V1501" s="25"/>
      <c r="W1501" s="25"/>
      <c r="X1501" s="25"/>
      <c r="Y1501" s="25"/>
      <c r="Z1501" s="25"/>
      <c r="AA1501" s="25"/>
    </row>
    <row r="1502" spans="20:27" x14ac:dyDescent="0.35">
      <c r="T1502" s="97"/>
      <c r="U1502" s="97"/>
      <c r="V1502" s="25"/>
      <c r="W1502" s="25"/>
      <c r="X1502" s="25"/>
      <c r="Y1502" s="25"/>
      <c r="Z1502" s="25"/>
      <c r="AA1502" s="25"/>
    </row>
    <row r="1503" spans="20:27" x14ac:dyDescent="0.35">
      <c r="T1503" s="97"/>
      <c r="U1503" s="97"/>
      <c r="V1503" s="25"/>
      <c r="W1503" s="25"/>
      <c r="X1503" s="25"/>
      <c r="Y1503" s="25"/>
      <c r="Z1503" s="25"/>
      <c r="AA1503" s="25"/>
    </row>
    <row r="1504" spans="20:27" x14ac:dyDescent="0.35">
      <c r="T1504" s="97"/>
      <c r="U1504" s="97"/>
      <c r="V1504" s="25"/>
      <c r="W1504" s="25"/>
      <c r="X1504" s="25"/>
      <c r="Y1504" s="25"/>
      <c r="Z1504" s="25"/>
      <c r="AA1504" s="25"/>
    </row>
    <row r="1505" spans="20:27" x14ac:dyDescent="0.35">
      <c r="T1505" s="97"/>
      <c r="U1505" s="97"/>
      <c r="V1505" s="25"/>
      <c r="W1505" s="25"/>
      <c r="X1505" s="25"/>
      <c r="Y1505" s="25"/>
      <c r="Z1505" s="25"/>
      <c r="AA1505" s="25"/>
    </row>
    <row r="1506" spans="20:27" x14ac:dyDescent="0.35">
      <c r="T1506" s="97"/>
      <c r="U1506" s="97"/>
      <c r="V1506" s="25"/>
      <c r="W1506" s="25"/>
      <c r="X1506" s="25"/>
      <c r="Y1506" s="25"/>
      <c r="Z1506" s="25"/>
      <c r="AA1506" s="25"/>
    </row>
    <row r="1507" spans="20:27" x14ac:dyDescent="0.35">
      <c r="T1507" s="97"/>
      <c r="U1507" s="97"/>
      <c r="V1507" s="25"/>
      <c r="W1507" s="25"/>
      <c r="X1507" s="25"/>
      <c r="Y1507" s="25"/>
      <c r="Z1507" s="25"/>
      <c r="AA1507" s="25"/>
    </row>
    <row r="1508" spans="20:27" x14ac:dyDescent="0.35">
      <c r="T1508" s="97"/>
      <c r="U1508" s="97"/>
      <c r="V1508" s="25"/>
      <c r="W1508" s="25"/>
      <c r="X1508" s="25"/>
      <c r="Y1508" s="25"/>
      <c r="Z1508" s="25"/>
      <c r="AA1508" s="25"/>
    </row>
    <row r="1509" spans="20:27" x14ac:dyDescent="0.35">
      <c r="T1509" s="97"/>
      <c r="U1509" s="97"/>
      <c r="V1509" s="25"/>
      <c r="W1509" s="25"/>
      <c r="X1509" s="25"/>
      <c r="Y1509" s="25"/>
      <c r="Z1509" s="25"/>
      <c r="AA1509" s="25"/>
    </row>
    <row r="1510" spans="20:27" x14ac:dyDescent="0.35">
      <c r="T1510" s="97"/>
      <c r="U1510" s="97"/>
      <c r="V1510" s="25"/>
      <c r="W1510" s="25"/>
      <c r="X1510" s="25"/>
      <c r="Y1510" s="25"/>
      <c r="Z1510" s="25"/>
      <c r="AA1510" s="25"/>
    </row>
    <row r="1511" spans="20:27" x14ac:dyDescent="0.35">
      <c r="T1511" s="97"/>
      <c r="U1511" s="97"/>
      <c r="V1511" s="25"/>
      <c r="W1511" s="25"/>
      <c r="X1511" s="25"/>
      <c r="Y1511" s="25"/>
      <c r="Z1511" s="25"/>
      <c r="AA1511" s="25"/>
    </row>
    <row r="1512" spans="20:27" x14ac:dyDescent="0.35">
      <c r="T1512" s="97"/>
      <c r="U1512" s="97"/>
      <c r="V1512" s="25"/>
      <c r="W1512" s="25"/>
      <c r="X1512" s="25"/>
      <c r="Y1512" s="25"/>
      <c r="Z1512" s="25"/>
      <c r="AA1512" s="25"/>
    </row>
    <row r="1513" spans="20:27" x14ac:dyDescent="0.35">
      <c r="T1513" s="97"/>
      <c r="U1513" s="97"/>
      <c r="V1513" s="25"/>
      <c r="W1513" s="25"/>
      <c r="X1513" s="25"/>
      <c r="Y1513" s="25"/>
      <c r="Z1513" s="25"/>
      <c r="AA1513" s="25"/>
    </row>
    <row r="1514" spans="20:27" x14ac:dyDescent="0.35">
      <c r="T1514" s="97"/>
      <c r="U1514" s="97"/>
      <c r="V1514" s="25"/>
      <c r="W1514" s="25"/>
      <c r="X1514" s="25"/>
      <c r="Y1514" s="25"/>
      <c r="Z1514" s="25"/>
      <c r="AA1514" s="25"/>
    </row>
    <row r="1515" spans="20:27" x14ac:dyDescent="0.35">
      <c r="T1515" s="97"/>
      <c r="U1515" s="97"/>
      <c r="V1515" s="25"/>
      <c r="W1515" s="25"/>
      <c r="X1515" s="25"/>
      <c r="Y1515" s="25"/>
      <c r="Z1515" s="25"/>
      <c r="AA1515" s="25"/>
    </row>
    <row r="1516" spans="20:27" x14ac:dyDescent="0.35">
      <c r="T1516" s="97"/>
      <c r="U1516" s="97"/>
      <c r="V1516" s="25"/>
      <c r="W1516" s="25"/>
      <c r="X1516" s="25"/>
      <c r="Y1516" s="25"/>
      <c r="Z1516" s="25"/>
      <c r="AA1516" s="25"/>
    </row>
    <row r="1517" spans="20:27" x14ac:dyDescent="0.35">
      <c r="T1517" s="97"/>
      <c r="U1517" s="97"/>
      <c r="V1517" s="25"/>
      <c r="W1517" s="25"/>
      <c r="X1517" s="25"/>
      <c r="Y1517" s="25"/>
      <c r="Z1517" s="25"/>
      <c r="AA1517" s="25"/>
    </row>
    <row r="1518" spans="20:27" x14ac:dyDescent="0.35">
      <c r="T1518" s="97"/>
      <c r="U1518" s="97"/>
      <c r="V1518" s="25"/>
      <c r="W1518" s="25"/>
      <c r="X1518" s="25"/>
      <c r="Y1518" s="25"/>
      <c r="Z1518" s="25"/>
      <c r="AA1518" s="25"/>
    </row>
    <row r="1519" spans="20:27" x14ac:dyDescent="0.35">
      <c r="T1519" s="97"/>
      <c r="U1519" s="97"/>
      <c r="V1519" s="25"/>
      <c r="W1519" s="25"/>
      <c r="X1519" s="25"/>
      <c r="Y1519" s="25"/>
      <c r="Z1519" s="25"/>
      <c r="AA1519" s="25"/>
    </row>
    <row r="1520" spans="20:27" x14ac:dyDescent="0.35">
      <c r="T1520" s="97"/>
      <c r="U1520" s="97"/>
      <c r="V1520" s="25"/>
      <c r="W1520" s="25"/>
      <c r="X1520" s="25"/>
      <c r="Y1520" s="25"/>
      <c r="Z1520" s="25"/>
      <c r="AA1520" s="25"/>
    </row>
    <row r="1521" spans="20:27" x14ac:dyDescent="0.35">
      <c r="T1521" s="97"/>
      <c r="U1521" s="97"/>
      <c r="V1521" s="25"/>
      <c r="W1521" s="25"/>
      <c r="X1521" s="25"/>
      <c r="Y1521" s="25"/>
      <c r="Z1521" s="25"/>
      <c r="AA1521" s="25"/>
    </row>
    <row r="1522" spans="20:27" x14ac:dyDescent="0.35">
      <c r="T1522" s="97"/>
      <c r="U1522" s="97"/>
      <c r="V1522" s="25"/>
      <c r="W1522" s="25"/>
      <c r="X1522" s="25"/>
      <c r="Y1522" s="25"/>
      <c r="Z1522" s="25"/>
      <c r="AA1522" s="25"/>
    </row>
    <row r="1523" spans="20:27" x14ac:dyDescent="0.35">
      <c r="T1523" s="97"/>
      <c r="U1523" s="97"/>
      <c r="V1523" s="25"/>
      <c r="W1523" s="25"/>
      <c r="X1523" s="25"/>
      <c r="Y1523" s="25"/>
      <c r="Z1523" s="25"/>
      <c r="AA1523" s="25"/>
    </row>
    <row r="1524" spans="20:27" x14ac:dyDescent="0.35">
      <c r="T1524" s="97"/>
      <c r="U1524" s="97"/>
      <c r="V1524" s="25"/>
      <c r="W1524" s="25"/>
      <c r="X1524" s="25"/>
      <c r="Y1524" s="25"/>
      <c r="Z1524" s="25"/>
      <c r="AA1524" s="25"/>
    </row>
    <row r="1525" spans="20:27" x14ac:dyDescent="0.35">
      <c r="T1525" s="97"/>
      <c r="U1525" s="97"/>
      <c r="V1525" s="25"/>
      <c r="W1525" s="25"/>
      <c r="X1525" s="25"/>
      <c r="Y1525" s="25"/>
      <c r="Z1525" s="25"/>
      <c r="AA1525" s="25"/>
    </row>
    <row r="1526" spans="20:27" x14ac:dyDescent="0.35">
      <c r="T1526" s="97"/>
      <c r="U1526" s="97"/>
      <c r="V1526" s="25"/>
      <c r="W1526" s="25"/>
      <c r="X1526" s="25"/>
      <c r="Y1526" s="25"/>
      <c r="Z1526" s="25"/>
      <c r="AA1526" s="25"/>
    </row>
    <row r="1527" spans="20:27" x14ac:dyDescent="0.35">
      <c r="T1527" s="97"/>
      <c r="U1527" s="97"/>
      <c r="V1527" s="25"/>
      <c r="W1527" s="25"/>
      <c r="X1527" s="25"/>
      <c r="Y1527" s="25"/>
      <c r="Z1527" s="25"/>
      <c r="AA1527" s="25"/>
    </row>
    <row r="1528" spans="20:27" x14ac:dyDescent="0.35">
      <c r="T1528" s="97"/>
      <c r="U1528" s="97"/>
      <c r="V1528" s="25"/>
      <c r="W1528" s="25"/>
      <c r="X1528" s="25"/>
      <c r="Y1528" s="25"/>
      <c r="Z1528" s="25"/>
      <c r="AA1528" s="25"/>
    </row>
    <row r="1529" spans="20:27" x14ac:dyDescent="0.35">
      <c r="T1529" s="97"/>
      <c r="U1529" s="97"/>
      <c r="V1529" s="25"/>
      <c r="W1529" s="25"/>
      <c r="X1529" s="25"/>
      <c r="Y1529" s="25"/>
      <c r="Z1529" s="25"/>
      <c r="AA1529" s="25"/>
    </row>
    <row r="1530" spans="20:27" x14ac:dyDescent="0.35">
      <c r="T1530" s="97"/>
      <c r="U1530" s="97"/>
      <c r="V1530" s="25"/>
      <c r="W1530" s="25"/>
      <c r="X1530" s="25"/>
      <c r="Y1530" s="25"/>
      <c r="Z1530" s="25"/>
      <c r="AA1530" s="25"/>
    </row>
    <row r="1531" spans="20:27" x14ac:dyDescent="0.35">
      <c r="T1531" s="97"/>
      <c r="U1531" s="97"/>
      <c r="V1531" s="25"/>
      <c r="W1531" s="25"/>
      <c r="X1531" s="25"/>
      <c r="Y1531" s="25"/>
      <c r="Z1531" s="25"/>
      <c r="AA1531" s="25"/>
    </row>
    <row r="1532" spans="20:27" x14ac:dyDescent="0.35">
      <c r="T1532" s="97"/>
      <c r="U1532" s="97"/>
      <c r="V1532" s="25"/>
      <c r="W1532" s="25"/>
      <c r="X1532" s="25"/>
      <c r="Y1532" s="25"/>
      <c r="Z1532" s="25"/>
      <c r="AA1532" s="25"/>
    </row>
    <row r="1533" spans="20:27" x14ac:dyDescent="0.35">
      <c r="T1533" s="97"/>
      <c r="U1533" s="97"/>
      <c r="V1533" s="25"/>
      <c r="W1533" s="25"/>
      <c r="X1533" s="25"/>
      <c r="Y1533" s="25"/>
      <c r="Z1533" s="25"/>
      <c r="AA1533" s="25"/>
    </row>
    <row r="1534" spans="20:27" x14ac:dyDescent="0.35">
      <c r="T1534" s="97"/>
      <c r="U1534" s="97"/>
      <c r="V1534" s="25"/>
      <c r="W1534" s="25"/>
      <c r="X1534" s="25"/>
      <c r="Y1534" s="25"/>
      <c r="Z1534" s="25"/>
      <c r="AA1534" s="25"/>
    </row>
    <row r="1535" spans="20:27" x14ac:dyDescent="0.35">
      <c r="T1535" s="97"/>
      <c r="U1535" s="97"/>
      <c r="V1535" s="25"/>
      <c r="W1535" s="25"/>
      <c r="X1535" s="25"/>
      <c r="Y1535" s="25"/>
      <c r="Z1535" s="25"/>
      <c r="AA1535" s="25"/>
    </row>
    <row r="1536" spans="20:27" x14ac:dyDescent="0.35">
      <c r="T1536" s="97"/>
      <c r="U1536" s="97"/>
      <c r="V1536" s="25"/>
      <c r="W1536" s="25"/>
      <c r="X1536" s="25"/>
      <c r="Y1536" s="25"/>
      <c r="Z1536" s="25"/>
      <c r="AA1536" s="25"/>
    </row>
    <row r="1537" spans="20:27" x14ac:dyDescent="0.35">
      <c r="T1537" s="97"/>
      <c r="U1537" s="97"/>
      <c r="V1537" s="25"/>
      <c r="W1537" s="25"/>
      <c r="X1537" s="25"/>
      <c r="Y1537" s="25"/>
      <c r="Z1537" s="25"/>
      <c r="AA1537" s="25"/>
    </row>
    <row r="1538" spans="20:27" x14ac:dyDescent="0.35">
      <c r="T1538" s="97"/>
      <c r="U1538" s="97"/>
      <c r="V1538" s="25"/>
      <c r="W1538" s="25"/>
      <c r="X1538" s="25"/>
      <c r="Y1538" s="25"/>
      <c r="Z1538" s="25"/>
      <c r="AA1538" s="25"/>
    </row>
    <row r="1539" spans="20:27" x14ac:dyDescent="0.35">
      <c r="T1539" s="97"/>
      <c r="U1539" s="97"/>
      <c r="V1539" s="25"/>
      <c r="W1539" s="25"/>
      <c r="X1539" s="25"/>
      <c r="Y1539" s="25"/>
      <c r="Z1539" s="25"/>
      <c r="AA1539" s="25"/>
    </row>
    <row r="1540" spans="20:27" x14ac:dyDescent="0.35">
      <c r="T1540" s="97"/>
      <c r="U1540" s="97"/>
      <c r="V1540" s="25"/>
      <c r="W1540" s="25"/>
      <c r="X1540" s="25"/>
      <c r="Y1540" s="25"/>
      <c r="Z1540" s="25"/>
      <c r="AA1540" s="25"/>
    </row>
    <row r="1541" spans="20:27" x14ac:dyDescent="0.35">
      <c r="T1541" s="97"/>
      <c r="U1541" s="97"/>
      <c r="V1541" s="25"/>
      <c r="W1541" s="25"/>
      <c r="X1541" s="25"/>
      <c r="Y1541" s="25"/>
      <c r="Z1541" s="25"/>
      <c r="AA1541" s="25"/>
    </row>
    <row r="1542" spans="20:27" x14ac:dyDescent="0.35">
      <c r="T1542" s="97"/>
      <c r="U1542" s="97"/>
      <c r="V1542" s="25"/>
      <c r="W1542" s="25"/>
      <c r="X1542" s="25"/>
      <c r="Y1542" s="25"/>
      <c r="Z1542" s="25"/>
      <c r="AA1542" s="25"/>
    </row>
    <row r="1543" spans="20:27" x14ac:dyDescent="0.35">
      <c r="T1543" s="97"/>
      <c r="U1543" s="97"/>
      <c r="V1543" s="25"/>
      <c r="W1543" s="25"/>
      <c r="X1543" s="25"/>
      <c r="Y1543" s="25"/>
      <c r="Z1543" s="25"/>
      <c r="AA1543" s="25"/>
    </row>
    <row r="1544" spans="20:27" x14ac:dyDescent="0.35">
      <c r="T1544" s="97"/>
      <c r="U1544" s="97"/>
      <c r="V1544" s="25"/>
      <c r="W1544" s="25"/>
      <c r="X1544" s="25"/>
      <c r="Y1544" s="25"/>
      <c r="Z1544" s="25"/>
      <c r="AA1544" s="25"/>
    </row>
    <row r="1545" spans="20:27" x14ac:dyDescent="0.35">
      <c r="T1545" s="97"/>
      <c r="U1545" s="97"/>
      <c r="V1545" s="25"/>
      <c r="W1545" s="25"/>
      <c r="X1545" s="25"/>
      <c r="Y1545" s="25"/>
      <c r="Z1545" s="25"/>
      <c r="AA1545" s="25"/>
    </row>
    <row r="1546" spans="20:27" x14ac:dyDescent="0.35">
      <c r="T1546" s="97"/>
      <c r="U1546" s="97"/>
      <c r="V1546" s="25"/>
      <c r="W1546" s="25"/>
      <c r="X1546" s="25"/>
      <c r="Y1546" s="25"/>
      <c r="Z1546" s="25"/>
      <c r="AA1546" s="25"/>
    </row>
    <row r="1547" spans="20:27" x14ac:dyDescent="0.35">
      <c r="T1547" s="97"/>
      <c r="U1547" s="97"/>
      <c r="V1547" s="25"/>
      <c r="W1547" s="25"/>
      <c r="X1547" s="25"/>
      <c r="Y1547" s="25"/>
      <c r="Z1547" s="25"/>
      <c r="AA1547" s="25"/>
    </row>
    <row r="1548" spans="20:27" x14ac:dyDescent="0.35">
      <c r="T1548" s="97"/>
      <c r="U1548" s="97"/>
      <c r="V1548" s="25"/>
      <c r="W1548" s="25"/>
      <c r="X1548" s="25"/>
      <c r="Y1548" s="25"/>
      <c r="Z1548" s="25"/>
      <c r="AA1548" s="25"/>
    </row>
    <row r="1549" spans="20:27" x14ac:dyDescent="0.35">
      <c r="T1549" s="97"/>
      <c r="U1549" s="97"/>
      <c r="V1549" s="25"/>
      <c r="W1549" s="25"/>
      <c r="X1549" s="25"/>
      <c r="Y1549" s="25"/>
      <c r="Z1549" s="25"/>
      <c r="AA1549" s="25"/>
    </row>
    <row r="1550" spans="20:27" x14ac:dyDescent="0.35">
      <c r="T1550" s="97"/>
      <c r="U1550" s="97"/>
      <c r="V1550" s="25"/>
      <c r="W1550" s="25"/>
      <c r="X1550" s="25"/>
      <c r="Y1550" s="25"/>
      <c r="Z1550" s="25"/>
      <c r="AA1550" s="25"/>
    </row>
    <row r="1551" spans="20:27" x14ac:dyDescent="0.35">
      <c r="T1551" s="97"/>
      <c r="U1551" s="97"/>
      <c r="V1551" s="25"/>
      <c r="W1551" s="25"/>
      <c r="X1551" s="25"/>
      <c r="Y1551" s="25"/>
      <c r="Z1551" s="25"/>
      <c r="AA1551" s="25"/>
    </row>
    <row r="1552" spans="20:27" x14ac:dyDescent="0.35">
      <c r="T1552" s="97"/>
      <c r="U1552" s="97"/>
      <c r="V1552" s="25"/>
      <c r="W1552" s="25"/>
      <c r="X1552" s="25"/>
      <c r="Y1552" s="25"/>
      <c r="Z1552" s="25"/>
      <c r="AA1552" s="25"/>
    </row>
    <row r="1553" spans="20:27" x14ac:dyDescent="0.35">
      <c r="T1553" s="97"/>
      <c r="U1553" s="97"/>
      <c r="V1553" s="25"/>
      <c r="W1553" s="25"/>
      <c r="X1553" s="25"/>
      <c r="Y1553" s="25"/>
      <c r="Z1553" s="25"/>
      <c r="AA1553" s="25"/>
    </row>
    <row r="1554" spans="20:27" x14ac:dyDescent="0.35">
      <c r="T1554" s="97"/>
      <c r="U1554" s="97"/>
      <c r="V1554" s="25"/>
      <c r="W1554" s="25"/>
      <c r="X1554" s="25"/>
      <c r="Y1554" s="25"/>
      <c r="Z1554" s="25"/>
      <c r="AA1554" s="25"/>
    </row>
    <row r="1555" spans="20:27" x14ac:dyDescent="0.35">
      <c r="T1555" s="97"/>
      <c r="U1555" s="97"/>
      <c r="V1555" s="25"/>
      <c r="W1555" s="25"/>
      <c r="X1555" s="25"/>
      <c r="Y1555" s="25"/>
      <c r="Z1555" s="25"/>
      <c r="AA1555" s="25"/>
    </row>
    <row r="1556" spans="20:27" x14ac:dyDescent="0.35">
      <c r="T1556" s="97"/>
      <c r="U1556" s="97"/>
      <c r="V1556" s="25"/>
      <c r="W1556" s="25"/>
      <c r="X1556" s="25"/>
      <c r="Y1556" s="25"/>
      <c r="Z1556" s="25"/>
      <c r="AA1556" s="25"/>
    </row>
    <row r="1557" spans="20:27" x14ac:dyDescent="0.35">
      <c r="T1557" s="97"/>
      <c r="U1557" s="97"/>
      <c r="V1557" s="25"/>
      <c r="W1557" s="25"/>
      <c r="X1557" s="25"/>
      <c r="Y1557" s="25"/>
      <c r="Z1557" s="25"/>
      <c r="AA1557" s="25"/>
    </row>
    <row r="1558" spans="20:27" x14ac:dyDescent="0.35">
      <c r="T1558" s="97"/>
      <c r="U1558" s="97"/>
      <c r="V1558" s="25"/>
      <c r="W1558" s="25"/>
      <c r="X1558" s="25"/>
      <c r="Y1558" s="25"/>
      <c r="Z1558" s="25"/>
      <c r="AA1558" s="25"/>
    </row>
    <row r="1559" spans="20:27" x14ac:dyDescent="0.35">
      <c r="T1559" s="97"/>
      <c r="U1559" s="97"/>
      <c r="V1559" s="25"/>
      <c r="W1559" s="25"/>
      <c r="X1559" s="25"/>
      <c r="Y1559" s="25"/>
      <c r="Z1559" s="25"/>
      <c r="AA1559" s="25"/>
    </row>
    <row r="1560" spans="20:27" x14ac:dyDescent="0.35">
      <c r="T1560" s="97"/>
      <c r="U1560" s="97"/>
      <c r="V1560" s="25"/>
      <c r="W1560" s="25"/>
      <c r="X1560" s="25"/>
      <c r="Y1560" s="25"/>
      <c r="Z1560" s="25"/>
      <c r="AA1560" s="25"/>
    </row>
    <row r="1561" spans="20:27" x14ac:dyDescent="0.35">
      <c r="T1561" s="97"/>
      <c r="U1561" s="97"/>
      <c r="V1561" s="25"/>
      <c r="W1561" s="25"/>
      <c r="X1561" s="25"/>
      <c r="Y1561" s="25"/>
      <c r="Z1561" s="25"/>
      <c r="AA1561" s="25"/>
    </row>
    <row r="1562" spans="20:27" x14ac:dyDescent="0.35">
      <c r="T1562" s="97"/>
      <c r="U1562" s="97"/>
      <c r="V1562" s="25"/>
      <c r="W1562" s="25"/>
      <c r="X1562" s="25"/>
      <c r="Y1562" s="25"/>
      <c r="Z1562" s="25"/>
      <c r="AA1562" s="25"/>
    </row>
    <row r="1563" spans="20:27" x14ac:dyDescent="0.35">
      <c r="T1563" s="97"/>
      <c r="U1563" s="97"/>
      <c r="V1563" s="25"/>
      <c r="W1563" s="25"/>
      <c r="X1563" s="25"/>
      <c r="Y1563" s="25"/>
      <c r="Z1563" s="25"/>
      <c r="AA1563" s="25"/>
    </row>
    <row r="1564" spans="20:27" x14ac:dyDescent="0.35">
      <c r="T1564" s="97"/>
      <c r="U1564" s="97"/>
      <c r="V1564" s="25"/>
      <c r="W1564" s="25"/>
      <c r="X1564" s="25"/>
      <c r="Y1564" s="25"/>
      <c r="Z1564" s="25"/>
      <c r="AA1564" s="25"/>
    </row>
    <row r="1565" spans="20:27" x14ac:dyDescent="0.35">
      <c r="T1565" s="97"/>
      <c r="U1565" s="97"/>
      <c r="V1565" s="25"/>
      <c r="W1565" s="25"/>
      <c r="X1565" s="25"/>
      <c r="Y1565" s="25"/>
      <c r="Z1565" s="25"/>
      <c r="AA1565" s="25"/>
    </row>
    <row r="1566" spans="20:27" x14ac:dyDescent="0.35">
      <c r="T1566" s="97"/>
      <c r="U1566" s="97"/>
      <c r="V1566" s="25"/>
      <c r="W1566" s="25"/>
      <c r="X1566" s="25"/>
      <c r="Y1566" s="25"/>
      <c r="Z1566" s="25"/>
      <c r="AA1566" s="25"/>
    </row>
    <row r="1567" spans="20:27" x14ac:dyDescent="0.35">
      <c r="T1567" s="97"/>
      <c r="U1567" s="97"/>
      <c r="V1567" s="25"/>
      <c r="W1567" s="25"/>
      <c r="X1567" s="25"/>
      <c r="Y1567" s="25"/>
      <c r="Z1567" s="25"/>
      <c r="AA1567" s="25"/>
    </row>
    <row r="1568" spans="20:27" x14ac:dyDescent="0.35">
      <c r="T1568" s="97"/>
      <c r="U1568" s="97"/>
      <c r="V1568" s="25"/>
      <c r="W1568" s="25"/>
      <c r="X1568" s="25"/>
      <c r="Y1568" s="25"/>
      <c r="Z1568" s="25"/>
      <c r="AA1568" s="25"/>
    </row>
    <row r="1569" spans="20:27" x14ac:dyDescent="0.35">
      <c r="T1569" s="97"/>
      <c r="U1569" s="97"/>
      <c r="V1569" s="25"/>
      <c r="W1569" s="25"/>
      <c r="X1569" s="25"/>
      <c r="Y1569" s="25"/>
      <c r="Z1569" s="25"/>
      <c r="AA1569" s="25"/>
    </row>
    <row r="1570" spans="20:27" x14ac:dyDescent="0.35">
      <c r="T1570" s="97"/>
      <c r="U1570" s="97"/>
      <c r="V1570" s="25"/>
      <c r="W1570" s="25"/>
      <c r="X1570" s="25"/>
      <c r="Y1570" s="25"/>
      <c r="Z1570" s="25"/>
      <c r="AA1570" s="25"/>
    </row>
    <row r="1571" spans="20:27" x14ac:dyDescent="0.35">
      <c r="T1571" s="97"/>
      <c r="U1571" s="97"/>
      <c r="V1571" s="25"/>
      <c r="W1571" s="25"/>
      <c r="X1571" s="25"/>
      <c r="Y1571" s="25"/>
      <c r="Z1571" s="25"/>
      <c r="AA1571" s="25"/>
    </row>
    <row r="1572" spans="20:27" x14ac:dyDescent="0.35">
      <c r="T1572" s="97"/>
      <c r="U1572" s="97"/>
      <c r="V1572" s="25"/>
      <c r="W1572" s="25"/>
      <c r="X1572" s="25"/>
      <c r="Y1572" s="25"/>
      <c r="Z1572" s="25"/>
      <c r="AA1572" s="25"/>
    </row>
    <row r="1573" spans="20:27" x14ac:dyDescent="0.35">
      <c r="T1573" s="97"/>
      <c r="U1573" s="97"/>
      <c r="V1573" s="25"/>
      <c r="W1573" s="25"/>
      <c r="X1573" s="25"/>
      <c r="Y1573" s="25"/>
      <c r="Z1573" s="25"/>
      <c r="AA1573" s="25"/>
    </row>
    <row r="1574" spans="20:27" x14ac:dyDescent="0.35">
      <c r="T1574" s="97"/>
      <c r="U1574" s="97"/>
      <c r="V1574" s="25"/>
      <c r="W1574" s="25"/>
      <c r="X1574" s="25"/>
      <c r="Y1574" s="25"/>
      <c r="Z1574" s="25"/>
      <c r="AA1574" s="25"/>
    </row>
    <row r="1575" spans="20:27" x14ac:dyDescent="0.35">
      <c r="T1575" s="97"/>
      <c r="U1575" s="97"/>
      <c r="V1575" s="25"/>
      <c r="W1575" s="25"/>
      <c r="X1575" s="25"/>
      <c r="Y1575" s="25"/>
      <c r="Z1575" s="25"/>
      <c r="AA1575" s="25"/>
    </row>
    <row r="1576" spans="20:27" x14ac:dyDescent="0.35">
      <c r="T1576" s="97"/>
      <c r="U1576" s="97"/>
      <c r="V1576" s="25"/>
      <c r="W1576" s="25"/>
      <c r="X1576" s="25"/>
      <c r="Y1576" s="25"/>
      <c r="Z1576" s="25"/>
      <c r="AA1576" s="25"/>
    </row>
    <row r="1577" spans="20:27" x14ac:dyDescent="0.35">
      <c r="T1577" s="97"/>
      <c r="U1577" s="97"/>
      <c r="V1577" s="25"/>
      <c r="W1577" s="25"/>
      <c r="X1577" s="25"/>
      <c r="Y1577" s="25"/>
      <c r="Z1577" s="25"/>
      <c r="AA1577" s="25"/>
    </row>
    <row r="1578" spans="20:27" x14ac:dyDescent="0.35">
      <c r="T1578" s="97"/>
      <c r="U1578" s="97"/>
      <c r="V1578" s="25"/>
      <c r="W1578" s="25"/>
      <c r="X1578" s="25"/>
      <c r="Y1578" s="25"/>
      <c r="Z1578" s="25"/>
      <c r="AA1578" s="25"/>
    </row>
    <row r="1579" spans="20:27" x14ac:dyDescent="0.35">
      <c r="T1579" s="97"/>
      <c r="U1579" s="97"/>
      <c r="V1579" s="25"/>
      <c r="W1579" s="25"/>
      <c r="X1579" s="25"/>
      <c r="Y1579" s="25"/>
      <c r="Z1579" s="25"/>
      <c r="AA1579" s="25"/>
    </row>
    <row r="1580" spans="20:27" x14ac:dyDescent="0.35">
      <c r="T1580" s="97"/>
      <c r="U1580" s="97"/>
      <c r="V1580" s="25"/>
      <c r="W1580" s="25"/>
      <c r="X1580" s="25"/>
      <c r="Y1580" s="25"/>
      <c r="Z1580" s="25"/>
      <c r="AA1580" s="25"/>
    </row>
    <row r="1581" spans="20:27" x14ac:dyDescent="0.35">
      <c r="T1581" s="97"/>
      <c r="U1581" s="97"/>
      <c r="V1581" s="25"/>
      <c r="W1581" s="25"/>
      <c r="X1581" s="25"/>
      <c r="Y1581" s="25"/>
      <c r="Z1581" s="25"/>
      <c r="AA1581" s="25"/>
    </row>
    <row r="1582" spans="20:27" x14ac:dyDescent="0.35">
      <c r="T1582" s="97"/>
      <c r="U1582" s="97"/>
      <c r="V1582" s="25"/>
      <c r="W1582" s="25"/>
      <c r="X1582" s="25"/>
      <c r="Y1582" s="25"/>
      <c r="Z1582" s="25"/>
      <c r="AA1582" s="25"/>
    </row>
    <row r="1583" spans="20:27" x14ac:dyDescent="0.35">
      <c r="T1583" s="97"/>
      <c r="U1583" s="97"/>
      <c r="V1583" s="25"/>
      <c r="W1583" s="25"/>
      <c r="X1583" s="25"/>
      <c r="Y1583" s="25"/>
      <c r="Z1583" s="25"/>
      <c r="AA1583" s="25"/>
    </row>
    <row r="1584" spans="20:27" x14ac:dyDescent="0.35">
      <c r="T1584" s="97"/>
      <c r="U1584" s="97"/>
      <c r="V1584" s="25"/>
      <c r="W1584" s="25"/>
      <c r="X1584" s="25"/>
      <c r="Y1584" s="25"/>
      <c r="Z1584" s="25"/>
      <c r="AA1584" s="25"/>
    </row>
    <row r="1585" spans="20:27" x14ac:dyDescent="0.35">
      <c r="T1585" s="97"/>
      <c r="U1585" s="97"/>
      <c r="V1585" s="25"/>
      <c r="W1585" s="25"/>
      <c r="X1585" s="25"/>
      <c r="Y1585" s="25"/>
      <c r="Z1585" s="25"/>
      <c r="AA1585" s="25"/>
    </row>
    <row r="1586" spans="20:27" x14ac:dyDescent="0.35">
      <c r="T1586" s="97"/>
      <c r="U1586" s="97"/>
      <c r="V1586" s="25"/>
      <c r="W1586" s="25"/>
      <c r="X1586" s="25"/>
      <c r="Y1586" s="25"/>
      <c r="Z1586" s="25"/>
      <c r="AA1586" s="25"/>
    </row>
    <row r="1587" spans="20:27" x14ac:dyDescent="0.35">
      <c r="T1587" s="97"/>
      <c r="U1587" s="97"/>
      <c r="V1587" s="25"/>
      <c r="W1587" s="25"/>
      <c r="X1587" s="25"/>
      <c r="Y1587" s="25"/>
      <c r="Z1587" s="25"/>
      <c r="AA1587" s="25"/>
    </row>
    <row r="1588" spans="20:27" x14ac:dyDescent="0.35">
      <c r="T1588" s="97"/>
      <c r="U1588" s="97"/>
      <c r="V1588" s="25"/>
      <c r="W1588" s="25"/>
      <c r="X1588" s="25"/>
      <c r="Y1588" s="25"/>
      <c r="Z1588" s="25"/>
      <c r="AA1588" s="25"/>
    </row>
    <row r="1589" spans="20:27" x14ac:dyDescent="0.35">
      <c r="T1589" s="97"/>
      <c r="U1589" s="97"/>
      <c r="V1589" s="25"/>
      <c r="W1589" s="25"/>
      <c r="X1589" s="25"/>
      <c r="Y1589" s="25"/>
      <c r="Z1589" s="25"/>
      <c r="AA1589" s="25"/>
    </row>
    <row r="1590" spans="20:27" x14ac:dyDescent="0.35">
      <c r="T1590" s="97"/>
      <c r="U1590" s="97"/>
      <c r="V1590" s="25"/>
      <c r="W1590" s="25"/>
      <c r="X1590" s="25"/>
      <c r="Y1590" s="25"/>
      <c r="Z1590" s="25"/>
      <c r="AA1590" s="25"/>
    </row>
    <row r="1591" spans="20:27" x14ac:dyDescent="0.35">
      <c r="T1591" s="97"/>
      <c r="U1591" s="97"/>
      <c r="V1591" s="25"/>
      <c r="W1591" s="25"/>
      <c r="X1591" s="25"/>
      <c r="Y1591" s="25"/>
      <c r="Z1591" s="25"/>
      <c r="AA1591" s="25"/>
    </row>
    <row r="1592" spans="20:27" x14ac:dyDescent="0.35">
      <c r="T1592" s="97"/>
      <c r="U1592" s="97"/>
      <c r="V1592" s="25"/>
      <c r="W1592" s="25"/>
      <c r="X1592" s="25"/>
      <c r="Y1592" s="25"/>
      <c r="Z1592" s="25"/>
      <c r="AA1592" s="25"/>
    </row>
    <row r="1593" spans="20:27" x14ac:dyDescent="0.35">
      <c r="T1593" s="97"/>
      <c r="U1593" s="97"/>
      <c r="V1593" s="25"/>
      <c r="W1593" s="25"/>
      <c r="X1593" s="25"/>
      <c r="Y1593" s="25"/>
      <c r="Z1593" s="25"/>
      <c r="AA1593" s="25"/>
    </row>
    <row r="1594" spans="20:27" x14ac:dyDescent="0.35">
      <c r="T1594" s="97"/>
      <c r="U1594" s="97"/>
      <c r="V1594" s="25"/>
      <c r="W1594" s="25"/>
      <c r="X1594" s="25"/>
      <c r="Y1594" s="25"/>
      <c r="Z1594" s="25"/>
      <c r="AA1594" s="25"/>
    </row>
    <row r="1595" spans="20:27" x14ac:dyDescent="0.35">
      <c r="T1595" s="97"/>
      <c r="U1595" s="97"/>
      <c r="V1595" s="25"/>
      <c r="W1595" s="25"/>
      <c r="X1595" s="25"/>
      <c r="Y1595" s="25"/>
      <c r="Z1595" s="25"/>
      <c r="AA1595" s="25"/>
    </row>
    <row r="1596" spans="20:27" x14ac:dyDescent="0.35">
      <c r="T1596" s="97"/>
      <c r="U1596" s="97"/>
      <c r="V1596" s="25"/>
      <c r="W1596" s="25"/>
      <c r="X1596" s="25"/>
      <c r="Y1596" s="25"/>
      <c r="Z1596" s="25"/>
      <c r="AA1596" s="25"/>
    </row>
    <row r="1597" spans="20:27" x14ac:dyDescent="0.35">
      <c r="T1597" s="97"/>
      <c r="U1597" s="97"/>
      <c r="V1597" s="25"/>
      <c r="W1597" s="25"/>
      <c r="X1597" s="25"/>
      <c r="Y1597" s="25"/>
      <c r="Z1597" s="25"/>
      <c r="AA1597" s="25"/>
    </row>
    <row r="1598" spans="20:27" x14ac:dyDescent="0.35">
      <c r="T1598" s="97"/>
      <c r="U1598" s="97"/>
      <c r="V1598" s="25"/>
      <c r="W1598" s="25"/>
      <c r="X1598" s="25"/>
      <c r="Y1598" s="25"/>
      <c r="Z1598" s="25"/>
      <c r="AA1598" s="25"/>
    </row>
    <row r="1599" spans="20:27" x14ac:dyDescent="0.35">
      <c r="T1599" s="97"/>
      <c r="U1599" s="97"/>
      <c r="V1599" s="25"/>
      <c r="W1599" s="25"/>
      <c r="X1599" s="25"/>
      <c r="Y1599" s="25"/>
      <c r="Z1599" s="25"/>
      <c r="AA1599" s="25"/>
    </row>
    <row r="1600" spans="20:27" x14ac:dyDescent="0.35">
      <c r="T1600" s="97"/>
      <c r="U1600" s="97"/>
      <c r="V1600" s="25"/>
      <c r="W1600" s="25"/>
      <c r="X1600" s="25"/>
      <c r="Y1600" s="25"/>
      <c r="Z1600" s="25"/>
      <c r="AA1600" s="25"/>
    </row>
    <row r="1601" spans="20:27" x14ac:dyDescent="0.35">
      <c r="T1601" s="97"/>
      <c r="U1601" s="97"/>
      <c r="V1601" s="25"/>
      <c r="W1601" s="25"/>
      <c r="X1601" s="25"/>
      <c r="Y1601" s="25"/>
      <c r="Z1601" s="25"/>
      <c r="AA1601" s="25"/>
    </row>
    <row r="1602" spans="20:27" x14ac:dyDescent="0.35">
      <c r="T1602" s="97"/>
      <c r="U1602" s="97"/>
      <c r="V1602" s="25"/>
      <c r="W1602" s="25"/>
      <c r="X1602" s="25"/>
      <c r="Y1602" s="25"/>
      <c r="Z1602" s="25"/>
      <c r="AA1602" s="25"/>
    </row>
    <row r="1603" spans="20:27" x14ac:dyDescent="0.35">
      <c r="T1603" s="97"/>
      <c r="U1603" s="97"/>
      <c r="V1603" s="25"/>
      <c r="W1603" s="25"/>
      <c r="X1603" s="25"/>
      <c r="Y1603" s="25"/>
      <c r="Z1603" s="25"/>
      <c r="AA1603" s="25"/>
    </row>
    <row r="1604" spans="20:27" x14ac:dyDescent="0.35">
      <c r="T1604" s="97"/>
      <c r="U1604" s="97"/>
      <c r="V1604" s="25"/>
      <c r="W1604" s="25"/>
      <c r="X1604" s="25"/>
      <c r="Y1604" s="25"/>
      <c r="Z1604" s="25"/>
      <c r="AA1604" s="25"/>
    </row>
    <row r="1605" spans="20:27" x14ac:dyDescent="0.35">
      <c r="T1605" s="97"/>
      <c r="U1605" s="97"/>
      <c r="V1605" s="25"/>
      <c r="W1605" s="25"/>
      <c r="X1605" s="25"/>
      <c r="Y1605" s="25"/>
      <c r="Z1605" s="25"/>
      <c r="AA1605" s="25"/>
    </row>
    <row r="1606" spans="20:27" x14ac:dyDescent="0.35">
      <c r="T1606" s="97"/>
      <c r="U1606" s="97"/>
      <c r="V1606" s="25"/>
      <c r="W1606" s="25"/>
      <c r="X1606" s="25"/>
      <c r="Y1606" s="25"/>
      <c r="Z1606" s="25"/>
      <c r="AA1606" s="25"/>
    </row>
    <row r="1607" spans="20:27" x14ac:dyDescent="0.35">
      <c r="T1607" s="97"/>
      <c r="U1607" s="97"/>
      <c r="V1607" s="25"/>
      <c r="W1607" s="25"/>
      <c r="X1607" s="25"/>
      <c r="Y1607" s="25"/>
      <c r="Z1607" s="25"/>
      <c r="AA1607" s="25"/>
    </row>
    <row r="1608" spans="20:27" x14ac:dyDescent="0.35">
      <c r="T1608" s="97"/>
      <c r="U1608" s="97"/>
      <c r="V1608" s="25"/>
      <c r="W1608" s="25"/>
      <c r="X1608" s="25"/>
      <c r="Y1608" s="25"/>
      <c r="Z1608" s="25"/>
      <c r="AA1608" s="25"/>
    </row>
    <row r="1609" spans="20:27" x14ac:dyDescent="0.35">
      <c r="T1609" s="97"/>
      <c r="U1609" s="97"/>
      <c r="V1609" s="25"/>
      <c r="W1609" s="25"/>
      <c r="X1609" s="25"/>
      <c r="Y1609" s="25"/>
      <c r="Z1609" s="25"/>
      <c r="AA1609" s="25"/>
    </row>
    <row r="1610" spans="20:27" x14ac:dyDescent="0.35">
      <c r="T1610" s="97"/>
      <c r="U1610" s="97"/>
      <c r="V1610" s="25"/>
      <c r="W1610" s="25"/>
      <c r="X1610" s="25"/>
      <c r="Y1610" s="25"/>
      <c r="Z1610" s="25"/>
      <c r="AA1610" s="25"/>
    </row>
    <row r="1611" spans="20:27" x14ac:dyDescent="0.35">
      <c r="T1611" s="97"/>
      <c r="U1611" s="97"/>
      <c r="V1611" s="25"/>
      <c r="W1611" s="25"/>
      <c r="X1611" s="25"/>
      <c r="Y1611" s="25"/>
      <c r="Z1611" s="25"/>
      <c r="AA1611" s="25"/>
    </row>
    <row r="1612" spans="20:27" x14ac:dyDescent="0.35">
      <c r="T1612" s="97"/>
      <c r="U1612" s="97"/>
      <c r="V1612" s="25"/>
      <c r="W1612" s="25"/>
      <c r="X1612" s="25"/>
      <c r="Y1612" s="25"/>
      <c r="Z1612" s="25"/>
      <c r="AA1612" s="25"/>
    </row>
    <row r="1613" spans="20:27" x14ac:dyDescent="0.35">
      <c r="T1613" s="97"/>
      <c r="U1613" s="97"/>
      <c r="V1613" s="25"/>
      <c r="W1613" s="25"/>
      <c r="X1613" s="25"/>
      <c r="Y1613" s="25"/>
      <c r="Z1613" s="25"/>
      <c r="AA1613" s="25"/>
    </row>
    <row r="1614" spans="20:27" x14ac:dyDescent="0.35">
      <c r="T1614" s="97"/>
      <c r="U1614" s="97"/>
      <c r="V1614" s="25"/>
      <c r="W1614" s="25"/>
      <c r="X1614" s="25"/>
      <c r="Y1614" s="25"/>
      <c r="Z1614" s="25"/>
      <c r="AA1614" s="25"/>
    </row>
    <row r="1615" spans="20:27" x14ac:dyDescent="0.35">
      <c r="T1615" s="97"/>
      <c r="U1615" s="97"/>
      <c r="V1615" s="25"/>
      <c r="W1615" s="25"/>
      <c r="X1615" s="25"/>
      <c r="Y1615" s="25"/>
      <c r="Z1615" s="25"/>
      <c r="AA1615" s="25"/>
    </row>
    <row r="1616" spans="20:27" x14ac:dyDescent="0.35">
      <c r="T1616" s="97"/>
      <c r="U1616" s="97"/>
      <c r="V1616" s="25"/>
      <c r="W1616" s="25"/>
      <c r="X1616" s="25"/>
      <c r="Y1616" s="25"/>
      <c r="Z1616" s="25"/>
      <c r="AA1616" s="25"/>
    </row>
    <row r="1617" spans="20:27" x14ac:dyDescent="0.35">
      <c r="T1617" s="97"/>
      <c r="U1617" s="97"/>
      <c r="V1617" s="25"/>
      <c r="W1617" s="25"/>
      <c r="X1617" s="25"/>
      <c r="Y1617" s="25"/>
      <c r="Z1617" s="25"/>
      <c r="AA1617" s="25"/>
    </row>
    <row r="1618" spans="20:27" x14ac:dyDescent="0.35">
      <c r="T1618" s="97"/>
      <c r="U1618" s="97"/>
      <c r="V1618" s="25"/>
      <c r="W1618" s="25"/>
      <c r="X1618" s="25"/>
      <c r="Y1618" s="25"/>
      <c r="Z1618" s="25"/>
      <c r="AA1618" s="25"/>
    </row>
    <row r="1619" spans="20:27" x14ac:dyDescent="0.35">
      <c r="T1619" s="97"/>
      <c r="U1619" s="97"/>
      <c r="V1619" s="25"/>
      <c r="W1619" s="25"/>
      <c r="X1619" s="25"/>
      <c r="Y1619" s="25"/>
      <c r="Z1619" s="25"/>
      <c r="AA1619" s="25"/>
    </row>
    <row r="1620" spans="20:27" x14ac:dyDescent="0.35">
      <c r="T1620" s="97"/>
      <c r="U1620" s="97"/>
      <c r="V1620" s="25"/>
      <c r="W1620" s="25"/>
      <c r="X1620" s="25"/>
      <c r="Y1620" s="25"/>
      <c r="Z1620" s="25"/>
      <c r="AA1620" s="25"/>
    </row>
    <row r="1621" spans="20:27" x14ac:dyDescent="0.35">
      <c r="T1621" s="97"/>
      <c r="U1621" s="97"/>
      <c r="V1621" s="25"/>
      <c r="W1621" s="25"/>
      <c r="X1621" s="25"/>
      <c r="Y1621" s="25"/>
      <c r="Z1621" s="25"/>
      <c r="AA1621" s="25"/>
    </row>
    <row r="1622" spans="20:27" x14ac:dyDescent="0.35">
      <c r="T1622" s="97"/>
      <c r="U1622" s="97"/>
      <c r="V1622" s="25"/>
      <c r="W1622" s="25"/>
      <c r="X1622" s="25"/>
      <c r="Y1622" s="25"/>
      <c r="Z1622" s="25"/>
      <c r="AA1622" s="25"/>
    </row>
    <row r="1623" spans="20:27" x14ac:dyDescent="0.35">
      <c r="T1623" s="97"/>
      <c r="U1623" s="97"/>
      <c r="V1623" s="25"/>
      <c r="W1623" s="25"/>
      <c r="X1623" s="25"/>
      <c r="Y1623" s="25"/>
      <c r="Z1623" s="25"/>
      <c r="AA1623" s="25"/>
    </row>
    <row r="1624" spans="20:27" x14ac:dyDescent="0.35">
      <c r="T1624" s="97"/>
      <c r="U1624" s="97"/>
      <c r="V1624" s="25"/>
      <c r="W1624" s="25"/>
      <c r="X1624" s="25"/>
      <c r="Y1624" s="25"/>
      <c r="Z1624" s="25"/>
      <c r="AA1624" s="25"/>
    </row>
    <row r="1625" spans="20:27" x14ac:dyDescent="0.35">
      <c r="T1625" s="97"/>
      <c r="U1625" s="97"/>
      <c r="V1625" s="25"/>
      <c r="W1625" s="25"/>
      <c r="X1625" s="25"/>
      <c r="Y1625" s="25"/>
      <c r="Z1625" s="25"/>
      <c r="AA1625" s="25"/>
    </row>
    <row r="1626" spans="20:27" x14ac:dyDescent="0.35">
      <c r="T1626" s="97"/>
      <c r="U1626" s="97"/>
      <c r="V1626" s="25"/>
      <c r="W1626" s="25"/>
      <c r="X1626" s="25"/>
      <c r="Y1626" s="25"/>
      <c r="Z1626" s="25"/>
      <c r="AA1626" s="25"/>
    </row>
    <row r="1627" spans="20:27" x14ac:dyDescent="0.35">
      <c r="T1627" s="97"/>
      <c r="U1627" s="97"/>
      <c r="V1627" s="25"/>
      <c r="W1627" s="25"/>
      <c r="X1627" s="25"/>
      <c r="Y1627" s="25"/>
      <c r="Z1627" s="25"/>
      <c r="AA1627" s="25"/>
    </row>
    <row r="1628" spans="20:27" x14ac:dyDescent="0.35">
      <c r="T1628" s="97"/>
      <c r="U1628" s="97"/>
      <c r="V1628" s="25"/>
      <c r="W1628" s="25"/>
      <c r="X1628" s="25"/>
      <c r="Y1628" s="25"/>
      <c r="Z1628" s="25"/>
      <c r="AA1628" s="25"/>
    </row>
    <row r="1629" spans="20:27" x14ac:dyDescent="0.35">
      <c r="T1629" s="97"/>
      <c r="U1629" s="97"/>
      <c r="V1629" s="25"/>
      <c r="W1629" s="25"/>
      <c r="X1629" s="25"/>
      <c r="Y1629" s="25"/>
      <c r="Z1629" s="25"/>
      <c r="AA1629" s="25"/>
    </row>
    <row r="1630" spans="20:27" x14ac:dyDescent="0.35">
      <c r="T1630" s="97"/>
      <c r="U1630" s="97"/>
      <c r="V1630" s="25"/>
      <c r="W1630" s="25"/>
      <c r="X1630" s="25"/>
      <c r="Y1630" s="25"/>
      <c r="Z1630" s="25"/>
      <c r="AA1630" s="25"/>
    </row>
    <row r="1631" spans="20:27" x14ac:dyDescent="0.35">
      <c r="T1631" s="97"/>
      <c r="U1631" s="97"/>
      <c r="V1631" s="25"/>
      <c r="W1631" s="25"/>
      <c r="X1631" s="25"/>
      <c r="Y1631" s="25"/>
      <c r="Z1631" s="25"/>
      <c r="AA1631" s="25"/>
    </row>
    <row r="1632" spans="20:27" x14ac:dyDescent="0.35">
      <c r="T1632" s="97"/>
      <c r="U1632" s="97"/>
      <c r="V1632" s="25"/>
      <c r="W1632" s="25"/>
      <c r="X1632" s="25"/>
      <c r="Y1632" s="25"/>
      <c r="Z1632" s="25"/>
      <c r="AA1632" s="25"/>
    </row>
    <row r="1633" spans="20:27" x14ac:dyDescent="0.35">
      <c r="T1633" s="97"/>
      <c r="U1633" s="97"/>
      <c r="V1633" s="25"/>
      <c r="W1633" s="25"/>
      <c r="X1633" s="25"/>
      <c r="Y1633" s="25"/>
      <c r="Z1633" s="25"/>
      <c r="AA1633" s="25"/>
    </row>
    <row r="1634" spans="20:27" x14ac:dyDescent="0.35">
      <c r="T1634" s="97"/>
      <c r="U1634" s="97"/>
      <c r="V1634" s="25"/>
      <c r="W1634" s="25"/>
      <c r="X1634" s="25"/>
      <c r="Y1634" s="25"/>
      <c r="Z1634" s="25"/>
      <c r="AA1634" s="25"/>
    </row>
    <row r="1635" spans="20:27" x14ac:dyDescent="0.35">
      <c r="T1635" s="97"/>
      <c r="U1635" s="97"/>
      <c r="V1635" s="25"/>
      <c r="W1635" s="25"/>
      <c r="X1635" s="25"/>
      <c r="Y1635" s="25"/>
      <c r="Z1635" s="25"/>
      <c r="AA1635" s="25"/>
    </row>
    <row r="1636" spans="20:27" x14ac:dyDescent="0.35">
      <c r="T1636" s="97"/>
      <c r="U1636" s="97"/>
      <c r="V1636" s="25"/>
      <c r="W1636" s="25"/>
      <c r="X1636" s="25"/>
      <c r="Y1636" s="25"/>
      <c r="Z1636" s="25"/>
      <c r="AA1636" s="25"/>
    </row>
    <row r="1637" spans="20:27" x14ac:dyDescent="0.35">
      <c r="T1637" s="97"/>
      <c r="U1637" s="97"/>
      <c r="V1637" s="25"/>
      <c r="W1637" s="25"/>
      <c r="X1637" s="25"/>
      <c r="Y1637" s="25"/>
      <c r="Z1637" s="25"/>
      <c r="AA1637" s="25"/>
    </row>
    <row r="1638" spans="20:27" x14ac:dyDescent="0.35">
      <c r="T1638" s="97"/>
      <c r="U1638" s="97"/>
      <c r="V1638" s="25"/>
      <c r="W1638" s="25"/>
      <c r="X1638" s="25"/>
      <c r="Y1638" s="25"/>
      <c r="Z1638" s="25"/>
      <c r="AA1638" s="25"/>
    </row>
    <row r="1639" spans="20:27" x14ac:dyDescent="0.35">
      <c r="T1639" s="97"/>
      <c r="U1639" s="97"/>
      <c r="V1639" s="25"/>
      <c r="W1639" s="25"/>
      <c r="X1639" s="25"/>
      <c r="Y1639" s="25"/>
      <c r="Z1639" s="25"/>
      <c r="AA1639" s="25"/>
    </row>
    <row r="1640" spans="20:27" x14ac:dyDescent="0.35">
      <c r="T1640" s="97"/>
      <c r="U1640" s="97"/>
      <c r="V1640" s="25"/>
      <c r="W1640" s="25"/>
      <c r="X1640" s="25"/>
      <c r="Y1640" s="25"/>
      <c r="Z1640" s="25"/>
      <c r="AA1640" s="25"/>
    </row>
    <row r="1641" spans="20:27" x14ac:dyDescent="0.35">
      <c r="T1641" s="97"/>
      <c r="U1641" s="97"/>
      <c r="V1641" s="25"/>
      <c r="W1641" s="25"/>
      <c r="X1641" s="25"/>
      <c r="Y1641" s="25"/>
      <c r="Z1641" s="25"/>
      <c r="AA1641" s="25"/>
    </row>
    <row r="1642" spans="20:27" x14ac:dyDescent="0.35">
      <c r="T1642" s="97"/>
      <c r="U1642" s="97"/>
      <c r="V1642" s="25"/>
      <c r="W1642" s="25"/>
      <c r="X1642" s="25"/>
      <c r="Y1642" s="25"/>
      <c r="Z1642" s="25"/>
      <c r="AA1642" s="25"/>
    </row>
    <row r="1643" spans="20:27" x14ac:dyDescent="0.35">
      <c r="T1643" s="97"/>
      <c r="U1643" s="97"/>
      <c r="V1643" s="25"/>
      <c r="W1643" s="25"/>
      <c r="X1643" s="25"/>
      <c r="Y1643" s="25"/>
      <c r="Z1643" s="25"/>
      <c r="AA1643" s="25"/>
    </row>
    <row r="1644" spans="20:27" x14ac:dyDescent="0.35">
      <c r="T1644" s="97"/>
      <c r="U1644" s="97"/>
      <c r="V1644" s="25"/>
      <c r="W1644" s="25"/>
      <c r="X1644" s="25"/>
      <c r="Y1644" s="25"/>
      <c r="Z1644" s="25"/>
      <c r="AA1644" s="25"/>
    </row>
    <row r="1645" spans="20:27" x14ac:dyDescent="0.35">
      <c r="T1645" s="97"/>
      <c r="U1645" s="97"/>
      <c r="V1645" s="25"/>
      <c r="W1645" s="25"/>
      <c r="X1645" s="25"/>
      <c r="Y1645" s="25"/>
      <c r="Z1645" s="25"/>
      <c r="AA1645" s="25"/>
    </row>
    <row r="1646" spans="20:27" x14ac:dyDescent="0.35">
      <c r="T1646" s="97"/>
      <c r="U1646" s="97"/>
      <c r="V1646" s="25"/>
      <c r="W1646" s="25"/>
      <c r="X1646" s="25"/>
      <c r="Y1646" s="25"/>
      <c r="Z1646" s="25"/>
      <c r="AA1646" s="25"/>
    </row>
    <row r="1647" spans="20:27" x14ac:dyDescent="0.35">
      <c r="T1647" s="97"/>
      <c r="U1647" s="97"/>
      <c r="V1647" s="25"/>
      <c r="W1647" s="25"/>
      <c r="X1647" s="25"/>
      <c r="Y1647" s="25"/>
      <c r="Z1647" s="25"/>
      <c r="AA1647" s="25"/>
    </row>
    <row r="1648" spans="20:27" x14ac:dyDescent="0.35">
      <c r="T1648" s="97"/>
      <c r="U1648" s="97"/>
      <c r="V1648" s="25"/>
      <c r="W1648" s="25"/>
      <c r="X1648" s="25"/>
      <c r="Y1648" s="25"/>
      <c r="Z1648" s="25"/>
      <c r="AA1648" s="25"/>
    </row>
    <row r="1649" spans="20:27" x14ac:dyDescent="0.35">
      <c r="T1649" s="97"/>
      <c r="U1649" s="97"/>
      <c r="V1649" s="25"/>
      <c r="W1649" s="25"/>
      <c r="X1649" s="25"/>
      <c r="Y1649" s="25"/>
      <c r="Z1649" s="25"/>
      <c r="AA1649" s="25"/>
    </row>
    <row r="1650" spans="20:27" x14ac:dyDescent="0.35">
      <c r="T1650" s="97"/>
      <c r="U1650" s="97"/>
      <c r="V1650" s="25"/>
      <c r="W1650" s="25"/>
      <c r="X1650" s="25"/>
      <c r="Y1650" s="25"/>
      <c r="Z1650" s="25"/>
      <c r="AA1650" s="25"/>
    </row>
    <row r="1651" spans="20:27" x14ac:dyDescent="0.35">
      <c r="T1651" s="97"/>
      <c r="U1651" s="97"/>
      <c r="V1651" s="25"/>
      <c r="W1651" s="25"/>
      <c r="X1651" s="25"/>
      <c r="Y1651" s="25"/>
      <c r="Z1651" s="25"/>
      <c r="AA1651" s="25"/>
    </row>
    <row r="1652" spans="20:27" x14ac:dyDescent="0.35">
      <c r="T1652" s="97"/>
      <c r="U1652" s="97"/>
      <c r="V1652" s="25"/>
      <c r="W1652" s="25"/>
      <c r="X1652" s="25"/>
      <c r="Y1652" s="25"/>
      <c r="Z1652" s="25"/>
      <c r="AA1652" s="25"/>
    </row>
    <row r="1653" spans="20:27" x14ac:dyDescent="0.35">
      <c r="T1653" s="97"/>
      <c r="U1653" s="97"/>
      <c r="V1653" s="25"/>
      <c r="W1653" s="25"/>
      <c r="X1653" s="25"/>
      <c r="Y1653" s="25"/>
      <c r="Z1653" s="25"/>
      <c r="AA1653" s="25"/>
    </row>
    <row r="1654" spans="20:27" x14ac:dyDescent="0.35">
      <c r="T1654" s="97"/>
      <c r="U1654" s="97"/>
      <c r="V1654" s="25"/>
      <c r="W1654" s="25"/>
      <c r="X1654" s="25"/>
      <c r="Y1654" s="25"/>
      <c r="Z1654" s="25"/>
      <c r="AA1654" s="25"/>
    </row>
    <row r="1655" spans="20:27" x14ac:dyDescent="0.35">
      <c r="T1655" s="97"/>
      <c r="U1655" s="97"/>
      <c r="V1655" s="25"/>
      <c r="W1655" s="25"/>
      <c r="X1655" s="25"/>
      <c r="Y1655" s="25"/>
      <c r="Z1655" s="25"/>
      <c r="AA1655" s="25"/>
    </row>
    <row r="1656" spans="20:27" x14ac:dyDescent="0.35">
      <c r="T1656" s="97"/>
      <c r="U1656" s="97"/>
      <c r="V1656" s="25"/>
      <c r="W1656" s="25"/>
      <c r="X1656" s="25"/>
      <c r="Y1656" s="25"/>
      <c r="Z1656" s="25"/>
      <c r="AA1656" s="25"/>
    </row>
    <row r="1657" spans="20:27" x14ac:dyDescent="0.35">
      <c r="T1657" s="97"/>
      <c r="U1657" s="97"/>
      <c r="V1657" s="25"/>
      <c r="W1657" s="25"/>
      <c r="X1657" s="25"/>
      <c r="Y1657" s="25"/>
      <c r="Z1657" s="25"/>
      <c r="AA1657" s="25"/>
    </row>
    <row r="1658" spans="20:27" x14ac:dyDescent="0.35">
      <c r="T1658" s="97"/>
      <c r="U1658" s="97"/>
      <c r="V1658" s="25"/>
      <c r="W1658" s="25"/>
      <c r="X1658" s="25"/>
      <c r="Y1658" s="25"/>
      <c r="Z1658" s="25"/>
      <c r="AA1658" s="25"/>
    </row>
    <row r="1659" spans="20:27" x14ac:dyDescent="0.35">
      <c r="T1659" s="97"/>
      <c r="U1659" s="97"/>
      <c r="V1659" s="25"/>
      <c r="W1659" s="25"/>
      <c r="X1659" s="25"/>
      <c r="Y1659" s="25"/>
      <c r="Z1659" s="25"/>
      <c r="AA1659" s="25"/>
    </row>
    <row r="1660" spans="20:27" x14ac:dyDescent="0.35">
      <c r="T1660" s="97"/>
      <c r="U1660" s="97"/>
      <c r="V1660" s="25"/>
      <c r="W1660" s="25"/>
      <c r="X1660" s="25"/>
      <c r="Y1660" s="25"/>
      <c r="Z1660" s="25"/>
      <c r="AA1660" s="25"/>
    </row>
    <row r="1661" spans="20:27" x14ac:dyDescent="0.35">
      <c r="T1661" s="97"/>
      <c r="U1661" s="97"/>
      <c r="V1661" s="25"/>
      <c r="W1661" s="25"/>
      <c r="X1661" s="25"/>
      <c r="Y1661" s="25"/>
      <c r="Z1661" s="25"/>
      <c r="AA1661" s="25"/>
    </row>
    <row r="1662" spans="20:27" x14ac:dyDescent="0.35">
      <c r="T1662" s="97"/>
      <c r="U1662" s="97"/>
      <c r="V1662" s="25"/>
      <c r="W1662" s="25"/>
      <c r="X1662" s="25"/>
      <c r="Y1662" s="25"/>
      <c r="Z1662" s="25"/>
      <c r="AA1662" s="25"/>
    </row>
    <row r="1663" spans="20:27" x14ac:dyDescent="0.35">
      <c r="T1663" s="97"/>
      <c r="U1663" s="97"/>
      <c r="V1663" s="25"/>
      <c r="W1663" s="25"/>
      <c r="X1663" s="25"/>
      <c r="Y1663" s="25"/>
      <c r="Z1663" s="25"/>
      <c r="AA1663" s="25"/>
    </row>
    <row r="1664" spans="20:27" x14ac:dyDescent="0.35">
      <c r="T1664" s="97"/>
      <c r="U1664" s="97"/>
      <c r="V1664" s="25"/>
      <c r="W1664" s="25"/>
      <c r="X1664" s="25"/>
      <c r="Y1664" s="25"/>
      <c r="Z1664" s="25"/>
      <c r="AA1664" s="25"/>
    </row>
    <row r="1665" spans="20:27" x14ac:dyDescent="0.35">
      <c r="T1665" s="97"/>
      <c r="U1665" s="97"/>
      <c r="V1665" s="25"/>
      <c r="W1665" s="25"/>
      <c r="X1665" s="25"/>
      <c r="Y1665" s="25"/>
      <c r="Z1665" s="25"/>
      <c r="AA1665" s="25"/>
    </row>
    <row r="1666" spans="20:27" x14ac:dyDescent="0.35">
      <c r="T1666" s="97"/>
      <c r="U1666" s="97"/>
      <c r="V1666" s="25"/>
      <c r="W1666" s="25"/>
      <c r="X1666" s="25"/>
      <c r="Y1666" s="25"/>
      <c r="Z1666" s="25"/>
      <c r="AA1666" s="25"/>
    </row>
    <row r="1667" spans="20:27" x14ac:dyDescent="0.35">
      <c r="T1667" s="97"/>
      <c r="U1667" s="97"/>
      <c r="V1667" s="25"/>
      <c r="W1667" s="25"/>
      <c r="X1667" s="25"/>
      <c r="Y1667" s="25"/>
      <c r="Z1667" s="25"/>
      <c r="AA1667" s="25"/>
    </row>
    <row r="1668" spans="20:27" x14ac:dyDescent="0.35">
      <c r="T1668" s="97"/>
      <c r="U1668" s="97"/>
      <c r="V1668" s="25"/>
      <c r="W1668" s="25"/>
      <c r="X1668" s="25"/>
      <c r="Y1668" s="25"/>
      <c r="Z1668" s="25"/>
      <c r="AA1668" s="25"/>
    </row>
    <row r="1669" spans="20:27" x14ac:dyDescent="0.35">
      <c r="T1669" s="97"/>
      <c r="U1669" s="97"/>
      <c r="V1669" s="25"/>
      <c r="W1669" s="25"/>
      <c r="X1669" s="25"/>
      <c r="Y1669" s="25"/>
      <c r="Z1669" s="25"/>
      <c r="AA1669" s="25"/>
    </row>
    <row r="1670" spans="20:27" x14ac:dyDescent="0.35">
      <c r="T1670" s="97"/>
      <c r="U1670" s="97"/>
      <c r="V1670" s="25"/>
      <c r="W1670" s="25"/>
      <c r="X1670" s="25"/>
      <c r="Y1670" s="25"/>
      <c r="Z1670" s="25"/>
      <c r="AA1670" s="25"/>
    </row>
    <row r="1671" spans="20:27" x14ac:dyDescent="0.35">
      <c r="T1671" s="97"/>
      <c r="U1671" s="97"/>
      <c r="V1671" s="25"/>
      <c r="W1671" s="25"/>
      <c r="X1671" s="25"/>
      <c r="Y1671" s="25"/>
      <c r="Z1671" s="25"/>
      <c r="AA1671" s="25"/>
    </row>
    <row r="1672" spans="20:27" x14ac:dyDescent="0.35">
      <c r="T1672" s="97"/>
      <c r="U1672" s="97"/>
      <c r="V1672" s="25"/>
      <c r="W1672" s="25"/>
      <c r="X1672" s="25"/>
      <c r="Y1672" s="25"/>
      <c r="Z1672" s="25"/>
      <c r="AA1672" s="25"/>
    </row>
    <row r="1673" spans="20:27" x14ac:dyDescent="0.35">
      <c r="T1673" s="97"/>
      <c r="U1673" s="97"/>
      <c r="V1673" s="25"/>
      <c r="W1673" s="25"/>
      <c r="X1673" s="25"/>
      <c r="Y1673" s="25"/>
      <c r="Z1673" s="25"/>
      <c r="AA1673" s="25"/>
    </row>
    <row r="1674" spans="20:27" x14ac:dyDescent="0.35">
      <c r="T1674" s="97"/>
      <c r="U1674" s="97"/>
      <c r="V1674" s="25"/>
      <c r="W1674" s="25"/>
      <c r="X1674" s="25"/>
      <c r="Y1674" s="25"/>
      <c r="Z1674" s="25"/>
      <c r="AA1674" s="25"/>
    </row>
    <row r="1675" spans="20:27" x14ac:dyDescent="0.35">
      <c r="T1675" s="97"/>
      <c r="U1675" s="97"/>
      <c r="V1675" s="25"/>
      <c r="W1675" s="25"/>
      <c r="X1675" s="25"/>
      <c r="Y1675" s="25"/>
      <c r="Z1675" s="25"/>
      <c r="AA1675" s="25"/>
    </row>
    <row r="1676" spans="20:27" x14ac:dyDescent="0.35">
      <c r="T1676" s="97"/>
      <c r="U1676" s="97"/>
      <c r="V1676" s="25"/>
      <c r="W1676" s="25"/>
      <c r="X1676" s="25"/>
      <c r="Y1676" s="25"/>
      <c r="Z1676" s="25"/>
      <c r="AA1676" s="25"/>
    </row>
    <row r="1677" spans="20:27" x14ac:dyDescent="0.35">
      <c r="T1677" s="97"/>
      <c r="U1677" s="97"/>
      <c r="V1677" s="25"/>
      <c r="W1677" s="25"/>
      <c r="X1677" s="25"/>
      <c r="Y1677" s="25"/>
      <c r="Z1677" s="25"/>
      <c r="AA1677" s="25"/>
    </row>
    <row r="1678" spans="20:27" x14ac:dyDescent="0.35">
      <c r="T1678" s="97"/>
      <c r="U1678" s="97"/>
      <c r="V1678" s="25"/>
      <c r="W1678" s="25"/>
      <c r="X1678" s="25"/>
      <c r="Y1678" s="25"/>
      <c r="Z1678" s="25"/>
      <c r="AA1678" s="25"/>
    </row>
    <row r="1679" spans="20:27" x14ac:dyDescent="0.35">
      <c r="T1679" s="97"/>
      <c r="U1679" s="97"/>
      <c r="V1679" s="25"/>
      <c r="W1679" s="25"/>
      <c r="X1679" s="25"/>
      <c r="Y1679" s="25"/>
      <c r="Z1679" s="25"/>
      <c r="AA1679" s="25"/>
    </row>
    <row r="1680" spans="20:27" x14ac:dyDescent="0.35">
      <c r="T1680" s="97"/>
      <c r="U1680" s="97"/>
      <c r="V1680" s="25"/>
      <c r="W1680" s="25"/>
      <c r="X1680" s="25"/>
      <c r="Y1680" s="25"/>
      <c r="Z1680" s="25"/>
      <c r="AA1680" s="25"/>
    </row>
    <row r="1681" spans="20:27" x14ac:dyDescent="0.35">
      <c r="T1681" s="97"/>
      <c r="U1681" s="97"/>
      <c r="V1681" s="25"/>
      <c r="W1681" s="25"/>
      <c r="X1681" s="25"/>
      <c r="Y1681" s="25"/>
      <c r="Z1681" s="25"/>
      <c r="AA1681" s="25"/>
    </row>
    <row r="1682" spans="20:27" x14ac:dyDescent="0.35">
      <c r="T1682" s="97"/>
      <c r="U1682" s="97"/>
      <c r="V1682" s="25"/>
      <c r="W1682" s="25"/>
      <c r="X1682" s="25"/>
      <c r="Y1682" s="25"/>
      <c r="Z1682" s="25"/>
      <c r="AA1682" s="25"/>
    </row>
    <row r="1683" spans="20:27" x14ac:dyDescent="0.35">
      <c r="T1683" s="97"/>
      <c r="U1683" s="97"/>
      <c r="V1683" s="25"/>
      <c r="W1683" s="25"/>
      <c r="X1683" s="25"/>
      <c r="Y1683" s="25"/>
      <c r="Z1683" s="25"/>
      <c r="AA1683" s="25"/>
    </row>
    <row r="1684" spans="20:27" x14ac:dyDescent="0.35">
      <c r="T1684" s="97"/>
      <c r="U1684" s="97"/>
      <c r="V1684" s="25"/>
      <c r="W1684" s="25"/>
      <c r="X1684" s="25"/>
      <c r="Y1684" s="25"/>
      <c r="Z1684" s="25"/>
      <c r="AA1684" s="25"/>
    </row>
    <row r="1685" spans="20:27" x14ac:dyDescent="0.35">
      <c r="T1685" s="97"/>
      <c r="U1685" s="97"/>
      <c r="V1685" s="25"/>
      <c r="W1685" s="25"/>
      <c r="X1685" s="25"/>
      <c r="Y1685" s="25"/>
      <c r="Z1685" s="25"/>
      <c r="AA1685" s="25"/>
    </row>
    <row r="1686" spans="20:27" x14ac:dyDescent="0.35">
      <c r="T1686" s="97"/>
      <c r="U1686" s="97"/>
      <c r="V1686" s="25"/>
      <c r="W1686" s="25"/>
      <c r="X1686" s="25"/>
      <c r="Y1686" s="25"/>
      <c r="Z1686" s="25"/>
      <c r="AA1686" s="25"/>
    </row>
    <row r="1687" spans="20:27" x14ac:dyDescent="0.35">
      <c r="T1687" s="97"/>
      <c r="U1687" s="97"/>
      <c r="V1687" s="25"/>
      <c r="W1687" s="25"/>
      <c r="X1687" s="25"/>
      <c r="Y1687" s="25"/>
      <c r="Z1687" s="25"/>
      <c r="AA1687" s="25"/>
    </row>
    <row r="1688" spans="20:27" x14ac:dyDescent="0.35">
      <c r="T1688" s="97"/>
      <c r="U1688" s="97"/>
      <c r="V1688" s="25"/>
      <c r="W1688" s="25"/>
      <c r="X1688" s="25"/>
      <c r="Y1688" s="25"/>
      <c r="Z1688" s="25"/>
      <c r="AA1688" s="25"/>
    </row>
    <row r="1689" spans="20:27" x14ac:dyDescent="0.35">
      <c r="T1689" s="97"/>
      <c r="U1689" s="97"/>
      <c r="V1689" s="25"/>
      <c r="W1689" s="25"/>
      <c r="X1689" s="25"/>
      <c r="Y1689" s="25"/>
      <c r="Z1689" s="25"/>
      <c r="AA1689" s="25"/>
    </row>
    <row r="1690" spans="20:27" x14ac:dyDescent="0.35">
      <c r="T1690" s="97"/>
      <c r="U1690" s="97"/>
      <c r="V1690" s="25"/>
      <c r="W1690" s="25"/>
      <c r="X1690" s="25"/>
      <c r="Y1690" s="25"/>
      <c r="Z1690" s="25"/>
      <c r="AA1690" s="25"/>
    </row>
    <row r="1691" spans="20:27" x14ac:dyDescent="0.35">
      <c r="T1691" s="97"/>
      <c r="U1691" s="97"/>
      <c r="V1691" s="25"/>
      <c r="W1691" s="25"/>
      <c r="X1691" s="25"/>
      <c r="Y1691" s="25"/>
      <c r="Z1691" s="25"/>
      <c r="AA1691" s="25"/>
    </row>
    <row r="1692" spans="20:27" x14ac:dyDescent="0.35">
      <c r="T1692" s="97"/>
      <c r="U1692" s="97"/>
      <c r="V1692" s="25"/>
      <c r="W1692" s="25"/>
      <c r="X1692" s="25"/>
      <c r="Y1692" s="25"/>
      <c r="Z1692" s="25"/>
      <c r="AA1692" s="25"/>
    </row>
    <row r="1693" spans="20:27" x14ac:dyDescent="0.35">
      <c r="T1693" s="97"/>
      <c r="U1693" s="97"/>
      <c r="V1693" s="25"/>
      <c r="W1693" s="25"/>
      <c r="X1693" s="25"/>
      <c r="Y1693" s="25"/>
      <c r="Z1693" s="25"/>
      <c r="AA1693" s="25"/>
    </row>
    <row r="1694" spans="20:27" x14ac:dyDescent="0.35">
      <c r="T1694" s="97"/>
      <c r="U1694" s="97"/>
      <c r="V1694" s="25"/>
      <c r="W1694" s="25"/>
      <c r="X1694" s="25"/>
      <c r="Y1694" s="25"/>
      <c r="Z1694" s="25"/>
      <c r="AA1694" s="25"/>
    </row>
    <row r="1695" spans="20:27" x14ac:dyDescent="0.35">
      <c r="T1695" s="97"/>
      <c r="U1695" s="97"/>
      <c r="V1695" s="25"/>
      <c r="W1695" s="25"/>
      <c r="X1695" s="25"/>
      <c r="Y1695" s="25"/>
      <c r="Z1695" s="25"/>
      <c r="AA1695" s="25"/>
    </row>
    <row r="1696" spans="20:27" x14ac:dyDescent="0.35">
      <c r="T1696" s="97"/>
      <c r="U1696" s="97"/>
      <c r="V1696" s="25"/>
      <c r="W1696" s="25"/>
      <c r="X1696" s="25"/>
      <c r="Y1696" s="25"/>
      <c r="Z1696" s="25"/>
      <c r="AA1696" s="25"/>
    </row>
    <row r="1697" spans="20:27" x14ac:dyDescent="0.35">
      <c r="T1697" s="97"/>
      <c r="U1697" s="97"/>
      <c r="V1697" s="25"/>
      <c r="W1697" s="25"/>
      <c r="X1697" s="25"/>
      <c r="Y1697" s="25"/>
      <c r="Z1697" s="25"/>
      <c r="AA1697" s="25"/>
    </row>
    <row r="1698" spans="20:27" x14ac:dyDescent="0.35">
      <c r="T1698" s="97"/>
      <c r="U1698" s="97"/>
      <c r="V1698" s="25"/>
      <c r="W1698" s="25"/>
      <c r="X1698" s="25"/>
      <c r="Y1698" s="25"/>
      <c r="Z1698" s="25"/>
      <c r="AA1698" s="25"/>
    </row>
    <row r="1699" spans="20:27" x14ac:dyDescent="0.35">
      <c r="T1699" s="97"/>
      <c r="U1699" s="97"/>
      <c r="V1699" s="25"/>
      <c r="W1699" s="25"/>
      <c r="X1699" s="25"/>
      <c r="Y1699" s="25"/>
      <c r="Z1699" s="25"/>
      <c r="AA1699" s="25"/>
    </row>
    <row r="1700" spans="20:27" x14ac:dyDescent="0.35">
      <c r="T1700" s="97"/>
      <c r="U1700" s="97"/>
      <c r="V1700" s="25"/>
      <c r="W1700" s="25"/>
      <c r="X1700" s="25"/>
      <c r="Y1700" s="25"/>
      <c r="Z1700" s="25"/>
      <c r="AA1700" s="25"/>
    </row>
    <row r="1701" spans="20:27" x14ac:dyDescent="0.35">
      <c r="T1701" s="97"/>
      <c r="U1701" s="97"/>
      <c r="V1701" s="25"/>
      <c r="W1701" s="25"/>
      <c r="X1701" s="25"/>
      <c r="Y1701" s="25"/>
      <c r="Z1701" s="25"/>
      <c r="AA1701" s="25"/>
    </row>
    <row r="1702" spans="20:27" x14ac:dyDescent="0.35">
      <c r="T1702" s="97"/>
      <c r="U1702" s="97"/>
      <c r="V1702" s="25"/>
      <c r="W1702" s="25"/>
      <c r="X1702" s="25"/>
      <c r="Y1702" s="25"/>
      <c r="Z1702" s="25"/>
      <c r="AA1702" s="25"/>
    </row>
    <row r="1703" spans="20:27" x14ac:dyDescent="0.35">
      <c r="T1703" s="97"/>
      <c r="U1703" s="97"/>
      <c r="V1703" s="25"/>
      <c r="W1703" s="25"/>
      <c r="X1703" s="25"/>
      <c r="Y1703" s="25"/>
      <c r="Z1703" s="25"/>
      <c r="AA1703" s="25"/>
    </row>
    <row r="1704" spans="20:27" x14ac:dyDescent="0.35">
      <c r="T1704" s="97"/>
      <c r="U1704" s="97"/>
      <c r="V1704" s="25"/>
      <c r="W1704" s="25"/>
      <c r="X1704" s="25"/>
      <c r="Y1704" s="25"/>
      <c r="Z1704" s="25"/>
      <c r="AA1704" s="25"/>
    </row>
    <row r="1705" spans="20:27" x14ac:dyDescent="0.35">
      <c r="T1705" s="97"/>
      <c r="U1705" s="97"/>
      <c r="V1705" s="25"/>
      <c r="W1705" s="25"/>
      <c r="X1705" s="25"/>
      <c r="Y1705" s="25"/>
      <c r="Z1705" s="25"/>
      <c r="AA1705" s="25"/>
    </row>
    <row r="1706" spans="20:27" x14ac:dyDescent="0.35">
      <c r="T1706" s="97"/>
      <c r="U1706" s="97"/>
      <c r="V1706" s="25"/>
      <c r="W1706" s="25"/>
      <c r="X1706" s="25"/>
      <c r="Y1706" s="25"/>
      <c r="Z1706" s="25"/>
      <c r="AA1706" s="25"/>
    </row>
    <row r="1707" spans="20:27" x14ac:dyDescent="0.35">
      <c r="T1707" s="97"/>
      <c r="U1707" s="97"/>
      <c r="V1707" s="25"/>
      <c r="W1707" s="25"/>
      <c r="X1707" s="25"/>
      <c r="Y1707" s="25"/>
      <c r="Z1707" s="25"/>
      <c r="AA1707" s="25"/>
    </row>
    <row r="1708" spans="20:27" x14ac:dyDescent="0.35">
      <c r="T1708" s="97"/>
      <c r="U1708" s="97"/>
      <c r="V1708" s="25"/>
      <c r="W1708" s="25"/>
      <c r="X1708" s="25"/>
      <c r="Y1708" s="25"/>
      <c r="Z1708" s="25"/>
      <c r="AA1708" s="25"/>
    </row>
    <row r="1709" spans="20:27" x14ac:dyDescent="0.35">
      <c r="T1709" s="97"/>
      <c r="U1709" s="97"/>
      <c r="V1709" s="25"/>
      <c r="W1709" s="25"/>
      <c r="X1709" s="25"/>
      <c r="Y1709" s="25"/>
      <c r="Z1709" s="25"/>
      <c r="AA1709" s="25"/>
    </row>
    <row r="1710" spans="20:27" x14ac:dyDescent="0.35">
      <c r="T1710" s="97"/>
      <c r="U1710" s="97"/>
      <c r="V1710" s="25"/>
      <c r="W1710" s="25"/>
      <c r="X1710" s="25"/>
      <c r="Y1710" s="25"/>
      <c r="Z1710" s="25"/>
      <c r="AA1710" s="25"/>
    </row>
    <row r="1711" spans="20:27" x14ac:dyDescent="0.35">
      <c r="T1711" s="97"/>
      <c r="U1711" s="97"/>
      <c r="V1711" s="25"/>
      <c r="W1711" s="25"/>
      <c r="X1711" s="25"/>
      <c r="Y1711" s="25"/>
      <c r="Z1711" s="25"/>
      <c r="AA1711" s="25"/>
    </row>
    <row r="1712" spans="20:27" x14ac:dyDescent="0.35">
      <c r="T1712" s="97"/>
      <c r="U1712" s="97"/>
      <c r="V1712" s="25"/>
      <c r="W1712" s="25"/>
      <c r="X1712" s="25"/>
      <c r="Y1712" s="25"/>
      <c r="Z1712" s="25"/>
      <c r="AA1712" s="25"/>
    </row>
    <row r="1713" spans="20:27" x14ac:dyDescent="0.35">
      <c r="T1713" s="97"/>
      <c r="U1713" s="97"/>
      <c r="V1713" s="25"/>
      <c r="W1713" s="25"/>
      <c r="X1713" s="25"/>
      <c r="Y1713" s="25"/>
      <c r="Z1713" s="25"/>
      <c r="AA1713" s="25"/>
    </row>
    <row r="1714" spans="20:27" x14ac:dyDescent="0.35">
      <c r="T1714" s="97"/>
      <c r="U1714" s="97"/>
      <c r="V1714" s="25"/>
      <c r="W1714" s="25"/>
      <c r="X1714" s="25"/>
      <c r="Y1714" s="25"/>
      <c r="Z1714" s="25"/>
      <c r="AA1714" s="25"/>
    </row>
    <row r="1715" spans="20:27" x14ac:dyDescent="0.35">
      <c r="T1715" s="97"/>
      <c r="U1715" s="97"/>
      <c r="V1715" s="25"/>
      <c r="W1715" s="25"/>
      <c r="X1715" s="25"/>
      <c r="Y1715" s="25"/>
      <c r="Z1715" s="25"/>
      <c r="AA1715" s="25"/>
    </row>
    <row r="1716" spans="20:27" x14ac:dyDescent="0.35">
      <c r="T1716" s="97"/>
      <c r="U1716" s="97"/>
      <c r="V1716" s="25"/>
      <c r="W1716" s="25"/>
      <c r="X1716" s="25"/>
      <c r="Y1716" s="25"/>
      <c r="Z1716" s="25"/>
      <c r="AA1716" s="25"/>
    </row>
    <row r="1717" spans="20:27" x14ac:dyDescent="0.35">
      <c r="T1717" s="97"/>
      <c r="U1717" s="97"/>
      <c r="V1717" s="25"/>
      <c r="W1717" s="25"/>
      <c r="X1717" s="25"/>
      <c r="Y1717" s="25"/>
      <c r="Z1717" s="25"/>
      <c r="AA1717" s="25"/>
    </row>
    <row r="1718" spans="20:27" x14ac:dyDescent="0.35">
      <c r="T1718" s="97"/>
      <c r="U1718" s="97"/>
      <c r="V1718" s="25"/>
      <c r="W1718" s="25"/>
      <c r="X1718" s="25"/>
      <c r="Y1718" s="25"/>
      <c r="Z1718" s="25"/>
      <c r="AA1718" s="25"/>
    </row>
    <row r="1719" spans="20:27" x14ac:dyDescent="0.35">
      <c r="T1719" s="97"/>
      <c r="U1719" s="97"/>
      <c r="V1719" s="25"/>
      <c r="W1719" s="25"/>
      <c r="X1719" s="25"/>
      <c r="Y1719" s="25"/>
      <c r="Z1719" s="25"/>
      <c r="AA1719" s="25"/>
    </row>
    <row r="1720" spans="20:27" x14ac:dyDescent="0.35">
      <c r="T1720" s="97"/>
      <c r="U1720" s="97"/>
      <c r="V1720" s="25"/>
      <c r="W1720" s="25"/>
      <c r="X1720" s="25"/>
      <c r="Y1720" s="25"/>
      <c r="Z1720" s="25"/>
      <c r="AA1720" s="25"/>
    </row>
    <row r="1721" spans="20:27" x14ac:dyDescent="0.35">
      <c r="T1721" s="97"/>
      <c r="U1721" s="97"/>
      <c r="V1721" s="25"/>
      <c r="W1721" s="25"/>
      <c r="X1721" s="25"/>
      <c r="Y1721" s="25"/>
      <c r="Z1721" s="25"/>
      <c r="AA1721" s="25"/>
    </row>
    <row r="1722" spans="20:27" x14ac:dyDescent="0.35">
      <c r="T1722" s="97"/>
      <c r="U1722" s="97"/>
      <c r="V1722" s="25"/>
      <c r="W1722" s="25"/>
      <c r="X1722" s="25"/>
      <c r="Y1722" s="25"/>
      <c r="Z1722" s="25"/>
      <c r="AA1722" s="25"/>
    </row>
    <row r="1723" spans="20:27" x14ac:dyDescent="0.35">
      <c r="T1723" s="97"/>
      <c r="U1723" s="97"/>
      <c r="V1723" s="25"/>
      <c r="W1723" s="25"/>
      <c r="X1723" s="25"/>
      <c r="Y1723" s="25"/>
      <c r="Z1723" s="25"/>
      <c r="AA1723" s="25"/>
    </row>
    <row r="1724" spans="20:27" x14ac:dyDescent="0.35">
      <c r="T1724" s="97"/>
      <c r="U1724" s="97"/>
      <c r="V1724" s="25"/>
      <c r="W1724" s="25"/>
      <c r="X1724" s="25"/>
      <c r="Y1724" s="25"/>
      <c r="Z1724" s="25"/>
      <c r="AA1724" s="25"/>
    </row>
    <row r="1725" spans="20:27" x14ac:dyDescent="0.35">
      <c r="T1725" s="97"/>
      <c r="U1725" s="97"/>
      <c r="V1725" s="25"/>
      <c r="W1725" s="25"/>
      <c r="X1725" s="25"/>
      <c r="Y1725" s="25"/>
      <c r="Z1725" s="25"/>
      <c r="AA1725" s="25"/>
    </row>
    <row r="1726" spans="20:27" x14ac:dyDescent="0.35">
      <c r="T1726" s="97"/>
      <c r="U1726" s="97"/>
      <c r="V1726" s="25"/>
      <c r="W1726" s="25"/>
      <c r="X1726" s="25"/>
      <c r="Y1726" s="25"/>
      <c r="Z1726" s="25"/>
      <c r="AA1726" s="25"/>
    </row>
    <row r="1727" spans="20:27" x14ac:dyDescent="0.35">
      <c r="T1727" s="97"/>
      <c r="U1727" s="97"/>
      <c r="V1727" s="25"/>
      <c r="W1727" s="25"/>
      <c r="X1727" s="25"/>
      <c r="Y1727" s="25"/>
      <c r="Z1727" s="25"/>
      <c r="AA1727" s="25"/>
    </row>
    <row r="1728" spans="20:27" x14ac:dyDescent="0.35">
      <c r="T1728" s="97"/>
      <c r="U1728" s="97"/>
      <c r="V1728" s="25"/>
      <c r="W1728" s="25"/>
      <c r="X1728" s="25"/>
      <c r="Y1728" s="25"/>
      <c r="Z1728" s="25"/>
      <c r="AA1728" s="25"/>
    </row>
    <row r="1729" spans="20:27" x14ac:dyDescent="0.35">
      <c r="T1729" s="97"/>
      <c r="U1729" s="97"/>
      <c r="V1729" s="25"/>
      <c r="W1729" s="25"/>
      <c r="X1729" s="25"/>
      <c r="Y1729" s="25"/>
      <c r="Z1729" s="25"/>
      <c r="AA1729" s="25"/>
    </row>
    <row r="1730" spans="20:27" x14ac:dyDescent="0.35">
      <c r="T1730" s="97"/>
      <c r="U1730" s="97"/>
      <c r="V1730" s="25"/>
      <c r="W1730" s="25"/>
      <c r="X1730" s="25"/>
      <c r="Y1730" s="25"/>
      <c r="Z1730" s="25"/>
      <c r="AA1730" s="25"/>
    </row>
    <row r="1731" spans="20:27" x14ac:dyDescent="0.35">
      <c r="T1731" s="97"/>
      <c r="U1731" s="97"/>
      <c r="V1731" s="25"/>
      <c r="W1731" s="25"/>
      <c r="X1731" s="25"/>
      <c r="Y1731" s="25"/>
      <c r="Z1731" s="25"/>
      <c r="AA1731" s="25"/>
    </row>
    <row r="1732" spans="20:27" x14ac:dyDescent="0.35">
      <c r="T1732" s="97"/>
      <c r="U1732" s="97"/>
      <c r="V1732" s="25"/>
      <c r="W1732" s="25"/>
      <c r="X1732" s="25"/>
      <c r="Y1732" s="25"/>
      <c r="Z1732" s="25"/>
      <c r="AA1732" s="25"/>
    </row>
    <row r="1733" spans="20:27" x14ac:dyDescent="0.35">
      <c r="T1733" s="97"/>
      <c r="U1733" s="97"/>
      <c r="V1733" s="25"/>
      <c r="W1733" s="25"/>
      <c r="X1733" s="25"/>
      <c r="Y1733" s="25"/>
      <c r="Z1733" s="25"/>
      <c r="AA1733" s="25"/>
    </row>
    <row r="1734" spans="20:27" x14ac:dyDescent="0.35">
      <c r="T1734" s="97"/>
      <c r="U1734" s="97"/>
      <c r="V1734" s="25"/>
      <c r="W1734" s="25"/>
      <c r="X1734" s="25"/>
      <c r="Y1734" s="25"/>
      <c r="Z1734" s="25"/>
      <c r="AA1734" s="25"/>
    </row>
    <row r="1735" spans="20:27" x14ac:dyDescent="0.35">
      <c r="T1735" s="97"/>
      <c r="U1735" s="97"/>
      <c r="V1735" s="25"/>
      <c r="W1735" s="25"/>
      <c r="X1735" s="25"/>
      <c r="Y1735" s="25"/>
      <c r="Z1735" s="25"/>
      <c r="AA1735" s="25"/>
    </row>
    <row r="1736" spans="20:27" x14ac:dyDescent="0.35">
      <c r="T1736" s="97"/>
      <c r="U1736" s="97"/>
      <c r="V1736" s="25"/>
      <c r="W1736" s="25"/>
      <c r="X1736" s="25"/>
      <c r="Y1736" s="25"/>
      <c r="Z1736" s="25"/>
      <c r="AA1736" s="25"/>
    </row>
    <row r="1737" spans="20:27" x14ac:dyDescent="0.35">
      <c r="T1737" s="97"/>
      <c r="U1737" s="97"/>
      <c r="V1737" s="25"/>
      <c r="W1737" s="25"/>
      <c r="X1737" s="25"/>
      <c r="Y1737" s="25"/>
      <c r="Z1737" s="25"/>
      <c r="AA1737" s="25"/>
    </row>
    <row r="1738" spans="20:27" x14ac:dyDescent="0.35">
      <c r="T1738" s="97"/>
      <c r="U1738" s="97"/>
      <c r="V1738" s="25"/>
      <c r="W1738" s="25"/>
      <c r="X1738" s="25"/>
      <c r="Y1738" s="25"/>
      <c r="Z1738" s="25"/>
      <c r="AA1738" s="25"/>
    </row>
    <row r="1739" spans="20:27" x14ac:dyDescent="0.35">
      <c r="T1739" s="97"/>
      <c r="U1739" s="97"/>
      <c r="V1739" s="25"/>
      <c r="W1739" s="25"/>
      <c r="X1739" s="25"/>
      <c r="Y1739" s="25"/>
      <c r="Z1739" s="25"/>
      <c r="AA1739" s="25"/>
    </row>
    <row r="1740" spans="20:27" x14ac:dyDescent="0.35">
      <c r="T1740" s="97"/>
      <c r="U1740" s="97"/>
      <c r="V1740" s="25"/>
      <c r="W1740" s="25"/>
      <c r="X1740" s="25"/>
      <c r="Y1740" s="25"/>
      <c r="Z1740" s="25"/>
      <c r="AA1740" s="25"/>
    </row>
    <row r="1741" spans="20:27" x14ac:dyDescent="0.35">
      <c r="T1741" s="97"/>
      <c r="U1741" s="97"/>
      <c r="V1741" s="25"/>
      <c r="W1741" s="25"/>
      <c r="X1741" s="25"/>
      <c r="Y1741" s="25"/>
      <c r="Z1741" s="25"/>
      <c r="AA1741" s="25"/>
    </row>
    <row r="1742" spans="20:27" x14ac:dyDescent="0.35">
      <c r="T1742" s="97"/>
      <c r="U1742" s="97"/>
      <c r="V1742" s="25"/>
      <c r="W1742" s="25"/>
      <c r="X1742" s="25"/>
      <c r="Y1742" s="25"/>
      <c r="Z1742" s="25"/>
      <c r="AA1742" s="25"/>
    </row>
    <row r="1743" spans="20:27" x14ac:dyDescent="0.35">
      <c r="T1743" s="97"/>
      <c r="U1743" s="97"/>
      <c r="V1743" s="25"/>
      <c r="W1743" s="25"/>
      <c r="X1743" s="25"/>
      <c r="Y1743" s="25"/>
      <c r="Z1743" s="25"/>
      <c r="AA1743" s="25"/>
    </row>
    <row r="1744" spans="20:27" x14ac:dyDescent="0.35">
      <c r="T1744" s="97"/>
      <c r="U1744" s="97"/>
      <c r="V1744" s="25"/>
      <c r="W1744" s="25"/>
      <c r="X1744" s="25"/>
      <c r="Y1744" s="25"/>
      <c r="Z1744" s="25"/>
      <c r="AA1744" s="25"/>
    </row>
    <row r="1745" spans="20:27" x14ac:dyDescent="0.35">
      <c r="T1745" s="97"/>
      <c r="U1745" s="97"/>
      <c r="V1745" s="25"/>
      <c r="W1745" s="25"/>
      <c r="X1745" s="25"/>
      <c r="Y1745" s="25"/>
      <c r="Z1745" s="25"/>
      <c r="AA1745" s="25"/>
    </row>
    <row r="1746" spans="20:27" x14ac:dyDescent="0.35">
      <c r="T1746" s="97"/>
      <c r="U1746" s="97"/>
      <c r="V1746" s="25"/>
      <c r="W1746" s="25"/>
      <c r="X1746" s="25"/>
      <c r="Y1746" s="25"/>
      <c r="Z1746" s="25"/>
      <c r="AA1746" s="25"/>
    </row>
    <row r="1747" spans="20:27" x14ac:dyDescent="0.35">
      <c r="T1747" s="97"/>
      <c r="U1747" s="97"/>
      <c r="V1747" s="25"/>
      <c r="W1747" s="25"/>
      <c r="X1747" s="25"/>
      <c r="Y1747" s="25"/>
      <c r="Z1747" s="25"/>
      <c r="AA1747" s="25"/>
    </row>
    <row r="1748" spans="20:27" x14ac:dyDescent="0.35">
      <c r="T1748" s="97"/>
      <c r="U1748" s="97"/>
      <c r="V1748" s="25"/>
      <c r="W1748" s="25"/>
      <c r="X1748" s="25"/>
      <c r="Y1748" s="25"/>
      <c r="Z1748" s="25"/>
      <c r="AA1748" s="25"/>
    </row>
    <row r="1749" spans="20:27" x14ac:dyDescent="0.35">
      <c r="T1749" s="97"/>
      <c r="U1749" s="97"/>
      <c r="V1749" s="25"/>
      <c r="W1749" s="25"/>
      <c r="X1749" s="25"/>
      <c r="Y1749" s="25"/>
      <c r="Z1749" s="25"/>
      <c r="AA1749" s="25"/>
    </row>
    <row r="1750" spans="20:27" x14ac:dyDescent="0.35">
      <c r="T1750" s="97"/>
      <c r="U1750" s="97"/>
      <c r="V1750" s="25"/>
      <c r="W1750" s="25"/>
      <c r="X1750" s="25"/>
      <c r="Y1750" s="25"/>
      <c r="Z1750" s="25"/>
      <c r="AA1750" s="25"/>
    </row>
    <row r="1751" spans="20:27" x14ac:dyDescent="0.35">
      <c r="T1751" s="97"/>
      <c r="U1751" s="97"/>
      <c r="V1751" s="25"/>
      <c r="W1751" s="25"/>
      <c r="X1751" s="25"/>
      <c r="Y1751" s="25"/>
      <c r="Z1751" s="25"/>
      <c r="AA1751" s="25"/>
    </row>
    <row r="1752" spans="20:27" x14ac:dyDescent="0.35">
      <c r="T1752" s="97"/>
      <c r="U1752" s="97"/>
      <c r="V1752" s="25"/>
      <c r="W1752" s="25"/>
      <c r="X1752" s="25"/>
      <c r="Y1752" s="25"/>
      <c r="Z1752" s="25"/>
      <c r="AA1752" s="25"/>
    </row>
    <row r="1753" spans="20:27" x14ac:dyDescent="0.35">
      <c r="T1753" s="97"/>
      <c r="U1753" s="97"/>
      <c r="V1753" s="25"/>
      <c r="W1753" s="25"/>
      <c r="X1753" s="25"/>
      <c r="Y1753" s="25"/>
      <c r="Z1753" s="25"/>
      <c r="AA1753" s="25"/>
    </row>
    <row r="1754" spans="20:27" x14ac:dyDescent="0.35">
      <c r="T1754" s="97"/>
      <c r="U1754" s="97"/>
      <c r="V1754" s="25"/>
      <c r="W1754" s="25"/>
      <c r="X1754" s="25"/>
      <c r="Y1754" s="25"/>
      <c r="Z1754" s="25"/>
      <c r="AA1754" s="25"/>
    </row>
    <row r="1755" spans="20:27" x14ac:dyDescent="0.35">
      <c r="T1755" s="97"/>
      <c r="U1755" s="97"/>
      <c r="V1755" s="25"/>
      <c r="W1755" s="25"/>
      <c r="X1755" s="25"/>
      <c r="Y1755" s="25"/>
      <c r="Z1755" s="25"/>
      <c r="AA1755" s="25"/>
    </row>
    <row r="1756" spans="20:27" x14ac:dyDescent="0.35">
      <c r="T1756" s="97"/>
      <c r="U1756" s="97"/>
      <c r="V1756" s="25"/>
      <c r="W1756" s="25"/>
      <c r="X1756" s="25"/>
      <c r="Y1756" s="25"/>
      <c r="Z1756" s="25"/>
      <c r="AA1756" s="25"/>
    </row>
    <row r="1757" spans="20:27" x14ac:dyDescent="0.35">
      <c r="T1757" s="97"/>
      <c r="U1757" s="97"/>
      <c r="V1757" s="25"/>
      <c r="W1757" s="25"/>
      <c r="X1757" s="25"/>
      <c r="Y1757" s="25"/>
      <c r="Z1757" s="25"/>
      <c r="AA1757" s="25"/>
    </row>
    <row r="1758" spans="20:27" x14ac:dyDescent="0.35">
      <c r="T1758" s="97"/>
      <c r="U1758" s="97"/>
      <c r="V1758" s="25"/>
      <c r="W1758" s="25"/>
      <c r="X1758" s="25"/>
      <c r="Y1758" s="25"/>
      <c r="Z1758" s="25"/>
      <c r="AA1758" s="25"/>
    </row>
    <row r="1759" spans="20:27" x14ac:dyDescent="0.35">
      <c r="T1759" s="97"/>
      <c r="U1759" s="97"/>
      <c r="V1759" s="25"/>
      <c r="W1759" s="25"/>
      <c r="X1759" s="25"/>
      <c r="Y1759" s="25"/>
      <c r="Z1759" s="25"/>
      <c r="AA1759" s="25"/>
    </row>
    <row r="1760" spans="20:27" x14ac:dyDescent="0.35">
      <c r="T1760" s="97"/>
      <c r="U1760" s="97"/>
      <c r="V1760" s="25"/>
      <c r="W1760" s="25"/>
      <c r="X1760" s="25"/>
      <c r="Y1760" s="25"/>
      <c r="Z1760" s="25"/>
      <c r="AA1760" s="25"/>
    </row>
    <row r="1761" spans="20:27" x14ac:dyDescent="0.35">
      <c r="T1761" s="97"/>
      <c r="U1761" s="97"/>
      <c r="V1761" s="25"/>
      <c r="W1761" s="25"/>
      <c r="X1761" s="25"/>
      <c r="Y1761" s="25"/>
      <c r="Z1761" s="25"/>
      <c r="AA1761" s="25"/>
    </row>
    <row r="1762" spans="20:27" x14ac:dyDescent="0.35">
      <c r="T1762" s="97"/>
      <c r="U1762" s="97"/>
      <c r="V1762" s="25"/>
      <c r="W1762" s="25"/>
      <c r="X1762" s="25"/>
      <c r="Y1762" s="25"/>
      <c r="Z1762" s="25"/>
      <c r="AA1762" s="25"/>
    </row>
    <row r="1763" spans="20:27" x14ac:dyDescent="0.35">
      <c r="T1763" s="97"/>
      <c r="U1763" s="97"/>
      <c r="V1763" s="25"/>
      <c r="W1763" s="25"/>
      <c r="X1763" s="25"/>
      <c r="Y1763" s="25"/>
      <c r="Z1763" s="25"/>
      <c r="AA1763" s="25"/>
    </row>
    <row r="1764" spans="20:27" x14ac:dyDescent="0.35">
      <c r="T1764" s="97"/>
      <c r="U1764" s="97"/>
      <c r="V1764" s="25"/>
      <c r="W1764" s="25"/>
      <c r="X1764" s="25"/>
      <c r="Y1764" s="25"/>
      <c r="Z1764" s="25"/>
      <c r="AA1764" s="25"/>
    </row>
    <row r="1765" spans="20:27" x14ac:dyDescent="0.35">
      <c r="T1765" s="97"/>
      <c r="U1765" s="97"/>
      <c r="V1765" s="25"/>
      <c r="W1765" s="25"/>
      <c r="X1765" s="25"/>
      <c r="Y1765" s="25"/>
      <c r="Z1765" s="25"/>
      <c r="AA1765" s="25"/>
    </row>
    <row r="1766" spans="20:27" x14ac:dyDescent="0.35">
      <c r="T1766" s="97"/>
      <c r="U1766" s="97"/>
      <c r="V1766" s="25"/>
      <c r="W1766" s="25"/>
      <c r="X1766" s="25"/>
      <c r="Y1766" s="25"/>
      <c r="Z1766" s="25"/>
      <c r="AA1766" s="25"/>
    </row>
    <row r="1767" spans="20:27" x14ac:dyDescent="0.35">
      <c r="T1767" s="97"/>
      <c r="U1767" s="97"/>
      <c r="V1767" s="25"/>
      <c r="W1767" s="25"/>
      <c r="X1767" s="25"/>
      <c r="Y1767" s="25"/>
      <c r="Z1767" s="25"/>
      <c r="AA1767" s="25"/>
    </row>
    <row r="1768" spans="20:27" x14ac:dyDescent="0.35">
      <c r="T1768" s="97"/>
      <c r="U1768" s="97"/>
      <c r="V1768" s="25"/>
      <c r="W1768" s="25"/>
      <c r="X1768" s="25"/>
      <c r="Y1768" s="25"/>
      <c r="Z1768" s="25"/>
      <c r="AA1768" s="25"/>
    </row>
    <row r="1769" spans="20:27" x14ac:dyDescent="0.35">
      <c r="T1769" s="97"/>
      <c r="U1769" s="97"/>
      <c r="V1769" s="25"/>
      <c r="W1769" s="25"/>
      <c r="X1769" s="25"/>
      <c r="Y1769" s="25"/>
      <c r="Z1769" s="25"/>
      <c r="AA1769" s="25"/>
    </row>
    <row r="1770" spans="20:27" x14ac:dyDescent="0.35">
      <c r="T1770" s="97"/>
      <c r="U1770" s="97"/>
      <c r="V1770" s="25"/>
      <c r="W1770" s="25"/>
      <c r="X1770" s="25"/>
      <c r="Y1770" s="25"/>
      <c r="Z1770" s="25"/>
      <c r="AA1770" s="25"/>
    </row>
    <row r="1771" spans="20:27" x14ac:dyDescent="0.35">
      <c r="T1771" s="97"/>
      <c r="U1771" s="97"/>
      <c r="V1771" s="25"/>
      <c r="W1771" s="25"/>
      <c r="X1771" s="25"/>
      <c r="Y1771" s="25"/>
      <c r="Z1771" s="25"/>
      <c r="AA1771" s="25"/>
    </row>
    <row r="1772" spans="20:27" x14ac:dyDescent="0.35">
      <c r="T1772" s="97"/>
      <c r="U1772" s="97"/>
      <c r="V1772" s="25"/>
      <c r="W1772" s="25"/>
      <c r="X1772" s="25"/>
      <c r="Y1772" s="25"/>
      <c r="Z1772" s="25"/>
      <c r="AA1772" s="25"/>
    </row>
    <row r="1773" spans="20:27" x14ac:dyDescent="0.35">
      <c r="T1773" s="97"/>
      <c r="U1773" s="97"/>
      <c r="V1773" s="25"/>
      <c r="W1773" s="25"/>
      <c r="X1773" s="25"/>
      <c r="Y1773" s="25"/>
      <c r="Z1773" s="25"/>
      <c r="AA1773" s="25"/>
    </row>
    <row r="1774" spans="20:27" x14ac:dyDescent="0.35">
      <c r="T1774" s="97"/>
      <c r="U1774" s="97"/>
      <c r="V1774" s="25"/>
      <c r="W1774" s="25"/>
      <c r="X1774" s="25"/>
      <c r="Y1774" s="25"/>
      <c r="Z1774" s="25"/>
      <c r="AA1774" s="25"/>
    </row>
    <row r="1775" spans="20:27" x14ac:dyDescent="0.35">
      <c r="T1775" s="97"/>
      <c r="U1775" s="97"/>
      <c r="V1775" s="25"/>
      <c r="W1775" s="25"/>
      <c r="X1775" s="25"/>
      <c r="Y1775" s="25"/>
      <c r="Z1775" s="25"/>
      <c r="AA1775" s="25"/>
    </row>
    <row r="1776" spans="20:27" x14ac:dyDescent="0.35">
      <c r="T1776" s="97"/>
      <c r="U1776" s="97"/>
      <c r="V1776" s="25"/>
      <c r="W1776" s="25"/>
      <c r="X1776" s="25"/>
      <c r="Y1776" s="25"/>
      <c r="Z1776" s="25"/>
      <c r="AA1776" s="25"/>
    </row>
    <row r="1777" spans="20:27" x14ac:dyDescent="0.35">
      <c r="T1777" s="97"/>
      <c r="U1777" s="97"/>
      <c r="V1777" s="25"/>
      <c r="W1777" s="25"/>
      <c r="X1777" s="25"/>
      <c r="Y1777" s="25"/>
      <c r="Z1777" s="25"/>
      <c r="AA1777" s="25"/>
    </row>
    <row r="1778" spans="20:27" x14ac:dyDescent="0.35">
      <c r="T1778" s="97"/>
      <c r="U1778" s="97"/>
      <c r="V1778" s="25"/>
      <c r="W1778" s="25"/>
      <c r="X1778" s="25"/>
      <c r="Y1778" s="25"/>
      <c r="Z1778" s="25"/>
      <c r="AA1778" s="25"/>
    </row>
    <row r="1779" spans="20:27" x14ac:dyDescent="0.35">
      <c r="T1779" s="97"/>
      <c r="U1779" s="97"/>
      <c r="V1779" s="25"/>
      <c r="W1779" s="25"/>
      <c r="X1779" s="25"/>
      <c r="Y1779" s="25"/>
      <c r="Z1779" s="25"/>
      <c r="AA1779" s="25"/>
    </row>
    <row r="1780" spans="20:27" x14ac:dyDescent="0.35">
      <c r="T1780" s="97"/>
      <c r="U1780" s="97"/>
      <c r="V1780" s="25"/>
      <c r="W1780" s="25"/>
      <c r="X1780" s="25"/>
      <c r="Y1780" s="25"/>
      <c r="Z1780" s="25"/>
      <c r="AA1780" s="25"/>
    </row>
    <row r="1781" spans="20:27" x14ac:dyDescent="0.35">
      <c r="T1781" s="97"/>
      <c r="U1781" s="97"/>
      <c r="V1781" s="25"/>
      <c r="W1781" s="25"/>
      <c r="X1781" s="25"/>
      <c r="Y1781" s="25"/>
      <c r="Z1781" s="25"/>
      <c r="AA1781" s="25"/>
    </row>
    <row r="1782" spans="20:27" x14ac:dyDescent="0.35">
      <c r="T1782" s="97"/>
      <c r="U1782" s="97"/>
      <c r="V1782" s="25"/>
      <c r="W1782" s="25"/>
      <c r="X1782" s="25"/>
      <c r="Y1782" s="25"/>
      <c r="Z1782" s="25"/>
      <c r="AA1782" s="25"/>
    </row>
    <row r="1783" spans="20:27" x14ac:dyDescent="0.35">
      <c r="T1783" s="97"/>
      <c r="U1783" s="97"/>
      <c r="V1783" s="25"/>
      <c r="W1783" s="25"/>
      <c r="X1783" s="25"/>
      <c r="Y1783" s="25"/>
      <c r="Z1783" s="25"/>
      <c r="AA1783" s="25"/>
    </row>
    <row r="1784" spans="20:27" x14ac:dyDescent="0.35">
      <c r="T1784" s="97"/>
      <c r="U1784" s="97"/>
      <c r="V1784" s="25"/>
      <c r="W1784" s="25"/>
      <c r="X1784" s="25"/>
      <c r="Y1784" s="25"/>
      <c r="Z1784" s="25"/>
      <c r="AA1784" s="25"/>
    </row>
    <row r="1785" spans="20:27" x14ac:dyDescent="0.35">
      <c r="T1785" s="97"/>
      <c r="U1785" s="97"/>
      <c r="V1785" s="25"/>
      <c r="W1785" s="25"/>
      <c r="X1785" s="25"/>
      <c r="Y1785" s="25"/>
      <c r="Z1785" s="25"/>
      <c r="AA1785" s="25"/>
    </row>
    <row r="1786" spans="20:27" x14ac:dyDescent="0.35">
      <c r="T1786" s="97"/>
      <c r="U1786" s="97"/>
      <c r="V1786" s="25"/>
      <c r="W1786" s="25"/>
      <c r="X1786" s="25"/>
      <c r="Y1786" s="25"/>
      <c r="Z1786" s="25"/>
      <c r="AA1786" s="25"/>
    </row>
    <row r="1787" spans="20:27" x14ac:dyDescent="0.35">
      <c r="T1787" s="97"/>
      <c r="U1787" s="97"/>
      <c r="V1787" s="25"/>
      <c r="W1787" s="25"/>
      <c r="X1787" s="25"/>
      <c r="Y1787" s="25"/>
      <c r="Z1787" s="25"/>
      <c r="AA1787" s="25"/>
    </row>
    <row r="1788" spans="20:27" x14ac:dyDescent="0.35">
      <c r="T1788" s="97"/>
      <c r="U1788" s="97"/>
      <c r="V1788" s="25"/>
      <c r="W1788" s="25"/>
      <c r="X1788" s="25"/>
      <c r="Y1788" s="25"/>
      <c r="Z1788" s="25"/>
      <c r="AA1788" s="25"/>
    </row>
    <row r="1789" spans="20:27" x14ac:dyDescent="0.35">
      <c r="T1789" s="97"/>
      <c r="U1789" s="97"/>
      <c r="V1789" s="25"/>
      <c r="W1789" s="25"/>
      <c r="X1789" s="25"/>
      <c r="Y1789" s="25"/>
      <c r="Z1789" s="25"/>
      <c r="AA1789" s="25"/>
    </row>
    <row r="1790" spans="20:27" x14ac:dyDescent="0.35">
      <c r="T1790" s="97"/>
      <c r="U1790" s="97"/>
      <c r="V1790" s="25"/>
      <c r="W1790" s="25"/>
      <c r="X1790" s="25"/>
      <c r="Y1790" s="25"/>
      <c r="Z1790" s="25"/>
      <c r="AA1790" s="25"/>
    </row>
    <row r="1791" spans="20:27" x14ac:dyDescent="0.35">
      <c r="T1791" s="97"/>
      <c r="U1791" s="97"/>
      <c r="V1791" s="25"/>
      <c r="W1791" s="25"/>
      <c r="X1791" s="25"/>
      <c r="Y1791" s="25"/>
      <c r="Z1791" s="25"/>
      <c r="AA1791" s="25"/>
    </row>
    <row r="1792" spans="20:27" x14ac:dyDescent="0.35">
      <c r="T1792" s="97"/>
      <c r="U1792" s="97"/>
      <c r="V1792" s="25"/>
      <c r="W1792" s="25"/>
      <c r="X1792" s="25"/>
      <c r="Y1792" s="25"/>
      <c r="Z1792" s="25"/>
      <c r="AA1792" s="25"/>
    </row>
    <row r="1793" spans="20:27" x14ac:dyDescent="0.35">
      <c r="T1793" s="97"/>
      <c r="U1793" s="97"/>
      <c r="V1793" s="25"/>
      <c r="W1793" s="25"/>
      <c r="X1793" s="25"/>
      <c r="Y1793" s="25"/>
      <c r="Z1793" s="25"/>
      <c r="AA1793" s="25"/>
    </row>
    <row r="1794" spans="20:27" x14ac:dyDescent="0.35">
      <c r="T1794" s="97"/>
      <c r="U1794" s="97"/>
      <c r="V1794" s="25"/>
      <c r="W1794" s="25"/>
      <c r="X1794" s="25"/>
      <c r="Y1794" s="25"/>
      <c r="Z1794" s="25"/>
      <c r="AA1794" s="25"/>
    </row>
    <row r="1795" spans="20:27" x14ac:dyDescent="0.35">
      <c r="T1795" s="97"/>
      <c r="U1795" s="97"/>
      <c r="V1795" s="25"/>
      <c r="W1795" s="25"/>
      <c r="X1795" s="25"/>
      <c r="Y1795" s="25"/>
      <c r="Z1795" s="25"/>
      <c r="AA1795" s="25"/>
    </row>
    <row r="1796" spans="20:27" x14ac:dyDescent="0.35">
      <c r="T1796" s="97"/>
      <c r="U1796" s="97"/>
      <c r="V1796" s="25"/>
      <c r="W1796" s="25"/>
      <c r="X1796" s="25"/>
      <c r="Y1796" s="25"/>
      <c r="Z1796" s="25"/>
      <c r="AA1796" s="25"/>
    </row>
    <row r="1797" spans="20:27" x14ac:dyDescent="0.35">
      <c r="T1797" s="97"/>
      <c r="U1797" s="97"/>
      <c r="V1797" s="25"/>
      <c r="W1797" s="25"/>
      <c r="X1797" s="25"/>
      <c r="Y1797" s="25"/>
      <c r="Z1797" s="25"/>
      <c r="AA1797" s="25"/>
    </row>
    <row r="1798" spans="20:27" x14ac:dyDescent="0.35">
      <c r="T1798" s="97"/>
      <c r="U1798" s="97"/>
      <c r="V1798" s="25"/>
      <c r="W1798" s="25"/>
      <c r="X1798" s="25"/>
      <c r="Y1798" s="25"/>
      <c r="Z1798" s="25"/>
      <c r="AA1798" s="25"/>
    </row>
    <row r="1799" spans="20:27" x14ac:dyDescent="0.35">
      <c r="T1799" s="97"/>
      <c r="U1799" s="97"/>
      <c r="V1799" s="25"/>
      <c r="W1799" s="25"/>
      <c r="X1799" s="25"/>
      <c r="Y1799" s="25"/>
      <c r="Z1799" s="25"/>
      <c r="AA1799" s="25"/>
    </row>
    <row r="1800" spans="20:27" x14ac:dyDescent="0.35">
      <c r="T1800" s="97"/>
      <c r="U1800" s="97"/>
      <c r="V1800" s="25"/>
      <c r="W1800" s="25"/>
      <c r="X1800" s="25"/>
      <c r="Y1800" s="25"/>
      <c r="Z1800" s="25"/>
      <c r="AA1800" s="25"/>
    </row>
    <row r="1801" spans="20:27" x14ac:dyDescent="0.35">
      <c r="T1801" s="97"/>
      <c r="U1801" s="97"/>
      <c r="V1801" s="25"/>
      <c r="W1801" s="25"/>
      <c r="X1801" s="25"/>
      <c r="Y1801" s="25"/>
      <c r="Z1801" s="25"/>
      <c r="AA1801" s="25"/>
    </row>
    <row r="1802" spans="20:27" x14ac:dyDescent="0.35">
      <c r="T1802" s="97"/>
      <c r="U1802" s="97"/>
      <c r="V1802" s="25"/>
      <c r="W1802" s="25"/>
      <c r="X1802" s="25"/>
      <c r="Y1802" s="25"/>
      <c r="Z1802" s="25"/>
      <c r="AA1802" s="25"/>
    </row>
    <row r="1803" spans="20:27" x14ac:dyDescent="0.35">
      <c r="T1803" s="97"/>
      <c r="U1803" s="97"/>
      <c r="V1803" s="25"/>
      <c r="W1803" s="25"/>
      <c r="X1803" s="25"/>
      <c r="Y1803" s="25"/>
      <c r="Z1803" s="25"/>
      <c r="AA1803" s="25"/>
    </row>
    <row r="1804" spans="20:27" x14ac:dyDescent="0.35">
      <c r="T1804" s="97"/>
      <c r="U1804" s="97"/>
      <c r="V1804" s="25"/>
      <c r="W1804" s="25"/>
      <c r="X1804" s="25"/>
      <c r="Y1804" s="25"/>
      <c r="Z1804" s="25"/>
      <c r="AA1804" s="25"/>
    </row>
    <row r="1805" spans="20:27" x14ac:dyDescent="0.35">
      <c r="T1805" s="97"/>
      <c r="U1805" s="97"/>
      <c r="V1805" s="25"/>
      <c r="W1805" s="25"/>
      <c r="X1805" s="25"/>
      <c r="Y1805" s="25"/>
      <c r="Z1805" s="25"/>
      <c r="AA1805" s="25"/>
    </row>
    <row r="1806" spans="20:27" x14ac:dyDescent="0.35">
      <c r="T1806" s="97"/>
      <c r="U1806" s="97"/>
      <c r="V1806" s="25"/>
      <c r="W1806" s="25"/>
      <c r="X1806" s="25"/>
      <c r="Y1806" s="25"/>
      <c r="Z1806" s="25"/>
      <c r="AA1806" s="25"/>
    </row>
    <row r="1807" spans="20:27" x14ac:dyDescent="0.35">
      <c r="T1807" s="97"/>
      <c r="U1807" s="97"/>
      <c r="V1807" s="25"/>
      <c r="W1807" s="25"/>
      <c r="X1807" s="25"/>
      <c r="Y1807" s="25"/>
      <c r="Z1807" s="25"/>
      <c r="AA1807" s="25"/>
    </row>
    <row r="1808" spans="20:27" x14ac:dyDescent="0.35">
      <c r="T1808" s="97"/>
      <c r="U1808" s="97"/>
      <c r="V1808" s="25"/>
      <c r="W1808" s="25"/>
      <c r="X1808" s="25"/>
      <c r="Y1808" s="25"/>
      <c r="Z1808" s="25"/>
      <c r="AA1808" s="25"/>
    </row>
    <row r="1809" spans="20:27" x14ac:dyDescent="0.35">
      <c r="T1809" s="97"/>
      <c r="U1809" s="97"/>
      <c r="V1809" s="25"/>
      <c r="W1809" s="25"/>
      <c r="X1809" s="25"/>
      <c r="Y1809" s="25"/>
      <c r="Z1809" s="25"/>
      <c r="AA1809" s="25"/>
    </row>
    <row r="1810" spans="20:27" x14ac:dyDescent="0.35">
      <c r="T1810" s="97"/>
      <c r="U1810" s="97"/>
      <c r="V1810" s="25"/>
      <c r="W1810" s="25"/>
      <c r="X1810" s="25"/>
      <c r="Y1810" s="25"/>
      <c r="Z1810" s="25"/>
      <c r="AA1810" s="25"/>
    </row>
    <row r="1811" spans="20:27" x14ac:dyDescent="0.35">
      <c r="T1811" s="97"/>
      <c r="U1811" s="97"/>
      <c r="V1811" s="25"/>
      <c r="W1811" s="25"/>
      <c r="X1811" s="25"/>
      <c r="Y1811" s="25"/>
      <c r="Z1811" s="25"/>
      <c r="AA1811" s="25"/>
    </row>
    <row r="1812" spans="20:27" x14ac:dyDescent="0.35">
      <c r="T1812" s="97"/>
      <c r="U1812" s="97"/>
      <c r="V1812" s="25"/>
      <c r="W1812" s="25"/>
      <c r="X1812" s="25"/>
      <c r="Y1812" s="25"/>
      <c r="Z1812" s="25"/>
      <c r="AA1812" s="25"/>
    </row>
    <row r="1813" spans="20:27" x14ac:dyDescent="0.35">
      <c r="T1813" s="97"/>
      <c r="U1813" s="97"/>
      <c r="V1813" s="25"/>
      <c r="W1813" s="25"/>
      <c r="X1813" s="25"/>
      <c r="Y1813" s="25"/>
      <c r="Z1813" s="25"/>
      <c r="AA1813" s="25"/>
    </row>
    <row r="1814" spans="20:27" x14ac:dyDescent="0.35">
      <c r="T1814" s="97"/>
      <c r="U1814" s="97"/>
      <c r="V1814" s="25"/>
      <c r="W1814" s="25"/>
      <c r="X1814" s="25"/>
      <c r="Y1814" s="25"/>
      <c r="Z1814" s="25"/>
      <c r="AA1814" s="25"/>
    </row>
    <row r="1815" spans="20:27" x14ac:dyDescent="0.35">
      <c r="T1815" s="97"/>
      <c r="U1815" s="97"/>
      <c r="V1815" s="25"/>
      <c r="W1815" s="25"/>
      <c r="X1815" s="25"/>
      <c r="Y1815" s="25"/>
      <c r="Z1815" s="25"/>
      <c r="AA1815" s="25"/>
    </row>
    <row r="1816" spans="20:27" x14ac:dyDescent="0.35">
      <c r="T1816" s="97"/>
      <c r="U1816" s="97"/>
      <c r="V1816" s="25"/>
      <c r="W1816" s="25"/>
      <c r="X1816" s="25"/>
      <c r="Y1816" s="25"/>
      <c r="Z1816" s="25"/>
      <c r="AA1816" s="25"/>
    </row>
    <row r="1817" spans="20:27" x14ac:dyDescent="0.35">
      <c r="T1817" s="97"/>
      <c r="U1817" s="97"/>
      <c r="V1817" s="25"/>
      <c r="W1817" s="25"/>
      <c r="X1817" s="25"/>
      <c r="Y1817" s="25"/>
      <c r="Z1817" s="25"/>
      <c r="AA1817" s="25"/>
    </row>
    <row r="1818" spans="20:27" x14ac:dyDescent="0.35">
      <c r="T1818" s="97"/>
      <c r="U1818" s="97"/>
      <c r="V1818" s="25"/>
      <c r="W1818" s="25"/>
      <c r="X1818" s="25"/>
      <c r="Y1818" s="25"/>
      <c r="Z1818" s="25"/>
      <c r="AA1818" s="25"/>
    </row>
    <row r="1819" spans="20:27" x14ac:dyDescent="0.35">
      <c r="T1819" s="97"/>
      <c r="U1819" s="97"/>
      <c r="V1819" s="25"/>
      <c r="W1819" s="25"/>
      <c r="X1819" s="25"/>
      <c r="Y1819" s="25"/>
      <c r="Z1819" s="25"/>
      <c r="AA1819" s="25"/>
    </row>
    <row r="1820" spans="20:27" x14ac:dyDescent="0.35">
      <c r="T1820" s="97"/>
      <c r="U1820" s="97"/>
      <c r="V1820" s="25"/>
      <c r="W1820" s="25"/>
      <c r="X1820" s="25"/>
      <c r="Y1820" s="25"/>
      <c r="Z1820" s="25"/>
      <c r="AA1820" s="25"/>
    </row>
    <row r="1821" spans="20:27" x14ac:dyDescent="0.35">
      <c r="T1821" s="97"/>
      <c r="U1821" s="97"/>
      <c r="V1821" s="25"/>
      <c r="W1821" s="25"/>
      <c r="X1821" s="25"/>
      <c r="Y1821" s="25"/>
      <c r="Z1821" s="25"/>
      <c r="AA1821" s="25"/>
    </row>
    <row r="1822" spans="20:27" x14ac:dyDescent="0.35">
      <c r="T1822" s="97"/>
      <c r="U1822" s="97"/>
      <c r="V1822" s="25"/>
      <c r="W1822" s="25"/>
      <c r="X1822" s="25"/>
      <c r="Y1822" s="25"/>
      <c r="Z1822" s="25"/>
      <c r="AA1822" s="25"/>
    </row>
    <row r="1823" spans="20:27" x14ac:dyDescent="0.35">
      <c r="T1823" s="97"/>
      <c r="U1823" s="97"/>
      <c r="V1823" s="25"/>
      <c r="W1823" s="25"/>
      <c r="X1823" s="25"/>
      <c r="Y1823" s="25"/>
      <c r="Z1823" s="25"/>
      <c r="AA1823" s="25"/>
    </row>
    <row r="1824" spans="20:27" x14ac:dyDescent="0.35">
      <c r="T1824" s="97"/>
      <c r="U1824" s="97"/>
      <c r="V1824" s="25"/>
      <c r="W1824" s="25"/>
      <c r="X1824" s="25"/>
      <c r="Y1824" s="25"/>
      <c r="Z1824" s="25"/>
      <c r="AA1824" s="25"/>
    </row>
    <row r="1825" spans="20:27" x14ac:dyDescent="0.35">
      <c r="T1825" s="97"/>
      <c r="U1825" s="97"/>
      <c r="V1825" s="25"/>
      <c r="W1825" s="25"/>
      <c r="X1825" s="25"/>
      <c r="Y1825" s="25"/>
      <c r="Z1825" s="25"/>
      <c r="AA1825" s="25"/>
    </row>
    <row r="1826" spans="20:27" x14ac:dyDescent="0.35">
      <c r="T1826" s="97"/>
      <c r="U1826" s="97"/>
      <c r="V1826" s="25"/>
      <c r="W1826" s="25"/>
      <c r="X1826" s="25"/>
      <c r="Y1826" s="25"/>
      <c r="Z1826" s="25"/>
      <c r="AA1826" s="25"/>
    </row>
    <row r="1827" spans="20:27" x14ac:dyDescent="0.35">
      <c r="T1827" s="97"/>
      <c r="U1827" s="97"/>
      <c r="V1827" s="25"/>
      <c r="W1827" s="25"/>
      <c r="X1827" s="25"/>
      <c r="Y1827" s="25"/>
      <c r="Z1827" s="25"/>
      <c r="AA1827" s="25"/>
    </row>
    <row r="1828" spans="20:27" x14ac:dyDescent="0.35">
      <c r="T1828" s="97"/>
      <c r="U1828" s="97"/>
      <c r="V1828" s="25"/>
      <c r="W1828" s="25"/>
      <c r="X1828" s="25"/>
      <c r="Y1828" s="25"/>
      <c r="Z1828" s="25"/>
      <c r="AA1828" s="25"/>
    </row>
    <row r="1829" spans="20:27" x14ac:dyDescent="0.35">
      <c r="T1829" s="97"/>
      <c r="U1829" s="97"/>
      <c r="V1829" s="25"/>
      <c r="W1829" s="25"/>
      <c r="X1829" s="25"/>
      <c r="Y1829" s="25"/>
      <c r="Z1829" s="25"/>
      <c r="AA1829" s="25"/>
    </row>
    <row r="1830" spans="20:27" x14ac:dyDescent="0.35">
      <c r="T1830" s="97"/>
      <c r="U1830" s="97"/>
      <c r="V1830" s="25"/>
      <c r="W1830" s="25"/>
      <c r="X1830" s="25"/>
      <c r="Y1830" s="25"/>
      <c r="Z1830" s="25"/>
      <c r="AA1830" s="25"/>
    </row>
    <row r="1831" spans="20:27" x14ac:dyDescent="0.35">
      <c r="T1831" s="97"/>
      <c r="U1831" s="97"/>
      <c r="V1831" s="25"/>
      <c r="W1831" s="25"/>
      <c r="X1831" s="25"/>
      <c r="Y1831" s="25"/>
      <c r="Z1831" s="25"/>
      <c r="AA1831" s="25"/>
    </row>
    <row r="1832" spans="20:27" x14ac:dyDescent="0.35">
      <c r="T1832" s="97"/>
      <c r="U1832" s="97"/>
      <c r="V1832" s="25"/>
      <c r="W1832" s="25"/>
      <c r="X1832" s="25"/>
      <c r="Y1832" s="25"/>
      <c r="Z1832" s="25"/>
      <c r="AA1832" s="25"/>
    </row>
    <row r="1833" spans="20:27" x14ac:dyDescent="0.35">
      <c r="T1833" s="97"/>
      <c r="U1833" s="97"/>
      <c r="V1833" s="25"/>
      <c r="W1833" s="25"/>
      <c r="X1833" s="25"/>
      <c r="Y1833" s="25"/>
      <c r="Z1833" s="25"/>
      <c r="AA1833" s="25"/>
    </row>
    <row r="1834" spans="20:27" x14ac:dyDescent="0.35">
      <c r="T1834" s="97"/>
      <c r="U1834" s="97"/>
      <c r="V1834" s="25"/>
      <c r="W1834" s="25"/>
      <c r="X1834" s="25"/>
      <c r="Y1834" s="25"/>
      <c r="Z1834" s="25"/>
      <c r="AA1834" s="25"/>
    </row>
    <row r="1835" spans="20:27" x14ac:dyDescent="0.35">
      <c r="T1835" s="97"/>
      <c r="U1835" s="97"/>
      <c r="V1835" s="25"/>
      <c r="W1835" s="25"/>
      <c r="X1835" s="25"/>
      <c r="Y1835" s="25"/>
      <c r="Z1835" s="25"/>
      <c r="AA1835" s="25"/>
    </row>
    <row r="1836" spans="20:27" x14ac:dyDescent="0.35">
      <c r="T1836" s="97"/>
      <c r="U1836" s="97"/>
      <c r="V1836" s="25"/>
      <c r="W1836" s="25"/>
      <c r="X1836" s="25"/>
      <c r="Y1836" s="25"/>
      <c r="Z1836" s="25"/>
      <c r="AA1836" s="25"/>
    </row>
    <row r="1837" spans="20:27" x14ac:dyDescent="0.35">
      <c r="T1837" s="97"/>
      <c r="U1837" s="97"/>
      <c r="V1837" s="25"/>
      <c r="W1837" s="25"/>
      <c r="X1837" s="25"/>
      <c r="Y1837" s="25"/>
      <c r="Z1837" s="25"/>
      <c r="AA1837" s="25"/>
    </row>
    <row r="1838" spans="20:27" x14ac:dyDescent="0.35">
      <c r="T1838" s="97"/>
      <c r="U1838" s="97"/>
      <c r="V1838" s="25"/>
      <c r="W1838" s="25"/>
      <c r="X1838" s="25"/>
      <c r="Y1838" s="25"/>
      <c r="Z1838" s="25"/>
      <c r="AA1838" s="25"/>
    </row>
    <row r="1839" spans="20:27" x14ac:dyDescent="0.35">
      <c r="T1839" s="97"/>
      <c r="U1839" s="97"/>
      <c r="V1839" s="25"/>
      <c r="W1839" s="25"/>
      <c r="X1839" s="25"/>
      <c r="Y1839" s="25"/>
      <c r="Z1839" s="25"/>
      <c r="AA1839" s="25"/>
    </row>
    <row r="1840" spans="20:27" x14ac:dyDescent="0.35">
      <c r="T1840" s="97"/>
      <c r="U1840" s="97"/>
      <c r="V1840" s="25"/>
      <c r="W1840" s="25"/>
      <c r="X1840" s="25"/>
      <c r="Y1840" s="25"/>
      <c r="Z1840" s="25"/>
      <c r="AA1840" s="25"/>
    </row>
    <row r="1841" spans="20:27" x14ac:dyDescent="0.35">
      <c r="T1841" s="97"/>
      <c r="U1841" s="97"/>
      <c r="V1841" s="25"/>
      <c r="W1841" s="25"/>
      <c r="X1841" s="25"/>
      <c r="Y1841" s="25"/>
      <c r="Z1841" s="25"/>
      <c r="AA1841" s="25"/>
    </row>
    <row r="1842" spans="20:27" x14ac:dyDescent="0.35">
      <c r="T1842" s="97"/>
      <c r="U1842" s="97"/>
      <c r="V1842" s="25"/>
      <c r="W1842" s="25"/>
      <c r="X1842" s="25"/>
      <c r="Y1842" s="25"/>
      <c r="Z1842" s="25"/>
      <c r="AA1842" s="25"/>
    </row>
    <row r="1843" spans="20:27" x14ac:dyDescent="0.35">
      <c r="T1843" s="97"/>
      <c r="U1843" s="97"/>
      <c r="V1843" s="25"/>
      <c r="W1843" s="25"/>
      <c r="X1843" s="25"/>
      <c r="Y1843" s="25"/>
      <c r="Z1843" s="25"/>
      <c r="AA1843" s="25"/>
    </row>
    <row r="1844" spans="20:27" x14ac:dyDescent="0.35">
      <c r="T1844" s="97"/>
      <c r="U1844" s="97"/>
      <c r="V1844" s="25"/>
      <c r="W1844" s="25"/>
      <c r="X1844" s="25"/>
      <c r="Y1844" s="25"/>
      <c r="Z1844" s="25"/>
      <c r="AA1844" s="25"/>
    </row>
    <row r="1845" spans="20:27" x14ac:dyDescent="0.35">
      <c r="T1845" s="97"/>
      <c r="U1845" s="97"/>
      <c r="V1845" s="25"/>
      <c r="W1845" s="25"/>
      <c r="X1845" s="25"/>
      <c r="Y1845" s="25"/>
      <c r="Z1845" s="25"/>
      <c r="AA1845" s="25"/>
    </row>
    <row r="1846" spans="20:27" x14ac:dyDescent="0.35">
      <c r="T1846" s="97"/>
      <c r="U1846" s="97"/>
      <c r="V1846" s="25"/>
      <c r="W1846" s="25"/>
      <c r="X1846" s="25"/>
      <c r="Y1846" s="25"/>
      <c r="Z1846" s="25"/>
      <c r="AA1846" s="25"/>
    </row>
    <row r="1847" spans="20:27" x14ac:dyDescent="0.35">
      <c r="T1847" s="97"/>
      <c r="U1847" s="97"/>
      <c r="V1847" s="25"/>
      <c r="W1847" s="25"/>
      <c r="X1847" s="25"/>
      <c r="Y1847" s="25"/>
      <c r="Z1847" s="25"/>
      <c r="AA1847" s="25"/>
    </row>
    <row r="1848" spans="20:27" x14ac:dyDescent="0.35">
      <c r="T1848" s="97"/>
      <c r="U1848" s="97"/>
      <c r="V1848" s="25"/>
      <c r="W1848" s="25"/>
      <c r="X1848" s="25"/>
      <c r="Y1848" s="25"/>
      <c r="Z1848" s="25"/>
      <c r="AA1848" s="25"/>
    </row>
    <row r="1849" spans="20:27" x14ac:dyDescent="0.35">
      <c r="T1849" s="97"/>
      <c r="U1849" s="97"/>
      <c r="V1849" s="25"/>
      <c r="W1849" s="25"/>
      <c r="X1849" s="25"/>
      <c r="Y1849" s="25"/>
      <c r="Z1849" s="25"/>
      <c r="AA1849" s="25"/>
    </row>
    <row r="1850" spans="20:27" x14ac:dyDescent="0.35">
      <c r="T1850" s="97"/>
      <c r="U1850" s="97"/>
      <c r="V1850" s="25"/>
      <c r="W1850" s="25"/>
      <c r="X1850" s="25"/>
      <c r="Y1850" s="25"/>
      <c r="Z1850" s="25"/>
      <c r="AA1850" s="25"/>
    </row>
    <row r="1851" spans="20:27" x14ac:dyDescent="0.35">
      <c r="T1851" s="97"/>
      <c r="U1851" s="97"/>
      <c r="V1851" s="25"/>
      <c r="W1851" s="25"/>
      <c r="X1851" s="25"/>
      <c r="Y1851" s="25"/>
      <c r="Z1851" s="25"/>
      <c r="AA1851" s="25"/>
    </row>
    <row r="1852" spans="20:27" x14ac:dyDescent="0.35">
      <c r="T1852" s="97"/>
      <c r="U1852" s="97"/>
      <c r="V1852" s="25"/>
      <c r="W1852" s="25"/>
      <c r="X1852" s="25"/>
      <c r="Y1852" s="25"/>
      <c r="Z1852" s="25"/>
      <c r="AA1852" s="25"/>
    </row>
    <row r="1853" spans="20:27" x14ac:dyDescent="0.35">
      <c r="T1853" s="97"/>
      <c r="U1853" s="97"/>
      <c r="V1853" s="25"/>
      <c r="W1853" s="25"/>
      <c r="X1853" s="25"/>
      <c r="Y1853" s="25"/>
      <c r="Z1853" s="25"/>
      <c r="AA1853" s="25"/>
    </row>
    <row r="1854" spans="20:27" x14ac:dyDescent="0.35">
      <c r="T1854" s="97"/>
      <c r="U1854" s="97"/>
      <c r="V1854" s="25"/>
      <c r="W1854" s="25"/>
      <c r="X1854" s="25"/>
      <c r="Y1854" s="25"/>
      <c r="Z1854" s="25"/>
      <c r="AA1854" s="25"/>
    </row>
    <row r="1855" spans="20:27" x14ac:dyDescent="0.35">
      <c r="T1855" s="97"/>
      <c r="U1855" s="97"/>
      <c r="V1855" s="25"/>
      <c r="W1855" s="25"/>
      <c r="X1855" s="25"/>
      <c r="Y1855" s="25"/>
      <c r="Z1855" s="25"/>
      <c r="AA1855" s="25"/>
    </row>
    <row r="1856" spans="20:27" x14ac:dyDescent="0.35">
      <c r="T1856" s="97"/>
      <c r="U1856" s="97"/>
      <c r="V1856" s="25"/>
      <c r="W1856" s="25"/>
      <c r="X1856" s="25"/>
      <c r="Y1856" s="25"/>
      <c r="Z1856" s="25"/>
      <c r="AA1856" s="25"/>
    </row>
    <row r="1857" spans="20:27" x14ac:dyDescent="0.35">
      <c r="T1857" s="97"/>
      <c r="U1857" s="97"/>
      <c r="V1857" s="25"/>
      <c r="W1857" s="25"/>
      <c r="X1857" s="25"/>
      <c r="Y1857" s="25"/>
      <c r="Z1857" s="25"/>
      <c r="AA1857" s="25"/>
    </row>
    <row r="1858" spans="20:27" x14ac:dyDescent="0.35">
      <c r="T1858" s="97"/>
      <c r="U1858" s="97"/>
      <c r="V1858" s="25"/>
      <c r="W1858" s="25"/>
      <c r="X1858" s="25"/>
      <c r="Y1858" s="25"/>
      <c r="Z1858" s="25"/>
      <c r="AA1858" s="25"/>
    </row>
    <row r="1859" spans="20:27" x14ac:dyDescent="0.35">
      <c r="T1859" s="97"/>
      <c r="U1859" s="97"/>
      <c r="V1859" s="25"/>
      <c r="W1859" s="25"/>
      <c r="X1859" s="25"/>
      <c r="Y1859" s="25"/>
      <c r="Z1859" s="25"/>
      <c r="AA1859" s="25"/>
    </row>
    <row r="1860" spans="20:27" x14ac:dyDescent="0.35">
      <c r="T1860" s="97"/>
      <c r="U1860" s="97"/>
      <c r="V1860" s="25"/>
      <c r="W1860" s="25"/>
      <c r="X1860" s="25"/>
      <c r="Y1860" s="25"/>
      <c r="Z1860" s="25"/>
      <c r="AA1860" s="25"/>
    </row>
    <row r="1861" spans="20:27" x14ac:dyDescent="0.35">
      <c r="T1861" s="97"/>
      <c r="U1861" s="97"/>
      <c r="V1861" s="25"/>
      <c r="W1861" s="25"/>
      <c r="X1861" s="25"/>
      <c r="Y1861" s="25"/>
      <c r="Z1861" s="25"/>
      <c r="AA1861" s="25"/>
    </row>
    <row r="1862" spans="20:27" x14ac:dyDescent="0.35">
      <c r="T1862" s="97"/>
      <c r="U1862" s="97"/>
      <c r="V1862" s="25"/>
      <c r="W1862" s="25"/>
      <c r="X1862" s="25"/>
      <c r="Y1862" s="25"/>
      <c r="Z1862" s="25"/>
      <c r="AA1862" s="25"/>
    </row>
    <row r="1863" spans="20:27" x14ac:dyDescent="0.35">
      <c r="T1863" s="97"/>
      <c r="U1863" s="97"/>
      <c r="V1863" s="25"/>
      <c r="W1863" s="25"/>
      <c r="X1863" s="25"/>
      <c r="Y1863" s="25"/>
      <c r="Z1863" s="25"/>
      <c r="AA1863" s="25"/>
    </row>
    <row r="1864" spans="20:27" x14ac:dyDescent="0.35">
      <c r="T1864" s="97"/>
      <c r="U1864" s="97"/>
      <c r="V1864" s="25"/>
      <c r="W1864" s="25"/>
      <c r="X1864" s="25"/>
      <c r="Y1864" s="25"/>
      <c r="Z1864" s="25"/>
      <c r="AA1864" s="25"/>
    </row>
    <row r="1865" spans="20:27" x14ac:dyDescent="0.35">
      <c r="T1865" s="97"/>
      <c r="U1865" s="97"/>
      <c r="V1865" s="25"/>
      <c r="W1865" s="25"/>
      <c r="X1865" s="25"/>
      <c r="Y1865" s="25"/>
      <c r="Z1865" s="25"/>
      <c r="AA1865" s="25"/>
    </row>
    <row r="1866" spans="20:27" x14ac:dyDescent="0.35">
      <c r="T1866" s="97"/>
      <c r="U1866" s="97"/>
      <c r="V1866" s="25"/>
      <c r="W1866" s="25"/>
      <c r="X1866" s="25"/>
      <c r="Y1866" s="25"/>
      <c r="Z1866" s="25"/>
      <c r="AA1866" s="25"/>
    </row>
    <row r="1867" spans="20:27" x14ac:dyDescent="0.35">
      <c r="T1867" s="97"/>
      <c r="U1867" s="97"/>
      <c r="V1867" s="25"/>
      <c r="W1867" s="25"/>
      <c r="X1867" s="25"/>
      <c r="Y1867" s="25"/>
      <c r="Z1867" s="25"/>
      <c r="AA1867" s="25"/>
    </row>
    <row r="1868" spans="20:27" x14ac:dyDescent="0.35">
      <c r="T1868" s="97"/>
      <c r="U1868" s="97"/>
      <c r="V1868" s="25"/>
      <c r="W1868" s="25"/>
      <c r="X1868" s="25"/>
      <c r="Y1868" s="25"/>
      <c r="Z1868" s="25"/>
      <c r="AA1868" s="25"/>
    </row>
    <row r="1869" spans="20:27" x14ac:dyDescent="0.35">
      <c r="T1869" s="97"/>
      <c r="U1869" s="97"/>
      <c r="V1869" s="25"/>
      <c r="W1869" s="25"/>
      <c r="X1869" s="25"/>
      <c r="Y1869" s="25"/>
      <c r="Z1869" s="25"/>
      <c r="AA1869" s="25"/>
    </row>
    <row r="1870" spans="20:27" x14ac:dyDescent="0.35">
      <c r="T1870" s="97"/>
      <c r="U1870" s="97"/>
      <c r="V1870" s="25"/>
      <c r="W1870" s="25"/>
      <c r="X1870" s="25"/>
      <c r="Y1870" s="25"/>
      <c r="Z1870" s="25"/>
      <c r="AA1870" s="25"/>
    </row>
    <row r="1871" spans="20:27" x14ac:dyDescent="0.35">
      <c r="T1871" s="97"/>
      <c r="U1871" s="97"/>
      <c r="V1871" s="25"/>
      <c r="W1871" s="25"/>
      <c r="X1871" s="25"/>
      <c r="Y1871" s="25"/>
      <c r="Z1871" s="25"/>
      <c r="AA1871" s="25"/>
    </row>
    <row r="1872" spans="20:27" x14ac:dyDescent="0.35">
      <c r="T1872" s="97"/>
      <c r="U1872" s="97"/>
      <c r="V1872" s="25"/>
      <c r="W1872" s="25"/>
      <c r="X1872" s="25"/>
      <c r="Y1872" s="25"/>
      <c r="Z1872" s="25"/>
      <c r="AA1872" s="25"/>
    </row>
    <row r="1873" spans="20:27" x14ac:dyDescent="0.35">
      <c r="T1873" s="97"/>
      <c r="U1873" s="97"/>
      <c r="V1873" s="25"/>
      <c r="W1873" s="25"/>
      <c r="X1873" s="25"/>
      <c r="Y1873" s="25"/>
      <c r="Z1873" s="25"/>
      <c r="AA1873" s="25"/>
    </row>
    <row r="1874" spans="20:27" x14ac:dyDescent="0.35">
      <c r="T1874" s="97"/>
      <c r="U1874" s="97"/>
      <c r="V1874" s="25"/>
      <c r="W1874" s="25"/>
      <c r="X1874" s="25"/>
      <c r="Y1874" s="25"/>
      <c r="Z1874" s="25"/>
      <c r="AA1874" s="25"/>
    </row>
    <row r="1875" spans="20:27" x14ac:dyDescent="0.35">
      <c r="T1875" s="97"/>
      <c r="U1875" s="97"/>
      <c r="V1875" s="25"/>
      <c r="W1875" s="25"/>
      <c r="X1875" s="25"/>
      <c r="Y1875" s="25"/>
      <c r="Z1875" s="25"/>
      <c r="AA1875" s="25"/>
    </row>
    <row r="1876" spans="20:27" x14ac:dyDescent="0.35">
      <c r="T1876" s="97"/>
      <c r="U1876" s="97"/>
      <c r="V1876" s="25"/>
      <c r="W1876" s="25"/>
      <c r="X1876" s="25"/>
      <c r="Y1876" s="25"/>
      <c r="Z1876" s="25"/>
      <c r="AA1876" s="25"/>
    </row>
    <row r="1877" spans="20:27" x14ac:dyDescent="0.35">
      <c r="T1877" s="97"/>
      <c r="U1877" s="97"/>
      <c r="V1877" s="25"/>
      <c r="W1877" s="25"/>
      <c r="X1877" s="25"/>
      <c r="Y1877" s="25"/>
      <c r="Z1877" s="25"/>
      <c r="AA1877" s="25"/>
    </row>
    <row r="1878" spans="20:27" x14ac:dyDescent="0.35">
      <c r="T1878" s="97"/>
      <c r="U1878" s="97"/>
      <c r="V1878" s="25"/>
      <c r="W1878" s="25"/>
      <c r="X1878" s="25"/>
      <c r="Y1878" s="25"/>
      <c r="Z1878" s="25"/>
      <c r="AA1878" s="25"/>
    </row>
    <row r="1879" spans="20:27" x14ac:dyDescent="0.35">
      <c r="T1879" s="97"/>
      <c r="U1879" s="97"/>
      <c r="V1879" s="25"/>
      <c r="W1879" s="25"/>
      <c r="X1879" s="25"/>
      <c r="Y1879" s="25"/>
      <c r="Z1879" s="25"/>
      <c r="AA1879" s="25"/>
    </row>
    <row r="1880" spans="20:27" x14ac:dyDescent="0.35">
      <c r="T1880" s="97"/>
      <c r="U1880" s="97"/>
      <c r="V1880" s="25"/>
      <c r="W1880" s="25"/>
      <c r="X1880" s="25"/>
      <c r="Y1880" s="25"/>
      <c r="Z1880" s="25"/>
      <c r="AA1880" s="25"/>
    </row>
    <row r="1881" spans="20:27" x14ac:dyDescent="0.35">
      <c r="T1881" s="97"/>
      <c r="U1881" s="97"/>
      <c r="V1881" s="25"/>
      <c r="W1881" s="25"/>
      <c r="X1881" s="25"/>
      <c r="Y1881" s="25"/>
      <c r="Z1881" s="25"/>
      <c r="AA1881" s="25"/>
    </row>
    <row r="1882" spans="20:27" x14ac:dyDescent="0.35">
      <c r="T1882" s="97"/>
      <c r="U1882" s="97"/>
      <c r="V1882" s="25"/>
      <c r="W1882" s="25"/>
      <c r="X1882" s="25"/>
      <c r="Y1882" s="25"/>
      <c r="Z1882" s="25"/>
      <c r="AA1882" s="25"/>
    </row>
    <row r="1883" spans="20:27" x14ac:dyDescent="0.35">
      <c r="T1883" s="97"/>
      <c r="U1883" s="97"/>
      <c r="V1883" s="25"/>
      <c r="W1883" s="25"/>
      <c r="X1883" s="25"/>
      <c r="Y1883" s="25"/>
      <c r="Z1883" s="25"/>
      <c r="AA1883" s="25"/>
    </row>
    <row r="1884" spans="20:27" x14ac:dyDescent="0.35">
      <c r="T1884" s="97"/>
      <c r="U1884" s="97"/>
      <c r="V1884" s="25"/>
      <c r="W1884" s="25"/>
      <c r="X1884" s="25"/>
      <c r="Y1884" s="25"/>
      <c r="Z1884" s="25"/>
      <c r="AA1884" s="25"/>
    </row>
    <row r="1885" spans="20:27" x14ac:dyDescent="0.35">
      <c r="T1885" s="97"/>
      <c r="U1885" s="97"/>
      <c r="V1885" s="25"/>
      <c r="W1885" s="25"/>
      <c r="X1885" s="25"/>
      <c r="Y1885" s="25"/>
      <c r="Z1885" s="25"/>
      <c r="AA1885" s="25"/>
    </row>
    <row r="1886" spans="20:27" x14ac:dyDescent="0.35">
      <c r="T1886" s="97"/>
      <c r="U1886" s="97"/>
      <c r="V1886" s="25"/>
      <c r="W1886" s="25"/>
      <c r="X1886" s="25"/>
      <c r="Y1886" s="25"/>
      <c r="Z1886" s="25"/>
      <c r="AA1886" s="25"/>
    </row>
    <row r="1887" spans="20:27" x14ac:dyDescent="0.35">
      <c r="T1887" s="97"/>
      <c r="U1887" s="97"/>
      <c r="V1887" s="25"/>
      <c r="W1887" s="25"/>
      <c r="X1887" s="25"/>
      <c r="Y1887" s="25"/>
      <c r="Z1887" s="25"/>
      <c r="AA1887" s="25"/>
    </row>
    <row r="1888" spans="20:27" x14ac:dyDescent="0.35">
      <c r="T1888" s="97"/>
      <c r="U1888" s="97"/>
      <c r="V1888" s="25"/>
      <c r="W1888" s="25"/>
      <c r="X1888" s="25"/>
      <c r="Y1888" s="25"/>
      <c r="Z1888" s="25"/>
      <c r="AA1888" s="25"/>
    </row>
    <row r="1889" spans="20:27" x14ac:dyDescent="0.35">
      <c r="T1889" s="97"/>
      <c r="U1889" s="97"/>
      <c r="V1889" s="25"/>
      <c r="W1889" s="25"/>
      <c r="X1889" s="25"/>
      <c r="Y1889" s="25"/>
      <c r="Z1889" s="25"/>
      <c r="AA1889" s="25"/>
    </row>
    <row r="1890" spans="20:27" x14ac:dyDescent="0.35">
      <c r="T1890" s="97"/>
      <c r="U1890" s="97"/>
      <c r="V1890" s="25"/>
      <c r="W1890" s="25"/>
      <c r="X1890" s="25"/>
      <c r="Y1890" s="25"/>
      <c r="Z1890" s="25"/>
      <c r="AA1890" s="25"/>
    </row>
    <row r="1891" spans="20:27" x14ac:dyDescent="0.35">
      <c r="T1891" s="97"/>
      <c r="U1891" s="97"/>
      <c r="V1891" s="25"/>
      <c r="W1891" s="25"/>
      <c r="X1891" s="25"/>
      <c r="Y1891" s="25"/>
      <c r="Z1891" s="25"/>
      <c r="AA1891" s="25"/>
    </row>
    <row r="1892" spans="20:27" x14ac:dyDescent="0.35">
      <c r="T1892" s="97"/>
      <c r="U1892" s="97"/>
      <c r="V1892" s="25"/>
      <c r="W1892" s="25"/>
      <c r="X1892" s="25"/>
      <c r="Y1892" s="25"/>
      <c r="Z1892" s="25"/>
      <c r="AA1892" s="25"/>
    </row>
    <row r="1893" spans="20:27" x14ac:dyDescent="0.35">
      <c r="T1893" s="97"/>
      <c r="U1893" s="97"/>
      <c r="V1893" s="25"/>
      <c r="W1893" s="25"/>
      <c r="X1893" s="25"/>
      <c r="Y1893" s="25"/>
      <c r="Z1893" s="25"/>
      <c r="AA1893" s="25"/>
    </row>
    <row r="1894" spans="20:27" x14ac:dyDescent="0.35">
      <c r="T1894" s="97"/>
      <c r="U1894" s="97"/>
      <c r="V1894" s="25"/>
      <c r="W1894" s="25"/>
      <c r="X1894" s="25"/>
      <c r="Y1894" s="25"/>
      <c r="Z1894" s="25"/>
      <c r="AA1894" s="25"/>
    </row>
    <row r="1895" spans="20:27" x14ac:dyDescent="0.35">
      <c r="T1895" s="97"/>
      <c r="U1895" s="97"/>
      <c r="V1895" s="25"/>
      <c r="W1895" s="25"/>
      <c r="X1895" s="25"/>
      <c r="Y1895" s="25"/>
      <c r="Z1895" s="25"/>
      <c r="AA1895" s="25"/>
    </row>
    <row r="1896" spans="20:27" x14ac:dyDescent="0.35">
      <c r="T1896" s="97"/>
      <c r="U1896" s="97"/>
      <c r="V1896" s="25"/>
      <c r="W1896" s="25"/>
      <c r="X1896" s="25"/>
      <c r="Y1896" s="25"/>
      <c r="Z1896" s="25"/>
      <c r="AA1896" s="25"/>
    </row>
    <row r="1897" spans="20:27" x14ac:dyDescent="0.35">
      <c r="T1897" s="97"/>
      <c r="U1897" s="97"/>
      <c r="V1897" s="25"/>
      <c r="W1897" s="25"/>
      <c r="X1897" s="25"/>
      <c r="Y1897" s="25"/>
      <c r="Z1897" s="25"/>
      <c r="AA1897" s="25"/>
    </row>
    <row r="1898" spans="20:27" x14ac:dyDescent="0.35">
      <c r="T1898" s="97"/>
      <c r="U1898" s="97"/>
      <c r="V1898" s="25"/>
      <c r="W1898" s="25"/>
      <c r="X1898" s="25"/>
      <c r="Y1898" s="25"/>
      <c r="Z1898" s="25"/>
      <c r="AA1898" s="25"/>
    </row>
    <row r="1899" spans="20:27" x14ac:dyDescent="0.35">
      <c r="T1899" s="97"/>
      <c r="U1899" s="97"/>
      <c r="V1899" s="25"/>
      <c r="W1899" s="25"/>
      <c r="X1899" s="25"/>
      <c r="Y1899" s="25"/>
      <c r="Z1899" s="25"/>
      <c r="AA1899" s="25"/>
    </row>
    <row r="1900" spans="20:27" x14ac:dyDescent="0.35">
      <c r="T1900" s="97"/>
      <c r="U1900" s="97"/>
      <c r="V1900" s="25"/>
      <c r="W1900" s="25"/>
      <c r="X1900" s="25"/>
      <c r="Y1900" s="25"/>
      <c r="Z1900" s="25"/>
      <c r="AA1900" s="25"/>
    </row>
    <row r="1901" spans="20:27" x14ac:dyDescent="0.35">
      <c r="T1901" s="97"/>
      <c r="U1901" s="97"/>
      <c r="V1901" s="25"/>
      <c r="W1901" s="25"/>
      <c r="X1901" s="25"/>
      <c r="Y1901" s="25"/>
      <c r="Z1901" s="25"/>
      <c r="AA1901" s="25"/>
    </row>
    <row r="1902" spans="20:27" x14ac:dyDescent="0.35">
      <c r="T1902" s="97"/>
      <c r="U1902" s="97"/>
      <c r="V1902" s="25"/>
      <c r="W1902" s="25"/>
      <c r="X1902" s="25"/>
      <c r="Y1902" s="25"/>
      <c r="Z1902" s="25"/>
      <c r="AA1902" s="25"/>
    </row>
    <row r="1903" spans="20:27" x14ac:dyDescent="0.35">
      <c r="T1903" s="97"/>
      <c r="U1903" s="97"/>
      <c r="V1903" s="25"/>
      <c r="W1903" s="25"/>
      <c r="X1903" s="25"/>
      <c r="Y1903" s="25"/>
      <c r="Z1903" s="25"/>
      <c r="AA1903" s="25"/>
    </row>
    <row r="1904" spans="20:27" x14ac:dyDescent="0.35">
      <c r="T1904" s="97"/>
      <c r="U1904" s="97"/>
      <c r="V1904" s="25"/>
      <c r="W1904" s="25"/>
      <c r="X1904" s="25"/>
      <c r="Y1904" s="25"/>
      <c r="Z1904" s="25"/>
      <c r="AA1904" s="25"/>
    </row>
    <row r="1905" spans="20:27" x14ac:dyDescent="0.35">
      <c r="T1905" s="97"/>
      <c r="U1905" s="97"/>
      <c r="V1905" s="25"/>
      <c r="W1905" s="25"/>
      <c r="X1905" s="25"/>
      <c r="Y1905" s="25"/>
      <c r="Z1905" s="25"/>
      <c r="AA1905" s="25"/>
    </row>
    <row r="1906" spans="20:27" x14ac:dyDescent="0.35">
      <c r="T1906" s="97"/>
      <c r="U1906" s="97"/>
      <c r="V1906" s="25"/>
      <c r="W1906" s="25"/>
      <c r="X1906" s="25"/>
      <c r="Y1906" s="25"/>
      <c r="Z1906" s="25"/>
      <c r="AA1906" s="25"/>
    </row>
    <row r="1907" spans="20:27" x14ac:dyDescent="0.35">
      <c r="T1907" s="97"/>
      <c r="U1907" s="97"/>
      <c r="V1907" s="25"/>
      <c r="W1907" s="25"/>
      <c r="X1907" s="25"/>
      <c r="Y1907" s="25"/>
      <c r="Z1907" s="25"/>
      <c r="AA1907" s="25"/>
    </row>
    <row r="1908" spans="20:27" x14ac:dyDescent="0.35">
      <c r="T1908" s="97"/>
      <c r="U1908" s="97"/>
      <c r="V1908" s="25"/>
      <c r="W1908" s="25"/>
      <c r="X1908" s="25"/>
      <c r="Y1908" s="25"/>
      <c r="Z1908" s="25"/>
      <c r="AA1908" s="25"/>
    </row>
    <row r="1909" spans="20:27" x14ac:dyDescent="0.35">
      <c r="T1909" s="97"/>
      <c r="U1909" s="97"/>
      <c r="V1909" s="25"/>
      <c r="W1909" s="25"/>
      <c r="X1909" s="25"/>
      <c r="Y1909" s="25"/>
      <c r="Z1909" s="25"/>
      <c r="AA1909" s="25"/>
    </row>
    <row r="1910" spans="20:27" x14ac:dyDescent="0.35">
      <c r="T1910" s="97"/>
      <c r="U1910" s="97"/>
      <c r="V1910" s="25"/>
      <c r="W1910" s="25"/>
      <c r="X1910" s="25"/>
      <c r="Y1910" s="25"/>
      <c r="Z1910" s="25"/>
      <c r="AA1910" s="25"/>
    </row>
    <row r="1911" spans="20:27" x14ac:dyDescent="0.35">
      <c r="T1911" s="97"/>
      <c r="U1911" s="97"/>
      <c r="V1911" s="25"/>
      <c r="W1911" s="25"/>
      <c r="X1911" s="25"/>
      <c r="Y1911" s="25"/>
      <c r="Z1911" s="25"/>
      <c r="AA1911" s="25"/>
    </row>
    <row r="1912" spans="20:27" x14ac:dyDescent="0.35">
      <c r="T1912" s="97"/>
      <c r="U1912" s="97"/>
      <c r="V1912" s="25"/>
      <c r="W1912" s="25"/>
      <c r="X1912" s="25"/>
      <c r="Y1912" s="25"/>
      <c r="Z1912" s="25"/>
      <c r="AA1912" s="25"/>
    </row>
    <row r="1913" spans="20:27" x14ac:dyDescent="0.35">
      <c r="T1913" s="97"/>
      <c r="U1913" s="97"/>
      <c r="V1913" s="25"/>
      <c r="W1913" s="25"/>
      <c r="X1913" s="25"/>
      <c r="Y1913" s="25"/>
      <c r="Z1913" s="25"/>
      <c r="AA1913" s="25"/>
    </row>
    <row r="1914" spans="20:27" x14ac:dyDescent="0.35">
      <c r="T1914" s="97"/>
      <c r="U1914" s="97"/>
      <c r="V1914" s="25"/>
      <c r="W1914" s="25"/>
      <c r="X1914" s="25"/>
      <c r="Y1914" s="25"/>
      <c r="Z1914" s="25"/>
      <c r="AA1914" s="25"/>
    </row>
    <row r="1915" spans="20:27" x14ac:dyDescent="0.35">
      <c r="T1915" s="97"/>
      <c r="U1915" s="97"/>
      <c r="V1915" s="25"/>
      <c r="W1915" s="25"/>
      <c r="X1915" s="25"/>
      <c r="Y1915" s="25"/>
      <c r="Z1915" s="25"/>
      <c r="AA1915" s="25"/>
    </row>
    <row r="1916" spans="20:27" x14ac:dyDescent="0.35">
      <c r="T1916" s="97"/>
      <c r="U1916" s="97"/>
      <c r="V1916" s="25"/>
      <c r="W1916" s="25"/>
      <c r="X1916" s="25"/>
      <c r="Y1916" s="25"/>
      <c r="Z1916" s="25"/>
      <c r="AA1916" s="25"/>
    </row>
    <row r="1917" spans="20:27" x14ac:dyDescent="0.35">
      <c r="T1917" s="97"/>
      <c r="U1917" s="97"/>
      <c r="V1917" s="25"/>
      <c r="W1917" s="25"/>
      <c r="X1917" s="25"/>
      <c r="Y1917" s="25"/>
      <c r="Z1917" s="25"/>
      <c r="AA1917" s="25"/>
    </row>
    <row r="1918" spans="20:27" x14ac:dyDescent="0.35">
      <c r="T1918" s="97"/>
      <c r="U1918" s="97"/>
      <c r="V1918" s="25"/>
      <c r="W1918" s="25"/>
      <c r="X1918" s="25"/>
      <c r="Y1918" s="25"/>
      <c r="Z1918" s="25"/>
      <c r="AA1918" s="25"/>
    </row>
    <row r="1919" spans="20:27" x14ac:dyDescent="0.35">
      <c r="T1919" s="97"/>
      <c r="U1919" s="97"/>
      <c r="V1919" s="25"/>
      <c r="W1919" s="25"/>
      <c r="X1919" s="25"/>
      <c r="Y1919" s="25"/>
      <c r="Z1919" s="25"/>
      <c r="AA1919" s="25"/>
    </row>
    <row r="1920" spans="20:27" x14ac:dyDescent="0.35">
      <c r="T1920" s="97"/>
      <c r="U1920" s="97"/>
      <c r="V1920" s="25"/>
      <c r="W1920" s="25"/>
      <c r="X1920" s="25"/>
      <c r="Y1920" s="25"/>
      <c r="Z1920" s="25"/>
      <c r="AA1920" s="25"/>
    </row>
    <row r="1921" spans="20:27" x14ac:dyDescent="0.35">
      <c r="T1921" s="97"/>
      <c r="U1921" s="97"/>
      <c r="V1921" s="25"/>
      <c r="W1921" s="25"/>
      <c r="X1921" s="25"/>
      <c r="Y1921" s="25"/>
      <c r="Z1921" s="25"/>
      <c r="AA1921" s="25"/>
    </row>
    <row r="1922" spans="20:27" x14ac:dyDescent="0.35">
      <c r="T1922" s="97"/>
      <c r="U1922" s="97"/>
      <c r="V1922" s="25"/>
      <c r="W1922" s="25"/>
      <c r="X1922" s="25"/>
      <c r="Y1922" s="25"/>
      <c r="Z1922" s="25"/>
      <c r="AA1922" s="25"/>
    </row>
    <row r="1923" spans="20:27" x14ac:dyDescent="0.35">
      <c r="T1923" s="97"/>
      <c r="U1923" s="97"/>
      <c r="V1923" s="25"/>
      <c r="W1923" s="25"/>
      <c r="X1923" s="25"/>
      <c r="Y1923" s="25"/>
      <c r="Z1923" s="25"/>
      <c r="AA1923" s="25"/>
    </row>
    <row r="1924" spans="20:27" x14ac:dyDescent="0.35">
      <c r="T1924" s="97"/>
      <c r="U1924" s="97"/>
      <c r="V1924" s="25"/>
      <c r="W1924" s="25"/>
      <c r="X1924" s="25"/>
      <c r="Y1924" s="25"/>
      <c r="Z1924" s="25"/>
      <c r="AA1924" s="25"/>
    </row>
    <row r="1925" spans="20:27" x14ac:dyDescent="0.35">
      <c r="T1925" s="97"/>
      <c r="U1925" s="97"/>
      <c r="V1925" s="25"/>
      <c r="W1925" s="25"/>
      <c r="X1925" s="25"/>
      <c r="Y1925" s="25"/>
      <c r="Z1925" s="25"/>
      <c r="AA1925" s="25"/>
    </row>
    <row r="1926" spans="20:27" x14ac:dyDescent="0.35">
      <c r="T1926" s="97"/>
      <c r="U1926" s="97"/>
      <c r="V1926" s="25"/>
      <c r="W1926" s="25"/>
      <c r="X1926" s="25"/>
      <c r="Y1926" s="25"/>
      <c r="Z1926" s="25"/>
      <c r="AA1926" s="25"/>
    </row>
    <row r="1927" spans="20:27" x14ac:dyDescent="0.35">
      <c r="T1927" s="97"/>
      <c r="U1927" s="97"/>
      <c r="V1927" s="25"/>
      <c r="W1927" s="25"/>
      <c r="X1927" s="25"/>
      <c r="Y1927" s="25"/>
      <c r="Z1927" s="25"/>
      <c r="AA1927" s="25"/>
    </row>
    <row r="1928" spans="20:27" x14ac:dyDescent="0.35">
      <c r="T1928" s="97"/>
      <c r="U1928" s="97"/>
      <c r="V1928" s="25"/>
      <c r="W1928" s="25"/>
      <c r="X1928" s="25"/>
      <c r="Y1928" s="25"/>
      <c r="Z1928" s="25"/>
      <c r="AA1928" s="25"/>
    </row>
    <row r="1929" spans="20:27" x14ac:dyDescent="0.35">
      <c r="T1929" s="97"/>
      <c r="U1929" s="97"/>
      <c r="V1929" s="25"/>
      <c r="W1929" s="25"/>
      <c r="X1929" s="25"/>
      <c r="Y1929" s="25"/>
      <c r="Z1929" s="25"/>
      <c r="AA1929" s="25"/>
    </row>
    <row r="1930" spans="20:27" x14ac:dyDescent="0.35">
      <c r="T1930" s="97"/>
      <c r="U1930" s="97"/>
      <c r="V1930" s="25"/>
      <c r="W1930" s="25"/>
      <c r="X1930" s="25"/>
      <c r="Y1930" s="25"/>
      <c r="Z1930" s="25"/>
      <c r="AA1930" s="25"/>
    </row>
    <row r="1931" spans="20:27" x14ac:dyDescent="0.35">
      <c r="T1931" s="97"/>
      <c r="U1931" s="97"/>
      <c r="V1931" s="25"/>
      <c r="W1931" s="25"/>
      <c r="X1931" s="25"/>
      <c r="Y1931" s="25"/>
      <c r="Z1931" s="25"/>
      <c r="AA1931" s="25"/>
    </row>
    <row r="1932" spans="20:27" x14ac:dyDescent="0.35">
      <c r="T1932" s="97"/>
      <c r="U1932" s="97"/>
      <c r="V1932" s="25"/>
      <c r="W1932" s="25"/>
      <c r="X1932" s="25"/>
      <c r="Y1932" s="25"/>
      <c r="Z1932" s="25"/>
      <c r="AA1932" s="25"/>
    </row>
    <row r="1933" spans="20:27" x14ac:dyDescent="0.35">
      <c r="T1933" s="97"/>
      <c r="U1933" s="97"/>
      <c r="V1933" s="25"/>
      <c r="W1933" s="25"/>
      <c r="X1933" s="25"/>
      <c r="Y1933" s="25"/>
      <c r="Z1933" s="25"/>
      <c r="AA1933" s="25"/>
    </row>
    <row r="1934" spans="20:27" x14ac:dyDescent="0.35">
      <c r="T1934" s="97"/>
      <c r="U1934" s="97"/>
      <c r="V1934" s="25"/>
      <c r="W1934" s="25"/>
      <c r="X1934" s="25"/>
      <c r="Y1934" s="25"/>
      <c r="Z1934" s="25"/>
      <c r="AA1934" s="25"/>
    </row>
    <row r="1935" spans="20:27" x14ac:dyDescent="0.35">
      <c r="T1935" s="97"/>
      <c r="U1935" s="97"/>
      <c r="V1935" s="25"/>
      <c r="W1935" s="25"/>
      <c r="X1935" s="25"/>
      <c r="Y1935" s="25"/>
      <c r="Z1935" s="25"/>
      <c r="AA1935" s="25"/>
    </row>
    <row r="1936" spans="20:27" x14ac:dyDescent="0.35">
      <c r="T1936" s="97"/>
      <c r="U1936" s="97"/>
      <c r="V1936" s="25"/>
      <c r="W1936" s="25"/>
      <c r="X1936" s="25"/>
      <c r="Y1936" s="25"/>
      <c r="Z1936" s="25"/>
      <c r="AA1936" s="25"/>
    </row>
    <row r="1937" spans="20:27" x14ac:dyDescent="0.35">
      <c r="T1937" s="97"/>
      <c r="U1937" s="97"/>
      <c r="V1937" s="25"/>
      <c r="W1937" s="25"/>
      <c r="X1937" s="25"/>
      <c r="Y1937" s="25"/>
      <c r="Z1937" s="25"/>
      <c r="AA1937" s="25"/>
    </row>
    <row r="1938" spans="20:27" x14ac:dyDescent="0.35">
      <c r="T1938" s="97"/>
      <c r="U1938" s="97"/>
      <c r="V1938" s="25"/>
      <c r="W1938" s="25"/>
      <c r="X1938" s="25"/>
      <c r="Y1938" s="25"/>
      <c r="Z1938" s="25"/>
      <c r="AA1938" s="25"/>
    </row>
    <row r="1939" spans="20:27" x14ac:dyDescent="0.35">
      <c r="T1939" s="97"/>
      <c r="U1939" s="97"/>
      <c r="V1939" s="25"/>
      <c r="W1939" s="25"/>
      <c r="X1939" s="25"/>
      <c r="Y1939" s="25"/>
      <c r="Z1939" s="25"/>
      <c r="AA1939" s="25"/>
    </row>
    <row r="1940" spans="20:27" x14ac:dyDescent="0.35">
      <c r="T1940" s="97"/>
      <c r="U1940" s="97"/>
      <c r="V1940" s="25"/>
      <c r="W1940" s="25"/>
      <c r="X1940" s="25"/>
      <c r="Y1940" s="25"/>
      <c r="Z1940" s="25"/>
      <c r="AA1940" s="25"/>
    </row>
    <row r="1941" spans="20:27" x14ac:dyDescent="0.35">
      <c r="T1941" s="97"/>
      <c r="U1941" s="97"/>
      <c r="V1941" s="25"/>
      <c r="W1941" s="25"/>
      <c r="X1941" s="25"/>
      <c r="Y1941" s="25"/>
      <c r="Z1941" s="25"/>
      <c r="AA1941" s="25"/>
    </row>
    <row r="1942" spans="20:27" x14ac:dyDescent="0.35">
      <c r="T1942" s="97"/>
      <c r="U1942" s="97"/>
      <c r="V1942" s="25"/>
      <c r="W1942" s="25"/>
      <c r="X1942" s="25"/>
      <c r="Y1942" s="25"/>
      <c r="Z1942" s="25"/>
      <c r="AA1942" s="25"/>
    </row>
    <row r="1943" spans="20:27" x14ac:dyDescent="0.35">
      <c r="T1943" s="97"/>
      <c r="U1943" s="97"/>
      <c r="V1943" s="25"/>
      <c r="W1943" s="25"/>
      <c r="X1943" s="25"/>
      <c r="Y1943" s="25"/>
      <c r="Z1943" s="25"/>
      <c r="AA1943" s="25"/>
    </row>
    <row r="1944" spans="20:27" x14ac:dyDescent="0.35">
      <c r="T1944" s="97"/>
      <c r="U1944" s="97"/>
      <c r="V1944" s="25"/>
      <c r="W1944" s="25"/>
      <c r="X1944" s="25"/>
      <c r="Y1944" s="25"/>
      <c r="Z1944" s="25"/>
      <c r="AA1944" s="25"/>
    </row>
    <row r="1945" spans="20:27" x14ac:dyDescent="0.35">
      <c r="T1945" s="97"/>
      <c r="U1945" s="97"/>
      <c r="V1945" s="25"/>
      <c r="W1945" s="25"/>
      <c r="X1945" s="25"/>
      <c r="Y1945" s="25"/>
      <c r="Z1945" s="25"/>
      <c r="AA1945" s="25"/>
    </row>
    <row r="1946" spans="20:27" x14ac:dyDescent="0.35">
      <c r="T1946" s="97"/>
      <c r="U1946" s="97"/>
      <c r="V1946" s="25"/>
      <c r="W1946" s="25"/>
      <c r="X1946" s="25"/>
      <c r="Y1946" s="25"/>
      <c r="Z1946" s="25"/>
      <c r="AA1946" s="25"/>
    </row>
    <row r="1947" spans="20:27" x14ac:dyDescent="0.35">
      <c r="T1947" s="97"/>
      <c r="U1947" s="97"/>
      <c r="V1947" s="25"/>
      <c r="W1947" s="25"/>
      <c r="X1947" s="25"/>
      <c r="Y1947" s="25"/>
      <c r="Z1947" s="25"/>
      <c r="AA1947" s="25"/>
    </row>
    <row r="1948" spans="20:27" x14ac:dyDescent="0.35">
      <c r="T1948" s="97"/>
      <c r="U1948" s="97"/>
      <c r="V1948" s="25"/>
      <c r="W1948" s="25"/>
      <c r="X1948" s="25"/>
      <c r="Y1948" s="25"/>
      <c r="Z1948" s="25"/>
      <c r="AA1948" s="25"/>
    </row>
    <row r="1949" spans="20:27" x14ac:dyDescent="0.35">
      <c r="T1949" s="97"/>
      <c r="U1949" s="97"/>
      <c r="V1949" s="25"/>
      <c r="W1949" s="25"/>
      <c r="X1949" s="25"/>
      <c r="Y1949" s="25"/>
      <c r="Z1949" s="25"/>
      <c r="AA1949" s="25"/>
    </row>
    <row r="1950" spans="20:27" x14ac:dyDescent="0.35">
      <c r="T1950" s="97"/>
      <c r="U1950" s="97"/>
      <c r="V1950" s="25"/>
      <c r="W1950" s="25"/>
      <c r="X1950" s="25"/>
      <c r="Y1950" s="25"/>
      <c r="Z1950" s="25"/>
      <c r="AA1950" s="25"/>
    </row>
    <row r="1951" spans="20:27" x14ac:dyDescent="0.35">
      <c r="T1951" s="97"/>
      <c r="U1951" s="97"/>
      <c r="V1951" s="25"/>
      <c r="W1951" s="25"/>
      <c r="X1951" s="25"/>
      <c r="Y1951" s="25"/>
      <c r="Z1951" s="25"/>
      <c r="AA1951" s="25"/>
    </row>
    <row r="1952" spans="20:27" x14ac:dyDescent="0.35">
      <c r="T1952" s="97"/>
      <c r="U1952" s="97"/>
      <c r="V1952" s="25"/>
      <c r="W1952" s="25"/>
      <c r="X1952" s="25"/>
      <c r="Y1952" s="25"/>
      <c r="Z1952" s="25"/>
      <c r="AA1952" s="25"/>
    </row>
    <row r="1953" spans="20:27" x14ac:dyDescent="0.35">
      <c r="T1953" s="97"/>
      <c r="U1953" s="97"/>
      <c r="V1953" s="25"/>
      <c r="W1953" s="25"/>
      <c r="X1953" s="25"/>
      <c r="Y1953" s="25"/>
      <c r="Z1953" s="25"/>
      <c r="AA1953" s="25"/>
    </row>
    <row r="1954" spans="20:27" x14ac:dyDescent="0.35">
      <c r="T1954" s="97"/>
      <c r="U1954" s="97"/>
      <c r="V1954" s="25"/>
      <c r="W1954" s="25"/>
      <c r="X1954" s="25"/>
      <c r="Y1954" s="25"/>
      <c r="Z1954" s="25"/>
      <c r="AA1954" s="25"/>
    </row>
    <row r="1955" spans="20:27" x14ac:dyDescent="0.35">
      <c r="T1955" s="97"/>
      <c r="U1955" s="97"/>
      <c r="V1955" s="25"/>
      <c r="W1955" s="25"/>
      <c r="X1955" s="25"/>
      <c r="Y1955" s="25"/>
      <c r="Z1955" s="25"/>
      <c r="AA1955" s="25"/>
    </row>
    <row r="1956" spans="20:27" x14ac:dyDescent="0.35">
      <c r="T1956" s="97"/>
      <c r="U1956" s="97"/>
      <c r="V1956" s="25"/>
      <c r="W1956" s="25"/>
      <c r="X1956" s="25"/>
      <c r="Y1956" s="25"/>
      <c r="Z1956" s="25"/>
      <c r="AA1956" s="25"/>
    </row>
    <row r="1957" spans="20:27" x14ac:dyDescent="0.35">
      <c r="T1957" s="97"/>
      <c r="U1957" s="97"/>
      <c r="V1957" s="25"/>
      <c r="W1957" s="25"/>
      <c r="X1957" s="25"/>
      <c r="Y1957" s="25"/>
      <c r="Z1957" s="25"/>
      <c r="AA1957" s="25"/>
    </row>
    <row r="1958" spans="20:27" x14ac:dyDescent="0.35">
      <c r="T1958" s="97"/>
      <c r="U1958" s="97"/>
      <c r="V1958" s="25"/>
      <c r="W1958" s="25"/>
      <c r="X1958" s="25"/>
      <c r="Y1958" s="25"/>
      <c r="Z1958" s="25"/>
      <c r="AA1958" s="25"/>
    </row>
    <row r="1959" spans="20:27" x14ac:dyDescent="0.35">
      <c r="T1959" s="97"/>
      <c r="U1959" s="97"/>
      <c r="V1959" s="25"/>
      <c r="W1959" s="25"/>
      <c r="X1959" s="25"/>
      <c r="Y1959" s="25"/>
      <c r="Z1959" s="25"/>
      <c r="AA1959" s="25"/>
    </row>
    <row r="1960" spans="20:27" x14ac:dyDescent="0.35">
      <c r="T1960" s="97"/>
      <c r="U1960" s="97"/>
      <c r="V1960" s="25"/>
      <c r="W1960" s="25"/>
      <c r="X1960" s="25"/>
      <c r="Y1960" s="25"/>
      <c r="Z1960" s="25"/>
      <c r="AA1960" s="25"/>
    </row>
    <row r="1961" spans="20:27" x14ac:dyDescent="0.35">
      <c r="T1961" s="97"/>
      <c r="U1961" s="97"/>
      <c r="V1961" s="25"/>
      <c r="W1961" s="25"/>
      <c r="X1961" s="25"/>
      <c r="Y1961" s="25"/>
      <c r="Z1961" s="25"/>
      <c r="AA1961" s="25"/>
    </row>
    <row r="1962" spans="20:27" x14ac:dyDescent="0.35">
      <c r="T1962" s="97"/>
      <c r="U1962" s="97"/>
      <c r="V1962" s="25"/>
      <c r="W1962" s="25"/>
      <c r="X1962" s="25"/>
      <c r="Y1962" s="25"/>
      <c r="Z1962" s="25"/>
      <c r="AA1962" s="25"/>
    </row>
    <row r="1963" spans="20:27" x14ac:dyDescent="0.35">
      <c r="T1963" s="97"/>
      <c r="U1963" s="97"/>
      <c r="V1963" s="25"/>
      <c r="W1963" s="25"/>
      <c r="X1963" s="25"/>
      <c r="Y1963" s="25"/>
      <c r="Z1963" s="25"/>
      <c r="AA1963" s="25"/>
    </row>
    <row r="1964" spans="20:27" x14ac:dyDescent="0.35">
      <c r="T1964" s="97"/>
      <c r="U1964" s="97"/>
      <c r="V1964" s="25"/>
      <c r="W1964" s="25"/>
      <c r="X1964" s="25"/>
      <c r="Y1964" s="25"/>
      <c r="Z1964" s="25"/>
      <c r="AA1964" s="25"/>
    </row>
    <row r="1965" spans="20:27" x14ac:dyDescent="0.35">
      <c r="T1965" s="97"/>
      <c r="U1965" s="97"/>
      <c r="V1965" s="25"/>
      <c r="W1965" s="25"/>
      <c r="X1965" s="25"/>
      <c r="Y1965" s="25"/>
      <c r="Z1965" s="25"/>
      <c r="AA1965" s="25"/>
    </row>
    <row r="1966" spans="20:27" x14ac:dyDescent="0.35">
      <c r="T1966" s="97"/>
      <c r="U1966" s="97"/>
      <c r="V1966" s="25"/>
      <c r="W1966" s="25"/>
      <c r="X1966" s="25"/>
      <c r="Y1966" s="25"/>
      <c r="Z1966" s="25"/>
      <c r="AA1966" s="25"/>
    </row>
    <row r="1967" spans="20:27" x14ac:dyDescent="0.35">
      <c r="T1967" s="97"/>
      <c r="U1967" s="97"/>
      <c r="V1967" s="25"/>
      <c r="W1967" s="25"/>
      <c r="X1967" s="25"/>
      <c r="Y1967" s="25"/>
      <c r="Z1967" s="25"/>
      <c r="AA1967" s="25"/>
    </row>
    <row r="1968" spans="20:27" x14ac:dyDescent="0.35">
      <c r="T1968" s="97"/>
      <c r="U1968" s="97"/>
      <c r="V1968" s="25"/>
      <c r="W1968" s="25"/>
      <c r="X1968" s="25"/>
      <c r="Y1968" s="25"/>
      <c r="Z1968" s="25"/>
      <c r="AA1968" s="25"/>
    </row>
    <row r="1969" spans="20:27" x14ac:dyDescent="0.35">
      <c r="T1969" s="97"/>
      <c r="U1969" s="97"/>
      <c r="V1969" s="25"/>
      <c r="W1969" s="25"/>
      <c r="X1969" s="25"/>
      <c r="Y1969" s="25"/>
      <c r="Z1969" s="25"/>
      <c r="AA1969" s="25"/>
    </row>
    <row r="1970" spans="20:27" x14ac:dyDescent="0.35">
      <c r="T1970" s="97"/>
      <c r="U1970" s="97"/>
      <c r="V1970" s="25"/>
      <c r="W1970" s="25"/>
      <c r="X1970" s="25"/>
      <c r="Y1970" s="25"/>
      <c r="Z1970" s="25"/>
      <c r="AA1970" s="25"/>
    </row>
    <row r="1971" spans="20:27" x14ac:dyDescent="0.35">
      <c r="T1971" s="97"/>
      <c r="U1971" s="97"/>
      <c r="V1971" s="25"/>
      <c r="W1971" s="25"/>
      <c r="X1971" s="25"/>
      <c r="Y1971" s="25"/>
      <c r="Z1971" s="25"/>
      <c r="AA1971" s="25"/>
    </row>
    <row r="1972" spans="20:27" x14ac:dyDescent="0.35">
      <c r="T1972" s="97"/>
      <c r="U1972" s="97"/>
      <c r="V1972" s="25"/>
      <c r="W1972" s="25"/>
      <c r="X1972" s="25"/>
      <c r="Y1972" s="25"/>
      <c r="Z1972" s="25"/>
      <c r="AA1972" s="25"/>
    </row>
    <row r="1973" spans="20:27" x14ac:dyDescent="0.35">
      <c r="T1973" s="97"/>
      <c r="U1973" s="97"/>
      <c r="V1973" s="25"/>
      <c r="W1973" s="25"/>
      <c r="X1973" s="25"/>
      <c r="Y1973" s="25"/>
      <c r="Z1973" s="25"/>
      <c r="AA1973" s="25"/>
    </row>
    <row r="1974" spans="20:27" x14ac:dyDescent="0.35">
      <c r="T1974" s="97"/>
      <c r="U1974" s="97"/>
      <c r="V1974" s="25"/>
      <c r="W1974" s="25"/>
      <c r="X1974" s="25"/>
      <c r="Y1974" s="25"/>
      <c r="Z1974" s="25"/>
      <c r="AA1974" s="25"/>
    </row>
    <row r="1975" spans="20:27" x14ac:dyDescent="0.35">
      <c r="T1975" s="97"/>
      <c r="U1975" s="97"/>
      <c r="V1975" s="25"/>
      <c r="W1975" s="25"/>
      <c r="X1975" s="25"/>
      <c r="Y1975" s="25"/>
      <c r="Z1975" s="25"/>
      <c r="AA1975" s="25"/>
    </row>
    <row r="1976" spans="20:27" x14ac:dyDescent="0.35">
      <c r="T1976" s="97"/>
      <c r="U1976" s="97"/>
      <c r="V1976" s="25"/>
      <c r="W1976" s="25"/>
      <c r="X1976" s="25"/>
      <c r="Y1976" s="25"/>
      <c r="Z1976" s="25"/>
      <c r="AA1976" s="25"/>
    </row>
    <row r="1977" spans="20:27" x14ac:dyDescent="0.35">
      <c r="T1977" s="97"/>
      <c r="U1977" s="97"/>
      <c r="V1977" s="25"/>
      <c r="W1977" s="25"/>
      <c r="X1977" s="25"/>
      <c r="Y1977" s="25"/>
      <c r="Z1977" s="25"/>
      <c r="AA1977" s="25"/>
    </row>
    <row r="1978" spans="20:27" x14ac:dyDescent="0.35">
      <c r="T1978" s="97"/>
      <c r="U1978" s="97"/>
      <c r="V1978" s="25"/>
      <c r="W1978" s="25"/>
      <c r="X1978" s="25"/>
      <c r="Y1978" s="25"/>
      <c r="Z1978" s="25"/>
      <c r="AA1978" s="25"/>
    </row>
    <row r="1979" spans="20:27" x14ac:dyDescent="0.35">
      <c r="T1979" s="97"/>
      <c r="U1979" s="97"/>
      <c r="V1979" s="25"/>
      <c r="W1979" s="25"/>
      <c r="X1979" s="25"/>
      <c r="Y1979" s="25"/>
      <c r="Z1979" s="25"/>
      <c r="AA1979" s="25"/>
    </row>
    <row r="1980" spans="20:27" x14ac:dyDescent="0.35">
      <c r="T1980" s="97"/>
      <c r="U1980" s="97"/>
      <c r="V1980" s="25"/>
      <c r="W1980" s="25"/>
      <c r="X1980" s="25"/>
      <c r="Y1980" s="25"/>
      <c r="Z1980" s="25"/>
      <c r="AA1980" s="25"/>
    </row>
    <row r="1981" spans="20:27" x14ac:dyDescent="0.35">
      <c r="T1981" s="97"/>
      <c r="U1981" s="97"/>
      <c r="V1981" s="25"/>
      <c r="W1981" s="25"/>
      <c r="X1981" s="25"/>
      <c r="Y1981" s="25"/>
      <c r="Z1981" s="25"/>
      <c r="AA1981" s="25"/>
    </row>
    <row r="1982" spans="20:27" x14ac:dyDescent="0.35">
      <c r="T1982" s="97"/>
      <c r="U1982" s="97"/>
      <c r="V1982" s="25"/>
      <c r="W1982" s="25"/>
      <c r="X1982" s="25"/>
      <c r="Y1982" s="25"/>
      <c r="Z1982" s="25"/>
      <c r="AA1982" s="25"/>
    </row>
    <row r="1983" spans="20:27" x14ac:dyDescent="0.35">
      <c r="T1983" s="97"/>
      <c r="U1983" s="97"/>
      <c r="V1983" s="25"/>
      <c r="W1983" s="25"/>
      <c r="X1983" s="25"/>
      <c r="Y1983" s="25"/>
      <c r="Z1983" s="25"/>
      <c r="AA1983" s="25"/>
    </row>
    <row r="1984" spans="20:27" x14ac:dyDescent="0.35">
      <c r="T1984" s="97"/>
      <c r="U1984" s="97"/>
      <c r="V1984" s="25"/>
      <c r="W1984" s="25"/>
      <c r="X1984" s="25"/>
      <c r="Y1984" s="25"/>
      <c r="Z1984" s="25"/>
      <c r="AA1984" s="25"/>
    </row>
    <row r="1985" spans="20:27" x14ac:dyDescent="0.35">
      <c r="T1985" s="97"/>
      <c r="U1985" s="97"/>
      <c r="V1985" s="25"/>
      <c r="W1985" s="25"/>
      <c r="X1985" s="25"/>
      <c r="Y1985" s="25"/>
      <c r="Z1985" s="25"/>
      <c r="AA1985" s="25"/>
    </row>
    <row r="1986" spans="20:27" x14ac:dyDescent="0.35">
      <c r="T1986" s="97"/>
      <c r="U1986" s="97"/>
      <c r="V1986" s="25"/>
      <c r="W1986" s="25"/>
      <c r="X1986" s="25"/>
      <c r="Y1986" s="25"/>
      <c r="Z1986" s="25"/>
      <c r="AA1986" s="25"/>
    </row>
    <row r="1987" spans="20:27" x14ac:dyDescent="0.35">
      <c r="T1987" s="97"/>
      <c r="U1987" s="97"/>
      <c r="V1987" s="25"/>
      <c r="W1987" s="25"/>
      <c r="X1987" s="25"/>
      <c r="Y1987" s="25"/>
      <c r="Z1987" s="25"/>
      <c r="AA1987" s="25"/>
    </row>
    <row r="1988" spans="20:27" x14ac:dyDescent="0.35">
      <c r="T1988" s="97"/>
      <c r="U1988" s="97"/>
      <c r="V1988" s="25"/>
      <c r="W1988" s="25"/>
      <c r="X1988" s="25"/>
      <c r="Y1988" s="25"/>
      <c r="Z1988" s="25"/>
      <c r="AA1988" s="25"/>
    </row>
    <row r="1989" spans="20:27" x14ac:dyDescent="0.35">
      <c r="T1989" s="97"/>
      <c r="U1989" s="97"/>
      <c r="V1989" s="25"/>
      <c r="W1989" s="25"/>
      <c r="X1989" s="25"/>
      <c r="Y1989" s="25"/>
      <c r="Z1989" s="25"/>
      <c r="AA1989" s="25"/>
    </row>
    <row r="1990" spans="20:27" x14ac:dyDescent="0.35">
      <c r="T1990" s="97"/>
      <c r="U1990" s="97"/>
      <c r="V1990" s="25"/>
      <c r="W1990" s="25"/>
      <c r="X1990" s="25"/>
      <c r="Y1990" s="25"/>
      <c r="Z1990" s="25"/>
      <c r="AA1990" s="25"/>
    </row>
    <row r="1991" spans="20:27" x14ac:dyDescent="0.35">
      <c r="T1991" s="97"/>
      <c r="U1991" s="97"/>
      <c r="V1991" s="25"/>
      <c r="W1991" s="25"/>
      <c r="X1991" s="25"/>
      <c r="Y1991" s="25"/>
      <c r="Z1991" s="25"/>
      <c r="AA1991" s="25"/>
    </row>
    <row r="1992" spans="20:27" x14ac:dyDescent="0.35">
      <c r="T1992" s="97"/>
      <c r="U1992" s="97"/>
      <c r="V1992" s="25"/>
      <c r="W1992" s="25"/>
      <c r="X1992" s="25"/>
      <c r="Y1992" s="25"/>
      <c r="Z1992" s="25"/>
      <c r="AA1992" s="25"/>
    </row>
    <row r="1993" spans="20:27" x14ac:dyDescent="0.35">
      <c r="T1993" s="97"/>
      <c r="U1993" s="97"/>
      <c r="V1993" s="25"/>
      <c r="W1993" s="25"/>
      <c r="X1993" s="25"/>
      <c r="Y1993" s="25"/>
      <c r="Z1993" s="25"/>
      <c r="AA1993" s="25"/>
    </row>
    <row r="1994" spans="20:27" x14ac:dyDescent="0.35">
      <c r="T1994" s="97"/>
      <c r="U1994" s="97"/>
      <c r="V1994" s="25"/>
      <c r="W1994" s="25"/>
      <c r="X1994" s="25"/>
      <c r="Y1994" s="25"/>
      <c r="Z1994" s="25"/>
      <c r="AA1994" s="25"/>
    </row>
    <row r="1995" spans="20:27" x14ac:dyDescent="0.35">
      <c r="T1995" s="97"/>
      <c r="U1995" s="97"/>
      <c r="V1995" s="25"/>
      <c r="W1995" s="25"/>
      <c r="X1995" s="25"/>
      <c r="Y1995" s="25"/>
      <c r="Z1995" s="25"/>
      <c r="AA1995" s="25"/>
    </row>
    <row r="1996" spans="20:27" x14ac:dyDescent="0.35">
      <c r="T1996" s="97"/>
      <c r="U1996" s="97"/>
      <c r="V1996" s="25"/>
      <c r="W1996" s="25"/>
      <c r="X1996" s="25"/>
      <c r="Y1996" s="25"/>
      <c r="Z1996" s="25"/>
      <c r="AA1996" s="25"/>
    </row>
    <row r="1997" spans="20:27" x14ac:dyDescent="0.35">
      <c r="T1997" s="97"/>
      <c r="U1997" s="97"/>
      <c r="V1997" s="25"/>
      <c r="W1997" s="25"/>
      <c r="X1997" s="25"/>
      <c r="Y1997" s="25"/>
      <c r="Z1997" s="25"/>
      <c r="AA1997" s="25"/>
    </row>
    <row r="1998" spans="20:27" x14ac:dyDescent="0.35">
      <c r="T1998" s="97"/>
      <c r="U1998" s="97"/>
      <c r="V1998" s="25"/>
      <c r="W1998" s="25"/>
      <c r="X1998" s="25"/>
      <c r="Y1998" s="25"/>
      <c r="Z1998" s="25"/>
      <c r="AA1998" s="25"/>
    </row>
    <row r="1999" spans="20:27" x14ac:dyDescent="0.35">
      <c r="T1999" s="97"/>
      <c r="U1999" s="97"/>
      <c r="V1999" s="25"/>
      <c r="W1999" s="25"/>
      <c r="X1999" s="25"/>
      <c r="Y1999" s="25"/>
      <c r="Z1999" s="25"/>
      <c r="AA1999" s="25"/>
    </row>
    <row r="2000" spans="20:27" x14ac:dyDescent="0.35">
      <c r="T2000" s="97"/>
      <c r="U2000" s="97"/>
      <c r="V2000" s="25"/>
      <c r="W2000" s="25"/>
      <c r="X2000" s="25"/>
      <c r="Y2000" s="25"/>
      <c r="Z2000" s="25"/>
      <c r="AA2000" s="25"/>
    </row>
    <row r="2001" spans="20:27" x14ac:dyDescent="0.35">
      <c r="T2001" s="97"/>
      <c r="U2001" s="97"/>
      <c r="V2001" s="25"/>
      <c r="W2001" s="25"/>
      <c r="X2001" s="25"/>
      <c r="Y2001" s="25"/>
      <c r="Z2001" s="25"/>
      <c r="AA2001" s="25"/>
    </row>
    <row r="2002" spans="20:27" x14ac:dyDescent="0.35">
      <c r="T2002" s="97"/>
      <c r="U2002" s="97"/>
      <c r="V2002" s="25"/>
      <c r="W2002" s="25"/>
      <c r="X2002" s="25"/>
      <c r="Y2002" s="25"/>
      <c r="Z2002" s="25"/>
      <c r="AA2002" s="25"/>
    </row>
    <row r="2003" spans="20:27" x14ac:dyDescent="0.35">
      <c r="T2003" s="97"/>
      <c r="U2003" s="97"/>
      <c r="V2003" s="25"/>
      <c r="W2003" s="25"/>
      <c r="X2003" s="25"/>
      <c r="Y2003" s="25"/>
      <c r="Z2003" s="25"/>
      <c r="AA2003" s="25"/>
    </row>
    <row r="2004" spans="20:27" x14ac:dyDescent="0.35">
      <c r="T2004" s="97"/>
      <c r="U2004" s="97"/>
      <c r="V2004" s="25"/>
      <c r="W2004" s="25"/>
      <c r="X2004" s="25"/>
      <c r="Y2004" s="25"/>
      <c r="Z2004" s="25"/>
      <c r="AA2004" s="25"/>
    </row>
    <row r="2005" spans="20:27" x14ac:dyDescent="0.35">
      <c r="T2005" s="97"/>
      <c r="U2005" s="97"/>
      <c r="V2005" s="25"/>
      <c r="W2005" s="25"/>
      <c r="X2005" s="25"/>
      <c r="Y2005" s="25"/>
      <c r="Z2005" s="25"/>
      <c r="AA2005" s="25"/>
    </row>
    <row r="2006" spans="20:27" x14ac:dyDescent="0.35">
      <c r="T2006" s="97"/>
      <c r="U2006" s="97"/>
      <c r="V2006" s="25"/>
      <c r="W2006" s="25"/>
      <c r="X2006" s="25"/>
      <c r="Y2006" s="25"/>
      <c r="Z2006" s="25"/>
      <c r="AA2006" s="25"/>
    </row>
    <row r="2007" spans="20:27" x14ac:dyDescent="0.35">
      <c r="T2007" s="97"/>
      <c r="U2007" s="97"/>
      <c r="V2007" s="25"/>
      <c r="W2007" s="25"/>
      <c r="X2007" s="25"/>
      <c r="Y2007" s="25"/>
      <c r="Z2007" s="25"/>
      <c r="AA2007" s="25"/>
    </row>
    <row r="2008" spans="20:27" x14ac:dyDescent="0.35">
      <c r="T2008" s="97"/>
      <c r="U2008" s="97"/>
      <c r="V2008" s="25"/>
      <c r="W2008" s="25"/>
      <c r="X2008" s="25"/>
      <c r="Y2008" s="25"/>
      <c r="Z2008" s="25"/>
      <c r="AA2008" s="25"/>
    </row>
    <row r="2009" spans="20:27" x14ac:dyDescent="0.35">
      <c r="T2009" s="97"/>
      <c r="U2009" s="97"/>
      <c r="V2009" s="25"/>
      <c r="W2009" s="25"/>
      <c r="X2009" s="25"/>
      <c r="Y2009" s="25"/>
      <c r="Z2009" s="25"/>
      <c r="AA2009" s="25"/>
    </row>
    <row r="2010" spans="20:27" x14ac:dyDescent="0.35">
      <c r="T2010" s="97"/>
      <c r="U2010" s="97"/>
      <c r="V2010" s="25"/>
      <c r="W2010" s="25"/>
      <c r="X2010" s="25"/>
      <c r="Y2010" s="25"/>
      <c r="Z2010" s="25"/>
      <c r="AA2010" s="25"/>
    </row>
    <row r="2011" spans="20:27" x14ac:dyDescent="0.35">
      <c r="T2011" s="97"/>
      <c r="U2011" s="97"/>
      <c r="V2011" s="25"/>
      <c r="W2011" s="25"/>
      <c r="X2011" s="25"/>
      <c r="Y2011" s="25"/>
      <c r="Z2011" s="25"/>
      <c r="AA2011" s="25"/>
    </row>
    <row r="2012" spans="20:27" x14ac:dyDescent="0.35">
      <c r="T2012" s="97"/>
      <c r="U2012" s="97"/>
      <c r="V2012" s="25"/>
      <c r="W2012" s="25"/>
      <c r="X2012" s="25"/>
      <c r="Y2012" s="25"/>
      <c r="Z2012" s="25"/>
      <c r="AA2012" s="25"/>
    </row>
    <row r="2013" spans="20:27" x14ac:dyDescent="0.35">
      <c r="T2013" s="97"/>
      <c r="U2013" s="97"/>
      <c r="V2013" s="25"/>
      <c r="W2013" s="25"/>
      <c r="X2013" s="25"/>
      <c r="Y2013" s="25"/>
      <c r="Z2013" s="25"/>
      <c r="AA2013" s="25"/>
    </row>
    <row r="2014" spans="20:27" x14ac:dyDescent="0.35">
      <c r="T2014" s="97"/>
      <c r="U2014" s="97"/>
      <c r="V2014" s="25"/>
      <c r="W2014" s="25"/>
      <c r="X2014" s="25"/>
      <c r="Y2014" s="25"/>
      <c r="Z2014" s="25"/>
      <c r="AA2014" s="25"/>
    </row>
    <row r="2015" spans="20:27" x14ac:dyDescent="0.35">
      <c r="T2015" s="97"/>
      <c r="U2015" s="97"/>
      <c r="V2015" s="25"/>
      <c r="W2015" s="25"/>
      <c r="X2015" s="25"/>
      <c r="Y2015" s="25"/>
      <c r="Z2015" s="25"/>
      <c r="AA2015" s="25"/>
    </row>
    <row r="2016" spans="20:27" x14ac:dyDescent="0.35">
      <c r="T2016" s="97"/>
      <c r="U2016" s="97"/>
      <c r="V2016" s="25"/>
      <c r="W2016" s="25"/>
      <c r="X2016" s="25"/>
      <c r="Y2016" s="25"/>
      <c r="Z2016" s="25"/>
      <c r="AA2016" s="25"/>
    </row>
    <row r="2017" spans="20:27" x14ac:dyDescent="0.35">
      <c r="T2017" s="97"/>
      <c r="U2017" s="97"/>
      <c r="V2017" s="25"/>
      <c r="W2017" s="25"/>
      <c r="X2017" s="25"/>
      <c r="Y2017" s="25"/>
      <c r="Z2017" s="25"/>
      <c r="AA2017" s="25"/>
    </row>
    <row r="2018" spans="20:27" x14ac:dyDescent="0.35">
      <c r="T2018" s="97"/>
      <c r="U2018" s="97"/>
      <c r="V2018" s="25"/>
      <c r="W2018" s="25"/>
      <c r="X2018" s="25"/>
      <c r="Y2018" s="25"/>
      <c r="Z2018" s="25"/>
      <c r="AA2018" s="25"/>
    </row>
    <row r="2019" spans="20:27" x14ac:dyDescent="0.35">
      <c r="T2019" s="97"/>
      <c r="U2019" s="97"/>
      <c r="V2019" s="25"/>
      <c r="W2019" s="25"/>
      <c r="X2019" s="25"/>
      <c r="Y2019" s="25"/>
      <c r="Z2019" s="25"/>
      <c r="AA2019" s="25"/>
    </row>
    <row r="2020" spans="20:27" x14ac:dyDescent="0.35">
      <c r="T2020" s="97"/>
      <c r="U2020" s="97"/>
      <c r="V2020" s="25"/>
      <c r="W2020" s="25"/>
      <c r="X2020" s="25"/>
      <c r="Y2020" s="25"/>
      <c r="Z2020" s="25"/>
      <c r="AA2020" s="25"/>
    </row>
    <row r="2021" spans="20:27" x14ac:dyDescent="0.35">
      <c r="T2021" s="97"/>
      <c r="U2021" s="97"/>
      <c r="V2021" s="25"/>
      <c r="W2021" s="25"/>
      <c r="X2021" s="25"/>
      <c r="Y2021" s="25"/>
      <c r="Z2021" s="25"/>
      <c r="AA2021" s="25"/>
    </row>
    <row r="2022" spans="20:27" x14ac:dyDescent="0.35">
      <c r="T2022" s="97"/>
      <c r="U2022" s="97"/>
      <c r="V2022" s="25"/>
      <c r="W2022" s="25"/>
      <c r="X2022" s="25"/>
      <c r="Y2022" s="25"/>
      <c r="Z2022" s="25"/>
      <c r="AA2022" s="25"/>
    </row>
    <row r="2023" spans="20:27" x14ac:dyDescent="0.35">
      <c r="T2023" s="97"/>
      <c r="U2023" s="97"/>
      <c r="V2023" s="25"/>
      <c r="W2023" s="25"/>
      <c r="X2023" s="25"/>
      <c r="Y2023" s="25"/>
      <c r="Z2023" s="25"/>
      <c r="AA2023" s="25"/>
    </row>
    <row r="2024" spans="20:27" x14ac:dyDescent="0.35">
      <c r="T2024" s="97"/>
      <c r="U2024" s="97"/>
      <c r="V2024" s="25"/>
      <c r="W2024" s="25"/>
      <c r="X2024" s="25"/>
      <c r="Y2024" s="25"/>
      <c r="Z2024" s="25"/>
      <c r="AA2024" s="25"/>
    </row>
    <row r="2025" spans="20:27" x14ac:dyDescent="0.35">
      <c r="T2025" s="97"/>
      <c r="U2025" s="97"/>
      <c r="V2025" s="25"/>
      <c r="W2025" s="25"/>
      <c r="X2025" s="25"/>
      <c r="Y2025" s="25"/>
      <c r="Z2025" s="25"/>
      <c r="AA2025" s="25"/>
    </row>
    <row r="2026" spans="20:27" x14ac:dyDescent="0.35">
      <c r="T2026" s="97"/>
      <c r="U2026" s="97"/>
      <c r="V2026" s="25"/>
      <c r="W2026" s="25"/>
      <c r="X2026" s="25"/>
      <c r="Y2026" s="25"/>
      <c r="Z2026" s="25"/>
      <c r="AA2026" s="25"/>
    </row>
    <row r="2027" spans="20:27" x14ac:dyDescent="0.35">
      <c r="T2027" s="97"/>
      <c r="U2027" s="97"/>
      <c r="V2027" s="25"/>
      <c r="W2027" s="25"/>
      <c r="X2027" s="25"/>
      <c r="Y2027" s="25"/>
      <c r="Z2027" s="25"/>
      <c r="AA2027" s="25"/>
    </row>
    <row r="2028" spans="20:27" x14ac:dyDescent="0.35">
      <c r="T2028" s="97"/>
      <c r="U2028" s="97"/>
      <c r="V2028" s="25"/>
      <c r="W2028" s="25"/>
      <c r="X2028" s="25"/>
      <c r="Y2028" s="25"/>
      <c r="Z2028" s="25"/>
      <c r="AA2028" s="25"/>
    </row>
    <row r="2029" spans="20:27" x14ac:dyDescent="0.35">
      <c r="T2029" s="97"/>
      <c r="U2029" s="97"/>
      <c r="V2029" s="25"/>
      <c r="W2029" s="25"/>
      <c r="X2029" s="25"/>
      <c r="Y2029" s="25"/>
      <c r="Z2029" s="25"/>
      <c r="AA2029" s="25"/>
    </row>
    <row r="2030" spans="20:27" x14ac:dyDescent="0.35">
      <c r="T2030" s="97"/>
      <c r="U2030" s="97"/>
      <c r="V2030" s="25"/>
      <c r="W2030" s="25"/>
      <c r="X2030" s="25"/>
      <c r="Y2030" s="25"/>
      <c r="Z2030" s="25"/>
      <c r="AA2030" s="25"/>
    </row>
    <row r="2031" spans="20:27" x14ac:dyDescent="0.35">
      <c r="T2031" s="97"/>
      <c r="U2031" s="97"/>
      <c r="V2031" s="25"/>
      <c r="W2031" s="25"/>
      <c r="X2031" s="25"/>
      <c r="Y2031" s="25"/>
      <c r="Z2031" s="25"/>
      <c r="AA2031" s="25"/>
    </row>
    <row r="2032" spans="20:27" x14ac:dyDescent="0.35">
      <c r="T2032" s="97"/>
      <c r="U2032" s="97"/>
      <c r="V2032" s="25"/>
      <c r="W2032" s="25"/>
      <c r="X2032" s="25"/>
      <c r="Y2032" s="25"/>
      <c r="Z2032" s="25"/>
      <c r="AA2032" s="25"/>
    </row>
    <row r="2033" spans="20:27" x14ac:dyDescent="0.35">
      <c r="T2033" s="97"/>
      <c r="U2033" s="97"/>
      <c r="V2033" s="25"/>
      <c r="W2033" s="25"/>
      <c r="X2033" s="25"/>
      <c r="Y2033" s="25"/>
      <c r="Z2033" s="25"/>
      <c r="AA2033" s="25"/>
    </row>
    <row r="2034" spans="20:27" x14ac:dyDescent="0.35">
      <c r="T2034" s="97"/>
      <c r="U2034" s="97"/>
      <c r="V2034" s="25"/>
      <c r="W2034" s="25"/>
      <c r="X2034" s="25"/>
      <c r="Y2034" s="25"/>
      <c r="Z2034" s="25"/>
      <c r="AA2034" s="25"/>
    </row>
    <row r="2035" spans="20:27" x14ac:dyDescent="0.35">
      <c r="T2035" s="97"/>
      <c r="U2035" s="97"/>
      <c r="V2035" s="25"/>
      <c r="W2035" s="25"/>
      <c r="X2035" s="25"/>
      <c r="Y2035" s="25"/>
      <c r="Z2035" s="25"/>
      <c r="AA2035" s="25"/>
    </row>
    <row r="2036" spans="20:27" x14ac:dyDescent="0.35">
      <c r="T2036" s="97"/>
      <c r="U2036" s="97"/>
      <c r="V2036" s="25"/>
      <c r="W2036" s="25"/>
      <c r="X2036" s="25"/>
      <c r="Y2036" s="25"/>
      <c r="Z2036" s="25"/>
      <c r="AA2036" s="25"/>
    </row>
    <row r="2037" spans="20:27" x14ac:dyDescent="0.35">
      <c r="T2037" s="97"/>
      <c r="U2037" s="97"/>
      <c r="V2037" s="25"/>
      <c r="W2037" s="25"/>
      <c r="X2037" s="25"/>
      <c r="Y2037" s="25"/>
      <c r="Z2037" s="25"/>
      <c r="AA2037" s="25"/>
    </row>
    <row r="2038" spans="20:27" x14ac:dyDescent="0.35">
      <c r="T2038" s="97"/>
      <c r="U2038" s="97"/>
      <c r="V2038" s="25"/>
      <c r="W2038" s="25"/>
      <c r="X2038" s="25"/>
      <c r="Y2038" s="25"/>
      <c r="Z2038" s="25"/>
      <c r="AA2038" s="25"/>
    </row>
    <row r="2039" spans="20:27" x14ac:dyDescent="0.35">
      <c r="T2039" s="97"/>
      <c r="U2039" s="97"/>
      <c r="V2039" s="25"/>
      <c r="W2039" s="25"/>
      <c r="X2039" s="25"/>
      <c r="Y2039" s="25"/>
      <c r="Z2039" s="25"/>
      <c r="AA2039" s="25"/>
    </row>
    <row r="2040" spans="20:27" x14ac:dyDescent="0.35">
      <c r="T2040" s="97"/>
      <c r="U2040" s="97"/>
      <c r="V2040" s="25"/>
      <c r="W2040" s="25"/>
      <c r="X2040" s="25"/>
      <c r="Y2040" s="25"/>
      <c r="Z2040" s="25"/>
      <c r="AA2040" s="25"/>
    </row>
    <row r="2041" spans="20:27" x14ac:dyDescent="0.35">
      <c r="T2041" s="97"/>
      <c r="U2041" s="97"/>
      <c r="V2041" s="25"/>
      <c r="W2041" s="25"/>
      <c r="X2041" s="25"/>
      <c r="Y2041" s="25"/>
      <c r="Z2041" s="25"/>
      <c r="AA2041" s="25"/>
    </row>
    <row r="2042" spans="20:27" x14ac:dyDescent="0.35">
      <c r="T2042" s="97"/>
      <c r="U2042" s="97"/>
      <c r="V2042" s="25"/>
      <c r="W2042" s="25"/>
      <c r="X2042" s="25"/>
      <c r="Y2042" s="25"/>
      <c r="Z2042" s="25"/>
      <c r="AA2042" s="25"/>
    </row>
    <row r="2043" spans="20:27" x14ac:dyDescent="0.35">
      <c r="T2043" s="97"/>
      <c r="U2043" s="97"/>
      <c r="V2043" s="25"/>
      <c r="W2043" s="25"/>
      <c r="X2043" s="25"/>
      <c r="Y2043" s="25"/>
      <c r="Z2043" s="25"/>
      <c r="AA2043" s="25"/>
    </row>
    <row r="2044" spans="20:27" x14ac:dyDescent="0.35">
      <c r="T2044" s="97"/>
      <c r="U2044" s="97"/>
      <c r="V2044" s="25"/>
      <c r="W2044" s="25"/>
      <c r="X2044" s="25"/>
      <c r="Y2044" s="25"/>
      <c r="Z2044" s="25"/>
      <c r="AA2044" s="25"/>
    </row>
    <row r="2045" spans="20:27" x14ac:dyDescent="0.35">
      <c r="T2045" s="97"/>
      <c r="U2045" s="97"/>
      <c r="V2045" s="25"/>
      <c r="W2045" s="25"/>
      <c r="X2045" s="25"/>
      <c r="Y2045" s="25"/>
      <c r="Z2045" s="25"/>
      <c r="AA2045" s="25"/>
    </row>
    <row r="2046" spans="20:27" x14ac:dyDescent="0.35">
      <c r="T2046" s="97"/>
      <c r="U2046" s="97"/>
      <c r="V2046" s="25"/>
      <c r="W2046" s="25"/>
      <c r="X2046" s="25"/>
      <c r="Y2046" s="25"/>
      <c r="Z2046" s="25"/>
      <c r="AA2046" s="25"/>
    </row>
    <row r="2047" spans="20:27" x14ac:dyDescent="0.35">
      <c r="T2047" s="97"/>
      <c r="U2047" s="97"/>
      <c r="V2047" s="25"/>
      <c r="W2047" s="25"/>
      <c r="X2047" s="25"/>
      <c r="Y2047" s="25"/>
      <c r="Z2047" s="25"/>
      <c r="AA2047" s="25"/>
    </row>
    <row r="2048" spans="20:27" x14ac:dyDescent="0.35">
      <c r="T2048" s="97"/>
      <c r="U2048" s="97"/>
      <c r="V2048" s="25"/>
      <c r="W2048" s="25"/>
      <c r="X2048" s="25"/>
      <c r="Y2048" s="25"/>
      <c r="Z2048" s="25"/>
      <c r="AA2048" s="25"/>
    </row>
    <row r="2049" spans="20:27" x14ac:dyDescent="0.35">
      <c r="T2049" s="97"/>
      <c r="U2049" s="97"/>
      <c r="V2049" s="25"/>
      <c r="W2049" s="25"/>
      <c r="X2049" s="25"/>
      <c r="Y2049" s="25"/>
      <c r="Z2049" s="25"/>
      <c r="AA2049" s="25"/>
    </row>
    <row r="2050" spans="20:27" x14ac:dyDescent="0.35">
      <c r="T2050" s="97"/>
      <c r="U2050" s="97"/>
      <c r="V2050" s="25"/>
      <c r="W2050" s="25"/>
      <c r="X2050" s="25"/>
      <c r="Y2050" s="25"/>
      <c r="Z2050" s="25"/>
      <c r="AA2050" s="25"/>
    </row>
    <row r="2051" spans="20:27" x14ac:dyDescent="0.35">
      <c r="T2051" s="97"/>
      <c r="U2051" s="97"/>
      <c r="V2051" s="25"/>
      <c r="W2051" s="25"/>
      <c r="X2051" s="25"/>
      <c r="Y2051" s="25"/>
      <c r="Z2051" s="25"/>
      <c r="AA2051" s="25"/>
    </row>
    <row r="2052" spans="20:27" x14ac:dyDescent="0.35">
      <c r="T2052" s="97"/>
      <c r="U2052" s="97"/>
      <c r="V2052" s="25"/>
      <c r="W2052" s="25"/>
      <c r="X2052" s="25"/>
      <c r="Y2052" s="25"/>
      <c r="Z2052" s="25"/>
      <c r="AA2052" s="25"/>
    </row>
    <row r="2053" spans="20:27" x14ac:dyDescent="0.35">
      <c r="T2053" s="97"/>
      <c r="U2053" s="97"/>
      <c r="V2053" s="25"/>
      <c r="W2053" s="25"/>
      <c r="X2053" s="25"/>
      <c r="Y2053" s="25"/>
      <c r="Z2053" s="25"/>
      <c r="AA2053" s="25"/>
    </row>
    <row r="2054" spans="20:27" x14ac:dyDescent="0.35">
      <c r="T2054" s="97"/>
      <c r="U2054" s="97"/>
      <c r="V2054" s="25"/>
      <c r="W2054" s="25"/>
      <c r="X2054" s="25"/>
      <c r="Y2054" s="25"/>
      <c r="Z2054" s="25"/>
      <c r="AA2054" s="25"/>
    </row>
    <row r="2055" spans="20:27" x14ac:dyDescent="0.35">
      <c r="T2055" s="97"/>
      <c r="U2055" s="97"/>
      <c r="V2055" s="25"/>
      <c r="W2055" s="25"/>
      <c r="X2055" s="25"/>
      <c r="Y2055" s="25"/>
      <c r="Z2055" s="25"/>
      <c r="AA2055" s="25"/>
    </row>
    <row r="2056" spans="20:27" x14ac:dyDescent="0.35">
      <c r="T2056" s="97"/>
      <c r="U2056" s="97"/>
      <c r="V2056" s="25"/>
      <c r="W2056" s="25"/>
      <c r="X2056" s="25"/>
      <c r="Y2056" s="25"/>
      <c r="Z2056" s="25"/>
      <c r="AA2056" s="25"/>
    </row>
    <row r="2057" spans="20:27" x14ac:dyDescent="0.35">
      <c r="T2057" s="97"/>
      <c r="U2057" s="97"/>
      <c r="V2057" s="25"/>
      <c r="W2057" s="25"/>
      <c r="X2057" s="25"/>
      <c r="Y2057" s="25"/>
      <c r="Z2057" s="25"/>
      <c r="AA2057" s="25"/>
    </row>
    <row r="2058" spans="20:27" x14ac:dyDescent="0.35">
      <c r="T2058" s="97"/>
      <c r="U2058" s="97"/>
      <c r="V2058" s="25"/>
      <c r="W2058" s="25"/>
      <c r="X2058" s="25"/>
      <c r="Y2058" s="25"/>
      <c r="Z2058" s="25"/>
      <c r="AA2058" s="25"/>
    </row>
    <row r="2059" spans="20:27" x14ac:dyDescent="0.35">
      <c r="T2059" s="97"/>
      <c r="U2059" s="97"/>
      <c r="V2059" s="25"/>
      <c r="W2059" s="25"/>
      <c r="X2059" s="25"/>
      <c r="Y2059" s="25"/>
      <c r="Z2059" s="25"/>
      <c r="AA2059" s="25"/>
    </row>
    <row r="2060" spans="20:27" x14ac:dyDescent="0.35">
      <c r="T2060" s="97"/>
      <c r="U2060" s="97"/>
      <c r="V2060" s="25"/>
      <c r="W2060" s="25"/>
      <c r="X2060" s="25"/>
      <c r="Y2060" s="25"/>
      <c r="Z2060" s="25"/>
      <c r="AA2060" s="25"/>
    </row>
    <row r="2061" spans="20:27" x14ac:dyDescent="0.35">
      <c r="T2061" s="97"/>
      <c r="U2061" s="97"/>
      <c r="V2061" s="25"/>
      <c r="W2061" s="25"/>
      <c r="X2061" s="25"/>
      <c r="Y2061" s="25"/>
      <c r="Z2061" s="25"/>
      <c r="AA2061" s="25"/>
    </row>
    <row r="2062" spans="20:27" x14ac:dyDescent="0.35">
      <c r="T2062" s="97"/>
      <c r="U2062" s="97"/>
      <c r="V2062" s="25"/>
      <c r="W2062" s="25"/>
      <c r="X2062" s="25"/>
      <c r="Y2062" s="25"/>
      <c r="Z2062" s="25"/>
      <c r="AA2062" s="25"/>
    </row>
    <row r="2063" spans="20:27" x14ac:dyDescent="0.35">
      <c r="T2063" s="97"/>
      <c r="U2063" s="97"/>
      <c r="V2063" s="25"/>
      <c r="W2063" s="25"/>
      <c r="X2063" s="25"/>
      <c r="Y2063" s="25"/>
      <c r="Z2063" s="25"/>
      <c r="AA2063" s="25"/>
    </row>
    <row r="2064" spans="20:27" x14ac:dyDescent="0.35">
      <c r="T2064" s="97"/>
      <c r="U2064" s="97"/>
      <c r="V2064" s="25"/>
      <c r="W2064" s="25"/>
      <c r="X2064" s="25"/>
      <c r="Y2064" s="25"/>
      <c r="Z2064" s="25"/>
      <c r="AA2064" s="25"/>
    </row>
    <row r="2065" spans="20:27" x14ac:dyDescent="0.35">
      <c r="T2065" s="97"/>
      <c r="U2065" s="97"/>
      <c r="V2065" s="25"/>
      <c r="W2065" s="25"/>
      <c r="X2065" s="25"/>
      <c r="Y2065" s="25"/>
      <c r="Z2065" s="25"/>
      <c r="AA2065" s="25"/>
    </row>
    <row r="2066" spans="20:27" x14ac:dyDescent="0.35">
      <c r="T2066" s="97"/>
      <c r="U2066" s="97"/>
      <c r="V2066" s="25"/>
      <c r="W2066" s="25"/>
      <c r="X2066" s="25"/>
      <c r="Y2066" s="25"/>
      <c r="Z2066" s="25"/>
      <c r="AA2066" s="25"/>
    </row>
    <row r="2067" spans="20:27" x14ac:dyDescent="0.35">
      <c r="T2067" s="97"/>
      <c r="U2067" s="97"/>
      <c r="V2067" s="25"/>
      <c r="W2067" s="25"/>
      <c r="X2067" s="25"/>
      <c r="Y2067" s="25"/>
      <c r="Z2067" s="25"/>
      <c r="AA2067" s="25"/>
    </row>
    <row r="2068" spans="20:27" x14ac:dyDescent="0.35">
      <c r="T2068" s="97"/>
      <c r="U2068" s="97"/>
      <c r="V2068" s="25"/>
      <c r="W2068" s="25"/>
      <c r="X2068" s="25"/>
      <c r="Y2068" s="25"/>
      <c r="Z2068" s="25"/>
      <c r="AA2068" s="25"/>
    </row>
    <row r="2069" spans="20:27" x14ac:dyDescent="0.35">
      <c r="T2069" s="97"/>
      <c r="U2069" s="97"/>
      <c r="V2069" s="25"/>
      <c r="W2069" s="25"/>
      <c r="X2069" s="25"/>
      <c r="Y2069" s="25"/>
      <c r="Z2069" s="25"/>
      <c r="AA2069" s="25"/>
    </row>
    <row r="2070" spans="20:27" x14ac:dyDescent="0.35">
      <c r="T2070" s="97"/>
      <c r="U2070" s="97"/>
      <c r="V2070" s="25"/>
      <c r="W2070" s="25"/>
      <c r="X2070" s="25"/>
      <c r="Y2070" s="25"/>
      <c r="Z2070" s="25"/>
      <c r="AA2070" s="25"/>
    </row>
    <row r="2071" spans="20:27" x14ac:dyDescent="0.35">
      <c r="T2071" s="97"/>
      <c r="U2071" s="97"/>
      <c r="V2071" s="25"/>
      <c r="W2071" s="25"/>
      <c r="X2071" s="25"/>
      <c r="Y2071" s="25"/>
      <c r="Z2071" s="25"/>
      <c r="AA2071" s="25"/>
    </row>
    <row r="2072" spans="20:27" x14ac:dyDescent="0.35">
      <c r="T2072" s="97"/>
      <c r="U2072" s="97"/>
      <c r="V2072" s="25"/>
      <c r="W2072" s="25"/>
      <c r="X2072" s="25"/>
      <c r="Y2072" s="25"/>
      <c r="Z2072" s="25"/>
      <c r="AA2072" s="25"/>
    </row>
    <row r="2073" spans="20:27" x14ac:dyDescent="0.35">
      <c r="T2073" s="97"/>
      <c r="U2073" s="97"/>
      <c r="V2073" s="25"/>
      <c r="W2073" s="25"/>
      <c r="X2073" s="25"/>
      <c r="Y2073" s="25"/>
      <c r="Z2073" s="25"/>
      <c r="AA2073" s="25"/>
    </row>
    <row r="2074" spans="20:27" x14ac:dyDescent="0.35">
      <c r="T2074" s="97"/>
      <c r="U2074" s="97"/>
      <c r="V2074" s="25"/>
      <c r="W2074" s="25"/>
      <c r="X2074" s="25"/>
      <c r="Y2074" s="25"/>
      <c r="Z2074" s="25"/>
      <c r="AA2074" s="25"/>
    </row>
    <row r="2075" spans="20:27" x14ac:dyDescent="0.35">
      <c r="T2075" s="97"/>
      <c r="U2075" s="97"/>
      <c r="V2075" s="25"/>
      <c r="W2075" s="25"/>
      <c r="X2075" s="25"/>
      <c r="Y2075" s="25"/>
      <c r="Z2075" s="25"/>
      <c r="AA2075" s="25"/>
    </row>
    <row r="2076" spans="20:27" x14ac:dyDescent="0.35">
      <c r="T2076" s="97"/>
      <c r="U2076" s="97"/>
      <c r="V2076" s="25"/>
      <c r="W2076" s="25"/>
      <c r="X2076" s="25"/>
      <c r="Y2076" s="25"/>
      <c r="Z2076" s="25"/>
      <c r="AA2076" s="25"/>
    </row>
    <row r="2077" spans="20:27" x14ac:dyDescent="0.35">
      <c r="T2077" s="97"/>
      <c r="U2077" s="97"/>
      <c r="V2077" s="25"/>
      <c r="W2077" s="25"/>
      <c r="X2077" s="25"/>
      <c r="Y2077" s="25"/>
      <c r="Z2077" s="25"/>
      <c r="AA2077" s="25"/>
    </row>
    <row r="2078" spans="20:27" x14ac:dyDescent="0.35">
      <c r="T2078" s="97"/>
      <c r="U2078" s="97"/>
      <c r="V2078" s="25"/>
      <c r="W2078" s="25"/>
      <c r="X2078" s="25"/>
      <c r="Y2078" s="25"/>
      <c r="Z2078" s="25"/>
      <c r="AA2078" s="25"/>
    </row>
    <row r="2079" spans="20:27" x14ac:dyDescent="0.35">
      <c r="T2079" s="97"/>
      <c r="U2079" s="97"/>
      <c r="V2079" s="25"/>
      <c r="W2079" s="25"/>
      <c r="X2079" s="25"/>
      <c r="Y2079" s="25"/>
      <c r="Z2079" s="25"/>
      <c r="AA2079" s="25"/>
    </row>
    <row r="2080" spans="20:27" x14ac:dyDescent="0.35">
      <c r="T2080" s="97"/>
      <c r="U2080" s="97"/>
      <c r="V2080" s="25"/>
      <c r="W2080" s="25"/>
      <c r="X2080" s="25"/>
      <c r="Y2080" s="25"/>
      <c r="Z2080" s="25"/>
      <c r="AA2080" s="25"/>
    </row>
    <row r="2081" spans="20:27" x14ac:dyDescent="0.35">
      <c r="T2081" s="97"/>
      <c r="U2081" s="97"/>
      <c r="V2081" s="25"/>
      <c r="W2081" s="25"/>
      <c r="X2081" s="25"/>
      <c r="Y2081" s="25"/>
      <c r="Z2081" s="25"/>
      <c r="AA2081" s="25"/>
    </row>
    <row r="2082" spans="20:27" x14ac:dyDescent="0.35">
      <c r="T2082" s="97"/>
      <c r="U2082" s="97"/>
      <c r="V2082" s="25"/>
      <c r="W2082" s="25"/>
      <c r="X2082" s="25"/>
      <c r="Y2082" s="25"/>
      <c r="Z2082" s="25"/>
      <c r="AA2082" s="25"/>
    </row>
    <row r="2083" spans="20:27" x14ac:dyDescent="0.35">
      <c r="T2083" s="97"/>
      <c r="U2083" s="97"/>
      <c r="V2083" s="25"/>
      <c r="W2083" s="25"/>
      <c r="X2083" s="25"/>
      <c r="Y2083" s="25"/>
      <c r="Z2083" s="25"/>
      <c r="AA2083" s="25"/>
    </row>
    <row r="2084" spans="20:27" x14ac:dyDescent="0.35">
      <c r="T2084" s="97"/>
      <c r="U2084" s="97"/>
      <c r="V2084" s="25"/>
      <c r="W2084" s="25"/>
      <c r="X2084" s="25"/>
      <c r="Y2084" s="25"/>
      <c r="Z2084" s="25"/>
      <c r="AA2084" s="25"/>
    </row>
    <row r="2085" spans="20:27" x14ac:dyDescent="0.35">
      <c r="T2085" s="97"/>
      <c r="U2085" s="97"/>
      <c r="V2085" s="25"/>
      <c r="W2085" s="25"/>
      <c r="X2085" s="25"/>
      <c r="Y2085" s="25"/>
      <c r="Z2085" s="25"/>
      <c r="AA2085" s="25"/>
    </row>
    <row r="2086" spans="20:27" x14ac:dyDescent="0.35">
      <c r="T2086" s="97"/>
      <c r="U2086" s="97"/>
      <c r="V2086" s="25"/>
      <c r="W2086" s="25"/>
      <c r="X2086" s="25"/>
      <c r="Y2086" s="25"/>
      <c r="Z2086" s="25"/>
      <c r="AA2086" s="25"/>
    </row>
    <row r="2087" spans="20:27" x14ac:dyDescent="0.35">
      <c r="T2087" s="97"/>
      <c r="U2087" s="97"/>
      <c r="V2087" s="25"/>
      <c r="W2087" s="25"/>
      <c r="X2087" s="25"/>
      <c r="Y2087" s="25"/>
      <c r="Z2087" s="25"/>
      <c r="AA2087" s="25"/>
    </row>
    <row r="2088" spans="20:27" x14ac:dyDescent="0.35">
      <c r="T2088" s="97"/>
      <c r="U2088" s="97"/>
      <c r="V2088" s="25"/>
      <c r="W2088" s="25"/>
      <c r="X2088" s="25"/>
      <c r="Y2088" s="25"/>
      <c r="Z2088" s="25"/>
      <c r="AA2088" s="25"/>
    </row>
    <row r="2089" spans="20:27" x14ac:dyDescent="0.35">
      <c r="T2089" s="97"/>
      <c r="U2089" s="97"/>
      <c r="V2089" s="25"/>
      <c r="W2089" s="25"/>
      <c r="X2089" s="25"/>
      <c r="Y2089" s="25"/>
      <c r="Z2089" s="25"/>
      <c r="AA2089" s="25"/>
    </row>
    <row r="2090" spans="20:27" x14ac:dyDescent="0.35">
      <c r="T2090" s="97"/>
      <c r="U2090" s="97"/>
      <c r="V2090" s="25"/>
      <c r="W2090" s="25"/>
      <c r="X2090" s="25"/>
      <c r="Y2090" s="25"/>
      <c r="Z2090" s="25"/>
      <c r="AA2090" s="25"/>
    </row>
    <row r="2091" spans="20:27" x14ac:dyDescent="0.35">
      <c r="T2091" s="97"/>
      <c r="U2091" s="97"/>
      <c r="V2091" s="25"/>
      <c r="W2091" s="25"/>
      <c r="X2091" s="25"/>
      <c r="Y2091" s="25"/>
      <c r="Z2091" s="25"/>
      <c r="AA2091" s="25"/>
    </row>
    <row r="2092" spans="20:27" x14ac:dyDescent="0.35">
      <c r="T2092" s="97"/>
      <c r="U2092" s="97"/>
      <c r="V2092" s="25"/>
      <c r="W2092" s="25"/>
      <c r="X2092" s="25"/>
      <c r="Y2092" s="25"/>
      <c r="Z2092" s="25"/>
      <c r="AA2092" s="25"/>
    </row>
    <row r="2093" spans="20:27" x14ac:dyDescent="0.35">
      <c r="T2093" s="97"/>
      <c r="U2093" s="97"/>
      <c r="V2093" s="25"/>
      <c r="W2093" s="25"/>
      <c r="X2093" s="25"/>
      <c r="Y2093" s="25"/>
      <c r="Z2093" s="25"/>
      <c r="AA2093" s="25"/>
    </row>
    <row r="2094" spans="20:27" x14ac:dyDescent="0.35">
      <c r="T2094" s="97"/>
      <c r="U2094" s="97"/>
      <c r="V2094" s="25"/>
      <c r="W2094" s="25"/>
      <c r="X2094" s="25"/>
      <c r="Y2094" s="25"/>
      <c r="Z2094" s="25"/>
      <c r="AA2094" s="25"/>
    </row>
    <row r="2095" spans="20:27" x14ac:dyDescent="0.35">
      <c r="T2095" s="97"/>
      <c r="U2095" s="97"/>
      <c r="V2095" s="25"/>
      <c r="W2095" s="25"/>
      <c r="X2095" s="25"/>
      <c r="Y2095" s="25"/>
      <c r="Z2095" s="25"/>
      <c r="AA2095" s="25"/>
    </row>
    <row r="2096" spans="20:27" x14ac:dyDescent="0.35">
      <c r="T2096" s="97"/>
      <c r="U2096" s="97"/>
      <c r="V2096" s="25"/>
      <c r="W2096" s="25"/>
      <c r="X2096" s="25"/>
      <c r="Y2096" s="25"/>
      <c r="Z2096" s="25"/>
      <c r="AA2096" s="25"/>
    </row>
    <row r="2097" spans="20:27" x14ac:dyDescent="0.35">
      <c r="T2097" s="97"/>
      <c r="U2097" s="97"/>
      <c r="V2097" s="25"/>
      <c r="W2097" s="25"/>
      <c r="X2097" s="25"/>
      <c r="Y2097" s="25"/>
      <c r="Z2097" s="25"/>
      <c r="AA2097" s="25"/>
    </row>
    <row r="2098" spans="20:27" x14ac:dyDescent="0.35">
      <c r="T2098" s="97"/>
      <c r="U2098" s="97"/>
      <c r="V2098" s="25"/>
      <c r="W2098" s="25"/>
      <c r="X2098" s="25"/>
      <c r="Y2098" s="25"/>
      <c r="Z2098" s="25"/>
      <c r="AA2098" s="25"/>
    </row>
    <row r="2099" spans="20:27" x14ac:dyDescent="0.35">
      <c r="T2099" s="97"/>
      <c r="U2099" s="97"/>
      <c r="V2099" s="25"/>
      <c r="W2099" s="25"/>
      <c r="X2099" s="25"/>
      <c r="Y2099" s="25"/>
      <c r="Z2099" s="25"/>
      <c r="AA2099" s="25"/>
    </row>
    <row r="2100" spans="20:27" x14ac:dyDescent="0.35">
      <c r="T2100" s="97"/>
      <c r="U2100" s="97"/>
      <c r="V2100" s="25"/>
      <c r="W2100" s="25"/>
      <c r="X2100" s="25"/>
      <c r="Y2100" s="25"/>
      <c r="Z2100" s="25"/>
      <c r="AA2100" s="25"/>
    </row>
    <row r="2101" spans="20:27" x14ac:dyDescent="0.35">
      <c r="T2101" s="97"/>
      <c r="U2101" s="97"/>
      <c r="V2101" s="25"/>
      <c r="W2101" s="25"/>
      <c r="X2101" s="25"/>
      <c r="Y2101" s="25"/>
      <c r="Z2101" s="25"/>
      <c r="AA2101" s="25"/>
    </row>
    <row r="2102" spans="20:27" x14ac:dyDescent="0.35">
      <c r="T2102" s="97"/>
      <c r="U2102" s="97"/>
      <c r="V2102" s="25"/>
      <c r="W2102" s="25"/>
      <c r="X2102" s="25"/>
      <c r="Y2102" s="25"/>
      <c r="Z2102" s="25"/>
      <c r="AA2102" s="25"/>
    </row>
    <row r="2103" spans="20:27" x14ac:dyDescent="0.35">
      <c r="T2103" s="97"/>
      <c r="U2103" s="97"/>
      <c r="V2103" s="25"/>
      <c r="W2103" s="25"/>
      <c r="X2103" s="25"/>
      <c r="Y2103" s="25"/>
      <c r="Z2103" s="25"/>
      <c r="AA2103" s="25"/>
    </row>
    <row r="2104" spans="20:27" x14ac:dyDescent="0.35">
      <c r="T2104" s="97"/>
      <c r="U2104" s="97"/>
      <c r="V2104" s="25"/>
      <c r="W2104" s="25"/>
      <c r="X2104" s="25"/>
      <c r="Y2104" s="25"/>
      <c r="Z2104" s="25"/>
      <c r="AA2104" s="25"/>
    </row>
    <row r="2105" spans="20:27" x14ac:dyDescent="0.35">
      <c r="T2105" s="97"/>
      <c r="U2105" s="97"/>
      <c r="V2105" s="25"/>
      <c r="W2105" s="25"/>
      <c r="X2105" s="25"/>
      <c r="Y2105" s="25"/>
      <c r="Z2105" s="25"/>
      <c r="AA2105" s="25"/>
    </row>
    <row r="2106" spans="20:27" x14ac:dyDescent="0.35">
      <c r="T2106" s="97"/>
      <c r="U2106" s="97"/>
      <c r="V2106" s="25"/>
      <c r="W2106" s="25"/>
      <c r="X2106" s="25"/>
      <c r="Y2106" s="25"/>
      <c r="Z2106" s="25"/>
      <c r="AA2106" s="25"/>
    </row>
    <row r="2107" spans="20:27" x14ac:dyDescent="0.35">
      <c r="T2107" s="97"/>
      <c r="U2107" s="97"/>
      <c r="V2107" s="25"/>
      <c r="W2107" s="25"/>
      <c r="X2107" s="25"/>
      <c r="Y2107" s="25"/>
      <c r="Z2107" s="25"/>
      <c r="AA2107" s="25"/>
    </row>
    <row r="2108" spans="20:27" x14ac:dyDescent="0.35">
      <c r="T2108" s="97"/>
      <c r="U2108" s="97"/>
      <c r="V2108" s="25"/>
      <c r="W2108" s="25"/>
      <c r="X2108" s="25"/>
      <c r="Y2108" s="25"/>
      <c r="Z2108" s="25"/>
      <c r="AA2108" s="25"/>
    </row>
    <row r="2109" spans="20:27" x14ac:dyDescent="0.35">
      <c r="T2109" s="97"/>
      <c r="U2109" s="97"/>
      <c r="V2109" s="25"/>
      <c r="W2109" s="25"/>
      <c r="X2109" s="25"/>
      <c r="Y2109" s="25"/>
      <c r="Z2109" s="25"/>
      <c r="AA2109" s="25"/>
    </row>
    <row r="2110" spans="20:27" x14ac:dyDescent="0.35">
      <c r="T2110" s="97"/>
      <c r="U2110" s="97"/>
      <c r="V2110" s="25"/>
      <c r="W2110" s="25"/>
      <c r="X2110" s="25"/>
      <c r="Y2110" s="25"/>
      <c r="Z2110" s="25"/>
      <c r="AA2110" s="25"/>
    </row>
    <row r="2111" spans="20:27" x14ac:dyDescent="0.35">
      <c r="T2111" s="97"/>
      <c r="U2111" s="97"/>
      <c r="V2111" s="25"/>
      <c r="W2111" s="25"/>
      <c r="X2111" s="25"/>
      <c r="Y2111" s="25"/>
      <c r="Z2111" s="25"/>
      <c r="AA2111" s="25"/>
    </row>
    <row r="2112" spans="20:27" x14ac:dyDescent="0.35">
      <c r="T2112" s="97"/>
      <c r="U2112" s="97"/>
      <c r="V2112" s="25"/>
      <c r="W2112" s="25"/>
      <c r="X2112" s="25"/>
      <c r="Y2112" s="25"/>
      <c r="Z2112" s="25"/>
      <c r="AA2112" s="25"/>
    </row>
    <row r="2113" spans="20:27" x14ac:dyDescent="0.35">
      <c r="T2113" s="97"/>
      <c r="U2113" s="97"/>
      <c r="V2113" s="25"/>
      <c r="W2113" s="25"/>
      <c r="X2113" s="25"/>
      <c r="Y2113" s="25"/>
      <c r="Z2113" s="25"/>
      <c r="AA2113" s="25"/>
    </row>
    <row r="2114" spans="20:27" x14ac:dyDescent="0.35">
      <c r="T2114" s="97"/>
      <c r="U2114" s="97"/>
      <c r="V2114" s="25"/>
      <c r="W2114" s="25"/>
      <c r="X2114" s="25"/>
      <c r="Y2114" s="25"/>
      <c r="Z2114" s="25"/>
      <c r="AA2114" s="25"/>
    </row>
    <row r="2115" spans="20:27" x14ac:dyDescent="0.35">
      <c r="T2115" s="97"/>
      <c r="U2115" s="97"/>
      <c r="V2115" s="25"/>
      <c r="W2115" s="25"/>
      <c r="X2115" s="25"/>
      <c r="Y2115" s="25"/>
      <c r="Z2115" s="25"/>
      <c r="AA2115" s="25"/>
    </row>
    <row r="2116" spans="20:27" x14ac:dyDescent="0.35">
      <c r="T2116" s="97"/>
      <c r="U2116" s="97"/>
      <c r="V2116" s="25"/>
      <c r="W2116" s="25"/>
      <c r="X2116" s="25"/>
      <c r="Y2116" s="25"/>
      <c r="Z2116" s="25"/>
      <c r="AA2116" s="25"/>
    </row>
    <row r="2117" spans="20:27" x14ac:dyDescent="0.35">
      <c r="T2117" s="97"/>
      <c r="U2117" s="97"/>
      <c r="V2117" s="25"/>
      <c r="W2117" s="25"/>
      <c r="X2117" s="25"/>
      <c r="Y2117" s="25"/>
      <c r="Z2117" s="25"/>
      <c r="AA2117" s="25"/>
    </row>
    <row r="2118" spans="20:27" x14ac:dyDescent="0.35">
      <c r="T2118" s="97"/>
      <c r="U2118" s="97"/>
      <c r="V2118" s="25"/>
      <c r="W2118" s="25"/>
      <c r="X2118" s="25"/>
      <c r="Y2118" s="25"/>
      <c r="Z2118" s="25"/>
      <c r="AA2118" s="25"/>
    </row>
    <row r="2119" spans="20:27" x14ac:dyDescent="0.35">
      <c r="T2119" s="97"/>
      <c r="U2119" s="97"/>
      <c r="V2119" s="25"/>
      <c r="W2119" s="25"/>
      <c r="X2119" s="25"/>
      <c r="Y2119" s="25"/>
      <c r="Z2119" s="25"/>
      <c r="AA2119" s="25"/>
    </row>
    <row r="2120" spans="20:27" x14ac:dyDescent="0.35">
      <c r="T2120" s="97"/>
      <c r="U2120" s="97"/>
      <c r="V2120" s="25"/>
      <c r="W2120" s="25"/>
      <c r="X2120" s="25"/>
      <c r="Y2120" s="25"/>
      <c r="Z2120" s="25"/>
      <c r="AA2120" s="25"/>
    </row>
    <row r="2121" spans="20:27" x14ac:dyDescent="0.35">
      <c r="T2121" s="97"/>
      <c r="U2121" s="97"/>
      <c r="V2121" s="25"/>
      <c r="W2121" s="25"/>
      <c r="X2121" s="25"/>
      <c r="Y2121" s="25"/>
      <c r="Z2121" s="25"/>
      <c r="AA2121" s="25"/>
    </row>
    <row r="2122" spans="20:27" x14ac:dyDescent="0.35">
      <c r="T2122" s="97"/>
      <c r="U2122" s="97"/>
      <c r="V2122" s="25"/>
      <c r="W2122" s="25"/>
      <c r="X2122" s="25"/>
      <c r="Y2122" s="25"/>
      <c r="Z2122" s="25"/>
      <c r="AA2122" s="25"/>
    </row>
    <row r="2123" spans="20:27" x14ac:dyDescent="0.35">
      <c r="T2123" s="97"/>
      <c r="U2123" s="97"/>
      <c r="V2123" s="25"/>
      <c r="W2123" s="25"/>
      <c r="X2123" s="25"/>
      <c r="Y2123" s="25"/>
      <c r="Z2123" s="25"/>
      <c r="AA2123" s="25"/>
    </row>
    <row r="2124" spans="20:27" x14ac:dyDescent="0.35">
      <c r="T2124" s="97"/>
      <c r="U2124" s="97"/>
      <c r="V2124" s="25"/>
      <c r="W2124" s="25"/>
      <c r="X2124" s="25"/>
      <c r="Y2124" s="25"/>
      <c r="Z2124" s="25"/>
      <c r="AA2124" s="25"/>
    </row>
    <row r="2125" spans="20:27" x14ac:dyDescent="0.35">
      <c r="T2125" s="97"/>
      <c r="U2125" s="97"/>
      <c r="V2125" s="25"/>
      <c r="W2125" s="25"/>
      <c r="X2125" s="25"/>
      <c r="Y2125" s="25"/>
      <c r="Z2125" s="25"/>
      <c r="AA2125" s="25"/>
    </row>
    <row r="2126" spans="20:27" x14ac:dyDescent="0.35">
      <c r="T2126" s="97"/>
      <c r="U2126" s="97"/>
      <c r="V2126" s="25"/>
      <c r="W2126" s="25"/>
      <c r="X2126" s="25"/>
      <c r="Y2126" s="25"/>
      <c r="Z2126" s="25"/>
      <c r="AA2126" s="25"/>
    </row>
    <row r="2127" spans="20:27" x14ac:dyDescent="0.35">
      <c r="T2127" s="97"/>
      <c r="U2127" s="97"/>
      <c r="V2127" s="25"/>
      <c r="W2127" s="25"/>
      <c r="X2127" s="25"/>
      <c r="Y2127" s="25"/>
      <c r="Z2127" s="25"/>
      <c r="AA2127" s="25"/>
    </row>
    <row r="2128" spans="20:27" x14ac:dyDescent="0.35">
      <c r="T2128" s="97"/>
      <c r="U2128" s="97"/>
      <c r="V2128" s="25"/>
      <c r="W2128" s="25"/>
      <c r="X2128" s="25"/>
      <c r="Y2128" s="25"/>
      <c r="Z2128" s="25"/>
      <c r="AA2128" s="25"/>
    </row>
    <row r="2129" spans="20:27" x14ac:dyDescent="0.35">
      <c r="T2129" s="97"/>
      <c r="U2129" s="97"/>
      <c r="V2129" s="25"/>
      <c r="W2129" s="25"/>
      <c r="X2129" s="25"/>
      <c r="Y2129" s="25"/>
      <c r="Z2129" s="25"/>
      <c r="AA2129" s="25"/>
    </row>
    <row r="2130" spans="20:27" x14ac:dyDescent="0.35">
      <c r="T2130" s="97"/>
      <c r="U2130" s="97"/>
      <c r="V2130" s="25"/>
      <c r="W2130" s="25"/>
      <c r="X2130" s="25"/>
      <c r="Y2130" s="25"/>
      <c r="Z2130" s="25"/>
      <c r="AA2130" s="25"/>
    </row>
    <row r="2131" spans="20:27" x14ac:dyDescent="0.35">
      <c r="T2131" s="97"/>
      <c r="U2131" s="97"/>
      <c r="V2131" s="25"/>
      <c r="W2131" s="25"/>
      <c r="X2131" s="25"/>
      <c r="Y2131" s="25"/>
      <c r="Z2131" s="25"/>
      <c r="AA2131" s="25"/>
    </row>
    <row r="2132" spans="20:27" x14ac:dyDescent="0.35">
      <c r="T2132" s="97"/>
      <c r="U2132" s="97"/>
      <c r="V2132" s="25"/>
      <c r="W2132" s="25"/>
      <c r="X2132" s="25"/>
      <c r="Y2132" s="25"/>
      <c r="Z2132" s="25"/>
      <c r="AA2132" s="25"/>
    </row>
    <row r="2133" spans="20:27" x14ac:dyDescent="0.35">
      <c r="T2133" s="97"/>
      <c r="U2133" s="97"/>
      <c r="V2133" s="25"/>
      <c r="W2133" s="25"/>
      <c r="X2133" s="25"/>
      <c r="Y2133" s="25"/>
      <c r="Z2133" s="25"/>
      <c r="AA2133" s="25"/>
    </row>
    <row r="2134" spans="20:27" x14ac:dyDescent="0.35">
      <c r="T2134" s="97"/>
      <c r="U2134" s="97"/>
      <c r="V2134" s="25"/>
      <c r="W2134" s="25"/>
      <c r="X2134" s="25"/>
      <c r="Y2134" s="25"/>
      <c r="Z2134" s="25"/>
      <c r="AA2134" s="25"/>
    </row>
    <row r="2135" spans="20:27" x14ac:dyDescent="0.35">
      <c r="T2135" s="97"/>
      <c r="U2135" s="97"/>
      <c r="V2135" s="25"/>
      <c r="W2135" s="25"/>
      <c r="X2135" s="25"/>
      <c r="Y2135" s="25"/>
      <c r="Z2135" s="25"/>
      <c r="AA2135" s="25"/>
    </row>
    <row r="2136" spans="20:27" x14ac:dyDescent="0.35">
      <c r="T2136" s="97"/>
      <c r="U2136" s="97"/>
      <c r="V2136" s="25"/>
      <c r="W2136" s="25"/>
      <c r="X2136" s="25"/>
      <c r="Y2136" s="25"/>
      <c r="Z2136" s="25"/>
      <c r="AA2136" s="25"/>
    </row>
    <row r="2137" spans="20:27" x14ac:dyDescent="0.35">
      <c r="T2137" s="97"/>
      <c r="U2137" s="97"/>
      <c r="V2137" s="25"/>
      <c r="W2137" s="25"/>
      <c r="X2137" s="25"/>
      <c r="Y2137" s="25"/>
      <c r="Z2137" s="25"/>
      <c r="AA2137" s="25"/>
    </row>
    <row r="2138" spans="20:27" x14ac:dyDescent="0.35">
      <c r="T2138" s="97"/>
      <c r="U2138" s="97"/>
      <c r="V2138" s="25"/>
      <c r="W2138" s="25"/>
      <c r="X2138" s="25"/>
      <c r="Y2138" s="25"/>
      <c r="Z2138" s="25"/>
      <c r="AA2138" s="25"/>
    </row>
    <row r="2139" spans="20:27" x14ac:dyDescent="0.35">
      <c r="T2139" s="97"/>
      <c r="U2139" s="97"/>
      <c r="V2139" s="25"/>
      <c r="W2139" s="25"/>
      <c r="X2139" s="25"/>
      <c r="Y2139" s="25"/>
      <c r="Z2139" s="25"/>
      <c r="AA2139" s="25"/>
    </row>
    <row r="2140" spans="20:27" x14ac:dyDescent="0.35">
      <c r="T2140" s="97"/>
      <c r="U2140" s="97"/>
      <c r="V2140" s="25"/>
      <c r="W2140" s="25"/>
      <c r="X2140" s="25"/>
      <c r="Y2140" s="25"/>
      <c r="Z2140" s="25"/>
      <c r="AA2140" s="25"/>
    </row>
    <row r="2141" spans="20:27" x14ac:dyDescent="0.35">
      <c r="T2141" s="97"/>
      <c r="U2141" s="97"/>
      <c r="V2141" s="25"/>
      <c r="W2141" s="25"/>
      <c r="X2141" s="25"/>
      <c r="Y2141" s="25"/>
      <c r="Z2141" s="25"/>
      <c r="AA2141" s="25"/>
    </row>
    <row r="2142" spans="20:27" x14ac:dyDescent="0.35">
      <c r="T2142" s="97"/>
      <c r="U2142" s="97"/>
      <c r="V2142" s="25"/>
      <c r="W2142" s="25"/>
      <c r="X2142" s="25"/>
      <c r="Y2142" s="25"/>
      <c r="Z2142" s="25"/>
      <c r="AA2142" s="25"/>
    </row>
    <row r="2143" spans="20:27" x14ac:dyDescent="0.35">
      <c r="T2143" s="97"/>
      <c r="U2143" s="97"/>
      <c r="V2143" s="25"/>
      <c r="W2143" s="25"/>
      <c r="X2143" s="25"/>
      <c r="Y2143" s="25"/>
      <c r="Z2143" s="25"/>
      <c r="AA2143" s="25"/>
    </row>
    <row r="2144" spans="20:27" x14ac:dyDescent="0.35">
      <c r="T2144" s="97"/>
      <c r="U2144" s="97"/>
      <c r="V2144" s="25"/>
      <c r="W2144" s="25"/>
      <c r="X2144" s="25"/>
      <c r="Y2144" s="25"/>
      <c r="Z2144" s="25"/>
      <c r="AA2144" s="25"/>
    </row>
    <row r="2145" spans="20:27" x14ac:dyDescent="0.35">
      <c r="T2145" s="97"/>
      <c r="U2145" s="97"/>
      <c r="V2145" s="25"/>
      <c r="W2145" s="25"/>
      <c r="X2145" s="25"/>
      <c r="Y2145" s="25"/>
      <c r="Z2145" s="25"/>
      <c r="AA2145" s="25"/>
    </row>
    <row r="2146" spans="20:27" x14ac:dyDescent="0.35">
      <c r="T2146" s="97"/>
      <c r="U2146" s="97"/>
      <c r="V2146" s="25"/>
      <c r="W2146" s="25"/>
      <c r="X2146" s="25"/>
      <c r="Y2146" s="25"/>
      <c r="Z2146" s="25"/>
      <c r="AA2146" s="25"/>
    </row>
    <row r="2147" spans="20:27" x14ac:dyDescent="0.35">
      <c r="T2147" s="97"/>
      <c r="U2147" s="97"/>
      <c r="V2147" s="25"/>
      <c r="W2147" s="25"/>
      <c r="X2147" s="25"/>
      <c r="Y2147" s="25"/>
      <c r="Z2147" s="25"/>
      <c r="AA2147" s="25"/>
    </row>
    <row r="2148" spans="20:27" x14ac:dyDescent="0.35">
      <c r="T2148" s="97"/>
      <c r="U2148" s="97"/>
      <c r="V2148" s="25"/>
      <c r="W2148" s="25"/>
      <c r="X2148" s="25"/>
      <c r="Y2148" s="25"/>
      <c r="Z2148" s="25"/>
      <c r="AA2148" s="25"/>
    </row>
    <row r="2149" spans="20:27" x14ac:dyDescent="0.35">
      <c r="T2149" s="97"/>
      <c r="U2149" s="97"/>
      <c r="V2149" s="25"/>
      <c r="W2149" s="25"/>
      <c r="X2149" s="25"/>
      <c r="Y2149" s="25"/>
      <c r="Z2149" s="25"/>
      <c r="AA2149" s="25"/>
    </row>
    <row r="2150" spans="20:27" x14ac:dyDescent="0.35">
      <c r="T2150" s="97"/>
      <c r="U2150" s="97"/>
      <c r="V2150" s="25"/>
      <c r="W2150" s="25"/>
      <c r="X2150" s="25"/>
      <c r="Y2150" s="25"/>
      <c r="Z2150" s="25"/>
      <c r="AA2150" s="25"/>
    </row>
    <row r="2151" spans="20:27" x14ac:dyDescent="0.35">
      <c r="T2151" s="97"/>
      <c r="U2151" s="97"/>
      <c r="V2151" s="25"/>
      <c r="W2151" s="25"/>
      <c r="X2151" s="25"/>
      <c r="Y2151" s="25"/>
      <c r="Z2151" s="25"/>
      <c r="AA2151" s="25"/>
    </row>
    <row r="2152" spans="20:27" x14ac:dyDescent="0.35">
      <c r="T2152" s="97"/>
      <c r="U2152" s="97"/>
      <c r="V2152" s="25"/>
      <c r="W2152" s="25"/>
      <c r="X2152" s="25"/>
      <c r="Y2152" s="25"/>
      <c r="Z2152" s="25"/>
      <c r="AA2152" s="25"/>
    </row>
    <row r="2153" spans="20:27" x14ac:dyDescent="0.35">
      <c r="T2153" s="97"/>
      <c r="U2153" s="97"/>
      <c r="V2153" s="25"/>
      <c r="W2153" s="25"/>
      <c r="X2153" s="25"/>
      <c r="Y2153" s="25"/>
      <c r="Z2153" s="25"/>
      <c r="AA2153" s="25"/>
    </row>
    <row r="2154" spans="20:27" x14ac:dyDescent="0.35">
      <c r="T2154" s="97"/>
      <c r="U2154" s="97"/>
      <c r="V2154" s="25"/>
      <c r="W2154" s="25"/>
      <c r="X2154" s="25"/>
      <c r="Y2154" s="25"/>
      <c r="Z2154" s="25"/>
      <c r="AA2154" s="25"/>
    </row>
    <row r="2155" spans="20:27" x14ac:dyDescent="0.35">
      <c r="T2155" s="97"/>
      <c r="U2155" s="97"/>
      <c r="V2155" s="25"/>
      <c r="W2155" s="25"/>
      <c r="X2155" s="25"/>
      <c r="Y2155" s="25"/>
      <c r="Z2155" s="25"/>
      <c r="AA2155" s="25"/>
    </row>
    <row r="2156" spans="20:27" x14ac:dyDescent="0.35">
      <c r="T2156" s="97"/>
      <c r="U2156" s="97"/>
      <c r="V2156" s="25"/>
      <c r="W2156" s="25"/>
      <c r="X2156" s="25"/>
      <c r="Y2156" s="25"/>
      <c r="Z2156" s="25"/>
      <c r="AA2156" s="25"/>
    </row>
    <row r="2157" spans="20:27" x14ac:dyDescent="0.35">
      <c r="T2157" s="97"/>
      <c r="U2157" s="97"/>
      <c r="V2157" s="25"/>
      <c r="W2157" s="25"/>
      <c r="X2157" s="25"/>
      <c r="Y2157" s="25"/>
      <c r="Z2157" s="25"/>
      <c r="AA2157" s="25"/>
    </row>
    <row r="2158" spans="20:27" x14ac:dyDescent="0.35">
      <c r="T2158" s="97"/>
      <c r="U2158" s="97"/>
      <c r="V2158" s="25"/>
      <c r="W2158" s="25"/>
      <c r="X2158" s="25"/>
      <c r="Y2158" s="25"/>
      <c r="Z2158" s="25"/>
      <c r="AA2158" s="25"/>
    </row>
    <row r="2159" spans="20:27" x14ac:dyDescent="0.35">
      <c r="T2159" s="97"/>
      <c r="U2159" s="97"/>
      <c r="V2159" s="25"/>
      <c r="W2159" s="25"/>
      <c r="X2159" s="25"/>
      <c r="Y2159" s="25"/>
      <c r="Z2159" s="25"/>
      <c r="AA2159" s="25"/>
    </row>
    <row r="2160" spans="20:27" x14ac:dyDescent="0.35">
      <c r="T2160" s="97"/>
      <c r="U2160" s="97"/>
      <c r="V2160" s="25"/>
      <c r="W2160" s="25"/>
      <c r="X2160" s="25"/>
      <c r="Y2160" s="25"/>
      <c r="Z2160" s="25"/>
      <c r="AA2160" s="25"/>
    </row>
    <row r="2161" spans="20:27" x14ac:dyDescent="0.35">
      <c r="T2161" s="97"/>
      <c r="U2161" s="97"/>
      <c r="V2161" s="25"/>
      <c r="W2161" s="25"/>
      <c r="X2161" s="25"/>
      <c r="Y2161" s="25"/>
      <c r="Z2161" s="25"/>
      <c r="AA2161" s="25"/>
    </row>
    <row r="2162" spans="20:27" x14ac:dyDescent="0.35">
      <c r="T2162" s="97"/>
      <c r="U2162" s="97"/>
      <c r="V2162" s="25"/>
      <c r="W2162" s="25"/>
      <c r="X2162" s="25"/>
      <c r="Y2162" s="25"/>
      <c r="Z2162" s="25"/>
      <c r="AA2162" s="25"/>
    </row>
    <row r="2163" spans="20:27" x14ac:dyDescent="0.35">
      <c r="T2163" s="97"/>
      <c r="U2163" s="97"/>
      <c r="V2163" s="25"/>
      <c r="W2163" s="25"/>
      <c r="X2163" s="25"/>
      <c r="Y2163" s="25"/>
      <c r="Z2163" s="25"/>
      <c r="AA2163" s="25"/>
    </row>
    <row r="2164" spans="20:27" x14ac:dyDescent="0.35">
      <c r="T2164" s="97"/>
      <c r="U2164" s="97"/>
      <c r="V2164" s="25"/>
      <c r="W2164" s="25"/>
      <c r="X2164" s="25"/>
      <c r="Y2164" s="25"/>
      <c r="Z2164" s="25"/>
      <c r="AA2164" s="25"/>
    </row>
    <row r="2165" spans="20:27" x14ac:dyDescent="0.35">
      <c r="T2165" s="97"/>
      <c r="U2165" s="97"/>
      <c r="V2165" s="25"/>
      <c r="W2165" s="25"/>
      <c r="X2165" s="25"/>
      <c r="Y2165" s="25"/>
      <c r="Z2165" s="25"/>
      <c r="AA2165" s="25"/>
    </row>
    <row r="2166" spans="20:27" x14ac:dyDescent="0.35">
      <c r="T2166" s="97"/>
      <c r="U2166" s="97"/>
      <c r="V2166" s="25"/>
      <c r="W2166" s="25"/>
      <c r="X2166" s="25"/>
      <c r="Y2166" s="25"/>
      <c r="Z2166" s="25"/>
      <c r="AA2166" s="25"/>
    </row>
    <row r="2167" spans="20:27" x14ac:dyDescent="0.35">
      <c r="T2167" s="97"/>
      <c r="U2167" s="97"/>
      <c r="V2167" s="25"/>
      <c r="W2167" s="25"/>
      <c r="X2167" s="25"/>
      <c r="Y2167" s="25"/>
      <c r="Z2167" s="25"/>
      <c r="AA2167" s="25"/>
    </row>
    <row r="2168" spans="20:27" x14ac:dyDescent="0.35">
      <c r="T2168" s="97"/>
      <c r="U2168" s="97"/>
      <c r="V2168" s="25"/>
      <c r="W2168" s="25"/>
      <c r="X2168" s="25"/>
      <c r="Y2168" s="25"/>
      <c r="Z2168" s="25"/>
      <c r="AA2168" s="25"/>
    </row>
    <row r="2169" spans="20:27" x14ac:dyDescent="0.35">
      <c r="T2169" s="97"/>
      <c r="U2169" s="97"/>
      <c r="V2169" s="25"/>
      <c r="W2169" s="25"/>
      <c r="X2169" s="25"/>
      <c r="Y2169" s="25"/>
      <c r="Z2169" s="25"/>
      <c r="AA2169" s="25"/>
    </row>
    <row r="2170" spans="20:27" x14ac:dyDescent="0.35">
      <c r="T2170" s="97"/>
      <c r="U2170" s="97"/>
      <c r="V2170" s="25"/>
      <c r="W2170" s="25"/>
      <c r="X2170" s="25"/>
      <c r="Y2170" s="25"/>
      <c r="Z2170" s="25"/>
      <c r="AA2170" s="25"/>
    </row>
    <row r="2171" spans="20:27" x14ac:dyDescent="0.35">
      <c r="T2171" s="97"/>
      <c r="U2171" s="97"/>
      <c r="V2171" s="25"/>
      <c r="W2171" s="25"/>
      <c r="X2171" s="25"/>
      <c r="Y2171" s="25"/>
      <c r="Z2171" s="25"/>
      <c r="AA2171" s="25"/>
    </row>
    <row r="2172" spans="20:27" x14ac:dyDescent="0.35">
      <c r="T2172" s="97"/>
      <c r="U2172" s="97"/>
      <c r="V2172" s="25"/>
      <c r="W2172" s="25"/>
      <c r="X2172" s="25"/>
      <c r="Y2172" s="25"/>
      <c r="Z2172" s="25"/>
      <c r="AA2172" s="25"/>
    </row>
    <row r="2173" spans="20:27" x14ac:dyDescent="0.35">
      <c r="T2173" s="97"/>
      <c r="U2173" s="97"/>
      <c r="V2173" s="25"/>
      <c r="W2173" s="25"/>
      <c r="X2173" s="25"/>
      <c r="Y2173" s="25"/>
      <c r="Z2173" s="25"/>
      <c r="AA2173" s="25"/>
    </row>
    <row r="2174" spans="20:27" x14ac:dyDescent="0.35">
      <c r="T2174" s="97"/>
      <c r="U2174" s="97"/>
      <c r="V2174" s="25"/>
      <c r="W2174" s="25"/>
      <c r="X2174" s="25"/>
      <c r="Y2174" s="25"/>
      <c r="Z2174" s="25"/>
      <c r="AA2174" s="25"/>
    </row>
    <row r="2175" spans="20:27" x14ac:dyDescent="0.35">
      <c r="T2175" s="97"/>
      <c r="U2175" s="97"/>
      <c r="V2175" s="25"/>
      <c r="W2175" s="25"/>
      <c r="X2175" s="25"/>
      <c r="Y2175" s="25"/>
      <c r="Z2175" s="25"/>
      <c r="AA2175" s="25"/>
    </row>
    <row r="2176" spans="20:27" x14ac:dyDescent="0.35">
      <c r="T2176" s="97"/>
      <c r="U2176" s="97"/>
      <c r="V2176" s="25"/>
      <c r="W2176" s="25"/>
      <c r="X2176" s="25"/>
      <c r="Y2176" s="25"/>
      <c r="Z2176" s="25"/>
      <c r="AA2176" s="25"/>
    </row>
    <row r="2177" spans="20:27" x14ac:dyDescent="0.35">
      <c r="T2177" s="97"/>
      <c r="U2177" s="97"/>
      <c r="V2177" s="25"/>
      <c r="W2177" s="25"/>
      <c r="X2177" s="25"/>
      <c r="Y2177" s="25"/>
      <c r="Z2177" s="25"/>
      <c r="AA2177" s="25"/>
    </row>
    <row r="2178" spans="20:27" x14ac:dyDescent="0.35">
      <c r="T2178" s="97"/>
      <c r="U2178" s="97"/>
      <c r="V2178" s="25"/>
      <c r="W2178" s="25"/>
      <c r="X2178" s="25"/>
      <c r="Y2178" s="25"/>
      <c r="Z2178" s="25"/>
      <c r="AA2178" s="25"/>
    </row>
    <row r="2179" spans="20:27" x14ac:dyDescent="0.35">
      <c r="T2179" s="97"/>
      <c r="U2179" s="97"/>
      <c r="V2179" s="25"/>
      <c r="W2179" s="25"/>
      <c r="X2179" s="25"/>
      <c r="Y2179" s="25"/>
      <c r="Z2179" s="25"/>
      <c r="AA2179" s="25"/>
    </row>
    <row r="2180" spans="20:27" x14ac:dyDescent="0.35">
      <c r="T2180" s="97"/>
      <c r="U2180" s="97"/>
      <c r="V2180" s="25"/>
      <c r="W2180" s="25"/>
      <c r="X2180" s="25"/>
      <c r="Y2180" s="25"/>
      <c r="Z2180" s="25"/>
      <c r="AA2180" s="25"/>
    </row>
    <row r="2181" spans="20:27" x14ac:dyDescent="0.35">
      <c r="T2181" s="97"/>
      <c r="U2181" s="97"/>
      <c r="V2181" s="25"/>
      <c r="W2181" s="25"/>
      <c r="X2181" s="25"/>
      <c r="Y2181" s="25"/>
      <c r="Z2181" s="25"/>
      <c r="AA2181" s="25"/>
    </row>
    <row r="2182" spans="20:27" x14ac:dyDescent="0.35">
      <c r="T2182" s="97"/>
      <c r="U2182" s="97"/>
      <c r="V2182" s="25"/>
      <c r="W2182" s="25"/>
      <c r="X2182" s="25"/>
      <c r="Y2182" s="25"/>
      <c r="Z2182" s="25"/>
      <c r="AA2182" s="25"/>
    </row>
    <row r="2183" spans="20:27" x14ac:dyDescent="0.35">
      <c r="T2183" s="97"/>
      <c r="U2183" s="97"/>
      <c r="V2183" s="25"/>
      <c r="W2183" s="25"/>
      <c r="X2183" s="25"/>
      <c r="Y2183" s="25"/>
      <c r="Z2183" s="25"/>
      <c r="AA2183" s="25"/>
    </row>
    <row r="2184" spans="20:27" x14ac:dyDescent="0.35">
      <c r="T2184" s="97"/>
      <c r="U2184" s="97"/>
      <c r="V2184" s="25"/>
      <c r="W2184" s="25"/>
      <c r="X2184" s="25"/>
      <c r="Y2184" s="25"/>
      <c r="Z2184" s="25"/>
      <c r="AA2184" s="25"/>
    </row>
    <row r="2185" spans="20:27" x14ac:dyDescent="0.35">
      <c r="T2185" s="97"/>
      <c r="U2185" s="97"/>
      <c r="V2185" s="25"/>
      <c r="W2185" s="25"/>
      <c r="X2185" s="25"/>
      <c r="Y2185" s="25"/>
      <c r="Z2185" s="25"/>
      <c r="AA2185" s="25"/>
    </row>
    <row r="2186" spans="20:27" x14ac:dyDescent="0.35">
      <c r="T2186" s="97"/>
      <c r="U2186" s="97"/>
      <c r="V2186" s="25"/>
      <c r="W2186" s="25"/>
      <c r="X2186" s="25"/>
      <c r="Y2186" s="25"/>
      <c r="Z2186" s="25"/>
      <c r="AA2186" s="25"/>
    </row>
    <row r="2187" spans="20:27" x14ac:dyDescent="0.35">
      <c r="T2187" s="97"/>
      <c r="U2187" s="97"/>
      <c r="V2187" s="25"/>
      <c r="W2187" s="25"/>
      <c r="X2187" s="25"/>
      <c r="Y2187" s="25"/>
      <c r="Z2187" s="25"/>
      <c r="AA2187" s="25"/>
    </row>
    <row r="2188" spans="20:27" x14ac:dyDescent="0.35">
      <c r="T2188" s="97"/>
      <c r="U2188" s="97"/>
      <c r="V2188" s="25"/>
      <c r="W2188" s="25"/>
      <c r="X2188" s="25"/>
      <c r="Y2188" s="25"/>
      <c r="Z2188" s="25"/>
      <c r="AA2188" s="25"/>
    </row>
    <row r="2189" spans="20:27" x14ac:dyDescent="0.35">
      <c r="T2189" s="97"/>
      <c r="U2189" s="97"/>
      <c r="V2189" s="25"/>
      <c r="W2189" s="25"/>
      <c r="X2189" s="25"/>
      <c r="Y2189" s="25"/>
      <c r="Z2189" s="25"/>
      <c r="AA2189" s="25"/>
    </row>
    <row r="2190" spans="20:27" x14ac:dyDescent="0.35">
      <c r="T2190" s="97"/>
      <c r="U2190" s="97"/>
      <c r="V2190" s="25"/>
      <c r="W2190" s="25"/>
      <c r="X2190" s="25"/>
      <c r="Y2190" s="25"/>
      <c r="Z2190" s="25"/>
      <c r="AA2190" s="25"/>
    </row>
    <row r="2191" spans="20:27" x14ac:dyDescent="0.35">
      <c r="T2191" s="97"/>
      <c r="U2191" s="97"/>
      <c r="V2191" s="25"/>
      <c r="W2191" s="25"/>
      <c r="X2191" s="25"/>
      <c r="Y2191" s="25"/>
      <c r="Z2191" s="25"/>
      <c r="AA2191" s="25"/>
    </row>
    <row r="2192" spans="20:27" x14ac:dyDescent="0.35">
      <c r="T2192" s="97"/>
      <c r="U2192" s="97"/>
      <c r="V2192" s="25"/>
      <c r="W2192" s="25"/>
      <c r="X2192" s="25"/>
      <c r="Y2192" s="25"/>
      <c r="Z2192" s="25"/>
      <c r="AA2192" s="25"/>
    </row>
    <row r="2193" spans="20:27" x14ac:dyDescent="0.35">
      <c r="T2193" s="97"/>
      <c r="U2193" s="97"/>
      <c r="V2193" s="25"/>
      <c r="W2193" s="25"/>
      <c r="X2193" s="25"/>
      <c r="Y2193" s="25"/>
      <c r="Z2193" s="25"/>
      <c r="AA2193" s="25"/>
    </row>
    <row r="2194" spans="20:27" x14ac:dyDescent="0.35">
      <c r="T2194" s="97"/>
      <c r="U2194" s="97"/>
      <c r="V2194" s="25"/>
      <c r="W2194" s="25"/>
      <c r="X2194" s="25"/>
      <c r="Y2194" s="25"/>
      <c r="Z2194" s="25"/>
      <c r="AA2194" s="25"/>
    </row>
    <row r="2195" spans="20:27" x14ac:dyDescent="0.35">
      <c r="T2195" s="97"/>
      <c r="U2195" s="97"/>
      <c r="V2195" s="25"/>
      <c r="W2195" s="25"/>
      <c r="X2195" s="25"/>
      <c r="Y2195" s="25"/>
      <c r="Z2195" s="25"/>
      <c r="AA2195" s="25"/>
    </row>
    <row r="2196" spans="20:27" x14ac:dyDescent="0.35">
      <c r="T2196" s="97"/>
      <c r="U2196" s="97"/>
      <c r="V2196" s="25"/>
      <c r="W2196" s="25"/>
      <c r="X2196" s="25"/>
      <c r="Y2196" s="25"/>
      <c r="Z2196" s="25"/>
      <c r="AA2196" s="25"/>
    </row>
    <row r="2197" spans="20:27" x14ac:dyDescent="0.35">
      <c r="T2197" s="97"/>
      <c r="U2197" s="97"/>
      <c r="V2197" s="25"/>
      <c r="W2197" s="25"/>
      <c r="X2197" s="25"/>
      <c r="Y2197" s="25"/>
      <c r="Z2197" s="25"/>
      <c r="AA2197" s="25"/>
    </row>
    <row r="2198" spans="20:27" x14ac:dyDescent="0.35">
      <c r="T2198" s="97"/>
      <c r="U2198" s="97"/>
      <c r="V2198" s="25"/>
      <c r="W2198" s="25"/>
      <c r="X2198" s="25"/>
      <c r="Y2198" s="25"/>
      <c r="Z2198" s="25"/>
      <c r="AA2198" s="25"/>
    </row>
    <row r="2199" spans="20:27" x14ac:dyDescent="0.35">
      <c r="T2199" s="97"/>
      <c r="U2199" s="97"/>
      <c r="V2199" s="25"/>
      <c r="W2199" s="25"/>
      <c r="X2199" s="25"/>
      <c r="Y2199" s="25"/>
      <c r="Z2199" s="25"/>
      <c r="AA2199" s="25"/>
    </row>
    <row r="2200" spans="20:27" x14ac:dyDescent="0.35">
      <c r="T2200" s="97"/>
      <c r="U2200" s="97"/>
      <c r="V2200" s="25"/>
      <c r="W2200" s="25"/>
      <c r="X2200" s="25"/>
      <c r="Y2200" s="25"/>
      <c r="Z2200" s="25"/>
      <c r="AA2200" s="25"/>
    </row>
    <row r="2201" spans="20:27" x14ac:dyDescent="0.35">
      <c r="T2201" s="97"/>
      <c r="U2201" s="97"/>
      <c r="V2201" s="25"/>
      <c r="W2201" s="25"/>
      <c r="X2201" s="25"/>
      <c r="Y2201" s="25"/>
      <c r="Z2201" s="25"/>
      <c r="AA2201" s="25"/>
    </row>
    <row r="2202" spans="20:27" x14ac:dyDescent="0.35">
      <c r="T2202" s="97"/>
      <c r="U2202" s="97"/>
      <c r="V2202" s="25"/>
      <c r="W2202" s="25"/>
      <c r="X2202" s="25"/>
      <c r="Y2202" s="25"/>
      <c r="Z2202" s="25"/>
      <c r="AA2202" s="25"/>
    </row>
    <row r="2203" spans="20:27" x14ac:dyDescent="0.35">
      <c r="T2203" s="97"/>
      <c r="U2203" s="97"/>
      <c r="V2203" s="25"/>
      <c r="W2203" s="25"/>
      <c r="X2203" s="25"/>
      <c r="Y2203" s="25"/>
      <c r="Z2203" s="25"/>
      <c r="AA2203" s="25"/>
    </row>
    <row r="2204" spans="20:27" x14ac:dyDescent="0.35">
      <c r="T2204" s="97"/>
      <c r="U2204" s="97"/>
      <c r="V2204" s="25"/>
      <c r="W2204" s="25"/>
      <c r="X2204" s="25"/>
      <c r="Y2204" s="25"/>
      <c r="Z2204" s="25"/>
      <c r="AA2204" s="25"/>
    </row>
    <row r="2205" spans="20:27" x14ac:dyDescent="0.35">
      <c r="T2205" s="97"/>
      <c r="U2205" s="97"/>
      <c r="V2205" s="25"/>
      <c r="W2205" s="25"/>
      <c r="X2205" s="25"/>
      <c r="Y2205" s="25"/>
      <c r="Z2205" s="25"/>
      <c r="AA2205" s="25"/>
    </row>
    <row r="2206" spans="20:27" x14ac:dyDescent="0.35">
      <c r="T2206" s="97"/>
      <c r="U2206" s="97"/>
      <c r="V2206" s="25"/>
      <c r="W2206" s="25"/>
      <c r="X2206" s="25"/>
      <c r="Y2206" s="25"/>
      <c r="Z2206" s="25"/>
      <c r="AA2206" s="25"/>
    </row>
    <row r="2207" spans="20:27" x14ac:dyDescent="0.35">
      <c r="T2207" s="97"/>
      <c r="U2207" s="97"/>
      <c r="V2207" s="25"/>
      <c r="W2207" s="25"/>
      <c r="X2207" s="25"/>
      <c r="Y2207" s="25"/>
      <c r="Z2207" s="25"/>
      <c r="AA2207" s="25"/>
    </row>
    <row r="2208" spans="20:27" x14ac:dyDescent="0.35">
      <c r="T2208" s="97"/>
      <c r="U2208" s="97"/>
      <c r="V2208" s="25"/>
      <c r="W2208" s="25"/>
      <c r="X2208" s="25"/>
      <c r="Y2208" s="25"/>
      <c r="Z2208" s="25"/>
      <c r="AA2208" s="25"/>
    </row>
    <row r="2209" spans="20:27" x14ac:dyDescent="0.35">
      <c r="T2209" s="97"/>
      <c r="U2209" s="97"/>
      <c r="V2209" s="25"/>
      <c r="W2209" s="25"/>
      <c r="X2209" s="25"/>
      <c r="Y2209" s="25"/>
      <c r="Z2209" s="25"/>
      <c r="AA2209" s="25"/>
    </row>
    <row r="2210" spans="20:27" x14ac:dyDescent="0.35">
      <c r="T2210" s="97"/>
      <c r="U2210" s="97"/>
      <c r="V2210" s="25"/>
      <c r="W2210" s="25"/>
      <c r="X2210" s="25"/>
      <c r="Y2210" s="25"/>
      <c r="Z2210" s="25"/>
      <c r="AA2210" s="25"/>
    </row>
    <row r="2211" spans="20:27" x14ac:dyDescent="0.35">
      <c r="T2211" s="97"/>
      <c r="U2211" s="97"/>
      <c r="V2211" s="25"/>
      <c r="W2211" s="25"/>
      <c r="X2211" s="25"/>
      <c r="Y2211" s="25"/>
      <c r="Z2211" s="25"/>
      <c r="AA2211" s="25"/>
    </row>
    <row r="2212" spans="20:27" x14ac:dyDescent="0.35">
      <c r="T2212" s="97"/>
      <c r="U2212" s="97"/>
      <c r="V2212" s="25"/>
      <c r="W2212" s="25"/>
      <c r="X2212" s="25"/>
      <c r="Y2212" s="25"/>
      <c r="Z2212" s="25"/>
      <c r="AA2212" s="25"/>
    </row>
    <row r="2213" spans="20:27" x14ac:dyDescent="0.35">
      <c r="T2213" s="97"/>
      <c r="U2213" s="97"/>
      <c r="V2213" s="25"/>
      <c r="W2213" s="25"/>
      <c r="X2213" s="25"/>
      <c r="Y2213" s="25"/>
      <c r="Z2213" s="25"/>
      <c r="AA2213" s="25"/>
    </row>
    <row r="2214" spans="20:27" x14ac:dyDescent="0.35">
      <c r="T2214" s="97"/>
      <c r="U2214" s="97"/>
      <c r="V2214" s="25"/>
      <c r="W2214" s="25"/>
      <c r="X2214" s="25"/>
      <c r="Y2214" s="25"/>
      <c r="Z2214" s="25"/>
      <c r="AA2214" s="25"/>
    </row>
    <row r="2215" spans="20:27" x14ac:dyDescent="0.35">
      <c r="T2215" s="97"/>
      <c r="U2215" s="97"/>
      <c r="V2215" s="25"/>
      <c r="W2215" s="25"/>
      <c r="X2215" s="25"/>
      <c r="Y2215" s="25"/>
      <c r="Z2215" s="25"/>
      <c r="AA2215" s="25"/>
    </row>
    <row r="2216" spans="20:27" x14ac:dyDescent="0.35">
      <c r="T2216" s="97"/>
      <c r="U2216" s="97"/>
      <c r="V2216" s="25"/>
      <c r="W2216" s="25"/>
      <c r="X2216" s="25"/>
      <c r="Y2216" s="25"/>
      <c r="Z2216" s="25"/>
      <c r="AA2216" s="25"/>
    </row>
    <row r="2217" spans="20:27" x14ac:dyDescent="0.35">
      <c r="T2217" s="97"/>
      <c r="U2217" s="97"/>
      <c r="V2217" s="25"/>
      <c r="W2217" s="25"/>
      <c r="X2217" s="25"/>
      <c r="Y2217" s="25"/>
      <c r="Z2217" s="25"/>
      <c r="AA2217" s="25"/>
    </row>
    <row r="2218" spans="20:27" x14ac:dyDescent="0.35">
      <c r="T2218" s="97"/>
      <c r="U2218" s="97"/>
      <c r="V2218" s="25"/>
      <c r="W2218" s="25"/>
      <c r="X2218" s="25"/>
      <c r="Y2218" s="25"/>
      <c r="Z2218" s="25"/>
      <c r="AA2218" s="25"/>
    </row>
    <row r="2219" spans="20:27" x14ac:dyDescent="0.35">
      <c r="T2219" s="97"/>
      <c r="U2219" s="97"/>
      <c r="V2219" s="25"/>
      <c r="W2219" s="25"/>
      <c r="X2219" s="25"/>
      <c r="Y2219" s="25"/>
      <c r="Z2219" s="25"/>
      <c r="AA2219" s="25"/>
    </row>
    <row r="2220" spans="20:27" x14ac:dyDescent="0.35">
      <c r="T2220" s="97"/>
      <c r="U2220" s="97"/>
      <c r="V2220" s="25"/>
      <c r="W2220" s="25"/>
      <c r="X2220" s="25"/>
      <c r="Y2220" s="25"/>
      <c r="Z2220" s="25"/>
      <c r="AA2220" s="25"/>
    </row>
    <row r="2221" spans="20:27" x14ac:dyDescent="0.35">
      <c r="T2221" s="97"/>
      <c r="U2221" s="97"/>
      <c r="V2221" s="25"/>
      <c r="W2221" s="25"/>
      <c r="X2221" s="25"/>
      <c r="Y2221" s="25"/>
      <c r="Z2221" s="25"/>
      <c r="AA2221" s="25"/>
    </row>
    <row r="2222" spans="20:27" x14ac:dyDescent="0.35">
      <c r="T2222" s="97"/>
      <c r="U2222" s="97"/>
      <c r="V2222" s="25"/>
      <c r="W2222" s="25"/>
      <c r="X2222" s="25"/>
      <c r="Y2222" s="25"/>
      <c r="Z2222" s="25"/>
      <c r="AA2222" s="25"/>
    </row>
    <row r="2223" spans="20:27" x14ac:dyDescent="0.35">
      <c r="T2223" s="97"/>
      <c r="U2223" s="97"/>
      <c r="V2223" s="25"/>
      <c r="W2223" s="25"/>
      <c r="X2223" s="25"/>
      <c r="Y2223" s="25"/>
      <c r="Z2223" s="25"/>
      <c r="AA2223" s="25"/>
    </row>
    <row r="2224" spans="20:27" x14ac:dyDescent="0.35">
      <c r="T2224" s="97"/>
      <c r="U2224" s="97"/>
      <c r="V2224" s="25"/>
      <c r="W2224" s="25"/>
      <c r="X2224" s="25"/>
      <c r="Y2224" s="25"/>
      <c r="Z2224" s="25"/>
      <c r="AA2224" s="25"/>
    </row>
    <row r="2225" spans="20:27" x14ac:dyDescent="0.35">
      <c r="T2225" s="97"/>
      <c r="U2225" s="97"/>
      <c r="V2225" s="25"/>
      <c r="W2225" s="25"/>
      <c r="X2225" s="25"/>
      <c r="Y2225" s="25"/>
      <c r="Z2225" s="25"/>
      <c r="AA2225" s="25"/>
    </row>
    <row r="2226" spans="20:27" x14ac:dyDescent="0.35">
      <c r="T2226" s="97"/>
      <c r="U2226" s="97"/>
      <c r="V2226" s="25"/>
      <c r="W2226" s="25"/>
      <c r="X2226" s="25"/>
      <c r="Y2226" s="25"/>
      <c r="Z2226" s="25"/>
      <c r="AA2226" s="25"/>
    </row>
    <row r="2227" spans="20:27" x14ac:dyDescent="0.35">
      <c r="T2227" s="97"/>
      <c r="U2227" s="97"/>
      <c r="V2227" s="25"/>
      <c r="W2227" s="25"/>
      <c r="X2227" s="25"/>
      <c r="Y2227" s="25"/>
      <c r="Z2227" s="25"/>
      <c r="AA2227" s="25"/>
    </row>
    <row r="2228" spans="20:27" x14ac:dyDescent="0.35">
      <c r="T2228" s="97"/>
      <c r="U2228" s="97"/>
      <c r="V2228" s="25"/>
      <c r="W2228" s="25"/>
      <c r="X2228" s="25"/>
      <c r="Y2228" s="25"/>
      <c r="Z2228" s="25"/>
      <c r="AA2228" s="25"/>
    </row>
    <row r="2229" spans="20:27" x14ac:dyDescent="0.35">
      <c r="T2229" s="97"/>
      <c r="U2229" s="97"/>
      <c r="V2229" s="25"/>
      <c r="W2229" s="25"/>
      <c r="X2229" s="25"/>
      <c r="Y2229" s="25"/>
      <c r="Z2229" s="25"/>
      <c r="AA2229" s="25"/>
    </row>
    <row r="2230" spans="20:27" x14ac:dyDescent="0.35">
      <c r="T2230" s="97"/>
      <c r="U2230" s="97"/>
      <c r="V2230" s="25"/>
      <c r="W2230" s="25"/>
      <c r="X2230" s="25"/>
      <c r="Y2230" s="25"/>
      <c r="Z2230" s="25"/>
      <c r="AA2230" s="25"/>
    </row>
    <row r="2231" spans="20:27" x14ac:dyDescent="0.35">
      <c r="T2231" s="97"/>
      <c r="U2231" s="97"/>
      <c r="V2231" s="25"/>
      <c r="W2231" s="25"/>
      <c r="X2231" s="25"/>
      <c r="Y2231" s="25"/>
      <c r="Z2231" s="25"/>
      <c r="AA2231" s="25"/>
    </row>
    <row r="2232" spans="20:27" x14ac:dyDescent="0.35">
      <c r="T2232" s="97"/>
      <c r="U2232" s="97"/>
      <c r="V2232" s="25"/>
      <c r="W2232" s="25"/>
      <c r="X2232" s="25"/>
      <c r="Y2232" s="25"/>
      <c r="Z2232" s="25"/>
      <c r="AA2232" s="25"/>
    </row>
    <row r="2233" spans="20:27" x14ac:dyDescent="0.35">
      <c r="T2233" s="97"/>
      <c r="U2233" s="97"/>
      <c r="V2233" s="25"/>
      <c r="W2233" s="25"/>
      <c r="X2233" s="25"/>
      <c r="Y2233" s="25"/>
      <c r="Z2233" s="25"/>
      <c r="AA2233" s="25"/>
    </row>
    <row r="2234" spans="20:27" x14ac:dyDescent="0.35">
      <c r="T2234" s="97"/>
      <c r="U2234" s="97"/>
      <c r="V2234" s="25"/>
      <c r="W2234" s="25"/>
      <c r="X2234" s="25"/>
      <c r="Y2234" s="25"/>
      <c r="Z2234" s="25"/>
      <c r="AA2234" s="25"/>
    </row>
    <row r="2235" spans="20:27" x14ac:dyDescent="0.35">
      <c r="T2235" s="97"/>
      <c r="U2235" s="97"/>
      <c r="V2235" s="25"/>
      <c r="W2235" s="25"/>
      <c r="X2235" s="25"/>
      <c r="Y2235" s="25"/>
      <c r="Z2235" s="25"/>
      <c r="AA2235" s="25"/>
    </row>
    <row r="2236" spans="20:27" x14ac:dyDescent="0.35">
      <c r="T2236" s="97"/>
      <c r="U2236" s="97"/>
      <c r="V2236" s="25"/>
      <c r="W2236" s="25"/>
      <c r="X2236" s="25"/>
      <c r="Y2236" s="25"/>
      <c r="Z2236" s="25"/>
      <c r="AA2236" s="25"/>
    </row>
    <row r="2237" spans="20:27" x14ac:dyDescent="0.35">
      <c r="T2237" s="97"/>
      <c r="U2237" s="97"/>
      <c r="V2237" s="25"/>
      <c r="W2237" s="25"/>
      <c r="X2237" s="25"/>
      <c r="Y2237" s="25"/>
      <c r="Z2237" s="25"/>
      <c r="AA2237" s="25"/>
    </row>
    <row r="2238" spans="20:27" x14ac:dyDescent="0.35">
      <c r="T2238" s="97"/>
      <c r="U2238" s="97"/>
      <c r="V2238" s="25"/>
      <c r="W2238" s="25"/>
      <c r="X2238" s="25"/>
      <c r="Y2238" s="25"/>
      <c r="Z2238" s="25"/>
      <c r="AA2238" s="25"/>
    </row>
    <row r="2239" spans="20:27" x14ac:dyDescent="0.35">
      <c r="T2239" s="97"/>
      <c r="U2239" s="97"/>
      <c r="V2239" s="25"/>
      <c r="W2239" s="25"/>
      <c r="X2239" s="25"/>
      <c r="Y2239" s="25"/>
      <c r="Z2239" s="25"/>
      <c r="AA2239" s="25"/>
    </row>
    <row r="2240" spans="20:27" x14ac:dyDescent="0.35">
      <c r="T2240" s="97"/>
      <c r="U2240" s="97"/>
      <c r="V2240" s="25"/>
      <c r="W2240" s="25"/>
      <c r="X2240" s="25"/>
      <c r="Y2240" s="25"/>
      <c r="Z2240" s="25"/>
      <c r="AA2240" s="25"/>
    </row>
    <row r="2241" spans="20:27" x14ac:dyDescent="0.35">
      <c r="T2241" s="97"/>
      <c r="U2241" s="97"/>
      <c r="V2241" s="25"/>
      <c r="W2241" s="25"/>
      <c r="X2241" s="25"/>
      <c r="Y2241" s="25"/>
      <c r="Z2241" s="25"/>
      <c r="AA2241" s="25"/>
    </row>
    <row r="2242" spans="20:27" x14ac:dyDescent="0.35">
      <c r="T2242" s="97"/>
      <c r="U2242" s="97"/>
      <c r="V2242" s="25"/>
      <c r="W2242" s="25"/>
      <c r="X2242" s="25"/>
      <c r="Y2242" s="25"/>
      <c r="Z2242" s="25"/>
      <c r="AA2242" s="25"/>
    </row>
    <row r="2243" spans="20:27" x14ac:dyDescent="0.35">
      <c r="T2243" s="97"/>
      <c r="U2243" s="97"/>
      <c r="V2243" s="25"/>
      <c r="W2243" s="25"/>
      <c r="X2243" s="25"/>
      <c r="Y2243" s="25"/>
      <c r="Z2243" s="25"/>
      <c r="AA2243" s="25"/>
    </row>
    <row r="2244" spans="20:27" x14ac:dyDescent="0.35">
      <c r="T2244" s="97"/>
      <c r="U2244" s="97"/>
      <c r="V2244" s="25"/>
      <c r="W2244" s="25"/>
      <c r="X2244" s="25"/>
      <c r="Y2244" s="25"/>
      <c r="Z2244" s="25"/>
      <c r="AA2244" s="25"/>
    </row>
    <row r="2245" spans="20:27" x14ac:dyDescent="0.35">
      <c r="T2245" s="97"/>
      <c r="U2245" s="97"/>
      <c r="V2245" s="25"/>
      <c r="W2245" s="25"/>
      <c r="X2245" s="25"/>
      <c r="Y2245" s="25"/>
      <c r="Z2245" s="25"/>
      <c r="AA2245" s="25"/>
    </row>
    <row r="2246" spans="20:27" x14ac:dyDescent="0.35">
      <c r="T2246" s="97"/>
      <c r="U2246" s="97"/>
      <c r="V2246" s="25"/>
      <c r="W2246" s="25"/>
      <c r="X2246" s="25"/>
      <c r="Y2246" s="25"/>
      <c r="Z2246" s="25"/>
      <c r="AA2246" s="25"/>
    </row>
    <row r="2247" spans="20:27" x14ac:dyDescent="0.35">
      <c r="T2247" s="97"/>
      <c r="U2247" s="97"/>
      <c r="V2247" s="25"/>
      <c r="W2247" s="25"/>
      <c r="X2247" s="25"/>
      <c r="Y2247" s="25"/>
      <c r="Z2247" s="25"/>
      <c r="AA2247" s="25"/>
    </row>
    <row r="2248" spans="20:27" x14ac:dyDescent="0.35">
      <c r="T2248" s="97"/>
      <c r="U2248" s="97"/>
      <c r="V2248" s="25"/>
      <c r="W2248" s="25"/>
      <c r="X2248" s="25"/>
      <c r="Y2248" s="25"/>
      <c r="Z2248" s="25"/>
      <c r="AA2248" s="25"/>
    </row>
    <row r="2249" spans="20:27" x14ac:dyDescent="0.35">
      <c r="T2249" s="97"/>
      <c r="U2249" s="97"/>
      <c r="V2249" s="25"/>
      <c r="W2249" s="25"/>
      <c r="X2249" s="25"/>
      <c r="Y2249" s="25"/>
      <c r="Z2249" s="25"/>
      <c r="AA2249" s="25"/>
    </row>
    <row r="2250" spans="20:27" x14ac:dyDescent="0.35">
      <c r="T2250" s="97"/>
      <c r="U2250" s="97"/>
      <c r="V2250" s="25"/>
      <c r="W2250" s="25"/>
      <c r="X2250" s="25"/>
      <c r="Y2250" s="25"/>
      <c r="Z2250" s="25"/>
      <c r="AA2250" s="25"/>
    </row>
    <row r="2251" spans="20:27" x14ac:dyDescent="0.35">
      <c r="T2251" s="97"/>
      <c r="U2251" s="97"/>
      <c r="V2251" s="25"/>
      <c r="W2251" s="25"/>
      <c r="X2251" s="25"/>
      <c r="Y2251" s="25"/>
      <c r="Z2251" s="25"/>
      <c r="AA2251" s="25"/>
    </row>
    <row r="2252" spans="20:27" x14ac:dyDescent="0.35">
      <c r="T2252" s="97"/>
      <c r="U2252" s="97"/>
      <c r="V2252" s="25"/>
      <c r="W2252" s="25"/>
      <c r="X2252" s="25"/>
      <c r="Y2252" s="25"/>
      <c r="Z2252" s="25"/>
      <c r="AA2252" s="25"/>
    </row>
    <row r="2253" spans="20:27" x14ac:dyDescent="0.35">
      <c r="T2253" s="97"/>
      <c r="U2253" s="97"/>
      <c r="V2253" s="25"/>
      <c r="W2253" s="25"/>
      <c r="X2253" s="25"/>
      <c r="Y2253" s="25"/>
      <c r="Z2253" s="25"/>
      <c r="AA2253" s="25"/>
    </row>
    <row r="2254" spans="20:27" x14ac:dyDescent="0.35">
      <c r="T2254" s="97"/>
      <c r="U2254" s="97"/>
      <c r="V2254" s="25"/>
      <c r="W2254" s="25"/>
      <c r="X2254" s="25"/>
      <c r="Y2254" s="25"/>
      <c r="Z2254" s="25"/>
      <c r="AA2254" s="25"/>
    </row>
    <row r="2255" spans="20:27" x14ac:dyDescent="0.35">
      <c r="T2255" s="97"/>
      <c r="U2255" s="97"/>
      <c r="V2255" s="25"/>
      <c r="W2255" s="25"/>
      <c r="X2255" s="25"/>
      <c r="Y2255" s="25"/>
      <c r="Z2255" s="25"/>
      <c r="AA2255" s="25"/>
    </row>
    <row r="2256" spans="20:27" x14ac:dyDescent="0.35">
      <c r="T2256" s="97"/>
      <c r="U2256" s="97"/>
      <c r="V2256" s="25"/>
      <c r="W2256" s="25"/>
      <c r="X2256" s="25"/>
      <c r="Y2256" s="25"/>
      <c r="Z2256" s="25"/>
      <c r="AA2256" s="25"/>
    </row>
    <row r="2257" spans="20:27" x14ac:dyDescent="0.35">
      <c r="T2257" s="97"/>
      <c r="U2257" s="97"/>
      <c r="V2257" s="25"/>
      <c r="W2257" s="25"/>
      <c r="X2257" s="25"/>
      <c r="Y2257" s="25"/>
      <c r="Z2257" s="25"/>
      <c r="AA2257" s="25"/>
    </row>
    <row r="2258" spans="20:27" x14ac:dyDescent="0.35">
      <c r="T2258" s="97"/>
      <c r="U2258" s="97"/>
      <c r="V2258" s="25"/>
      <c r="W2258" s="25"/>
      <c r="X2258" s="25"/>
      <c r="Y2258" s="25"/>
      <c r="Z2258" s="25"/>
      <c r="AA2258" s="25"/>
    </row>
    <row r="2259" spans="20:27" x14ac:dyDescent="0.35">
      <c r="T2259" s="97"/>
      <c r="U2259" s="97"/>
      <c r="V2259" s="25"/>
      <c r="W2259" s="25"/>
      <c r="X2259" s="25"/>
      <c r="Y2259" s="25"/>
      <c r="Z2259" s="25"/>
      <c r="AA2259" s="25"/>
    </row>
    <row r="2260" spans="20:27" x14ac:dyDescent="0.35">
      <c r="T2260" s="97"/>
      <c r="U2260" s="97"/>
      <c r="V2260" s="25"/>
      <c r="W2260" s="25"/>
      <c r="X2260" s="25"/>
      <c r="Y2260" s="25"/>
      <c r="Z2260" s="25"/>
      <c r="AA2260" s="25"/>
    </row>
    <row r="2261" spans="20:27" x14ac:dyDescent="0.35">
      <c r="T2261" s="97"/>
      <c r="U2261" s="97"/>
      <c r="V2261" s="25"/>
      <c r="W2261" s="25"/>
      <c r="X2261" s="25"/>
      <c r="Y2261" s="25"/>
      <c r="Z2261" s="25"/>
      <c r="AA2261" s="25"/>
    </row>
    <row r="2262" spans="20:27" x14ac:dyDescent="0.35">
      <c r="T2262" s="97"/>
      <c r="U2262" s="97"/>
      <c r="V2262" s="25"/>
      <c r="W2262" s="25"/>
      <c r="X2262" s="25"/>
      <c r="Y2262" s="25"/>
      <c r="Z2262" s="25"/>
      <c r="AA2262" s="25"/>
    </row>
    <row r="2263" spans="20:27" x14ac:dyDescent="0.35">
      <c r="T2263" s="97"/>
      <c r="U2263" s="97"/>
      <c r="V2263" s="25"/>
      <c r="W2263" s="25"/>
      <c r="X2263" s="25"/>
      <c r="Y2263" s="25"/>
      <c r="Z2263" s="25"/>
      <c r="AA2263" s="25"/>
    </row>
    <row r="2264" spans="20:27" x14ac:dyDescent="0.35">
      <c r="T2264" s="97"/>
      <c r="U2264" s="97"/>
      <c r="V2264" s="25"/>
      <c r="W2264" s="25"/>
      <c r="X2264" s="25"/>
      <c r="Y2264" s="25"/>
      <c r="Z2264" s="25"/>
      <c r="AA2264" s="25"/>
    </row>
    <row r="2265" spans="20:27" x14ac:dyDescent="0.35">
      <c r="T2265" s="97"/>
      <c r="U2265" s="97"/>
      <c r="V2265" s="25"/>
      <c r="W2265" s="25"/>
      <c r="X2265" s="25"/>
      <c r="Y2265" s="25"/>
      <c r="Z2265" s="25"/>
      <c r="AA2265" s="25"/>
    </row>
    <row r="2266" spans="20:27" x14ac:dyDescent="0.35">
      <c r="T2266" s="97"/>
      <c r="U2266" s="97"/>
      <c r="V2266" s="25"/>
      <c r="W2266" s="25"/>
      <c r="X2266" s="25"/>
      <c r="Y2266" s="25"/>
      <c r="Z2266" s="25"/>
      <c r="AA2266" s="25"/>
    </row>
    <row r="2267" spans="20:27" x14ac:dyDescent="0.35">
      <c r="T2267" s="97"/>
      <c r="U2267" s="97"/>
      <c r="V2267" s="25"/>
      <c r="W2267" s="25"/>
      <c r="X2267" s="25"/>
      <c r="Y2267" s="25"/>
      <c r="Z2267" s="25"/>
      <c r="AA2267" s="25"/>
    </row>
    <row r="2268" spans="20:27" x14ac:dyDescent="0.35">
      <c r="T2268" s="97"/>
      <c r="U2268" s="97"/>
      <c r="V2268" s="25"/>
      <c r="W2268" s="25"/>
      <c r="X2268" s="25"/>
      <c r="Y2268" s="25"/>
      <c r="Z2268" s="25"/>
      <c r="AA2268" s="25"/>
    </row>
    <row r="2269" spans="20:27" x14ac:dyDescent="0.35">
      <c r="T2269" s="97"/>
      <c r="U2269" s="97"/>
      <c r="V2269" s="25"/>
      <c r="W2269" s="25"/>
      <c r="X2269" s="25"/>
      <c r="Y2269" s="25"/>
      <c r="Z2269" s="25"/>
      <c r="AA2269" s="25"/>
    </row>
    <row r="2270" spans="20:27" x14ac:dyDescent="0.35">
      <c r="T2270" s="97"/>
      <c r="U2270" s="97"/>
      <c r="V2270" s="25"/>
      <c r="W2270" s="25"/>
      <c r="X2270" s="25"/>
      <c r="Y2270" s="25"/>
      <c r="Z2270" s="25"/>
      <c r="AA2270" s="25"/>
    </row>
    <row r="2271" spans="20:27" x14ac:dyDescent="0.35">
      <c r="T2271" s="97"/>
      <c r="U2271" s="97"/>
      <c r="V2271" s="25"/>
      <c r="W2271" s="25"/>
      <c r="X2271" s="25"/>
      <c r="Y2271" s="25"/>
      <c r="Z2271" s="25"/>
      <c r="AA2271" s="25"/>
    </row>
    <row r="2272" spans="20:27" x14ac:dyDescent="0.35">
      <c r="T2272" s="97"/>
      <c r="U2272" s="97"/>
      <c r="V2272" s="25"/>
      <c r="W2272" s="25"/>
      <c r="X2272" s="25"/>
      <c r="Y2272" s="25"/>
      <c r="Z2272" s="25"/>
      <c r="AA2272" s="25"/>
    </row>
    <row r="2273" spans="20:27" x14ac:dyDescent="0.35">
      <c r="T2273" s="97"/>
      <c r="U2273" s="97"/>
      <c r="V2273" s="25"/>
      <c r="W2273" s="25"/>
      <c r="X2273" s="25"/>
      <c r="Y2273" s="25"/>
      <c r="Z2273" s="25"/>
      <c r="AA2273" s="25"/>
    </row>
    <row r="2274" spans="20:27" x14ac:dyDescent="0.35">
      <c r="T2274" s="97"/>
      <c r="U2274" s="97"/>
      <c r="V2274" s="25"/>
      <c r="W2274" s="25"/>
      <c r="X2274" s="25"/>
      <c r="Y2274" s="25"/>
      <c r="Z2274" s="25"/>
      <c r="AA2274" s="25"/>
    </row>
    <row r="2275" spans="20:27" x14ac:dyDescent="0.35">
      <c r="T2275" s="97"/>
      <c r="U2275" s="97"/>
      <c r="V2275" s="25"/>
      <c r="W2275" s="25"/>
      <c r="X2275" s="25"/>
      <c r="Y2275" s="25"/>
      <c r="Z2275" s="25"/>
      <c r="AA2275" s="25"/>
    </row>
    <row r="2276" spans="20:27" x14ac:dyDescent="0.35">
      <c r="T2276" s="97"/>
      <c r="U2276" s="97"/>
      <c r="V2276" s="25"/>
      <c r="W2276" s="25"/>
      <c r="X2276" s="25"/>
      <c r="Y2276" s="25"/>
      <c r="Z2276" s="25"/>
      <c r="AA2276" s="25"/>
    </row>
    <row r="2277" spans="20:27" x14ac:dyDescent="0.35">
      <c r="T2277" s="97"/>
      <c r="U2277" s="97"/>
      <c r="V2277" s="25"/>
      <c r="W2277" s="25"/>
      <c r="X2277" s="25"/>
      <c r="Y2277" s="25"/>
      <c r="Z2277" s="25"/>
      <c r="AA2277" s="25"/>
    </row>
    <row r="2278" spans="20:27" x14ac:dyDescent="0.35">
      <c r="T2278" s="97"/>
      <c r="U2278" s="97"/>
      <c r="V2278" s="25"/>
      <c r="W2278" s="25"/>
      <c r="X2278" s="25"/>
      <c r="Y2278" s="25"/>
      <c r="Z2278" s="25"/>
      <c r="AA2278" s="25"/>
    </row>
    <row r="2279" spans="20:27" x14ac:dyDescent="0.35">
      <c r="T2279" s="97"/>
      <c r="U2279" s="97"/>
      <c r="V2279" s="25"/>
      <c r="W2279" s="25"/>
      <c r="X2279" s="25"/>
      <c r="Y2279" s="25"/>
      <c r="Z2279" s="25"/>
      <c r="AA2279" s="25"/>
    </row>
    <row r="2280" spans="20:27" x14ac:dyDescent="0.35">
      <c r="T2280" s="97"/>
      <c r="U2280" s="97"/>
      <c r="V2280" s="25"/>
      <c r="W2280" s="25"/>
      <c r="X2280" s="25"/>
      <c r="Y2280" s="25"/>
      <c r="Z2280" s="25"/>
      <c r="AA2280" s="25"/>
    </row>
    <row r="2281" spans="20:27" x14ac:dyDescent="0.35">
      <c r="T2281" s="97"/>
      <c r="U2281" s="97"/>
      <c r="V2281" s="25"/>
      <c r="W2281" s="25"/>
      <c r="X2281" s="25"/>
      <c r="Y2281" s="25"/>
      <c r="Z2281" s="25"/>
      <c r="AA2281" s="25"/>
    </row>
    <row r="2282" spans="20:27" x14ac:dyDescent="0.35">
      <c r="T2282" s="97"/>
      <c r="U2282" s="97"/>
      <c r="V2282" s="25"/>
      <c r="W2282" s="25"/>
      <c r="X2282" s="25"/>
      <c r="Y2282" s="25"/>
      <c r="Z2282" s="25"/>
      <c r="AA2282" s="25"/>
    </row>
    <row r="2283" spans="20:27" x14ac:dyDescent="0.35">
      <c r="T2283" s="97"/>
      <c r="U2283" s="97"/>
      <c r="V2283" s="25"/>
      <c r="W2283" s="25"/>
      <c r="X2283" s="25"/>
      <c r="Y2283" s="25"/>
      <c r="Z2283" s="25"/>
      <c r="AA2283" s="25"/>
    </row>
    <row r="2284" spans="20:27" x14ac:dyDescent="0.35">
      <c r="T2284" s="97"/>
      <c r="U2284" s="97"/>
      <c r="V2284" s="25"/>
      <c r="W2284" s="25"/>
      <c r="X2284" s="25"/>
      <c r="Y2284" s="25"/>
      <c r="Z2284" s="25"/>
      <c r="AA2284" s="25"/>
    </row>
    <row r="2285" spans="20:27" x14ac:dyDescent="0.35">
      <c r="T2285" s="97"/>
      <c r="U2285" s="97"/>
      <c r="V2285" s="25"/>
      <c r="W2285" s="25"/>
      <c r="X2285" s="25"/>
      <c r="Y2285" s="25"/>
      <c r="Z2285" s="25"/>
      <c r="AA2285" s="25"/>
    </row>
    <row r="2286" spans="20:27" x14ac:dyDescent="0.35">
      <c r="T2286" s="97"/>
      <c r="U2286" s="97"/>
      <c r="V2286" s="25"/>
      <c r="W2286" s="25"/>
      <c r="X2286" s="25"/>
      <c r="Y2286" s="25"/>
      <c r="Z2286" s="25"/>
      <c r="AA2286" s="25"/>
    </row>
    <row r="2287" spans="20:27" x14ac:dyDescent="0.35">
      <c r="T2287" s="97"/>
      <c r="U2287" s="97"/>
      <c r="V2287" s="25"/>
      <c r="W2287" s="25"/>
      <c r="X2287" s="25"/>
      <c r="Y2287" s="25"/>
      <c r="Z2287" s="25"/>
      <c r="AA2287" s="25"/>
    </row>
    <row r="2288" spans="20:27" x14ac:dyDescent="0.35">
      <c r="T2288" s="97"/>
      <c r="U2288" s="97"/>
      <c r="V2288" s="25"/>
      <c r="W2288" s="25"/>
      <c r="X2288" s="25"/>
      <c r="Y2288" s="25"/>
      <c r="Z2288" s="25"/>
      <c r="AA2288" s="25"/>
    </row>
    <row r="2289" spans="20:27" x14ac:dyDescent="0.35">
      <c r="T2289" s="97"/>
      <c r="U2289" s="97"/>
      <c r="V2289" s="25"/>
      <c r="W2289" s="25"/>
      <c r="X2289" s="25"/>
      <c r="Y2289" s="25"/>
      <c r="Z2289" s="25"/>
      <c r="AA2289" s="25"/>
    </row>
    <row r="2290" spans="20:27" x14ac:dyDescent="0.35">
      <c r="T2290" s="97"/>
      <c r="U2290" s="97"/>
      <c r="V2290" s="25"/>
      <c r="W2290" s="25"/>
      <c r="X2290" s="25"/>
      <c r="Y2290" s="25"/>
      <c r="Z2290" s="25"/>
      <c r="AA2290" s="25"/>
    </row>
    <row r="2291" spans="20:27" x14ac:dyDescent="0.35">
      <c r="T2291" s="97"/>
      <c r="U2291" s="97"/>
      <c r="V2291" s="25"/>
      <c r="W2291" s="25"/>
      <c r="X2291" s="25"/>
      <c r="Y2291" s="25"/>
      <c r="Z2291" s="25"/>
      <c r="AA2291" s="25"/>
    </row>
    <row r="2292" spans="20:27" x14ac:dyDescent="0.35">
      <c r="T2292" s="97"/>
      <c r="U2292" s="97"/>
      <c r="V2292" s="25"/>
      <c r="W2292" s="25"/>
      <c r="X2292" s="25"/>
      <c r="Y2292" s="25"/>
      <c r="Z2292" s="25"/>
      <c r="AA2292" s="25"/>
    </row>
    <row r="2293" spans="20:27" x14ac:dyDescent="0.35">
      <c r="T2293" s="97"/>
      <c r="U2293" s="97"/>
      <c r="V2293" s="25"/>
      <c r="W2293" s="25"/>
      <c r="X2293" s="25"/>
      <c r="Y2293" s="25"/>
      <c r="Z2293" s="25"/>
      <c r="AA2293" s="25"/>
    </row>
    <row r="2294" spans="20:27" x14ac:dyDescent="0.35">
      <c r="T2294" s="97"/>
      <c r="U2294" s="97"/>
      <c r="V2294" s="25"/>
      <c r="W2294" s="25"/>
      <c r="X2294" s="25"/>
      <c r="Y2294" s="25"/>
      <c r="Z2294" s="25"/>
      <c r="AA2294" s="25"/>
    </row>
    <row r="2295" spans="20:27" x14ac:dyDescent="0.35">
      <c r="T2295" s="97"/>
      <c r="U2295" s="97"/>
      <c r="V2295" s="25"/>
      <c r="W2295" s="25"/>
      <c r="X2295" s="25"/>
      <c r="Y2295" s="25"/>
      <c r="Z2295" s="25"/>
      <c r="AA2295" s="25"/>
    </row>
    <row r="2296" spans="20:27" x14ac:dyDescent="0.35">
      <c r="T2296" s="97"/>
      <c r="U2296" s="97"/>
      <c r="V2296" s="25"/>
      <c r="W2296" s="25"/>
      <c r="X2296" s="25"/>
      <c r="Y2296" s="25"/>
      <c r="Z2296" s="25"/>
      <c r="AA2296" s="25"/>
    </row>
    <row r="2297" spans="20:27" x14ac:dyDescent="0.35">
      <c r="T2297" s="97"/>
      <c r="U2297" s="97"/>
      <c r="V2297" s="25"/>
      <c r="W2297" s="25"/>
      <c r="X2297" s="25"/>
      <c r="Y2297" s="25"/>
      <c r="Z2297" s="25"/>
      <c r="AA2297" s="25"/>
    </row>
    <row r="2298" spans="20:27" x14ac:dyDescent="0.35">
      <c r="T2298" s="97"/>
      <c r="U2298" s="97"/>
      <c r="V2298" s="25"/>
      <c r="W2298" s="25"/>
      <c r="X2298" s="25"/>
      <c r="Y2298" s="25"/>
      <c r="Z2298" s="25"/>
      <c r="AA2298" s="25"/>
    </row>
    <row r="2299" spans="20:27" x14ac:dyDescent="0.35">
      <c r="T2299" s="97"/>
      <c r="U2299" s="97"/>
      <c r="V2299" s="25"/>
      <c r="W2299" s="25"/>
      <c r="X2299" s="25"/>
      <c r="Y2299" s="25"/>
      <c r="Z2299" s="25"/>
      <c r="AA2299" s="25"/>
    </row>
    <row r="2300" spans="20:27" x14ac:dyDescent="0.35">
      <c r="T2300" s="97"/>
      <c r="U2300" s="97"/>
      <c r="V2300" s="25"/>
      <c r="W2300" s="25"/>
      <c r="X2300" s="25"/>
      <c r="Y2300" s="25"/>
      <c r="Z2300" s="25"/>
      <c r="AA2300" s="25"/>
    </row>
    <row r="2301" spans="20:27" x14ac:dyDescent="0.35">
      <c r="T2301" s="97"/>
      <c r="U2301" s="97"/>
      <c r="V2301" s="25"/>
      <c r="W2301" s="25"/>
      <c r="X2301" s="25"/>
      <c r="Y2301" s="25"/>
      <c r="Z2301" s="25"/>
      <c r="AA2301" s="25"/>
    </row>
    <row r="2302" spans="20:27" x14ac:dyDescent="0.35">
      <c r="T2302" s="97"/>
      <c r="U2302" s="97"/>
      <c r="V2302" s="25"/>
      <c r="W2302" s="25"/>
      <c r="X2302" s="25"/>
      <c r="Y2302" s="25"/>
      <c r="Z2302" s="25"/>
      <c r="AA2302" s="25"/>
    </row>
    <row r="2303" spans="20:27" x14ac:dyDescent="0.35">
      <c r="T2303" s="97"/>
      <c r="U2303" s="97"/>
      <c r="V2303" s="25"/>
      <c r="W2303" s="25"/>
      <c r="X2303" s="25"/>
      <c r="Y2303" s="25"/>
      <c r="Z2303" s="25"/>
      <c r="AA2303" s="25"/>
    </row>
    <row r="2304" spans="20:27" x14ac:dyDescent="0.35">
      <c r="T2304" s="97"/>
      <c r="U2304" s="97"/>
      <c r="V2304" s="25"/>
      <c r="W2304" s="25"/>
      <c r="X2304" s="25"/>
      <c r="Y2304" s="25"/>
      <c r="Z2304" s="25"/>
      <c r="AA2304" s="25"/>
    </row>
    <row r="2305" spans="20:27" x14ac:dyDescent="0.35">
      <c r="T2305" s="97"/>
      <c r="U2305" s="97"/>
      <c r="V2305" s="25"/>
      <c r="W2305" s="25"/>
      <c r="X2305" s="25"/>
      <c r="Y2305" s="25"/>
      <c r="Z2305" s="25"/>
      <c r="AA2305" s="25"/>
    </row>
    <row r="2306" spans="20:27" x14ac:dyDescent="0.35">
      <c r="T2306" s="97"/>
      <c r="U2306" s="97"/>
      <c r="V2306" s="25"/>
      <c r="W2306" s="25"/>
      <c r="X2306" s="25"/>
      <c r="Y2306" s="25"/>
      <c r="Z2306" s="25"/>
      <c r="AA2306" s="25"/>
    </row>
    <row r="2307" spans="20:27" x14ac:dyDescent="0.35">
      <c r="T2307" s="97"/>
      <c r="U2307" s="97"/>
      <c r="V2307" s="25"/>
      <c r="W2307" s="25"/>
      <c r="X2307" s="25"/>
      <c r="Y2307" s="25"/>
      <c r="Z2307" s="25"/>
      <c r="AA2307" s="25"/>
    </row>
    <row r="2308" spans="20:27" x14ac:dyDescent="0.35">
      <c r="T2308" s="97"/>
      <c r="U2308" s="97"/>
      <c r="V2308" s="25"/>
      <c r="W2308" s="25"/>
      <c r="X2308" s="25"/>
      <c r="Y2308" s="25"/>
      <c r="Z2308" s="25"/>
      <c r="AA2308" s="25"/>
    </row>
    <row r="2309" spans="20:27" x14ac:dyDescent="0.35">
      <c r="T2309" s="97"/>
      <c r="U2309" s="97"/>
      <c r="V2309" s="25"/>
      <c r="W2309" s="25"/>
      <c r="X2309" s="25"/>
      <c r="Y2309" s="25"/>
      <c r="Z2309" s="25"/>
      <c r="AA2309" s="25"/>
    </row>
    <row r="2310" spans="20:27" x14ac:dyDescent="0.35">
      <c r="T2310" s="97"/>
      <c r="U2310" s="97"/>
      <c r="V2310" s="25"/>
      <c r="W2310" s="25"/>
      <c r="X2310" s="25"/>
      <c r="Y2310" s="25"/>
      <c r="Z2310" s="25"/>
      <c r="AA2310" s="25"/>
    </row>
    <row r="2311" spans="20:27" x14ac:dyDescent="0.35">
      <c r="T2311" s="97"/>
      <c r="U2311" s="97"/>
      <c r="V2311" s="25"/>
      <c r="W2311" s="25"/>
      <c r="X2311" s="25"/>
      <c r="Y2311" s="25"/>
      <c r="Z2311" s="25"/>
      <c r="AA2311" s="25"/>
    </row>
    <row r="2312" spans="20:27" x14ac:dyDescent="0.35">
      <c r="T2312" s="97"/>
      <c r="U2312" s="97"/>
      <c r="V2312" s="25"/>
      <c r="W2312" s="25"/>
      <c r="X2312" s="25"/>
      <c r="Y2312" s="25"/>
      <c r="Z2312" s="25"/>
      <c r="AA2312" s="25"/>
    </row>
    <row r="2313" spans="20:27" x14ac:dyDescent="0.35">
      <c r="T2313" s="97"/>
      <c r="U2313" s="97"/>
      <c r="V2313" s="25"/>
      <c r="W2313" s="25"/>
      <c r="X2313" s="25"/>
      <c r="Y2313" s="25"/>
      <c r="Z2313" s="25"/>
      <c r="AA2313" s="25"/>
    </row>
    <row r="2314" spans="20:27" x14ac:dyDescent="0.35">
      <c r="T2314" s="97"/>
      <c r="U2314" s="97"/>
      <c r="V2314" s="25"/>
      <c r="W2314" s="25"/>
      <c r="X2314" s="25"/>
      <c r="Y2314" s="25"/>
      <c r="Z2314" s="25"/>
      <c r="AA2314" s="25"/>
    </row>
    <row r="2315" spans="20:27" x14ac:dyDescent="0.35">
      <c r="T2315" s="97"/>
      <c r="U2315" s="97"/>
      <c r="V2315" s="25"/>
      <c r="W2315" s="25"/>
      <c r="X2315" s="25"/>
      <c r="Y2315" s="25"/>
      <c r="Z2315" s="25"/>
      <c r="AA2315" s="25"/>
    </row>
    <row r="2316" spans="20:27" x14ac:dyDescent="0.35">
      <c r="T2316" s="97"/>
      <c r="U2316" s="97"/>
      <c r="V2316" s="25"/>
      <c r="W2316" s="25"/>
      <c r="X2316" s="25"/>
      <c r="Y2316" s="25"/>
      <c r="Z2316" s="25"/>
      <c r="AA2316" s="25"/>
    </row>
    <row r="2317" spans="20:27" x14ac:dyDescent="0.35">
      <c r="T2317" s="97"/>
      <c r="U2317" s="97"/>
      <c r="V2317" s="25"/>
      <c r="W2317" s="25"/>
      <c r="X2317" s="25"/>
      <c r="Y2317" s="25"/>
      <c r="Z2317" s="25"/>
      <c r="AA2317" s="25"/>
    </row>
    <row r="2318" spans="20:27" x14ac:dyDescent="0.35">
      <c r="T2318" s="97"/>
      <c r="U2318" s="97"/>
      <c r="V2318" s="25"/>
      <c r="W2318" s="25"/>
      <c r="X2318" s="25"/>
      <c r="Y2318" s="25"/>
      <c r="Z2318" s="25"/>
      <c r="AA2318" s="25"/>
    </row>
    <row r="2319" spans="20:27" x14ac:dyDescent="0.35">
      <c r="T2319" s="97"/>
      <c r="U2319" s="97"/>
      <c r="V2319" s="25"/>
      <c r="W2319" s="25"/>
      <c r="X2319" s="25"/>
      <c r="Y2319" s="25"/>
      <c r="Z2319" s="25"/>
      <c r="AA2319" s="25"/>
    </row>
    <row r="2320" spans="20:27" x14ac:dyDescent="0.35">
      <c r="T2320" s="97"/>
      <c r="U2320" s="97"/>
      <c r="V2320" s="25"/>
      <c r="W2320" s="25"/>
      <c r="X2320" s="25"/>
      <c r="Y2320" s="25"/>
      <c r="Z2320" s="25"/>
      <c r="AA2320" s="25"/>
    </row>
    <row r="2321" spans="20:27" x14ac:dyDescent="0.35">
      <c r="T2321" s="97"/>
      <c r="U2321" s="97"/>
      <c r="V2321" s="25"/>
      <c r="W2321" s="25"/>
      <c r="X2321" s="25"/>
      <c r="Y2321" s="25"/>
      <c r="Z2321" s="25"/>
      <c r="AA2321" s="25"/>
    </row>
    <row r="2322" spans="20:27" x14ac:dyDescent="0.35">
      <c r="T2322" s="97"/>
      <c r="U2322" s="97"/>
      <c r="V2322" s="25"/>
      <c r="W2322" s="25"/>
      <c r="X2322" s="25"/>
      <c r="Y2322" s="25"/>
      <c r="Z2322" s="25"/>
      <c r="AA2322" s="25"/>
    </row>
    <row r="2323" spans="20:27" x14ac:dyDescent="0.35">
      <c r="T2323" s="97"/>
      <c r="U2323" s="97"/>
      <c r="V2323" s="25"/>
      <c r="W2323" s="25"/>
      <c r="X2323" s="25"/>
      <c r="Y2323" s="25"/>
      <c r="Z2323" s="25"/>
      <c r="AA2323" s="25"/>
    </row>
    <row r="2324" spans="20:27" x14ac:dyDescent="0.35">
      <c r="T2324" s="97"/>
      <c r="U2324" s="97"/>
      <c r="V2324" s="25"/>
      <c r="W2324" s="25"/>
      <c r="X2324" s="25"/>
      <c r="Y2324" s="25"/>
      <c r="Z2324" s="25"/>
      <c r="AA2324" s="25"/>
    </row>
    <row r="2325" spans="20:27" x14ac:dyDescent="0.35">
      <c r="T2325" s="97"/>
      <c r="U2325" s="97"/>
      <c r="V2325" s="25"/>
      <c r="W2325" s="25"/>
      <c r="X2325" s="25"/>
      <c r="Y2325" s="25"/>
      <c r="Z2325" s="25"/>
      <c r="AA2325" s="25"/>
    </row>
    <row r="2326" spans="20:27" x14ac:dyDescent="0.35">
      <c r="T2326" s="97"/>
      <c r="U2326" s="97"/>
      <c r="V2326" s="25"/>
      <c r="W2326" s="25"/>
      <c r="X2326" s="25"/>
      <c r="Y2326" s="25"/>
      <c r="Z2326" s="25"/>
      <c r="AA2326" s="25"/>
    </row>
    <row r="2327" spans="20:27" x14ac:dyDescent="0.35">
      <c r="T2327" s="97"/>
      <c r="U2327" s="97"/>
      <c r="V2327" s="25"/>
      <c r="W2327" s="25"/>
      <c r="X2327" s="25"/>
      <c r="Y2327" s="25"/>
      <c r="Z2327" s="25"/>
      <c r="AA2327" s="25"/>
    </row>
    <row r="2328" spans="20:27" x14ac:dyDescent="0.35">
      <c r="T2328" s="97"/>
      <c r="U2328" s="97"/>
      <c r="V2328" s="25"/>
      <c r="W2328" s="25"/>
      <c r="X2328" s="25"/>
      <c r="Y2328" s="25"/>
      <c r="Z2328" s="25"/>
      <c r="AA2328" s="25"/>
    </row>
    <row r="2329" spans="20:27" x14ac:dyDescent="0.35">
      <c r="T2329" s="97"/>
      <c r="U2329" s="97"/>
      <c r="V2329" s="25"/>
      <c r="W2329" s="25"/>
      <c r="X2329" s="25"/>
      <c r="Y2329" s="25"/>
      <c r="Z2329" s="25"/>
      <c r="AA2329" s="25"/>
    </row>
    <row r="2330" spans="20:27" x14ac:dyDescent="0.35">
      <c r="T2330" s="97"/>
      <c r="U2330" s="97"/>
      <c r="V2330" s="25"/>
      <c r="W2330" s="25"/>
      <c r="X2330" s="25"/>
      <c r="Y2330" s="25"/>
      <c r="Z2330" s="25"/>
      <c r="AA2330" s="25"/>
    </row>
    <row r="2331" spans="20:27" x14ac:dyDescent="0.35">
      <c r="T2331" s="97"/>
      <c r="U2331" s="97"/>
      <c r="V2331" s="25"/>
      <c r="W2331" s="25"/>
      <c r="X2331" s="25"/>
      <c r="Y2331" s="25"/>
      <c r="Z2331" s="25"/>
      <c r="AA2331" s="25"/>
    </row>
    <row r="2332" spans="20:27" x14ac:dyDescent="0.35">
      <c r="T2332" s="97"/>
      <c r="U2332" s="97"/>
      <c r="V2332" s="25"/>
      <c r="W2332" s="25"/>
      <c r="X2332" s="25"/>
      <c r="Y2332" s="25"/>
      <c r="Z2332" s="25"/>
      <c r="AA2332" s="25"/>
    </row>
    <row r="2333" spans="20:27" x14ac:dyDescent="0.35">
      <c r="T2333" s="97"/>
      <c r="U2333" s="97"/>
      <c r="V2333" s="25"/>
      <c r="W2333" s="25"/>
      <c r="X2333" s="25"/>
      <c r="Y2333" s="25"/>
      <c r="Z2333" s="25"/>
      <c r="AA2333" s="25"/>
    </row>
    <row r="2334" spans="20:27" x14ac:dyDescent="0.35">
      <c r="T2334" s="97"/>
      <c r="U2334" s="97"/>
      <c r="V2334" s="25"/>
      <c r="W2334" s="25"/>
      <c r="X2334" s="25"/>
      <c r="Y2334" s="25"/>
      <c r="Z2334" s="25"/>
      <c r="AA2334" s="25"/>
    </row>
    <row r="2335" spans="20:27" x14ac:dyDescent="0.35">
      <c r="T2335" s="97"/>
      <c r="U2335" s="97"/>
      <c r="V2335" s="25"/>
      <c r="W2335" s="25"/>
      <c r="X2335" s="25"/>
      <c r="Y2335" s="25"/>
      <c r="Z2335" s="25"/>
      <c r="AA2335" s="25"/>
    </row>
    <row r="2336" spans="20:27" x14ac:dyDescent="0.35">
      <c r="T2336" s="97"/>
      <c r="U2336" s="97"/>
      <c r="V2336" s="25"/>
      <c r="W2336" s="25"/>
      <c r="X2336" s="25"/>
      <c r="Y2336" s="25"/>
      <c r="Z2336" s="25"/>
      <c r="AA2336" s="25"/>
    </row>
    <row r="2337" spans="20:27" x14ac:dyDescent="0.35">
      <c r="T2337" s="97"/>
      <c r="U2337" s="97"/>
      <c r="V2337" s="25"/>
      <c r="W2337" s="25"/>
      <c r="X2337" s="25"/>
      <c r="Y2337" s="25"/>
      <c r="Z2337" s="25"/>
      <c r="AA2337" s="25"/>
    </row>
    <row r="2338" spans="20:27" x14ac:dyDescent="0.35">
      <c r="T2338" s="97"/>
      <c r="U2338" s="97"/>
      <c r="V2338" s="25"/>
      <c r="W2338" s="25"/>
      <c r="X2338" s="25"/>
      <c r="Y2338" s="25"/>
      <c r="Z2338" s="25"/>
      <c r="AA2338" s="25"/>
    </row>
    <row r="2339" spans="20:27" x14ac:dyDescent="0.35">
      <c r="T2339" s="97"/>
      <c r="U2339" s="97"/>
      <c r="V2339" s="25"/>
      <c r="W2339" s="25"/>
      <c r="X2339" s="25"/>
      <c r="Y2339" s="25"/>
      <c r="Z2339" s="25"/>
      <c r="AA2339" s="25"/>
    </row>
    <row r="2340" spans="20:27" x14ac:dyDescent="0.35">
      <c r="T2340" s="97"/>
      <c r="U2340" s="97"/>
      <c r="V2340" s="25"/>
      <c r="W2340" s="25"/>
      <c r="X2340" s="25"/>
      <c r="Y2340" s="25"/>
      <c r="Z2340" s="25"/>
      <c r="AA2340" s="25"/>
    </row>
    <row r="2341" spans="20:27" x14ac:dyDescent="0.35">
      <c r="T2341" s="97"/>
      <c r="U2341" s="97"/>
      <c r="V2341" s="25"/>
      <c r="W2341" s="25"/>
      <c r="X2341" s="25"/>
      <c r="Y2341" s="25"/>
      <c r="Z2341" s="25"/>
      <c r="AA2341" s="25"/>
    </row>
    <row r="2342" spans="20:27" x14ac:dyDescent="0.35">
      <c r="T2342" s="97"/>
      <c r="U2342" s="97"/>
      <c r="V2342" s="25"/>
      <c r="W2342" s="25"/>
      <c r="X2342" s="25"/>
      <c r="Y2342" s="25"/>
      <c r="Z2342" s="25"/>
      <c r="AA2342" s="25"/>
    </row>
    <row r="2343" spans="20:27" x14ac:dyDescent="0.35">
      <c r="T2343" s="97"/>
      <c r="U2343" s="97"/>
      <c r="V2343" s="25"/>
      <c r="W2343" s="25"/>
      <c r="X2343" s="25"/>
      <c r="Y2343" s="25"/>
      <c r="Z2343" s="25"/>
      <c r="AA2343" s="25"/>
    </row>
    <row r="2344" spans="20:27" x14ac:dyDescent="0.35">
      <c r="T2344" s="97"/>
      <c r="U2344" s="97"/>
      <c r="V2344" s="25"/>
      <c r="W2344" s="25"/>
      <c r="X2344" s="25"/>
      <c r="Y2344" s="25"/>
      <c r="Z2344" s="25"/>
      <c r="AA2344" s="25"/>
    </row>
    <row r="2345" spans="20:27" x14ac:dyDescent="0.35">
      <c r="T2345" s="97"/>
      <c r="U2345" s="97"/>
      <c r="V2345" s="25"/>
      <c r="W2345" s="25"/>
      <c r="X2345" s="25"/>
      <c r="Y2345" s="25"/>
      <c r="Z2345" s="25"/>
      <c r="AA2345" s="25"/>
    </row>
    <row r="2346" spans="20:27" x14ac:dyDescent="0.35">
      <c r="T2346" s="97"/>
      <c r="U2346" s="97"/>
      <c r="V2346" s="25"/>
      <c r="W2346" s="25"/>
      <c r="X2346" s="25"/>
      <c r="Y2346" s="25"/>
      <c r="Z2346" s="25"/>
      <c r="AA2346" s="25"/>
    </row>
    <row r="2347" spans="20:27" x14ac:dyDescent="0.35">
      <c r="T2347" s="97"/>
      <c r="U2347" s="97"/>
      <c r="V2347" s="25"/>
      <c r="W2347" s="25"/>
      <c r="X2347" s="25"/>
      <c r="Y2347" s="25"/>
      <c r="Z2347" s="25"/>
      <c r="AA2347" s="25"/>
    </row>
    <row r="2348" spans="20:27" x14ac:dyDescent="0.35">
      <c r="T2348" s="97"/>
      <c r="U2348" s="97"/>
      <c r="V2348" s="25"/>
      <c r="W2348" s="25"/>
      <c r="X2348" s="25"/>
      <c r="Y2348" s="25"/>
      <c r="Z2348" s="25"/>
      <c r="AA2348" s="25"/>
    </row>
    <row r="2349" spans="20:27" x14ac:dyDescent="0.35">
      <c r="T2349" s="97"/>
      <c r="U2349" s="97"/>
      <c r="V2349" s="25"/>
      <c r="W2349" s="25"/>
      <c r="X2349" s="25"/>
      <c r="Y2349" s="25"/>
      <c r="Z2349" s="25"/>
      <c r="AA2349" s="25"/>
    </row>
    <row r="2350" spans="20:27" x14ac:dyDescent="0.35">
      <c r="T2350" s="97"/>
      <c r="U2350" s="97"/>
      <c r="V2350" s="25"/>
      <c r="W2350" s="25"/>
      <c r="X2350" s="25"/>
      <c r="Y2350" s="25"/>
      <c r="Z2350" s="25"/>
      <c r="AA2350" s="25"/>
    </row>
    <row r="2351" spans="20:27" x14ac:dyDescent="0.35">
      <c r="T2351" s="97"/>
      <c r="U2351" s="97"/>
      <c r="V2351" s="25"/>
      <c r="W2351" s="25"/>
      <c r="X2351" s="25"/>
      <c r="Y2351" s="25"/>
      <c r="Z2351" s="25"/>
      <c r="AA2351" s="25"/>
    </row>
    <row r="2352" spans="20:27" x14ac:dyDescent="0.35">
      <c r="T2352" s="97"/>
      <c r="U2352" s="97"/>
      <c r="V2352" s="25"/>
      <c r="W2352" s="25"/>
      <c r="X2352" s="25"/>
      <c r="Y2352" s="25"/>
      <c r="Z2352" s="25"/>
      <c r="AA2352" s="25"/>
    </row>
    <row r="2353" spans="20:27" x14ac:dyDescent="0.35">
      <c r="T2353" s="97"/>
      <c r="U2353" s="97"/>
      <c r="V2353" s="25"/>
      <c r="W2353" s="25"/>
      <c r="X2353" s="25"/>
      <c r="Y2353" s="25"/>
      <c r="Z2353" s="25"/>
      <c r="AA2353" s="25"/>
    </row>
    <row r="2354" spans="20:27" x14ac:dyDescent="0.35">
      <c r="T2354" s="97"/>
      <c r="U2354" s="97"/>
      <c r="V2354" s="25"/>
      <c r="W2354" s="25"/>
      <c r="X2354" s="25"/>
      <c r="Y2354" s="25"/>
      <c r="Z2354" s="25"/>
      <c r="AA2354" s="25"/>
    </row>
    <row r="2355" spans="20:27" x14ac:dyDescent="0.35">
      <c r="T2355" s="97"/>
      <c r="U2355" s="97"/>
      <c r="V2355" s="25"/>
      <c r="W2355" s="25"/>
      <c r="X2355" s="25"/>
      <c r="Y2355" s="25"/>
      <c r="Z2355" s="25"/>
      <c r="AA2355" s="25"/>
    </row>
    <row r="2356" spans="20:27" x14ac:dyDescent="0.35">
      <c r="T2356" s="97"/>
      <c r="U2356" s="97"/>
      <c r="V2356" s="25"/>
      <c r="W2356" s="25"/>
      <c r="X2356" s="25"/>
      <c r="Y2356" s="25"/>
      <c r="Z2356" s="25"/>
      <c r="AA2356" s="25"/>
    </row>
    <row r="2357" spans="20:27" x14ac:dyDescent="0.35">
      <c r="T2357" s="97"/>
      <c r="U2357" s="97"/>
      <c r="V2357" s="25"/>
      <c r="W2357" s="25"/>
      <c r="X2357" s="25"/>
      <c r="Y2357" s="25"/>
      <c r="Z2357" s="25"/>
      <c r="AA2357" s="25"/>
    </row>
    <row r="2358" spans="20:27" x14ac:dyDescent="0.35">
      <c r="T2358" s="97"/>
      <c r="U2358" s="97"/>
      <c r="V2358" s="25"/>
      <c r="W2358" s="25"/>
      <c r="X2358" s="25"/>
      <c r="Y2358" s="25"/>
      <c r="Z2358" s="25"/>
      <c r="AA2358" s="25"/>
    </row>
    <row r="2359" spans="20:27" x14ac:dyDescent="0.35">
      <c r="T2359" s="97"/>
      <c r="U2359" s="97"/>
      <c r="V2359" s="25"/>
      <c r="W2359" s="25"/>
      <c r="X2359" s="25"/>
      <c r="Y2359" s="25"/>
      <c r="Z2359" s="25"/>
      <c r="AA2359" s="25"/>
    </row>
    <row r="2360" spans="20:27" x14ac:dyDescent="0.35">
      <c r="T2360" s="97"/>
      <c r="U2360" s="97"/>
      <c r="V2360" s="25"/>
      <c r="W2360" s="25"/>
      <c r="X2360" s="25"/>
      <c r="Y2360" s="25"/>
      <c r="Z2360" s="25"/>
      <c r="AA2360" s="25"/>
    </row>
    <row r="2361" spans="20:27" x14ac:dyDescent="0.35">
      <c r="T2361" s="97"/>
      <c r="U2361" s="97"/>
      <c r="V2361" s="25"/>
      <c r="W2361" s="25"/>
      <c r="X2361" s="25"/>
      <c r="Y2361" s="25"/>
      <c r="Z2361" s="25"/>
      <c r="AA2361" s="25"/>
    </row>
    <row r="2362" spans="20:27" x14ac:dyDescent="0.35">
      <c r="T2362" s="97"/>
      <c r="U2362" s="97"/>
      <c r="V2362" s="25"/>
      <c r="W2362" s="25"/>
      <c r="X2362" s="25"/>
      <c r="Y2362" s="25"/>
      <c r="Z2362" s="25"/>
      <c r="AA2362" s="25"/>
    </row>
    <row r="2363" spans="20:27" x14ac:dyDescent="0.35">
      <c r="T2363" s="97"/>
      <c r="U2363" s="97"/>
      <c r="V2363" s="25"/>
      <c r="W2363" s="25"/>
      <c r="X2363" s="25"/>
      <c r="Y2363" s="25"/>
      <c r="Z2363" s="25"/>
      <c r="AA2363" s="25"/>
    </row>
    <row r="2364" spans="20:27" x14ac:dyDescent="0.35">
      <c r="T2364" s="97"/>
      <c r="U2364" s="97"/>
      <c r="V2364" s="25"/>
      <c r="W2364" s="25"/>
      <c r="X2364" s="25"/>
      <c r="Y2364" s="25"/>
      <c r="Z2364" s="25"/>
      <c r="AA2364" s="25"/>
    </row>
    <row r="2365" spans="20:27" x14ac:dyDescent="0.35">
      <c r="T2365" s="97"/>
      <c r="U2365" s="97"/>
      <c r="V2365" s="25"/>
      <c r="W2365" s="25"/>
      <c r="X2365" s="25"/>
      <c r="Y2365" s="25"/>
      <c r="Z2365" s="25"/>
      <c r="AA2365" s="25"/>
    </row>
    <row r="2366" spans="20:27" x14ac:dyDescent="0.35">
      <c r="T2366" s="97"/>
      <c r="U2366" s="97"/>
      <c r="V2366" s="25"/>
      <c r="W2366" s="25"/>
      <c r="X2366" s="25"/>
      <c r="Y2366" s="25"/>
      <c r="Z2366" s="25"/>
      <c r="AA2366" s="25"/>
    </row>
    <row r="2367" spans="20:27" x14ac:dyDescent="0.35">
      <c r="T2367" s="97"/>
      <c r="U2367" s="97"/>
      <c r="V2367" s="25"/>
      <c r="W2367" s="25"/>
      <c r="X2367" s="25"/>
      <c r="Y2367" s="25"/>
      <c r="Z2367" s="25"/>
      <c r="AA2367" s="25"/>
    </row>
    <row r="2368" spans="20:27" x14ac:dyDescent="0.35">
      <c r="T2368" s="97"/>
      <c r="U2368" s="97"/>
      <c r="V2368" s="25"/>
      <c r="W2368" s="25"/>
      <c r="X2368" s="25"/>
      <c r="Y2368" s="25"/>
      <c r="Z2368" s="25"/>
      <c r="AA2368" s="25"/>
    </row>
    <row r="2369" spans="20:27" x14ac:dyDescent="0.35">
      <c r="T2369" s="97"/>
      <c r="U2369" s="97"/>
      <c r="V2369" s="25"/>
      <c r="W2369" s="25"/>
      <c r="X2369" s="25"/>
      <c r="Y2369" s="25"/>
      <c r="Z2369" s="25"/>
      <c r="AA2369" s="25"/>
    </row>
    <row r="2370" spans="20:27" x14ac:dyDescent="0.35">
      <c r="T2370" s="97"/>
      <c r="U2370" s="97"/>
      <c r="V2370" s="25"/>
      <c r="W2370" s="25"/>
      <c r="X2370" s="25"/>
      <c r="Y2370" s="25"/>
      <c r="Z2370" s="25"/>
      <c r="AA2370" s="25"/>
    </row>
    <row r="2371" spans="20:27" x14ac:dyDescent="0.35">
      <c r="T2371" s="97"/>
      <c r="U2371" s="97"/>
      <c r="V2371" s="25"/>
      <c r="W2371" s="25"/>
      <c r="X2371" s="25"/>
      <c r="Y2371" s="25"/>
      <c r="Z2371" s="25"/>
      <c r="AA2371" s="25"/>
    </row>
    <row r="2372" spans="20:27" x14ac:dyDescent="0.35">
      <c r="T2372" s="97"/>
      <c r="U2372" s="97"/>
      <c r="V2372" s="25"/>
      <c r="W2372" s="25"/>
      <c r="X2372" s="25"/>
      <c r="Y2372" s="25"/>
      <c r="Z2372" s="25"/>
      <c r="AA2372" s="25"/>
    </row>
    <row r="2373" spans="20:27" x14ac:dyDescent="0.35">
      <c r="T2373" s="97"/>
      <c r="U2373" s="97"/>
      <c r="V2373" s="25"/>
      <c r="W2373" s="25"/>
      <c r="X2373" s="25"/>
      <c r="Y2373" s="25"/>
      <c r="Z2373" s="25"/>
      <c r="AA2373" s="25"/>
    </row>
    <row r="2374" spans="20:27" x14ac:dyDescent="0.35">
      <c r="T2374" s="97"/>
      <c r="U2374" s="97"/>
      <c r="V2374" s="25"/>
      <c r="W2374" s="25"/>
      <c r="X2374" s="25"/>
      <c r="Y2374" s="25"/>
      <c r="Z2374" s="25"/>
      <c r="AA2374" s="25"/>
    </row>
    <row r="2375" spans="20:27" x14ac:dyDescent="0.35">
      <c r="T2375" s="97"/>
      <c r="U2375" s="97"/>
      <c r="V2375" s="25"/>
      <c r="W2375" s="25"/>
      <c r="X2375" s="25"/>
      <c r="Y2375" s="25"/>
      <c r="Z2375" s="25"/>
      <c r="AA2375" s="25"/>
    </row>
    <row r="2376" spans="20:27" x14ac:dyDescent="0.35">
      <c r="T2376" s="97"/>
      <c r="U2376" s="97"/>
      <c r="V2376" s="25"/>
      <c r="W2376" s="25"/>
      <c r="X2376" s="25"/>
      <c r="Y2376" s="25"/>
      <c r="Z2376" s="25"/>
      <c r="AA2376" s="25"/>
    </row>
    <row r="2377" spans="20:27" x14ac:dyDescent="0.35">
      <c r="T2377" s="97"/>
      <c r="U2377" s="97"/>
      <c r="V2377" s="25"/>
      <c r="W2377" s="25"/>
      <c r="X2377" s="25"/>
      <c r="Y2377" s="25"/>
      <c r="Z2377" s="25"/>
      <c r="AA2377" s="25"/>
    </row>
    <row r="2378" spans="20:27" x14ac:dyDescent="0.35">
      <c r="T2378" s="97"/>
      <c r="U2378" s="97"/>
      <c r="V2378" s="25"/>
      <c r="W2378" s="25"/>
      <c r="X2378" s="25"/>
      <c r="Y2378" s="25"/>
      <c r="Z2378" s="25"/>
      <c r="AA2378" s="25"/>
    </row>
    <row r="2379" spans="20:27" x14ac:dyDescent="0.35">
      <c r="T2379" s="97"/>
      <c r="U2379" s="97"/>
      <c r="V2379" s="25"/>
      <c r="W2379" s="25"/>
      <c r="X2379" s="25"/>
      <c r="Y2379" s="25"/>
      <c r="Z2379" s="25"/>
      <c r="AA2379" s="25"/>
    </row>
    <row r="2380" spans="20:27" x14ac:dyDescent="0.35">
      <c r="T2380" s="97"/>
      <c r="U2380" s="97"/>
      <c r="V2380" s="25"/>
      <c r="W2380" s="25"/>
      <c r="X2380" s="25"/>
      <c r="Y2380" s="25"/>
      <c r="Z2380" s="25"/>
      <c r="AA2380" s="25"/>
    </row>
    <row r="2381" spans="20:27" x14ac:dyDescent="0.35">
      <c r="T2381" s="97"/>
      <c r="U2381" s="97"/>
      <c r="V2381" s="25"/>
      <c r="W2381" s="25"/>
      <c r="X2381" s="25"/>
      <c r="Y2381" s="25"/>
      <c r="Z2381" s="25"/>
      <c r="AA2381" s="25"/>
    </row>
    <row r="2382" spans="20:27" x14ac:dyDescent="0.35">
      <c r="T2382" s="97"/>
      <c r="U2382" s="97"/>
      <c r="V2382" s="25"/>
      <c r="W2382" s="25"/>
      <c r="X2382" s="25"/>
      <c r="Y2382" s="25"/>
      <c r="Z2382" s="25"/>
      <c r="AA2382" s="25"/>
    </row>
    <row r="2383" spans="20:27" x14ac:dyDescent="0.35">
      <c r="T2383" s="97"/>
      <c r="U2383" s="97"/>
      <c r="V2383" s="25"/>
      <c r="W2383" s="25"/>
      <c r="X2383" s="25"/>
      <c r="Y2383" s="25"/>
      <c r="Z2383" s="25"/>
      <c r="AA2383" s="25"/>
    </row>
    <row r="2384" spans="20:27" x14ac:dyDescent="0.35">
      <c r="T2384" s="97"/>
      <c r="U2384" s="97"/>
      <c r="V2384" s="25"/>
      <c r="W2384" s="25"/>
      <c r="X2384" s="25"/>
      <c r="Y2384" s="25"/>
      <c r="Z2384" s="25"/>
      <c r="AA2384" s="25"/>
    </row>
    <row r="2385" spans="20:27" x14ac:dyDescent="0.35">
      <c r="T2385" s="97"/>
      <c r="U2385" s="97"/>
      <c r="V2385" s="25"/>
      <c r="W2385" s="25"/>
      <c r="X2385" s="25"/>
      <c r="Y2385" s="25"/>
      <c r="Z2385" s="25"/>
      <c r="AA2385" s="25"/>
    </row>
    <row r="2386" spans="20:27" x14ac:dyDescent="0.35">
      <c r="T2386" s="97"/>
      <c r="U2386" s="97"/>
      <c r="V2386" s="25"/>
      <c r="W2386" s="25"/>
      <c r="X2386" s="25"/>
      <c r="Y2386" s="25"/>
      <c r="Z2386" s="25"/>
      <c r="AA2386" s="25"/>
    </row>
    <row r="2387" spans="20:27" x14ac:dyDescent="0.35">
      <c r="T2387" s="97"/>
      <c r="U2387" s="97"/>
      <c r="V2387" s="25"/>
      <c r="W2387" s="25"/>
      <c r="X2387" s="25"/>
      <c r="Y2387" s="25"/>
      <c r="Z2387" s="25"/>
      <c r="AA2387" s="25"/>
    </row>
    <row r="2388" spans="20:27" x14ac:dyDescent="0.35">
      <c r="T2388" s="97"/>
      <c r="U2388" s="97"/>
      <c r="V2388" s="25"/>
      <c r="W2388" s="25"/>
      <c r="X2388" s="25"/>
      <c r="Y2388" s="25"/>
      <c r="Z2388" s="25"/>
      <c r="AA2388" s="25"/>
    </row>
    <row r="2389" spans="20:27" x14ac:dyDescent="0.35">
      <c r="T2389" s="97"/>
      <c r="U2389" s="97"/>
      <c r="V2389" s="25"/>
      <c r="W2389" s="25"/>
      <c r="X2389" s="25"/>
      <c r="Y2389" s="25"/>
      <c r="Z2389" s="25"/>
      <c r="AA2389" s="25"/>
    </row>
    <row r="2390" spans="20:27" x14ac:dyDescent="0.35">
      <c r="T2390" s="97"/>
      <c r="U2390" s="97"/>
      <c r="V2390" s="25"/>
      <c r="W2390" s="25"/>
      <c r="X2390" s="25"/>
      <c r="Y2390" s="25"/>
      <c r="Z2390" s="25"/>
      <c r="AA2390" s="25"/>
    </row>
    <row r="2391" spans="20:27" x14ac:dyDescent="0.35">
      <c r="T2391" s="97"/>
      <c r="U2391" s="97"/>
      <c r="V2391" s="25"/>
      <c r="W2391" s="25"/>
      <c r="X2391" s="25"/>
      <c r="Y2391" s="25"/>
      <c r="Z2391" s="25"/>
      <c r="AA2391" s="25"/>
    </row>
    <row r="2392" spans="20:27" x14ac:dyDescent="0.35">
      <c r="T2392" s="97"/>
      <c r="U2392" s="97"/>
      <c r="V2392" s="25"/>
      <c r="W2392" s="25"/>
      <c r="X2392" s="25"/>
      <c r="Y2392" s="25"/>
      <c r="Z2392" s="25"/>
      <c r="AA2392" s="25"/>
    </row>
    <row r="2393" spans="20:27" x14ac:dyDescent="0.35">
      <c r="T2393" s="97"/>
      <c r="U2393" s="97"/>
      <c r="V2393" s="25"/>
      <c r="W2393" s="25"/>
      <c r="X2393" s="25"/>
      <c r="Y2393" s="25"/>
      <c r="Z2393" s="25"/>
      <c r="AA2393" s="25"/>
    </row>
    <row r="2394" spans="20:27" x14ac:dyDescent="0.35">
      <c r="T2394" s="97"/>
      <c r="U2394" s="97"/>
      <c r="V2394" s="25"/>
      <c r="W2394" s="25"/>
      <c r="X2394" s="25"/>
      <c r="Y2394" s="25"/>
      <c r="Z2394" s="25"/>
      <c r="AA2394" s="25"/>
    </row>
    <row r="2395" spans="20:27" x14ac:dyDescent="0.35">
      <c r="T2395" s="97"/>
      <c r="U2395" s="97"/>
      <c r="V2395" s="25"/>
      <c r="W2395" s="25"/>
      <c r="X2395" s="25"/>
      <c r="Y2395" s="25"/>
      <c r="Z2395" s="25"/>
      <c r="AA2395" s="25"/>
    </row>
    <row r="2396" spans="20:27" x14ac:dyDescent="0.35">
      <c r="T2396" s="97"/>
      <c r="U2396" s="97"/>
      <c r="V2396" s="25"/>
      <c r="W2396" s="25"/>
      <c r="X2396" s="25"/>
      <c r="Y2396" s="25"/>
      <c r="Z2396" s="25"/>
      <c r="AA2396" s="25"/>
    </row>
    <row r="2397" spans="20:27" x14ac:dyDescent="0.35">
      <c r="T2397" s="97"/>
      <c r="U2397" s="97"/>
      <c r="V2397" s="25"/>
      <c r="W2397" s="25"/>
      <c r="X2397" s="25"/>
      <c r="Y2397" s="25"/>
      <c r="Z2397" s="25"/>
      <c r="AA2397" s="25"/>
    </row>
    <row r="2398" spans="20:27" x14ac:dyDescent="0.35">
      <c r="T2398" s="97"/>
      <c r="U2398" s="97"/>
      <c r="V2398" s="25"/>
      <c r="W2398" s="25"/>
      <c r="X2398" s="25"/>
      <c r="Y2398" s="25"/>
      <c r="Z2398" s="25"/>
      <c r="AA2398" s="25"/>
    </row>
    <row r="2399" spans="20:27" x14ac:dyDescent="0.35">
      <c r="T2399" s="97"/>
      <c r="U2399" s="97"/>
      <c r="V2399" s="25"/>
      <c r="W2399" s="25"/>
      <c r="X2399" s="25"/>
      <c r="Y2399" s="25"/>
      <c r="Z2399" s="25"/>
      <c r="AA2399" s="25"/>
    </row>
    <row r="2400" spans="20:27" x14ac:dyDescent="0.35">
      <c r="T2400" s="97"/>
      <c r="U2400" s="97"/>
      <c r="V2400" s="25"/>
      <c r="W2400" s="25"/>
      <c r="X2400" s="25"/>
      <c r="Y2400" s="25"/>
      <c r="Z2400" s="25"/>
      <c r="AA2400" s="25"/>
    </row>
    <row r="2401" spans="20:27" x14ac:dyDescent="0.35">
      <c r="T2401" s="97"/>
      <c r="U2401" s="97"/>
      <c r="V2401" s="25"/>
      <c r="W2401" s="25"/>
      <c r="X2401" s="25"/>
      <c r="Y2401" s="25"/>
      <c r="Z2401" s="25"/>
      <c r="AA2401" s="25"/>
    </row>
    <row r="2402" spans="20:27" x14ac:dyDescent="0.35">
      <c r="T2402" s="97"/>
      <c r="U2402" s="97"/>
      <c r="V2402" s="25"/>
      <c r="W2402" s="25"/>
      <c r="X2402" s="25"/>
      <c r="Y2402" s="25"/>
      <c r="Z2402" s="25"/>
      <c r="AA2402" s="25"/>
    </row>
    <row r="2403" spans="20:27" x14ac:dyDescent="0.35">
      <c r="T2403" s="97"/>
      <c r="U2403" s="97"/>
      <c r="V2403" s="25"/>
      <c r="W2403" s="25"/>
      <c r="X2403" s="25"/>
      <c r="Y2403" s="25"/>
      <c r="Z2403" s="25"/>
      <c r="AA2403" s="25"/>
    </row>
    <row r="2404" spans="20:27" x14ac:dyDescent="0.35">
      <c r="T2404" s="97"/>
      <c r="U2404" s="97"/>
      <c r="V2404" s="25"/>
      <c r="W2404" s="25"/>
      <c r="X2404" s="25"/>
      <c r="Y2404" s="25"/>
      <c r="Z2404" s="25"/>
      <c r="AA2404" s="25"/>
    </row>
    <row r="2405" spans="20:27" x14ac:dyDescent="0.35">
      <c r="T2405" s="97"/>
      <c r="U2405" s="97"/>
      <c r="V2405" s="25"/>
      <c r="W2405" s="25"/>
      <c r="X2405" s="25"/>
      <c r="Y2405" s="25"/>
      <c r="Z2405" s="25"/>
      <c r="AA2405" s="25"/>
    </row>
    <row r="2406" spans="20:27" x14ac:dyDescent="0.35">
      <c r="T2406" s="97"/>
      <c r="U2406" s="97"/>
      <c r="V2406" s="25"/>
      <c r="W2406" s="25"/>
      <c r="X2406" s="25"/>
      <c r="Y2406" s="25"/>
      <c r="Z2406" s="25"/>
      <c r="AA2406" s="25"/>
    </row>
    <row r="2407" spans="20:27" x14ac:dyDescent="0.35">
      <c r="T2407" s="97"/>
      <c r="U2407" s="97"/>
      <c r="V2407" s="25"/>
      <c r="W2407" s="25"/>
      <c r="X2407" s="25"/>
      <c r="Y2407" s="25"/>
      <c r="Z2407" s="25"/>
      <c r="AA2407" s="25"/>
    </row>
    <row r="2408" spans="20:27" x14ac:dyDescent="0.35">
      <c r="T2408" s="97"/>
      <c r="U2408" s="97"/>
      <c r="V2408" s="25"/>
      <c r="W2408" s="25"/>
      <c r="X2408" s="25"/>
      <c r="Y2408" s="25"/>
      <c r="Z2408" s="25"/>
      <c r="AA2408" s="25"/>
    </row>
    <row r="2409" spans="20:27" x14ac:dyDescent="0.35">
      <c r="T2409" s="97"/>
      <c r="U2409" s="97"/>
      <c r="V2409" s="25"/>
      <c r="W2409" s="25"/>
      <c r="X2409" s="25"/>
      <c r="Y2409" s="25"/>
      <c r="Z2409" s="25"/>
      <c r="AA2409" s="25"/>
    </row>
    <row r="2410" spans="20:27" x14ac:dyDescent="0.35">
      <c r="T2410" s="97"/>
      <c r="U2410" s="97"/>
      <c r="V2410" s="25"/>
      <c r="W2410" s="25"/>
      <c r="X2410" s="25"/>
      <c r="Y2410" s="25"/>
      <c r="Z2410" s="25"/>
      <c r="AA2410" s="25"/>
    </row>
    <row r="2411" spans="20:27" x14ac:dyDescent="0.35">
      <c r="T2411" s="97"/>
      <c r="U2411" s="97"/>
      <c r="V2411" s="25"/>
      <c r="W2411" s="25"/>
      <c r="X2411" s="25"/>
      <c r="Y2411" s="25"/>
      <c r="Z2411" s="25"/>
      <c r="AA2411" s="25"/>
    </row>
    <row r="2412" spans="20:27" x14ac:dyDescent="0.35">
      <c r="T2412" s="97"/>
      <c r="U2412" s="97"/>
      <c r="V2412" s="25"/>
      <c r="W2412" s="25"/>
      <c r="X2412" s="25"/>
      <c r="Y2412" s="25"/>
      <c r="Z2412" s="25"/>
      <c r="AA2412" s="25"/>
    </row>
    <row r="2413" spans="20:27" x14ac:dyDescent="0.35">
      <c r="T2413" s="97"/>
      <c r="U2413" s="97"/>
      <c r="V2413" s="25"/>
      <c r="W2413" s="25"/>
      <c r="X2413" s="25"/>
      <c r="Y2413" s="25"/>
      <c r="Z2413" s="25"/>
      <c r="AA2413" s="25"/>
    </row>
    <row r="2414" spans="20:27" x14ac:dyDescent="0.35">
      <c r="T2414" s="97"/>
      <c r="U2414" s="97"/>
      <c r="V2414" s="25"/>
      <c r="W2414" s="25"/>
      <c r="X2414" s="25"/>
      <c r="Y2414" s="25"/>
      <c r="Z2414" s="25"/>
      <c r="AA2414" s="25"/>
    </row>
    <row r="2415" spans="20:27" x14ac:dyDescent="0.35">
      <c r="T2415" s="97"/>
      <c r="U2415" s="97"/>
      <c r="V2415" s="25"/>
      <c r="W2415" s="25"/>
      <c r="X2415" s="25"/>
      <c r="Y2415" s="25"/>
      <c r="Z2415" s="25"/>
      <c r="AA2415" s="25"/>
    </row>
    <row r="2416" spans="20:27" x14ac:dyDescent="0.35">
      <c r="T2416" s="97"/>
      <c r="U2416" s="97"/>
      <c r="V2416" s="25"/>
      <c r="W2416" s="25"/>
      <c r="X2416" s="25"/>
      <c r="Y2416" s="25"/>
      <c r="Z2416" s="25"/>
      <c r="AA2416" s="25"/>
    </row>
    <row r="2417" spans="20:27" x14ac:dyDescent="0.35">
      <c r="T2417" s="97"/>
      <c r="U2417" s="97"/>
      <c r="V2417" s="25"/>
      <c r="W2417" s="25"/>
      <c r="X2417" s="25"/>
      <c r="Y2417" s="25"/>
      <c r="Z2417" s="25"/>
      <c r="AA2417" s="25"/>
    </row>
    <row r="2418" spans="20:27" x14ac:dyDescent="0.35">
      <c r="T2418" s="97"/>
      <c r="U2418" s="97"/>
      <c r="V2418" s="25"/>
      <c r="W2418" s="25"/>
      <c r="X2418" s="25"/>
      <c r="Y2418" s="25"/>
      <c r="Z2418" s="25"/>
      <c r="AA2418" s="25"/>
    </row>
    <row r="2419" spans="20:27" x14ac:dyDescent="0.35">
      <c r="T2419" s="97"/>
      <c r="U2419" s="97"/>
      <c r="V2419" s="25"/>
      <c r="W2419" s="25"/>
      <c r="X2419" s="25"/>
      <c r="Y2419" s="25"/>
      <c r="Z2419" s="25"/>
      <c r="AA2419" s="25"/>
    </row>
    <row r="2420" spans="20:27" x14ac:dyDescent="0.35">
      <c r="T2420" s="97"/>
      <c r="U2420" s="97"/>
      <c r="V2420" s="25"/>
      <c r="W2420" s="25"/>
      <c r="X2420" s="25"/>
      <c r="Y2420" s="25"/>
      <c r="Z2420" s="25"/>
      <c r="AA2420" s="25"/>
    </row>
    <row r="2421" spans="20:27" x14ac:dyDescent="0.35">
      <c r="T2421" s="97"/>
      <c r="U2421" s="97"/>
      <c r="V2421" s="25"/>
      <c r="W2421" s="25"/>
      <c r="X2421" s="25"/>
      <c r="Y2421" s="25"/>
      <c r="Z2421" s="25"/>
      <c r="AA2421" s="25"/>
    </row>
    <row r="2422" spans="20:27" x14ac:dyDescent="0.35">
      <c r="T2422" s="97"/>
      <c r="U2422" s="97"/>
      <c r="V2422" s="25"/>
      <c r="W2422" s="25"/>
      <c r="X2422" s="25"/>
      <c r="Y2422" s="25"/>
      <c r="Z2422" s="25"/>
      <c r="AA2422" s="25"/>
    </row>
    <row r="2423" spans="20:27" x14ac:dyDescent="0.35">
      <c r="T2423" s="97"/>
      <c r="U2423" s="97"/>
      <c r="V2423" s="25"/>
      <c r="W2423" s="25"/>
      <c r="X2423" s="25"/>
      <c r="Y2423" s="25"/>
      <c r="Z2423" s="25"/>
      <c r="AA2423" s="25"/>
    </row>
    <row r="2424" spans="20:27" x14ac:dyDescent="0.35">
      <c r="T2424" s="97"/>
      <c r="U2424" s="97"/>
      <c r="V2424" s="25"/>
      <c r="W2424" s="25"/>
      <c r="X2424" s="25"/>
      <c r="Y2424" s="25"/>
      <c r="Z2424" s="25"/>
      <c r="AA2424" s="25"/>
    </row>
    <row r="2425" spans="20:27" x14ac:dyDescent="0.35">
      <c r="T2425" s="97"/>
      <c r="U2425" s="97"/>
      <c r="V2425" s="25"/>
      <c r="W2425" s="25"/>
      <c r="X2425" s="25"/>
      <c r="Y2425" s="25"/>
      <c r="Z2425" s="25"/>
      <c r="AA2425" s="25"/>
    </row>
    <row r="2426" spans="20:27" x14ac:dyDescent="0.35">
      <c r="T2426" s="97"/>
      <c r="U2426" s="97"/>
      <c r="V2426" s="25"/>
      <c r="W2426" s="25"/>
      <c r="X2426" s="25"/>
      <c r="Y2426" s="25"/>
      <c r="Z2426" s="25"/>
      <c r="AA2426" s="25"/>
    </row>
    <row r="2427" spans="20:27" x14ac:dyDescent="0.35">
      <c r="T2427" s="97"/>
      <c r="U2427" s="97"/>
      <c r="V2427" s="25"/>
      <c r="W2427" s="25"/>
      <c r="X2427" s="25"/>
      <c r="Y2427" s="25"/>
      <c r="Z2427" s="25"/>
      <c r="AA2427" s="25"/>
    </row>
    <row r="2428" spans="20:27" x14ac:dyDescent="0.35">
      <c r="T2428" s="97"/>
      <c r="U2428" s="97"/>
      <c r="V2428" s="25"/>
      <c r="W2428" s="25"/>
      <c r="X2428" s="25"/>
      <c r="Y2428" s="25"/>
      <c r="Z2428" s="25"/>
      <c r="AA2428" s="25"/>
    </row>
    <row r="2429" spans="20:27" x14ac:dyDescent="0.35">
      <c r="T2429" s="97"/>
      <c r="U2429" s="97"/>
      <c r="V2429" s="25"/>
      <c r="W2429" s="25"/>
      <c r="X2429" s="25"/>
      <c r="Y2429" s="25"/>
      <c r="Z2429" s="25"/>
      <c r="AA2429" s="25"/>
    </row>
    <row r="2430" spans="20:27" x14ac:dyDescent="0.35">
      <c r="T2430" s="97"/>
      <c r="U2430" s="97"/>
      <c r="V2430" s="25"/>
      <c r="W2430" s="25"/>
      <c r="X2430" s="25"/>
      <c r="Y2430" s="25"/>
      <c r="Z2430" s="25"/>
      <c r="AA2430" s="25"/>
    </row>
    <row r="2431" spans="20:27" x14ac:dyDescent="0.35">
      <c r="T2431" s="97"/>
      <c r="U2431" s="97"/>
      <c r="V2431" s="25"/>
      <c r="W2431" s="25"/>
      <c r="X2431" s="25"/>
      <c r="Y2431" s="25"/>
      <c r="Z2431" s="25"/>
      <c r="AA2431" s="25"/>
    </row>
    <row r="2432" spans="20:27" x14ac:dyDescent="0.35">
      <c r="T2432" s="97"/>
      <c r="U2432" s="97"/>
      <c r="V2432" s="25"/>
      <c r="W2432" s="25"/>
      <c r="X2432" s="25"/>
      <c r="Y2432" s="25"/>
      <c r="Z2432" s="25"/>
      <c r="AA2432" s="25"/>
    </row>
    <row r="2433" spans="20:27" x14ac:dyDescent="0.35">
      <c r="T2433" s="97"/>
      <c r="U2433" s="97"/>
      <c r="V2433" s="25"/>
      <c r="W2433" s="25"/>
      <c r="X2433" s="25"/>
      <c r="Y2433" s="25"/>
      <c r="Z2433" s="25"/>
      <c r="AA2433" s="25"/>
    </row>
    <row r="2434" spans="20:27" x14ac:dyDescent="0.35">
      <c r="T2434" s="97"/>
      <c r="U2434" s="97"/>
      <c r="V2434" s="25"/>
      <c r="W2434" s="25"/>
      <c r="X2434" s="25"/>
      <c r="Y2434" s="25"/>
      <c r="Z2434" s="25"/>
      <c r="AA2434" s="25"/>
    </row>
    <row r="2435" spans="20:27" x14ac:dyDescent="0.35">
      <c r="T2435" s="97"/>
      <c r="U2435" s="97"/>
      <c r="V2435" s="25"/>
      <c r="W2435" s="25"/>
      <c r="X2435" s="25"/>
      <c r="Y2435" s="25"/>
      <c r="Z2435" s="25"/>
      <c r="AA2435" s="25"/>
    </row>
    <row r="2436" spans="20:27" x14ac:dyDescent="0.35">
      <c r="T2436" s="97"/>
      <c r="U2436" s="97"/>
      <c r="V2436" s="25"/>
      <c r="W2436" s="25"/>
      <c r="X2436" s="25"/>
      <c r="Y2436" s="25"/>
      <c r="Z2436" s="25"/>
      <c r="AA2436" s="25"/>
    </row>
    <row r="2437" spans="20:27" x14ac:dyDescent="0.35">
      <c r="T2437" s="97"/>
      <c r="U2437" s="97"/>
      <c r="V2437" s="25"/>
      <c r="W2437" s="25"/>
      <c r="X2437" s="25"/>
      <c r="Y2437" s="25"/>
      <c r="Z2437" s="25"/>
      <c r="AA2437" s="25"/>
    </row>
    <row r="2438" spans="20:27" x14ac:dyDescent="0.35">
      <c r="T2438" s="97"/>
      <c r="U2438" s="97"/>
      <c r="V2438" s="25"/>
      <c r="W2438" s="25"/>
      <c r="X2438" s="25"/>
      <c r="Y2438" s="25"/>
      <c r="Z2438" s="25"/>
      <c r="AA2438" s="25"/>
    </row>
    <row r="2439" spans="20:27" x14ac:dyDescent="0.35">
      <c r="T2439" s="97"/>
      <c r="U2439" s="97"/>
      <c r="V2439" s="25"/>
      <c r="W2439" s="25"/>
      <c r="X2439" s="25"/>
      <c r="Y2439" s="25"/>
      <c r="Z2439" s="25"/>
      <c r="AA2439" s="25"/>
    </row>
    <row r="2440" spans="20:27" x14ac:dyDescent="0.35">
      <c r="T2440" s="97"/>
      <c r="U2440" s="97"/>
      <c r="V2440" s="25"/>
      <c r="W2440" s="25"/>
      <c r="X2440" s="25"/>
      <c r="Y2440" s="25"/>
      <c r="Z2440" s="25"/>
      <c r="AA2440" s="25"/>
    </row>
    <row r="2441" spans="20:27" x14ac:dyDescent="0.35">
      <c r="T2441" s="97"/>
      <c r="U2441" s="97"/>
      <c r="V2441" s="25"/>
      <c r="W2441" s="25"/>
      <c r="X2441" s="25"/>
      <c r="Y2441" s="25"/>
      <c r="Z2441" s="25"/>
      <c r="AA2441" s="25"/>
    </row>
    <row r="2442" spans="20:27" x14ac:dyDescent="0.35">
      <c r="T2442" s="97"/>
      <c r="U2442" s="97"/>
      <c r="V2442" s="25"/>
      <c r="W2442" s="25"/>
      <c r="X2442" s="25"/>
      <c r="Y2442" s="25"/>
      <c r="Z2442" s="25"/>
      <c r="AA2442" s="25"/>
    </row>
    <row r="2443" spans="20:27" x14ac:dyDescent="0.35">
      <c r="T2443" s="97"/>
      <c r="U2443" s="97"/>
      <c r="V2443" s="25"/>
      <c r="W2443" s="25"/>
      <c r="X2443" s="25"/>
      <c r="Y2443" s="25"/>
      <c r="Z2443" s="25"/>
      <c r="AA2443" s="25"/>
    </row>
    <row r="2444" spans="20:27" x14ac:dyDescent="0.35">
      <c r="T2444" s="97"/>
      <c r="U2444" s="97"/>
      <c r="V2444" s="25"/>
      <c r="W2444" s="25"/>
      <c r="X2444" s="25"/>
      <c r="Y2444" s="25"/>
      <c r="Z2444" s="25"/>
      <c r="AA2444" s="25"/>
    </row>
    <row r="2445" spans="20:27" x14ac:dyDescent="0.35">
      <c r="T2445" s="97"/>
      <c r="U2445" s="97"/>
      <c r="V2445" s="25"/>
      <c r="W2445" s="25"/>
      <c r="X2445" s="25"/>
      <c r="Y2445" s="25"/>
      <c r="Z2445" s="25"/>
      <c r="AA2445" s="25"/>
    </row>
    <row r="2446" spans="20:27" x14ac:dyDescent="0.35">
      <c r="T2446" s="97"/>
      <c r="U2446" s="97"/>
      <c r="V2446" s="25"/>
      <c r="W2446" s="25"/>
      <c r="X2446" s="25"/>
      <c r="Y2446" s="25"/>
      <c r="Z2446" s="25"/>
      <c r="AA2446" s="25"/>
    </row>
    <row r="2447" spans="20:27" x14ac:dyDescent="0.35">
      <c r="T2447" s="97"/>
      <c r="U2447" s="97"/>
      <c r="V2447" s="25"/>
      <c r="W2447" s="25"/>
      <c r="X2447" s="25"/>
      <c r="Y2447" s="25"/>
      <c r="Z2447" s="25"/>
      <c r="AA2447" s="25"/>
    </row>
    <row r="2448" spans="20:27" x14ac:dyDescent="0.35">
      <c r="T2448" s="97"/>
      <c r="U2448" s="97"/>
      <c r="V2448" s="25"/>
      <c r="W2448" s="25"/>
      <c r="X2448" s="25"/>
      <c r="Y2448" s="25"/>
      <c r="Z2448" s="25"/>
      <c r="AA2448" s="25"/>
    </row>
    <row r="2449" spans="20:27" x14ac:dyDescent="0.35">
      <c r="T2449" s="97"/>
      <c r="U2449" s="97"/>
      <c r="V2449" s="25"/>
      <c r="W2449" s="25"/>
      <c r="X2449" s="25"/>
      <c r="Y2449" s="25"/>
      <c r="Z2449" s="25"/>
      <c r="AA2449" s="25"/>
    </row>
    <row r="2450" spans="20:27" x14ac:dyDescent="0.35">
      <c r="T2450" s="97"/>
      <c r="U2450" s="97"/>
      <c r="V2450" s="25"/>
      <c r="W2450" s="25"/>
      <c r="X2450" s="25"/>
      <c r="Y2450" s="25"/>
      <c r="Z2450" s="25"/>
      <c r="AA2450" s="25"/>
    </row>
    <row r="2451" spans="20:27" x14ac:dyDescent="0.35">
      <c r="T2451" s="97"/>
      <c r="U2451" s="97"/>
      <c r="V2451" s="25"/>
      <c r="W2451" s="25"/>
      <c r="X2451" s="25"/>
      <c r="Y2451" s="25"/>
      <c r="Z2451" s="25"/>
      <c r="AA2451" s="25"/>
    </row>
    <row r="2452" spans="20:27" x14ac:dyDescent="0.35">
      <c r="T2452" s="97"/>
      <c r="U2452" s="97"/>
      <c r="V2452" s="25"/>
      <c r="W2452" s="25"/>
      <c r="X2452" s="25"/>
      <c r="Y2452" s="25"/>
      <c r="Z2452" s="25"/>
      <c r="AA2452" s="25"/>
    </row>
    <row r="2453" spans="20:27" x14ac:dyDescent="0.35">
      <c r="T2453" s="97"/>
      <c r="U2453" s="97"/>
      <c r="V2453" s="25"/>
      <c r="W2453" s="25"/>
      <c r="X2453" s="25"/>
      <c r="Y2453" s="25"/>
      <c r="Z2453" s="25"/>
      <c r="AA2453" s="25"/>
    </row>
    <row r="2454" spans="20:27" x14ac:dyDescent="0.35">
      <c r="T2454" s="97"/>
      <c r="U2454" s="97"/>
      <c r="V2454" s="25"/>
      <c r="W2454" s="25"/>
      <c r="X2454" s="25"/>
      <c r="Y2454" s="25"/>
      <c r="Z2454" s="25"/>
      <c r="AA2454" s="25"/>
    </row>
    <row r="2455" spans="20:27" x14ac:dyDescent="0.35">
      <c r="T2455" s="97"/>
      <c r="U2455" s="97"/>
      <c r="V2455" s="25"/>
      <c r="W2455" s="25"/>
      <c r="X2455" s="25"/>
      <c r="Y2455" s="25"/>
      <c r="Z2455" s="25"/>
      <c r="AA2455" s="25"/>
    </row>
    <row r="2456" spans="20:27" x14ac:dyDescent="0.35">
      <c r="T2456" s="97"/>
      <c r="U2456" s="97"/>
      <c r="V2456" s="25"/>
      <c r="W2456" s="25"/>
      <c r="X2456" s="25"/>
      <c r="Y2456" s="25"/>
      <c r="Z2456" s="25"/>
      <c r="AA2456" s="25"/>
    </row>
    <row r="2457" spans="20:27" x14ac:dyDescent="0.35">
      <c r="T2457" s="97"/>
      <c r="U2457" s="97"/>
      <c r="V2457" s="25"/>
      <c r="W2457" s="25"/>
      <c r="X2457" s="25"/>
      <c r="Y2457" s="25"/>
      <c r="Z2457" s="25"/>
      <c r="AA2457" s="25"/>
    </row>
    <row r="2458" spans="20:27" x14ac:dyDescent="0.35">
      <c r="T2458" s="97"/>
      <c r="U2458" s="97"/>
      <c r="V2458" s="25"/>
      <c r="W2458" s="25"/>
      <c r="X2458" s="25"/>
      <c r="Y2458" s="25"/>
      <c r="Z2458" s="25"/>
      <c r="AA2458" s="25"/>
    </row>
    <row r="2459" spans="20:27" x14ac:dyDescent="0.35">
      <c r="T2459" s="97"/>
      <c r="U2459" s="97"/>
      <c r="V2459" s="25"/>
      <c r="W2459" s="25"/>
      <c r="X2459" s="25"/>
      <c r="Y2459" s="25"/>
      <c r="Z2459" s="25"/>
      <c r="AA2459" s="25"/>
    </row>
    <row r="2460" spans="20:27" x14ac:dyDescent="0.35">
      <c r="T2460" s="97"/>
      <c r="U2460" s="97"/>
      <c r="V2460" s="25"/>
      <c r="W2460" s="25"/>
      <c r="X2460" s="25"/>
      <c r="Y2460" s="25"/>
      <c r="Z2460" s="25"/>
      <c r="AA2460" s="25"/>
    </row>
    <row r="2461" spans="20:27" x14ac:dyDescent="0.35">
      <c r="T2461" s="97"/>
      <c r="U2461" s="97"/>
      <c r="V2461" s="25"/>
      <c r="W2461" s="25"/>
      <c r="X2461" s="25"/>
      <c r="Y2461" s="25"/>
      <c r="Z2461" s="25"/>
      <c r="AA2461" s="25"/>
    </row>
    <row r="2462" spans="20:27" x14ac:dyDescent="0.35">
      <c r="T2462" s="97"/>
      <c r="U2462" s="97"/>
      <c r="V2462" s="25"/>
      <c r="W2462" s="25"/>
      <c r="X2462" s="25"/>
      <c r="Y2462" s="25"/>
      <c r="Z2462" s="25"/>
      <c r="AA2462" s="25"/>
    </row>
    <row r="2463" spans="20:27" x14ac:dyDescent="0.35">
      <c r="T2463" s="97"/>
      <c r="U2463" s="97"/>
      <c r="V2463" s="25"/>
      <c r="W2463" s="25"/>
      <c r="X2463" s="25"/>
      <c r="Y2463" s="25"/>
      <c r="Z2463" s="25"/>
      <c r="AA2463" s="25"/>
    </row>
    <row r="2464" spans="20:27" x14ac:dyDescent="0.35">
      <c r="T2464" s="97"/>
      <c r="U2464" s="97"/>
      <c r="V2464" s="25"/>
      <c r="W2464" s="25"/>
      <c r="X2464" s="25"/>
      <c r="Y2464" s="25"/>
      <c r="Z2464" s="25"/>
      <c r="AA2464" s="25"/>
    </row>
    <row r="2465" spans="20:27" x14ac:dyDescent="0.35">
      <c r="T2465" s="97"/>
      <c r="U2465" s="97"/>
      <c r="V2465" s="25"/>
      <c r="W2465" s="25"/>
      <c r="X2465" s="25"/>
      <c r="Y2465" s="25"/>
      <c r="Z2465" s="25"/>
      <c r="AA2465" s="25"/>
    </row>
    <row r="2466" spans="20:27" x14ac:dyDescent="0.35">
      <c r="T2466" s="97"/>
      <c r="U2466" s="97"/>
      <c r="V2466" s="25"/>
      <c r="W2466" s="25"/>
      <c r="X2466" s="25"/>
      <c r="Y2466" s="25"/>
      <c r="Z2466" s="25"/>
      <c r="AA2466" s="25"/>
    </row>
    <row r="2467" spans="20:27" x14ac:dyDescent="0.35">
      <c r="T2467" s="97"/>
      <c r="U2467" s="97"/>
      <c r="V2467" s="25"/>
      <c r="W2467" s="25"/>
      <c r="X2467" s="25"/>
      <c r="Y2467" s="25"/>
      <c r="Z2467" s="25"/>
      <c r="AA2467" s="25"/>
    </row>
    <row r="2468" spans="20:27" x14ac:dyDescent="0.35">
      <c r="T2468" s="97"/>
      <c r="U2468" s="97"/>
      <c r="V2468" s="25"/>
      <c r="W2468" s="25"/>
      <c r="X2468" s="25"/>
      <c r="Y2468" s="25"/>
      <c r="Z2468" s="25"/>
      <c r="AA2468" s="25"/>
    </row>
    <row r="2469" spans="20:27" x14ac:dyDescent="0.35">
      <c r="T2469" s="97"/>
      <c r="U2469" s="97"/>
      <c r="V2469" s="25"/>
      <c r="W2469" s="25"/>
      <c r="X2469" s="25"/>
      <c r="Y2469" s="25"/>
      <c r="Z2469" s="25"/>
      <c r="AA2469" s="25"/>
    </row>
    <row r="2470" spans="20:27" x14ac:dyDescent="0.35">
      <c r="T2470" s="97"/>
      <c r="U2470" s="97"/>
      <c r="V2470" s="25"/>
      <c r="W2470" s="25"/>
      <c r="X2470" s="25"/>
      <c r="Y2470" s="25"/>
      <c r="Z2470" s="25"/>
      <c r="AA2470" s="25"/>
    </row>
    <row r="2471" spans="20:27" x14ac:dyDescent="0.35">
      <c r="T2471" s="97"/>
      <c r="U2471" s="97"/>
      <c r="V2471" s="25"/>
      <c r="W2471" s="25"/>
      <c r="X2471" s="25"/>
      <c r="Y2471" s="25"/>
      <c r="Z2471" s="25"/>
      <c r="AA2471" s="25"/>
    </row>
    <row r="2472" spans="20:27" x14ac:dyDescent="0.35">
      <c r="T2472" s="97"/>
      <c r="U2472" s="97"/>
      <c r="V2472" s="25"/>
      <c r="W2472" s="25"/>
      <c r="X2472" s="25"/>
      <c r="Y2472" s="25"/>
      <c r="Z2472" s="25"/>
      <c r="AA2472" s="25"/>
    </row>
    <row r="2473" spans="20:27" x14ac:dyDescent="0.35">
      <c r="T2473" s="97"/>
      <c r="U2473" s="97"/>
      <c r="V2473" s="25"/>
      <c r="W2473" s="25"/>
      <c r="X2473" s="25"/>
      <c r="Y2473" s="25"/>
      <c r="Z2473" s="25"/>
      <c r="AA2473" s="25"/>
    </row>
    <row r="2474" spans="20:27" x14ac:dyDescent="0.35">
      <c r="T2474" s="97"/>
      <c r="U2474" s="97"/>
      <c r="V2474" s="25"/>
      <c r="W2474" s="25"/>
      <c r="X2474" s="25"/>
      <c r="Y2474" s="25"/>
      <c r="Z2474" s="25"/>
      <c r="AA2474" s="25"/>
    </row>
    <row r="2475" spans="20:27" x14ac:dyDescent="0.35">
      <c r="T2475" s="97"/>
      <c r="U2475" s="97"/>
      <c r="V2475" s="25"/>
      <c r="W2475" s="25"/>
      <c r="X2475" s="25"/>
      <c r="Y2475" s="25"/>
      <c r="Z2475" s="25"/>
      <c r="AA2475" s="25"/>
    </row>
    <row r="2476" spans="20:27" x14ac:dyDescent="0.35">
      <c r="T2476" s="97"/>
      <c r="U2476" s="97"/>
      <c r="V2476" s="25"/>
      <c r="W2476" s="25"/>
      <c r="X2476" s="25"/>
      <c r="Y2476" s="25"/>
      <c r="Z2476" s="25"/>
      <c r="AA2476" s="25"/>
    </row>
    <row r="2477" spans="20:27" x14ac:dyDescent="0.35">
      <c r="T2477" s="97"/>
      <c r="U2477" s="97"/>
      <c r="V2477" s="25"/>
      <c r="W2477" s="25"/>
      <c r="X2477" s="25"/>
      <c r="Y2477" s="25"/>
      <c r="Z2477" s="25"/>
      <c r="AA2477" s="25"/>
    </row>
    <row r="2478" spans="20:27" x14ac:dyDescent="0.35">
      <c r="T2478" s="97"/>
      <c r="U2478" s="97"/>
      <c r="V2478" s="25"/>
      <c r="W2478" s="25"/>
      <c r="X2478" s="25"/>
      <c r="Y2478" s="25"/>
      <c r="Z2478" s="25"/>
      <c r="AA2478" s="25"/>
    </row>
    <row r="2479" spans="20:27" x14ac:dyDescent="0.35">
      <c r="T2479" s="97"/>
      <c r="U2479" s="97"/>
      <c r="V2479" s="25"/>
      <c r="W2479" s="25"/>
      <c r="X2479" s="25"/>
      <c r="Y2479" s="25"/>
      <c r="Z2479" s="25"/>
      <c r="AA2479" s="25"/>
    </row>
    <row r="2480" spans="20:27" x14ac:dyDescent="0.35">
      <c r="T2480" s="97"/>
      <c r="U2480" s="97"/>
      <c r="V2480" s="25"/>
      <c r="W2480" s="25"/>
      <c r="X2480" s="25"/>
      <c r="Y2480" s="25"/>
      <c r="Z2480" s="25"/>
      <c r="AA2480" s="25"/>
    </row>
    <row r="2481" spans="20:27" x14ac:dyDescent="0.35">
      <c r="T2481" s="97"/>
      <c r="U2481" s="97"/>
      <c r="V2481" s="25"/>
      <c r="W2481" s="25"/>
      <c r="X2481" s="25"/>
      <c r="Y2481" s="25"/>
      <c r="Z2481" s="25"/>
      <c r="AA2481" s="25"/>
    </row>
    <row r="2482" spans="20:27" x14ac:dyDescent="0.35">
      <c r="T2482" s="97"/>
      <c r="U2482" s="97"/>
      <c r="V2482" s="25"/>
      <c r="W2482" s="25"/>
      <c r="X2482" s="25"/>
      <c r="Y2482" s="25"/>
      <c r="Z2482" s="25"/>
      <c r="AA2482" s="25"/>
    </row>
    <row r="2483" spans="20:27" x14ac:dyDescent="0.35">
      <c r="T2483" s="97"/>
      <c r="U2483" s="97"/>
      <c r="V2483" s="25"/>
      <c r="W2483" s="25"/>
      <c r="X2483" s="25"/>
      <c r="Y2483" s="25"/>
      <c r="Z2483" s="25"/>
      <c r="AA2483" s="25"/>
    </row>
    <row r="2484" spans="20:27" x14ac:dyDescent="0.35">
      <c r="T2484" s="97"/>
      <c r="U2484" s="97"/>
      <c r="V2484" s="25"/>
      <c r="W2484" s="25"/>
      <c r="X2484" s="25"/>
      <c r="Y2484" s="25"/>
      <c r="Z2484" s="25"/>
      <c r="AA2484" s="25"/>
    </row>
    <row r="2485" spans="20:27" x14ac:dyDescent="0.35">
      <c r="T2485" s="97"/>
      <c r="U2485" s="97"/>
      <c r="V2485" s="25"/>
      <c r="W2485" s="25"/>
      <c r="X2485" s="25"/>
      <c r="Y2485" s="25"/>
      <c r="Z2485" s="25"/>
      <c r="AA2485" s="25"/>
    </row>
    <row r="2486" spans="20:27" x14ac:dyDescent="0.35">
      <c r="T2486" s="97"/>
      <c r="U2486" s="97"/>
      <c r="V2486" s="25"/>
      <c r="W2486" s="25"/>
      <c r="X2486" s="25"/>
      <c r="Y2486" s="25"/>
      <c r="Z2486" s="25"/>
      <c r="AA2486" s="25"/>
    </row>
    <row r="2487" spans="20:27" x14ac:dyDescent="0.35">
      <c r="T2487" s="97"/>
      <c r="U2487" s="97"/>
      <c r="V2487" s="25"/>
      <c r="W2487" s="25"/>
      <c r="X2487" s="25"/>
      <c r="Y2487" s="25"/>
      <c r="Z2487" s="25"/>
      <c r="AA2487" s="25"/>
    </row>
    <row r="2488" spans="20:27" x14ac:dyDescent="0.35">
      <c r="T2488" s="97"/>
      <c r="U2488" s="97"/>
      <c r="V2488" s="25"/>
      <c r="W2488" s="25"/>
      <c r="X2488" s="25"/>
      <c r="Y2488" s="25"/>
      <c r="Z2488" s="25"/>
      <c r="AA2488" s="25"/>
    </row>
    <row r="2489" spans="20:27" x14ac:dyDescent="0.35">
      <c r="T2489" s="97"/>
      <c r="U2489" s="97"/>
      <c r="V2489" s="25"/>
      <c r="W2489" s="25"/>
      <c r="X2489" s="25"/>
      <c r="Y2489" s="25"/>
      <c r="Z2489" s="25"/>
      <c r="AA2489" s="25"/>
    </row>
    <row r="2490" spans="20:27" x14ac:dyDescent="0.35">
      <c r="T2490" s="97"/>
      <c r="U2490" s="97"/>
      <c r="V2490" s="25"/>
      <c r="W2490" s="25"/>
      <c r="X2490" s="25"/>
      <c r="Y2490" s="25"/>
      <c r="Z2490" s="25"/>
      <c r="AA2490" s="25"/>
    </row>
    <row r="2491" spans="20:27" x14ac:dyDescent="0.35">
      <c r="T2491" s="97"/>
      <c r="U2491" s="97"/>
      <c r="V2491" s="25"/>
      <c r="W2491" s="25"/>
      <c r="X2491" s="25"/>
      <c r="Y2491" s="25"/>
      <c r="Z2491" s="25"/>
      <c r="AA2491" s="25"/>
    </row>
    <row r="2492" spans="20:27" x14ac:dyDescent="0.35">
      <c r="T2492" s="97"/>
      <c r="U2492" s="97"/>
      <c r="V2492" s="25"/>
      <c r="W2492" s="25"/>
      <c r="X2492" s="25"/>
      <c r="Y2492" s="25"/>
      <c r="Z2492" s="25"/>
      <c r="AA2492" s="25"/>
    </row>
    <row r="2493" spans="20:27" x14ac:dyDescent="0.35">
      <c r="T2493" s="97"/>
      <c r="U2493" s="97"/>
      <c r="V2493" s="25"/>
      <c r="W2493" s="25"/>
      <c r="X2493" s="25"/>
      <c r="Y2493" s="25"/>
      <c r="Z2493" s="25"/>
      <c r="AA2493" s="25"/>
    </row>
    <row r="2494" spans="20:27" x14ac:dyDescent="0.35">
      <c r="T2494" s="97"/>
      <c r="U2494" s="97"/>
      <c r="V2494" s="25"/>
      <c r="W2494" s="25"/>
      <c r="X2494" s="25"/>
      <c r="Y2494" s="25"/>
      <c r="Z2494" s="25"/>
      <c r="AA2494" s="25"/>
    </row>
    <row r="2495" spans="20:27" x14ac:dyDescent="0.35">
      <c r="T2495" s="97"/>
      <c r="U2495" s="97"/>
      <c r="V2495" s="25"/>
      <c r="W2495" s="25"/>
      <c r="X2495" s="25"/>
      <c r="Y2495" s="25"/>
      <c r="Z2495" s="25"/>
      <c r="AA2495" s="25"/>
    </row>
    <row r="2496" spans="20:27" x14ac:dyDescent="0.35">
      <c r="T2496" s="97"/>
      <c r="U2496" s="97"/>
      <c r="V2496" s="25"/>
      <c r="W2496" s="25"/>
      <c r="X2496" s="25"/>
      <c r="Y2496" s="25"/>
      <c r="Z2496" s="25"/>
      <c r="AA2496" s="25"/>
    </row>
    <row r="2497" spans="20:27" x14ac:dyDescent="0.35">
      <c r="T2497" s="97"/>
      <c r="U2497" s="97"/>
      <c r="V2497" s="25"/>
      <c r="W2497" s="25"/>
      <c r="X2497" s="25"/>
      <c r="Y2497" s="25"/>
      <c r="Z2497" s="25"/>
      <c r="AA2497" s="25"/>
    </row>
    <row r="2498" spans="20:27" x14ac:dyDescent="0.35">
      <c r="T2498" s="97"/>
      <c r="U2498" s="97"/>
      <c r="V2498" s="25"/>
      <c r="W2498" s="25"/>
      <c r="X2498" s="25"/>
      <c r="Y2498" s="25"/>
      <c r="Z2498" s="25"/>
      <c r="AA2498" s="25"/>
    </row>
    <row r="2499" spans="20:27" x14ac:dyDescent="0.35">
      <c r="T2499" s="97"/>
      <c r="U2499" s="97"/>
      <c r="V2499" s="25"/>
      <c r="W2499" s="25"/>
      <c r="X2499" s="25"/>
      <c r="Y2499" s="25"/>
      <c r="Z2499" s="25"/>
      <c r="AA2499" s="25"/>
    </row>
    <row r="2500" spans="20:27" x14ac:dyDescent="0.35">
      <c r="T2500" s="97"/>
      <c r="U2500" s="97"/>
      <c r="V2500" s="25"/>
      <c r="W2500" s="25"/>
      <c r="X2500" s="25"/>
      <c r="Y2500" s="25"/>
      <c r="Z2500" s="25"/>
      <c r="AA2500" s="25"/>
    </row>
    <row r="2501" spans="20:27" x14ac:dyDescent="0.35">
      <c r="T2501" s="97"/>
      <c r="U2501" s="97"/>
      <c r="V2501" s="25"/>
      <c r="W2501" s="25"/>
      <c r="X2501" s="25"/>
      <c r="Y2501" s="25"/>
      <c r="Z2501" s="25"/>
      <c r="AA2501" s="25"/>
    </row>
    <row r="2502" spans="20:27" x14ac:dyDescent="0.35">
      <c r="T2502" s="97"/>
      <c r="U2502" s="97"/>
      <c r="V2502" s="25"/>
      <c r="W2502" s="25"/>
      <c r="X2502" s="25"/>
      <c r="Y2502" s="25"/>
      <c r="Z2502" s="25"/>
      <c r="AA2502" s="25"/>
    </row>
    <row r="2503" spans="20:27" x14ac:dyDescent="0.35">
      <c r="T2503" s="97"/>
      <c r="U2503" s="97"/>
      <c r="V2503" s="25"/>
      <c r="W2503" s="25"/>
      <c r="X2503" s="25"/>
      <c r="Y2503" s="25"/>
      <c r="Z2503" s="25"/>
      <c r="AA2503" s="25"/>
    </row>
    <row r="2504" spans="20:27" x14ac:dyDescent="0.35">
      <c r="T2504" s="97"/>
      <c r="U2504" s="97"/>
      <c r="V2504" s="25"/>
      <c r="W2504" s="25"/>
      <c r="X2504" s="25"/>
      <c r="Y2504" s="25"/>
      <c r="Z2504" s="25"/>
      <c r="AA2504" s="25"/>
    </row>
    <row r="2505" spans="20:27" x14ac:dyDescent="0.35">
      <c r="T2505" s="97"/>
      <c r="U2505" s="97"/>
      <c r="V2505" s="25"/>
      <c r="W2505" s="25"/>
      <c r="X2505" s="25"/>
      <c r="Y2505" s="25"/>
      <c r="Z2505" s="25"/>
      <c r="AA2505" s="25"/>
    </row>
    <row r="2506" spans="20:27" x14ac:dyDescent="0.35">
      <c r="T2506" s="97"/>
      <c r="U2506" s="97"/>
      <c r="V2506" s="25"/>
      <c r="W2506" s="25"/>
      <c r="X2506" s="25"/>
      <c r="Y2506" s="25"/>
      <c r="Z2506" s="25"/>
      <c r="AA2506" s="25"/>
    </row>
    <row r="2507" spans="20:27" x14ac:dyDescent="0.35">
      <c r="T2507" s="97"/>
      <c r="U2507" s="97"/>
      <c r="V2507" s="25"/>
      <c r="W2507" s="25"/>
      <c r="X2507" s="25"/>
      <c r="Y2507" s="25"/>
      <c r="Z2507" s="25"/>
      <c r="AA2507" s="25"/>
    </row>
    <row r="2508" spans="20:27" x14ac:dyDescent="0.35">
      <c r="T2508" s="97"/>
      <c r="U2508" s="97"/>
      <c r="V2508" s="25"/>
      <c r="W2508" s="25"/>
      <c r="X2508" s="25"/>
      <c r="Y2508" s="25"/>
      <c r="Z2508" s="25"/>
      <c r="AA2508" s="25"/>
    </row>
    <row r="2509" spans="20:27" x14ac:dyDescent="0.35">
      <c r="T2509" s="97"/>
      <c r="U2509" s="97"/>
      <c r="V2509" s="25"/>
      <c r="W2509" s="25"/>
      <c r="X2509" s="25"/>
      <c r="Y2509" s="25"/>
      <c r="Z2509" s="25"/>
      <c r="AA2509" s="25"/>
    </row>
    <row r="2510" spans="20:27" x14ac:dyDescent="0.35">
      <c r="T2510" s="97"/>
      <c r="U2510" s="97"/>
      <c r="V2510" s="25"/>
      <c r="W2510" s="25"/>
      <c r="X2510" s="25"/>
      <c r="Y2510" s="25"/>
      <c r="Z2510" s="25"/>
      <c r="AA2510" s="25"/>
    </row>
    <row r="2511" spans="20:27" x14ac:dyDescent="0.35">
      <c r="T2511" s="97"/>
      <c r="U2511" s="97"/>
      <c r="V2511" s="25"/>
      <c r="W2511" s="25"/>
      <c r="X2511" s="25"/>
      <c r="Y2511" s="25"/>
      <c r="Z2511" s="25"/>
      <c r="AA2511" s="25"/>
    </row>
    <row r="2512" spans="20:27" x14ac:dyDescent="0.35">
      <c r="T2512" s="97"/>
      <c r="U2512" s="97"/>
      <c r="V2512" s="25"/>
      <c r="W2512" s="25"/>
      <c r="X2512" s="25"/>
      <c r="Y2512" s="25"/>
      <c r="Z2512" s="25"/>
      <c r="AA2512" s="25"/>
    </row>
    <row r="2513" spans="20:27" x14ac:dyDescent="0.35">
      <c r="T2513" s="97"/>
      <c r="U2513" s="97"/>
      <c r="V2513" s="25"/>
      <c r="W2513" s="25"/>
      <c r="X2513" s="25"/>
      <c r="Y2513" s="25"/>
      <c r="Z2513" s="25"/>
      <c r="AA2513" s="25"/>
    </row>
    <row r="2514" spans="20:27" x14ac:dyDescent="0.35">
      <c r="T2514" s="97"/>
      <c r="U2514" s="97"/>
      <c r="V2514" s="25"/>
      <c r="W2514" s="25"/>
      <c r="X2514" s="25"/>
      <c r="Y2514" s="25"/>
      <c r="Z2514" s="25"/>
      <c r="AA2514" s="25"/>
    </row>
    <row r="2515" spans="20:27" x14ac:dyDescent="0.35">
      <c r="T2515" s="97"/>
      <c r="U2515" s="97"/>
      <c r="V2515" s="25"/>
      <c r="W2515" s="25"/>
      <c r="X2515" s="25"/>
      <c r="Y2515" s="25"/>
      <c r="Z2515" s="25"/>
      <c r="AA2515" s="25"/>
    </row>
    <row r="2516" spans="20:27" x14ac:dyDescent="0.35">
      <c r="T2516" s="97"/>
      <c r="U2516" s="97"/>
      <c r="V2516" s="25"/>
      <c r="W2516" s="25"/>
      <c r="X2516" s="25"/>
      <c r="Y2516" s="25"/>
      <c r="Z2516" s="25"/>
      <c r="AA2516" s="25"/>
    </row>
    <row r="2517" spans="20:27" x14ac:dyDescent="0.35">
      <c r="T2517" s="97"/>
      <c r="U2517" s="97"/>
      <c r="V2517" s="25"/>
      <c r="W2517" s="25"/>
      <c r="X2517" s="25"/>
      <c r="Y2517" s="25"/>
      <c r="Z2517" s="25"/>
      <c r="AA2517" s="25"/>
    </row>
    <row r="2518" spans="20:27" x14ac:dyDescent="0.35">
      <c r="T2518" s="97"/>
      <c r="U2518" s="97"/>
      <c r="V2518" s="25"/>
      <c r="W2518" s="25"/>
      <c r="X2518" s="25"/>
      <c r="Y2518" s="25"/>
      <c r="Z2518" s="25"/>
      <c r="AA2518" s="25"/>
    </row>
    <row r="2519" spans="20:27" x14ac:dyDescent="0.35">
      <c r="T2519" s="97"/>
      <c r="U2519" s="97"/>
      <c r="V2519" s="25"/>
      <c r="W2519" s="25"/>
      <c r="X2519" s="25"/>
      <c r="Y2519" s="25"/>
      <c r="Z2519" s="25"/>
      <c r="AA2519" s="25"/>
    </row>
    <row r="2520" spans="20:27" x14ac:dyDescent="0.35">
      <c r="T2520" s="97"/>
      <c r="U2520" s="97"/>
      <c r="V2520" s="25"/>
      <c r="W2520" s="25"/>
      <c r="X2520" s="25"/>
      <c r="Y2520" s="25"/>
      <c r="Z2520" s="25"/>
      <c r="AA2520" s="25"/>
    </row>
    <row r="2521" spans="20:27" x14ac:dyDescent="0.35">
      <c r="T2521" s="97"/>
      <c r="U2521" s="97"/>
      <c r="V2521" s="25"/>
      <c r="W2521" s="25"/>
      <c r="X2521" s="25"/>
      <c r="Y2521" s="25"/>
      <c r="Z2521" s="25"/>
      <c r="AA2521" s="25"/>
    </row>
    <row r="2522" spans="20:27" x14ac:dyDescent="0.35">
      <c r="T2522" s="97"/>
      <c r="U2522" s="97"/>
      <c r="V2522" s="25"/>
      <c r="W2522" s="25"/>
      <c r="X2522" s="25"/>
      <c r="Y2522" s="25"/>
      <c r="Z2522" s="25"/>
      <c r="AA2522" s="25"/>
    </row>
    <row r="2523" spans="20:27" x14ac:dyDescent="0.35">
      <c r="T2523" s="97"/>
      <c r="U2523" s="97"/>
      <c r="V2523" s="25"/>
      <c r="W2523" s="25"/>
      <c r="X2523" s="25"/>
      <c r="Y2523" s="25"/>
      <c r="Z2523" s="25"/>
      <c r="AA2523" s="25"/>
    </row>
    <row r="2524" spans="20:27" x14ac:dyDescent="0.35">
      <c r="T2524" s="97"/>
      <c r="U2524" s="97"/>
      <c r="V2524" s="25"/>
      <c r="W2524" s="25"/>
      <c r="X2524" s="25"/>
      <c r="Y2524" s="25"/>
      <c r="Z2524" s="25"/>
      <c r="AA2524" s="25"/>
    </row>
    <row r="2525" spans="20:27" x14ac:dyDescent="0.35">
      <c r="T2525" s="97"/>
      <c r="U2525" s="97"/>
      <c r="V2525" s="25"/>
      <c r="W2525" s="25"/>
      <c r="X2525" s="25"/>
      <c r="Y2525" s="25"/>
      <c r="Z2525" s="25"/>
      <c r="AA2525" s="25"/>
    </row>
    <row r="2526" spans="20:27" x14ac:dyDescent="0.35">
      <c r="T2526" s="97"/>
      <c r="U2526" s="97"/>
      <c r="V2526" s="25"/>
      <c r="W2526" s="25"/>
      <c r="X2526" s="25"/>
      <c r="Y2526" s="25"/>
      <c r="Z2526" s="25"/>
      <c r="AA2526" s="25"/>
    </row>
    <row r="2527" spans="20:27" x14ac:dyDescent="0.35">
      <c r="T2527" s="97"/>
      <c r="U2527" s="97"/>
      <c r="V2527" s="25"/>
      <c r="W2527" s="25"/>
      <c r="X2527" s="25"/>
      <c r="Y2527" s="25"/>
      <c r="Z2527" s="25"/>
      <c r="AA2527" s="25"/>
    </row>
    <row r="2528" spans="20:27" x14ac:dyDescent="0.35">
      <c r="T2528" s="97"/>
      <c r="U2528" s="97"/>
      <c r="V2528" s="25"/>
      <c r="W2528" s="25"/>
      <c r="X2528" s="25"/>
      <c r="Y2528" s="25"/>
      <c r="Z2528" s="25"/>
      <c r="AA2528" s="25"/>
    </row>
    <row r="2529" spans="20:27" x14ac:dyDescent="0.35">
      <c r="T2529" s="97"/>
      <c r="U2529" s="97"/>
      <c r="V2529" s="25"/>
      <c r="W2529" s="25"/>
      <c r="X2529" s="25"/>
      <c r="Y2529" s="25"/>
      <c r="Z2529" s="25"/>
      <c r="AA2529" s="25"/>
    </row>
    <row r="2530" spans="20:27" x14ac:dyDescent="0.35">
      <c r="T2530" s="97"/>
      <c r="U2530" s="97"/>
      <c r="V2530" s="25"/>
      <c r="W2530" s="25"/>
      <c r="X2530" s="25"/>
      <c r="Y2530" s="25"/>
      <c r="Z2530" s="25"/>
      <c r="AA2530" s="25"/>
    </row>
    <row r="2531" spans="20:27" x14ac:dyDescent="0.35">
      <c r="T2531" s="97"/>
      <c r="U2531" s="97"/>
      <c r="V2531" s="25"/>
      <c r="W2531" s="25"/>
      <c r="X2531" s="25"/>
      <c r="Y2531" s="25"/>
      <c r="Z2531" s="25"/>
      <c r="AA2531" s="25"/>
    </row>
    <row r="2532" spans="20:27" x14ac:dyDescent="0.35">
      <c r="T2532" s="97"/>
      <c r="U2532" s="97"/>
      <c r="V2532" s="25"/>
      <c r="W2532" s="25"/>
      <c r="X2532" s="25"/>
      <c r="Y2532" s="25"/>
      <c r="Z2532" s="25"/>
      <c r="AA2532" s="25"/>
    </row>
    <row r="2533" spans="20:27" x14ac:dyDescent="0.35">
      <c r="T2533" s="97"/>
      <c r="U2533" s="97"/>
      <c r="V2533" s="25"/>
      <c r="W2533" s="25"/>
      <c r="X2533" s="25"/>
      <c r="Y2533" s="25"/>
      <c r="Z2533" s="25"/>
      <c r="AA2533" s="25"/>
    </row>
    <row r="2534" spans="20:27" x14ac:dyDescent="0.35">
      <c r="T2534" s="97"/>
      <c r="U2534" s="97"/>
      <c r="V2534" s="25"/>
      <c r="W2534" s="25"/>
      <c r="X2534" s="25"/>
      <c r="Y2534" s="25"/>
      <c r="Z2534" s="25"/>
      <c r="AA2534" s="25"/>
    </row>
    <row r="2535" spans="20:27" x14ac:dyDescent="0.35">
      <c r="T2535" s="97"/>
      <c r="U2535" s="97"/>
      <c r="V2535" s="25"/>
      <c r="W2535" s="25"/>
      <c r="X2535" s="25"/>
      <c r="Y2535" s="25"/>
      <c r="Z2535" s="25"/>
      <c r="AA2535" s="25"/>
    </row>
    <row r="2536" spans="20:27" x14ac:dyDescent="0.35">
      <c r="T2536" s="97"/>
      <c r="U2536" s="97"/>
      <c r="V2536" s="25"/>
      <c r="W2536" s="25"/>
      <c r="X2536" s="25"/>
      <c r="Y2536" s="25"/>
      <c r="Z2536" s="25"/>
      <c r="AA2536" s="25"/>
    </row>
    <row r="2537" spans="20:27" x14ac:dyDescent="0.35">
      <c r="T2537" s="97"/>
      <c r="U2537" s="97"/>
      <c r="V2537" s="25"/>
      <c r="W2537" s="25"/>
      <c r="X2537" s="25"/>
      <c r="Y2537" s="25"/>
      <c r="Z2537" s="25"/>
      <c r="AA2537" s="25"/>
    </row>
    <row r="2538" spans="20:27" x14ac:dyDescent="0.35">
      <c r="T2538" s="97"/>
      <c r="U2538" s="97"/>
      <c r="V2538" s="25"/>
      <c r="W2538" s="25"/>
      <c r="X2538" s="25"/>
      <c r="Y2538" s="25"/>
      <c r="Z2538" s="25"/>
      <c r="AA2538" s="25"/>
    </row>
    <row r="2539" spans="20:27" x14ac:dyDescent="0.35">
      <c r="T2539" s="97"/>
      <c r="U2539" s="97"/>
      <c r="V2539" s="25"/>
      <c r="W2539" s="25"/>
      <c r="X2539" s="25"/>
      <c r="Y2539" s="25"/>
      <c r="Z2539" s="25"/>
      <c r="AA2539" s="25"/>
    </row>
    <row r="2540" spans="20:27" x14ac:dyDescent="0.35">
      <c r="T2540" s="97"/>
      <c r="U2540" s="97"/>
      <c r="V2540" s="25"/>
      <c r="W2540" s="25"/>
      <c r="X2540" s="25"/>
      <c r="Y2540" s="25"/>
      <c r="Z2540" s="25"/>
      <c r="AA2540" s="25"/>
    </row>
    <row r="2541" spans="20:27" x14ac:dyDescent="0.35">
      <c r="T2541" s="97"/>
      <c r="U2541" s="97"/>
      <c r="V2541" s="25"/>
      <c r="W2541" s="25"/>
      <c r="X2541" s="25"/>
      <c r="Y2541" s="25"/>
      <c r="Z2541" s="25"/>
      <c r="AA2541" s="25"/>
    </row>
    <row r="2542" spans="20:27" x14ac:dyDescent="0.35">
      <c r="T2542" s="97"/>
      <c r="U2542" s="97"/>
      <c r="V2542" s="25"/>
      <c r="W2542" s="25"/>
      <c r="X2542" s="25"/>
      <c r="Y2542" s="25"/>
      <c r="Z2542" s="25"/>
      <c r="AA2542" s="25"/>
    </row>
    <row r="2543" spans="20:27" x14ac:dyDescent="0.35">
      <c r="T2543" s="97"/>
      <c r="U2543" s="97"/>
      <c r="V2543" s="25"/>
      <c r="W2543" s="25"/>
      <c r="X2543" s="25"/>
      <c r="Y2543" s="25"/>
      <c r="Z2543" s="25"/>
      <c r="AA2543" s="25"/>
    </row>
    <row r="2544" spans="20:27" x14ac:dyDescent="0.35">
      <c r="T2544" s="97"/>
      <c r="U2544" s="97"/>
      <c r="V2544" s="25"/>
      <c r="W2544" s="25"/>
      <c r="X2544" s="25"/>
      <c r="Y2544" s="25"/>
      <c r="Z2544" s="25"/>
      <c r="AA2544" s="25"/>
    </row>
    <row r="2545" spans="20:27" x14ac:dyDescent="0.35">
      <c r="T2545" s="97"/>
      <c r="U2545" s="97"/>
      <c r="V2545" s="25"/>
      <c r="W2545" s="25"/>
      <c r="X2545" s="25"/>
      <c r="Y2545" s="25"/>
      <c r="Z2545" s="25"/>
      <c r="AA2545" s="25"/>
    </row>
    <row r="2546" spans="20:27" x14ac:dyDescent="0.35">
      <c r="T2546" s="97"/>
      <c r="U2546" s="97"/>
      <c r="V2546" s="25"/>
      <c r="W2546" s="25"/>
      <c r="X2546" s="25"/>
      <c r="Y2546" s="25"/>
      <c r="Z2546" s="25"/>
      <c r="AA2546" s="25"/>
    </row>
    <row r="2547" spans="20:27" x14ac:dyDescent="0.35">
      <c r="T2547" s="97"/>
      <c r="U2547" s="97"/>
      <c r="V2547" s="25"/>
      <c r="W2547" s="25"/>
      <c r="X2547" s="25"/>
      <c r="Y2547" s="25"/>
      <c r="Z2547" s="25"/>
      <c r="AA2547" s="25"/>
    </row>
    <row r="2548" spans="20:27" x14ac:dyDescent="0.35">
      <c r="T2548" s="97"/>
      <c r="U2548" s="97"/>
      <c r="V2548" s="25"/>
      <c r="W2548" s="25"/>
      <c r="X2548" s="25"/>
      <c r="Y2548" s="25"/>
      <c r="Z2548" s="25"/>
      <c r="AA2548" s="25"/>
    </row>
    <row r="2549" spans="20:27" x14ac:dyDescent="0.35">
      <c r="T2549" s="97"/>
      <c r="U2549" s="97"/>
      <c r="V2549" s="25"/>
      <c r="W2549" s="25"/>
      <c r="X2549" s="25"/>
      <c r="Y2549" s="25"/>
      <c r="Z2549" s="25"/>
      <c r="AA2549" s="25"/>
    </row>
    <row r="2550" spans="20:27" x14ac:dyDescent="0.35">
      <c r="T2550" s="97"/>
      <c r="U2550" s="97"/>
      <c r="V2550" s="25"/>
      <c r="W2550" s="25"/>
      <c r="X2550" s="25"/>
      <c r="Y2550" s="25"/>
      <c r="Z2550" s="25"/>
      <c r="AA2550" s="25"/>
    </row>
    <row r="2551" spans="20:27" x14ac:dyDescent="0.35">
      <c r="T2551" s="97"/>
      <c r="U2551" s="97"/>
      <c r="V2551" s="25"/>
      <c r="W2551" s="25"/>
      <c r="X2551" s="25"/>
      <c r="Y2551" s="25"/>
      <c r="Z2551" s="25"/>
      <c r="AA2551" s="25"/>
    </row>
    <row r="2552" spans="20:27" x14ac:dyDescent="0.35">
      <c r="T2552" s="97"/>
      <c r="U2552" s="97"/>
      <c r="V2552" s="25"/>
      <c r="W2552" s="25"/>
      <c r="X2552" s="25"/>
      <c r="Y2552" s="25"/>
      <c r="Z2552" s="25"/>
      <c r="AA2552" s="25"/>
    </row>
    <row r="2553" spans="20:27" x14ac:dyDescent="0.35">
      <c r="T2553" s="97"/>
      <c r="U2553" s="97"/>
      <c r="V2553" s="25"/>
      <c r="W2553" s="25"/>
      <c r="X2553" s="25"/>
      <c r="Y2553" s="25"/>
      <c r="Z2553" s="25"/>
      <c r="AA2553" s="25"/>
    </row>
    <row r="2554" spans="20:27" x14ac:dyDescent="0.35">
      <c r="T2554" s="97"/>
      <c r="U2554" s="97"/>
      <c r="V2554" s="25"/>
      <c r="W2554" s="25"/>
      <c r="X2554" s="25"/>
      <c r="Y2554" s="25"/>
      <c r="Z2554" s="25"/>
      <c r="AA2554" s="25"/>
    </row>
    <row r="2555" spans="20:27" x14ac:dyDescent="0.35">
      <c r="T2555" s="97"/>
      <c r="U2555" s="97"/>
      <c r="V2555" s="25"/>
      <c r="W2555" s="25"/>
      <c r="X2555" s="25"/>
      <c r="Y2555" s="25"/>
      <c r="Z2555" s="25"/>
      <c r="AA2555" s="25"/>
    </row>
    <row r="2556" spans="20:27" x14ac:dyDescent="0.35">
      <c r="T2556" s="97"/>
      <c r="U2556" s="97"/>
      <c r="V2556" s="25"/>
      <c r="W2556" s="25"/>
      <c r="X2556" s="25"/>
      <c r="Y2556" s="25"/>
      <c r="Z2556" s="25"/>
      <c r="AA2556" s="25"/>
    </row>
    <row r="2557" spans="20:27" x14ac:dyDescent="0.35">
      <c r="T2557" s="97"/>
      <c r="U2557" s="97"/>
      <c r="V2557" s="25"/>
      <c r="W2557" s="25"/>
      <c r="X2557" s="25"/>
      <c r="Y2557" s="25"/>
      <c r="Z2557" s="25"/>
      <c r="AA2557" s="25"/>
    </row>
    <row r="2558" spans="20:27" x14ac:dyDescent="0.35">
      <c r="T2558" s="97"/>
      <c r="U2558" s="97"/>
      <c r="V2558" s="25"/>
      <c r="W2558" s="25"/>
      <c r="X2558" s="25"/>
      <c r="Y2558" s="25"/>
      <c r="Z2558" s="25"/>
      <c r="AA2558" s="25"/>
    </row>
    <row r="2559" spans="20:27" x14ac:dyDescent="0.35">
      <c r="T2559" s="97"/>
      <c r="U2559" s="97"/>
      <c r="V2559" s="25"/>
      <c r="W2559" s="25"/>
      <c r="X2559" s="25"/>
      <c r="Y2559" s="25"/>
      <c r="Z2559" s="25"/>
      <c r="AA2559" s="25"/>
    </row>
    <row r="2560" spans="20:27" x14ac:dyDescent="0.35">
      <c r="T2560" s="97"/>
      <c r="U2560" s="97"/>
      <c r="V2560" s="25"/>
      <c r="W2560" s="25"/>
      <c r="X2560" s="25"/>
      <c r="Y2560" s="25"/>
      <c r="Z2560" s="25"/>
      <c r="AA2560" s="25"/>
    </row>
    <row r="2561" spans="20:27" x14ac:dyDescent="0.35">
      <c r="T2561" s="97"/>
      <c r="U2561" s="97"/>
      <c r="V2561" s="25"/>
      <c r="W2561" s="25"/>
      <c r="X2561" s="25"/>
      <c r="Y2561" s="25"/>
      <c r="Z2561" s="25"/>
      <c r="AA2561" s="25"/>
    </row>
    <row r="2562" spans="20:27" x14ac:dyDescent="0.35">
      <c r="T2562" s="97"/>
      <c r="U2562" s="97"/>
      <c r="V2562" s="25"/>
      <c r="W2562" s="25"/>
      <c r="X2562" s="25"/>
      <c r="Y2562" s="25"/>
      <c r="Z2562" s="25"/>
      <c r="AA2562" s="25"/>
    </row>
    <row r="2563" spans="20:27" x14ac:dyDescent="0.35">
      <c r="T2563" s="97"/>
      <c r="U2563" s="97"/>
      <c r="V2563" s="25"/>
      <c r="W2563" s="25"/>
      <c r="X2563" s="25"/>
      <c r="Y2563" s="25"/>
      <c r="Z2563" s="25"/>
      <c r="AA2563" s="25"/>
    </row>
    <row r="2564" spans="20:27" x14ac:dyDescent="0.35">
      <c r="T2564" s="97"/>
      <c r="U2564" s="97"/>
      <c r="V2564" s="25"/>
      <c r="W2564" s="25"/>
      <c r="X2564" s="25"/>
      <c r="Y2564" s="25"/>
      <c r="Z2564" s="25"/>
      <c r="AA2564" s="25"/>
    </row>
    <row r="2565" spans="20:27" x14ac:dyDescent="0.35">
      <c r="T2565" s="97"/>
      <c r="U2565" s="97"/>
      <c r="V2565" s="25"/>
      <c r="W2565" s="25"/>
      <c r="X2565" s="25"/>
      <c r="Y2565" s="25"/>
      <c r="Z2565" s="25"/>
      <c r="AA2565" s="25"/>
    </row>
    <row r="2566" spans="20:27" x14ac:dyDescent="0.35">
      <c r="T2566" s="97"/>
      <c r="U2566" s="97"/>
      <c r="V2566" s="25"/>
      <c r="W2566" s="25"/>
      <c r="X2566" s="25"/>
      <c r="Y2566" s="25"/>
      <c r="Z2566" s="25"/>
      <c r="AA2566" s="25"/>
    </row>
    <row r="2567" spans="20:27" x14ac:dyDescent="0.35">
      <c r="T2567" s="97"/>
      <c r="U2567" s="97"/>
      <c r="V2567" s="25"/>
      <c r="W2567" s="25"/>
      <c r="X2567" s="25"/>
      <c r="Y2567" s="25"/>
      <c r="Z2567" s="25"/>
      <c r="AA2567" s="25"/>
    </row>
    <row r="2568" spans="20:27" x14ac:dyDescent="0.35">
      <c r="T2568" s="97"/>
      <c r="U2568" s="97"/>
      <c r="V2568" s="25"/>
      <c r="W2568" s="25"/>
      <c r="X2568" s="25"/>
      <c r="Y2568" s="25"/>
      <c r="Z2568" s="25"/>
      <c r="AA2568" s="25"/>
    </row>
    <row r="2569" spans="20:27" x14ac:dyDescent="0.35">
      <c r="T2569" s="97"/>
      <c r="U2569" s="97"/>
      <c r="V2569" s="25"/>
      <c r="W2569" s="25"/>
      <c r="X2569" s="25"/>
      <c r="Y2569" s="25"/>
      <c r="Z2569" s="25"/>
      <c r="AA2569" s="25"/>
    </row>
    <row r="2570" spans="20:27" x14ac:dyDescent="0.35">
      <c r="T2570" s="97"/>
      <c r="U2570" s="97"/>
      <c r="V2570" s="25"/>
      <c r="W2570" s="25"/>
      <c r="X2570" s="25"/>
      <c r="Y2570" s="25"/>
      <c r="Z2570" s="25"/>
      <c r="AA2570" s="25"/>
    </row>
    <row r="2571" spans="20:27" x14ac:dyDescent="0.35">
      <c r="T2571" s="97"/>
      <c r="U2571" s="97"/>
      <c r="V2571" s="25"/>
      <c r="W2571" s="25"/>
      <c r="X2571" s="25"/>
      <c r="Y2571" s="25"/>
      <c r="Z2571" s="25"/>
      <c r="AA2571" s="25"/>
    </row>
    <row r="2572" spans="20:27" x14ac:dyDescent="0.35">
      <c r="T2572" s="97"/>
      <c r="U2572" s="97"/>
      <c r="V2572" s="25"/>
      <c r="W2572" s="25"/>
      <c r="X2572" s="25"/>
      <c r="Y2572" s="25"/>
      <c r="Z2572" s="25"/>
      <c r="AA2572" s="25"/>
    </row>
    <row r="2573" spans="20:27" x14ac:dyDescent="0.35">
      <c r="T2573" s="97"/>
      <c r="U2573" s="97"/>
      <c r="V2573" s="25"/>
      <c r="W2573" s="25"/>
      <c r="X2573" s="25"/>
      <c r="Y2573" s="25"/>
      <c r="Z2573" s="25"/>
      <c r="AA2573" s="25"/>
    </row>
    <row r="2574" spans="20:27" x14ac:dyDescent="0.35">
      <c r="T2574" s="97"/>
      <c r="U2574" s="97"/>
      <c r="V2574" s="25"/>
      <c r="W2574" s="25"/>
      <c r="X2574" s="25"/>
      <c r="Y2574" s="25"/>
      <c r="Z2574" s="25"/>
      <c r="AA2574" s="25"/>
    </row>
    <row r="2575" spans="20:27" x14ac:dyDescent="0.35">
      <c r="T2575" s="97"/>
      <c r="U2575" s="97"/>
      <c r="V2575" s="25"/>
      <c r="W2575" s="25"/>
      <c r="X2575" s="25"/>
      <c r="Y2575" s="25"/>
      <c r="Z2575" s="25"/>
      <c r="AA2575" s="25"/>
    </row>
    <row r="2576" spans="20:27" x14ac:dyDescent="0.35">
      <c r="T2576" s="97"/>
      <c r="U2576" s="97"/>
      <c r="V2576" s="25"/>
      <c r="W2576" s="25"/>
      <c r="X2576" s="25"/>
      <c r="Y2576" s="25"/>
      <c r="Z2576" s="25"/>
      <c r="AA2576" s="25"/>
    </row>
    <row r="2577" spans="20:27" x14ac:dyDescent="0.35">
      <c r="T2577" s="97"/>
      <c r="U2577" s="97"/>
      <c r="V2577" s="25"/>
      <c r="W2577" s="25"/>
      <c r="X2577" s="25"/>
      <c r="Y2577" s="25"/>
      <c r="Z2577" s="25"/>
      <c r="AA2577" s="25"/>
    </row>
    <row r="2578" spans="20:27" x14ac:dyDescent="0.35">
      <c r="T2578" s="97"/>
      <c r="U2578" s="97"/>
      <c r="V2578" s="25"/>
      <c r="W2578" s="25"/>
      <c r="X2578" s="25"/>
      <c r="Y2578" s="25"/>
      <c r="Z2578" s="25"/>
      <c r="AA2578" s="25"/>
    </row>
    <row r="2579" spans="20:27" x14ac:dyDescent="0.35">
      <c r="T2579" s="97"/>
      <c r="U2579" s="97"/>
      <c r="V2579" s="25"/>
      <c r="W2579" s="25"/>
      <c r="X2579" s="25"/>
      <c r="Y2579" s="25"/>
      <c r="Z2579" s="25"/>
      <c r="AA2579" s="25"/>
    </row>
    <row r="2580" spans="20:27" x14ac:dyDescent="0.35">
      <c r="T2580" s="97"/>
      <c r="U2580" s="97"/>
      <c r="V2580" s="25"/>
      <c r="W2580" s="25"/>
      <c r="X2580" s="25"/>
      <c r="Y2580" s="25"/>
      <c r="Z2580" s="25"/>
      <c r="AA2580" s="25"/>
    </row>
    <row r="2581" spans="20:27" x14ac:dyDescent="0.35">
      <c r="T2581" s="97"/>
      <c r="U2581" s="97"/>
      <c r="V2581" s="25"/>
      <c r="W2581" s="25"/>
      <c r="X2581" s="25"/>
      <c r="Y2581" s="25"/>
      <c r="Z2581" s="25"/>
      <c r="AA2581" s="25"/>
    </row>
    <row r="2582" spans="20:27" x14ac:dyDescent="0.35">
      <c r="T2582" s="97"/>
      <c r="U2582" s="97"/>
      <c r="V2582" s="25"/>
      <c r="W2582" s="25"/>
      <c r="X2582" s="25"/>
      <c r="Y2582" s="25"/>
      <c r="Z2582" s="25"/>
      <c r="AA2582" s="25"/>
    </row>
    <row r="2583" spans="20:27" x14ac:dyDescent="0.35">
      <c r="T2583" s="97"/>
      <c r="U2583" s="97"/>
      <c r="V2583" s="25"/>
      <c r="W2583" s="25"/>
      <c r="X2583" s="25"/>
      <c r="Y2583" s="25"/>
      <c r="Z2583" s="25"/>
      <c r="AA2583" s="25"/>
    </row>
    <row r="2584" spans="20:27" x14ac:dyDescent="0.35">
      <c r="T2584" s="97"/>
      <c r="U2584" s="97"/>
      <c r="V2584" s="25"/>
      <c r="W2584" s="25"/>
      <c r="X2584" s="25"/>
      <c r="Y2584" s="25"/>
      <c r="Z2584" s="25"/>
      <c r="AA2584" s="25"/>
    </row>
    <row r="2585" spans="20:27" x14ac:dyDescent="0.35">
      <c r="T2585" s="97"/>
      <c r="U2585" s="97"/>
      <c r="V2585" s="25"/>
      <c r="W2585" s="25"/>
      <c r="X2585" s="25"/>
      <c r="Y2585" s="25"/>
      <c r="Z2585" s="25"/>
      <c r="AA2585" s="25"/>
    </row>
    <row r="2586" spans="20:27" x14ac:dyDescent="0.35">
      <c r="T2586" s="97"/>
      <c r="U2586" s="97"/>
      <c r="V2586" s="25"/>
      <c r="W2586" s="25"/>
      <c r="X2586" s="25"/>
      <c r="Y2586" s="25"/>
      <c r="Z2586" s="25"/>
      <c r="AA2586" s="25"/>
    </row>
    <row r="2587" spans="20:27" x14ac:dyDescent="0.35">
      <c r="T2587" s="97"/>
      <c r="U2587" s="97"/>
      <c r="V2587" s="25"/>
      <c r="W2587" s="25"/>
      <c r="X2587" s="25"/>
      <c r="Y2587" s="25"/>
      <c r="Z2587" s="25"/>
      <c r="AA2587" s="25"/>
    </row>
    <row r="2588" spans="20:27" x14ac:dyDescent="0.35">
      <c r="T2588" s="97"/>
      <c r="U2588" s="97"/>
      <c r="V2588" s="25"/>
      <c r="W2588" s="25"/>
      <c r="X2588" s="25"/>
      <c r="Y2588" s="25"/>
      <c r="Z2588" s="25"/>
      <c r="AA2588" s="25"/>
    </row>
    <row r="2589" spans="20:27" x14ac:dyDescent="0.35">
      <c r="T2589" s="97"/>
      <c r="U2589" s="97"/>
      <c r="V2589" s="25"/>
      <c r="W2589" s="25"/>
      <c r="X2589" s="25"/>
      <c r="Y2589" s="25"/>
      <c r="Z2589" s="25"/>
      <c r="AA2589" s="25"/>
    </row>
    <row r="2590" spans="20:27" x14ac:dyDescent="0.35">
      <c r="T2590" s="97"/>
      <c r="U2590" s="97"/>
      <c r="V2590" s="25"/>
      <c r="W2590" s="25"/>
      <c r="X2590" s="25"/>
      <c r="Y2590" s="25"/>
      <c r="Z2590" s="25"/>
      <c r="AA2590" s="25"/>
    </row>
    <row r="2591" spans="20:27" x14ac:dyDescent="0.35">
      <c r="T2591" s="97"/>
      <c r="U2591" s="97"/>
      <c r="V2591" s="25"/>
      <c r="W2591" s="25"/>
      <c r="X2591" s="25"/>
      <c r="Y2591" s="25"/>
      <c r="Z2591" s="25"/>
      <c r="AA2591" s="25"/>
    </row>
    <row r="2592" spans="20:27" x14ac:dyDescent="0.35">
      <c r="T2592" s="97"/>
      <c r="U2592" s="97"/>
      <c r="V2592" s="25"/>
      <c r="W2592" s="25"/>
      <c r="X2592" s="25"/>
      <c r="Y2592" s="25"/>
      <c r="Z2592" s="25"/>
      <c r="AA2592" s="25"/>
    </row>
    <row r="2593" spans="20:27" x14ac:dyDescent="0.35">
      <c r="T2593" s="97"/>
      <c r="U2593" s="97"/>
      <c r="V2593" s="25"/>
      <c r="W2593" s="25"/>
      <c r="X2593" s="25"/>
      <c r="Y2593" s="25"/>
      <c r="Z2593" s="25"/>
      <c r="AA2593" s="25"/>
    </row>
    <row r="2594" spans="20:27" x14ac:dyDescent="0.35">
      <c r="T2594" s="97"/>
      <c r="U2594" s="97"/>
      <c r="V2594" s="25"/>
      <c r="W2594" s="25"/>
      <c r="X2594" s="25"/>
      <c r="Y2594" s="25"/>
      <c r="Z2594" s="25"/>
      <c r="AA2594" s="25"/>
    </row>
    <row r="2595" spans="20:27" x14ac:dyDescent="0.35">
      <c r="T2595" s="97"/>
      <c r="U2595" s="97"/>
      <c r="V2595" s="25"/>
      <c r="W2595" s="25"/>
      <c r="X2595" s="25"/>
      <c r="Y2595" s="25"/>
      <c r="Z2595" s="25"/>
      <c r="AA2595" s="25"/>
    </row>
    <row r="2596" spans="20:27" x14ac:dyDescent="0.35">
      <c r="T2596" s="97"/>
      <c r="U2596" s="97"/>
      <c r="V2596" s="25"/>
      <c r="W2596" s="25"/>
      <c r="X2596" s="25"/>
      <c r="Y2596" s="25"/>
      <c r="Z2596" s="25"/>
      <c r="AA2596" s="25"/>
    </row>
    <row r="2597" spans="20:27" x14ac:dyDescent="0.35">
      <c r="T2597" s="97"/>
      <c r="U2597" s="97"/>
      <c r="V2597" s="25"/>
      <c r="W2597" s="25"/>
      <c r="X2597" s="25"/>
      <c r="Y2597" s="25"/>
      <c r="Z2597" s="25"/>
      <c r="AA2597" s="25"/>
    </row>
    <row r="2598" spans="20:27" x14ac:dyDescent="0.35">
      <c r="T2598" s="97"/>
      <c r="U2598" s="97"/>
      <c r="V2598" s="25"/>
      <c r="W2598" s="25"/>
      <c r="X2598" s="25"/>
      <c r="Y2598" s="25"/>
      <c r="Z2598" s="25"/>
      <c r="AA2598" s="25"/>
    </row>
    <row r="2599" spans="20:27" x14ac:dyDescent="0.35">
      <c r="T2599" s="97"/>
      <c r="U2599" s="97"/>
      <c r="V2599" s="25"/>
      <c r="W2599" s="25"/>
      <c r="X2599" s="25"/>
      <c r="Y2599" s="25"/>
      <c r="Z2599" s="25"/>
      <c r="AA2599" s="25"/>
    </row>
    <row r="2600" spans="20:27" x14ac:dyDescent="0.35">
      <c r="T2600" s="97"/>
      <c r="U2600" s="97"/>
      <c r="V2600" s="25"/>
      <c r="W2600" s="25"/>
      <c r="X2600" s="25"/>
      <c r="Y2600" s="25"/>
      <c r="Z2600" s="25"/>
      <c r="AA2600" s="25"/>
    </row>
    <row r="2601" spans="20:27" x14ac:dyDescent="0.35">
      <c r="T2601" s="97"/>
      <c r="U2601" s="97"/>
      <c r="V2601" s="25"/>
      <c r="W2601" s="25"/>
      <c r="X2601" s="25"/>
      <c r="Y2601" s="25"/>
      <c r="Z2601" s="25"/>
      <c r="AA2601" s="25"/>
    </row>
    <row r="2602" spans="20:27" x14ac:dyDescent="0.35">
      <c r="T2602" s="97"/>
      <c r="U2602" s="97"/>
      <c r="V2602" s="25"/>
      <c r="W2602" s="25"/>
      <c r="X2602" s="25"/>
      <c r="Y2602" s="25"/>
      <c r="Z2602" s="25"/>
      <c r="AA2602" s="25"/>
    </row>
    <row r="2603" spans="20:27" x14ac:dyDescent="0.35">
      <c r="T2603" s="97"/>
      <c r="U2603" s="97"/>
      <c r="V2603" s="25"/>
      <c r="W2603" s="25"/>
      <c r="X2603" s="25"/>
      <c r="Y2603" s="25"/>
      <c r="Z2603" s="25"/>
      <c r="AA2603" s="25"/>
    </row>
    <row r="2604" spans="20:27" x14ac:dyDescent="0.35">
      <c r="T2604" s="97"/>
      <c r="U2604" s="97"/>
      <c r="V2604" s="25"/>
      <c r="W2604" s="25"/>
      <c r="X2604" s="25"/>
      <c r="Y2604" s="25"/>
      <c r="Z2604" s="25"/>
      <c r="AA2604" s="25"/>
    </row>
    <row r="2605" spans="20:27" x14ac:dyDescent="0.35">
      <c r="T2605" s="97"/>
      <c r="U2605" s="97"/>
      <c r="V2605" s="25"/>
      <c r="W2605" s="25"/>
      <c r="X2605" s="25"/>
      <c r="Y2605" s="25"/>
      <c r="Z2605" s="25"/>
      <c r="AA2605" s="25"/>
    </row>
    <row r="2606" spans="20:27" x14ac:dyDescent="0.35">
      <c r="T2606" s="97"/>
      <c r="U2606" s="97"/>
      <c r="V2606" s="25"/>
      <c r="W2606" s="25"/>
      <c r="X2606" s="25"/>
      <c r="Y2606" s="25"/>
      <c r="Z2606" s="25"/>
      <c r="AA2606" s="25"/>
    </row>
    <row r="2607" spans="20:27" x14ac:dyDescent="0.35">
      <c r="T2607" s="97"/>
      <c r="U2607" s="97"/>
      <c r="V2607" s="25"/>
      <c r="W2607" s="25"/>
      <c r="X2607" s="25"/>
      <c r="Y2607" s="25"/>
      <c r="Z2607" s="25"/>
      <c r="AA2607" s="25"/>
    </row>
    <row r="2608" spans="20:27" x14ac:dyDescent="0.35">
      <c r="T2608" s="97"/>
      <c r="U2608" s="97"/>
      <c r="V2608" s="25"/>
      <c r="W2608" s="25"/>
      <c r="X2608" s="25"/>
      <c r="Y2608" s="25"/>
      <c r="Z2608" s="25"/>
      <c r="AA2608" s="25"/>
    </row>
    <row r="2609" spans="20:27" x14ac:dyDescent="0.35">
      <c r="T2609" s="97"/>
      <c r="U2609" s="97"/>
      <c r="V2609" s="25"/>
      <c r="W2609" s="25"/>
      <c r="X2609" s="25"/>
      <c r="Y2609" s="25"/>
      <c r="Z2609" s="25"/>
      <c r="AA2609" s="25"/>
    </row>
    <row r="2610" spans="20:27" x14ac:dyDescent="0.35">
      <c r="T2610" s="97"/>
      <c r="U2610" s="97"/>
      <c r="V2610" s="25"/>
      <c r="W2610" s="25"/>
      <c r="X2610" s="25"/>
      <c r="Y2610" s="25"/>
      <c r="Z2610" s="25"/>
      <c r="AA2610" s="25"/>
    </row>
    <row r="2611" spans="20:27" x14ac:dyDescent="0.35">
      <c r="T2611" s="97"/>
      <c r="U2611" s="97"/>
      <c r="V2611" s="25"/>
      <c r="W2611" s="25"/>
      <c r="X2611" s="25"/>
      <c r="Y2611" s="25"/>
      <c r="Z2611" s="25"/>
      <c r="AA2611" s="25"/>
    </row>
    <row r="2612" spans="20:27" x14ac:dyDescent="0.35">
      <c r="T2612" s="97"/>
      <c r="U2612" s="97"/>
      <c r="V2612" s="25"/>
      <c r="W2612" s="25"/>
      <c r="X2612" s="25"/>
      <c r="Y2612" s="25"/>
      <c r="Z2612" s="25"/>
      <c r="AA2612" s="25"/>
    </row>
    <row r="2613" spans="20:27" x14ac:dyDescent="0.35">
      <c r="T2613" s="97"/>
      <c r="U2613" s="97"/>
      <c r="V2613" s="25"/>
      <c r="W2613" s="25"/>
      <c r="X2613" s="25"/>
      <c r="Y2613" s="25"/>
      <c r="Z2613" s="25"/>
      <c r="AA2613" s="25"/>
    </row>
    <row r="2614" spans="20:27" x14ac:dyDescent="0.35">
      <c r="T2614" s="97"/>
      <c r="U2614" s="97"/>
      <c r="V2614" s="25"/>
      <c r="W2614" s="25"/>
      <c r="X2614" s="25"/>
      <c r="Y2614" s="25"/>
      <c r="Z2614" s="25"/>
      <c r="AA2614" s="25"/>
    </row>
    <row r="2615" spans="20:27" x14ac:dyDescent="0.35">
      <c r="T2615" s="97"/>
      <c r="U2615" s="97"/>
      <c r="V2615" s="25"/>
      <c r="W2615" s="25"/>
      <c r="X2615" s="25"/>
      <c r="Y2615" s="25"/>
      <c r="Z2615" s="25"/>
      <c r="AA2615" s="25"/>
    </row>
    <row r="2616" spans="20:27" x14ac:dyDescent="0.35">
      <c r="T2616" s="97"/>
      <c r="U2616" s="97"/>
      <c r="V2616" s="25"/>
      <c r="W2616" s="25"/>
      <c r="X2616" s="25"/>
      <c r="Y2616" s="25"/>
      <c r="Z2616" s="25"/>
      <c r="AA2616" s="25"/>
    </row>
    <row r="2617" spans="20:27" x14ac:dyDescent="0.35">
      <c r="T2617" s="97"/>
      <c r="U2617" s="97"/>
      <c r="V2617" s="25"/>
      <c r="W2617" s="25"/>
      <c r="X2617" s="25"/>
      <c r="Y2617" s="25"/>
      <c r="Z2617" s="25"/>
      <c r="AA2617" s="25"/>
    </row>
    <row r="2618" spans="20:27" x14ac:dyDescent="0.35">
      <c r="T2618" s="97"/>
      <c r="U2618" s="97"/>
      <c r="V2618" s="25"/>
      <c r="W2618" s="25"/>
      <c r="X2618" s="25"/>
      <c r="Y2618" s="25"/>
      <c r="Z2618" s="25"/>
      <c r="AA2618" s="25"/>
    </row>
    <row r="2619" spans="20:27" x14ac:dyDescent="0.35">
      <c r="T2619" s="97"/>
      <c r="U2619" s="97"/>
      <c r="V2619" s="25"/>
      <c r="W2619" s="25"/>
      <c r="X2619" s="25"/>
      <c r="Y2619" s="25"/>
      <c r="Z2619" s="25"/>
      <c r="AA2619" s="25"/>
    </row>
    <row r="2620" spans="20:27" x14ac:dyDescent="0.35">
      <c r="T2620" s="97"/>
      <c r="U2620" s="97"/>
      <c r="V2620" s="25"/>
      <c r="W2620" s="25"/>
      <c r="X2620" s="25"/>
      <c r="Y2620" s="25"/>
      <c r="Z2620" s="25"/>
      <c r="AA2620" s="25"/>
    </row>
    <row r="2621" spans="20:27" x14ac:dyDescent="0.35">
      <c r="T2621" s="97"/>
      <c r="U2621" s="97"/>
      <c r="V2621" s="25"/>
      <c r="W2621" s="25"/>
      <c r="X2621" s="25"/>
      <c r="Y2621" s="25"/>
      <c r="Z2621" s="25"/>
      <c r="AA2621" s="25"/>
    </row>
    <row r="2622" spans="20:27" x14ac:dyDescent="0.35">
      <c r="T2622" s="97"/>
      <c r="U2622" s="97"/>
      <c r="V2622" s="25"/>
      <c r="W2622" s="25"/>
      <c r="X2622" s="25"/>
      <c r="Y2622" s="25"/>
      <c r="Z2622" s="25"/>
      <c r="AA2622" s="25"/>
    </row>
    <row r="2623" spans="20:27" x14ac:dyDescent="0.35">
      <c r="T2623" s="97"/>
      <c r="U2623" s="97"/>
      <c r="V2623" s="25"/>
      <c r="W2623" s="25"/>
      <c r="X2623" s="25"/>
      <c r="Y2623" s="25"/>
      <c r="Z2623" s="25"/>
      <c r="AA2623" s="25"/>
    </row>
    <row r="2624" spans="20:27" x14ac:dyDescent="0.35">
      <c r="T2624" s="97"/>
      <c r="U2624" s="97"/>
      <c r="V2624" s="25"/>
      <c r="W2624" s="25"/>
      <c r="X2624" s="25"/>
      <c r="Y2624" s="25"/>
      <c r="Z2624" s="25"/>
      <c r="AA2624" s="25"/>
    </row>
    <row r="2625" spans="20:27" x14ac:dyDescent="0.35">
      <c r="T2625" s="97"/>
      <c r="U2625" s="97"/>
      <c r="V2625" s="25"/>
      <c r="W2625" s="25"/>
      <c r="X2625" s="25"/>
      <c r="Y2625" s="25"/>
      <c r="Z2625" s="25"/>
      <c r="AA2625" s="25"/>
    </row>
    <row r="2626" spans="20:27" x14ac:dyDescent="0.35">
      <c r="T2626" s="97"/>
      <c r="U2626" s="97"/>
      <c r="V2626" s="25"/>
      <c r="W2626" s="25"/>
      <c r="X2626" s="25"/>
      <c r="Y2626" s="25"/>
      <c r="Z2626" s="25"/>
      <c r="AA2626" s="25"/>
    </row>
    <row r="2627" spans="20:27" x14ac:dyDescent="0.35">
      <c r="T2627" s="97"/>
      <c r="U2627" s="97"/>
      <c r="V2627" s="25"/>
      <c r="W2627" s="25"/>
      <c r="X2627" s="25"/>
      <c r="Y2627" s="25"/>
      <c r="Z2627" s="25"/>
      <c r="AA2627" s="25"/>
    </row>
    <row r="2628" spans="20:27" x14ac:dyDescent="0.35">
      <c r="T2628" s="97"/>
      <c r="U2628" s="97"/>
      <c r="V2628" s="25"/>
      <c r="W2628" s="25"/>
      <c r="X2628" s="25"/>
      <c r="Y2628" s="25"/>
      <c r="Z2628" s="25"/>
      <c r="AA2628" s="25"/>
    </row>
    <row r="2629" spans="20:27" x14ac:dyDescent="0.35">
      <c r="T2629" s="97"/>
      <c r="U2629" s="97"/>
      <c r="V2629" s="25"/>
      <c r="W2629" s="25"/>
      <c r="X2629" s="25"/>
      <c r="Y2629" s="25"/>
      <c r="Z2629" s="25"/>
      <c r="AA2629" s="25"/>
    </row>
    <row r="2630" spans="20:27" x14ac:dyDescent="0.35">
      <c r="T2630" s="97"/>
      <c r="U2630" s="97"/>
      <c r="V2630" s="25"/>
      <c r="W2630" s="25"/>
      <c r="X2630" s="25"/>
      <c r="Y2630" s="25"/>
      <c r="Z2630" s="25"/>
      <c r="AA2630" s="25"/>
    </row>
    <row r="2631" spans="20:27" x14ac:dyDescent="0.35">
      <c r="T2631" s="97"/>
      <c r="U2631" s="97"/>
      <c r="V2631" s="25"/>
      <c r="W2631" s="25"/>
      <c r="X2631" s="25"/>
      <c r="Y2631" s="25"/>
      <c r="Z2631" s="25"/>
      <c r="AA2631" s="25"/>
    </row>
    <row r="2632" spans="20:27" x14ac:dyDescent="0.35">
      <c r="T2632" s="97"/>
      <c r="U2632" s="97"/>
      <c r="V2632" s="25"/>
      <c r="W2632" s="25"/>
      <c r="X2632" s="25"/>
      <c r="Y2632" s="25"/>
      <c r="Z2632" s="25"/>
      <c r="AA2632" s="25"/>
    </row>
    <row r="2633" spans="20:27" x14ac:dyDescent="0.35">
      <c r="T2633" s="97"/>
      <c r="U2633" s="97"/>
      <c r="V2633" s="25"/>
      <c r="W2633" s="25"/>
      <c r="X2633" s="25"/>
      <c r="Y2633" s="25"/>
      <c r="Z2633" s="25"/>
      <c r="AA2633" s="25"/>
    </row>
    <row r="2634" spans="20:27" x14ac:dyDescent="0.35">
      <c r="T2634" s="97"/>
      <c r="U2634" s="97"/>
      <c r="V2634" s="25"/>
      <c r="W2634" s="25"/>
      <c r="X2634" s="25"/>
      <c r="Y2634" s="25"/>
      <c r="Z2634" s="25"/>
      <c r="AA2634" s="25"/>
    </row>
    <row r="2635" spans="20:27" x14ac:dyDescent="0.35">
      <c r="T2635" s="97"/>
      <c r="U2635" s="97"/>
      <c r="V2635" s="25"/>
      <c r="W2635" s="25"/>
      <c r="X2635" s="25"/>
      <c r="Y2635" s="25"/>
      <c r="Z2635" s="25"/>
      <c r="AA2635" s="25"/>
    </row>
    <row r="2636" spans="20:27" x14ac:dyDescent="0.35">
      <c r="T2636" s="97"/>
      <c r="U2636" s="97"/>
      <c r="V2636" s="25"/>
      <c r="W2636" s="25"/>
      <c r="X2636" s="25"/>
      <c r="Y2636" s="25"/>
      <c r="Z2636" s="25"/>
      <c r="AA2636" s="25"/>
    </row>
    <row r="2637" spans="20:27" x14ac:dyDescent="0.35">
      <c r="T2637" s="97"/>
      <c r="U2637" s="97"/>
      <c r="V2637" s="25"/>
      <c r="W2637" s="25"/>
      <c r="X2637" s="25"/>
      <c r="Y2637" s="25"/>
      <c r="Z2637" s="25"/>
      <c r="AA2637" s="25"/>
    </row>
    <row r="2638" spans="20:27" x14ac:dyDescent="0.35">
      <c r="T2638" s="97"/>
      <c r="U2638" s="97"/>
      <c r="V2638" s="25"/>
      <c r="W2638" s="25"/>
      <c r="X2638" s="25"/>
      <c r="Y2638" s="25"/>
      <c r="Z2638" s="25"/>
      <c r="AA2638" s="25"/>
    </row>
    <row r="2639" spans="20:27" x14ac:dyDescent="0.35">
      <c r="T2639" s="97"/>
      <c r="U2639" s="97"/>
      <c r="V2639" s="25"/>
      <c r="W2639" s="25"/>
      <c r="X2639" s="25"/>
      <c r="Y2639" s="25"/>
      <c r="Z2639" s="25"/>
      <c r="AA2639" s="25"/>
    </row>
    <row r="2640" spans="20:27" x14ac:dyDescent="0.35">
      <c r="T2640" s="97"/>
      <c r="U2640" s="97"/>
      <c r="V2640" s="25"/>
      <c r="W2640" s="25"/>
      <c r="X2640" s="25"/>
      <c r="Y2640" s="25"/>
      <c r="Z2640" s="25"/>
      <c r="AA2640" s="25"/>
    </row>
    <row r="2641" spans="20:27" x14ac:dyDescent="0.35">
      <c r="T2641" s="97"/>
      <c r="U2641" s="97"/>
      <c r="V2641" s="25"/>
      <c r="W2641" s="25"/>
      <c r="X2641" s="25"/>
      <c r="Y2641" s="25"/>
      <c r="Z2641" s="25"/>
      <c r="AA2641" s="25"/>
    </row>
    <row r="2642" spans="20:27" x14ac:dyDescent="0.35">
      <c r="T2642" s="97"/>
      <c r="U2642" s="97"/>
      <c r="V2642" s="25"/>
      <c r="W2642" s="25"/>
      <c r="X2642" s="25"/>
      <c r="Y2642" s="25"/>
      <c r="Z2642" s="25"/>
      <c r="AA2642" s="25"/>
    </row>
    <row r="2643" spans="20:27" x14ac:dyDescent="0.35">
      <c r="T2643" s="97"/>
      <c r="U2643" s="97"/>
      <c r="V2643" s="25"/>
      <c r="W2643" s="25"/>
      <c r="X2643" s="25"/>
      <c r="Y2643" s="25"/>
      <c r="Z2643" s="25"/>
      <c r="AA2643" s="25"/>
    </row>
    <row r="2644" spans="20:27" x14ac:dyDescent="0.35">
      <c r="T2644" s="97"/>
      <c r="U2644" s="97"/>
      <c r="V2644" s="25"/>
      <c r="W2644" s="25"/>
      <c r="X2644" s="25"/>
      <c r="Y2644" s="25"/>
      <c r="Z2644" s="25"/>
      <c r="AA2644" s="25"/>
    </row>
    <row r="2645" spans="20:27" x14ac:dyDescent="0.35">
      <c r="T2645" s="97"/>
      <c r="U2645" s="97"/>
      <c r="V2645" s="25"/>
      <c r="W2645" s="25"/>
      <c r="X2645" s="25"/>
      <c r="Y2645" s="25"/>
      <c r="Z2645" s="25"/>
      <c r="AA2645" s="25"/>
    </row>
    <row r="2646" spans="20:27" x14ac:dyDescent="0.35">
      <c r="T2646" s="97"/>
      <c r="U2646" s="97"/>
      <c r="V2646" s="25"/>
      <c r="W2646" s="25"/>
      <c r="X2646" s="25"/>
      <c r="Y2646" s="25"/>
      <c r="Z2646" s="25"/>
      <c r="AA2646" s="25"/>
    </row>
    <row r="2647" spans="20:27" x14ac:dyDescent="0.35">
      <c r="T2647" s="97"/>
      <c r="U2647" s="97"/>
      <c r="V2647" s="25"/>
      <c r="W2647" s="25"/>
      <c r="X2647" s="25"/>
      <c r="Y2647" s="25"/>
      <c r="Z2647" s="25"/>
      <c r="AA2647" s="25"/>
    </row>
    <row r="2648" spans="20:27" x14ac:dyDescent="0.35">
      <c r="T2648" s="97"/>
      <c r="U2648" s="97"/>
      <c r="V2648" s="25"/>
      <c r="W2648" s="25"/>
      <c r="X2648" s="25"/>
      <c r="Y2648" s="25"/>
      <c r="Z2648" s="25"/>
      <c r="AA2648" s="25"/>
    </row>
    <row r="2649" spans="20:27" x14ac:dyDescent="0.35">
      <c r="T2649" s="97"/>
      <c r="U2649" s="97"/>
      <c r="V2649" s="25"/>
      <c r="W2649" s="25"/>
      <c r="X2649" s="25"/>
      <c r="Y2649" s="25"/>
      <c r="Z2649" s="25"/>
      <c r="AA2649" s="25"/>
    </row>
    <row r="2650" spans="20:27" x14ac:dyDescent="0.35">
      <c r="T2650" s="97"/>
      <c r="U2650" s="97"/>
      <c r="V2650" s="25"/>
      <c r="W2650" s="25"/>
      <c r="X2650" s="25"/>
      <c r="Y2650" s="25"/>
      <c r="Z2650" s="25"/>
      <c r="AA2650" s="25"/>
    </row>
    <row r="2651" spans="20:27" x14ac:dyDescent="0.35">
      <c r="T2651" s="97"/>
      <c r="U2651" s="97"/>
      <c r="V2651" s="25"/>
      <c r="W2651" s="25"/>
      <c r="X2651" s="25"/>
      <c r="Y2651" s="25"/>
      <c r="Z2651" s="25"/>
      <c r="AA2651" s="25"/>
    </row>
    <row r="2652" spans="20:27" x14ac:dyDescent="0.35">
      <c r="T2652" s="97"/>
      <c r="U2652" s="97"/>
      <c r="V2652" s="25"/>
      <c r="W2652" s="25"/>
      <c r="X2652" s="25"/>
      <c r="Y2652" s="25"/>
      <c r="Z2652" s="25"/>
      <c r="AA2652" s="25"/>
    </row>
    <row r="2653" spans="20:27" x14ac:dyDescent="0.35">
      <c r="T2653" s="97"/>
      <c r="U2653" s="97"/>
      <c r="V2653" s="25"/>
      <c r="W2653" s="25"/>
      <c r="X2653" s="25"/>
      <c r="Y2653" s="25"/>
      <c r="Z2653" s="25"/>
      <c r="AA2653" s="25"/>
    </row>
    <row r="2654" spans="20:27" x14ac:dyDescent="0.35">
      <c r="T2654" s="97"/>
      <c r="U2654" s="97"/>
      <c r="V2654" s="25"/>
      <c r="W2654" s="25"/>
      <c r="X2654" s="25"/>
      <c r="Y2654" s="25"/>
      <c r="Z2654" s="25"/>
      <c r="AA2654" s="25"/>
    </row>
    <row r="2655" spans="20:27" x14ac:dyDescent="0.35">
      <c r="T2655" s="97"/>
      <c r="U2655" s="97"/>
      <c r="V2655" s="25"/>
      <c r="W2655" s="25"/>
      <c r="X2655" s="25"/>
      <c r="Y2655" s="25"/>
      <c r="Z2655" s="25"/>
      <c r="AA2655" s="25"/>
    </row>
    <row r="2656" spans="20:27" x14ac:dyDescent="0.35">
      <c r="T2656" s="97"/>
      <c r="U2656" s="97"/>
      <c r="V2656" s="25"/>
      <c r="W2656" s="25"/>
      <c r="X2656" s="25"/>
      <c r="Y2656" s="25"/>
      <c r="Z2656" s="25"/>
      <c r="AA2656" s="25"/>
    </row>
    <row r="2657" spans="20:27" x14ac:dyDescent="0.35">
      <c r="T2657" s="97"/>
      <c r="U2657" s="97"/>
      <c r="V2657" s="25"/>
      <c r="W2657" s="25"/>
      <c r="X2657" s="25"/>
      <c r="Y2657" s="25"/>
      <c r="Z2657" s="25"/>
      <c r="AA2657" s="25"/>
    </row>
    <row r="2658" spans="20:27" x14ac:dyDescent="0.35">
      <c r="T2658" s="97"/>
      <c r="U2658" s="97"/>
      <c r="V2658" s="25"/>
      <c r="W2658" s="25"/>
      <c r="X2658" s="25"/>
      <c r="Y2658" s="25"/>
      <c r="Z2658" s="25"/>
      <c r="AA2658" s="25"/>
    </row>
    <row r="2659" spans="20:27" x14ac:dyDescent="0.35">
      <c r="T2659" s="97"/>
      <c r="U2659" s="97"/>
      <c r="V2659" s="25"/>
      <c r="W2659" s="25"/>
      <c r="X2659" s="25"/>
      <c r="Y2659" s="25"/>
      <c r="Z2659" s="25"/>
      <c r="AA2659" s="25"/>
    </row>
    <row r="2660" spans="20:27" x14ac:dyDescent="0.35">
      <c r="T2660" s="97"/>
      <c r="U2660" s="97"/>
      <c r="V2660" s="25"/>
      <c r="W2660" s="25"/>
      <c r="X2660" s="25"/>
      <c r="Y2660" s="25"/>
      <c r="Z2660" s="25"/>
      <c r="AA2660" s="25"/>
    </row>
    <row r="2661" spans="20:27" x14ac:dyDescent="0.35">
      <c r="T2661" s="97"/>
      <c r="U2661" s="97"/>
      <c r="V2661" s="25"/>
      <c r="W2661" s="25"/>
      <c r="X2661" s="25"/>
      <c r="Y2661" s="25"/>
      <c r="Z2661" s="25"/>
      <c r="AA2661" s="25"/>
    </row>
    <row r="2662" spans="20:27" x14ac:dyDescent="0.35">
      <c r="T2662" s="97"/>
      <c r="U2662" s="97"/>
      <c r="V2662" s="25"/>
      <c r="W2662" s="25"/>
      <c r="X2662" s="25"/>
      <c r="Y2662" s="25"/>
      <c r="Z2662" s="25"/>
      <c r="AA2662" s="25"/>
    </row>
    <row r="2663" spans="20:27" x14ac:dyDescent="0.35">
      <c r="T2663" s="97"/>
      <c r="U2663" s="97"/>
      <c r="V2663" s="25"/>
      <c r="W2663" s="25"/>
      <c r="X2663" s="25"/>
      <c r="Y2663" s="25"/>
      <c r="Z2663" s="25"/>
      <c r="AA2663" s="25"/>
    </row>
    <row r="2664" spans="20:27" x14ac:dyDescent="0.35">
      <c r="T2664" s="97"/>
      <c r="U2664" s="97"/>
      <c r="V2664" s="25"/>
      <c r="W2664" s="25"/>
      <c r="X2664" s="25"/>
      <c r="Y2664" s="25"/>
      <c r="Z2664" s="25"/>
      <c r="AA2664" s="25"/>
    </row>
    <row r="2665" spans="20:27" x14ac:dyDescent="0.35">
      <c r="T2665" s="97"/>
      <c r="U2665" s="97"/>
      <c r="V2665" s="25"/>
      <c r="W2665" s="25"/>
      <c r="X2665" s="25"/>
      <c r="Y2665" s="25"/>
      <c r="Z2665" s="25"/>
      <c r="AA2665" s="25"/>
    </row>
    <row r="2666" spans="20:27" x14ac:dyDescent="0.35">
      <c r="T2666" s="97"/>
      <c r="U2666" s="97"/>
      <c r="V2666" s="25"/>
      <c r="W2666" s="25"/>
      <c r="X2666" s="25"/>
      <c r="Y2666" s="25"/>
      <c r="Z2666" s="25"/>
      <c r="AA2666" s="25"/>
    </row>
    <row r="2667" spans="20:27" x14ac:dyDescent="0.35">
      <c r="T2667" s="97"/>
      <c r="U2667" s="97"/>
      <c r="V2667" s="25"/>
      <c r="W2667" s="25"/>
      <c r="X2667" s="25"/>
      <c r="Y2667" s="25"/>
      <c r="Z2667" s="25"/>
      <c r="AA2667" s="25"/>
    </row>
    <row r="2668" spans="20:27" x14ac:dyDescent="0.35">
      <c r="T2668" s="97"/>
      <c r="U2668" s="97"/>
      <c r="V2668" s="25"/>
      <c r="W2668" s="25"/>
      <c r="X2668" s="25"/>
      <c r="Y2668" s="25"/>
      <c r="Z2668" s="25"/>
      <c r="AA2668" s="25"/>
    </row>
    <row r="2669" spans="20:27" x14ac:dyDescent="0.35">
      <c r="T2669" s="97"/>
      <c r="U2669" s="97"/>
      <c r="V2669" s="25"/>
      <c r="W2669" s="25"/>
      <c r="X2669" s="25"/>
      <c r="Y2669" s="25"/>
      <c r="Z2669" s="25"/>
      <c r="AA2669" s="25"/>
    </row>
    <row r="2670" spans="20:27" x14ac:dyDescent="0.35">
      <c r="T2670" s="97"/>
      <c r="U2670" s="97"/>
      <c r="V2670" s="25"/>
      <c r="W2670" s="25"/>
      <c r="X2670" s="25"/>
      <c r="Y2670" s="25"/>
      <c r="Z2670" s="25"/>
      <c r="AA2670" s="25"/>
    </row>
    <row r="2671" spans="20:27" x14ac:dyDescent="0.35">
      <c r="T2671" s="97"/>
      <c r="U2671" s="97"/>
      <c r="V2671" s="25"/>
      <c r="W2671" s="25"/>
      <c r="X2671" s="25"/>
      <c r="Y2671" s="25"/>
      <c r="Z2671" s="25"/>
      <c r="AA2671" s="25"/>
    </row>
    <row r="2672" spans="20:27" x14ac:dyDescent="0.35">
      <c r="T2672" s="97"/>
      <c r="U2672" s="97"/>
      <c r="V2672" s="25"/>
      <c r="W2672" s="25"/>
      <c r="X2672" s="25"/>
      <c r="Y2672" s="25"/>
      <c r="Z2672" s="25"/>
      <c r="AA2672" s="25"/>
    </row>
    <row r="2673" spans="20:27" x14ac:dyDescent="0.35">
      <c r="T2673" s="97"/>
      <c r="U2673" s="97"/>
      <c r="V2673" s="25"/>
      <c r="W2673" s="25"/>
      <c r="X2673" s="25"/>
      <c r="Y2673" s="25"/>
      <c r="Z2673" s="25"/>
      <c r="AA2673" s="25"/>
    </row>
    <row r="2674" spans="20:27" x14ac:dyDescent="0.35">
      <c r="T2674" s="97"/>
      <c r="U2674" s="97"/>
      <c r="V2674" s="25"/>
      <c r="W2674" s="25"/>
      <c r="X2674" s="25"/>
      <c r="Y2674" s="25"/>
      <c r="Z2674" s="25"/>
      <c r="AA2674" s="25"/>
    </row>
    <row r="2675" spans="20:27" x14ac:dyDescent="0.35">
      <c r="T2675" s="97"/>
      <c r="U2675" s="97"/>
      <c r="V2675" s="25"/>
      <c r="W2675" s="25"/>
      <c r="X2675" s="25"/>
      <c r="Y2675" s="25"/>
      <c r="Z2675" s="25"/>
      <c r="AA2675" s="25"/>
    </row>
    <row r="2676" spans="20:27" x14ac:dyDescent="0.35">
      <c r="T2676" s="97"/>
      <c r="U2676" s="97"/>
      <c r="V2676" s="25"/>
      <c r="W2676" s="25"/>
      <c r="X2676" s="25"/>
      <c r="Y2676" s="25"/>
      <c r="Z2676" s="25"/>
      <c r="AA2676" s="25"/>
    </row>
    <row r="2677" spans="20:27" x14ac:dyDescent="0.35">
      <c r="T2677" s="97"/>
      <c r="U2677" s="97"/>
      <c r="V2677" s="25"/>
      <c r="W2677" s="25"/>
      <c r="X2677" s="25"/>
      <c r="Y2677" s="25"/>
      <c r="Z2677" s="25"/>
      <c r="AA2677" s="25"/>
    </row>
    <row r="2678" spans="20:27" x14ac:dyDescent="0.35">
      <c r="T2678" s="97"/>
      <c r="U2678" s="97"/>
      <c r="V2678" s="25"/>
      <c r="W2678" s="25"/>
      <c r="X2678" s="25"/>
      <c r="Y2678" s="25"/>
      <c r="Z2678" s="25"/>
      <c r="AA2678" s="25"/>
    </row>
    <row r="2679" spans="20:27" x14ac:dyDescent="0.35">
      <c r="T2679" s="97"/>
      <c r="U2679" s="97"/>
      <c r="V2679" s="25"/>
      <c r="W2679" s="25"/>
      <c r="X2679" s="25"/>
      <c r="Y2679" s="25"/>
      <c r="Z2679" s="25"/>
      <c r="AA2679" s="25"/>
    </row>
    <row r="2680" spans="20:27" x14ac:dyDescent="0.35">
      <c r="T2680" s="97"/>
      <c r="U2680" s="97"/>
      <c r="V2680" s="25"/>
      <c r="W2680" s="25"/>
      <c r="X2680" s="25"/>
      <c r="Y2680" s="25"/>
      <c r="Z2680" s="25"/>
      <c r="AA2680" s="25"/>
    </row>
    <row r="2681" spans="20:27" x14ac:dyDescent="0.35">
      <c r="T2681" s="97"/>
      <c r="U2681" s="97"/>
      <c r="V2681" s="25"/>
      <c r="W2681" s="25"/>
      <c r="X2681" s="25"/>
      <c r="Y2681" s="25"/>
      <c r="Z2681" s="25"/>
      <c r="AA2681" s="25"/>
    </row>
    <row r="2682" spans="20:27" x14ac:dyDescent="0.35">
      <c r="T2682" s="97"/>
      <c r="U2682" s="97"/>
      <c r="V2682" s="25"/>
      <c r="W2682" s="25"/>
      <c r="X2682" s="25"/>
      <c r="Y2682" s="25"/>
      <c r="Z2682" s="25"/>
      <c r="AA2682" s="25"/>
    </row>
    <row r="2683" spans="20:27" x14ac:dyDescent="0.35">
      <c r="T2683" s="97"/>
      <c r="U2683" s="97"/>
      <c r="V2683" s="25"/>
      <c r="W2683" s="25"/>
      <c r="X2683" s="25"/>
      <c r="Y2683" s="25"/>
      <c r="Z2683" s="25"/>
      <c r="AA2683" s="25"/>
    </row>
    <row r="2684" spans="20:27" x14ac:dyDescent="0.35">
      <c r="T2684" s="97"/>
      <c r="U2684" s="97"/>
      <c r="V2684" s="25"/>
      <c r="W2684" s="25"/>
      <c r="X2684" s="25"/>
      <c r="Y2684" s="25"/>
      <c r="Z2684" s="25"/>
      <c r="AA2684" s="25"/>
    </row>
    <row r="2685" spans="20:27" x14ac:dyDescent="0.35">
      <c r="T2685" s="97"/>
      <c r="U2685" s="97"/>
      <c r="V2685" s="25"/>
      <c r="W2685" s="25"/>
      <c r="X2685" s="25"/>
      <c r="Y2685" s="25"/>
      <c r="Z2685" s="25"/>
      <c r="AA2685" s="25"/>
    </row>
    <row r="2686" spans="20:27" x14ac:dyDescent="0.35">
      <c r="T2686" s="97"/>
      <c r="U2686" s="97"/>
      <c r="V2686" s="25"/>
      <c r="W2686" s="25"/>
      <c r="X2686" s="25"/>
      <c r="Y2686" s="25"/>
      <c r="Z2686" s="25"/>
      <c r="AA2686" s="25"/>
    </row>
    <row r="2687" spans="20:27" x14ac:dyDescent="0.35">
      <c r="T2687" s="97"/>
      <c r="U2687" s="97"/>
      <c r="V2687" s="25"/>
      <c r="W2687" s="25"/>
      <c r="X2687" s="25"/>
      <c r="Y2687" s="25"/>
      <c r="Z2687" s="25"/>
      <c r="AA2687" s="25"/>
    </row>
    <row r="2688" spans="20:27" x14ac:dyDescent="0.35">
      <c r="T2688" s="97"/>
      <c r="U2688" s="97"/>
      <c r="V2688" s="25"/>
      <c r="W2688" s="25"/>
      <c r="X2688" s="25"/>
      <c r="Y2688" s="25"/>
      <c r="Z2688" s="25"/>
      <c r="AA2688" s="25"/>
    </row>
    <row r="2689" spans="20:27" x14ac:dyDescent="0.35">
      <c r="T2689" s="97"/>
      <c r="U2689" s="97"/>
      <c r="V2689" s="25"/>
      <c r="W2689" s="25"/>
      <c r="X2689" s="25"/>
      <c r="Y2689" s="25"/>
      <c r="Z2689" s="25"/>
      <c r="AA2689" s="25"/>
    </row>
    <row r="2690" spans="20:27" x14ac:dyDescent="0.35">
      <c r="T2690" s="97"/>
      <c r="U2690" s="97"/>
      <c r="V2690" s="25"/>
      <c r="W2690" s="25"/>
      <c r="X2690" s="25"/>
      <c r="Y2690" s="25"/>
      <c r="Z2690" s="25"/>
      <c r="AA2690" s="25"/>
    </row>
    <row r="2691" spans="20:27" x14ac:dyDescent="0.35">
      <c r="T2691" s="97"/>
      <c r="U2691" s="97"/>
      <c r="V2691" s="25"/>
      <c r="W2691" s="25"/>
      <c r="X2691" s="25"/>
      <c r="Y2691" s="25"/>
      <c r="Z2691" s="25"/>
      <c r="AA2691" s="25"/>
    </row>
    <row r="2692" spans="20:27" x14ac:dyDescent="0.35">
      <c r="T2692" s="97"/>
      <c r="U2692" s="97"/>
      <c r="V2692" s="25"/>
      <c r="W2692" s="25"/>
      <c r="X2692" s="25"/>
      <c r="Y2692" s="25"/>
      <c r="Z2692" s="25"/>
      <c r="AA2692" s="25"/>
    </row>
    <row r="2693" spans="20:27" x14ac:dyDescent="0.35">
      <c r="T2693" s="97"/>
      <c r="U2693" s="97"/>
      <c r="V2693" s="25"/>
      <c r="W2693" s="25"/>
      <c r="X2693" s="25"/>
      <c r="Y2693" s="25"/>
      <c r="Z2693" s="25"/>
      <c r="AA2693" s="25"/>
    </row>
    <row r="2694" spans="20:27" x14ac:dyDescent="0.35">
      <c r="T2694" s="97"/>
      <c r="U2694" s="97"/>
      <c r="V2694" s="25"/>
      <c r="W2694" s="25"/>
      <c r="X2694" s="25"/>
      <c r="Y2694" s="25"/>
      <c r="Z2694" s="25"/>
      <c r="AA2694" s="25"/>
    </row>
    <row r="2695" spans="20:27" x14ac:dyDescent="0.35">
      <c r="T2695" s="97"/>
      <c r="U2695" s="97"/>
      <c r="V2695" s="25"/>
      <c r="W2695" s="25"/>
      <c r="X2695" s="25"/>
      <c r="Y2695" s="25"/>
      <c r="Z2695" s="25"/>
      <c r="AA2695" s="25"/>
    </row>
    <row r="2696" spans="20:27" x14ac:dyDescent="0.35">
      <c r="T2696" s="97"/>
      <c r="U2696" s="97"/>
      <c r="V2696" s="25"/>
      <c r="W2696" s="25"/>
      <c r="X2696" s="25"/>
      <c r="Y2696" s="25"/>
      <c r="Z2696" s="25"/>
      <c r="AA2696" s="25"/>
    </row>
    <row r="2697" spans="20:27" x14ac:dyDescent="0.35">
      <c r="T2697" s="97"/>
      <c r="U2697" s="97"/>
      <c r="V2697" s="25"/>
      <c r="W2697" s="25"/>
      <c r="X2697" s="25"/>
      <c r="Y2697" s="25"/>
      <c r="Z2697" s="25"/>
      <c r="AA2697" s="25"/>
    </row>
    <row r="2698" spans="20:27" x14ac:dyDescent="0.35">
      <c r="T2698" s="97"/>
      <c r="U2698" s="97"/>
      <c r="V2698" s="25"/>
      <c r="W2698" s="25"/>
      <c r="X2698" s="25"/>
      <c r="Y2698" s="25"/>
      <c r="Z2698" s="25"/>
      <c r="AA2698" s="25"/>
    </row>
    <row r="2699" spans="20:27" x14ac:dyDescent="0.35">
      <c r="T2699" s="97"/>
      <c r="U2699" s="97"/>
      <c r="V2699" s="25"/>
      <c r="W2699" s="25"/>
      <c r="X2699" s="25"/>
      <c r="Y2699" s="25"/>
      <c r="Z2699" s="25"/>
      <c r="AA2699" s="25"/>
    </row>
    <row r="2700" spans="20:27" x14ac:dyDescent="0.35">
      <c r="T2700" s="97"/>
      <c r="U2700" s="97"/>
      <c r="V2700" s="25"/>
      <c r="W2700" s="25"/>
      <c r="X2700" s="25"/>
      <c r="Y2700" s="25"/>
      <c r="Z2700" s="25"/>
      <c r="AA2700" s="25"/>
    </row>
    <row r="2701" spans="20:27" x14ac:dyDescent="0.35">
      <c r="T2701" s="97"/>
      <c r="U2701" s="97"/>
      <c r="V2701" s="25"/>
      <c r="W2701" s="25"/>
      <c r="X2701" s="25"/>
      <c r="Y2701" s="25"/>
      <c r="Z2701" s="25"/>
      <c r="AA2701" s="25"/>
    </row>
    <row r="2702" spans="20:27" x14ac:dyDescent="0.35">
      <c r="T2702" s="97"/>
      <c r="U2702" s="97"/>
      <c r="V2702" s="25"/>
      <c r="W2702" s="25"/>
      <c r="X2702" s="25"/>
      <c r="Y2702" s="25"/>
      <c r="Z2702" s="25"/>
      <c r="AA2702" s="25"/>
    </row>
    <row r="2703" spans="20:27" x14ac:dyDescent="0.35">
      <c r="T2703" s="97"/>
      <c r="U2703" s="97"/>
      <c r="V2703" s="25"/>
      <c r="W2703" s="25"/>
      <c r="X2703" s="25"/>
      <c r="Y2703" s="25"/>
      <c r="Z2703" s="25"/>
      <c r="AA2703" s="25"/>
    </row>
    <row r="2704" spans="20:27" x14ac:dyDescent="0.35">
      <c r="T2704" s="97"/>
      <c r="U2704" s="97"/>
      <c r="V2704" s="25"/>
      <c r="W2704" s="25"/>
      <c r="X2704" s="25"/>
      <c r="Y2704" s="25"/>
      <c r="Z2704" s="25"/>
      <c r="AA2704" s="25"/>
    </row>
    <row r="2705" spans="20:27" x14ac:dyDescent="0.35">
      <c r="T2705" s="97"/>
      <c r="U2705" s="97"/>
      <c r="V2705" s="25"/>
      <c r="W2705" s="25"/>
      <c r="X2705" s="25"/>
      <c r="Y2705" s="25"/>
      <c r="Z2705" s="25"/>
      <c r="AA2705" s="25"/>
    </row>
    <row r="2706" spans="20:27" x14ac:dyDescent="0.35">
      <c r="T2706" s="97"/>
      <c r="U2706" s="97"/>
      <c r="V2706" s="25"/>
      <c r="W2706" s="25"/>
      <c r="X2706" s="25"/>
      <c r="Y2706" s="25"/>
      <c r="Z2706" s="25"/>
      <c r="AA2706" s="25"/>
    </row>
    <row r="2707" spans="20:27" x14ac:dyDescent="0.35">
      <c r="T2707" s="97"/>
      <c r="U2707" s="97"/>
      <c r="V2707" s="25"/>
      <c r="W2707" s="25"/>
      <c r="X2707" s="25"/>
      <c r="Y2707" s="25"/>
      <c r="Z2707" s="25"/>
      <c r="AA2707" s="25"/>
    </row>
    <row r="2708" spans="20:27" x14ac:dyDescent="0.35">
      <c r="T2708" s="97"/>
      <c r="U2708" s="97"/>
      <c r="V2708" s="25"/>
      <c r="W2708" s="25"/>
      <c r="X2708" s="25"/>
      <c r="Y2708" s="25"/>
      <c r="Z2708" s="25"/>
      <c r="AA2708" s="25"/>
    </row>
    <row r="2709" spans="20:27" x14ac:dyDescent="0.35">
      <c r="T2709" s="97"/>
      <c r="U2709" s="97"/>
      <c r="V2709" s="25"/>
      <c r="W2709" s="25"/>
      <c r="X2709" s="25"/>
      <c r="Y2709" s="25"/>
      <c r="Z2709" s="25"/>
      <c r="AA2709" s="25"/>
    </row>
    <row r="2710" spans="20:27" x14ac:dyDescent="0.35">
      <c r="T2710" s="97"/>
      <c r="U2710" s="97"/>
      <c r="V2710" s="25"/>
      <c r="W2710" s="25"/>
      <c r="X2710" s="25"/>
      <c r="Y2710" s="25"/>
      <c r="Z2710" s="25"/>
      <c r="AA2710" s="25"/>
    </row>
    <row r="2711" spans="20:27" x14ac:dyDescent="0.35">
      <c r="T2711" s="97"/>
      <c r="U2711" s="97"/>
      <c r="V2711" s="25"/>
      <c r="W2711" s="25"/>
      <c r="X2711" s="25"/>
      <c r="Y2711" s="25"/>
      <c r="Z2711" s="25"/>
      <c r="AA2711" s="25"/>
    </row>
    <row r="2712" spans="20:27" x14ac:dyDescent="0.35">
      <c r="T2712" s="97"/>
      <c r="U2712" s="97"/>
      <c r="V2712" s="25"/>
      <c r="W2712" s="25"/>
      <c r="X2712" s="25"/>
      <c r="Y2712" s="25"/>
      <c r="Z2712" s="25"/>
      <c r="AA2712" s="25"/>
    </row>
    <row r="2713" spans="20:27" x14ac:dyDescent="0.35">
      <c r="T2713" s="97"/>
      <c r="U2713" s="97"/>
      <c r="V2713" s="25"/>
      <c r="W2713" s="25"/>
      <c r="X2713" s="25"/>
      <c r="Y2713" s="25"/>
      <c r="Z2713" s="25"/>
      <c r="AA2713" s="25"/>
    </row>
    <row r="2714" spans="20:27" x14ac:dyDescent="0.35">
      <c r="T2714" s="97"/>
      <c r="U2714" s="97"/>
      <c r="V2714" s="25"/>
      <c r="W2714" s="25"/>
      <c r="X2714" s="25"/>
      <c r="Y2714" s="25"/>
      <c r="Z2714" s="25"/>
      <c r="AA2714" s="25"/>
    </row>
    <row r="2715" spans="20:27" x14ac:dyDescent="0.35">
      <c r="T2715" s="97"/>
      <c r="U2715" s="97"/>
      <c r="V2715" s="25"/>
      <c r="W2715" s="25"/>
      <c r="X2715" s="25"/>
      <c r="Y2715" s="25"/>
      <c r="Z2715" s="25"/>
      <c r="AA2715" s="25"/>
    </row>
    <row r="2716" spans="20:27" x14ac:dyDescent="0.35">
      <c r="T2716" s="97"/>
      <c r="U2716" s="97"/>
      <c r="V2716" s="25"/>
      <c r="W2716" s="25"/>
      <c r="X2716" s="25"/>
      <c r="Y2716" s="25"/>
      <c r="Z2716" s="25"/>
      <c r="AA2716" s="25"/>
    </row>
    <row r="2717" spans="20:27" x14ac:dyDescent="0.35">
      <c r="T2717" s="97"/>
      <c r="U2717" s="97"/>
      <c r="V2717" s="25"/>
      <c r="W2717" s="25"/>
      <c r="X2717" s="25"/>
      <c r="Y2717" s="25"/>
      <c r="Z2717" s="25"/>
      <c r="AA2717" s="25"/>
    </row>
    <row r="2718" spans="20:27" x14ac:dyDescent="0.35">
      <c r="T2718" s="97"/>
      <c r="U2718" s="97"/>
      <c r="V2718" s="25"/>
      <c r="W2718" s="25"/>
      <c r="X2718" s="25"/>
      <c r="Y2718" s="25"/>
      <c r="Z2718" s="25"/>
      <c r="AA2718" s="25"/>
    </row>
    <row r="2719" spans="20:27" x14ac:dyDescent="0.35">
      <c r="T2719" s="97"/>
      <c r="U2719" s="97"/>
      <c r="V2719" s="25"/>
      <c r="W2719" s="25"/>
      <c r="X2719" s="25"/>
      <c r="Y2719" s="25"/>
      <c r="Z2719" s="25"/>
      <c r="AA2719" s="25"/>
    </row>
    <row r="2720" spans="20:27" x14ac:dyDescent="0.35">
      <c r="T2720" s="97"/>
      <c r="U2720" s="97"/>
      <c r="V2720" s="25"/>
      <c r="W2720" s="25"/>
      <c r="X2720" s="25"/>
      <c r="Y2720" s="25"/>
      <c r="Z2720" s="25"/>
      <c r="AA2720" s="25"/>
    </row>
    <row r="2721" spans="20:27" x14ac:dyDescent="0.35">
      <c r="T2721" s="97"/>
      <c r="U2721" s="97"/>
      <c r="V2721" s="25"/>
      <c r="W2721" s="25"/>
      <c r="X2721" s="25"/>
      <c r="Y2721" s="25"/>
      <c r="Z2721" s="25"/>
      <c r="AA2721" s="25"/>
    </row>
    <row r="2722" spans="20:27" x14ac:dyDescent="0.35">
      <c r="T2722" s="97"/>
      <c r="U2722" s="97"/>
      <c r="V2722" s="25"/>
      <c r="W2722" s="25"/>
      <c r="X2722" s="25"/>
      <c r="Y2722" s="25"/>
      <c r="Z2722" s="25"/>
      <c r="AA2722" s="25"/>
    </row>
    <row r="2723" spans="20:27" x14ac:dyDescent="0.35">
      <c r="T2723" s="97"/>
      <c r="U2723" s="97"/>
      <c r="V2723" s="25"/>
      <c r="W2723" s="25"/>
      <c r="X2723" s="25"/>
      <c r="Y2723" s="25"/>
      <c r="Z2723" s="25"/>
      <c r="AA2723" s="25"/>
    </row>
    <row r="2724" spans="20:27" x14ac:dyDescent="0.35">
      <c r="T2724" s="97"/>
      <c r="U2724" s="97"/>
      <c r="V2724" s="25"/>
      <c r="W2724" s="25"/>
      <c r="X2724" s="25"/>
      <c r="Y2724" s="25"/>
      <c r="Z2724" s="25"/>
      <c r="AA2724" s="25"/>
    </row>
    <row r="2725" spans="20:27" x14ac:dyDescent="0.35">
      <c r="T2725" s="97"/>
      <c r="U2725" s="97"/>
      <c r="V2725" s="25"/>
      <c r="W2725" s="25"/>
      <c r="X2725" s="25"/>
      <c r="Y2725" s="25"/>
      <c r="Z2725" s="25"/>
      <c r="AA2725" s="25"/>
    </row>
    <row r="2726" spans="20:27" x14ac:dyDescent="0.35">
      <c r="T2726" s="97"/>
      <c r="U2726" s="97"/>
      <c r="V2726" s="25"/>
      <c r="W2726" s="25"/>
      <c r="X2726" s="25"/>
      <c r="Y2726" s="25"/>
      <c r="Z2726" s="25"/>
      <c r="AA2726" s="25"/>
    </row>
    <row r="2727" spans="20:27" x14ac:dyDescent="0.35">
      <c r="T2727" s="97"/>
      <c r="U2727" s="97"/>
      <c r="V2727" s="25"/>
      <c r="W2727" s="25"/>
      <c r="X2727" s="25"/>
      <c r="Y2727" s="25"/>
      <c r="Z2727" s="25"/>
      <c r="AA2727" s="25"/>
    </row>
    <row r="2728" spans="20:27" x14ac:dyDescent="0.35">
      <c r="T2728" s="97"/>
      <c r="U2728" s="97"/>
      <c r="V2728" s="25"/>
      <c r="W2728" s="25"/>
      <c r="X2728" s="25"/>
      <c r="Y2728" s="25"/>
      <c r="Z2728" s="25"/>
      <c r="AA2728" s="25"/>
    </row>
    <row r="2729" spans="20:27" x14ac:dyDescent="0.35">
      <c r="T2729" s="97"/>
      <c r="U2729" s="97"/>
      <c r="V2729" s="25"/>
      <c r="W2729" s="25"/>
      <c r="X2729" s="25"/>
      <c r="Y2729" s="25"/>
      <c r="Z2729" s="25"/>
      <c r="AA2729" s="25"/>
    </row>
    <row r="2730" spans="20:27" x14ac:dyDescent="0.35">
      <c r="T2730" s="97"/>
      <c r="U2730" s="97"/>
      <c r="V2730" s="25"/>
      <c r="W2730" s="25"/>
      <c r="X2730" s="25"/>
      <c r="Y2730" s="25"/>
      <c r="Z2730" s="25"/>
      <c r="AA2730" s="25"/>
    </row>
    <row r="2731" spans="20:27" x14ac:dyDescent="0.35">
      <c r="T2731" s="97"/>
      <c r="U2731" s="97"/>
      <c r="V2731" s="25"/>
      <c r="W2731" s="25"/>
      <c r="X2731" s="25"/>
      <c r="Y2731" s="25"/>
      <c r="Z2731" s="25"/>
      <c r="AA2731" s="25"/>
    </row>
    <row r="2732" spans="20:27" x14ac:dyDescent="0.35">
      <c r="T2732" s="97"/>
      <c r="U2732" s="97"/>
      <c r="V2732" s="25"/>
      <c r="W2732" s="25"/>
      <c r="X2732" s="25"/>
      <c r="Y2732" s="25"/>
      <c r="Z2732" s="25"/>
      <c r="AA2732" s="25"/>
    </row>
    <row r="2733" spans="20:27" x14ac:dyDescent="0.35">
      <c r="T2733" s="97"/>
      <c r="U2733" s="97"/>
      <c r="V2733" s="25"/>
      <c r="W2733" s="25"/>
      <c r="X2733" s="25"/>
      <c r="Y2733" s="25"/>
      <c r="Z2733" s="25"/>
      <c r="AA2733" s="25"/>
    </row>
    <row r="2734" spans="20:27" x14ac:dyDescent="0.35">
      <c r="T2734" s="97"/>
      <c r="U2734" s="97"/>
      <c r="V2734" s="25"/>
      <c r="W2734" s="25"/>
      <c r="X2734" s="25"/>
      <c r="Y2734" s="25"/>
      <c r="Z2734" s="25"/>
      <c r="AA2734" s="25"/>
    </row>
    <row r="2735" spans="20:27" x14ac:dyDescent="0.35">
      <c r="T2735" s="97"/>
      <c r="U2735" s="97"/>
      <c r="V2735" s="25"/>
      <c r="W2735" s="25"/>
      <c r="X2735" s="25"/>
      <c r="Y2735" s="25"/>
      <c r="Z2735" s="25"/>
      <c r="AA2735" s="25"/>
    </row>
    <row r="2736" spans="20:27" x14ac:dyDescent="0.35">
      <c r="T2736" s="97"/>
      <c r="U2736" s="97"/>
      <c r="V2736" s="25"/>
      <c r="W2736" s="25"/>
      <c r="X2736" s="25"/>
      <c r="Y2736" s="25"/>
      <c r="Z2736" s="25"/>
      <c r="AA2736" s="25"/>
    </row>
    <row r="2737" spans="20:27" x14ac:dyDescent="0.35">
      <c r="T2737" s="97"/>
      <c r="U2737" s="97"/>
      <c r="V2737" s="25"/>
      <c r="W2737" s="25"/>
      <c r="X2737" s="25"/>
      <c r="Y2737" s="25"/>
      <c r="Z2737" s="25"/>
      <c r="AA2737" s="25"/>
    </row>
    <row r="2738" spans="20:27" x14ac:dyDescent="0.35">
      <c r="T2738" s="97"/>
      <c r="U2738" s="97"/>
      <c r="V2738" s="25"/>
      <c r="W2738" s="25"/>
      <c r="X2738" s="25"/>
      <c r="Y2738" s="25"/>
      <c r="Z2738" s="25"/>
      <c r="AA2738" s="25"/>
    </row>
    <row r="2739" spans="20:27" x14ac:dyDescent="0.35">
      <c r="T2739" s="97"/>
      <c r="U2739" s="97"/>
      <c r="V2739" s="25"/>
      <c r="W2739" s="25"/>
      <c r="X2739" s="25"/>
      <c r="Y2739" s="25"/>
      <c r="Z2739" s="25"/>
      <c r="AA2739" s="25"/>
    </row>
    <row r="2740" spans="20:27" x14ac:dyDescent="0.35">
      <c r="T2740" s="97"/>
      <c r="U2740" s="97"/>
      <c r="V2740" s="25"/>
      <c r="W2740" s="25"/>
      <c r="X2740" s="25"/>
      <c r="Y2740" s="25"/>
      <c r="Z2740" s="25"/>
      <c r="AA2740" s="25"/>
    </row>
    <row r="2741" spans="20:27" x14ac:dyDescent="0.35">
      <c r="T2741" s="97"/>
      <c r="U2741" s="97"/>
      <c r="V2741" s="25"/>
      <c r="W2741" s="25"/>
      <c r="X2741" s="25"/>
      <c r="Y2741" s="25"/>
      <c r="Z2741" s="25"/>
      <c r="AA2741" s="25"/>
    </row>
    <row r="2742" spans="20:27" x14ac:dyDescent="0.35">
      <c r="T2742" s="97"/>
      <c r="U2742" s="97"/>
      <c r="V2742" s="25"/>
      <c r="W2742" s="25"/>
      <c r="X2742" s="25"/>
      <c r="Y2742" s="25"/>
      <c r="Z2742" s="25"/>
      <c r="AA2742" s="25"/>
    </row>
    <row r="2743" spans="20:27" x14ac:dyDescent="0.35">
      <c r="T2743" s="97"/>
      <c r="U2743" s="97"/>
      <c r="V2743" s="25"/>
      <c r="W2743" s="25"/>
      <c r="X2743" s="25"/>
      <c r="Y2743" s="25"/>
      <c r="Z2743" s="25"/>
      <c r="AA2743" s="25"/>
    </row>
    <row r="2744" spans="20:27" x14ac:dyDescent="0.35">
      <c r="T2744" s="97"/>
      <c r="U2744" s="97"/>
      <c r="V2744" s="25"/>
      <c r="W2744" s="25"/>
      <c r="X2744" s="25"/>
      <c r="Y2744" s="25"/>
      <c r="Z2744" s="25"/>
      <c r="AA2744" s="25"/>
    </row>
    <row r="2745" spans="20:27" x14ac:dyDescent="0.35">
      <c r="T2745" s="97"/>
      <c r="U2745" s="97"/>
      <c r="V2745" s="25"/>
      <c r="W2745" s="25"/>
      <c r="X2745" s="25"/>
      <c r="Y2745" s="25"/>
      <c r="Z2745" s="25"/>
      <c r="AA2745" s="25"/>
    </row>
    <row r="2746" spans="20:27" x14ac:dyDescent="0.35">
      <c r="T2746" s="97"/>
      <c r="U2746" s="97"/>
      <c r="V2746" s="25"/>
      <c r="W2746" s="25"/>
      <c r="X2746" s="25"/>
      <c r="Y2746" s="25"/>
      <c r="Z2746" s="25"/>
      <c r="AA2746" s="25"/>
    </row>
    <row r="2747" spans="20:27" x14ac:dyDescent="0.35">
      <c r="T2747" s="97"/>
      <c r="U2747" s="97"/>
      <c r="V2747" s="25"/>
      <c r="W2747" s="25"/>
      <c r="X2747" s="25"/>
      <c r="Y2747" s="25"/>
      <c r="Z2747" s="25"/>
      <c r="AA2747" s="25"/>
    </row>
    <row r="2748" spans="20:27" x14ac:dyDescent="0.35">
      <c r="T2748" s="97"/>
      <c r="U2748" s="97"/>
      <c r="V2748" s="25"/>
      <c r="W2748" s="25"/>
      <c r="X2748" s="25"/>
      <c r="Y2748" s="25"/>
      <c r="Z2748" s="25"/>
      <c r="AA2748" s="25"/>
    </row>
    <row r="2749" spans="20:27" x14ac:dyDescent="0.35">
      <c r="T2749" s="97"/>
      <c r="U2749" s="97"/>
      <c r="V2749" s="25"/>
      <c r="W2749" s="25"/>
      <c r="X2749" s="25"/>
      <c r="Y2749" s="25"/>
      <c r="Z2749" s="25"/>
      <c r="AA2749" s="25"/>
    </row>
    <row r="2750" spans="20:27" x14ac:dyDescent="0.35">
      <c r="T2750" s="97"/>
      <c r="U2750" s="97"/>
      <c r="V2750" s="25"/>
      <c r="W2750" s="25"/>
      <c r="X2750" s="25"/>
      <c r="Y2750" s="25"/>
      <c r="Z2750" s="25"/>
      <c r="AA2750" s="25"/>
    </row>
    <row r="2751" spans="20:27" x14ac:dyDescent="0.35">
      <c r="T2751" s="97"/>
      <c r="U2751" s="97"/>
      <c r="V2751" s="25"/>
      <c r="W2751" s="25"/>
      <c r="X2751" s="25"/>
      <c r="Y2751" s="25"/>
      <c r="Z2751" s="25"/>
      <c r="AA2751" s="25"/>
    </row>
    <row r="2752" spans="20:27" x14ac:dyDescent="0.35">
      <c r="T2752" s="97"/>
      <c r="U2752" s="97"/>
      <c r="V2752" s="25"/>
      <c r="W2752" s="25"/>
      <c r="X2752" s="25"/>
      <c r="Y2752" s="25"/>
      <c r="Z2752" s="25"/>
      <c r="AA2752" s="25"/>
    </row>
    <row r="2753" spans="20:27" x14ac:dyDescent="0.35">
      <c r="T2753" s="97"/>
      <c r="U2753" s="97"/>
      <c r="V2753" s="25"/>
      <c r="W2753" s="25"/>
      <c r="X2753" s="25"/>
      <c r="Y2753" s="25"/>
      <c r="Z2753" s="25"/>
      <c r="AA2753" s="25"/>
    </row>
    <row r="2754" spans="20:27" x14ac:dyDescent="0.35">
      <c r="T2754" s="97"/>
      <c r="U2754" s="97"/>
      <c r="V2754" s="25"/>
      <c r="W2754" s="25"/>
      <c r="X2754" s="25"/>
      <c r="Y2754" s="25"/>
      <c r="Z2754" s="25"/>
      <c r="AA2754" s="25"/>
    </row>
    <row r="2755" spans="20:27" x14ac:dyDescent="0.35">
      <c r="T2755" s="97"/>
      <c r="U2755" s="97"/>
      <c r="V2755" s="25"/>
      <c r="W2755" s="25"/>
      <c r="X2755" s="25"/>
      <c r="Y2755" s="25"/>
      <c r="Z2755" s="25"/>
      <c r="AA2755" s="25"/>
    </row>
    <row r="2756" spans="20:27" x14ac:dyDescent="0.35">
      <c r="T2756" s="97"/>
      <c r="U2756" s="97"/>
      <c r="V2756" s="25"/>
      <c r="W2756" s="25"/>
      <c r="X2756" s="25"/>
      <c r="Y2756" s="25"/>
      <c r="Z2756" s="25"/>
      <c r="AA2756" s="25"/>
    </row>
    <row r="2757" spans="20:27" x14ac:dyDescent="0.35">
      <c r="T2757" s="97"/>
      <c r="U2757" s="97"/>
      <c r="V2757" s="25"/>
      <c r="W2757" s="25"/>
      <c r="X2757" s="25"/>
      <c r="Y2757" s="25"/>
      <c r="Z2757" s="25"/>
      <c r="AA2757" s="25"/>
    </row>
    <row r="2758" spans="20:27" x14ac:dyDescent="0.35">
      <c r="T2758" s="97"/>
      <c r="U2758" s="97"/>
      <c r="V2758" s="25"/>
      <c r="W2758" s="25"/>
      <c r="X2758" s="25"/>
      <c r="Y2758" s="25"/>
      <c r="Z2758" s="25"/>
      <c r="AA2758" s="25"/>
    </row>
    <row r="2759" spans="20:27" x14ac:dyDescent="0.35">
      <c r="T2759" s="97"/>
      <c r="U2759" s="97"/>
      <c r="V2759" s="25"/>
      <c r="W2759" s="25"/>
      <c r="X2759" s="25"/>
      <c r="Y2759" s="25"/>
      <c r="Z2759" s="25"/>
      <c r="AA2759" s="25"/>
    </row>
    <row r="2760" spans="20:27" x14ac:dyDescent="0.35">
      <c r="T2760" s="97"/>
      <c r="U2760" s="97"/>
      <c r="V2760" s="25"/>
      <c r="W2760" s="25"/>
      <c r="X2760" s="25"/>
      <c r="Y2760" s="25"/>
      <c r="Z2760" s="25"/>
      <c r="AA2760" s="25"/>
    </row>
    <row r="2761" spans="20:27" x14ac:dyDescent="0.35">
      <c r="T2761" s="97"/>
      <c r="U2761" s="97"/>
      <c r="V2761" s="25"/>
      <c r="W2761" s="25"/>
      <c r="X2761" s="25"/>
      <c r="Y2761" s="25"/>
      <c r="Z2761" s="25"/>
      <c r="AA2761" s="25"/>
    </row>
    <row r="2762" spans="20:27" x14ac:dyDescent="0.35">
      <c r="T2762" s="97"/>
      <c r="U2762" s="97"/>
      <c r="V2762" s="25"/>
      <c r="W2762" s="25"/>
      <c r="X2762" s="25"/>
      <c r="Y2762" s="25"/>
      <c r="Z2762" s="25"/>
      <c r="AA2762" s="25"/>
    </row>
    <row r="2763" spans="20:27" x14ac:dyDescent="0.35">
      <c r="T2763" s="97"/>
      <c r="U2763" s="97"/>
      <c r="V2763" s="25"/>
      <c r="W2763" s="25"/>
      <c r="X2763" s="25"/>
      <c r="Y2763" s="25"/>
      <c r="Z2763" s="25"/>
      <c r="AA2763" s="25"/>
    </row>
    <row r="2764" spans="20:27" x14ac:dyDescent="0.35">
      <c r="T2764" s="97"/>
      <c r="U2764" s="97"/>
      <c r="V2764" s="25"/>
      <c r="W2764" s="25"/>
      <c r="X2764" s="25"/>
      <c r="Y2764" s="25"/>
      <c r="Z2764" s="25"/>
      <c r="AA2764" s="25"/>
    </row>
    <row r="2765" spans="20:27" x14ac:dyDescent="0.35">
      <c r="T2765" s="97"/>
      <c r="U2765" s="97"/>
      <c r="V2765" s="25"/>
      <c r="W2765" s="25"/>
      <c r="X2765" s="25"/>
      <c r="Y2765" s="25"/>
      <c r="Z2765" s="25"/>
      <c r="AA2765" s="25"/>
    </row>
    <row r="2766" spans="20:27" x14ac:dyDescent="0.35">
      <c r="T2766" s="97"/>
      <c r="U2766" s="97"/>
      <c r="V2766" s="25"/>
      <c r="W2766" s="25"/>
      <c r="X2766" s="25"/>
      <c r="Y2766" s="25"/>
      <c r="Z2766" s="25"/>
      <c r="AA2766" s="25"/>
    </row>
    <row r="2767" spans="20:27" x14ac:dyDescent="0.35">
      <c r="T2767" s="97"/>
      <c r="U2767" s="97"/>
      <c r="V2767" s="25"/>
      <c r="W2767" s="25"/>
      <c r="X2767" s="25"/>
      <c r="Y2767" s="25"/>
      <c r="Z2767" s="25"/>
      <c r="AA2767" s="25"/>
    </row>
    <row r="2768" spans="20:27" x14ac:dyDescent="0.35">
      <c r="T2768" s="97"/>
      <c r="U2768" s="97"/>
      <c r="V2768" s="25"/>
      <c r="W2768" s="25"/>
      <c r="X2768" s="25"/>
      <c r="Y2768" s="25"/>
      <c r="Z2768" s="25"/>
      <c r="AA2768" s="25"/>
    </row>
    <row r="2769" spans="20:27" x14ac:dyDescent="0.35">
      <c r="T2769" s="97"/>
      <c r="U2769" s="97"/>
      <c r="V2769" s="25"/>
      <c r="W2769" s="25"/>
      <c r="X2769" s="25"/>
      <c r="Y2769" s="25"/>
      <c r="Z2769" s="25"/>
      <c r="AA2769" s="25"/>
    </row>
  </sheetData>
  <mergeCells count="15">
    <mergeCell ref="F1:H1"/>
    <mergeCell ref="F2:H2"/>
    <mergeCell ref="F11:H11"/>
    <mergeCell ref="B1:D1"/>
    <mergeCell ref="B2:D2"/>
    <mergeCell ref="B11:D11"/>
    <mergeCell ref="J1:L1"/>
    <mergeCell ref="J2:L2"/>
    <mergeCell ref="J11:L11"/>
    <mergeCell ref="N1:P1"/>
    <mergeCell ref="R1:T1"/>
    <mergeCell ref="N2:P2"/>
    <mergeCell ref="R2:T2"/>
    <mergeCell ref="N11:P11"/>
    <mergeCell ref="R11:T11"/>
  </mergeCells>
  <phoneticPr fontId="6" type="noConversion"/>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298"/>
  <sheetViews>
    <sheetView workbookViewId="0">
      <selection activeCell="B1" sqref="B1:C1"/>
    </sheetView>
  </sheetViews>
  <sheetFormatPr defaultColWidth="0" defaultRowHeight="14" x14ac:dyDescent="0.3"/>
  <cols>
    <col min="1" max="1" width="2.81640625" style="61" customWidth="1"/>
    <col min="2" max="2" width="20" style="71" customWidth="1"/>
    <col min="3" max="3" width="21.453125" style="72" customWidth="1"/>
    <col min="4" max="4" width="2.81640625" style="61" customWidth="1"/>
    <col min="5" max="5" width="20" style="71" customWidth="1"/>
    <col min="6" max="6" width="21.453125" style="72" customWidth="1"/>
    <col min="7" max="7" width="2.81640625" style="61" customWidth="1"/>
    <col min="8" max="8" width="20" style="71" customWidth="1"/>
    <col min="9" max="9" width="21.453125" style="72" customWidth="1"/>
    <col min="10" max="10" width="2.81640625" style="61" customWidth="1"/>
    <col min="11" max="11" width="20" style="71" customWidth="1"/>
    <col min="12" max="12" width="21.453125" style="72" customWidth="1"/>
    <col min="13" max="13" width="2.81640625" style="61" customWidth="1"/>
    <col min="14" max="14" width="20" style="71" customWidth="1"/>
    <col min="15" max="15" width="21.453125" style="72" customWidth="1"/>
    <col min="16" max="16" width="2.81640625" style="61" customWidth="1"/>
    <col min="17" max="17" width="0" style="71" hidden="1" customWidth="1"/>
    <col min="18" max="16384" width="0" style="71" hidden="1"/>
  </cols>
  <sheetData>
    <row r="1" spans="2:15" ht="30.75" customHeight="1" x14ac:dyDescent="0.3">
      <c r="B1" s="128">
        <v>1</v>
      </c>
      <c r="C1" s="128"/>
      <c r="E1" s="128">
        <v>2</v>
      </c>
      <c r="F1" s="128"/>
      <c r="H1" s="128">
        <v>3</v>
      </c>
      <c r="I1" s="128"/>
      <c r="K1" s="128">
        <v>4</v>
      </c>
      <c r="L1" s="128"/>
      <c r="N1" s="128">
        <v>5</v>
      </c>
      <c r="O1" s="128"/>
    </row>
    <row r="2" spans="2:15" x14ac:dyDescent="0.3">
      <c r="B2" s="107" t="s">
        <v>2</v>
      </c>
      <c r="C2" s="109"/>
      <c r="E2" s="107" t="s">
        <v>2</v>
      </c>
      <c r="F2" s="109"/>
      <c r="H2" s="107" t="s">
        <v>2</v>
      </c>
      <c r="I2" s="109"/>
      <c r="K2" s="107" t="s">
        <v>2</v>
      </c>
      <c r="L2" s="109"/>
      <c r="N2" s="107" t="s">
        <v>2</v>
      </c>
      <c r="O2" s="109"/>
    </row>
    <row r="3" spans="2:15" x14ac:dyDescent="0.3">
      <c r="B3" s="62" t="s">
        <v>3</v>
      </c>
      <c r="C3" s="38"/>
      <c r="E3" s="62" t="s">
        <v>3</v>
      </c>
      <c r="F3" s="38"/>
      <c r="H3" s="62" t="s">
        <v>3</v>
      </c>
      <c r="I3" s="38"/>
      <c r="K3" s="62" t="s">
        <v>3</v>
      </c>
      <c r="L3" s="38"/>
      <c r="N3" s="62" t="s">
        <v>3</v>
      </c>
      <c r="O3" s="38"/>
    </row>
    <row r="4" spans="2:15" x14ac:dyDescent="0.3">
      <c r="B4" s="43" t="s">
        <v>4</v>
      </c>
      <c r="C4" s="42"/>
      <c r="E4" s="43" t="s">
        <v>4</v>
      </c>
      <c r="F4" s="42"/>
      <c r="H4" s="43" t="s">
        <v>4</v>
      </c>
      <c r="I4" s="42"/>
      <c r="K4" s="43" t="s">
        <v>4</v>
      </c>
      <c r="L4" s="42"/>
      <c r="N4" s="43" t="s">
        <v>4</v>
      </c>
      <c r="O4" s="42"/>
    </row>
    <row r="5" spans="2:15" x14ac:dyDescent="0.3">
      <c r="B5" s="39" t="s">
        <v>5</v>
      </c>
      <c r="C5" s="46"/>
      <c r="E5" s="39" t="s">
        <v>5</v>
      </c>
      <c r="F5" s="46"/>
      <c r="H5" s="39" t="s">
        <v>5</v>
      </c>
      <c r="I5" s="46"/>
      <c r="K5" s="39" t="s">
        <v>5</v>
      </c>
      <c r="L5" s="46"/>
      <c r="N5" s="39" t="s">
        <v>5</v>
      </c>
      <c r="O5" s="46"/>
    </row>
    <row r="6" spans="2:15" x14ac:dyDescent="0.3">
      <c r="B6" s="43" t="s">
        <v>6</v>
      </c>
      <c r="C6" s="42"/>
      <c r="E6" s="43" t="s">
        <v>6</v>
      </c>
      <c r="F6" s="42"/>
      <c r="H6" s="43" t="s">
        <v>6</v>
      </c>
      <c r="I6" s="42"/>
      <c r="K6" s="43" t="s">
        <v>6</v>
      </c>
      <c r="L6" s="42"/>
      <c r="N6" s="43" t="s">
        <v>6</v>
      </c>
      <c r="O6" s="42"/>
    </row>
    <row r="7" spans="2:15" x14ac:dyDescent="0.3">
      <c r="B7" s="39" t="s">
        <v>7</v>
      </c>
      <c r="C7" s="46"/>
      <c r="E7" s="39" t="s">
        <v>7</v>
      </c>
      <c r="F7" s="46"/>
      <c r="H7" s="39" t="s">
        <v>7</v>
      </c>
      <c r="I7" s="46"/>
      <c r="K7" s="39" t="s">
        <v>7</v>
      </c>
      <c r="L7" s="46"/>
      <c r="N7" s="39" t="s">
        <v>7</v>
      </c>
      <c r="O7" s="46"/>
    </row>
    <row r="8" spans="2:15" x14ac:dyDescent="0.3">
      <c r="B8" s="43" t="s">
        <v>8</v>
      </c>
      <c r="C8" s="49"/>
      <c r="E8" s="43" t="s">
        <v>8</v>
      </c>
      <c r="F8" s="49"/>
      <c r="H8" s="43" t="s">
        <v>8</v>
      </c>
      <c r="I8" s="49"/>
      <c r="K8" s="43" t="s">
        <v>8</v>
      </c>
      <c r="L8" s="49"/>
      <c r="N8" s="43" t="s">
        <v>8</v>
      </c>
      <c r="O8" s="49"/>
    </row>
    <row r="9" spans="2:15" x14ac:dyDescent="0.3">
      <c r="B9" s="73" t="s">
        <v>9</v>
      </c>
      <c r="C9" s="74"/>
      <c r="E9" s="73" t="s">
        <v>9</v>
      </c>
      <c r="F9" s="74"/>
      <c r="H9" s="73" t="s">
        <v>9</v>
      </c>
      <c r="I9" s="74"/>
      <c r="K9" s="73" t="s">
        <v>9</v>
      </c>
      <c r="L9" s="74"/>
      <c r="N9" s="73" t="s">
        <v>9</v>
      </c>
      <c r="O9" s="74"/>
    </row>
    <row r="10" spans="2:15" x14ac:dyDescent="0.3">
      <c r="B10" s="63"/>
      <c r="C10" s="64"/>
      <c r="E10" s="63"/>
      <c r="F10" s="64"/>
      <c r="H10" s="63"/>
      <c r="I10" s="64"/>
      <c r="K10" s="63"/>
      <c r="L10" s="64"/>
      <c r="N10" s="63"/>
      <c r="O10" s="64"/>
    </row>
    <row r="11" spans="2:15" x14ac:dyDescent="0.3">
      <c r="B11" s="123" t="s">
        <v>4</v>
      </c>
      <c r="C11" s="116"/>
      <c r="E11" s="123" t="s">
        <v>4</v>
      </c>
      <c r="F11" s="116"/>
      <c r="H11" s="123" t="s">
        <v>4</v>
      </c>
      <c r="I11" s="116"/>
      <c r="K11" s="123" t="s">
        <v>4</v>
      </c>
      <c r="L11" s="116"/>
      <c r="N11" s="123" t="s">
        <v>4</v>
      </c>
      <c r="O11" s="116"/>
    </row>
    <row r="12" spans="2:15" x14ac:dyDescent="0.3">
      <c r="B12" s="62" t="s">
        <v>10</v>
      </c>
      <c r="C12" s="38"/>
      <c r="E12" s="62" t="s">
        <v>10</v>
      </c>
      <c r="F12" s="38"/>
      <c r="H12" s="62" t="s">
        <v>10</v>
      </c>
      <c r="I12" s="38"/>
      <c r="K12" s="62" t="s">
        <v>10</v>
      </c>
      <c r="L12" s="38"/>
      <c r="N12" s="62" t="s">
        <v>10</v>
      </c>
      <c r="O12" s="38"/>
    </row>
    <row r="13" spans="2:15" x14ac:dyDescent="0.3">
      <c r="B13" s="43" t="s">
        <v>11</v>
      </c>
      <c r="C13" s="42"/>
      <c r="E13" s="43" t="s">
        <v>11</v>
      </c>
      <c r="F13" s="42"/>
      <c r="H13" s="43" t="s">
        <v>11</v>
      </c>
      <c r="I13" s="42"/>
      <c r="K13" s="43" t="s">
        <v>11</v>
      </c>
      <c r="L13" s="42"/>
      <c r="N13" s="43" t="s">
        <v>11</v>
      </c>
      <c r="O13" s="42"/>
    </row>
    <row r="14" spans="2:15" x14ac:dyDescent="0.3">
      <c r="B14" s="39" t="s">
        <v>12</v>
      </c>
      <c r="C14" s="46"/>
      <c r="E14" s="39" t="s">
        <v>12</v>
      </c>
      <c r="F14" s="46"/>
      <c r="H14" s="39" t="s">
        <v>12</v>
      </c>
      <c r="I14" s="46"/>
      <c r="K14" s="39" t="s">
        <v>12</v>
      </c>
      <c r="L14" s="46"/>
      <c r="N14" s="39" t="s">
        <v>12</v>
      </c>
      <c r="O14" s="46"/>
    </row>
    <row r="15" spans="2:15" x14ac:dyDescent="0.3">
      <c r="B15" s="43" t="s">
        <v>13</v>
      </c>
      <c r="C15" s="42"/>
      <c r="E15" s="43" t="s">
        <v>13</v>
      </c>
      <c r="F15" s="42"/>
      <c r="H15" s="43" t="s">
        <v>13</v>
      </c>
      <c r="I15" s="42"/>
      <c r="K15" s="43" t="s">
        <v>13</v>
      </c>
      <c r="L15" s="42"/>
      <c r="N15" s="43" t="s">
        <v>13</v>
      </c>
      <c r="O15" s="42"/>
    </row>
    <row r="16" spans="2:15" x14ac:dyDescent="0.3">
      <c r="B16" s="39" t="s">
        <v>14</v>
      </c>
      <c r="C16" s="46"/>
      <c r="E16" s="39" t="s">
        <v>14</v>
      </c>
      <c r="F16" s="46"/>
      <c r="H16" s="39" t="s">
        <v>14</v>
      </c>
      <c r="I16" s="46"/>
      <c r="K16" s="39" t="s">
        <v>14</v>
      </c>
      <c r="L16" s="46"/>
      <c r="N16" s="39" t="s">
        <v>14</v>
      </c>
      <c r="O16" s="46"/>
    </row>
    <row r="17" spans="2:15" x14ac:dyDescent="0.3">
      <c r="B17" s="43" t="s">
        <v>16</v>
      </c>
      <c r="C17" s="49"/>
      <c r="E17" s="43" t="s">
        <v>16</v>
      </c>
      <c r="F17" s="49"/>
      <c r="H17" s="43" t="s">
        <v>16</v>
      </c>
      <c r="I17" s="49"/>
      <c r="K17" s="43" t="s">
        <v>16</v>
      </c>
      <c r="L17" s="49"/>
      <c r="N17" s="43" t="s">
        <v>16</v>
      </c>
      <c r="O17" s="49"/>
    </row>
    <row r="18" spans="2:15" x14ac:dyDescent="0.3">
      <c r="B18" s="39" t="s">
        <v>17</v>
      </c>
      <c r="C18" s="46"/>
      <c r="E18" s="39" t="s">
        <v>17</v>
      </c>
      <c r="F18" s="46"/>
      <c r="H18" s="39" t="s">
        <v>17</v>
      </c>
      <c r="I18" s="46"/>
      <c r="K18" s="39" t="s">
        <v>17</v>
      </c>
      <c r="L18" s="46"/>
      <c r="N18" s="39" t="s">
        <v>17</v>
      </c>
      <c r="O18" s="46"/>
    </row>
    <row r="19" spans="2:15" x14ac:dyDescent="0.3">
      <c r="B19" s="75" t="s">
        <v>18</v>
      </c>
      <c r="C19" s="76"/>
      <c r="E19" s="75" t="s">
        <v>18</v>
      </c>
      <c r="F19" s="76"/>
      <c r="H19" s="75" t="s">
        <v>18</v>
      </c>
      <c r="I19" s="76"/>
      <c r="K19" s="75" t="s">
        <v>18</v>
      </c>
      <c r="L19" s="76"/>
      <c r="N19" s="75" t="s">
        <v>18</v>
      </c>
      <c r="O19" s="76"/>
    </row>
    <row r="20" spans="2:15" x14ac:dyDescent="0.3">
      <c r="B20" s="63"/>
      <c r="C20" s="64"/>
      <c r="E20" s="63"/>
      <c r="F20" s="64"/>
      <c r="H20" s="63"/>
      <c r="I20" s="64"/>
      <c r="K20" s="63"/>
      <c r="L20" s="64"/>
      <c r="N20" s="63"/>
      <c r="O20" s="64"/>
    </row>
    <row r="21" spans="2:15" x14ac:dyDescent="0.3">
      <c r="B21" s="123" t="s">
        <v>19</v>
      </c>
      <c r="C21" s="116"/>
      <c r="E21" s="123" t="s">
        <v>19</v>
      </c>
      <c r="F21" s="116"/>
      <c r="H21" s="123" t="s">
        <v>19</v>
      </c>
      <c r="I21" s="116"/>
      <c r="K21" s="123" t="s">
        <v>19</v>
      </c>
      <c r="L21" s="116"/>
      <c r="N21" s="123" t="s">
        <v>19</v>
      </c>
      <c r="O21" s="116"/>
    </row>
    <row r="22" spans="2:15" x14ac:dyDescent="0.3">
      <c r="B22" s="193"/>
      <c r="C22" s="194"/>
      <c r="E22" s="193"/>
      <c r="F22" s="194"/>
      <c r="H22" s="193"/>
      <c r="I22" s="194"/>
      <c r="K22" s="193"/>
      <c r="L22" s="194"/>
      <c r="N22" s="193"/>
      <c r="O22" s="194"/>
    </row>
    <row r="23" spans="2:15" x14ac:dyDescent="0.3">
      <c r="B23" s="141"/>
      <c r="C23" s="143"/>
      <c r="E23" s="141"/>
      <c r="F23" s="143"/>
      <c r="H23" s="141"/>
      <c r="I23" s="143"/>
      <c r="K23" s="141"/>
      <c r="L23" s="143"/>
      <c r="N23" s="141"/>
      <c r="O23" s="143"/>
    </row>
    <row r="24" spans="2:15" x14ac:dyDescent="0.3">
      <c r="B24" s="138"/>
      <c r="C24" s="140"/>
      <c r="E24" s="138"/>
      <c r="F24" s="140"/>
      <c r="H24" s="138"/>
      <c r="I24" s="140"/>
      <c r="K24" s="138"/>
      <c r="L24" s="140"/>
      <c r="N24" s="138"/>
      <c r="O24" s="140"/>
    </row>
    <row r="25" spans="2:15" x14ac:dyDescent="0.3">
      <c r="B25" s="141"/>
      <c r="C25" s="143"/>
      <c r="E25" s="141"/>
      <c r="F25" s="143"/>
      <c r="H25" s="141"/>
      <c r="I25" s="143"/>
      <c r="K25" s="141"/>
      <c r="L25" s="143"/>
      <c r="N25" s="141"/>
      <c r="O25" s="143"/>
    </row>
    <row r="26" spans="2:15" x14ac:dyDescent="0.3">
      <c r="B26" s="138"/>
      <c r="C26" s="140"/>
      <c r="E26" s="138"/>
      <c r="F26" s="140"/>
      <c r="H26" s="138"/>
      <c r="I26" s="140"/>
      <c r="K26" s="138"/>
      <c r="L26" s="140"/>
      <c r="N26" s="138"/>
      <c r="O26" s="140"/>
    </row>
    <row r="27" spans="2:15" x14ac:dyDescent="0.3">
      <c r="B27" s="141"/>
      <c r="C27" s="143"/>
      <c r="E27" s="141"/>
      <c r="F27" s="143"/>
      <c r="H27" s="141"/>
      <c r="I27" s="143"/>
      <c r="K27" s="141"/>
      <c r="L27" s="143"/>
      <c r="N27" s="141"/>
      <c r="O27" s="143"/>
    </row>
    <row r="28" spans="2:15" x14ac:dyDescent="0.3">
      <c r="B28" s="138"/>
      <c r="C28" s="140"/>
      <c r="E28" s="138"/>
      <c r="F28" s="140"/>
      <c r="H28" s="138"/>
      <c r="I28" s="140"/>
      <c r="K28" s="138"/>
      <c r="L28" s="140"/>
      <c r="N28" s="138"/>
      <c r="O28" s="140"/>
    </row>
    <row r="29" spans="2:15" x14ac:dyDescent="0.3">
      <c r="B29" s="141"/>
      <c r="C29" s="143"/>
      <c r="E29" s="141"/>
      <c r="F29" s="143"/>
      <c r="H29" s="141"/>
      <c r="I29" s="143"/>
      <c r="K29" s="141"/>
      <c r="L29" s="143"/>
      <c r="N29" s="141"/>
      <c r="O29" s="143"/>
    </row>
    <row r="30" spans="2:15" x14ac:dyDescent="0.3">
      <c r="B30" s="138"/>
      <c r="C30" s="140"/>
      <c r="E30" s="138"/>
      <c r="F30" s="140"/>
      <c r="H30" s="138"/>
      <c r="I30" s="140"/>
      <c r="K30" s="138"/>
      <c r="L30" s="140"/>
      <c r="N30" s="138"/>
      <c r="O30" s="140"/>
    </row>
    <row r="31" spans="2:15" x14ac:dyDescent="0.3">
      <c r="B31" s="191"/>
      <c r="C31" s="192"/>
      <c r="E31" s="191"/>
      <c r="F31" s="192"/>
      <c r="H31" s="191"/>
      <c r="I31" s="192"/>
      <c r="K31" s="191"/>
      <c r="L31" s="192"/>
      <c r="N31" s="191"/>
      <c r="O31" s="192"/>
    </row>
    <row r="32" spans="2:15" x14ac:dyDescent="0.3">
      <c r="B32" s="63"/>
      <c r="C32" s="64"/>
      <c r="E32" s="63"/>
      <c r="F32" s="64"/>
      <c r="H32" s="63"/>
      <c r="I32" s="64"/>
      <c r="K32" s="63"/>
      <c r="L32" s="64"/>
      <c r="N32" s="63"/>
      <c r="O32" s="64"/>
    </row>
    <row r="33" spans="2:15" x14ac:dyDescent="0.3">
      <c r="B33" s="107" t="s">
        <v>532</v>
      </c>
      <c r="C33" s="109"/>
      <c r="E33" s="107" t="s">
        <v>532</v>
      </c>
      <c r="F33" s="109"/>
      <c r="H33" s="107" t="s">
        <v>532</v>
      </c>
      <c r="I33" s="109"/>
      <c r="K33" s="107" t="s">
        <v>532</v>
      </c>
      <c r="L33" s="109"/>
      <c r="N33" s="107" t="s">
        <v>532</v>
      </c>
      <c r="O33" s="109"/>
    </row>
    <row r="34" spans="2:15" x14ac:dyDescent="0.3">
      <c r="B34" s="62"/>
      <c r="C34" s="77"/>
      <c r="E34" s="62"/>
      <c r="F34" s="77"/>
      <c r="H34" s="62"/>
      <c r="I34" s="77"/>
      <c r="K34" s="62"/>
      <c r="L34" s="77">
        <v>0.01</v>
      </c>
      <c r="N34" s="62"/>
      <c r="O34" s="77"/>
    </row>
    <row r="35" spans="2:15" x14ac:dyDescent="0.3">
      <c r="B35" s="43"/>
      <c r="C35" s="78"/>
      <c r="E35" s="43"/>
      <c r="F35" s="78"/>
      <c r="H35" s="43"/>
      <c r="I35" s="78"/>
      <c r="K35" s="43"/>
      <c r="L35" s="78"/>
      <c r="N35" s="43"/>
      <c r="O35" s="78"/>
    </row>
    <row r="36" spans="2:15" x14ac:dyDescent="0.3">
      <c r="B36" s="39"/>
      <c r="C36" s="79"/>
      <c r="E36" s="39"/>
      <c r="F36" s="79"/>
      <c r="H36" s="39"/>
      <c r="I36" s="79"/>
      <c r="K36" s="39"/>
      <c r="L36" s="79"/>
      <c r="N36" s="39"/>
      <c r="O36" s="79"/>
    </row>
    <row r="37" spans="2:15" x14ac:dyDescent="0.3">
      <c r="B37" s="43"/>
      <c r="C37" s="78"/>
      <c r="E37" s="43"/>
      <c r="F37" s="78"/>
      <c r="H37" s="43"/>
      <c r="I37" s="78"/>
      <c r="K37" s="43"/>
      <c r="L37" s="78"/>
      <c r="N37" s="43"/>
      <c r="O37" s="78"/>
    </row>
    <row r="38" spans="2:15" x14ac:dyDescent="0.3">
      <c r="B38" s="39"/>
      <c r="C38" s="79"/>
      <c r="E38" s="39"/>
      <c r="F38" s="79"/>
      <c r="H38" s="39"/>
      <c r="I38" s="79"/>
      <c r="K38" s="39"/>
      <c r="L38" s="79"/>
      <c r="N38" s="39"/>
      <c r="O38" s="79"/>
    </row>
    <row r="39" spans="2:15" x14ac:dyDescent="0.3">
      <c r="B39" s="43"/>
      <c r="C39" s="78"/>
      <c r="E39" s="43"/>
      <c r="F39" s="78"/>
      <c r="H39" s="43"/>
      <c r="I39" s="78"/>
      <c r="K39" s="43"/>
      <c r="L39" s="78"/>
      <c r="N39" s="43"/>
      <c r="O39" s="78"/>
    </row>
    <row r="40" spans="2:15" x14ac:dyDescent="0.3">
      <c r="B40" s="39"/>
      <c r="C40" s="79"/>
      <c r="E40" s="39"/>
      <c r="F40" s="79"/>
      <c r="H40" s="39"/>
      <c r="I40" s="79"/>
      <c r="K40" s="39"/>
      <c r="L40" s="79"/>
      <c r="N40" s="39"/>
      <c r="O40" s="79"/>
    </row>
    <row r="41" spans="2:15" x14ac:dyDescent="0.3">
      <c r="B41" s="43"/>
      <c r="C41" s="78"/>
      <c r="E41" s="43"/>
      <c r="F41" s="78"/>
      <c r="H41" s="43"/>
      <c r="I41" s="78"/>
      <c r="K41" s="43"/>
      <c r="L41" s="78"/>
      <c r="N41" s="43"/>
      <c r="O41" s="78"/>
    </row>
    <row r="42" spans="2:15" x14ac:dyDescent="0.3">
      <c r="B42" s="39"/>
      <c r="C42" s="79"/>
      <c r="E42" s="39"/>
      <c r="F42" s="79"/>
      <c r="H42" s="39"/>
      <c r="I42" s="79"/>
      <c r="K42" s="39"/>
      <c r="L42" s="79"/>
      <c r="N42" s="39"/>
      <c r="O42" s="79"/>
    </row>
    <row r="43" spans="2:15" x14ac:dyDescent="0.3">
      <c r="B43" s="43"/>
      <c r="C43" s="78"/>
      <c r="E43" s="43"/>
      <c r="F43" s="78"/>
      <c r="H43" s="43"/>
      <c r="I43" s="78"/>
      <c r="K43" s="43"/>
      <c r="L43" s="78"/>
      <c r="N43" s="43"/>
      <c r="O43" s="78"/>
    </row>
    <row r="44" spans="2:15" x14ac:dyDescent="0.3">
      <c r="B44" s="39"/>
      <c r="C44" s="79"/>
      <c r="E44" s="39"/>
      <c r="F44" s="79"/>
      <c r="H44" s="39"/>
      <c r="I44" s="79"/>
      <c r="K44" s="39"/>
      <c r="L44" s="79"/>
      <c r="N44" s="39"/>
      <c r="O44" s="79"/>
    </row>
    <row r="45" spans="2:15" x14ac:dyDescent="0.3">
      <c r="B45" s="43"/>
      <c r="C45" s="78"/>
      <c r="E45" s="43"/>
      <c r="F45" s="78"/>
      <c r="H45" s="43"/>
      <c r="I45" s="78"/>
      <c r="K45" s="43"/>
      <c r="L45" s="78"/>
      <c r="N45" s="43"/>
      <c r="O45" s="78"/>
    </row>
    <row r="46" spans="2:15" x14ac:dyDescent="0.3">
      <c r="B46" s="39"/>
      <c r="C46" s="79"/>
      <c r="E46" s="39"/>
      <c r="F46" s="79"/>
      <c r="H46" s="39"/>
      <c r="I46" s="79"/>
      <c r="K46" s="39"/>
      <c r="L46" s="79"/>
      <c r="N46" s="39"/>
      <c r="O46" s="79"/>
    </row>
    <row r="47" spans="2:15" x14ac:dyDescent="0.3">
      <c r="B47" s="43"/>
      <c r="C47" s="78"/>
      <c r="E47" s="43"/>
      <c r="F47" s="78"/>
      <c r="H47" s="43"/>
      <c r="I47" s="78"/>
      <c r="K47" s="43"/>
      <c r="L47" s="78"/>
      <c r="N47" s="43"/>
      <c r="O47" s="78"/>
    </row>
    <row r="48" spans="2:15" x14ac:dyDescent="0.3">
      <c r="B48" s="39"/>
      <c r="C48" s="79"/>
      <c r="E48" s="39"/>
      <c r="F48" s="79"/>
      <c r="H48" s="39"/>
      <c r="I48" s="79"/>
      <c r="K48" s="39"/>
      <c r="L48" s="79"/>
      <c r="N48" s="39"/>
      <c r="O48" s="79"/>
    </row>
    <row r="49" spans="2:15" x14ac:dyDescent="0.3">
      <c r="B49" s="43"/>
      <c r="C49" s="78"/>
      <c r="E49" s="43"/>
      <c r="F49" s="78"/>
      <c r="H49" s="43"/>
      <c r="I49" s="78"/>
      <c r="K49" s="43"/>
      <c r="L49" s="78"/>
      <c r="N49" s="43"/>
      <c r="O49" s="78"/>
    </row>
    <row r="50" spans="2:15" x14ac:dyDescent="0.3">
      <c r="B50" s="39"/>
      <c r="C50" s="79"/>
      <c r="E50" s="39"/>
      <c r="F50" s="79"/>
      <c r="H50" s="39"/>
      <c r="I50" s="79"/>
      <c r="K50" s="39"/>
      <c r="L50" s="79"/>
      <c r="N50" s="39"/>
      <c r="O50" s="79"/>
    </row>
    <row r="51" spans="2:15" x14ac:dyDescent="0.3">
      <c r="B51" s="43"/>
      <c r="C51" s="78"/>
      <c r="E51" s="43"/>
      <c r="F51" s="78"/>
      <c r="H51" s="43"/>
      <c r="I51" s="78"/>
      <c r="K51" s="43"/>
      <c r="L51" s="78"/>
      <c r="N51" s="43"/>
      <c r="O51" s="78"/>
    </row>
    <row r="52" spans="2:15" x14ac:dyDescent="0.3">
      <c r="B52" s="39"/>
      <c r="C52" s="79"/>
      <c r="E52" s="39"/>
      <c r="F52" s="79"/>
      <c r="H52" s="39"/>
      <c r="I52" s="79"/>
      <c r="K52" s="39"/>
      <c r="L52" s="79"/>
      <c r="N52" s="39"/>
      <c r="O52" s="79"/>
    </row>
    <row r="53" spans="2:15" x14ac:dyDescent="0.3">
      <c r="B53" s="43"/>
      <c r="C53" s="78"/>
      <c r="E53" s="43"/>
      <c r="F53" s="78"/>
      <c r="H53" s="43"/>
      <c r="I53" s="78"/>
      <c r="K53" s="43"/>
      <c r="L53" s="78"/>
      <c r="N53" s="43"/>
      <c r="O53" s="78"/>
    </row>
    <row r="54" spans="2:15" x14ac:dyDescent="0.3">
      <c r="B54" s="39"/>
      <c r="C54" s="79"/>
      <c r="E54" s="39"/>
      <c r="F54" s="79"/>
      <c r="H54" s="39"/>
      <c r="I54" s="79"/>
      <c r="K54" s="39"/>
      <c r="L54" s="79"/>
      <c r="N54" s="39"/>
      <c r="O54" s="79"/>
    </row>
    <row r="55" spans="2:15" x14ac:dyDescent="0.3">
      <c r="B55" s="43"/>
      <c r="C55" s="78"/>
      <c r="E55" s="43"/>
      <c r="F55" s="78"/>
      <c r="H55" s="43"/>
      <c r="I55" s="78"/>
      <c r="K55" s="43"/>
      <c r="L55" s="78"/>
      <c r="N55" s="43"/>
      <c r="O55" s="78"/>
    </row>
    <row r="56" spans="2:15" x14ac:dyDescent="0.3">
      <c r="B56" s="39"/>
      <c r="C56" s="79"/>
      <c r="E56" s="39"/>
      <c r="F56" s="79"/>
      <c r="H56" s="39"/>
      <c r="I56" s="79"/>
      <c r="K56" s="39"/>
      <c r="L56" s="79"/>
      <c r="N56" s="39"/>
      <c r="O56" s="79"/>
    </row>
    <row r="57" spans="2:15" x14ac:dyDescent="0.3">
      <c r="B57" s="43"/>
      <c r="C57" s="78"/>
      <c r="E57" s="43"/>
      <c r="F57" s="78"/>
      <c r="H57" s="43"/>
      <c r="I57" s="78"/>
      <c r="K57" s="43"/>
      <c r="L57" s="78"/>
      <c r="N57" s="43"/>
      <c r="O57" s="78"/>
    </row>
    <row r="58" spans="2:15" x14ac:dyDescent="0.3">
      <c r="B58" s="39"/>
      <c r="C58" s="79"/>
      <c r="E58" s="39"/>
      <c r="F58" s="79"/>
      <c r="H58" s="39"/>
      <c r="I58" s="79"/>
      <c r="K58" s="39"/>
      <c r="L58" s="79"/>
      <c r="N58" s="39"/>
      <c r="O58" s="79"/>
    </row>
    <row r="59" spans="2:15" x14ac:dyDescent="0.3">
      <c r="B59" s="43"/>
      <c r="C59" s="78"/>
      <c r="E59" s="43"/>
      <c r="F59" s="78"/>
      <c r="H59" s="43"/>
      <c r="I59" s="78"/>
      <c r="K59" s="43"/>
      <c r="L59" s="78"/>
      <c r="N59" s="43"/>
      <c r="O59" s="78"/>
    </row>
    <row r="60" spans="2:15" x14ac:dyDescent="0.3">
      <c r="B60" s="39"/>
      <c r="C60" s="79"/>
      <c r="E60" s="39"/>
      <c r="F60" s="79"/>
      <c r="H60" s="39"/>
      <c r="I60" s="79"/>
      <c r="K60" s="39"/>
      <c r="L60" s="79"/>
      <c r="N60" s="39"/>
      <c r="O60" s="79"/>
    </row>
    <row r="61" spans="2:15" x14ac:dyDescent="0.3">
      <c r="B61" s="43"/>
      <c r="C61" s="78"/>
      <c r="E61" s="43"/>
      <c r="F61" s="78"/>
      <c r="H61" s="43"/>
      <c r="I61" s="78"/>
      <c r="K61" s="43"/>
      <c r="L61" s="78"/>
      <c r="N61" s="43"/>
      <c r="O61" s="78"/>
    </row>
    <row r="62" spans="2:15" x14ac:dyDescent="0.3">
      <c r="B62" s="39"/>
      <c r="C62" s="79"/>
      <c r="E62" s="39"/>
      <c r="F62" s="79"/>
      <c r="H62" s="39"/>
      <c r="I62" s="79"/>
      <c r="K62" s="39"/>
      <c r="L62" s="79"/>
      <c r="N62" s="39"/>
      <c r="O62" s="79"/>
    </row>
    <row r="63" spans="2:15" x14ac:dyDescent="0.3">
      <c r="B63" s="43"/>
      <c r="C63" s="78"/>
      <c r="E63" s="43"/>
      <c r="F63" s="78"/>
      <c r="H63" s="43"/>
      <c r="I63" s="78"/>
      <c r="K63" s="43"/>
      <c r="L63" s="78"/>
      <c r="N63" s="43"/>
      <c r="O63" s="78"/>
    </row>
    <row r="64" spans="2:15" x14ac:dyDescent="0.3">
      <c r="B64" s="39"/>
      <c r="C64" s="79"/>
      <c r="E64" s="39"/>
      <c r="F64" s="79"/>
      <c r="H64" s="39"/>
      <c r="I64" s="79"/>
      <c r="K64" s="39"/>
      <c r="L64" s="79"/>
      <c r="N64" s="39"/>
      <c r="O64" s="79"/>
    </row>
    <row r="65" spans="2:15" x14ac:dyDescent="0.3">
      <c r="B65" s="43"/>
      <c r="C65" s="78"/>
      <c r="E65" s="43"/>
      <c r="F65" s="78"/>
      <c r="H65" s="43"/>
      <c r="I65" s="78"/>
      <c r="K65" s="43"/>
      <c r="L65" s="78"/>
      <c r="N65" s="43"/>
      <c r="O65" s="78"/>
    </row>
    <row r="66" spans="2:15" x14ac:dyDescent="0.3">
      <c r="B66" s="39"/>
      <c r="C66" s="79"/>
      <c r="E66" s="39"/>
      <c r="F66" s="79"/>
      <c r="H66" s="39"/>
      <c r="I66" s="79"/>
      <c r="K66" s="39"/>
      <c r="L66" s="79"/>
      <c r="N66" s="39"/>
      <c r="O66" s="79"/>
    </row>
    <row r="67" spans="2:15" x14ac:dyDescent="0.3">
      <c r="B67" s="43"/>
      <c r="C67" s="78"/>
      <c r="E67" s="43"/>
      <c r="F67" s="78"/>
      <c r="H67" s="43"/>
      <c r="I67" s="78"/>
      <c r="K67" s="43"/>
      <c r="L67" s="78"/>
      <c r="N67" s="43"/>
      <c r="O67" s="78"/>
    </row>
    <row r="68" spans="2:15" x14ac:dyDescent="0.3">
      <c r="B68" s="39"/>
      <c r="C68" s="79"/>
      <c r="E68" s="39"/>
      <c r="F68" s="79"/>
      <c r="H68" s="39"/>
      <c r="I68" s="79"/>
      <c r="K68" s="39"/>
      <c r="L68" s="79"/>
      <c r="N68" s="39"/>
      <c r="O68" s="79"/>
    </row>
    <row r="69" spans="2:15" x14ac:dyDescent="0.3">
      <c r="B69" s="43"/>
      <c r="C69" s="78"/>
      <c r="E69" s="43"/>
      <c r="F69" s="78"/>
      <c r="H69" s="43"/>
      <c r="I69" s="78"/>
      <c r="K69" s="43"/>
      <c r="L69" s="78"/>
      <c r="N69" s="43"/>
      <c r="O69" s="78"/>
    </row>
    <row r="70" spans="2:15" x14ac:dyDescent="0.3">
      <c r="B70" s="39"/>
      <c r="C70" s="79"/>
      <c r="E70" s="39"/>
      <c r="F70" s="79"/>
      <c r="H70" s="39"/>
      <c r="I70" s="79"/>
      <c r="K70" s="39"/>
      <c r="L70" s="79"/>
      <c r="N70" s="39"/>
      <c r="O70" s="79"/>
    </row>
    <row r="71" spans="2:15" x14ac:dyDescent="0.3">
      <c r="B71" s="43"/>
      <c r="C71" s="78"/>
      <c r="E71" s="43"/>
      <c r="F71" s="78"/>
      <c r="H71" s="43"/>
      <c r="I71" s="78"/>
      <c r="K71" s="43"/>
      <c r="L71" s="78"/>
      <c r="N71" s="43"/>
      <c r="O71" s="78"/>
    </row>
    <row r="72" spans="2:15" x14ac:dyDescent="0.3">
      <c r="B72" s="39"/>
      <c r="C72" s="79"/>
      <c r="E72" s="39"/>
      <c r="F72" s="79"/>
      <c r="H72" s="39"/>
      <c r="I72" s="79"/>
      <c r="K72" s="39"/>
      <c r="L72" s="79"/>
      <c r="N72" s="39"/>
      <c r="O72" s="79"/>
    </row>
    <row r="73" spans="2:15" x14ac:dyDescent="0.3">
      <c r="B73" s="43"/>
      <c r="C73" s="78"/>
      <c r="E73" s="43"/>
      <c r="F73" s="78"/>
      <c r="H73" s="43"/>
      <c r="I73" s="78"/>
      <c r="K73" s="43"/>
      <c r="L73" s="78"/>
      <c r="N73" s="43"/>
      <c r="O73" s="78"/>
    </row>
    <row r="74" spans="2:15" x14ac:dyDescent="0.3">
      <c r="B74" s="39"/>
      <c r="C74" s="79"/>
      <c r="E74" s="39"/>
      <c r="F74" s="79"/>
      <c r="H74" s="39"/>
      <c r="I74" s="79"/>
      <c r="K74" s="39"/>
      <c r="L74" s="79"/>
      <c r="N74" s="39"/>
      <c r="O74" s="79"/>
    </row>
    <row r="75" spans="2:15" x14ac:dyDescent="0.3">
      <c r="B75" s="43"/>
      <c r="C75" s="78"/>
      <c r="E75" s="43"/>
      <c r="F75" s="78"/>
      <c r="H75" s="43"/>
      <c r="I75" s="78"/>
      <c r="K75" s="43"/>
      <c r="L75" s="78"/>
      <c r="N75" s="43"/>
      <c r="O75" s="78"/>
    </row>
    <row r="76" spans="2:15" x14ac:dyDescent="0.3">
      <c r="B76" s="39"/>
      <c r="C76" s="79"/>
      <c r="E76" s="39"/>
      <c r="F76" s="79"/>
      <c r="H76" s="39"/>
      <c r="I76" s="79"/>
      <c r="K76" s="39"/>
      <c r="L76" s="79"/>
      <c r="N76" s="39"/>
      <c r="O76" s="79"/>
    </row>
    <row r="77" spans="2:15" x14ac:dyDescent="0.3">
      <c r="B77" s="43"/>
      <c r="C77" s="78"/>
      <c r="E77" s="43"/>
      <c r="F77" s="78"/>
      <c r="H77" s="43"/>
      <c r="I77" s="78"/>
      <c r="K77" s="43"/>
      <c r="L77" s="78"/>
      <c r="N77" s="43"/>
      <c r="O77" s="78"/>
    </row>
    <row r="78" spans="2:15" x14ac:dyDescent="0.3">
      <c r="B78" s="39"/>
      <c r="C78" s="79"/>
      <c r="E78" s="39"/>
      <c r="F78" s="79"/>
      <c r="H78" s="39"/>
      <c r="I78" s="79"/>
      <c r="K78" s="39"/>
      <c r="L78" s="79"/>
      <c r="N78" s="39"/>
      <c r="O78" s="79"/>
    </row>
    <row r="79" spans="2:15" x14ac:dyDescent="0.3">
      <c r="B79" s="43"/>
      <c r="C79" s="78"/>
      <c r="E79" s="43"/>
      <c r="F79" s="78"/>
      <c r="H79" s="43"/>
      <c r="I79" s="78"/>
      <c r="K79" s="43"/>
      <c r="L79" s="78"/>
      <c r="N79" s="43"/>
      <c r="O79" s="78"/>
    </row>
    <row r="80" spans="2:15" x14ac:dyDescent="0.3">
      <c r="B80" s="39"/>
      <c r="C80" s="79"/>
      <c r="E80" s="39"/>
      <c r="F80" s="79"/>
      <c r="H80" s="39"/>
      <c r="I80" s="79"/>
      <c r="K80" s="39"/>
      <c r="L80" s="79"/>
      <c r="N80" s="39"/>
      <c r="O80" s="79"/>
    </row>
    <row r="81" spans="2:15" x14ac:dyDescent="0.3">
      <c r="B81" s="43"/>
      <c r="C81" s="78"/>
      <c r="E81" s="43"/>
      <c r="F81" s="78"/>
      <c r="H81" s="43"/>
      <c r="I81" s="78"/>
      <c r="K81" s="43"/>
      <c r="L81" s="78"/>
      <c r="N81" s="43"/>
      <c r="O81" s="78"/>
    </row>
    <row r="82" spans="2:15" x14ac:dyDescent="0.3">
      <c r="B82" s="39"/>
      <c r="C82" s="79"/>
      <c r="E82" s="39"/>
      <c r="F82" s="79"/>
      <c r="H82" s="39"/>
      <c r="I82" s="79"/>
      <c r="K82" s="39"/>
      <c r="L82" s="79"/>
      <c r="N82" s="39"/>
      <c r="O82" s="79"/>
    </row>
    <row r="83" spans="2:15" x14ac:dyDescent="0.3">
      <c r="B83" s="43"/>
      <c r="C83" s="78"/>
      <c r="E83" s="43"/>
      <c r="F83" s="78"/>
      <c r="H83" s="43"/>
      <c r="I83" s="78"/>
      <c r="K83" s="43"/>
      <c r="L83" s="78"/>
      <c r="N83" s="43"/>
      <c r="O83" s="78"/>
    </row>
    <row r="84" spans="2:15" x14ac:dyDescent="0.3">
      <c r="B84" s="39"/>
      <c r="C84" s="79"/>
      <c r="E84" s="39"/>
      <c r="F84" s="79"/>
      <c r="H84" s="39"/>
      <c r="I84" s="79"/>
      <c r="K84" s="39"/>
      <c r="L84" s="79"/>
      <c r="N84" s="39"/>
      <c r="O84" s="79"/>
    </row>
    <row r="85" spans="2:15" x14ac:dyDescent="0.3">
      <c r="B85" s="43"/>
      <c r="C85" s="78"/>
      <c r="E85" s="43"/>
      <c r="F85" s="78"/>
      <c r="H85" s="43"/>
      <c r="I85" s="78"/>
      <c r="K85" s="43"/>
      <c r="L85" s="78"/>
      <c r="N85" s="43"/>
      <c r="O85" s="78"/>
    </row>
    <row r="86" spans="2:15" x14ac:dyDescent="0.3">
      <c r="B86" s="39"/>
      <c r="C86" s="79"/>
      <c r="E86" s="39"/>
      <c r="F86" s="79"/>
      <c r="H86" s="39"/>
      <c r="I86" s="79"/>
      <c r="K86" s="39"/>
      <c r="L86" s="79"/>
      <c r="N86" s="39"/>
      <c r="O86" s="79"/>
    </row>
    <row r="87" spans="2:15" x14ac:dyDescent="0.3">
      <c r="B87" s="43"/>
      <c r="C87" s="78"/>
      <c r="E87" s="43"/>
      <c r="F87" s="78"/>
      <c r="H87" s="43"/>
      <c r="I87" s="78"/>
      <c r="K87" s="43"/>
      <c r="L87" s="78"/>
      <c r="N87" s="43"/>
      <c r="O87" s="78"/>
    </row>
    <row r="88" spans="2:15" x14ac:dyDescent="0.3">
      <c r="B88" s="39"/>
      <c r="C88" s="79"/>
      <c r="E88" s="39"/>
      <c r="F88" s="79"/>
      <c r="H88" s="39"/>
      <c r="I88" s="79"/>
      <c r="K88" s="39"/>
      <c r="L88" s="79"/>
      <c r="N88" s="39"/>
      <c r="O88" s="79"/>
    </row>
    <row r="89" spans="2:15" x14ac:dyDescent="0.3">
      <c r="B89" s="43"/>
      <c r="C89" s="78"/>
      <c r="E89" s="43"/>
      <c r="F89" s="78"/>
      <c r="H89" s="43"/>
      <c r="I89" s="78"/>
      <c r="K89" s="43"/>
      <c r="L89" s="78"/>
      <c r="N89" s="43"/>
      <c r="O89" s="78"/>
    </row>
    <row r="90" spans="2:15" x14ac:dyDescent="0.3">
      <c r="B90" s="39"/>
      <c r="C90" s="79"/>
      <c r="E90" s="39"/>
      <c r="F90" s="79"/>
      <c r="H90" s="39"/>
      <c r="I90" s="79"/>
      <c r="K90" s="39"/>
      <c r="L90" s="79"/>
      <c r="N90" s="39"/>
      <c r="O90" s="79"/>
    </row>
    <row r="91" spans="2:15" x14ac:dyDescent="0.3">
      <c r="B91" s="43"/>
      <c r="C91" s="78"/>
      <c r="E91" s="43"/>
      <c r="F91" s="78"/>
      <c r="H91" s="43"/>
      <c r="I91" s="78"/>
      <c r="K91" s="43"/>
      <c r="L91" s="78"/>
      <c r="N91" s="43"/>
      <c r="O91" s="78"/>
    </row>
    <row r="92" spans="2:15" x14ac:dyDescent="0.3">
      <c r="B92" s="39"/>
      <c r="C92" s="79"/>
      <c r="E92" s="39"/>
      <c r="F92" s="79"/>
      <c r="H92" s="39"/>
      <c r="I92" s="79"/>
      <c r="K92" s="39"/>
      <c r="L92" s="79"/>
      <c r="N92" s="39"/>
      <c r="O92" s="79"/>
    </row>
    <row r="93" spans="2:15" x14ac:dyDescent="0.3">
      <c r="B93" s="43"/>
      <c r="C93" s="78"/>
      <c r="E93" s="43"/>
      <c r="F93" s="78"/>
      <c r="H93" s="43"/>
      <c r="I93" s="78"/>
      <c r="K93" s="43"/>
      <c r="L93" s="78"/>
      <c r="N93" s="43"/>
      <c r="O93" s="78"/>
    </row>
    <row r="94" spans="2:15" x14ac:dyDescent="0.3">
      <c r="B94" s="39"/>
      <c r="C94" s="79"/>
      <c r="E94" s="39"/>
      <c r="F94" s="79"/>
      <c r="H94" s="39"/>
      <c r="I94" s="79"/>
      <c r="K94" s="39"/>
      <c r="L94" s="79"/>
      <c r="N94" s="39"/>
      <c r="O94" s="79"/>
    </row>
    <row r="95" spans="2:15" x14ac:dyDescent="0.3">
      <c r="B95" s="43"/>
      <c r="C95" s="78"/>
      <c r="E95" s="43"/>
      <c r="F95" s="78"/>
      <c r="H95" s="43"/>
      <c r="I95" s="78"/>
      <c r="K95" s="43"/>
      <c r="L95" s="78"/>
      <c r="N95" s="43"/>
      <c r="O95" s="78"/>
    </row>
    <row r="96" spans="2:15" x14ac:dyDescent="0.3">
      <c r="B96" s="39"/>
      <c r="C96" s="79"/>
      <c r="E96" s="39"/>
      <c r="F96" s="79"/>
      <c r="H96" s="39"/>
      <c r="I96" s="79"/>
      <c r="K96" s="39"/>
      <c r="L96" s="79"/>
      <c r="N96" s="39"/>
      <c r="O96" s="79"/>
    </row>
    <row r="97" spans="2:15" x14ac:dyDescent="0.3">
      <c r="B97" s="43"/>
      <c r="C97" s="78"/>
      <c r="E97" s="43"/>
      <c r="F97" s="78"/>
      <c r="H97" s="43"/>
      <c r="I97" s="78"/>
      <c r="K97" s="43"/>
      <c r="L97" s="78"/>
      <c r="N97" s="43"/>
      <c r="O97" s="78"/>
    </row>
    <row r="98" spans="2:15" x14ac:dyDescent="0.3">
      <c r="B98" s="39"/>
      <c r="C98" s="79"/>
      <c r="E98" s="39"/>
      <c r="F98" s="79"/>
      <c r="H98" s="39"/>
      <c r="I98" s="79"/>
      <c r="K98" s="39"/>
      <c r="L98" s="79"/>
      <c r="N98" s="39"/>
      <c r="O98" s="79"/>
    </row>
    <row r="99" spans="2:15" x14ac:dyDescent="0.3">
      <c r="B99" s="43"/>
      <c r="C99" s="78"/>
      <c r="E99" s="43"/>
      <c r="F99" s="78"/>
      <c r="H99" s="43"/>
      <c r="I99" s="78"/>
      <c r="K99" s="43"/>
      <c r="L99" s="78"/>
      <c r="N99" s="43"/>
      <c r="O99" s="78"/>
    </row>
    <row r="100" spans="2:15" x14ac:dyDescent="0.3">
      <c r="B100" s="39"/>
      <c r="C100" s="79"/>
      <c r="E100" s="39"/>
      <c r="F100" s="79"/>
      <c r="H100" s="39"/>
      <c r="I100" s="79"/>
      <c r="K100" s="39"/>
      <c r="L100" s="79"/>
      <c r="N100" s="39"/>
      <c r="O100" s="79"/>
    </row>
    <row r="101" spans="2:15" x14ac:dyDescent="0.3">
      <c r="B101" s="43"/>
      <c r="C101" s="78"/>
      <c r="E101" s="43"/>
      <c r="F101" s="78"/>
      <c r="H101" s="43"/>
      <c r="I101" s="78"/>
      <c r="K101" s="43"/>
      <c r="L101" s="78"/>
      <c r="N101" s="43"/>
      <c r="O101" s="78"/>
    </row>
    <row r="102" spans="2:15" x14ac:dyDescent="0.3">
      <c r="B102" s="39"/>
      <c r="C102" s="79"/>
      <c r="E102" s="39"/>
      <c r="F102" s="79"/>
      <c r="H102" s="39"/>
      <c r="I102" s="79"/>
      <c r="K102" s="39"/>
      <c r="L102" s="79"/>
      <c r="N102" s="39"/>
      <c r="O102" s="79"/>
    </row>
    <row r="103" spans="2:15" x14ac:dyDescent="0.3">
      <c r="B103" s="43"/>
      <c r="C103" s="78"/>
      <c r="E103" s="43"/>
      <c r="F103" s="78"/>
      <c r="H103" s="43"/>
      <c r="I103" s="78"/>
      <c r="K103" s="43"/>
      <c r="L103" s="78"/>
      <c r="N103" s="43"/>
      <c r="O103" s="78"/>
    </row>
    <row r="104" spans="2:15" x14ac:dyDescent="0.3">
      <c r="B104" s="39"/>
      <c r="C104" s="79"/>
      <c r="E104" s="39"/>
      <c r="F104" s="79"/>
      <c r="H104" s="39"/>
      <c r="I104" s="79"/>
      <c r="K104" s="39"/>
      <c r="L104" s="79"/>
      <c r="N104" s="39"/>
      <c r="O104" s="79"/>
    </row>
    <row r="105" spans="2:15" x14ac:dyDescent="0.3">
      <c r="B105" s="43"/>
      <c r="C105" s="78"/>
      <c r="E105" s="43"/>
      <c r="F105" s="78"/>
      <c r="H105" s="43"/>
      <c r="I105" s="78"/>
      <c r="K105" s="43"/>
      <c r="L105" s="78"/>
      <c r="N105" s="43"/>
      <c r="O105" s="78"/>
    </row>
    <row r="106" spans="2:15" x14ac:dyDescent="0.3">
      <c r="B106" s="39"/>
      <c r="C106" s="79"/>
      <c r="E106" s="39"/>
      <c r="F106" s="79"/>
      <c r="H106" s="39"/>
      <c r="I106" s="79"/>
      <c r="K106" s="39"/>
      <c r="L106" s="79"/>
      <c r="N106" s="39"/>
      <c r="O106" s="79"/>
    </row>
    <row r="107" spans="2:15" x14ac:dyDescent="0.3">
      <c r="B107" s="43"/>
      <c r="C107" s="78"/>
      <c r="E107" s="43"/>
      <c r="F107" s="78"/>
      <c r="H107" s="43"/>
      <c r="I107" s="78"/>
      <c r="K107" s="43"/>
      <c r="L107" s="78"/>
      <c r="N107" s="43"/>
      <c r="O107" s="78"/>
    </row>
    <row r="108" spans="2:15" x14ac:dyDescent="0.3">
      <c r="B108" s="39"/>
      <c r="C108" s="79"/>
      <c r="E108" s="39"/>
      <c r="F108" s="79"/>
      <c r="H108" s="39"/>
      <c r="I108" s="79"/>
      <c r="K108" s="39"/>
      <c r="L108" s="79"/>
      <c r="N108" s="39"/>
      <c r="O108" s="79"/>
    </row>
    <row r="109" spans="2:15" x14ac:dyDescent="0.3">
      <c r="B109" s="43"/>
      <c r="C109" s="78"/>
      <c r="E109" s="43"/>
      <c r="F109" s="78"/>
      <c r="H109" s="43"/>
      <c r="I109" s="78"/>
      <c r="K109" s="43"/>
      <c r="L109" s="78"/>
      <c r="N109" s="43"/>
      <c r="O109" s="78"/>
    </row>
    <row r="110" spans="2:15" x14ac:dyDescent="0.3">
      <c r="B110" s="39"/>
      <c r="C110" s="79"/>
      <c r="E110" s="39"/>
      <c r="F110" s="79"/>
      <c r="H110" s="39"/>
      <c r="I110" s="79"/>
      <c r="K110" s="39"/>
      <c r="L110" s="79"/>
      <c r="N110" s="39"/>
      <c r="O110" s="79"/>
    </row>
    <row r="111" spans="2:15" x14ac:dyDescent="0.3">
      <c r="B111" s="43"/>
      <c r="C111" s="78"/>
      <c r="E111" s="43"/>
      <c r="F111" s="78"/>
      <c r="H111" s="43"/>
      <c r="I111" s="78"/>
      <c r="K111" s="43"/>
      <c r="L111" s="78"/>
      <c r="N111" s="43"/>
      <c r="O111" s="78"/>
    </row>
    <row r="112" spans="2:15" x14ac:dyDescent="0.3">
      <c r="B112" s="39"/>
      <c r="C112" s="79"/>
      <c r="E112" s="39"/>
      <c r="F112" s="79"/>
      <c r="H112" s="39"/>
      <c r="I112" s="79"/>
      <c r="K112" s="39"/>
      <c r="L112" s="79"/>
      <c r="N112" s="39"/>
      <c r="O112" s="79"/>
    </row>
    <row r="113" spans="2:15" x14ac:dyDescent="0.3">
      <c r="B113" s="43"/>
      <c r="C113" s="78"/>
      <c r="E113" s="43"/>
      <c r="F113" s="78"/>
      <c r="H113" s="43"/>
      <c r="I113" s="78"/>
      <c r="K113" s="43"/>
      <c r="L113" s="78"/>
      <c r="N113" s="43"/>
      <c r="O113" s="78"/>
    </row>
    <row r="114" spans="2:15" x14ac:dyDescent="0.3">
      <c r="B114" s="39"/>
      <c r="C114" s="79"/>
      <c r="E114" s="39"/>
      <c r="F114" s="79"/>
      <c r="H114" s="39"/>
      <c r="I114" s="79"/>
      <c r="K114" s="39"/>
      <c r="L114" s="79"/>
      <c r="N114" s="39"/>
      <c r="O114" s="79"/>
    </row>
    <row r="115" spans="2:15" x14ac:dyDescent="0.3">
      <c r="B115" s="43"/>
      <c r="C115" s="78"/>
      <c r="E115" s="43"/>
      <c r="F115" s="78"/>
      <c r="H115" s="43"/>
      <c r="I115" s="78"/>
      <c r="K115" s="43"/>
      <c r="L115" s="78"/>
      <c r="N115" s="43"/>
      <c r="O115" s="78"/>
    </row>
    <row r="116" spans="2:15" x14ac:dyDescent="0.3">
      <c r="B116" s="39"/>
      <c r="C116" s="79"/>
      <c r="E116" s="39"/>
      <c r="F116" s="79"/>
      <c r="H116" s="39"/>
      <c r="I116" s="79"/>
      <c r="K116" s="39"/>
      <c r="L116" s="79"/>
      <c r="N116" s="39"/>
      <c r="O116" s="79"/>
    </row>
    <row r="117" spans="2:15" x14ac:dyDescent="0.3">
      <c r="B117" s="43"/>
      <c r="C117" s="78"/>
      <c r="E117" s="43"/>
      <c r="F117" s="78"/>
      <c r="H117" s="43"/>
      <c r="I117" s="78"/>
      <c r="K117" s="43"/>
      <c r="L117" s="78"/>
      <c r="N117" s="43"/>
      <c r="O117" s="78"/>
    </row>
    <row r="118" spans="2:15" x14ac:dyDescent="0.3">
      <c r="B118" s="39"/>
      <c r="C118" s="79"/>
      <c r="E118" s="39"/>
      <c r="F118" s="79"/>
      <c r="H118" s="39"/>
      <c r="I118" s="79"/>
      <c r="K118" s="39"/>
      <c r="L118" s="79"/>
      <c r="N118" s="39"/>
      <c r="O118" s="79"/>
    </row>
    <row r="119" spans="2:15" x14ac:dyDescent="0.3">
      <c r="B119" s="43"/>
      <c r="C119" s="78"/>
      <c r="E119" s="43"/>
      <c r="F119" s="78"/>
      <c r="H119" s="43"/>
      <c r="I119" s="78"/>
      <c r="K119" s="43"/>
      <c r="L119" s="78"/>
      <c r="N119" s="43"/>
      <c r="O119" s="78"/>
    </row>
    <row r="120" spans="2:15" x14ac:dyDescent="0.3">
      <c r="B120" s="39"/>
      <c r="C120" s="79"/>
      <c r="E120" s="39"/>
      <c r="F120" s="79"/>
      <c r="H120" s="39"/>
      <c r="I120" s="79"/>
      <c r="K120" s="39"/>
      <c r="L120" s="79"/>
      <c r="N120" s="39"/>
      <c r="O120" s="79"/>
    </row>
    <row r="121" spans="2:15" x14ac:dyDescent="0.3">
      <c r="B121" s="43"/>
      <c r="C121" s="78"/>
      <c r="E121" s="43"/>
      <c r="F121" s="78"/>
      <c r="H121" s="43"/>
      <c r="I121" s="78"/>
      <c r="K121" s="43"/>
      <c r="L121" s="78"/>
      <c r="N121" s="43"/>
      <c r="O121" s="78"/>
    </row>
    <row r="122" spans="2:15" x14ac:dyDescent="0.3">
      <c r="B122" s="39"/>
      <c r="C122" s="79"/>
      <c r="E122" s="39"/>
      <c r="F122" s="79"/>
      <c r="H122" s="39"/>
      <c r="I122" s="79"/>
      <c r="K122" s="39"/>
      <c r="L122" s="79"/>
      <c r="N122" s="39"/>
      <c r="O122" s="79"/>
    </row>
    <row r="123" spans="2:15" x14ac:dyDescent="0.3">
      <c r="B123" s="43"/>
      <c r="C123" s="78"/>
      <c r="E123" s="43"/>
      <c r="F123" s="78"/>
      <c r="H123" s="43"/>
      <c r="I123" s="78"/>
      <c r="K123" s="43"/>
      <c r="L123" s="78"/>
      <c r="N123" s="43"/>
      <c r="O123" s="78"/>
    </row>
    <row r="124" spans="2:15" x14ac:dyDescent="0.3">
      <c r="B124" s="39"/>
      <c r="C124" s="79"/>
      <c r="E124" s="39"/>
      <c r="F124" s="79"/>
      <c r="H124" s="39"/>
      <c r="I124" s="79"/>
      <c r="K124" s="39"/>
      <c r="L124" s="79"/>
      <c r="N124" s="39"/>
      <c r="O124" s="79"/>
    </row>
    <row r="125" spans="2:15" x14ac:dyDescent="0.3">
      <c r="B125" s="43"/>
      <c r="C125" s="78"/>
      <c r="E125" s="43"/>
      <c r="F125" s="78"/>
      <c r="H125" s="43"/>
      <c r="I125" s="78"/>
      <c r="K125" s="43"/>
      <c r="L125" s="78"/>
      <c r="N125" s="43"/>
      <c r="O125" s="78"/>
    </row>
    <row r="126" spans="2:15" x14ac:dyDescent="0.3">
      <c r="B126" s="39"/>
      <c r="C126" s="79"/>
      <c r="E126" s="39"/>
      <c r="F126" s="79"/>
      <c r="H126" s="39"/>
      <c r="I126" s="79"/>
      <c r="K126" s="39"/>
      <c r="L126" s="79"/>
      <c r="N126" s="39"/>
      <c r="O126" s="79"/>
    </row>
    <row r="127" spans="2:15" x14ac:dyDescent="0.3">
      <c r="B127" s="43"/>
      <c r="C127" s="78"/>
      <c r="E127" s="43"/>
      <c r="F127" s="78"/>
      <c r="H127" s="43"/>
      <c r="I127" s="78"/>
      <c r="K127" s="43"/>
      <c r="L127" s="78"/>
      <c r="N127" s="43"/>
      <c r="O127" s="78"/>
    </row>
    <row r="128" spans="2:15" x14ac:dyDescent="0.3">
      <c r="B128" s="39"/>
      <c r="C128" s="79"/>
      <c r="E128" s="39"/>
      <c r="F128" s="79"/>
      <c r="H128" s="39"/>
      <c r="I128" s="79"/>
      <c r="K128" s="39"/>
      <c r="L128" s="79"/>
      <c r="N128" s="39"/>
      <c r="O128" s="79"/>
    </row>
    <row r="129" spans="2:15" x14ac:dyDescent="0.3">
      <c r="B129" s="43"/>
      <c r="C129" s="78"/>
      <c r="E129" s="43"/>
      <c r="F129" s="78"/>
      <c r="H129" s="43"/>
      <c r="I129" s="78"/>
      <c r="K129" s="43"/>
      <c r="L129" s="78"/>
      <c r="N129" s="43"/>
      <c r="O129" s="78"/>
    </row>
    <row r="130" spans="2:15" x14ac:dyDescent="0.3">
      <c r="B130" s="39"/>
      <c r="C130" s="79"/>
      <c r="E130" s="39"/>
      <c r="F130" s="79"/>
      <c r="H130" s="39"/>
      <c r="I130" s="79"/>
      <c r="K130" s="39"/>
      <c r="L130" s="79"/>
      <c r="N130" s="39"/>
      <c r="O130" s="79"/>
    </row>
    <row r="131" spans="2:15" x14ac:dyDescent="0.3">
      <c r="B131" s="43"/>
      <c r="C131" s="78"/>
      <c r="E131" s="43"/>
      <c r="F131" s="78"/>
      <c r="H131" s="43"/>
      <c r="I131" s="78"/>
      <c r="K131" s="43"/>
      <c r="L131" s="78"/>
      <c r="N131" s="43"/>
      <c r="O131" s="78"/>
    </row>
    <row r="132" spans="2:15" x14ac:dyDescent="0.3">
      <c r="B132" s="39"/>
      <c r="C132" s="79"/>
      <c r="E132" s="39"/>
      <c r="F132" s="79"/>
      <c r="H132" s="39"/>
      <c r="I132" s="79"/>
      <c r="K132" s="39"/>
      <c r="L132" s="79"/>
      <c r="N132" s="39"/>
      <c r="O132" s="79"/>
    </row>
    <row r="133" spans="2:15" x14ac:dyDescent="0.3">
      <c r="B133" s="43"/>
      <c r="C133" s="78"/>
      <c r="E133" s="43"/>
      <c r="F133" s="78"/>
      <c r="H133" s="43"/>
      <c r="I133" s="78"/>
      <c r="K133" s="43"/>
      <c r="L133" s="78"/>
      <c r="N133" s="43"/>
      <c r="O133" s="78"/>
    </row>
    <row r="134" spans="2:15" x14ac:dyDescent="0.3">
      <c r="B134" s="39"/>
      <c r="C134" s="79"/>
      <c r="E134" s="39"/>
      <c r="F134" s="79"/>
      <c r="H134" s="39"/>
      <c r="I134" s="79"/>
      <c r="K134" s="39"/>
      <c r="L134" s="79"/>
      <c r="N134" s="39"/>
      <c r="O134" s="79"/>
    </row>
    <row r="135" spans="2:15" x14ac:dyDescent="0.3">
      <c r="B135" s="43"/>
      <c r="C135" s="78"/>
      <c r="E135" s="43"/>
      <c r="F135" s="78"/>
      <c r="H135" s="43"/>
      <c r="I135" s="78"/>
      <c r="K135" s="43"/>
      <c r="L135" s="78"/>
      <c r="N135" s="43"/>
      <c r="O135" s="78"/>
    </row>
    <row r="136" spans="2:15" x14ac:dyDescent="0.3">
      <c r="B136" s="39"/>
      <c r="C136" s="79"/>
      <c r="E136" s="39"/>
      <c r="F136" s="79"/>
      <c r="H136" s="39"/>
      <c r="I136" s="79"/>
      <c r="K136" s="39"/>
      <c r="L136" s="79"/>
      <c r="N136" s="39"/>
      <c r="O136" s="79"/>
    </row>
    <row r="137" spans="2:15" x14ac:dyDescent="0.3">
      <c r="B137" s="43"/>
      <c r="C137" s="78"/>
      <c r="E137" s="43"/>
      <c r="F137" s="78"/>
      <c r="H137" s="43"/>
      <c r="I137" s="78"/>
      <c r="K137" s="43"/>
      <c r="L137" s="78"/>
      <c r="N137" s="43"/>
      <c r="O137" s="78"/>
    </row>
    <row r="138" spans="2:15" x14ac:dyDescent="0.3">
      <c r="B138" s="39"/>
      <c r="C138" s="79"/>
      <c r="E138" s="39"/>
      <c r="F138" s="79"/>
      <c r="H138" s="39"/>
      <c r="I138" s="79"/>
      <c r="K138" s="39"/>
      <c r="L138" s="79"/>
      <c r="N138" s="39"/>
      <c r="O138" s="79"/>
    </row>
    <row r="139" spans="2:15" x14ac:dyDescent="0.3">
      <c r="B139" s="43"/>
      <c r="C139" s="78"/>
      <c r="E139" s="43"/>
      <c r="F139" s="78"/>
      <c r="H139" s="43"/>
      <c r="I139" s="78"/>
      <c r="K139" s="43"/>
      <c r="L139" s="78"/>
      <c r="N139" s="43"/>
      <c r="O139" s="78"/>
    </row>
    <row r="140" spans="2:15" x14ac:dyDescent="0.3">
      <c r="B140" s="39"/>
      <c r="C140" s="79"/>
      <c r="E140" s="39"/>
      <c r="F140" s="79"/>
      <c r="H140" s="39"/>
      <c r="I140" s="79"/>
      <c r="K140" s="39"/>
      <c r="L140" s="79"/>
      <c r="N140" s="39"/>
      <c r="O140" s="79"/>
    </row>
    <row r="141" spans="2:15" x14ac:dyDescent="0.3">
      <c r="B141" s="43"/>
      <c r="C141" s="78"/>
      <c r="E141" s="43"/>
      <c r="F141" s="78"/>
      <c r="H141" s="43"/>
      <c r="I141" s="78"/>
      <c r="K141" s="43"/>
      <c r="L141" s="78"/>
      <c r="N141" s="43"/>
      <c r="O141" s="78"/>
    </row>
    <row r="142" spans="2:15" x14ac:dyDescent="0.3">
      <c r="B142" s="39"/>
      <c r="C142" s="79"/>
      <c r="E142" s="39"/>
      <c r="F142" s="79"/>
      <c r="H142" s="39"/>
      <c r="I142" s="79"/>
      <c r="K142" s="39"/>
      <c r="L142" s="79"/>
      <c r="N142" s="39"/>
      <c r="O142" s="79"/>
    </row>
    <row r="143" spans="2:15" x14ac:dyDescent="0.3">
      <c r="B143" s="43"/>
      <c r="C143" s="78"/>
      <c r="E143" s="43"/>
      <c r="F143" s="78"/>
      <c r="H143" s="43"/>
      <c r="I143" s="78"/>
      <c r="K143" s="43"/>
      <c r="L143" s="78"/>
      <c r="N143" s="43"/>
      <c r="O143" s="78"/>
    </row>
    <row r="144" spans="2:15" x14ac:dyDescent="0.3">
      <c r="B144" s="39"/>
      <c r="C144" s="79"/>
      <c r="E144" s="39"/>
      <c r="F144" s="79"/>
      <c r="H144" s="39"/>
      <c r="I144" s="79"/>
      <c r="K144" s="39"/>
      <c r="L144" s="79"/>
      <c r="N144" s="39"/>
      <c r="O144" s="79"/>
    </row>
    <row r="145" spans="2:15" x14ac:dyDescent="0.3">
      <c r="B145" s="43"/>
      <c r="C145" s="78"/>
      <c r="E145" s="43"/>
      <c r="F145" s="78"/>
      <c r="H145" s="43"/>
      <c r="I145" s="78"/>
      <c r="K145" s="43"/>
      <c r="L145" s="78"/>
      <c r="N145" s="43"/>
      <c r="O145" s="78"/>
    </row>
    <row r="146" spans="2:15" x14ac:dyDescent="0.3">
      <c r="B146" s="39"/>
      <c r="C146" s="79"/>
      <c r="E146" s="39"/>
      <c r="F146" s="79"/>
      <c r="H146" s="39"/>
      <c r="I146" s="79"/>
      <c r="K146" s="39"/>
      <c r="L146" s="79"/>
      <c r="N146" s="39"/>
      <c r="O146" s="79"/>
    </row>
    <row r="147" spans="2:15" x14ac:dyDescent="0.3">
      <c r="B147" s="43"/>
      <c r="C147" s="78"/>
      <c r="E147" s="43"/>
      <c r="F147" s="78"/>
      <c r="H147" s="43"/>
      <c r="I147" s="78"/>
      <c r="K147" s="43"/>
      <c r="L147" s="78"/>
      <c r="N147" s="43"/>
      <c r="O147" s="78"/>
    </row>
    <row r="148" spans="2:15" x14ac:dyDescent="0.3">
      <c r="B148" s="39"/>
      <c r="C148" s="79"/>
      <c r="E148" s="39"/>
      <c r="F148" s="79"/>
      <c r="H148" s="39"/>
      <c r="I148" s="79"/>
      <c r="K148" s="39"/>
      <c r="L148" s="79"/>
      <c r="N148" s="39"/>
      <c r="O148" s="79"/>
    </row>
    <row r="149" spans="2:15" x14ac:dyDescent="0.3">
      <c r="B149" s="43"/>
      <c r="C149" s="78"/>
      <c r="E149" s="43"/>
      <c r="F149" s="78"/>
      <c r="H149" s="43"/>
      <c r="I149" s="78"/>
      <c r="K149" s="43"/>
      <c r="L149" s="78"/>
      <c r="N149" s="43"/>
      <c r="O149" s="78"/>
    </row>
    <row r="150" spans="2:15" x14ac:dyDescent="0.3">
      <c r="B150" s="39"/>
      <c r="C150" s="79"/>
      <c r="E150" s="39"/>
      <c r="F150" s="79"/>
      <c r="H150" s="39"/>
      <c r="I150" s="79"/>
      <c r="K150" s="39"/>
      <c r="L150" s="79"/>
      <c r="N150" s="39"/>
      <c r="O150" s="79"/>
    </row>
    <row r="151" spans="2:15" x14ac:dyDescent="0.3">
      <c r="B151" s="43"/>
      <c r="C151" s="78"/>
      <c r="E151" s="43"/>
      <c r="F151" s="78"/>
      <c r="H151" s="43"/>
      <c r="I151" s="78"/>
      <c r="K151" s="43"/>
      <c r="L151" s="78"/>
      <c r="N151" s="43"/>
      <c r="O151" s="78"/>
    </row>
    <row r="152" spans="2:15" x14ac:dyDescent="0.3">
      <c r="B152" s="39"/>
      <c r="C152" s="79"/>
      <c r="E152" s="39"/>
      <c r="F152" s="79"/>
      <c r="H152" s="39"/>
      <c r="I152" s="79"/>
      <c r="K152" s="39"/>
      <c r="L152" s="79"/>
      <c r="N152" s="39"/>
      <c r="O152" s="79"/>
    </row>
    <row r="153" spans="2:15" x14ac:dyDescent="0.3">
      <c r="B153" s="43"/>
      <c r="C153" s="78"/>
      <c r="E153" s="43"/>
      <c r="F153" s="78"/>
      <c r="H153" s="43"/>
      <c r="I153" s="78"/>
      <c r="K153" s="43"/>
      <c r="L153" s="78"/>
      <c r="N153" s="43"/>
      <c r="O153" s="78"/>
    </row>
    <row r="154" spans="2:15" x14ac:dyDescent="0.3">
      <c r="B154" s="39"/>
      <c r="C154" s="79"/>
      <c r="E154" s="39"/>
      <c r="F154" s="79"/>
      <c r="H154" s="39"/>
      <c r="I154" s="79"/>
      <c r="K154" s="39"/>
      <c r="L154" s="79"/>
      <c r="N154" s="39"/>
      <c r="O154" s="79"/>
    </row>
    <row r="155" spans="2:15" x14ac:dyDescent="0.3">
      <c r="B155" s="43"/>
      <c r="C155" s="78"/>
      <c r="E155" s="43"/>
      <c r="F155" s="78"/>
      <c r="H155" s="43"/>
      <c r="I155" s="78"/>
      <c r="K155" s="43"/>
      <c r="L155" s="78"/>
      <c r="N155" s="43"/>
      <c r="O155" s="78"/>
    </row>
    <row r="156" spans="2:15" x14ac:dyDescent="0.3">
      <c r="B156" s="39"/>
      <c r="C156" s="79"/>
      <c r="E156" s="39"/>
      <c r="F156" s="79"/>
      <c r="H156" s="39"/>
      <c r="I156" s="79"/>
      <c r="K156" s="39"/>
      <c r="L156" s="79"/>
      <c r="N156" s="39"/>
      <c r="O156" s="79"/>
    </row>
    <row r="157" spans="2:15" x14ac:dyDescent="0.3">
      <c r="B157" s="43"/>
      <c r="C157" s="78"/>
      <c r="E157" s="43"/>
      <c r="F157" s="78"/>
      <c r="H157" s="43"/>
      <c r="I157" s="78"/>
      <c r="K157" s="43"/>
      <c r="L157" s="78"/>
      <c r="N157" s="43"/>
      <c r="O157" s="78"/>
    </row>
    <row r="158" spans="2:15" x14ac:dyDescent="0.3">
      <c r="B158" s="39"/>
      <c r="C158" s="79"/>
      <c r="E158" s="39"/>
      <c r="F158" s="79"/>
      <c r="H158" s="39"/>
      <c r="I158" s="79"/>
      <c r="K158" s="39"/>
      <c r="L158" s="79"/>
      <c r="N158" s="39"/>
      <c r="O158" s="79"/>
    </row>
    <row r="159" spans="2:15" x14ac:dyDescent="0.3">
      <c r="B159" s="43"/>
      <c r="C159" s="78"/>
      <c r="E159" s="43"/>
      <c r="F159" s="78"/>
      <c r="H159" s="43"/>
      <c r="I159" s="78"/>
      <c r="K159" s="43"/>
      <c r="L159" s="78"/>
      <c r="N159" s="43"/>
      <c r="O159" s="78"/>
    </row>
    <row r="160" spans="2:15" x14ac:dyDescent="0.3">
      <c r="B160" s="39"/>
      <c r="C160" s="79"/>
      <c r="E160" s="39"/>
      <c r="F160" s="79"/>
      <c r="H160" s="39"/>
      <c r="I160" s="79"/>
      <c r="K160" s="39"/>
      <c r="L160" s="79"/>
      <c r="N160" s="39"/>
      <c r="O160" s="79"/>
    </row>
    <row r="161" spans="2:15" x14ac:dyDescent="0.3">
      <c r="B161" s="43"/>
      <c r="C161" s="78"/>
      <c r="E161" s="43"/>
      <c r="F161" s="78"/>
      <c r="H161" s="43"/>
      <c r="I161" s="78"/>
      <c r="K161" s="43"/>
      <c r="L161" s="78"/>
      <c r="N161" s="43"/>
      <c r="O161" s="78"/>
    </row>
    <row r="162" spans="2:15" x14ac:dyDescent="0.3">
      <c r="B162" s="39"/>
      <c r="C162" s="79"/>
      <c r="E162" s="39"/>
      <c r="F162" s="79"/>
      <c r="H162" s="39"/>
      <c r="I162" s="79"/>
      <c r="K162" s="39"/>
      <c r="L162" s="79"/>
      <c r="N162" s="39"/>
      <c r="O162" s="79"/>
    </row>
    <row r="163" spans="2:15" x14ac:dyDescent="0.3">
      <c r="B163" s="43"/>
      <c r="C163" s="78"/>
      <c r="E163" s="43"/>
      <c r="F163" s="78"/>
      <c r="H163" s="43"/>
      <c r="I163" s="78"/>
      <c r="K163" s="43"/>
      <c r="L163" s="78"/>
      <c r="N163" s="43"/>
      <c r="O163" s="78"/>
    </row>
    <row r="164" spans="2:15" x14ac:dyDescent="0.3">
      <c r="B164" s="39"/>
      <c r="C164" s="79"/>
      <c r="E164" s="39"/>
      <c r="F164" s="79"/>
      <c r="H164" s="39"/>
      <c r="I164" s="79"/>
      <c r="K164" s="39"/>
      <c r="L164" s="79"/>
      <c r="N164" s="39"/>
      <c r="O164" s="79"/>
    </row>
    <row r="165" spans="2:15" x14ac:dyDescent="0.3">
      <c r="B165" s="43"/>
      <c r="C165" s="78"/>
      <c r="E165" s="43"/>
      <c r="F165" s="78"/>
      <c r="H165" s="43"/>
      <c r="I165" s="78"/>
      <c r="K165" s="43"/>
      <c r="L165" s="78"/>
      <c r="N165" s="43"/>
      <c r="O165" s="78"/>
    </row>
    <row r="166" spans="2:15" x14ac:dyDescent="0.3">
      <c r="B166" s="39"/>
      <c r="C166" s="79"/>
      <c r="E166" s="39"/>
      <c r="F166" s="79"/>
      <c r="H166" s="39"/>
      <c r="I166" s="79"/>
      <c r="K166" s="39"/>
      <c r="L166" s="79"/>
      <c r="N166" s="39"/>
      <c r="O166" s="79"/>
    </row>
    <row r="167" spans="2:15" x14ac:dyDescent="0.3">
      <c r="B167" s="43"/>
      <c r="C167" s="78"/>
      <c r="E167" s="43"/>
      <c r="F167" s="78"/>
      <c r="H167" s="43"/>
      <c r="I167" s="78"/>
      <c r="K167" s="43"/>
      <c r="L167" s="78"/>
      <c r="N167" s="43"/>
      <c r="O167" s="78"/>
    </row>
    <row r="168" spans="2:15" x14ac:dyDescent="0.3">
      <c r="B168" s="39"/>
      <c r="C168" s="79"/>
      <c r="E168" s="39"/>
      <c r="F168" s="79"/>
      <c r="H168" s="39"/>
      <c r="I168" s="79"/>
      <c r="K168" s="39"/>
      <c r="L168" s="79"/>
      <c r="N168" s="39"/>
      <c r="O168" s="79"/>
    </row>
    <row r="169" spans="2:15" x14ac:dyDescent="0.3">
      <c r="B169" s="43"/>
      <c r="C169" s="78"/>
      <c r="E169" s="43"/>
      <c r="F169" s="78"/>
      <c r="H169" s="43"/>
      <c r="I169" s="78"/>
      <c r="K169" s="43"/>
      <c r="L169" s="78"/>
      <c r="N169" s="43"/>
      <c r="O169" s="78"/>
    </row>
    <row r="170" spans="2:15" x14ac:dyDescent="0.3">
      <c r="B170" s="39"/>
      <c r="C170" s="79"/>
      <c r="E170" s="39"/>
      <c r="F170" s="79"/>
      <c r="H170" s="39"/>
      <c r="I170" s="79"/>
      <c r="K170" s="39"/>
      <c r="L170" s="79"/>
      <c r="N170" s="39"/>
      <c r="O170" s="79"/>
    </row>
    <row r="171" spans="2:15" x14ac:dyDescent="0.3">
      <c r="B171" s="43"/>
      <c r="C171" s="78"/>
      <c r="E171" s="43"/>
      <c r="F171" s="78"/>
      <c r="H171" s="43"/>
      <c r="I171" s="78"/>
      <c r="K171" s="43"/>
      <c r="L171" s="78"/>
      <c r="N171" s="43"/>
      <c r="O171" s="78"/>
    </row>
    <row r="172" spans="2:15" x14ac:dyDescent="0.3">
      <c r="B172" s="39"/>
      <c r="C172" s="79"/>
      <c r="E172" s="39"/>
      <c r="F172" s="79"/>
      <c r="H172" s="39"/>
      <c r="I172" s="79"/>
      <c r="K172" s="39"/>
      <c r="L172" s="79"/>
      <c r="N172" s="39"/>
      <c r="O172" s="79"/>
    </row>
    <row r="173" spans="2:15" x14ac:dyDescent="0.3">
      <c r="B173" s="43"/>
      <c r="C173" s="78"/>
      <c r="E173" s="43"/>
      <c r="F173" s="78"/>
      <c r="H173" s="43"/>
      <c r="I173" s="78"/>
      <c r="K173" s="43"/>
      <c r="L173" s="78"/>
      <c r="N173" s="43"/>
      <c r="O173" s="78"/>
    </row>
    <row r="174" spans="2:15" x14ac:dyDescent="0.3">
      <c r="B174" s="39"/>
      <c r="C174" s="79"/>
      <c r="E174" s="39"/>
      <c r="F174" s="79"/>
      <c r="H174" s="39"/>
      <c r="I174" s="79"/>
      <c r="K174" s="39"/>
      <c r="L174" s="79"/>
      <c r="N174" s="39"/>
      <c r="O174" s="79"/>
    </row>
    <row r="175" spans="2:15" x14ac:dyDescent="0.3">
      <c r="B175" s="43"/>
      <c r="C175" s="78"/>
      <c r="E175" s="43"/>
      <c r="F175" s="78"/>
      <c r="H175" s="43"/>
      <c r="I175" s="78"/>
      <c r="K175" s="43"/>
      <c r="L175" s="78"/>
      <c r="N175" s="43"/>
      <c r="O175" s="78"/>
    </row>
    <row r="176" spans="2:15" x14ac:dyDescent="0.3">
      <c r="B176" s="39"/>
      <c r="C176" s="79"/>
      <c r="E176" s="39"/>
      <c r="F176" s="79"/>
      <c r="H176" s="39"/>
      <c r="I176" s="79"/>
      <c r="K176" s="39"/>
      <c r="L176" s="79"/>
      <c r="N176" s="39"/>
      <c r="O176" s="79"/>
    </row>
    <row r="177" spans="2:15" x14ac:dyDescent="0.3">
      <c r="B177" s="43"/>
      <c r="C177" s="78"/>
      <c r="E177" s="43"/>
      <c r="F177" s="78"/>
      <c r="H177" s="43"/>
      <c r="I177" s="78"/>
      <c r="K177" s="43"/>
      <c r="L177" s="78"/>
      <c r="N177" s="43"/>
      <c r="O177" s="78"/>
    </row>
    <row r="178" spans="2:15" x14ac:dyDescent="0.3">
      <c r="B178" s="39"/>
      <c r="C178" s="79"/>
      <c r="E178" s="39"/>
      <c r="F178" s="79"/>
      <c r="H178" s="39"/>
      <c r="I178" s="79"/>
      <c r="K178" s="39"/>
      <c r="L178" s="79"/>
      <c r="N178" s="39"/>
      <c r="O178" s="79"/>
    </row>
    <row r="179" spans="2:15" x14ac:dyDescent="0.3">
      <c r="B179" s="43"/>
      <c r="C179" s="78"/>
      <c r="E179" s="43"/>
      <c r="F179" s="78"/>
      <c r="H179" s="43"/>
      <c r="I179" s="78"/>
      <c r="K179" s="43"/>
      <c r="L179" s="78"/>
      <c r="N179" s="43"/>
      <c r="O179" s="78"/>
    </row>
    <row r="180" spans="2:15" x14ac:dyDescent="0.3">
      <c r="B180" s="39"/>
      <c r="C180" s="79"/>
      <c r="E180" s="39"/>
      <c r="F180" s="79"/>
      <c r="H180" s="39"/>
      <c r="I180" s="79"/>
      <c r="K180" s="39"/>
      <c r="L180" s="79"/>
      <c r="N180" s="39"/>
      <c r="O180" s="79"/>
    </row>
    <row r="181" spans="2:15" x14ac:dyDescent="0.3">
      <c r="B181" s="43"/>
      <c r="C181" s="78"/>
      <c r="E181" s="43"/>
      <c r="F181" s="78"/>
      <c r="H181" s="43"/>
      <c r="I181" s="78"/>
      <c r="K181" s="43"/>
      <c r="L181" s="78"/>
      <c r="N181" s="43"/>
      <c r="O181" s="78"/>
    </row>
    <row r="182" spans="2:15" x14ac:dyDescent="0.3">
      <c r="B182" s="39"/>
      <c r="C182" s="79"/>
      <c r="E182" s="39"/>
      <c r="F182" s="79"/>
      <c r="H182" s="39"/>
      <c r="I182" s="79"/>
      <c r="K182" s="39"/>
      <c r="L182" s="79"/>
      <c r="N182" s="39"/>
      <c r="O182" s="79"/>
    </row>
    <row r="183" spans="2:15" x14ac:dyDescent="0.3">
      <c r="B183" s="43"/>
      <c r="C183" s="78"/>
      <c r="E183" s="43"/>
      <c r="F183" s="78"/>
      <c r="H183" s="43"/>
      <c r="I183" s="78"/>
      <c r="K183" s="43"/>
      <c r="L183" s="78"/>
      <c r="N183" s="43"/>
      <c r="O183" s="78"/>
    </row>
    <row r="184" spans="2:15" x14ac:dyDescent="0.3">
      <c r="B184" s="39"/>
      <c r="C184" s="79"/>
      <c r="E184" s="39"/>
      <c r="F184" s="79"/>
      <c r="H184" s="39"/>
      <c r="I184" s="79"/>
      <c r="K184" s="39"/>
      <c r="L184" s="79"/>
      <c r="N184" s="39"/>
      <c r="O184" s="79"/>
    </row>
    <row r="185" spans="2:15" x14ac:dyDescent="0.3">
      <c r="B185" s="43"/>
      <c r="C185" s="78"/>
      <c r="E185" s="43"/>
      <c r="F185" s="78"/>
      <c r="H185" s="43"/>
      <c r="I185" s="78"/>
      <c r="K185" s="43"/>
      <c r="L185" s="78"/>
      <c r="N185" s="43"/>
      <c r="O185" s="78"/>
    </row>
    <row r="186" spans="2:15" x14ac:dyDescent="0.3">
      <c r="B186" s="39"/>
      <c r="C186" s="79"/>
      <c r="E186" s="39"/>
      <c r="F186" s="79"/>
      <c r="H186" s="39"/>
      <c r="I186" s="79"/>
      <c r="K186" s="39"/>
      <c r="L186" s="79"/>
      <c r="N186" s="39"/>
      <c r="O186" s="79"/>
    </row>
    <row r="187" spans="2:15" x14ac:dyDescent="0.3">
      <c r="B187" s="43"/>
      <c r="C187" s="78"/>
      <c r="E187" s="43"/>
      <c r="F187" s="78"/>
      <c r="H187" s="43"/>
      <c r="I187" s="78"/>
      <c r="K187" s="43"/>
      <c r="L187" s="78"/>
      <c r="N187" s="43"/>
      <c r="O187" s="78"/>
    </row>
    <row r="188" spans="2:15" x14ac:dyDescent="0.3">
      <c r="B188" s="39"/>
      <c r="C188" s="79"/>
      <c r="E188" s="39"/>
      <c r="F188" s="79"/>
      <c r="H188" s="39"/>
      <c r="I188" s="79"/>
      <c r="K188" s="39"/>
      <c r="L188" s="79"/>
      <c r="N188" s="39"/>
      <c r="O188" s="79"/>
    </row>
    <row r="189" spans="2:15" x14ac:dyDescent="0.3">
      <c r="B189" s="43"/>
      <c r="C189" s="78"/>
      <c r="E189" s="43"/>
      <c r="F189" s="78"/>
      <c r="H189" s="43"/>
      <c r="I189" s="78"/>
      <c r="K189" s="43"/>
      <c r="L189" s="78"/>
      <c r="N189" s="43"/>
      <c r="O189" s="78"/>
    </row>
    <row r="190" spans="2:15" x14ac:dyDescent="0.3">
      <c r="B190" s="39"/>
      <c r="C190" s="79"/>
      <c r="E190" s="39"/>
      <c r="F190" s="79"/>
      <c r="H190" s="39"/>
      <c r="I190" s="79"/>
      <c r="K190" s="39"/>
      <c r="L190" s="79"/>
      <c r="N190" s="39"/>
      <c r="O190" s="79"/>
    </row>
    <row r="191" spans="2:15" x14ac:dyDescent="0.3">
      <c r="B191" s="43"/>
      <c r="C191" s="78"/>
      <c r="E191" s="43"/>
      <c r="F191" s="78"/>
      <c r="H191" s="43"/>
      <c r="I191" s="78"/>
      <c r="K191" s="43"/>
      <c r="L191" s="78"/>
      <c r="N191" s="43"/>
      <c r="O191" s="78"/>
    </row>
    <row r="192" spans="2:15" x14ac:dyDescent="0.3">
      <c r="B192" s="39"/>
      <c r="C192" s="79"/>
      <c r="E192" s="39"/>
      <c r="F192" s="79"/>
      <c r="H192" s="39"/>
      <c r="I192" s="79"/>
      <c r="K192" s="39"/>
      <c r="L192" s="79"/>
      <c r="N192" s="39"/>
      <c r="O192" s="79"/>
    </row>
    <row r="193" spans="2:15" x14ac:dyDescent="0.3">
      <c r="B193" s="43"/>
      <c r="C193" s="78"/>
      <c r="E193" s="43"/>
      <c r="F193" s="78"/>
      <c r="H193" s="43"/>
      <c r="I193" s="78"/>
      <c r="K193" s="43"/>
      <c r="L193" s="78"/>
      <c r="N193" s="43"/>
      <c r="O193" s="78"/>
    </row>
    <row r="194" spans="2:15" x14ac:dyDescent="0.3">
      <c r="B194" s="39"/>
      <c r="C194" s="79"/>
      <c r="E194" s="39"/>
      <c r="F194" s="79"/>
      <c r="H194" s="39"/>
      <c r="I194" s="79"/>
      <c r="K194" s="39"/>
      <c r="L194" s="79"/>
      <c r="N194" s="39"/>
      <c r="O194" s="79"/>
    </row>
    <row r="195" spans="2:15" x14ac:dyDescent="0.3">
      <c r="B195" s="43"/>
      <c r="C195" s="78"/>
      <c r="E195" s="43"/>
      <c r="F195" s="78"/>
      <c r="H195" s="43"/>
      <c r="I195" s="78"/>
      <c r="K195" s="43"/>
      <c r="L195" s="78"/>
      <c r="N195" s="43"/>
      <c r="O195" s="78"/>
    </row>
    <row r="196" spans="2:15" x14ac:dyDescent="0.3">
      <c r="B196" s="39"/>
      <c r="C196" s="79"/>
      <c r="E196" s="39"/>
      <c r="F196" s="79"/>
      <c r="H196" s="39"/>
      <c r="I196" s="79"/>
      <c r="K196" s="39"/>
      <c r="L196" s="79"/>
      <c r="N196" s="39"/>
      <c r="O196" s="79"/>
    </row>
    <row r="197" spans="2:15" x14ac:dyDescent="0.3">
      <c r="B197" s="43"/>
      <c r="C197" s="78"/>
      <c r="E197" s="43"/>
      <c r="F197" s="78"/>
      <c r="H197" s="43"/>
      <c r="I197" s="78"/>
      <c r="K197" s="43"/>
      <c r="L197" s="78"/>
      <c r="N197" s="43"/>
      <c r="O197" s="78"/>
    </row>
    <row r="198" spans="2:15" x14ac:dyDescent="0.3">
      <c r="B198" s="39"/>
      <c r="C198" s="79"/>
      <c r="E198" s="39"/>
      <c r="F198" s="79"/>
      <c r="H198" s="39"/>
      <c r="I198" s="79"/>
      <c r="K198" s="39"/>
      <c r="L198" s="79"/>
      <c r="N198" s="39"/>
      <c r="O198" s="79"/>
    </row>
    <row r="199" spans="2:15" x14ac:dyDescent="0.3">
      <c r="B199" s="43"/>
      <c r="C199" s="78"/>
      <c r="E199" s="43"/>
      <c r="F199" s="78"/>
      <c r="H199" s="43"/>
      <c r="I199" s="78"/>
      <c r="K199" s="43"/>
      <c r="L199" s="78"/>
      <c r="N199" s="43"/>
      <c r="O199" s="78"/>
    </row>
    <row r="200" spans="2:15" x14ac:dyDescent="0.3">
      <c r="B200" s="39"/>
      <c r="C200" s="79"/>
      <c r="E200" s="39"/>
      <c r="F200" s="79"/>
      <c r="H200" s="39"/>
      <c r="I200" s="79"/>
      <c r="K200" s="39"/>
      <c r="L200" s="79"/>
      <c r="N200" s="39"/>
      <c r="O200" s="79"/>
    </row>
    <row r="201" spans="2:15" x14ac:dyDescent="0.3">
      <c r="B201" s="43"/>
      <c r="C201" s="78"/>
      <c r="E201" s="43"/>
      <c r="F201" s="78"/>
      <c r="H201" s="43"/>
      <c r="I201" s="78"/>
      <c r="K201" s="43"/>
      <c r="L201" s="78"/>
      <c r="N201" s="43"/>
      <c r="O201" s="78"/>
    </row>
    <row r="202" spans="2:15" x14ac:dyDescent="0.3">
      <c r="B202" s="39"/>
      <c r="C202" s="79"/>
      <c r="E202" s="39"/>
      <c r="F202" s="79"/>
      <c r="H202" s="39"/>
      <c r="I202" s="79"/>
      <c r="K202" s="39"/>
      <c r="L202" s="79"/>
      <c r="N202" s="39"/>
      <c r="O202" s="79"/>
    </row>
    <row r="203" spans="2:15" x14ac:dyDescent="0.3">
      <c r="B203" s="43"/>
      <c r="C203" s="78"/>
      <c r="E203" s="43"/>
      <c r="F203" s="78"/>
      <c r="H203" s="43"/>
      <c r="I203" s="78"/>
      <c r="K203" s="43"/>
      <c r="L203" s="78"/>
      <c r="N203" s="43"/>
      <c r="O203" s="78"/>
    </row>
    <row r="204" spans="2:15" x14ac:dyDescent="0.3">
      <c r="B204" s="39"/>
      <c r="C204" s="79"/>
      <c r="E204" s="39"/>
      <c r="F204" s="79"/>
      <c r="H204" s="39"/>
      <c r="I204" s="79"/>
      <c r="K204" s="39"/>
      <c r="L204" s="79"/>
      <c r="N204" s="39"/>
      <c r="O204" s="79"/>
    </row>
    <row r="205" spans="2:15" x14ac:dyDescent="0.3">
      <c r="B205" s="43"/>
      <c r="C205" s="78"/>
      <c r="E205" s="43"/>
      <c r="F205" s="78"/>
      <c r="H205" s="43"/>
      <c r="I205" s="78"/>
      <c r="K205" s="43"/>
      <c r="L205" s="78"/>
      <c r="N205" s="43"/>
      <c r="O205" s="78"/>
    </row>
    <row r="206" spans="2:15" x14ac:dyDescent="0.3">
      <c r="B206" s="39"/>
      <c r="C206" s="79"/>
      <c r="E206" s="39"/>
      <c r="F206" s="79"/>
      <c r="H206" s="39"/>
      <c r="I206" s="79"/>
      <c r="K206" s="39"/>
      <c r="L206" s="79"/>
      <c r="N206" s="39"/>
      <c r="O206" s="79"/>
    </row>
    <row r="207" spans="2:15" x14ac:dyDescent="0.3">
      <c r="B207" s="43"/>
      <c r="C207" s="78"/>
      <c r="E207" s="43"/>
      <c r="F207" s="78"/>
      <c r="H207" s="43"/>
      <c r="I207" s="78"/>
      <c r="K207" s="43"/>
      <c r="L207" s="78"/>
      <c r="N207" s="43"/>
      <c r="O207" s="78"/>
    </row>
    <row r="208" spans="2:15" x14ac:dyDescent="0.3">
      <c r="B208" s="39"/>
      <c r="C208" s="79"/>
      <c r="E208" s="39"/>
      <c r="F208" s="79"/>
      <c r="H208" s="39"/>
      <c r="I208" s="79"/>
      <c r="K208" s="39"/>
      <c r="L208" s="79"/>
      <c r="N208" s="39"/>
      <c r="O208" s="79"/>
    </row>
    <row r="209" spans="2:15" x14ac:dyDescent="0.3">
      <c r="B209" s="43"/>
      <c r="C209" s="78"/>
      <c r="E209" s="43"/>
      <c r="F209" s="78"/>
      <c r="H209" s="43"/>
      <c r="I209" s="78"/>
      <c r="K209" s="43"/>
      <c r="L209" s="78"/>
      <c r="N209" s="43"/>
      <c r="O209" s="78"/>
    </row>
    <row r="210" spans="2:15" x14ac:dyDescent="0.3">
      <c r="B210" s="39"/>
      <c r="C210" s="79"/>
      <c r="E210" s="39"/>
      <c r="F210" s="79"/>
      <c r="H210" s="39"/>
      <c r="I210" s="79"/>
      <c r="K210" s="39"/>
      <c r="L210" s="79"/>
      <c r="N210" s="39"/>
      <c r="O210" s="79"/>
    </row>
    <row r="211" spans="2:15" x14ac:dyDescent="0.3">
      <c r="B211" s="43"/>
      <c r="C211" s="78"/>
      <c r="E211" s="43"/>
      <c r="F211" s="78"/>
      <c r="H211" s="43"/>
      <c r="I211" s="78"/>
      <c r="K211" s="43"/>
      <c r="L211" s="78"/>
      <c r="N211" s="43"/>
      <c r="O211" s="78"/>
    </row>
    <row r="212" spans="2:15" x14ac:dyDescent="0.3">
      <c r="B212" s="39"/>
      <c r="C212" s="79"/>
      <c r="E212" s="39"/>
      <c r="F212" s="79"/>
      <c r="H212" s="39"/>
      <c r="I212" s="79"/>
      <c r="K212" s="39"/>
      <c r="L212" s="79"/>
      <c r="N212" s="39"/>
      <c r="O212" s="79"/>
    </row>
    <row r="213" spans="2:15" x14ac:dyDescent="0.3">
      <c r="B213" s="43"/>
      <c r="C213" s="78"/>
      <c r="E213" s="43"/>
      <c r="F213" s="78"/>
      <c r="H213" s="43"/>
      <c r="I213" s="78"/>
      <c r="K213" s="43"/>
      <c r="L213" s="78"/>
      <c r="N213" s="43"/>
      <c r="O213" s="78"/>
    </row>
    <row r="214" spans="2:15" x14ac:dyDescent="0.3">
      <c r="B214" s="39"/>
      <c r="C214" s="79"/>
      <c r="E214" s="39"/>
      <c r="F214" s="79"/>
      <c r="H214" s="39"/>
      <c r="I214" s="79"/>
      <c r="K214" s="39"/>
      <c r="L214" s="79"/>
      <c r="N214" s="39"/>
      <c r="O214" s="79"/>
    </row>
    <row r="215" spans="2:15" x14ac:dyDescent="0.3">
      <c r="B215" s="43"/>
      <c r="C215" s="78"/>
      <c r="E215" s="43"/>
      <c r="F215" s="78"/>
      <c r="H215" s="43"/>
      <c r="I215" s="78"/>
      <c r="K215" s="43"/>
      <c r="L215" s="78"/>
      <c r="N215" s="43"/>
      <c r="O215" s="78"/>
    </row>
    <row r="216" spans="2:15" x14ac:dyDescent="0.3">
      <c r="B216" s="39"/>
      <c r="C216" s="79"/>
      <c r="E216" s="39"/>
      <c r="F216" s="79"/>
      <c r="H216" s="39"/>
      <c r="I216" s="79"/>
      <c r="K216" s="39"/>
      <c r="L216" s="79"/>
      <c r="N216" s="39"/>
      <c r="O216" s="79"/>
    </row>
    <row r="217" spans="2:15" x14ac:dyDescent="0.3">
      <c r="B217" s="43"/>
      <c r="C217" s="78"/>
      <c r="E217" s="43"/>
      <c r="F217" s="78"/>
      <c r="H217" s="43"/>
      <c r="I217" s="78"/>
      <c r="K217" s="43"/>
      <c r="L217" s="78"/>
      <c r="N217" s="43"/>
      <c r="O217" s="78"/>
    </row>
    <row r="218" spans="2:15" x14ac:dyDescent="0.3">
      <c r="B218" s="39"/>
      <c r="C218" s="79"/>
      <c r="E218" s="39"/>
      <c r="F218" s="79"/>
      <c r="H218" s="39"/>
      <c r="I218" s="79"/>
      <c r="K218" s="39"/>
      <c r="L218" s="79"/>
      <c r="N218" s="39"/>
      <c r="O218" s="79"/>
    </row>
    <row r="219" spans="2:15" x14ac:dyDescent="0.3">
      <c r="B219" s="43"/>
      <c r="C219" s="78"/>
      <c r="E219" s="43"/>
      <c r="F219" s="78"/>
      <c r="H219" s="43"/>
      <c r="I219" s="78"/>
      <c r="K219" s="43"/>
      <c r="L219" s="78"/>
      <c r="N219" s="43"/>
      <c r="O219" s="78"/>
    </row>
    <row r="220" spans="2:15" x14ac:dyDescent="0.3">
      <c r="B220" s="39"/>
      <c r="C220" s="79"/>
      <c r="E220" s="39"/>
      <c r="F220" s="79"/>
      <c r="H220" s="39"/>
      <c r="I220" s="79"/>
      <c r="K220" s="39"/>
      <c r="L220" s="79"/>
      <c r="N220" s="39"/>
      <c r="O220" s="79"/>
    </row>
    <row r="221" spans="2:15" x14ac:dyDescent="0.3">
      <c r="B221" s="43"/>
      <c r="C221" s="78"/>
      <c r="E221" s="43"/>
      <c r="F221" s="78"/>
      <c r="H221" s="43"/>
      <c r="I221" s="78"/>
      <c r="K221" s="43"/>
      <c r="L221" s="78"/>
      <c r="N221" s="43"/>
      <c r="O221" s="78"/>
    </row>
    <row r="222" spans="2:15" x14ac:dyDescent="0.3">
      <c r="B222" s="39"/>
      <c r="C222" s="79"/>
      <c r="E222" s="39"/>
      <c r="F222" s="79"/>
      <c r="H222" s="39"/>
      <c r="I222" s="79"/>
      <c r="K222" s="39"/>
      <c r="L222" s="79"/>
      <c r="N222" s="39"/>
      <c r="O222" s="79"/>
    </row>
    <row r="223" spans="2:15" x14ac:dyDescent="0.3">
      <c r="B223" s="43"/>
      <c r="C223" s="78"/>
      <c r="E223" s="43"/>
      <c r="F223" s="78"/>
      <c r="H223" s="43"/>
      <c r="I223" s="78"/>
      <c r="K223" s="43"/>
      <c r="L223" s="78"/>
      <c r="N223" s="43"/>
      <c r="O223" s="78"/>
    </row>
    <row r="224" spans="2:15" x14ac:dyDescent="0.3">
      <c r="B224" s="39"/>
      <c r="C224" s="79"/>
      <c r="E224" s="39"/>
      <c r="F224" s="79"/>
      <c r="H224" s="39"/>
      <c r="I224" s="79"/>
      <c r="K224" s="39"/>
      <c r="L224" s="79"/>
      <c r="N224" s="39"/>
      <c r="O224" s="79"/>
    </row>
    <row r="225" spans="2:15" x14ac:dyDescent="0.3">
      <c r="B225" s="43"/>
      <c r="C225" s="78"/>
      <c r="E225" s="43"/>
      <c r="F225" s="78"/>
      <c r="H225" s="43"/>
      <c r="I225" s="78"/>
      <c r="K225" s="43"/>
      <c r="L225" s="78"/>
      <c r="N225" s="43"/>
      <c r="O225" s="78"/>
    </row>
    <row r="226" spans="2:15" x14ac:dyDescent="0.3">
      <c r="B226" s="39"/>
      <c r="C226" s="79"/>
      <c r="E226" s="39"/>
      <c r="F226" s="79"/>
      <c r="H226" s="39"/>
      <c r="I226" s="79"/>
      <c r="K226" s="39"/>
      <c r="L226" s="79"/>
      <c r="N226" s="39"/>
      <c r="O226" s="79"/>
    </row>
    <row r="227" spans="2:15" x14ac:dyDescent="0.3">
      <c r="B227" s="43"/>
      <c r="C227" s="78"/>
      <c r="E227" s="43"/>
      <c r="F227" s="78"/>
      <c r="H227" s="43"/>
      <c r="I227" s="78"/>
      <c r="K227" s="43"/>
      <c r="L227" s="78"/>
      <c r="N227" s="43"/>
      <c r="O227" s="78"/>
    </row>
    <row r="228" spans="2:15" x14ac:dyDescent="0.3">
      <c r="B228" s="39"/>
      <c r="C228" s="79"/>
      <c r="E228" s="39"/>
      <c r="F228" s="79"/>
      <c r="H228" s="39"/>
      <c r="I228" s="79"/>
      <c r="K228" s="39"/>
      <c r="L228" s="79"/>
      <c r="N228" s="39"/>
      <c r="O228" s="79"/>
    </row>
    <row r="229" spans="2:15" x14ac:dyDescent="0.3">
      <c r="B229" s="43"/>
      <c r="C229" s="78"/>
      <c r="E229" s="43"/>
      <c r="F229" s="78"/>
      <c r="H229" s="43"/>
      <c r="I229" s="78"/>
      <c r="K229" s="43"/>
      <c r="L229" s="78"/>
      <c r="N229" s="43"/>
      <c r="O229" s="78"/>
    </row>
    <row r="230" spans="2:15" x14ac:dyDescent="0.3">
      <c r="B230" s="39"/>
      <c r="C230" s="79"/>
      <c r="E230" s="39"/>
      <c r="F230" s="79"/>
      <c r="H230" s="39"/>
      <c r="I230" s="79"/>
      <c r="K230" s="39"/>
      <c r="L230" s="79"/>
      <c r="N230" s="39"/>
      <c r="O230" s="79"/>
    </row>
    <row r="231" spans="2:15" x14ac:dyDescent="0.3">
      <c r="B231" s="43"/>
      <c r="C231" s="78"/>
      <c r="E231" s="43"/>
      <c r="F231" s="78"/>
      <c r="H231" s="43"/>
      <c r="I231" s="78"/>
      <c r="K231" s="43"/>
      <c r="L231" s="78"/>
      <c r="N231" s="43"/>
      <c r="O231" s="78"/>
    </row>
    <row r="232" spans="2:15" x14ac:dyDescent="0.3">
      <c r="B232" s="39"/>
      <c r="C232" s="79"/>
      <c r="E232" s="39"/>
      <c r="F232" s="79"/>
      <c r="H232" s="39"/>
      <c r="I232" s="79"/>
      <c r="K232" s="39"/>
      <c r="L232" s="79"/>
      <c r="N232" s="39"/>
      <c r="O232" s="79"/>
    </row>
    <row r="233" spans="2:15" x14ac:dyDescent="0.3">
      <c r="B233" s="43"/>
      <c r="C233" s="78"/>
      <c r="E233" s="43"/>
      <c r="F233" s="78"/>
      <c r="H233" s="43"/>
      <c r="I233" s="78"/>
      <c r="K233" s="43"/>
      <c r="L233" s="78"/>
      <c r="N233" s="43"/>
      <c r="O233" s="78"/>
    </row>
    <row r="234" spans="2:15" x14ac:dyDescent="0.3">
      <c r="B234" s="39"/>
      <c r="C234" s="79"/>
      <c r="E234" s="39"/>
      <c r="F234" s="79"/>
      <c r="H234" s="39"/>
      <c r="I234" s="79"/>
      <c r="K234" s="39"/>
      <c r="L234" s="79"/>
      <c r="N234" s="39"/>
      <c r="O234" s="79"/>
    </row>
    <row r="235" spans="2:15" x14ac:dyDescent="0.3">
      <c r="B235" s="43"/>
      <c r="C235" s="78"/>
      <c r="E235" s="43"/>
      <c r="F235" s="78"/>
      <c r="H235" s="43"/>
      <c r="I235" s="78"/>
      <c r="K235" s="43"/>
      <c r="L235" s="78"/>
      <c r="N235" s="43"/>
      <c r="O235" s="78"/>
    </row>
    <row r="236" spans="2:15" x14ac:dyDescent="0.3">
      <c r="B236" s="39"/>
      <c r="C236" s="79"/>
      <c r="E236" s="39"/>
      <c r="F236" s="79"/>
      <c r="H236" s="39"/>
      <c r="I236" s="79"/>
      <c r="K236" s="39"/>
      <c r="L236" s="79"/>
      <c r="N236" s="39"/>
      <c r="O236" s="79"/>
    </row>
    <row r="237" spans="2:15" x14ac:dyDescent="0.3">
      <c r="B237" s="43"/>
      <c r="C237" s="78"/>
      <c r="E237" s="43"/>
      <c r="F237" s="78"/>
      <c r="H237" s="43"/>
      <c r="I237" s="78"/>
      <c r="K237" s="43"/>
      <c r="L237" s="78"/>
      <c r="N237" s="43"/>
      <c r="O237" s="78"/>
    </row>
    <row r="238" spans="2:15" x14ac:dyDescent="0.3">
      <c r="B238" s="39"/>
      <c r="C238" s="79"/>
      <c r="E238" s="39"/>
      <c r="F238" s="79"/>
      <c r="H238" s="39"/>
      <c r="I238" s="79"/>
      <c r="K238" s="39"/>
      <c r="L238" s="79"/>
      <c r="N238" s="39"/>
      <c r="O238" s="79"/>
    </row>
    <row r="239" spans="2:15" x14ac:dyDescent="0.3">
      <c r="B239" s="43"/>
      <c r="C239" s="78"/>
      <c r="E239" s="43"/>
      <c r="F239" s="78"/>
      <c r="H239" s="43"/>
      <c r="I239" s="78"/>
      <c r="K239" s="43"/>
      <c r="L239" s="78"/>
      <c r="N239" s="43"/>
      <c r="O239" s="78"/>
    </row>
    <row r="240" spans="2:15" x14ac:dyDescent="0.3">
      <c r="B240" s="39"/>
      <c r="C240" s="79"/>
      <c r="E240" s="39"/>
      <c r="F240" s="79"/>
      <c r="H240" s="39"/>
      <c r="I240" s="79"/>
      <c r="K240" s="39"/>
      <c r="L240" s="79"/>
      <c r="N240" s="39"/>
      <c r="O240" s="79"/>
    </row>
    <row r="241" spans="2:15" x14ac:dyDescent="0.3">
      <c r="B241" s="43"/>
      <c r="C241" s="78"/>
      <c r="E241" s="43"/>
      <c r="F241" s="78"/>
      <c r="H241" s="43"/>
      <c r="I241" s="78"/>
      <c r="K241" s="43"/>
      <c r="L241" s="78"/>
      <c r="N241" s="43"/>
      <c r="O241" s="78"/>
    </row>
    <row r="242" spans="2:15" x14ac:dyDescent="0.3">
      <c r="B242" s="39"/>
      <c r="C242" s="79"/>
      <c r="E242" s="39"/>
      <c r="F242" s="79"/>
      <c r="H242" s="39"/>
      <c r="I242" s="79"/>
      <c r="K242" s="39"/>
      <c r="L242" s="79"/>
      <c r="N242" s="39"/>
      <c r="O242" s="79"/>
    </row>
    <row r="243" spans="2:15" x14ac:dyDescent="0.3">
      <c r="B243" s="43"/>
      <c r="C243" s="78"/>
      <c r="E243" s="43"/>
      <c r="F243" s="78"/>
      <c r="H243" s="43"/>
      <c r="I243" s="78"/>
      <c r="K243" s="43"/>
      <c r="L243" s="78"/>
      <c r="N243" s="43"/>
      <c r="O243" s="78"/>
    </row>
    <row r="244" spans="2:15" x14ac:dyDescent="0.3">
      <c r="B244" s="39"/>
      <c r="C244" s="79"/>
      <c r="E244" s="39"/>
      <c r="F244" s="79"/>
      <c r="H244" s="39"/>
      <c r="I244" s="79"/>
      <c r="K244" s="39"/>
      <c r="L244" s="79"/>
      <c r="N244" s="39"/>
      <c r="O244" s="79"/>
    </row>
    <row r="245" spans="2:15" x14ac:dyDescent="0.3">
      <c r="B245" s="43"/>
      <c r="C245" s="78"/>
      <c r="E245" s="43"/>
      <c r="F245" s="78"/>
      <c r="H245" s="43"/>
      <c r="I245" s="78"/>
      <c r="K245" s="43"/>
      <c r="L245" s="78"/>
      <c r="N245" s="43"/>
      <c r="O245" s="78"/>
    </row>
    <row r="246" spans="2:15" x14ac:dyDescent="0.3">
      <c r="B246" s="39"/>
      <c r="C246" s="79"/>
      <c r="E246" s="39"/>
      <c r="F246" s="79"/>
      <c r="H246" s="39"/>
      <c r="I246" s="79"/>
      <c r="K246" s="39"/>
      <c r="L246" s="79"/>
      <c r="N246" s="39"/>
      <c r="O246" s="79"/>
    </row>
    <row r="247" spans="2:15" x14ac:dyDescent="0.3">
      <c r="B247" s="43"/>
      <c r="C247" s="78"/>
      <c r="E247" s="43"/>
      <c r="F247" s="78"/>
      <c r="H247" s="43"/>
      <c r="I247" s="78"/>
      <c r="K247" s="43"/>
      <c r="L247" s="78"/>
      <c r="N247" s="43"/>
      <c r="O247" s="78"/>
    </row>
    <row r="248" spans="2:15" x14ac:dyDescent="0.3">
      <c r="B248" s="39"/>
      <c r="C248" s="79"/>
      <c r="E248" s="39"/>
      <c r="F248" s="79"/>
      <c r="H248" s="39"/>
      <c r="I248" s="79"/>
      <c r="K248" s="39"/>
      <c r="L248" s="79"/>
      <c r="N248" s="39"/>
      <c r="O248" s="79"/>
    </row>
    <row r="249" spans="2:15" x14ac:dyDescent="0.3">
      <c r="B249" s="43"/>
      <c r="C249" s="78"/>
      <c r="E249" s="43"/>
      <c r="F249" s="78"/>
      <c r="H249" s="43"/>
      <c r="I249" s="78"/>
      <c r="K249" s="43"/>
      <c r="L249" s="78"/>
      <c r="N249" s="43"/>
      <c r="O249" s="78"/>
    </row>
    <row r="250" spans="2:15" x14ac:dyDescent="0.3">
      <c r="B250" s="39"/>
      <c r="C250" s="79"/>
      <c r="E250" s="39"/>
      <c r="F250" s="79"/>
      <c r="H250" s="39"/>
      <c r="I250" s="79"/>
      <c r="K250" s="39"/>
      <c r="L250" s="79"/>
      <c r="N250" s="39"/>
      <c r="O250" s="79"/>
    </row>
    <row r="251" spans="2:15" x14ac:dyDescent="0.3">
      <c r="B251" s="43"/>
      <c r="C251" s="78"/>
      <c r="E251" s="43"/>
      <c r="F251" s="78"/>
      <c r="H251" s="43"/>
      <c r="I251" s="78"/>
      <c r="K251" s="43"/>
      <c r="L251" s="78"/>
      <c r="N251" s="43"/>
      <c r="O251" s="78"/>
    </row>
    <row r="252" spans="2:15" x14ac:dyDescent="0.3">
      <c r="B252" s="39"/>
      <c r="C252" s="79"/>
      <c r="E252" s="39"/>
      <c r="F252" s="79"/>
      <c r="H252" s="39"/>
      <c r="I252" s="79"/>
      <c r="K252" s="39"/>
      <c r="L252" s="79"/>
      <c r="N252" s="39"/>
      <c r="O252" s="79"/>
    </row>
    <row r="253" spans="2:15" x14ac:dyDescent="0.3">
      <c r="B253" s="43"/>
      <c r="C253" s="78"/>
      <c r="E253" s="43"/>
      <c r="F253" s="78"/>
      <c r="H253" s="43"/>
      <c r="I253" s="78"/>
      <c r="K253" s="43"/>
      <c r="L253" s="78"/>
      <c r="N253" s="43"/>
      <c r="O253" s="78"/>
    </row>
    <row r="254" spans="2:15" x14ac:dyDescent="0.3">
      <c r="B254" s="39"/>
      <c r="C254" s="79"/>
      <c r="E254" s="39"/>
      <c r="F254" s="79"/>
      <c r="H254" s="39"/>
      <c r="I254" s="79"/>
      <c r="K254" s="39"/>
      <c r="L254" s="79"/>
      <c r="N254" s="39"/>
      <c r="O254" s="79"/>
    </row>
    <row r="255" spans="2:15" x14ac:dyDescent="0.3">
      <c r="B255" s="43"/>
      <c r="C255" s="78"/>
      <c r="E255" s="43"/>
      <c r="F255" s="78"/>
      <c r="H255" s="43"/>
      <c r="I255" s="78"/>
      <c r="K255" s="43"/>
      <c r="L255" s="78"/>
      <c r="N255" s="43"/>
      <c r="O255" s="78"/>
    </row>
    <row r="256" spans="2:15" x14ac:dyDescent="0.3">
      <c r="B256" s="39"/>
      <c r="C256" s="79"/>
      <c r="E256" s="39"/>
      <c r="F256" s="79"/>
      <c r="H256" s="39"/>
      <c r="I256" s="79"/>
      <c r="K256" s="39"/>
      <c r="L256" s="79"/>
      <c r="N256" s="39"/>
      <c r="O256" s="79"/>
    </row>
    <row r="257" spans="2:15" x14ac:dyDescent="0.3">
      <c r="B257" s="43"/>
      <c r="C257" s="78"/>
      <c r="E257" s="43"/>
      <c r="F257" s="78"/>
      <c r="H257" s="43"/>
      <c r="I257" s="78"/>
      <c r="K257" s="43"/>
      <c r="L257" s="78"/>
      <c r="N257" s="43"/>
      <c r="O257" s="78"/>
    </row>
    <row r="258" spans="2:15" x14ac:dyDescent="0.3">
      <c r="B258" s="39"/>
      <c r="C258" s="79"/>
      <c r="E258" s="39"/>
      <c r="F258" s="79"/>
      <c r="H258" s="39"/>
      <c r="I258" s="79"/>
      <c r="K258" s="39"/>
      <c r="L258" s="79"/>
      <c r="N258" s="39"/>
      <c r="O258" s="79"/>
    </row>
    <row r="259" spans="2:15" x14ac:dyDescent="0.3">
      <c r="B259" s="43"/>
      <c r="C259" s="78"/>
      <c r="E259" s="43"/>
      <c r="F259" s="78"/>
      <c r="H259" s="43"/>
      <c r="I259" s="78"/>
      <c r="K259" s="43"/>
      <c r="L259" s="78"/>
      <c r="N259" s="43"/>
      <c r="O259" s="78"/>
    </row>
    <row r="260" spans="2:15" x14ac:dyDescent="0.3">
      <c r="B260" s="39"/>
      <c r="C260" s="79"/>
      <c r="E260" s="39"/>
      <c r="F260" s="79"/>
      <c r="H260" s="39"/>
      <c r="I260" s="79"/>
      <c r="K260" s="39"/>
      <c r="L260" s="79"/>
      <c r="N260" s="39"/>
      <c r="O260" s="79"/>
    </row>
    <row r="261" spans="2:15" x14ac:dyDescent="0.3">
      <c r="B261" s="43"/>
      <c r="C261" s="78"/>
      <c r="E261" s="43"/>
      <c r="F261" s="78"/>
      <c r="H261" s="43"/>
      <c r="I261" s="78"/>
      <c r="K261" s="43"/>
      <c r="L261" s="78"/>
      <c r="N261" s="43"/>
      <c r="O261" s="78"/>
    </row>
    <row r="262" spans="2:15" x14ac:dyDescent="0.3">
      <c r="B262" s="39"/>
      <c r="C262" s="79"/>
      <c r="E262" s="39"/>
      <c r="F262" s="79"/>
      <c r="H262" s="39"/>
      <c r="I262" s="79"/>
      <c r="K262" s="39"/>
      <c r="L262" s="79"/>
      <c r="N262" s="39"/>
      <c r="O262" s="79"/>
    </row>
    <row r="263" spans="2:15" x14ac:dyDescent="0.3">
      <c r="B263" s="43"/>
      <c r="C263" s="78"/>
      <c r="E263" s="43"/>
      <c r="F263" s="78"/>
      <c r="H263" s="43"/>
      <c r="I263" s="78"/>
      <c r="K263" s="43"/>
      <c r="L263" s="78"/>
      <c r="N263" s="43"/>
      <c r="O263" s="78"/>
    </row>
    <row r="264" spans="2:15" x14ac:dyDescent="0.3">
      <c r="B264" s="39"/>
      <c r="C264" s="79"/>
      <c r="E264" s="39"/>
      <c r="F264" s="79"/>
      <c r="H264" s="39"/>
      <c r="I264" s="79"/>
      <c r="K264" s="39"/>
      <c r="L264" s="79"/>
      <c r="N264" s="39"/>
      <c r="O264" s="79"/>
    </row>
    <row r="265" spans="2:15" x14ac:dyDescent="0.3">
      <c r="B265" s="43"/>
      <c r="C265" s="78"/>
      <c r="E265" s="43"/>
      <c r="F265" s="78"/>
      <c r="H265" s="43"/>
      <c r="I265" s="78"/>
      <c r="K265" s="43"/>
      <c r="L265" s="78"/>
      <c r="N265" s="43"/>
      <c r="O265" s="78"/>
    </row>
    <row r="266" spans="2:15" x14ac:dyDescent="0.3">
      <c r="B266" s="39"/>
      <c r="C266" s="79"/>
      <c r="E266" s="39"/>
      <c r="F266" s="79"/>
      <c r="H266" s="39"/>
      <c r="I266" s="79"/>
      <c r="K266" s="39"/>
      <c r="L266" s="79"/>
      <c r="N266" s="39"/>
      <c r="O266" s="79"/>
    </row>
    <row r="267" spans="2:15" x14ac:dyDescent="0.3">
      <c r="B267" s="43"/>
      <c r="C267" s="78"/>
      <c r="E267" s="43"/>
      <c r="F267" s="78"/>
      <c r="H267" s="43"/>
      <c r="I267" s="78"/>
      <c r="K267" s="43"/>
      <c r="L267" s="78"/>
      <c r="N267" s="43"/>
      <c r="O267" s="78"/>
    </row>
    <row r="268" spans="2:15" x14ac:dyDescent="0.3">
      <c r="B268" s="39"/>
      <c r="C268" s="79"/>
      <c r="E268" s="39"/>
      <c r="F268" s="79"/>
      <c r="H268" s="39"/>
      <c r="I268" s="79"/>
      <c r="K268" s="39"/>
      <c r="L268" s="79"/>
      <c r="N268" s="39"/>
      <c r="O268" s="79"/>
    </row>
    <row r="269" spans="2:15" x14ac:dyDescent="0.3">
      <c r="B269" s="43"/>
      <c r="C269" s="78"/>
      <c r="E269" s="43"/>
      <c r="F269" s="78"/>
      <c r="H269" s="43"/>
      <c r="I269" s="78"/>
      <c r="K269" s="43"/>
      <c r="L269" s="78"/>
      <c r="N269" s="43"/>
      <c r="O269" s="78"/>
    </row>
    <row r="270" spans="2:15" x14ac:dyDescent="0.3">
      <c r="B270" s="39"/>
      <c r="C270" s="79"/>
      <c r="E270" s="39"/>
      <c r="F270" s="79"/>
      <c r="H270" s="39"/>
      <c r="I270" s="79"/>
      <c r="K270" s="39"/>
      <c r="L270" s="79"/>
      <c r="N270" s="39"/>
      <c r="O270" s="79"/>
    </row>
    <row r="271" spans="2:15" x14ac:dyDescent="0.3">
      <c r="B271" s="43"/>
      <c r="C271" s="78"/>
      <c r="E271" s="43"/>
      <c r="F271" s="78"/>
      <c r="H271" s="43"/>
      <c r="I271" s="78"/>
      <c r="K271" s="43"/>
      <c r="L271" s="78"/>
      <c r="N271" s="43"/>
      <c r="O271" s="78"/>
    </row>
    <row r="272" spans="2:15" x14ac:dyDescent="0.3">
      <c r="B272" s="39"/>
      <c r="C272" s="79"/>
      <c r="E272" s="39"/>
      <c r="F272" s="79"/>
      <c r="H272" s="39"/>
      <c r="I272" s="79"/>
      <c r="K272" s="39"/>
      <c r="L272" s="79"/>
      <c r="N272" s="39"/>
      <c r="O272" s="79"/>
    </row>
    <row r="273" spans="2:15" x14ac:dyDescent="0.3">
      <c r="B273" s="43"/>
      <c r="C273" s="78"/>
      <c r="E273" s="43"/>
      <c r="F273" s="78"/>
      <c r="H273" s="43"/>
      <c r="I273" s="78"/>
      <c r="K273" s="43"/>
      <c r="L273" s="78"/>
      <c r="N273" s="43"/>
      <c r="O273" s="78"/>
    </row>
    <row r="274" spans="2:15" x14ac:dyDescent="0.3">
      <c r="B274" s="39"/>
      <c r="C274" s="79"/>
      <c r="E274" s="39"/>
      <c r="F274" s="79"/>
      <c r="H274" s="39"/>
      <c r="I274" s="79"/>
      <c r="K274" s="39"/>
      <c r="L274" s="79"/>
      <c r="N274" s="39"/>
      <c r="O274" s="79"/>
    </row>
    <row r="275" spans="2:15" x14ac:dyDescent="0.3">
      <c r="B275" s="43"/>
      <c r="C275" s="78"/>
      <c r="E275" s="43"/>
      <c r="F275" s="78"/>
      <c r="H275" s="43"/>
      <c r="I275" s="78"/>
      <c r="K275" s="43"/>
      <c r="L275" s="78"/>
      <c r="N275" s="43"/>
      <c r="O275" s="78"/>
    </row>
    <row r="276" spans="2:15" x14ac:dyDescent="0.3">
      <c r="B276" s="39"/>
      <c r="C276" s="79"/>
      <c r="E276" s="39"/>
      <c r="F276" s="79"/>
      <c r="H276" s="39"/>
      <c r="I276" s="79"/>
      <c r="K276" s="39"/>
      <c r="L276" s="79"/>
      <c r="N276" s="39"/>
      <c r="O276" s="79"/>
    </row>
    <row r="277" spans="2:15" x14ac:dyDescent="0.3">
      <c r="B277" s="43"/>
      <c r="C277" s="78"/>
      <c r="E277" s="43"/>
      <c r="F277" s="78"/>
      <c r="H277" s="43"/>
      <c r="I277" s="78"/>
      <c r="K277" s="43"/>
      <c r="L277" s="78"/>
      <c r="N277" s="43"/>
      <c r="O277" s="78"/>
    </row>
    <row r="278" spans="2:15" x14ac:dyDescent="0.3">
      <c r="B278" s="39"/>
      <c r="C278" s="79"/>
      <c r="E278" s="39"/>
      <c r="F278" s="79"/>
      <c r="H278" s="39"/>
      <c r="I278" s="79"/>
      <c r="K278" s="39"/>
      <c r="L278" s="79"/>
      <c r="N278" s="39"/>
      <c r="O278" s="79"/>
    </row>
    <row r="279" spans="2:15" x14ac:dyDescent="0.3">
      <c r="B279" s="43"/>
      <c r="C279" s="78"/>
      <c r="E279" s="43"/>
      <c r="F279" s="78"/>
      <c r="H279" s="43"/>
      <c r="I279" s="78"/>
      <c r="K279" s="43"/>
      <c r="L279" s="78"/>
      <c r="N279" s="43"/>
      <c r="O279" s="78"/>
    </row>
    <row r="280" spans="2:15" x14ac:dyDescent="0.3">
      <c r="B280" s="39"/>
      <c r="C280" s="79"/>
      <c r="E280" s="39"/>
      <c r="F280" s="79"/>
      <c r="H280" s="39"/>
      <c r="I280" s="79"/>
      <c r="K280" s="39"/>
      <c r="L280" s="79"/>
      <c r="N280" s="39"/>
      <c r="O280" s="79"/>
    </row>
    <row r="281" spans="2:15" x14ac:dyDescent="0.3">
      <c r="B281" s="43"/>
      <c r="C281" s="78"/>
      <c r="E281" s="43"/>
      <c r="F281" s="78"/>
      <c r="H281" s="43"/>
      <c r="I281" s="78"/>
      <c r="K281" s="43"/>
      <c r="L281" s="78"/>
      <c r="N281" s="43"/>
      <c r="O281" s="78"/>
    </row>
    <row r="282" spans="2:15" x14ac:dyDescent="0.3">
      <c r="B282" s="39"/>
      <c r="C282" s="79"/>
      <c r="E282" s="39"/>
      <c r="F282" s="79"/>
      <c r="H282" s="39"/>
      <c r="I282" s="79"/>
      <c r="K282" s="39"/>
      <c r="L282" s="79"/>
      <c r="N282" s="39"/>
      <c r="O282" s="79"/>
    </row>
    <row r="283" spans="2:15" x14ac:dyDescent="0.3">
      <c r="B283" s="43"/>
      <c r="C283" s="78"/>
      <c r="E283" s="43"/>
      <c r="F283" s="78"/>
      <c r="H283" s="43"/>
      <c r="I283" s="78"/>
      <c r="K283" s="43"/>
      <c r="L283" s="78"/>
      <c r="N283" s="43"/>
      <c r="O283" s="78"/>
    </row>
    <row r="284" spans="2:15" x14ac:dyDescent="0.3">
      <c r="B284" s="39"/>
      <c r="C284" s="79"/>
      <c r="E284" s="39"/>
      <c r="F284" s="79"/>
      <c r="H284" s="39"/>
      <c r="I284" s="79"/>
      <c r="K284" s="39"/>
      <c r="L284" s="79"/>
      <c r="N284" s="39"/>
      <c r="O284" s="79"/>
    </row>
    <row r="285" spans="2:15" x14ac:dyDescent="0.3">
      <c r="B285" s="43"/>
      <c r="C285" s="78"/>
      <c r="E285" s="43"/>
      <c r="F285" s="78"/>
      <c r="H285" s="43"/>
      <c r="I285" s="78"/>
      <c r="K285" s="43"/>
      <c r="L285" s="78"/>
      <c r="N285" s="43"/>
      <c r="O285" s="78"/>
    </row>
    <row r="286" spans="2:15" x14ac:dyDescent="0.3">
      <c r="B286" s="39"/>
      <c r="C286" s="79"/>
      <c r="E286" s="39"/>
      <c r="F286" s="79"/>
      <c r="H286" s="39"/>
      <c r="I286" s="79"/>
      <c r="K286" s="39"/>
      <c r="L286" s="79"/>
      <c r="N286" s="39"/>
      <c r="O286" s="79"/>
    </row>
    <row r="287" spans="2:15" x14ac:dyDescent="0.3">
      <c r="B287" s="43"/>
      <c r="C287" s="78"/>
      <c r="E287" s="43"/>
      <c r="F287" s="78"/>
      <c r="H287" s="43"/>
      <c r="I287" s="78"/>
      <c r="K287" s="43"/>
      <c r="L287" s="78"/>
      <c r="N287" s="43"/>
      <c r="O287" s="78"/>
    </row>
    <row r="288" spans="2:15" x14ac:dyDescent="0.3">
      <c r="B288" s="39"/>
      <c r="C288" s="79"/>
      <c r="E288" s="39"/>
      <c r="F288" s="79"/>
      <c r="H288" s="39"/>
      <c r="I288" s="79"/>
      <c r="K288" s="39"/>
      <c r="L288" s="79"/>
      <c r="N288" s="39"/>
      <c r="O288" s="79"/>
    </row>
    <row r="289" spans="2:15" x14ac:dyDescent="0.3">
      <c r="B289" s="43"/>
      <c r="C289" s="78"/>
      <c r="E289" s="43"/>
      <c r="F289" s="78"/>
      <c r="H289" s="43"/>
      <c r="I289" s="78"/>
      <c r="K289" s="43"/>
      <c r="L289" s="78"/>
      <c r="N289" s="43"/>
      <c r="O289" s="78"/>
    </row>
    <row r="290" spans="2:15" x14ac:dyDescent="0.3">
      <c r="B290" s="39"/>
      <c r="C290" s="79"/>
      <c r="E290" s="39"/>
      <c r="F290" s="79"/>
      <c r="H290" s="39"/>
      <c r="I290" s="79"/>
      <c r="K290" s="39"/>
      <c r="L290" s="79"/>
      <c r="N290" s="39"/>
      <c r="O290" s="79"/>
    </row>
    <row r="291" spans="2:15" x14ac:dyDescent="0.3">
      <c r="B291" s="43"/>
      <c r="C291" s="78"/>
      <c r="E291" s="43"/>
      <c r="F291" s="78"/>
      <c r="H291" s="43"/>
      <c r="I291" s="78"/>
      <c r="K291" s="43"/>
      <c r="L291" s="78"/>
      <c r="N291" s="43"/>
      <c r="O291" s="78"/>
    </row>
    <row r="292" spans="2:15" x14ac:dyDescent="0.3">
      <c r="B292" s="39"/>
      <c r="C292" s="79"/>
      <c r="E292" s="39"/>
      <c r="F292" s="79"/>
      <c r="H292" s="39"/>
      <c r="I292" s="79"/>
      <c r="K292" s="39"/>
      <c r="L292" s="79"/>
      <c r="N292" s="39"/>
      <c r="O292" s="79"/>
    </row>
    <row r="293" spans="2:15" x14ac:dyDescent="0.3">
      <c r="B293" s="43"/>
      <c r="C293" s="78"/>
      <c r="E293" s="43"/>
      <c r="F293" s="78"/>
      <c r="H293" s="43"/>
      <c r="I293" s="78"/>
      <c r="K293" s="43"/>
      <c r="L293" s="78"/>
      <c r="N293" s="43"/>
      <c r="O293" s="78"/>
    </row>
    <row r="294" spans="2:15" x14ac:dyDescent="0.3">
      <c r="B294" s="39"/>
      <c r="C294" s="79"/>
      <c r="E294" s="39"/>
      <c r="F294" s="79"/>
      <c r="H294" s="39"/>
      <c r="I294" s="79"/>
      <c r="K294" s="39"/>
      <c r="L294" s="79"/>
      <c r="N294" s="39"/>
      <c r="O294" s="79"/>
    </row>
    <row r="295" spans="2:15" x14ac:dyDescent="0.3">
      <c r="B295" s="43"/>
      <c r="C295" s="78"/>
      <c r="E295" s="43"/>
      <c r="F295" s="78"/>
      <c r="H295" s="43"/>
      <c r="I295" s="78"/>
      <c r="K295" s="43"/>
      <c r="L295" s="78"/>
      <c r="N295" s="43"/>
      <c r="O295" s="78"/>
    </row>
    <row r="296" spans="2:15" x14ac:dyDescent="0.3">
      <c r="B296" s="39"/>
      <c r="C296" s="79"/>
      <c r="E296" s="39"/>
      <c r="F296" s="79"/>
      <c r="H296" s="39"/>
      <c r="I296" s="79"/>
      <c r="K296" s="39"/>
      <c r="L296" s="79"/>
      <c r="N296" s="39"/>
      <c r="O296" s="79"/>
    </row>
    <row r="297" spans="2:15" x14ac:dyDescent="0.3">
      <c r="B297" s="43"/>
      <c r="C297" s="78"/>
      <c r="E297" s="43"/>
      <c r="F297" s="78"/>
      <c r="H297" s="43"/>
      <c r="I297" s="78"/>
      <c r="K297" s="43"/>
      <c r="L297" s="78"/>
      <c r="N297" s="43"/>
      <c r="O297" s="78"/>
    </row>
    <row r="298" spans="2:15" x14ac:dyDescent="0.3">
      <c r="B298" s="39"/>
      <c r="C298" s="79"/>
      <c r="E298" s="39"/>
      <c r="F298" s="79"/>
      <c r="H298" s="39"/>
      <c r="I298" s="79"/>
      <c r="K298" s="39"/>
      <c r="L298" s="79"/>
      <c r="N298" s="39"/>
      <c r="O298" s="79"/>
    </row>
  </sheetData>
  <mergeCells count="75">
    <mergeCell ref="K1:L1"/>
    <mergeCell ref="N1:O1"/>
    <mergeCell ref="B1:C1"/>
    <mergeCell ref="E1:F1"/>
    <mergeCell ref="H1:I1"/>
    <mergeCell ref="B2:C2"/>
    <mergeCell ref="B11:C11"/>
    <mergeCell ref="B21:C21"/>
    <mergeCell ref="B28:C28"/>
    <mergeCell ref="B27:C27"/>
    <mergeCell ref="B29:C29"/>
    <mergeCell ref="B30:C30"/>
    <mergeCell ref="B31:C31"/>
    <mergeCell ref="B33:C33"/>
    <mergeCell ref="B22:C22"/>
    <mergeCell ref="B23:C23"/>
    <mergeCell ref="B24:C24"/>
    <mergeCell ref="B25:C25"/>
    <mergeCell ref="B26:C26"/>
    <mergeCell ref="E30:F30"/>
    <mergeCell ref="E2:F2"/>
    <mergeCell ref="E11:F11"/>
    <mergeCell ref="E21:F21"/>
    <mergeCell ref="E22:F22"/>
    <mergeCell ref="E23:F23"/>
    <mergeCell ref="E24:F24"/>
    <mergeCell ref="H33:I33"/>
    <mergeCell ref="E31:F31"/>
    <mergeCell ref="E33:F33"/>
    <mergeCell ref="H2:I2"/>
    <mergeCell ref="H11:I11"/>
    <mergeCell ref="H21:I21"/>
    <mergeCell ref="H22:I22"/>
    <mergeCell ref="H23:I23"/>
    <mergeCell ref="H24:I24"/>
    <mergeCell ref="H25:I25"/>
    <mergeCell ref="H26:I26"/>
    <mergeCell ref="E25:F25"/>
    <mergeCell ref="E26:F26"/>
    <mergeCell ref="E27:F27"/>
    <mergeCell ref="E28:F28"/>
    <mergeCell ref="E29:F29"/>
    <mergeCell ref="H27:I27"/>
    <mergeCell ref="H28:I28"/>
    <mergeCell ref="H29:I29"/>
    <mergeCell ref="H30:I30"/>
    <mergeCell ref="H31:I31"/>
    <mergeCell ref="K30:L30"/>
    <mergeCell ref="K2:L2"/>
    <mergeCell ref="K11:L11"/>
    <mergeCell ref="K21:L21"/>
    <mergeCell ref="K22:L22"/>
    <mergeCell ref="K23:L23"/>
    <mergeCell ref="K24:L24"/>
    <mergeCell ref="N33:O33"/>
    <mergeCell ref="K31:L31"/>
    <mergeCell ref="K33:L33"/>
    <mergeCell ref="N2:O2"/>
    <mergeCell ref="N11:O11"/>
    <mergeCell ref="N21:O21"/>
    <mergeCell ref="N22:O22"/>
    <mergeCell ref="N23:O23"/>
    <mergeCell ref="N24:O24"/>
    <mergeCell ref="N25:O25"/>
    <mergeCell ref="N26:O26"/>
    <mergeCell ref="K25:L25"/>
    <mergeCell ref="K26:L26"/>
    <mergeCell ref="K27:L27"/>
    <mergeCell ref="K28:L28"/>
    <mergeCell ref="K29:L29"/>
    <mergeCell ref="N27:O27"/>
    <mergeCell ref="N28:O28"/>
    <mergeCell ref="N29:O29"/>
    <mergeCell ref="N30:O30"/>
    <mergeCell ref="N31:O3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3D1EB-5131-4333-8345-409C459A5A6C}">
  <sheetPr codeName="Sheet11"/>
  <dimension ref="A1:AC2769"/>
  <sheetViews>
    <sheetView zoomScale="70" zoomScaleNormal="70" workbookViewId="0">
      <selection activeCell="G42" sqref="G42"/>
    </sheetView>
  </sheetViews>
  <sheetFormatPr defaultColWidth="0" defaultRowHeight="14.5" x14ac:dyDescent="0.35"/>
  <cols>
    <col min="1" max="1" width="2.81640625" style="61" customWidth="1"/>
    <col min="2" max="2" width="20" style="71" customWidth="1"/>
    <col min="3" max="3" width="16.1796875" style="71" customWidth="1"/>
    <col min="4" max="7" width="14.90625" style="84" customWidth="1"/>
    <col min="8" max="8" width="2.81640625" style="61" customWidth="1"/>
    <col min="9" max="9" width="20" style="71" hidden="1"/>
    <col min="10" max="10" width="16.1796875" style="71" hidden="1"/>
    <col min="11" max="11" width="14.90625" style="72" hidden="1"/>
    <col min="12" max="12" width="2.81640625" style="61" hidden="1"/>
    <col min="13" max="13" width="20" style="71" hidden="1"/>
    <col min="14" max="14" width="16.1796875" style="71" hidden="1"/>
    <col min="15" max="15" width="14.90625" style="72" hidden="1"/>
    <col min="16" max="16" width="2.81640625" style="61" hidden="1"/>
    <col min="17" max="17" width="20" style="71" hidden="1"/>
    <col min="18" max="18" width="16.1796875" style="71" hidden="1"/>
    <col min="19" max="19" width="14.90625" style="72" hidden="1"/>
    <col min="20" max="20" width="2.81640625" style="61" hidden="1"/>
    <col min="21" max="21" width="15.81640625" style="4" hidden="1"/>
    <col min="22" max="26" width="8.7265625" style="4" hidden="1"/>
    <col min="27" max="27" width="2.26953125" style="4" hidden="1"/>
    <col min="28" max="28" width="8.7265625" style="4" hidden="1"/>
    <col min="29" max="29" width="0" style="34" hidden="1"/>
    <col min="30" max="16384" width="8.7265625" style="34" hidden="1"/>
  </cols>
  <sheetData>
    <row r="1" spans="1:29" s="4" customFormat="1" ht="30" x14ac:dyDescent="0.35">
      <c r="A1" s="61"/>
      <c r="B1" s="197"/>
      <c r="C1" s="197"/>
      <c r="D1" s="197"/>
      <c r="E1" s="197"/>
      <c r="F1" s="197"/>
      <c r="G1" s="197"/>
      <c r="H1" s="61"/>
      <c r="I1" s="128"/>
      <c r="J1" s="128"/>
      <c r="K1" s="128"/>
      <c r="L1" s="61"/>
      <c r="M1" s="128"/>
      <c r="N1" s="128"/>
      <c r="O1" s="128"/>
      <c r="P1" s="61"/>
      <c r="Q1" s="128"/>
      <c r="R1" s="128"/>
      <c r="S1" s="128"/>
      <c r="T1" s="61"/>
      <c r="AC1" s="34"/>
    </row>
    <row r="2" spans="1:29" s="4" customFormat="1" ht="15" thickBot="1" x14ac:dyDescent="0.4">
      <c r="A2" s="61"/>
      <c r="B2" s="211" t="s">
        <v>2</v>
      </c>
      <c r="C2" s="212" t="s">
        <v>599</v>
      </c>
      <c r="D2" s="213" t="s">
        <v>600</v>
      </c>
      <c r="E2" s="214" t="s">
        <v>601</v>
      </c>
      <c r="F2" s="214"/>
      <c r="G2" s="213"/>
      <c r="H2" s="61"/>
      <c r="I2" s="107"/>
      <c r="J2" s="108"/>
      <c r="K2" s="109"/>
      <c r="L2" s="61"/>
      <c r="M2" s="107"/>
      <c r="N2" s="108"/>
      <c r="O2" s="109"/>
      <c r="P2" s="61"/>
      <c r="Q2" s="107"/>
      <c r="R2" s="108"/>
      <c r="S2" s="109"/>
      <c r="T2" s="61"/>
      <c r="AC2" s="34"/>
    </row>
    <row r="3" spans="1:29" s="4" customFormat="1" x14ac:dyDescent="0.35">
      <c r="A3" s="61"/>
      <c r="B3" s="44" t="s">
        <v>598</v>
      </c>
      <c r="C3" s="100" t="s">
        <v>602</v>
      </c>
      <c r="D3" s="203" t="s">
        <v>603</v>
      </c>
      <c r="E3" s="207" t="s">
        <v>604</v>
      </c>
      <c r="F3" s="203"/>
      <c r="G3" s="201"/>
      <c r="H3" s="61"/>
      <c r="I3" s="44"/>
      <c r="J3" s="100"/>
      <c r="K3" s="38"/>
      <c r="L3" s="61"/>
      <c r="M3" s="44"/>
      <c r="N3" s="100"/>
      <c r="O3" s="38"/>
      <c r="P3" s="61"/>
      <c r="Q3" s="44"/>
      <c r="R3" s="100"/>
      <c r="S3" s="38"/>
      <c r="T3" s="61"/>
      <c r="AC3" s="34"/>
    </row>
    <row r="4" spans="1:29" s="4" customFormat="1" x14ac:dyDescent="0.35">
      <c r="A4" s="61"/>
      <c r="B4" s="47" t="s">
        <v>605</v>
      </c>
      <c r="C4" s="101" t="s">
        <v>608</v>
      </c>
      <c r="D4" s="204" t="s">
        <v>607</v>
      </c>
      <c r="E4" s="208" t="s">
        <v>606</v>
      </c>
      <c r="F4" s="204"/>
      <c r="G4" s="48"/>
      <c r="H4" s="61"/>
      <c r="I4" s="47"/>
      <c r="J4" s="101"/>
      <c r="K4" s="42"/>
      <c r="L4" s="61"/>
      <c r="M4" s="47"/>
      <c r="N4" s="101"/>
      <c r="O4" s="42"/>
      <c r="P4" s="61"/>
      <c r="Q4" s="47"/>
      <c r="R4" s="101"/>
      <c r="S4" s="42"/>
      <c r="T4" s="61"/>
      <c r="AC4" s="34"/>
    </row>
    <row r="5" spans="1:29" s="4" customFormat="1" x14ac:dyDescent="0.35">
      <c r="A5" s="61"/>
      <c r="B5" s="50"/>
      <c r="C5" s="102"/>
      <c r="D5" s="205"/>
      <c r="E5" s="209"/>
      <c r="F5" s="205"/>
      <c r="G5" s="51"/>
      <c r="H5" s="61"/>
      <c r="I5" s="50"/>
      <c r="J5" s="102"/>
      <c r="K5" s="46"/>
      <c r="L5" s="61"/>
      <c r="M5" s="50"/>
      <c r="N5" s="102"/>
      <c r="O5" s="46"/>
      <c r="P5" s="61"/>
      <c r="Q5" s="50"/>
      <c r="R5" s="102"/>
      <c r="S5" s="46"/>
      <c r="T5" s="61"/>
      <c r="AC5" s="34"/>
    </row>
    <row r="6" spans="1:29" s="4" customFormat="1" x14ac:dyDescent="0.35">
      <c r="A6" s="61"/>
      <c r="B6" s="47"/>
      <c r="C6" s="101"/>
      <c r="D6" s="204"/>
      <c r="E6" s="208"/>
      <c r="F6" s="204"/>
      <c r="G6" s="48"/>
      <c r="H6" s="61"/>
      <c r="I6" s="47"/>
      <c r="J6" s="101"/>
      <c r="K6" s="42"/>
      <c r="L6" s="61"/>
      <c r="M6" s="47"/>
      <c r="N6" s="101"/>
      <c r="O6" s="42"/>
      <c r="P6" s="61"/>
      <c r="Q6" s="47"/>
      <c r="R6" s="101"/>
      <c r="S6" s="42"/>
      <c r="T6" s="61"/>
      <c r="AC6" s="34"/>
    </row>
    <row r="7" spans="1:29" s="4" customFormat="1" x14ac:dyDescent="0.35">
      <c r="A7" s="61"/>
      <c r="B7" s="50"/>
      <c r="C7" s="102"/>
      <c r="D7" s="205"/>
      <c r="E7" s="209"/>
      <c r="F7" s="205"/>
      <c r="G7" s="51"/>
      <c r="H7" s="61"/>
      <c r="I7" s="50"/>
      <c r="J7" s="102"/>
      <c r="K7" s="46"/>
      <c r="L7" s="61"/>
      <c r="M7" s="50"/>
      <c r="N7" s="102"/>
      <c r="O7" s="46"/>
      <c r="P7" s="61"/>
      <c r="Q7" s="50"/>
      <c r="R7" s="102"/>
      <c r="S7" s="46"/>
      <c r="T7" s="61"/>
      <c r="AC7" s="34"/>
    </row>
    <row r="8" spans="1:29" s="4" customFormat="1" x14ac:dyDescent="0.35">
      <c r="A8" s="61"/>
      <c r="B8" s="53"/>
      <c r="C8" s="103"/>
      <c r="D8" s="206"/>
      <c r="E8" s="210"/>
      <c r="F8" s="206"/>
      <c r="G8" s="202"/>
      <c r="H8" s="61"/>
      <c r="I8" s="53"/>
      <c r="J8" s="103"/>
      <c r="K8" s="55"/>
      <c r="L8" s="61"/>
      <c r="M8" s="53"/>
      <c r="N8" s="103"/>
      <c r="O8" s="55"/>
      <c r="P8" s="61"/>
      <c r="Q8" s="53"/>
      <c r="R8" s="103"/>
      <c r="S8" s="55"/>
      <c r="T8" s="61"/>
      <c r="AC8" s="34"/>
    </row>
    <row r="9" spans="1:29" s="4" customFormat="1" x14ac:dyDescent="0.35">
      <c r="A9" s="61"/>
      <c r="B9" s="198"/>
      <c r="C9" s="198"/>
      <c r="D9" s="198"/>
      <c r="E9" s="198"/>
      <c r="F9" s="198"/>
      <c r="G9" s="198"/>
      <c r="H9" s="81"/>
      <c r="I9" s="80"/>
      <c r="J9" s="80"/>
      <c r="K9" s="80"/>
      <c r="L9" s="81"/>
      <c r="M9" s="80"/>
      <c r="N9" s="80"/>
      <c r="O9" s="80"/>
      <c r="P9" s="81"/>
      <c r="Q9" s="80"/>
      <c r="R9" s="80"/>
      <c r="S9" s="80"/>
      <c r="T9" s="81"/>
      <c r="AC9" s="34"/>
    </row>
    <row r="10" spans="1:29" s="4" customFormat="1" x14ac:dyDescent="0.35">
      <c r="A10" s="61"/>
      <c r="B10" s="199"/>
      <c r="C10" s="199"/>
      <c r="D10" s="199"/>
      <c r="E10" s="199"/>
      <c r="F10" s="199"/>
      <c r="G10" s="199"/>
      <c r="H10" s="61"/>
      <c r="I10" s="80"/>
      <c r="J10" s="80"/>
      <c r="K10" s="80"/>
      <c r="L10" s="61"/>
      <c r="M10" s="80"/>
      <c r="N10" s="80"/>
      <c r="O10" s="80"/>
      <c r="P10" s="61"/>
      <c r="Q10" s="80"/>
      <c r="R10" s="80"/>
      <c r="S10" s="80"/>
      <c r="T10" s="61"/>
      <c r="AC10" s="34"/>
    </row>
    <row r="11" spans="1:29" s="4" customFormat="1" ht="15" thickBot="1" x14ac:dyDescent="0.4">
      <c r="A11" s="61"/>
      <c r="B11" s="200"/>
      <c r="C11" s="200"/>
      <c r="D11" s="200"/>
      <c r="E11" s="200"/>
      <c r="F11" s="200"/>
      <c r="G11" s="200"/>
      <c r="H11" s="61"/>
      <c r="I11" s="107"/>
      <c r="J11" s="108"/>
      <c r="K11" s="109"/>
      <c r="L11" s="61"/>
      <c r="M11" s="107"/>
      <c r="N11" s="108"/>
      <c r="O11" s="109"/>
      <c r="P11" s="61"/>
      <c r="Q11" s="107"/>
      <c r="R11" s="108"/>
      <c r="S11" s="109"/>
      <c r="T11" s="61"/>
      <c r="AC11" s="34"/>
    </row>
    <row r="12" spans="1:29" s="4" customFormat="1" x14ac:dyDescent="0.35">
      <c r="A12" s="61"/>
      <c r="B12" s="98" t="s">
        <v>56</v>
      </c>
      <c r="C12" s="82" t="str">
        <f>C2</f>
        <v>9spokes</v>
      </c>
      <c r="D12" s="82" t="str">
        <f>D2</f>
        <v>9 spokes</v>
      </c>
      <c r="E12" s="82" t="str">
        <f>E2</f>
        <v>shwoop</v>
      </c>
      <c r="F12" s="82">
        <f>F2</f>
        <v>0</v>
      </c>
      <c r="G12" s="82">
        <f>G2</f>
        <v>0</v>
      </c>
      <c r="H12" s="81"/>
      <c r="I12" s="98"/>
      <c r="J12" s="82"/>
      <c r="K12" s="99"/>
      <c r="L12" s="81"/>
      <c r="M12" s="98"/>
      <c r="N12" s="82"/>
      <c r="O12" s="99"/>
      <c r="P12" s="81"/>
      <c r="Q12" s="98"/>
      <c r="R12" s="82"/>
      <c r="S12" s="99"/>
      <c r="T12" s="81"/>
      <c r="U12" s="4" t="s">
        <v>533</v>
      </c>
      <c r="V12" s="4">
        <f>B1</f>
        <v>0</v>
      </c>
      <c r="W12" s="4">
        <f>E1</f>
        <v>0</v>
      </c>
      <c r="X12" s="4">
        <f>I1</f>
        <v>0</v>
      </c>
      <c r="Y12" s="4">
        <f>M1</f>
        <v>0</v>
      </c>
      <c r="Z12" s="4">
        <f>Q1</f>
        <v>0</v>
      </c>
      <c r="AC12" s="34"/>
    </row>
    <row r="13" spans="1:29" s="4" customFormat="1" x14ac:dyDescent="0.35">
      <c r="A13" s="81"/>
      <c r="B13" s="88">
        <v>43831</v>
      </c>
      <c r="C13" s="104">
        <v>1</v>
      </c>
      <c r="D13" s="104">
        <v>1</v>
      </c>
      <c r="E13" s="104">
        <v>1</v>
      </c>
      <c r="F13" s="104">
        <v>1</v>
      </c>
      <c r="G13" s="104">
        <v>1</v>
      </c>
      <c r="H13" s="81"/>
      <c r="I13" s="88"/>
      <c r="J13" s="104"/>
      <c r="K13" s="89"/>
      <c r="L13" s="81"/>
      <c r="M13" s="88"/>
      <c r="N13" s="85"/>
      <c r="O13" s="89"/>
      <c r="P13" s="81"/>
      <c r="Q13" s="88"/>
      <c r="R13" s="104"/>
      <c r="S13" s="89"/>
      <c r="T13" s="81"/>
      <c r="U13" s="106">
        <f>Q13</f>
        <v>0</v>
      </c>
      <c r="V13" s="4">
        <f>C13</f>
        <v>1</v>
      </c>
      <c r="W13" s="4">
        <f>F13</f>
        <v>1</v>
      </c>
      <c r="X13" s="4">
        <f>J13</f>
        <v>0</v>
      </c>
      <c r="Y13" s="4">
        <f>N13</f>
        <v>0</v>
      </c>
      <c r="Z13" s="4">
        <f>R13</f>
        <v>0</v>
      </c>
      <c r="AC13" s="34"/>
    </row>
    <row r="14" spans="1:29" s="4" customFormat="1" x14ac:dyDescent="0.35">
      <c r="A14" s="81"/>
      <c r="B14" s="90">
        <v>43832</v>
      </c>
      <c r="C14" s="105">
        <v>1</v>
      </c>
      <c r="D14" s="105">
        <v>1</v>
      </c>
      <c r="E14" s="105">
        <v>1</v>
      </c>
      <c r="F14" s="105">
        <v>1</v>
      </c>
      <c r="G14" s="105">
        <v>1</v>
      </c>
      <c r="H14" s="81"/>
      <c r="I14" s="90"/>
      <c r="J14" s="105"/>
      <c r="K14" s="91"/>
      <c r="L14" s="81"/>
      <c r="M14" s="90"/>
      <c r="N14" s="105"/>
      <c r="O14" s="91"/>
      <c r="P14" s="81"/>
      <c r="Q14" s="90"/>
      <c r="R14" s="105"/>
      <c r="S14" s="91"/>
      <c r="T14" s="81"/>
      <c r="U14" s="106">
        <f>Q14</f>
        <v>0</v>
      </c>
      <c r="V14" s="4">
        <f>C14</f>
        <v>1</v>
      </c>
      <c r="W14" s="4">
        <f>F14</f>
        <v>1</v>
      </c>
      <c r="X14" s="4">
        <f>J14</f>
        <v>0</v>
      </c>
      <c r="Y14" s="4">
        <f>N14</f>
        <v>0</v>
      </c>
      <c r="Z14" s="4">
        <f>R14</f>
        <v>0</v>
      </c>
      <c r="AC14" s="34"/>
    </row>
    <row r="15" spans="1:29" s="4" customFormat="1" x14ac:dyDescent="0.35">
      <c r="A15" s="81"/>
      <c r="B15" s="88">
        <v>43833</v>
      </c>
      <c r="C15" s="104">
        <v>1</v>
      </c>
      <c r="D15" s="104">
        <v>1</v>
      </c>
      <c r="E15" s="104">
        <v>1</v>
      </c>
      <c r="F15" s="104">
        <v>1</v>
      </c>
      <c r="G15" s="104">
        <v>1</v>
      </c>
      <c r="H15" s="81"/>
      <c r="I15" s="88"/>
      <c r="J15" s="104"/>
      <c r="K15" s="92"/>
      <c r="L15" s="81"/>
      <c r="M15" s="88"/>
      <c r="N15" s="104"/>
      <c r="O15" s="92"/>
      <c r="P15" s="81"/>
      <c r="Q15" s="88"/>
      <c r="R15" s="104"/>
      <c r="S15" s="92"/>
      <c r="T15" s="81"/>
      <c r="U15" s="106">
        <f t="shared" ref="U15:U78" si="0">Q15</f>
        <v>0</v>
      </c>
      <c r="V15" s="4">
        <f>C15</f>
        <v>1</v>
      </c>
      <c r="W15" s="4">
        <f t="shared" ref="W15:W78" si="1">F15</f>
        <v>1</v>
      </c>
      <c r="X15" s="4">
        <f t="shared" ref="X15:X78" si="2">J15</f>
        <v>0</v>
      </c>
      <c r="Y15" s="4">
        <f t="shared" ref="Y15:Y78" si="3">N15</f>
        <v>0</v>
      </c>
      <c r="Z15" s="4">
        <f t="shared" ref="Z15:Z78" si="4">R15</f>
        <v>0</v>
      </c>
      <c r="AC15" s="34"/>
    </row>
    <row r="16" spans="1:29" s="4" customFormat="1" x14ac:dyDescent="0.35">
      <c r="A16" s="81"/>
      <c r="B16" s="90">
        <v>43834</v>
      </c>
      <c r="C16" s="105">
        <v>1</v>
      </c>
      <c r="D16" s="105">
        <v>1</v>
      </c>
      <c r="E16" s="105">
        <v>1</v>
      </c>
      <c r="F16" s="105">
        <v>1</v>
      </c>
      <c r="G16" s="105">
        <v>1</v>
      </c>
      <c r="H16" s="81"/>
      <c r="I16" s="90"/>
      <c r="J16" s="105"/>
      <c r="K16" s="91"/>
      <c r="L16" s="81"/>
      <c r="M16" s="90"/>
      <c r="N16" s="105"/>
      <c r="O16" s="91"/>
      <c r="P16" s="81"/>
      <c r="Q16" s="90"/>
      <c r="R16" s="105"/>
      <c r="S16" s="91"/>
      <c r="T16" s="81"/>
      <c r="U16" s="106">
        <f t="shared" si="0"/>
        <v>0</v>
      </c>
      <c r="V16" s="4">
        <f>C16</f>
        <v>1</v>
      </c>
      <c r="W16" s="4">
        <f t="shared" si="1"/>
        <v>1</v>
      </c>
      <c r="X16" s="4">
        <f t="shared" si="2"/>
        <v>0</v>
      </c>
      <c r="Y16" s="4">
        <f t="shared" si="3"/>
        <v>0</v>
      </c>
      <c r="Z16" s="4">
        <f t="shared" si="4"/>
        <v>0</v>
      </c>
      <c r="AC16" s="34"/>
    </row>
    <row r="17" spans="1:29" s="4" customFormat="1" x14ac:dyDescent="0.35">
      <c r="A17" s="81"/>
      <c r="B17" s="88">
        <v>43835</v>
      </c>
      <c r="C17" s="104">
        <v>1</v>
      </c>
      <c r="D17" s="104">
        <v>1</v>
      </c>
      <c r="E17" s="104">
        <v>1</v>
      </c>
      <c r="F17" s="104">
        <v>1</v>
      </c>
      <c r="G17" s="104">
        <v>1</v>
      </c>
      <c r="H17" s="81"/>
      <c r="I17" s="88"/>
      <c r="J17" s="104"/>
      <c r="K17" s="92"/>
      <c r="L17" s="81"/>
      <c r="M17" s="88"/>
      <c r="N17" s="104"/>
      <c r="O17" s="92"/>
      <c r="P17" s="81"/>
      <c r="Q17" s="88"/>
      <c r="R17" s="104"/>
      <c r="S17" s="92"/>
      <c r="T17" s="81"/>
      <c r="U17" s="106">
        <f t="shared" si="0"/>
        <v>0</v>
      </c>
      <c r="V17" s="4">
        <f>C17</f>
        <v>1</v>
      </c>
      <c r="W17" s="4">
        <f t="shared" si="1"/>
        <v>1</v>
      </c>
      <c r="X17" s="4">
        <f t="shared" si="2"/>
        <v>0</v>
      </c>
      <c r="Y17" s="4">
        <f t="shared" si="3"/>
        <v>0</v>
      </c>
      <c r="Z17" s="4">
        <f t="shared" si="4"/>
        <v>0</v>
      </c>
      <c r="AC17" s="34"/>
    </row>
    <row r="18" spans="1:29" s="4" customFormat="1" x14ac:dyDescent="0.35">
      <c r="A18" s="81"/>
      <c r="B18" s="90">
        <v>43836</v>
      </c>
      <c r="C18" s="105">
        <v>1</v>
      </c>
      <c r="D18" s="105">
        <v>1</v>
      </c>
      <c r="E18" s="105">
        <v>1</v>
      </c>
      <c r="F18" s="105">
        <v>1</v>
      </c>
      <c r="G18" s="105">
        <v>1</v>
      </c>
      <c r="H18" s="81"/>
      <c r="I18" s="90"/>
      <c r="J18" s="105"/>
      <c r="K18" s="91"/>
      <c r="L18" s="81"/>
      <c r="M18" s="90"/>
      <c r="N18" s="105"/>
      <c r="O18" s="91"/>
      <c r="P18" s="81"/>
      <c r="Q18" s="90"/>
      <c r="R18" s="105"/>
      <c r="S18" s="91"/>
      <c r="T18" s="81"/>
      <c r="U18" s="106">
        <f t="shared" si="0"/>
        <v>0</v>
      </c>
      <c r="V18" s="4">
        <f>C18</f>
        <v>1</v>
      </c>
      <c r="W18" s="4">
        <f t="shared" si="1"/>
        <v>1</v>
      </c>
      <c r="X18" s="4">
        <f t="shared" si="2"/>
        <v>0</v>
      </c>
      <c r="Y18" s="4">
        <f t="shared" si="3"/>
        <v>0</v>
      </c>
      <c r="Z18" s="4">
        <f t="shared" si="4"/>
        <v>0</v>
      </c>
      <c r="AC18" s="34"/>
    </row>
    <row r="19" spans="1:29" s="4" customFormat="1" x14ac:dyDescent="0.35">
      <c r="A19" s="81"/>
      <c r="B19" s="88">
        <v>43837</v>
      </c>
      <c r="C19" s="104">
        <v>1</v>
      </c>
      <c r="D19" s="104">
        <v>1</v>
      </c>
      <c r="E19" s="104">
        <v>1</v>
      </c>
      <c r="F19" s="104">
        <v>1</v>
      </c>
      <c r="G19" s="104">
        <v>1</v>
      </c>
      <c r="H19" s="81"/>
      <c r="I19" s="88"/>
      <c r="J19" s="104"/>
      <c r="K19" s="92"/>
      <c r="L19" s="81"/>
      <c r="M19" s="88"/>
      <c r="N19" s="104"/>
      <c r="O19" s="92"/>
      <c r="P19" s="81"/>
      <c r="Q19" s="88"/>
      <c r="R19" s="104"/>
      <c r="S19" s="92"/>
      <c r="T19" s="81"/>
      <c r="U19" s="106">
        <f t="shared" si="0"/>
        <v>0</v>
      </c>
      <c r="V19" s="4">
        <f>C19</f>
        <v>1</v>
      </c>
      <c r="W19" s="4">
        <f t="shared" si="1"/>
        <v>1</v>
      </c>
      <c r="X19" s="4">
        <f t="shared" si="2"/>
        <v>0</v>
      </c>
      <c r="Y19" s="4">
        <f t="shared" si="3"/>
        <v>0</v>
      </c>
      <c r="Z19" s="4">
        <f t="shared" si="4"/>
        <v>0</v>
      </c>
      <c r="AC19" s="34"/>
    </row>
    <row r="20" spans="1:29" s="4" customFormat="1" x14ac:dyDescent="0.35">
      <c r="A20" s="81"/>
      <c r="B20" s="90">
        <v>43838</v>
      </c>
      <c r="C20" s="105">
        <v>1</v>
      </c>
      <c r="D20" s="105">
        <v>1</v>
      </c>
      <c r="E20" s="105">
        <v>1</v>
      </c>
      <c r="F20" s="105">
        <v>1</v>
      </c>
      <c r="G20" s="105">
        <v>1</v>
      </c>
      <c r="H20" s="81"/>
      <c r="I20" s="90"/>
      <c r="J20" s="105"/>
      <c r="K20" s="91"/>
      <c r="L20" s="81"/>
      <c r="M20" s="90"/>
      <c r="N20" s="105"/>
      <c r="O20" s="91"/>
      <c r="P20" s="81"/>
      <c r="Q20" s="90"/>
      <c r="R20" s="105"/>
      <c r="S20" s="91"/>
      <c r="T20" s="81"/>
      <c r="U20" s="106">
        <f t="shared" si="0"/>
        <v>0</v>
      </c>
      <c r="V20" s="4">
        <f>C20</f>
        <v>1</v>
      </c>
      <c r="W20" s="4">
        <f t="shared" si="1"/>
        <v>1</v>
      </c>
      <c r="X20" s="4">
        <f t="shared" si="2"/>
        <v>0</v>
      </c>
      <c r="Y20" s="4">
        <f t="shared" si="3"/>
        <v>0</v>
      </c>
      <c r="Z20" s="4">
        <f t="shared" si="4"/>
        <v>0</v>
      </c>
      <c r="AC20" s="34"/>
    </row>
    <row r="21" spans="1:29" s="4" customFormat="1" x14ac:dyDescent="0.35">
      <c r="A21" s="81"/>
      <c r="B21" s="88">
        <v>43839</v>
      </c>
      <c r="C21" s="104">
        <v>1</v>
      </c>
      <c r="D21" s="104">
        <v>1</v>
      </c>
      <c r="E21" s="104">
        <v>1</v>
      </c>
      <c r="F21" s="104">
        <v>1</v>
      </c>
      <c r="G21" s="104">
        <v>1</v>
      </c>
      <c r="H21" s="81"/>
      <c r="I21" s="88"/>
      <c r="J21" s="104"/>
      <c r="K21" s="92"/>
      <c r="L21" s="81"/>
      <c r="M21" s="88"/>
      <c r="N21" s="104"/>
      <c r="O21" s="92"/>
      <c r="P21" s="81"/>
      <c r="Q21" s="88"/>
      <c r="R21" s="104"/>
      <c r="S21" s="92"/>
      <c r="T21" s="81"/>
      <c r="U21" s="106">
        <f t="shared" si="0"/>
        <v>0</v>
      </c>
      <c r="V21" s="4">
        <f>C21</f>
        <v>1</v>
      </c>
      <c r="W21" s="4">
        <f t="shared" si="1"/>
        <v>1</v>
      </c>
      <c r="X21" s="4">
        <f t="shared" si="2"/>
        <v>0</v>
      </c>
      <c r="Y21" s="4">
        <f t="shared" si="3"/>
        <v>0</v>
      </c>
      <c r="Z21" s="4">
        <f t="shared" si="4"/>
        <v>0</v>
      </c>
      <c r="AC21" s="34"/>
    </row>
    <row r="22" spans="1:29" s="4" customFormat="1" x14ac:dyDescent="0.35">
      <c r="A22" s="81"/>
      <c r="B22" s="90">
        <v>43840</v>
      </c>
      <c r="C22" s="105">
        <v>1</v>
      </c>
      <c r="D22" s="105">
        <v>1</v>
      </c>
      <c r="E22" s="105">
        <v>1</v>
      </c>
      <c r="F22" s="105">
        <v>1</v>
      </c>
      <c r="G22" s="105">
        <v>1</v>
      </c>
      <c r="H22" s="81"/>
      <c r="I22" s="90"/>
      <c r="J22" s="105"/>
      <c r="K22" s="91"/>
      <c r="L22" s="81"/>
      <c r="M22" s="90"/>
      <c r="N22" s="105"/>
      <c r="O22" s="91"/>
      <c r="P22" s="81"/>
      <c r="Q22" s="90"/>
      <c r="R22" s="105"/>
      <c r="S22" s="91"/>
      <c r="T22" s="81"/>
      <c r="U22" s="106">
        <f t="shared" si="0"/>
        <v>0</v>
      </c>
      <c r="V22" s="4">
        <f>C22</f>
        <v>1</v>
      </c>
      <c r="W22" s="4">
        <f t="shared" si="1"/>
        <v>1</v>
      </c>
      <c r="X22" s="4">
        <f t="shared" si="2"/>
        <v>0</v>
      </c>
      <c r="Y22" s="4">
        <f t="shared" si="3"/>
        <v>0</v>
      </c>
      <c r="Z22" s="4">
        <f t="shared" si="4"/>
        <v>0</v>
      </c>
      <c r="AC22" s="34"/>
    </row>
    <row r="23" spans="1:29" s="4" customFormat="1" x14ac:dyDescent="0.35">
      <c r="A23" s="81"/>
      <c r="B23" s="88">
        <v>43841</v>
      </c>
      <c r="C23" s="104">
        <v>1</v>
      </c>
      <c r="D23" s="104">
        <v>1</v>
      </c>
      <c r="E23" s="104">
        <v>1</v>
      </c>
      <c r="F23" s="104">
        <v>1</v>
      </c>
      <c r="G23" s="104">
        <v>1</v>
      </c>
      <c r="H23" s="81"/>
      <c r="I23" s="88"/>
      <c r="J23" s="104"/>
      <c r="K23" s="92"/>
      <c r="L23" s="81"/>
      <c r="M23" s="88"/>
      <c r="N23" s="104"/>
      <c r="O23" s="92"/>
      <c r="P23" s="81"/>
      <c r="Q23" s="88"/>
      <c r="R23" s="104"/>
      <c r="S23" s="92"/>
      <c r="T23" s="81"/>
      <c r="U23" s="106">
        <f t="shared" si="0"/>
        <v>0</v>
      </c>
      <c r="V23" s="4">
        <f>C23</f>
        <v>1</v>
      </c>
      <c r="W23" s="4">
        <f t="shared" si="1"/>
        <v>1</v>
      </c>
      <c r="X23" s="4">
        <f t="shared" si="2"/>
        <v>0</v>
      </c>
      <c r="Y23" s="4">
        <f t="shared" si="3"/>
        <v>0</v>
      </c>
      <c r="Z23" s="4">
        <f t="shared" si="4"/>
        <v>0</v>
      </c>
      <c r="AC23" s="34"/>
    </row>
    <row r="24" spans="1:29" s="4" customFormat="1" x14ac:dyDescent="0.35">
      <c r="A24" s="81"/>
      <c r="B24" s="90">
        <v>43842</v>
      </c>
      <c r="C24" s="105">
        <v>1</v>
      </c>
      <c r="D24" s="105">
        <v>1</v>
      </c>
      <c r="E24" s="105">
        <v>1</v>
      </c>
      <c r="F24" s="105">
        <v>1</v>
      </c>
      <c r="G24" s="105">
        <v>1</v>
      </c>
      <c r="H24" s="81"/>
      <c r="I24" s="90"/>
      <c r="J24" s="105"/>
      <c r="K24" s="91"/>
      <c r="L24" s="81"/>
      <c r="M24" s="90"/>
      <c r="N24" s="105"/>
      <c r="O24" s="91"/>
      <c r="P24" s="81"/>
      <c r="Q24" s="90"/>
      <c r="R24" s="105"/>
      <c r="S24" s="91"/>
      <c r="T24" s="81"/>
      <c r="U24" s="106">
        <f t="shared" si="0"/>
        <v>0</v>
      </c>
      <c r="V24" s="4">
        <f>C24</f>
        <v>1</v>
      </c>
      <c r="W24" s="4">
        <f t="shared" si="1"/>
        <v>1</v>
      </c>
      <c r="X24" s="4">
        <f t="shared" si="2"/>
        <v>0</v>
      </c>
      <c r="Y24" s="4">
        <f t="shared" si="3"/>
        <v>0</v>
      </c>
      <c r="Z24" s="4">
        <f t="shared" si="4"/>
        <v>0</v>
      </c>
      <c r="AC24" s="34"/>
    </row>
    <row r="25" spans="1:29" s="4" customFormat="1" x14ac:dyDescent="0.35">
      <c r="A25" s="81"/>
      <c r="B25" s="88">
        <v>43843</v>
      </c>
      <c r="C25" s="104">
        <v>1</v>
      </c>
      <c r="D25" s="104">
        <v>1</v>
      </c>
      <c r="E25" s="104">
        <v>1</v>
      </c>
      <c r="F25" s="104">
        <v>1</v>
      </c>
      <c r="G25" s="104">
        <v>1</v>
      </c>
      <c r="H25" s="81"/>
      <c r="I25" s="88"/>
      <c r="J25" s="104"/>
      <c r="K25" s="92"/>
      <c r="L25" s="81"/>
      <c r="M25" s="88"/>
      <c r="N25" s="104"/>
      <c r="O25" s="92"/>
      <c r="P25" s="81"/>
      <c r="Q25" s="88"/>
      <c r="R25" s="104"/>
      <c r="S25" s="92"/>
      <c r="T25" s="81"/>
      <c r="U25" s="106">
        <f t="shared" si="0"/>
        <v>0</v>
      </c>
      <c r="V25" s="4">
        <f>C25</f>
        <v>1</v>
      </c>
      <c r="W25" s="4">
        <f t="shared" si="1"/>
        <v>1</v>
      </c>
      <c r="X25" s="4">
        <f t="shared" si="2"/>
        <v>0</v>
      </c>
      <c r="Y25" s="4">
        <f t="shared" si="3"/>
        <v>0</v>
      </c>
      <c r="Z25" s="4">
        <f t="shared" si="4"/>
        <v>0</v>
      </c>
      <c r="AC25" s="34"/>
    </row>
    <row r="26" spans="1:29" s="4" customFormat="1" x14ac:dyDescent="0.35">
      <c r="A26" s="81"/>
      <c r="B26" s="90">
        <v>43844</v>
      </c>
      <c r="C26" s="105">
        <v>1</v>
      </c>
      <c r="D26" s="105">
        <v>1</v>
      </c>
      <c r="E26" s="105">
        <v>1</v>
      </c>
      <c r="F26" s="105">
        <v>1</v>
      </c>
      <c r="G26" s="105">
        <v>1</v>
      </c>
      <c r="H26" s="81"/>
      <c r="I26" s="90"/>
      <c r="J26" s="105"/>
      <c r="K26" s="91"/>
      <c r="L26" s="81"/>
      <c r="M26" s="90"/>
      <c r="N26" s="105"/>
      <c r="O26" s="91"/>
      <c r="P26" s="81"/>
      <c r="Q26" s="90"/>
      <c r="R26" s="105"/>
      <c r="S26" s="91"/>
      <c r="T26" s="81"/>
      <c r="U26" s="106">
        <f t="shared" si="0"/>
        <v>0</v>
      </c>
      <c r="V26" s="4">
        <f>C26</f>
        <v>1</v>
      </c>
      <c r="W26" s="4">
        <f t="shared" si="1"/>
        <v>1</v>
      </c>
      <c r="X26" s="4">
        <f t="shared" si="2"/>
        <v>0</v>
      </c>
      <c r="Y26" s="4">
        <f t="shared" si="3"/>
        <v>0</v>
      </c>
      <c r="Z26" s="4">
        <f t="shared" si="4"/>
        <v>0</v>
      </c>
      <c r="AC26" s="34"/>
    </row>
    <row r="27" spans="1:29" s="4" customFormat="1" x14ac:dyDescent="0.35">
      <c r="A27" s="81"/>
      <c r="B27" s="88">
        <v>43845</v>
      </c>
      <c r="C27" s="104">
        <v>1</v>
      </c>
      <c r="D27" s="104">
        <v>1</v>
      </c>
      <c r="E27" s="104">
        <v>1</v>
      </c>
      <c r="F27" s="104">
        <v>1</v>
      </c>
      <c r="G27" s="104">
        <v>1</v>
      </c>
      <c r="H27" s="81"/>
      <c r="I27" s="88"/>
      <c r="J27" s="104"/>
      <c r="K27" s="92"/>
      <c r="L27" s="81"/>
      <c r="M27" s="88"/>
      <c r="N27" s="104"/>
      <c r="O27" s="92"/>
      <c r="P27" s="81"/>
      <c r="Q27" s="88"/>
      <c r="R27" s="104"/>
      <c r="S27" s="92"/>
      <c r="T27" s="81"/>
      <c r="U27" s="106">
        <f t="shared" si="0"/>
        <v>0</v>
      </c>
      <c r="V27" s="4">
        <f>C27</f>
        <v>1</v>
      </c>
      <c r="W27" s="4">
        <f t="shared" si="1"/>
        <v>1</v>
      </c>
      <c r="X27" s="4">
        <f t="shared" si="2"/>
        <v>0</v>
      </c>
      <c r="Y27" s="4">
        <f t="shared" si="3"/>
        <v>0</v>
      </c>
      <c r="Z27" s="4">
        <f t="shared" si="4"/>
        <v>0</v>
      </c>
      <c r="AC27" s="34"/>
    </row>
    <row r="28" spans="1:29" s="4" customFormat="1" x14ac:dyDescent="0.35">
      <c r="A28" s="81"/>
      <c r="B28" s="90">
        <v>43846</v>
      </c>
      <c r="C28" s="105">
        <v>1</v>
      </c>
      <c r="D28" s="105">
        <v>1</v>
      </c>
      <c r="E28" s="105">
        <v>1</v>
      </c>
      <c r="F28" s="105">
        <v>1</v>
      </c>
      <c r="G28" s="105">
        <v>1</v>
      </c>
      <c r="H28" s="81"/>
      <c r="I28" s="90"/>
      <c r="J28" s="105"/>
      <c r="K28" s="91"/>
      <c r="L28" s="81"/>
      <c r="M28" s="90"/>
      <c r="N28" s="105"/>
      <c r="O28" s="91"/>
      <c r="P28" s="81"/>
      <c r="Q28" s="90"/>
      <c r="R28" s="105"/>
      <c r="S28" s="91"/>
      <c r="T28" s="81"/>
      <c r="U28" s="106">
        <f t="shared" si="0"/>
        <v>0</v>
      </c>
      <c r="V28" s="4">
        <f>C28</f>
        <v>1</v>
      </c>
      <c r="W28" s="4">
        <f t="shared" si="1"/>
        <v>1</v>
      </c>
      <c r="X28" s="4">
        <f t="shared" si="2"/>
        <v>0</v>
      </c>
      <c r="Y28" s="4">
        <f t="shared" si="3"/>
        <v>0</v>
      </c>
      <c r="Z28" s="4">
        <f t="shared" si="4"/>
        <v>0</v>
      </c>
      <c r="AC28" s="34"/>
    </row>
    <row r="29" spans="1:29" s="4" customFormat="1" x14ac:dyDescent="0.35">
      <c r="A29" s="81"/>
      <c r="B29" s="88">
        <v>43847</v>
      </c>
      <c r="C29" s="104">
        <v>1</v>
      </c>
      <c r="D29" s="104">
        <v>1</v>
      </c>
      <c r="E29" s="104">
        <v>1</v>
      </c>
      <c r="F29" s="104">
        <v>1</v>
      </c>
      <c r="G29" s="104">
        <v>1</v>
      </c>
      <c r="H29" s="81"/>
      <c r="I29" s="88"/>
      <c r="J29" s="104"/>
      <c r="K29" s="92"/>
      <c r="L29" s="81"/>
      <c r="M29" s="88"/>
      <c r="N29" s="104"/>
      <c r="O29" s="92"/>
      <c r="P29" s="81"/>
      <c r="Q29" s="88"/>
      <c r="R29" s="104"/>
      <c r="S29" s="92"/>
      <c r="T29" s="81"/>
      <c r="U29" s="106">
        <f t="shared" si="0"/>
        <v>0</v>
      </c>
      <c r="V29" s="4">
        <f>C29</f>
        <v>1</v>
      </c>
      <c r="W29" s="4">
        <f t="shared" si="1"/>
        <v>1</v>
      </c>
      <c r="X29" s="4">
        <f t="shared" si="2"/>
        <v>0</v>
      </c>
      <c r="Y29" s="4">
        <f t="shared" si="3"/>
        <v>0</v>
      </c>
      <c r="Z29" s="4">
        <f t="shared" si="4"/>
        <v>0</v>
      </c>
      <c r="AC29" s="34"/>
    </row>
    <row r="30" spans="1:29" s="4" customFormat="1" x14ac:dyDescent="0.35">
      <c r="A30" s="81"/>
      <c r="B30" s="90">
        <v>43848</v>
      </c>
      <c r="C30" s="105">
        <v>18</v>
      </c>
      <c r="D30" s="105">
        <v>18</v>
      </c>
      <c r="E30" s="105">
        <v>18</v>
      </c>
      <c r="F30" s="105">
        <v>18</v>
      </c>
      <c r="G30" s="105">
        <v>18</v>
      </c>
      <c r="H30" s="81"/>
      <c r="I30" s="90"/>
      <c r="J30" s="105"/>
      <c r="K30" s="91"/>
      <c r="L30" s="81"/>
      <c r="M30" s="90"/>
      <c r="N30" s="105"/>
      <c r="O30" s="91"/>
      <c r="P30" s="81"/>
      <c r="Q30" s="90"/>
      <c r="R30" s="105"/>
      <c r="S30" s="91"/>
      <c r="T30" s="81"/>
      <c r="U30" s="106">
        <f t="shared" si="0"/>
        <v>0</v>
      </c>
      <c r="V30" s="4">
        <f>C30</f>
        <v>18</v>
      </c>
      <c r="W30" s="4">
        <f t="shared" si="1"/>
        <v>18</v>
      </c>
      <c r="X30" s="4">
        <f t="shared" si="2"/>
        <v>0</v>
      </c>
      <c r="Y30" s="4">
        <f t="shared" si="3"/>
        <v>0</v>
      </c>
      <c r="Z30" s="4">
        <f t="shared" si="4"/>
        <v>0</v>
      </c>
      <c r="AC30" s="34"/>
    </row>
    <row r="31" spans="1:29" s="4" customFormat="1" x14ac:dyDescent="0.35">
      <c r="A31" s="81"/>
      <c r="B31" s="88">
        <v>43849</v>
      </c>
      <c r="C31" s="104">
        <v>1</v>
      </c>
      <c r="D31" s="104">
        <v>1</v>
      </c>
      <c r="E31" s="104">
        <v>1</v>
      </c>
      <c r="F31" s="104">
        <v>1</v>
      </c>
      <c r="G31" s="104">
        <v>1</v>
      </c>
      <c r="H31" s="81"/>
      <c r="I31" s="88"/>
      <c r="J31" s="104"/>
      <c r="K31" s="92"/>
      <c r="L31" s="81"/>
      <c r="M31" s="88"/>
      <c r="N31" s="104"/>
      <c r="O31" s="92"/>
      <c r="P31" s="81"/>
      <c r="Q31" s="88"/>
      <c r="R31" s="104"/>
      <c r="S31" s="92"/>
      <c r="T31" s="81"/>
      <c r="U31" s="106">
        <f t="shared" si="0"/>
        <v>0</v>
      </c>
      <c r="V31" s="4">
        <f>C31</f>
        <v>1</v>
      </c>
      <c r="W31" s="4">
        <f t="shared" si="1"/>
        <v>1</v>
      </c>
      <c r="X31" s="4">
        <f t="shared" si="2"/>
        <v>0</v>
      </c>
      <c r="Y31" s="4">
        <f t="shared" si="3"/>
        <v>0</v>
      </c>
      <c r="Z31" s="4">
        <f t="shared" si="4"/>
        <v>0</v>
      </c>
      <c r="AC31" s="34"/>
    </row>
    <row r="32" spans="1:29" s="4" customFormat="1" x14ac:dyDescent="0.35">
      <c r="A32" s="81"/>
      <c r="B32" s="90">
        <v>43850</v>
      </c>
      <c r="C32" s="105">
        <v>1</v>
      </c>
      <c r="D32" s="105">
        <v>1</v>
      </c>
      <c r="E32" s="105">
        <v>1</v>
      </c>
      <c r="F32" s="105">
        <v>1</v>
      </c>
      <c r="G32" s="105">
        <v>1</v>
      </c>
      <c r="H32" s="81"/>
      <c r="I32" s="90"/>
      <c r="J32" s="105"/>
      <c r="K32" s="91"/>
      <c r="L32" s="81"/>
      <c r="M32" s="90"/>
      <c r="N32" s="105"/>
      <c r="O32" s="91"/>
      <c r="P32" s="81"/>
      <c r="Q32" s="90"/>
      <c r="R32" s="105"/>
      <c r="S32" s="91"/>
      <c r="T32" s="81"/>
      <c r="U32" s="106">
        <f t="shared" si="0"/>
        <v>0</v>
      </c>
      <c r="V32" s="4">
        <f>C32</f>
        <v>1</v>
      </c>
      <c r="W32" s="4">
        <f t="shared" si="1"/>
        <v>1</v>
      </c>
      <c r="X32" s="4">
        <f t="shared" si="2"/>
        <v>0</v>
      </c>
      <c r="Y32" s="4">
        <f t="shared" si="3"/>
        <v>0</v>
      </c>
      <c r="Z32" s="4">
        <f t="shared" si="4"/>
        <v>0</v>
      </c>
      <c r="AC32" s="34"/>
    </row>
    <row r="33" spans="1:29" s="4" customFormat="1" x14ac:dyDescent="0.35">
      <c r="A33" s="81"/>
      <c r="B33" s="88">
        <v>43851</v>
      </c>
      <c r="C33" s="104">
        <v>1</v>
      </c>
      <c r="D33" s="104">
        <v>1</v>
      </c>
      <c r="E33" s="104">
        <v>1</v>
      </c>
      <c r="F33" s="104">
        <v>1</v>
      </c>
      <c r="G33" s="104">
        <v>1</v>
      </c>
      <c r="H33" s="81"/>
      <c r="I33" s="88"/>
      <c r="J33" s="104"/>
      <c r="K33" s="92"/>
      <c r="L33" s="81"/>
      <c r="M33" s="88"/>
      <c r="N33" s="104"/>
      <c r="O33" s="92"/>
      <c r="P33" s="81"/>
      <c r="Q33" s="88"/>
      <c r="R33" s="104"/>
      <c r="S33" s="92"/>
      <c r="T33" s="81"/>
      <c r="U33" s="106">
        <f t="shared" si="0"/>
        <v>0</v>
      </c>
      <c r="V33" s="4">
        <f>C33</f>
        <v>1</v>
      </c>
      <c r="W33" s="4">
        <f t="shared" si="1"/>
        <v>1</v>
      </c>
      <c r="X33" s="4">
        <f t="shared" si="2"/>
        <v>0</v>
      </c>
      <c r="Y33" s="4">
        <f t="shared" si="3"/>
        <v>0</v>
      </c>
      <c r="Z33" s="4">
        <f t="shared" si="4"/>
        <v>0</v>
      </c>
      <c r="AC33" s="34"/>
    </row>
    <row r="34" spans="1:29" s="4" customFormat="1" x14ac:dyDescent="0.35">
      <c r="A34" s="81"/>
      <c r="B34" s="90">
        <v>43852</v>
      </c>
      <c r="C34" s="105">
        <v>1</v>
      </c>
      <c r="D34" s="105">
        <v>1</v>
      </c>
      <c r="E34" s="105">
        <v>1</v>
      </c>
      <c r="F34" s="105">
        <v>1</v>
      </c>
      <c r="G34" s="105">
        <v>1</v>
      </c>
      <c r="H34" s="81"/>
      <c r="I34" s="90"/>
      <c r="J34" s="105"/>
      <c r="K34" s="91"/>
      <c r="L34" s="81"/>
      <c r="M34" s="90"/>
      <c r="N34" s="105"/>
      <c r="O34" s="91"/>
      <c r="P34" s="81"/>
      <c r="Q34" s="90"/>
      <c r="R34" s="105"/>
      <c r="S34" s="91"/>
      <c r="T34" s="81"/>
      <c r="U34" s="106">
        <f t="shared" si="0"/>
        <v>0</v>
      </c>
      <c r="V34" s="4">
        <f>C34</f>
        <v>1</v>
      </c>
      <c r="W34" s="4">
        <f t="shared" si="1"/>
        <v>1</v>
      </c>
      <c r="X34" s="4">
        <f t="shared" si="2"/>
        <v>0</v>
      </c>
      <c r="Y34" s="4">
        <f t="shared" si="3"/>
        <v>0</v>
      </c>
      <c r="Z34" s="4">
        <f t="shared" si="4"/>
        <v>0</v>
      </c>
      <c r="AC34" s="34"/>
    </row>
    <row r="35" spans="1:29" s="4" customFormat="1" x14ac:dyDescent="0.35">
      <c r="A35" s="81"/>
      <c r="B35" s="88">
        <v>43853</v>
      </c>
      <c r="C35" s="104">
        <v>1</v>
      </c>
      <c r="D35" s="104">
        <v>1</v>
      </c>
      <c r="E35" s="104">
        <v>1</v>
      </c>
      <c r="F35" s="104">
        <v>1</v>
      </c>
      <c r="G35" s="104">
        <v>1</v>
      </c>
      <c r="H35" s="81"/>
      <c r="I35" s="88"/>
      <c r="J35" s="104"/>
      <c r="K35" s="92"/>
      <c r="L35" s="81"/>
      <c r="M35" s="88"/>
      <c r="N35" s="104"/>
      <c r="O35" s="92"/>
      <c r="P35" s="81"/>
      <c r="Q35" s="88"/>
      <c r="R35" s="104"/>
      <c r="S35" s="92"/>
      <c r="T35" s="81"/>
      <c r="U35" s="106">
        <f t="shared" si="0"/>
        <v>0</v>
      </c>
      <c r="V35" s="4">
        <f>C35</f>
        <v>1</v>
      </c>
      <c r="W35" s="4">
        <f t="shared" si="1"/>
        <v>1</v>
      </c>
      <c r="X35" s="4">
        <f t="shared" si="2"/>
        <v>0</v>
      </c>
      <c r="Y35" s="4">
        <f t="shared" si="3"/>
        <v>0</v>
      </c>
      <c r="Z35" s="4">
        <f t="shared" si="4"/>
        <v>0</v>
      </c>
      <c r="AC35" s="34"/>
    </row>
    <row r="36" spans="1:29" s="4" customFormat="1" x14ac:dyDescent="0.35">
      <c r="A36" s="81"/>
      <c r="B36" s="90">
        <v>43854</v>
      </c>
      <c r="C36" s="105">
        <v>1</v>
      </c>
      <c r="D36" s="105">
        <v>1</v>
      </c>
      <c r="E36" s="105">
        <v>1</v>
      </c>
      <c r="F36" s="105">
        <v>1</v>
      </c>
      <c r="G36" s="105">
        <v>1</v>
      </c>
      <c r="H36" s="81"/>
      <c r="I36" s="90"/>
      <c r="J36" s="105"/>
      <c r="K36" s="91"/>
      <c r="L36" s="81"/>
      <c r="M36" s="90"/>
      <c r="N36" s="105"/>
      <c r="O36" s="91"/>
      <c r="P36" s="81"/>
      <c r="Q36" s="90"/>
      <c r="R36" s="105"/>
      <c r="S36" s="91"/>
      <c r="T36" s="81"/>
      <c r="U36" s="106">
        <f t="shared" si="0"/>
        <v>0</v>
      </c>
      <c r="V36" s="4">
        <f>C36</f>
        <v>1</v>
      </c>
      <c r="W36" s="4">
        <f t="shared" si="1"/>
        <v>1</v>
      </c>
      <c r="X36" s="4">
        <f t="shared" si="2"/>
        <v>0</v>
      </c>
      <c r="Y36" s="4">
        <f t="shared" si="3"/>
        <v>0</v>
      </c>
      <c r="Z36" s="4">
        <f t="shared" si="4"/>
        <v>0</v>
      </c>
      <c r="AC36" s="34"/>
    </row>
    <row r="37" spans="1:29" s="4" customFormat="1" x14ac:dyDescent="0.35">
      <c r="A37" s="81"/>
      <c r="B37" s="88">
        <v>43855</v>
      </c>
      <c r="C37" s="104">
        <v>1</v>
      </c>
      <c r="D37" s="104">
        <v>1</v>
      </c>
      <c r="E37" s="104">
        <v>66</v>
      </c>
      <c r="F37" s="104">
        <v>1</v>
      </c>
      <c r="G37" s="104">
        <v>1</v>
      </c>
      <c r="H37" s="81"/>
      <c r="I37" s="88"/>
      <c r="J37" s="104"/>
      <c r="K37" s="92"/>
      <c r="L37" s="81"/>
      <c r="M37" s="88"/>
      <c r="N37" s="104"/>
      <c r="O37" s="92"/>
      <c r="P37" s="81"/>
      <c r="Q37" s="88"/>
      <c r="R37" s="104"/>
      <c r="S37" s="92"/>
      <c r="T37" s="81"/>
      <c r="U37" s="106">
        <f t="shared" si="0"/>
        <v>0</v>
      </c>
      <c r="V37" s="4">
        <f>C37</f>
        <v>1</v>
      </c>
      <c r="W37" s="4">
        <f t="shared" si="1"/>
        <v>1</v>
      </c>
      <c r="X37" s="4">
        <f t="shared" si="2"/>
        <v>0</v>
      </c>
      <c r="Y37" s="4">
        <f t="shared" si="3"/>
        <v>0</v>
      </c>
      <c r="Z37" s="4">
        <f t="shared" si="4"/>
        <v>0</v>
      </c>
      <c r="AC37" s="34"/>
    </row>
    <row r="38" spans="1:29" s="4" customFormat="1" x14ac:dyDescent="0.35">
      <c r="A38" s="81"/>
      <c r="B38" s="90">
        <v>43856</v>
      </c>
      <c r="C38" s="105">
        <v>26</v>
      </c>
      <c r="D38" s="105">
        <v>26</v>
      </c>
      <c r="E38" s="105">
        <v>26</v>
      </c>
      <c r="F38" s="105">
        <v>26</v>
      </c>
      <c r="G38" s="105">
        <v>5</v>
      </c>
      <c r="H38" s="81"/>
      <c r="I38" s="90"/>
      <c r="J38" s="105"/>
      <c r="K38" s="91"/>
      <c r="L38" s="81"/>
      <c r="M38" s="90"/>
      <c r="N38" s="105"/>
      <c r="O38" s="91"/>
      <c r="P38" s="81"/>
      <c r="Q38" s="90"/>
      <c r="R38" s="105"/>
      <c r="S38" s="91"/>
      <c r="T38" s="81"/>
      <c r="U38" s="106">
        <f t="shared" si="0"/>
        <v>0</v>
      </c>
      <c r="V38" s="4">
        <f>C38</f>
        <v>26</v>
      </c>
      <c r="W38" s="4">
        <f t="shared" si="1"/>
        <v>26</v>
      </c>
      <c r="X38" s="4">
        <f t="shared" si="2"/>
        <v>0</v>
      </c>
      <c r="Y38" s="4">
        <f t="shared" si="3"/>
        <v>0</v>
      </c>
      <c r="Z38" s="4">
        <f t="shared" si="4"/>
        <v>0</v>
      </c>
      <c r="AC38" s="34"/>
    </row>
    <row r="39" spans="1:29" s="4" customFormat="1" x14ac:dyDescent="0.35">
      <c r="A39" s="81"/>
      <c r="B39" s="88">
        <v>43857</v>
      </c>
      <c r="C39" s="104">
        <v>1</v>
      </c>
      <c r="D39" s="104">
        <v>1</v>
      </c>
      <c r="E39" s="104">
        <v>66</v>
      </c>
      <c r="F39" s="104">
        <v>90</v>
      </c>
      <c r="G39" s="104">
        <v>1</v>
      </c>
      <c r="H39" s="81"/>
      <c r="I39" s="88"/>
      <c r="J39" s="104"/>
      <c r="K39" s="92"/>
      <c r="L39" s="81"/>
      <c r="M39" s="88"/>
      <c r="N39" s="104"/>
      <c r="O39" s="92"/>
      <c r="P39" s="81"/>
      <c r="Q39" s="88"/>
      <c r="R39" s="104"/>
      <c r="S39" s="92"/>
      <c r="T39" s="81"/>
      <c r="U39" s="106">
        <f t="shared" si="0"/>
        <v>0</v>
      </c>
      <c r="V39" s="4">
        <f>C39</f>
        <v>1</v>
      </c>
      <c r="W39" s="4">
        <f t="shared" si="1"/>
        <v>90</v>
      </c>
      <c r="X39" s="4">
        <f t="shared" si="2"/>
        <v>0</v>
      </c>
      <c r="Y39" s="4">
        <f t="shared" si="3"/>
        <v>0</v>
      </c>
      <c r="Z39" s="4">
        <f t="shared" si="4"/>
        <v>0</v>
      </c>
      <c r="AC39" s="34"/>
    </row>
    <row r="40" spans="1:29" s="4" customFormat="1" x14ac:dyDescent="0.35">
      <c r="A40" s="81"/>
      <c r="B40" s="90">
        <v>43858</v>
      </c>
      <c r="C40" s="105">
        <v>32</v>
      </c>
      <c r="D40" s="105">
        <v>5</v>
      </c>
      <c r="E40" s="105">
        <v>66</v>
      </c>
      <c r="F40" s="105">
        <v>87</v>
      </c>
      <c r="G40" s="105">
        <v>1</v>
      </c>
      <c r="H40" s="81"/>
      <c r="I40" s="90"/>
      <c r="J40" s="105"/>
      <c r="K40" s="91"/>
      <c r="L40" s="81"/>
      <c r="M40" s="90"/>
      <c r="N40" s="105"/>
      <c r="O40" s="91"/>
      <c r="P40" s="81"/>
      <c r="Q40" s="90"/>
      <c r="R40" s="105"/>
      <c r="S40" s="91"/>
      <c r="T40" s="81"/>
      <c r="U40" s="106">
        <f t="shared" si="0"/>
        <v>0</v>
      </c>
      <c r="V40" s="4">
        <f>C40</f>
        <v>32</v>
      </c>
      <c r="W40" s="4">
        <f t="shared" si="1"/>
        <v>87</v>
      </c>
      <c r="X40" s="4">
        <f t="shared" si="2"/>
        <v>0</v>
      </c>
      <c r="Y40" s="4">
        <f t="shared" si="3"/>
        <v>0</v>
      </c>
      <c r="Z40" s="4">
        <f t="shared" si="4"/>
        <v>0</v>
      </c>
      <c r="AC40" s="34"/>
    </row>
    <row r="41" spans="1:29" s="4" customFormat="1" x14ac:dyDescent="0.35">
      <c r="A41" s="81"/>
      <c r="B41" s="88">
        <v>43859</v>
      </c>
      <c r="C41" s="104">
        <v>1</v>
      </c>
      <c r="D41" s="104">
        <v>1</v>
      </c>
      <c r="E41" s="104">
        <v>66</v>
      </c>
      <c r="F41" s="104">
        <v>90</v>
      </c>
      <c r="G41" s="104">
        <v>1</v>
      </c>
      <c r="H41" s="81"/>
      <c r="I41" s="88"/>
      <c r="J41" s="104"/>
      <c r="K41" s="92"/>
      <c r="L41" s="81"/>
      <c r="M41" s="88"/>
      <c r="N41" s="104"/>
      <c r="O41" s="92"/>
      <c r="P41" s="81"/>
      <c r="Q41" s="88"/>
      <c r="R41" s="104"/>
      <c r="S41" s="92"/>
      <c r="T41" s="81"/>
      <c r="U41" s="106">
        <f t="shared" si="0"/>
        <v>0</v>
      </c>
      <c r="V41" s="4">
        <f>C41</f>
        <v>1</v>
      </c>
      <c r="W41" s="4">
        <f t="shared" si="1"/>
        <v>90</v>
      </c>
      <c r="X41" s="4">
        <f t="shared" si="2"/>
        <v>0</v>
      </c>
      <c r="Y41" s="4">
        <f t="shared" si="3"/>
        <v>0</v>
      </c>
      <c r="Z41" s="4">
        <f t="shared" si="4"/>
        <v>0</v>
      </c>
      <c r="AC41" s="34"/>
    </row>
    <row r="42" spans="1:29" s="4" customFormat="1" x14ac:dyDescent="0.35">
      <c r="A42" s="81"/>
      <c r="B42" s="90">
        <v>43860</v>
      </c>
      <c r="C42" s="105">
        <v>1</v>
      </c>
      <c r="D42" s="105">
        <v>1</v>
      </c>
      <c r="E42" s="105">
        <v>66</v>
      </c>
      <c r="F42" s="105">
        <v>90</v>
      </c>
      <c r="G42" s="105">
        <v>5</v>
      </c>
      <c r="H42" s="81"/>
      <c r="I42" s="90"/>
      <c r="J42" s="105"/>
      <c r="K42" s="91"/>
      <c r="L42" s="81"/>
      <c r="M42" s="90"/>
      <c r="N42" s="105"/>
      <c r="O42" s="91"/>
      <c r="P42" s="81"/>
      <c r="Q42" s="90"/>
      <c r="R42" s="105"/>
      <c r="S42" s="91"/>
      <c r="T42" s="81"/>
      <c r="U42" s="106">
        <f t="shared" si="0"/>
        <v>0</v>
      </c>
      <c r="V42" s="4">
        <f>C42</f>
        <v>1</v>
      </c>
      <c r="W42" s="4">
        <f t="shared" si="1"/>
        <v>90</v>
      </c>
      <c r="X42" s="4">
        <f t="shared" si="2"/>
        <v>0</v>
      </c>
      <c r="Y42" s="4">
        <f t="shared" si="3"/>
        <v>0</v>
      </c>
      <c r="Z42" s="4">
        <f t="shared" si="4"/>
        <v>0</v>
      </c>
      <c r="AC42" s="34"/>
    </row>
    <row r="43" spans="1:29" s="4" customFormat="1" x14ac:dyDescent="0.35">
      <c r="A43" s="81"/>
      <c r="B43" s="88">
        <v>43861</v>
      </c>
      <c r="C43" s="104">
        <v>1</v>
      </c>
      <c r="D43" s="104">
        <v>1</v>
      </c>
      <c r="E43" s="104">
        <v>66</v>
      </c>
      <c r="F43" s="104">
        <v>1</v>
      </c>
      <c r="G43" s="104">
        <v>1</v>
      </c>
      <c r="H43" s="81"/>
      <c r="I43" s="88"/>
      <c r="J43" s="104"/>
      <c r="K43" s="92"/>
      <c r="L43" s="81"/>
      <c r="M43" s="88"/>
      <c r="N43" s="104"/>
      <c r="O43" s="92"/>
      <c r="P43" s="81"/>
      <c r="Q43" s="88"/>
      <c r="R43" s="104"/>
      <c r="S43" s="92"/>
      <c r="T43" s="81"/>
      <c r="U43" s="106">
        <f t="shared" si="0"/>
        <v>0</v>
      </c>
      <c r="V43" s="4">
        <f>C43</f>
        <v>1</v>
      </c>
      <c r="W43" s="4">
        <f t="shared" si="1"/>
        <v>1</v>
      </c>
      <c r="X43" s="4">
        <f t="shared" si="2"/>
        <v>0</v>
      </c>
      <c r="Y43" s="4">
        <f t="shared" si="3"/>
        <v>0</v>
      </c>
      <c r="Z43" s="4">
        <f t="shared" si="4"/>
        <v>0</v>
      </c>
      <c r="AC43" s="34"/>
    </row>
    <row r="44" spans="1:29" s="4" customFormat="1" x14ac:dyDescent="0.35">
      <c r="A44" s="81"/>
      <c r="B44" s="90">
        <v>43862</v>
      </c>
      <c r="C44" s="105">
        <v>1</v>
      </c>
      <c r="D44" s="105">
        <v>1</v>
      </c>
      <c r="E44" s="105">
        <v>1</v>
      </c>
      <c r="F44" s="105">
        <v>1</v>
      </c>
      <c r="G44" s="105">
        <v>1</v>
      </c>
      <c r="H44" s="81"/>
      <c r="I44" s="90"/>
      <c r="J44" s="105"/>
      <c r="K44" s="91"/>
      <c r="L44" s="81"/>
      <c r="M44" s="90"/>
      <c r="N44" s="105"/>
      <c r="O44" s="91"/>
      <c r="P44" s="81"/>
      <c r="Q44" s="90"/>
      <c r="R44" s="105"/>
      <c r="S44" s="91"/>
      <c r="T44" s="81"/>
      <c r="U44" s="106">
        <f t="shared" si="0"/>
        <v>0</v>
      </c>
      <c r="V44" s="4">
        <f>C44</f>
        <v>1</v>
      </c>
      <c r="W44" s="4">
        <f t="shared" si="1"/>
        <v>1</v>
      </c>
      <c r="X44" s="4">
        <f t="shared" si="2"/>
        <v>0</v>
      </c>
      <c r="Y44" s="4">
        <f t="shared" si="3"/>
        <v>0</v>
      </c>
      <c r="Z44" s="4">
        <f t="shared" si="4"/>
        <v>0</v>
      </c>
      <c r="AC44" s="34"/>
    </row>
    <row r="45" spans="1:29" s="4" customFormat="1" x14ac:dyDescent="0.35">
      <c r="A45" s="81"/>
      <c r="B45" s="88">
        <v>43863</v>
      </c>
      <c r="C45" s="104">
        <v>33</v>
      </c>
      <c r="D45" s="104">
        <v>33</v>
      </c>
      <c r="E45" s="104">
        <v>33</v>
      </c>
      <c r="F45" s="104">
        <v>33</v>
      </c>
      <c r="G45" s="104">
        <v>33</v>
      </c>
      <c r="H45" s="81"/>
      <c r="I45" s="88"/>
      <c r="J45" s="104"/>
      <c r="K45" s="92"/>
      <c r="L45" s="81"/>
      <c r="M45" s="88"/>
      <c r="N45" s="104"/>
      <c r="O45" s="92"/>
      <c r="P45" s="81"/>
      <c r="Q45" s="88"/>
      <c r="R45" s="104"/>
      <c r="S45" s="92"/>
      <c r="T45" s="81"/>
      <c r="U45" s="106">
        <f t="shared" si="0"/>
        <v>0</v>
      </c>
      <c r="V45" s="4">
        <f>C45</f>
        <v>33</v>
      </c>
      <c r="W45" s="4">
        <f t="shared" si="1"/>
        <v>33</v>
      </c>
      <c r="X45" s="4">
        <f t="shared" si="2"/>
        <v>0</v>
      </c>
      <c r="Y45" s="4">
        <f t="shared" si="3"/>
        <v>0</v>
      </c>
      <c r="Z45" s="4">
        <f t="shared" si="4"/>
        <v>0</v>
      </c>
      <c r="AC45" s="34"/>
    </row>
    <row r="46" spans="1:29" s="4" customFormat="1" x14ac:dyDescent="0.35">
      <c r="A46" s="81"/>
      <c r="B46" s="90">
        <v>43864</v>
      </c>
      <c r="C46" s="105">
        <v>34</v>
      </c>
      <c r="D46" s="105">
        <v>34</v>
      </c>
      <c r="E46" s="105">
        <v>34</v>
      </c>
      <c r="F46" s="105">
        <v>34</v>
      </c>
      <c r="G46" s="105">
        <v>34</v>
      </c>
      <c r="H46" s="81"/>
      <c r="I46" s="90"/>
      <c r="J46" s="105"/>
      <c r="K46" s="91"/>
      <c r="L46" s="81"/>
      <c r="M46" s="90"/>
      <c r="N46" s="105"/>
      <c r="O46" s="91"/>
      <c r="P46" s="81"/>
      <c r="Q46" s="90"/>
      <c r="R46" s="105"/>
      <c r="S46" s="91"/>
      <c r="T46" s="81"/>
      <c r="U46" s="106">
        <f t="shared" si="0"/>
        <v>0</v>
      </c>
      <c r="V46" s="4">
        <f>C46</f>
        <v>34</v>
      </c>
      <c r="W46" s="4">
        <f t="shared" si="1"/>
        <v>34</v>
      </c>
      <c r="X46" s="4">
        <f t="shared" si="2"/>
        <v>0</v>
      </c>
      <c r="Y46" s="4">
        <f t="shared" si="3"/>
        <v>0</v>
      </c>
      <c r="Z46" s="4">
        <f t="shared" si="4"/>
        <v>0</v>
      </c>
      <c r="AC46" s="34"/>
    </row>
    <row r="47" spans="1:29" s="4" customFormat="1" x14ac:dyDescent="0.35">
      <c r="A47" s="81"/>
      <c r="B47" s="88">
        <v>43865</v>
      </c>
      <c r="C47" s="104">
        <v>35</v>
      </c>
      <c r="D47" s="104">
        <v>35</v>
      </c>
      <c r="E47" s="104">
        <v>35</v>
      </c>
      <c r="F47" s="104">
        <v>35</v>
      </c>
      <c r="G47" s="104">
        <v>35</v>
      </c>
      <c r="H47" s="81"/>
      <c r="I47" s="88"/>
      <c r="J47" s="104"/>
      <c r="K47" s="92"/>
      <c r="L47" s="81"/>
      <c r="M47" s="88"/>
      <c r="N47" s="104"/>
      <c r="O47" s="92"/>
      <c r="P47" s="81"/>
      <c r="Q47" s="88"/>
      <c r="R47" s="104"/>
      <c r="S47" s="92"/>
      <c r="T47" s="81"/>
      <c r="U47" s="106">
        <f t="shared" si="0"/>
        <v>0</v>
      </c>
      <c r="V47" s="4">
        <f>C47</f>
        <v>35</v>
      </c>
      <c r="W47" s="4">
        <f t="shared" si="1"/>
        <v>35</v>
      </c>
      <c r="X47" s="4">
        <f t="shared" si="2"/>
        <v>0</v>
      </c>
      <c r="Y47" s="4">
        <f t="shared" si="3"/>
        <v>0</v>
      </c>
      <c r="Z47" s="4">
        <f t="shared" si="4"/>
        <v>0</v>
      </c>
      <c r="AC47" s="34"/>
    </row>
    <row r="48" spans="1:29" s="4" customFormat="1" x14ac:dyDescent="0.35">
      <c r="A48" s="81"/>
      <c r="B48" s="90">
        <v>43866</v>
      </c>
      <c r="C48" s="105">
        <v>36</v>
      </c>
      <c r="D48" s="105">
        <v>36</v>
      </c>
      <c r="E48" s="105">
        <v>36</v>
      </c>
      <c r="F48" s="105">
        <v>36</v>
      </c>
      <c r="G48" s="105">
        <v>36</v>
      </c>
      <c r="H48" s="81"/>
      <c r="I48" s="90"/>
      <c r="J48" s="105"/>
      <c r="K48" s="91"/>
      <c r="L48" s="81"/>
      <c r="M48" s="90"/>
      <c r="N48" s="105"/>
      <c r="O48" s="91"/>
      <c r="P48" s="81"/>
      <c r="Q48" s="90"/>
      <c r="R48" s="105"/>
      <c r="S48" s="91"/>
      <c r="T48" s="81"/>
      <c r="U48" s="106">
        <f t="shared" si="0"/>
        <v>0</v>
      </c>
      <c r="V48" s="4">
        <f>C48</f>
        <v>36</v>
      </c>
      <c r="W48" s="4">
        <f t="shared" si="1"/>
        <v>36</v>
      </c>
      <c r="X48" s="4">
        <f t="shared" si="2"/>
        <v>0</v>
      </c>
      <c r="Y48" s="4">
        <f t="shared" si="3"/>
        <v>0</v>
      </c>
      <c r="Z48" s="4">
        <f t="shared" si="4"/>
        <v>0</v>
      </c>
      <c r="AC48" s="34"/>
    </row>
    <row r="49" spans="1:29" s="4" customFormat="1" x14ac:dyDescent="0.35">
      <c r="A49" s="81"/>
      <c r="B49" s="88">
        <v>43867</v>
      </c>
      <c r="C49" s="104">
        <v>37</v>
      </c>
      <c r="D49" s="104">
        <v>37</v>
      </c>
      <c r="E49" s="104">
        <v>37</v>
      </c>
      <c r="F49" s="104">
        <v>37</v>
      </c>
      <c r="G49" s="104">
        <v>37</v>
      </c>
      <c r="H49" s="81"/>
      <c r="I49" s="88"/>
      <c r="J49" s="104"/>
      <c r="K49" s="92"/>
      <c r="L49" s="81"/>
      <c r="M49" s="88"/>
      <c r="N49" s="104"/>
      <c r="O49" s="92"/>
      <c r="P49" s="81"/>
      <c r="Q49" s="88"/>
      <c r="R49" s="104"/>
      <c r="S49" s="92"/>
      <c r="T49" s="81"/>
      <c r="U49" s="106">
        <f t="shared" si="0"/>
        <v>0</v>
      </c>
      <c r="V49" s="4">
        <f>C49</f>
        <v>37</v>
      </c>
      <c r="W49" s="4">
        <f t="shared" si="1"/>
        <v>37</v>
      </c>
      <c r="X49" s="4">
        <f t="shared" si="2"/>
        <v>0</v>
      </c>
      <c r="Y49" s="4">
        <f t="shared" si="3"/>
        <v>0</v>
      </c>
      <c r="Z49" s="4">
        <f t="shared" si="4"/>
        <v>0</v>
      </c>
      <c r="AC49" s="34"/>
    </row>
    <row r="50" spans="1:29" s="4" customFormat="1" x14ac:dyDescent="0.35">
      <c r="A50" s="81"/>
      <c r="B50" s="90">
        <v>43868</v>
      </c>
      <c r="C50" s="105">
        <v>38</v>
      </c>
      <c r="D50" s="105">
        <v>38</v>
      </c>
      <c r="E50" s="105">
        <v>38</v>
      </c>
      <c r="F50" s="105">
        <v>38</v>
      </c>
      <c r="G50" s="105">
        <v>38</v>
      </c>
      <c r="H50" s="81"/>
      <c r="I50" s="90"/>
      <c r="J50" s="105"/>
      <c r="K50" s="91"/>
      <c r="L50" s="81"/>
      <c r="M50" s="90"/>
      <c r="N50" s="105"/>
      <c r="O50" s="91"/>
      <c r="P50" s="81"/>
      <c r="Q50" s="90"/>
      <c r="R50" s="105"/>
      <c r="S50" s="91"/>
      <c r="T50" s="81"/>
      <c r="U50" s="106">
        <f t="shared" si="0"/>
        <v>0</v>
      </c>
      <c r="V50" s="4">
        <f>C50</f>
        <v>38</v>
      </c>
      <c r="W50" s="4">
        <f t="shared" si="1"/>
        <v>38</v>
      </c>
      <c r="X50" s="4">
        <f t="shared" si="2"/>
        <v>0</v>
      </c>
      <c r="Y50" s="4">
        <f t="shared" si="3"/>
        <v>0</v>
      </c>
      <c r="Z50" s="4">
        <f t="shared" si="4"/>
        <v>0</v>
      </c>
      <c r="AC50" s="34"/>
    </row>
    <row r="51" spans="1:29" s="4" customFormat="1" x14ac:dyDescent="0.35">
      <c r="A51" s="81"/>
      <c r="B51" s="88">
        <v>43869</v>
      </c>
      <c r="C51" s="104">
        <v>39</v>
      </c>
      <c r="D51" s="104">
        <v>39</v>
      </c>
      <c r="E51" s="104">
        <v>39</v>
      </c>
      <c r="F51" s="104">
        <v>39</v>
      </c>
      <c r="G51" s="104">
        <v>39</v>
      </c>
      <c r="H51" s="81"/>
      <c r="I51" s="88"/>
      <c r="J51" s="104"/>
      <c r="K51" s="92"/>
      <c r="L51" s="81"/>
      <c r="M51" s="88"/>
      <c r="N51" s="104"/>
      <c r="O51" s="92"/>
      <c r="P51" s="81"/>
      <c r="Q51" s="88"/>
      <c r="R51" s="104"/>
      <c r="S51" s="92"/>
      <c r="T51" s="81"/>
      <c r="U51" s="106">
        <f t="shared" si="0"/>
        <v>0</v>
      </c>
      <c r="V51" s="4">
        <f>C51</f>
        <v>39</v>
      </c>
      <c r="W51" s="4">
        <f t="shared" si="1"/>
        <v>39</v>
      </c>
      <c r="X51" s="4">
        <f t="shared" si="2"/>
        <v>0</v>
      </c>
      <c r="Y51" s="4">
        <f t="shared" si="3"/>
        <v>0</v>
      </c>
      <c r="Z51" s="4">
        <f t="shared" si="4"/>
        <v>0</v>
      </c>
      <c r="AC51" s="34"/>
    </row>
    <row r="52" spans="1:29" s="4" customFormat="1" x14ac:dyDescent="0.35">
      <c r="A52" s="81"/>
      <c r="B52" s="90">
        <v>43870</v>
      </c>
      <c r="C52" s="105">
        <v>40</v>
      </c>
      <c r="D52" s="105">
        <v>40</v>
      </c>
      <c r="E52" s="105">
        <v>40</v>
      </c>
      <c r="F52" s="105">
        <v>40</v>
      </c>
      <c r="G52" s="105">
        <v>40</v>
      </c>
      <c r="H52" s="81"/>
      <c r="I52" s="90"/>
      <c r="J52" s="105"/>
      <c r="K52" s="91"/>
      <c r="L52" s="81"/>
      <c r="M52" s="90"/>
      <c r="N52" s="105"/>
      <c r="O52" s="91"/>
      <c r="P52" s="81"/>
      <c r="Q52" s="90"/>
      <c r="R52" s="105"/>
      <c r="S52" s="91"/>
      <c r="T52" s="81"/>
      <c r="U52" s="106">
        <f t="shared" si="0"/>
        <v>0</v>
      </c>
      <c r="V52" s="4">
        <f>C52</f>
        <v>40</v>
      </c>
      <c r="W52" s="4">
        <f t="shared" si="1"/>
        <v>40</v>
      </c>
      <c r="X52" s="4">
        <f t="shared" si="2"/>
        <v>0</v>
      </c>
      <c r="Y52" s="4">
        <f t="shared" si="3"/>
        <v>0</v>
      </c>
      <c r="Z52" s="4">
        <f t="shared" si="4"/>
        <v>0</v>
      </c>
      <c r="AC52" s="34"/>
    </row>
    <row r="53" spans="1:29" s="4" customFormat="1" x14ac:dyDescent="0.35">
      <c r="A53" s="81"/>
      <c r="B53" s="88">
        <v>43871</v>
      </c>
      <c r="C53" s="104">
        <v>41</v>
      </c>
      <c r="D53" s="104">
        <v>41</v>
      </c>
      <c r="E53" s="104">
        <v>41</v>
      </c>
      <c r="F53" s="104">
        <v>41</v>
      </c>
      <c r="G53" s="104">
        <v>41</v>
      </c>
      <c r="H53" s="81"/>
      <c r="I53" s="88"/>
      <c r="J53" s="104"/>
      <c r="K53" s="92"/>
      <c r="L53" s="81"/>
      <c r="M53" s="88"/>
      <c r="N53" s="104"/>
      <c r="O53" s="92"/>
      <c r="P53" s="81"/>
      <c r="Q53" s="88"/>
      <c r="R53" s="104"/>
      <c r="S53" s="92"/>
      <c r="T53" s="81"/>
      <c r="U53" s="106">
        <f t="shared" si="0"/>
        <v>0</v>
      </c>
      <c r="V53" s="4">
        <f>C53</f>
        <v>41</v>
      </c>
      <c r="W53" s="4">
        <f t="shared" si="1"/>
        <v>41</v>
      </c>
      <c r="X53" s="4">
        <f t="shared" si="2"/>
        <v>0</v>
      </c>
      <c r="Y53" s="4">
        <f t="shared" si="3"/>
        <v>0</v>
      </c>
      <c r="Z53" s="4">
        <f t="shared" si="4"/>
        <v>0</v>
      </c>
      <c r="AC53" s="34"/>
    </row>
    <row r="54" spans="1:29" s="4" customFormat="1" x14ac:dyDescent="0.35">
      <c r="A54" s="81"/>
      <c r="B54" s="90">
        <v>43872</v>
      </c>
      <c r="C54" s="105">
        <v>42</v>
      </c>
      <c r="D54" s="105">
        <v>42</v>
      </c>
      <c r="E54" s="105">
        <v>42</v>
      </c>
      <c r="F54" s="105">
        <v>42</v>
      </c>
      <c r="G54" s="105">
        <v>42</v>
      </c>
      <c r="H54" s="81"/>
      <c r="I54" s="90"/>
      <c r="J54" s="105"/>
      <c r="K54" s="91"/>
      <c r="L54" s="81"/>
      <c r="M54" s="90"/>
      <c r="N54" s="105"/>
      <c r="O54" s="91"/>
      <c r="P54" s="81"/>
      <c r="Q54" s="90"/>
      <c r="R54" s="105"/>
      <c r="S54" s="91"/>
      <c r="T54" s="81"/>
      <c r="U54" s="106">
        <f t="shared" si="0"/>
        <v>0</v>
      </c>
      <c r="V54" s="4">
        <f>C54</f>
        <v>42</v>
      </c>
      <c r="W54" s="4">
        <f t="shared" si="1"/>
        <v>42</v>
      </c>
      <c r="X54" s="4">
        <f t="shared" si="2"/>
        <v>0</v>
      </c>
      <c r="Y54" s="4">
        <f t="shared" si="3"/>
        <v>0</v>
      </c>
      <c r="Z54" s="4">
        <f t="shared" si="4"/>
        <v>0</v>
      </c>
      <c r="AC54" s="34"/>
    </row>
    <row r="55" spans="1:29" s="4" customFormat="1" x14ac:dyDescent="0.35">
      <c r="A55" s="81"/>
      <c r="B55" s="88">
        <v>43873</v>
      </c>
      <c r="C55" s="104">
        <v>43</v>
      </c>
      <c r="D55" s="104">
        <v>43</v>
      </c>
      <c r="E55" s="104">
        <v>43</v>
      </c>
      <c r="F55" s="104">
        <v>43</v>
      </c>
      <c r="G55" s="104">
        <v>43</v>
      </c>
      <c r="H55" s="81"/>
      <c r="I55" s="88"/>
      <c r="J55" s="104"/>
      <c r="K55" s="92"/>
      <c r="L55" s="81"/>
      <c r="M55" s="88"/>
      <c r="N55" s="104"/>
      <c r="O55" s="92"/>
      <c r="P55" s="81"/>
      <c r="Q55" s="88"/>
      <c r="R55" s="104"/>
      <c r="S55" s="92"/>
      <c r="T55" s="81"/>
      <c r="U55" s="106">
        <f t="shared" si="0"/>
        <v>0</v>
      </c>
      <c r="V55" s="4">
        <f>C55</f>
        <v>43</v>
      </c>
      <c r="W55" s="4">
        <f t="shared" si="1"/>
        <v>43</v>
      </c>
      <c r="X55" s="4">
        <f t="shared" si="2"/>
        <v>0</v>
      </c>
      <c r="Y55" s="4">
        <f t="shared" si="3"/>
        <v>0</v>
      </c>
      <c r="Z55" s="4">
        <f t="shared" si="4"/>
        <v>0</v>
      </c>
      <c r="AC55" s="34"/>
    </row>
    <row r="56" spans="1:29" s="4" customFormat="1" x14ac:dyDescent="0.35">
      <c r="A56" s="81"/>
      <c r="B56" s="90">
        <v>43874</v>
      </c>
      <c r="C56" s="105">
        <v>44</v>
      </c>
      <c r="D56" s="105">
        <v>44</v>
      </c>
      <c r="E56" s="105">
        <v>44</v>
      </c>
      <c r="F56" s="105">
        <v>44</v>
      </c>
      <c r="G56" s="105">
        <v>44</v>
      </c>
      <c r="H56" s="81"/>
      <c r="I56" s="90"/>
      <c r="J56" s="105"/>
      <c r="K56" s="91"/>
      <c r="L56" s="81"/>
      <c r="M56" s="90"/>
      <c r="N56" s="105"/>
      <c r="O56" s="91"/>
      <c r="P56" s="81"/>
      <c r="Q56" s="90"/>
      <c r="R56" s="105"/>
      <c r="S56" s="91"/>
      <c r="T56" s="81"/>
      <c r="U56" s="106">
        <f t="shared" si="0"/>
        <v>0</v>
      </c>
      <c r="V56" s="4">
        <f>C56</f>
        <v>44</v>
      </c>
      <c r="W56" s="4">
        <f t="shared" si="1"/>
        <v>44</v>
      </c>
      <c r="X56" s="4">
        <f t="shared" si="2"/>
        <v>0</v>
      </c>
      <c r="Y56" s="4">
        <f t="shared" si="3"/>
        <v>0</v>
      </c>
      <c r="Z56" s="4">
        <f t="shared" si="4"/>
        <v>0</v>
      </c>
      <c r="AC56" s="34"/>
    </row>
    <row r="57" spans="1:29" s="4" customFormat="1" x14ac:dyDescent="0.35">
      <c r="A57" s="81"/>
      <c r="B57" s="88">
        <v>43875</v>
      </c>
      <c r="C57" s="104">
        <v>45</v>
      </c>
      <c r="D57" s="104">
        <v>45</v>
      </c>
      <c r="E57" s="104">
        <v>45</v>
      </c>
      <c r="F57" s="104">
        <v>45</v>
      </c>
      <c r="G57" s="104">
        <v>45</v>
      </c>
      <c r="H57" s="81"/>
      <c r="I57" s="88"/>
      <c r="J57" s="104"/>
      <c r="K57" s="92"/>
      <c r="L57" s="81"/>
      <c r="M57" s="88"/>
      <c r="N57" s="104"/>
      <c r="O57" s="92"/>
      <c r="P57" s="81"/>
      <c r="Q57" s="88"/>
      <c r="R57" s="104"/>
      <c r="S57" s="92"/>
      <c r="T57" s="81"/>
      <c r="U57" s="106">
        <f t="shared" si="0"/>
        <v>0</v>
      </c>
      <c r="V57" s="4">
        <f>C57</f>
        <v>45</v>
      </c>
      <c r="W57" s="4">
        <f t="shared" si="1"/>
        <v>45</v>
      </c>
      <c r="X57" s="4">
        <f t="shared" si="2"/>
        <v>0</v>
      </c>
      <c r="Y57" s="4">
        <f t="shared" si="3"/>
        <v>0</v>
      </c>
      <c r="Z57" s="4">
        <f t="shared" si="4"/>
        <v>0</v>
      </c>
      <c r="AC57" s="34"/>
    </row>
    <row r="58" spans="1:29" s="4" customFormat="1" x14ac:dyDescent="0.35">
      <c r="A58" s="81"/>
      <c r="B58" s="90">
        <v>43876</v>
      </c>
      <c r="C58" s="105">
        <v>46</v>
      </c>
      <c r="D58" s="105">
        <v>46</v>
      </c>
      <c r="E58" s="105">
        <v>46</v>
      </c>
      <c r="F58" s="105">
        <v>46</v>
      </c>
      <c r="G58" s="105">
        <v>46</v>
      </c>
      <c r="H58" s="81"/>
      <c r="I58" s="90"/>
      <c r="J58" s="105"/>
      <c r="K58" s="91"/>
      <c r="L58" s="81"/>
      <c r="M58" s="90"/>
      <c r="N58" s="105"/>
      <c r="O58" s="91"/>
      <c r="P58" s="81"/>
      <c r="Q58" s="90"/>
      <c r="R58" s="105"/>
      <c r="S58" s="91"/>
      <c r="T58" s="81"/>
      <c r="U58" s="106">
        <f t="shared" si="0"/>
        <v>0</v>
      </c>
      <c r="V58" s="4">
        <f>C58</f>
        <v>46</v>
      </c>
      <c r="W58" s="4">
        <f t="shared" si="1"/>
        <v>46</v>
      </c>
      <c r="X58" s="4">
        <f t="shared" si="2"/>
        <v>0</v>
      </c>
      <c r="Y58" s="4">
        <f t="shared" si="3"/>
        <v>0</v>
      </c>
      <c r="Z58" s="4">
        <f t="shared" si="4"/>
        <v>0</v>
      </c>
      <c r="AC58" s="34"/>
    </row>
    <row r="59" spans="1:29" s="4" customFormat="1" x14ac:dyDescent="0.35">
      <c r="A59" s="81"/>
      <c r="B59" s="88">
        <v>43877</v>
      </c>
      <c r="C59" s="104">
        <v>47</v>
      </c>
      <c r="D59" s="104">
        <v>47</v>
      </c>
      <c r="E59" s="104">
        <v>47</v>
      </c>
      <c r="F59" s="104">
        <v>47</v>
      </c>
      <c r="G59" s="104">
        <v>47</v>
      </c>
      <c r="H59" s="81"/>
      <c r="I59" s="88"/>
      <c r="J59" s="104"/>
      <c r="K59" s="92"/>
      <c r="L59" s="81"/>
      <c r="M59" s="88"/>
      <c r="N59" s="104"/>
      <c r="O59" s="92"/>
      <c r="P59" s="81"/>
      <c r="Q59" s="88"/>
      <c r="R59" s="104"/>
      <c r="S59" s="92"/>
      <c r="T59" s="81"/>
      <c r="U59" s="106">
        <f t="shared" si="0"/>
        <v>0</v>
      </c>
      <c r="V59" s="4">
        <f>C59</f>
        <v>47</v>
      </c>
      <c r="W59" s="4">
        <f t="shared" si="1"/>
        <v>47</v>
      </c>
      <c r="X59" s="4">
        <f t="shared" si="2"/>
        <v>0</v>
      </c>
      <c r="Y59" s="4">
        <f t="shared" si="3"/>
        <v>0</v>
      </c>
      <c r="Z59" s="4">
        <f t="shared" si="4"/>
        <v>0</v>
      </c>
      <c r="AC59" s="34"/>
    </row>
    <row r="60" spans="1:29" s="4" customFormat="1" x14ac:dyDescent="0.35">
      <c r="A60" s="81"/>
      <c r="B60" s="90">
        <v>43878</v>
      </c>
      <c r="C60" s="105">
        <v>48</v>
      </c>
      <c r="D60" s="105">
        <v>48</v>
      </c>
      <c r="E60" s="105">
        <v>48</v>
      </c>
      <c r="F60" s="105">
        <v>48</v>
      </c>
      <c r="G60" s="105">
        <v>48</v>
      </c>
      <c r="H60" s="81"/>
      <c r="I60" s="90"/>
      <c r="J60" s="105"/>
      <c r="K60" s="91"/>
      <c r="L60" s="81"/>
      <c r="M60" s="90"/>
      <c r="N60" s="105"/>
      <c r="O60" s="91"/>
      <c r="P60" s="81"/>
      <c r="Q60" s="90"/>
      <c r="R60" s="105"/>
      <c r="S60" s="91"/>
      <c r="T60" s="81"/>
      <c r="U60" s="106">
        <f t="shared" si="0"/>
        <v>0</v>
      </c>
      <c r="V60" s="4">
        <f>C60</f>
        <v>48</v>
      </c>
      <c r="W60" s="4">
        <f t="shared" si="1"/>
        <v>48</v>
      </c>
      <c r="X60" s="4">
        <f t="shared" si="2"/>
        <v>0</v>
      </c>
      <c r="Y60" s="4">
        <f t="shared" si="3"/>
        <v>0</v>
      </c>
      <c r="Z60" s="4">
        <f t="shared" si="4"/>
        <v>0</v>
      </c>
      <c r="AC60" s="34"/>
    </row>
    <row r="61" spans="1:29" s="4" customFormat="1" x14ac:dyDescent="0.35">
      <c r="A61" s="81"/>
      <c r="B61" s="88">
        <v>43879</v>
      </c>
      <c r="C61" s="104">
        <v>49</v>
      </c>
      <c r="D61" s="104">
        <v>49</v>
      </c>
      <c r="E61" s="104">
        <v>49</v>
      </c>
      <c r="F61" s="104">
        <v>49</v>
      </c>
      <c r="G61" s="104">
        <v>49</v>
      </c>
      <c r="H61" s="81"/>
      <c r="I61" s="88"/>
      <c r="J61" s="104"/>
      <c r="K61" s="92"/>
      <c r="L61" s="81"/>
      <c r="M61" s="88"/>
      <c r="N61" s="104"/>
      <c r="O61" s="92"/>
      <c r="P61" s="81"/>
      <c r="Q61" s="88"/>
      <c r="R61" s="104"/>
      <c r="S61" s="92"/>
      <c r="T61" s="81"/>
      <c r="U61" s="106">
        <f t="shared" si="0"/>
        <v>0</v>
      </c>
      <c r="V61" s="4">
        <f>C61</f>
        <v>49</v>
      </c>
      <c r="W61" s="4">
        <f t="shared" si="1"/>
        <v>49</v>
      </c>
      <c r="X61" s="4">
        <f t="shared" si="2"/>
        <v>0</v>
      </c>
      <c r="Y61" s="4">
        <f t="shared" si="3"/>
        <v>0</v>
      </c>
      <c r="Z61" s="4">
        <f t="shared" si="4"/>
        <v>0</v>
      </c>
      <c r="AC61" s="34"/>
    </row>
    <row r="62" spans="1:29" s="4" customFormat="1" x14ac:dyDescent="0.35">
      <c r="A62" s="81"/>
      <c r="B62" s="90">
        <v>43880</v>
      </c>
      <c r="C62" s="105">
        <v>50</v>
      </c>
      <c r="D62" s="105">
        <v>50</v>
      </c>
      <c r="E62" s="105">
        <v>50</v>
      </c>
      <c r="F62" s="105">
        <v>50</v>
      </c>
      <c r="G62" s="105">
        <v>50</v>
      </c>
      <c r="H62" s="81"/>
      <c r="I62" s="90"/>
      <c r="J62" s="105"/>
      <c r="K62" s="91"/>
      <c r="L62" s="81"/>
      <c r="M62" s="90"/>
      <c r="N62" s="105"/>
      <c r="O62" s="91"/>
      <c r="P62" s="81"/>
      <c r="Q62" s="90"/>
      <c r="R62" s="105"/>
      <c r="S62" s="91"/>
      <c r="T62" s="81"/>
      <c r="U62" s="106">
        <f t="shared" si="0"/>
        <v>0</v>
      </c>
      <c r="V62" s="4">
        <f>C62</f>
        <v>50</v>
      </c>
      <c r="W62" s="4">
        <f t="shared" si="1"/>
        <v>50</v>
      </c>
      <c r="X62" s="4">
        <f t="shared" si="2"/>
        <v>0</v>
      </c>
      <c r="Y62" s="4">
        <f t="shared" si="3"/>
        <v>0</v>
      </c>
      <c r="Z62" s="4">
        <f t="shared" si="4"/>
        <v>0</v>
      </c>
      <c r="AC62" s="34"/>
    </row>
    <row r="63" spans="1:29" s="4" customFormat="1" x14ac:dyDescent="0.35">
      <c r="A63" s="81"/>
      <c r="B63" s="88">
        <v>43881</v>
      </c>
      <c r="C63" s="104">
        <v>51</v>
      </c>
      <c r="D63" s="104">
        <v>51</v>
      </c>
      <c r="E63" s="104">
        <v>51</v>
      </c>
      <c r="F63" s="104">
        <v>51</v>
      </c>
      <c r="G63" s="104">
        <v>51</v>
      </c>
      <c r="H63" s="81"/>
      <c r="I63" s="88"/>
      <c r="J63" s="104"/>
      <c r="K63" s="92"/>
      <c r="L63" s="81"/>
      <c r="M63" s="88"/>
      <c r="N63" s="104"/>
      <c r="O63" s="92"/>
      <c r="P63" s="81"/>
      <c r="Q63" s="88"/>
      <c r="R63" s="104"/>
      <c r="S63" s="92"/>
      <c r="T63" s="81"/>
      <c r="U63" s="106">
        <f t="shared" si="0"/>
        <v>0</v>
      </c>
      <c r="V63" s="4">
        <f>C63</f>
        <v>51</v>
      </c>
      <c r="W63" s="4">
        <f t="shared" si="1"/>
        <v>51</v>
      </c>
      <c r="X63" s="4">
        <f t="shared" si="2"/>
        <v>0</v>
      </c>
      <c r="Y63" s="4">
        <f t="shared" si="3"/>
        <v>0</v>
      </c>
      <c r="Z63" s="4">
        <f t="shared" si="4"/>
        <v>0</v>
      </c>
      <c r="AC63" s="34"/>
    </row>
    <row r="64" spans="1:29" s="4" customFormat="1" x14ac:dyDescent="0.35">
      <c r="A64" s="81"/>
      <c r="B64" s="90">
        <v>43882</v>
      </c>
      <c r="C64" s="105">
        <v>52</v>
      </c>
      <c r="D64" s="105">
        <v>52</v>
      </c>
      <c r="E64" s="105">
        <v>52</v>
      </c>
      <c r="F64" s="105">
        <v>52</v>
      </c>
      <c r="G64" s="105">
        <v>52</v>
      </c>
      <c r="H64" s="81"/>
      <c r="I64" s="90"/>
      <c r="J64" s="105"/>
      <c r="K64" s="91"/>
      <c r="L64" s="81"/>
      <c r="M64" s="90"/>
      <c r="N64" s="105"/>
      <c r="O64" s="91"/>
      <c r="P64" s="81"/>
      <c r="Q64" s="90"/>
      <c r="R64" s="105"/>
      <c r="S64" s="91"/>
      <c r="T64" s="81"/>
      <c r="U64" s="106">
        <f t="shared" si="0"/>
        <v>0</v>
      </c>
      <c r="V64" s="4">
        <f>C64</f>
        <v>52</v>
      </c>
      <c r="W64" s="4">
        <f t="shared" si="1"/>
        <v>52</v>
      </c>
      <c r="X64" s="4">
        <f t="shared" si="2"/>
        <v>0</v>
      </c>
      <c r="Y64" s="4">
        <f t="shared" si="3"/>
        <v>0</v>
      </c>
      <c r="Z64" s="4">
        <f t="shared" si="4"/>
        <v>0</v>
      </c>
      <c r="AC64" s="34"/>
    </row>
    <row r="65" spans="1:29" s="4" customFormat="1" x14ac:dyDescent="0.35">
      <c r="A65" s="81"/>
      <c r="B65" s="88">
        <v>43883</v>
      </c>
      <c r="C65" s="104">
        <v>53</v>
      </c>
      <c r="D65" s="104">
        <v>53</v>
      </c>
      <c r="E65" s="104">
        <v>53</v>
      </c>
      <c r="F65" s="104">
        <v>53</v>
      </c>
      <c r="G65" s="104">
        <v>53</v>
      </c>
      <c r="H65" s="81"/>
      <c r="I65" s="88"/>
      <c r="J65" s="104"/>
      <c r="K65" s="92"/>
      <c r="L65" s="81"/>
      <c r="M65" s="88"/>
      <c r="N65" s="104"/>
      <c r="O65" s="92"/>
      <c r="P65" s="81"/>
      <c r="Q65" s="88"/>
      <c r="R65" s="104"/>
      <c r="S65" s="92"/>
      <c r="T65" s="81"/>
      <c r="U65" s="106">
        <f t="shared" si="0"/>
        <v>0</v>
      </c>
      <c r="V65" s="4">
        <f>C65</f>
        <v>53</v>
      </c>
      <c r="W65" s="4">
        <f t="shared" si="1"/>
        <v>53</v>
      </c>
      <c r="X65" s="4">
        <f t="shared" si="2"/>
        <v>0</v>
      </c>
      <c r="Y65" s="4">
        <f t="shared" si="3"/>
        <v>0</v>
      </c>
      <c r="Z65" s="4">
        <f t="shared" si="4"/>
        <v>0</v>
      </c>
      <c r="AC65" s="34"/>
    </row>
    <row r="66" spans="1:29" s="4" customFormat="1" x14ac:dyDescent="0.35">
      <c r="A66" s="81"/>
      <c r="B66" s="90">
        <v>43884</v>
      </c>
      <c r="C66" s="105">
        <v>54</v>
      </c>
      <c r="D66" s="105">
        <v>54</v>
      </c>
      <c r="E66" s="105">
        <v>54</v>
      </c>
      <c r="F66" s="105">
        <v>54</v>
      </c>
      <c r="G66" s="105">
        <v>54</v>
      </c>
      <c r="H66" s="81"/>
      <c r="I66" s="90"/>
      <c r="J66" s="105"/>
      <c r="K66" s="91"/>
      <c r="L66" s="81"/>
      <c r="M66" s="90"/>
      <c r="N66" s="105"/>
      <c r="O66" s="91"/>
      <c r="P66" s="81"/>
      <c r="Q66" s="90"/>
      <c r="R66" s="105"/>
      <c r="S66" s="91"/>
      <c r="T66" s="81"/>
      <c r="U66" s="106">
        <f t="shared" si="0"/>
        <v>0</v>
      </c>
      <c r="V66" s="4">
        <f>C66</f>
        <v>54</v>
      </c>
      <c r="W66" s="4">
        <f t="shared" si="1"/>
        <v>54</v>
      </c>
      <c r="X66" s="4">
        <f t="shared" si="2"/>
        <v>0</v>
      </c>
      <c r="Y66" s="4">
        <f t="shared" si="3"/>
        <v>0</v>
      </c>
      <c r="Z66" s="4">
        <f t="shared" si="4"/>
        <v>0</v>
      </c>
      <c r="AC66" s="34"/>
    </row>
    <row r="67" spans="1:29" s="4" customFormat="1" x14ac:dyDescent="0.35">
      <c r="A67" s="81"/>
      <c r="B67" s="88">
        <v>43885</v>
      </c>
      <c r="C67" s="104">
        <v>55</v>
      </c>
      <c r="D67" s="104">
        <v>55</v>
      </c>
      <c r="E67" s="104">
        <v>55</v>
      </c>
      <c r="F67" s="104">
        <v>55</v>
      </c>
      <c r="G67" s="104">
        <v>55</v>
      </c>
      <c r="H67" s="81"/>
      <c r="I67" s="88"/>
      <c r="J67" s="104"/>
      <c r="K67" s="92"/>
      <c r="L67" s="81"/>
      <c r="M67" s="88"/>
      <c r="N67" s="104"/>
      <c r="O67" s="92"/>
      <c r="P67" s="81"/>
      <c r="Q67" s="88"/>
      <c r="R67" s="104"/>
      <c r="S67" s="92"/>
      <c r="T67" s="81"/>
      <c r="U67" s="106">
        <f t="shared" si="0"/>
        <v>0</v>
      </c>
      <c r="V67" s="4">
        <f>C67</f>
        <v>55</v>
      </c>
      <c r="W67" s="4">
        <f t="shared" si="1"/>
        <v>55</v>
      </c>
      <c r="X67" s="4">
        <f t="shared" si="2"/>
        <v>0</v>
      </c>
      <c r="Y67" s="4">
        <f t="shared" si="3"/>
        <v>0</v>
      </c>
      <c r="Z67" s="4">
        <f t="shared" si="4"/>
        <v>0</v>
      </c>
      <c r="AC67" s="34"/>
    </row>
    <row r="68" spans="1:29" s="4" customFormat="1" x14ac:dyDescent="0.35">
      <c r="A68" s="81"/>
      <c r="B68" s="90">
        <v>43886</v>
      </c>
      <c r="C68" s="105">
        <v>56</v>
      </c>
      <c r="D68" s="105">
        <v>56</v>
      </c>
      <c r="E68" s="105">
        <v>56</v>
      </c>
      <c r="F68" s="105">
        <v>56</v>
      </c>
      <c r="G68" s="105">
        <v>56</v>
      </c>
      <c r="H68" s="81"/>
      <c r="I68" s="90"/>
      <c r="J68" s="105"/>
      <c r="K68" s="91"/>
      <c r="L68" s="81"/>
      <c r="M68" s="90"/>
      <c r="N68" s="105"/>
      <c r="O68" s="91"/>
      <c r="P68" s="81"/>
      <c r="Q68" s="90"/>
      <c r="R68" s="105"/>
      <c r="S68" s="91"/>
      <c r="T68" s="81"/>
      <c r="U68" s="106">
        <f t="shared" si="0"/>
        <v>0</v>
      </c>
      <c r="V68" s="4">
        <f>C68</f>
        <v>56</v>
      </c>
      <c r="W68" s="4">
        <f t="shared" si="1"/>
        <v>56</v>
      </c>
      <c r="X68" s="4">
        <f t="shared" si="2"/>
        <v>0</v>
      </c>
      <c r="Y68" s="4">
        <f t="shared" si="3"/>
        <v>0</v>
      </c>
      <c r="Z68" s="4">
        <f t="shared" si="4"/>
        <v>0</v>
      </c>
      <c r="AC68" s="34"/>
    </row>
    <row r="69" spans="1:29" s="4" customFormat="1" x14ac:dyDescent="0.35">
      <c r="A69" s="81"/>
      <c r="B69" s="88">
        <v>43887</v>
      </c>
      <c r="C69" s="104">
        <v>57</v>
      </c>
      <c r="D69" s="104">
        <v>57</v>
      </c>
      <c r="E69" s="104">
        <v>57</v>
      </c>
      <c r="F69" s="104">
        <v>57</v>
      </c>
      <c r="G69" s="104">
        <v>57</v>
      </c>
      <c r="H69" s="81"/>
      <c r="I69" s="88"/>
      <c r="J69" s="104"/>
      <c r="K69" s="92"/>
      <c r="L69" s="81"/>
      <c r="M69" s="88"/>
      <c r="N69" s="104"/>
      <c r="O69" s="92"/>
      <c r="P69" s="81"/>
      <c r="Q69" s="88"/>
      <c r="R69" s="104"/>
      <c r="S69" s="92"/>
      <c r="T69" s="81"/>
      <c r="U69" s="106">
        <f t="shared" si="0"/>
        <v>0</v>
      </c>
      <c r="V69" s="4">
        <f>C69</f>
        <v>57</v>
      </c>
      <c r="W69" s="4">
        <f t="shared" si="1"/>
        <v>57</v>
      </c>
      <c r="X69" s="4">
        <f t="shared" si="2"/>
        <v>0</v>
      </c>
      <c r="Y69" s="4">
        <f t="shared" si="3"/>
        <v>0</v>
      </c>
      <c r="Z69" s="4">
        <f t="shared" si="4"/>
        <v>0</v>
      </c>
      <c r="AC69" s="34"/>
    </row>
    <row r="70" spans="1:29" s="4" customFormat="1" x14ac:dyDescent="0.35">
      <c r="A70" s="81"/>
      <c r="B70" s="90">
        <v>43888</v>
      </c>
      <c r="C70" s="105">
        <v>58</v>
      </c>
      <c r="D70" s="105">
        <v>58</v>
      </c>
      <c r="E70" s="105">
        <v>58</v>
      </c>
      <c r="F70" s="105">
        <v>58</v>
      </c>
      <c r="G70" s="105">
        <v>58</v>
      </c>
      <c r="H70" s="81"/>
      <c r="I70" s="90"/>
      <c r="J70" s="105"/>
      <c r="K70" s="91"/>
      <c r="L70" s="81"/>
      <c r="M70" s="90"/>
      <c r="N70" s="105"/>
      <c r="O70" s="91"/>
      <c r="P70" s="81"/>
      <c r="Q70" s="90"/>
      <c r="R70" s="105"/>
      <c r="S70" s="91"/>
      <c r="T70" s="81"/>
      <c r="U70" s="106">
        <f t="shared" si="0"/>
        <v>0</v>
      </c>
      <c r="V70" s="4">
        <f>C70</f>
        <v>58</v>
      </c>
      <c r="W70" s="4">
        <f t="shared" si="1"/>
        <v>58</v>
      </c>
      <c r="X70" s="4">
        <f t="shared" si="2"/>
        <v>0</v>
      </c>
      <c r="Y70" s="4">
        <f t="shared" si="3"/>
        <v>0</v>
      </c>
      <c r="Z70" s="4">
        <f t="shared" si="4"/>
        <v>0</v>
      </c>
      <c r="AC70" s="34"/>
    </row>
    <row r="71" spans="1:29" s="4" customFormat="1" x14ac:dyDescent="0.35">
      <c r="A71" s="81"/>
      <c r="B71" s="88">
        <v>43889</v>
      </c>
      <c r="C71" s="104">
        <v>59</v>
      </c>
      <c r="D71" s="104">
        <v>59</v>
      </c>
      <c r="E71" s="104">
        <v>59</v>
      </c>
      <c r="F71" s="104">
        <v>59</v>
      </c>
      <c r="G71" s="104">
        <v>59</v>
      </c>
      <c r="H71" s="81"/>
      <c r="I71" s="88"/>
      <c r="J71" s="104"/>
      <c r="K71" s="92"/>
      <c r="L71" s="81"/>
      <c r="M71" s="88"/>
      <c r="N71" s="104"/>
      <c r="O71" s="92"/>
      <c r="P71" s="81"/>
      <c r="Q71" s="88"/>
      <c r="R71" s="104"/>
      <c r="S71" s="92"/>
      <c r="T71" s="81"/>
      <c r="U71" s="106">
        <f t="shared" si="0"/>
        <v>0</v>
      </c>
      <c r="V71" s="4">
        <f>C71</f>
        <v>59</v>
      </c>
      <c r="W71" s="4">
        <f t="shared" si="1"/>
        <v>59</v>
      </c>
      <c r="X71" s="4">
        <f t="shared" si="2"/>
        <v>0</v>
      </c>
      <c r="Y71" s="4">
        <f t="shared" si="3"/>
        <v>0</v>
      </c>
      <c r="Z71" s="4">
        <f t="shared" si="4"/>
        <v>0</v>
      </c>
      <c r="AC71" s="34"/>
    </row>
    <row r="72" spans="1:29" s="4" customFormat="1" x14ac:dyDescent="0.35">
      <c r="A72" s="81"/>
      <c r="B72" s="90">
        <v>43890</v>
      </c>
      <c r="C72" s="105">
        <v>60</v>
      </c>
      <c r="D72" s="105">
        <v>60</v>
      </c>
      <c r="E72" s="105">
        <v>60</v>
      </c>
      <c r="F72" s="105">
        <v>60</v>
      </c>
      <c r="G72" s="105">
        <v>60</v>
      </c>
      <c r="H72" s="81"/>
      <c r="I72" s="90"/>
      <c r="J72" s="105"/>
      <c r="K72" s="91"/>
      <c r="L72" s="81"/>
      <c r="M72" s="90"/>
      <c r="N72" s="105"/>
      <c r="O72" s="91"/>
      <c r="P72" s="81"/>
      <c r="Q72" s="90"/>
      <c r="R72" s="105"/>
      <c r="S72" s="91"/>
      <c r="T72" s="81"/>
      <c r="U72" s="106">
        <f t="shared" si="0"/>
        <v>0</v>
      </c>
      <c r="V72" s="4">
        <f>C72</f>
        <v>60</v>
      </c>
      <c r="W72" s="4">
        <f t="shared" si="1"/>
        <v>60</v>
      </c>
      <c r="X72" s="4">
        <f t="shared" si="2"/>
        <v>0</v>
      </c>
      <c r="Y72" s="4">
        <f t="shared" si="3"/>
        <v>0</v>
      </c>
      <c r="Z72" s="4">
        <f t="shared" si="4"/>
        <v>0</v>
      </c>
      <c r="AC72" s="34"/>
    </row>
    <row r="73" spans="1:29" s="4" customFormat="1" x14ac:dyDescent="0.35">
      <c r="A73" s="81"/>
      <c r="B73" s="88">
        <v>43891</v>
      </c>
      <c r="C73" s="104">
        <v>61</v>
      </c>
      <c r="D73" s="104">
        <v>61</v>
      </c>
      <c r="E73" s="104">
        <v>61</v>
      </c>
      <c r="F73" s="104">
        <v>61</v>
      </c>
      <c r="G73" s="104">
        <v>61</v>
      </c>
      <c r="H73" s="81"/>
      <c r="I73" s="88"/>
      <c r="J73" s="104"/>
      <c r="K73" s="92"/>
      <c r="L73" s="81"/>
      <c r="M73" s="88"/>
      <c r="N73" s="104"/>
      <c r="O73" s="92"/>
      <c r="P73" s="81"/>
      <c r="Q73" s="88"/>
      <c r="R73" s="104"/>
      <c r="S73" s="92"/>
      <c r="T73" s="81"/>
      <c r="U73" s="106">
        <f t="shared" si="0"/>
        <v>0</v>
      </c>
      <c r="V73" s="4">
        <f>C73</f>
        <v>61</v>
      </c>
      <c r="W73" s="4">
        <f t="shared" si="1"/>
        <v>61</v>
      </c>
      <c r="X73" s="4">
        <f t="shared" si="2"/>
        <v>0</v>
      </c>
      <c r="Y73" s="4">
        <f t="shared" si="3"/>
        <v>0</v>
      </c>
      <c r="Z73" s="4">
        <f t="shared" si="4"/>
        <v>0</v>
      </c>
      <c r="AC73" s="34"/>
    </row>
    <row r="74" spans="1:29" s="4" customFormat="1" x14ac:dyDescent="0.35">
      <c r="A74" s="81"/>
      <c r="B74" s="90">
        <v>43892</v>
      </c>
      <c r="C74" s="105">
        <v>62</v>
      </c>
      <c r="D74" s="105">
        <v>62</v>
      </c>
      <c r="E74" s="105">
        <v>62</v>
      </c>
      <c r="F74" s="105">
        <v>62</v>
      </c>
      <c r="G74" s="105">
        <v>62</v>
      </c>
      <c r="H74" s="81"/>
      <c r="I74" s="90"/>
      <c r="J74" s="105"/>
      <c r="K74" s="91"/>
      <c r="L74" s="81"/>
      <c r="M74" s="90"/>
      <c r="N74" s="105"/>
      <c r="O74" s="91"/>
      <c r="P74" s="81"/>
      <c r="Q74" s="90"/>
      <c r="R74" s="105"/>
      <c r="S74" s="91"/>
      <c r="T74" s="81"/>
      <c r="U74" s="106">
        <f t="shared" si="0"/>
        <v>0</v>
      </c>
      <c r="V74" s="4">
        <f>C74</f>
        <v>62</v>
      </c>
      <c r="W74" s="4">
        <f t="shared" si="1"/>
        <v>62</v>
      </c>
      <c r="X74" s="4">
        <f t="shared" si="2"/>
        <v>0</v>
      </c>
      <c r="Y74" s="4">
        <f t="shared" si="3"/>
        <v>0</v>
      </c>
      <c r="Z74" s="4">
        <f t="shared" si="4"/>
        <v>0</v>
      </c>
      <c r="AC74" s="34"/>
    </row>
    <row r="75" spans="1:29" s="4" customFormat="1" x14ac:dyDescent="0.35">
      <c r="A75" s="81"/>
      <c r="B75" s="88">
        <v>43893</v>
      </c>
      <c r="C75" s="104">
        <v>63</v>
      </c>
      <c r="D75" s="104">
        <v>63</v>
      </c>
      <c r="E75" s="104">
        <v>63</v>
      </c>
      <c r="F75" s="104">
        <v>63</v>
      </c>
      <c r="G75" s="104">
        <v>63</v>
      </c>
      <c r="H75" s="81"/>
      <c r="I75" s="88"/>
      <c r="J75" s="104"/>
      <c r="K75" s="92"/>
      <c r="L75" s="81"/>
      <c r="M75" s="88"/>
      <c r="N75" s="104"/>
      <c r="O75" s="92"/>
      <c r="P75" s="81"/>
      <c r="Q75" s="88"/>
      <c r="R75" s="104"/>
      <c r="S75" s="92"/>
      <c r="T75" s="81"/>
      <c r="U75" s="106">
        <f t="shared" si="0"/>
        <v>0</v>
      </c>
      <c r="V75" s="4">
        <f>C75</f>
        <v>63</v>
      </c>
      <c r="W75" s="4">
        <f t="shared" si="1"/>
        <v>63</v>
      </c>
      <c r="X75" s="4">
        <f t="shared" si="2"/>
        <v>0</v>
      </c>
      <c r="Y75" s="4">
        <f t="shared" si="3"/>
        <v>0</v>
      </c>
      <c r="Z75" s="4">
        <f t="shared" si="4"/>
        <v>0</v>
      </c>
      <c r="AC75" s="34"/>
    </row>
    <row r="76" spans="1:29" s="4" customFormat="1" x14ac:dyDescent="0.35">
      <c r="A76" s="81"/>
      <c r="B76" s="90">
        <v>43894</v>
      </c>
      <c r="C76" s="105">
        <v>64</v>
      </c>
      <c r="D76" s="105">
        <v>64</v>
      </c>
      <c r="E76" s="105">
        <v>64</v>
      </c>
      <c r="F76" s="105">
        <v>64</v>
      </c>
      <c r="G76" s="105">
        <v>64</v>
      </c>
      <c r="H76" s="81"/>
      <c r="I76" s="90"/>
      <c r="J76" s="105"/>
      <c r="K76" s="91"/>
      <c r="L76" s="81"/>
      <c r="M76" s="90"/>
      <c r="N76" s="105"/>
      <c r="O76" s="91"/>
      <c r="P76" s="81"/>
      <c r="Q76" s="90"/>
      <c r="R76" s="105"/>
      <c r="S76" s="91"/>
      <c r="T76" s="81"/>
      <c r="U76" s="106">
        <f t="shared" si="0"/>
        <v>0</v>
      </c>
      <c r="V76" s="4">
        <f>C76</f>
        <v>64</v>
      </c>
      <c r="W76" s="4">
        <f t="shared" si="1"/>
        <v>64</v>
      </c>
      <c r="X76" s="4">
        <f t="shared" si="2"/>
        <v>0</v>
      </c>
      <c r="Y76" s="4">
        <f t="shared" si="3"/>
        <v>0</v>
      </c>
      <c r="Z76" s="4">
        <f t="shared" si="4"/>
        <v>0</v>
      </c>
      <c r="AC76" s="34"/>
    </row>
    <row r="77" spans="1:29" s="4" customFormat="1" x14ac:dyDescent="0.35">
      <c r="A77" s="81"/>
      <c r="B77" s="88">
        <v>43895</v>
      </c>
      <c r="C77" s="104">
        <v>65</v>
      </c>
      <c r="D77" s="104">
        <v>65</v>
      </c>
      <c r="E77" s="104">
        <v>65</v>
      </c>
      <c r="F77" s="104">
        <v>65</v>
      </c>
      <c r="G77" s="104">
        <v>65</v>
      </c>
      <c r="H77" s="81"/>
      <c r="I77" s="88"/>
      <c r="J77" s="104"/>
      <c r="K77" s="92"/>
      <c r="L77" s="81"/>
      <c r="M77" s="88"/>
      <c r="N77" s="104"/>
      <c r="O77" s="92"/>
      <c r="P77" s="81"/>
      <c r="Q77" s="88"/>
      <c r="R77" s="104"/>
      <c r="S77" s="92"/>
      <c r="T77" s="81"/>
      <c r="U77" s="106">
        <f t="shared" si="0"/>
        <v>0</v>
      </c>
      <c r="V77" s="4">
        <f>C77</f>
        <v>65</v>
      </c>
      <c r="W77" s="4">
        <f t="shared" si="1"/>
        <v>65</v>
      </c>
      <c r="X77" s="4">
        <f t="shared" si="2"/>
        <v>0</v>
      </c>
      <c r="Y77" s="4">
        <f t="shared" si="3"/>
        <v>0</v>
      </c>
      <c r="Z77" s="4">
        <f t="shared" si="4"/>
        <v>0</v>
      </c>
      <c r="AC77" s="34"/>
    </row>
    <row r="78" spans="1:29" s="4" customFormat="1" x14ac:dyDescent="0.35">
      <c r="A78" s="81"/>
      <c r="B78" s="90">
        <v>43896</v>
      </c>
      <c r="C78" s="105">
        <v>66</v>
      </c>
      <c r="D78" s="105">
        <v>66</v>
      </c>
      <c r="E78" s="105">
        <v>66</v>
      </c>
      <c r="F78" s="105">
        <v>66</v>
      </c>
      <c r="G78" s="105">
        <v>66</v>
      </c>
      <c r="H78" s="81"/>
      <c r="I78" s="90"/>
      <c r="J78" s="105"/>
      <c r="K78" s="91"/>
      <c r="L78" s="81"/>
      <c r="M78" s="90"/>
      <c r="N78" s="105"/>
      <c r="O78" s="91"/>
      <c r="P78" s="81"/>
      <c r="Q78" s="90"/>
      <c r="R78" s="105"/>
      <c r="S78" s="91"/>
      <c r="T78" s="81"/>
      <c r="U78" s="106">
        <f t="shared" si="0"/>
        <v>0</v>
      </c>
      <c r="V78" s="4">
        <f>C78</f>
        <v>66</v>
      </c>
      <c r="W78" s="4">
        <f t="shared" si="1"/>
        <v>66</v>
      </c>
      <c r="X78" s="4">
        <f t="shared" si="2"/>
        <v>0</v>
      </c>
      <c r="Y78" s="4">
        <f t="shared" si="3"/>
        <v>0</v>
      </c>
      <c r="Z78" s="4">
        <f t="shared" si="4"/>
        <v>0</v>
      </c>
      <c r="AC78" s="34"/>
    </row>
    <row r="79" spans="1:29" s="4" customFormat="1" x14ac:dyDescent="0.35">
      <c r="A79" s="81"/>
      <c r="B79" s="88">
        <v>43897</v>
      </c>
      <c r="C79" s="104">
        <v>67</v>
      </c>
      <c r="D79" s="104">
        <v>67</v>
      </c>
      <c r="E79" s="104">
        <v>67</v>
      </c>
      <c r="F79" s="104">
        <v>67</v>
      </c>
      <c r="G79" s="104">
        <v>67</v>
      </c>
      <c r="H79" s="81"/>
      <c r="I79" s="88"/>
      <c r="J79" s="104"/>
      <c r="K79" s="92"/>
      <c r="L79" s="81"/>
      <c r="M79" s="88"/>
      <c r="N79" s="104"/>
      <c r="O79" s="92"/>
      <c r="P79" s="81"/>
      <c r="Q79" s="88"/>
      <c r="R79" s="104"/>
      <c r="S79" s="92"/>
      <c r="T79" s="81"/>
      <c r="U79" s="106">
        <f t="shared" ref="U79:U142" si="5">Q79</f>
        <v>0</v>
      </c>
      <c r="V79" s="4">
        <f>C79</f>
        <v>67</v>
      </c>
      <c r="W79" s="4">
        <f t="shared" ref="W79:W142" si="6">F79</f>
        <v>67</v>
      </c>
      <c r="X79" s="4">
        <f t="shared" ref="X79:X142" si="7">J79</f>
        <v>0</v>
      </c>
      <c r="Y79" s="4">
        <f t="shared" ref="Y79:Y142" si="8">N79</f>
        <v>0</v>
      </c>
      <c r="Z79" s="4">
        <f t="shared" ref="Z79:Z142" si="9">R79</f>
        <v>0</v>
      </c>
      <c r="AC79" s="34"/>
    </row>
    <row r="80" spans="1:29" s="4" customFormat="1" x14ac:dyDescent="0.35">
      <c r="A80" s="81"/>
      <c r="B80" s="90">
        <v>43898</v>
      </c>
      <c r="C80" s="105">
        <v>68</v>
      </c>
      <c r="D80" s="105">
        <v>68</v>
      </c>
      <c r="E80" s="105">
        <v>68</v>
      </c>
      <c r="F80" s="105">
        <v>68</v>
      </c>
      <c r="G80" s="105">
        <v>68</v>
      </c>
      <c r="H80" s="81"/>
      <c r="I80" s="90"/>
      <c r="J80" s="105"/>
      <c r="K80" s="91"/>
      <c r="L80" s="81"/>
      <c r="M80" s="90"/>
      <c r="N80" s="105"/>
      <c r="O80" s="91"/>
      <c r="P80" s="81"/>
      <c r="Q80" s="90"/>
      <c r="R80" s="105"/>
      <c r="S80" s="91"/>
      <c r="T80" s="81"/>
      <c r="U80" s="106">
        <f t="shared" si="5"/>
        <v>0</v>
      </c>
      <c r="V80" s="4">
        <f>C80</f>
        <v>68</v>
      </c>
      <c r="W80" s="4">
        <f t="shared" si="6"/>
        <v>68</v>
      </c>
      <c r="X80" s="4">
        <f t="shared" si="7"/>
        <v>0</v>
      </c>
      <c r="Y80" s="4">
        <f t="shared" si="8"/>
        <v>0</v>
      </c>
      <c r="Z80" s="4">
        <f t="shared" si="9"/>
        <v>0</v>
      </c>
      <c r="AC80" s="34"/>
    </row>
    <row r="81" spans="1:29" s="4" customFormat="1" x14ac:dyDescent="0.35">
      <c r="A81" s="81"/>
      <c r="B81" s="88">
        <v>43899</v>
      </c>
      <c r="C81" s="104">
        <v>69</v>
      </c>
      <c r="D81" s="104">
        <v>69</v>
      </c>
      <c r="E81" s="104">
        <v>69</v>
      </c>
      <c r="F81" s="104">
        <v>69</v>
      </c>
      <c r="G81" s="104">
        <v>69</v>
      </c>
      <c r="H81" s="81"/>
      <c r="I81" s="88"/>
      <c r="J81" s="104"/>
      <c r="K81" s="92"/>
      <c r="L81" s="81"/>
      <c r="M81" s="88"/>
      <c r="N81" s="104"/>
      <c r="O81" s="92"/>
      <c r="P81" s="81"/>
      <c r="Q81" s="88"/>
      <c r="R81" s="104"/>
      <c r="S81" s="92"/>
      <c r="T81" s="81"/>
      <c r="U81" s="106">
        <f t="shared" si="5"/>
        <v>0</v>
      </c>
      <c r="V81" s="4">
        <f>C81</f>
        <v>69</v>
      </c>
      <c r="W81" s="4">
        <f t="shared" si="6"/>
        <v>69</v>
      </c>
      <c r="X81" s="4">
        <f t="shared" si="7"/>
        <v>0</v>
      </c>
      <c r="Y81" s="4">
        <f t="shared" si="8"/>
        <v>0</v>
      </c>
      <c r="Z81" s="4">
        <f t="shared" si="9"/>
        <v>0</v>
      </c>
      <c r="AC81" s="34"/>
    </row>
    <row r="82" spans="1:29" s="4" customFormat="1" x14ac:dyDescent="0.35">
      <c r="A82" s="81"/>
      <c r="B82" s="90">
        <v>43900</v>
      </c>
      <c r="C82" s="105">
        <v>70</v>
      </c>
      <c r="D82" s="105">
        <v>70</v>
      </c>
      <c r="E82" s="105">
        <v>70</v>
      </c>
      <c r="F82" s="105">
        <v>70</v>
      </c>
      <c r="G82" s="105">
        <v>70</v>
      </c>
      <c r="H82" s="81"/>
      <c r="I82" s="90"/>
      <c r="J82" s="105"/>
      <c r="K82" s="91"/>
      <c r="L82" s="81"/>
      <c r="M82" s="90"/>
      <c r="N82" s="105"/>
      <c r="O82" s="91"/>
      <c r="P82" s="81"/>
      <c r="Q82" s="90"/>
      <c r="R82" s="105"/>
      <c r="S82" s="91"/>
      <c r="T82" s="81"/>
      <c r="U82" s="106">
        <f t="shared" si="5"/>
        <v>0</v>
      </c>
      <c r="V82" s="4">
        <f>C82</f>
        <v>70</v>
      </c>
      <c r="W82" s="4">
        <f t="shared" si="6"/>
        <v>70</v>
      </c>
      <c r="X82" s="4">
        <f t="shared" si="7"/>
        <v>0</v>
      </c>
      <c r="Y82" s="4">
        <f t="shared" si="8"/>
        <v>0</v>
      </c>
      <c r="Z82" s="4">
        <f t="shared" si="9"/>
        <v>0</v>
      </c>
      <c r="AC82" s="34"/>
    </row>
    <row r="83" spans="1:29" s="4" customFormat="1" x14ac:dyDescent="0.35">
      <c r="A83" s="81"/>
      <c r="B83" s="88">
        <v>43901</v>
      </c>
      <c r="C83" s="104">
        <v>71</v>
      </c>
      <c r="D83" s="104">
        <v>71</v>
      </c>
      <c r="E83" s="104">
        <v>71</v>
      </c>
      <c r="F83" s="104">
        <v>71</v>
      </c>
      <c r="G83" s="104">
        <v>71</v>
      </c>
      <c r="H83" s="81"/>
      <c r="I83" s="88"/>
      <c r="J83" s="104"/>
      <c r="K83" s="92"/>
      <c r="L83" s="81"/>
      <c r="M83" s="88"/>
      <c r="N83" s="104"/>
      <c r="O83" s="92"/>
      <c r="P83" s="81"/>
      <c r="Q83" s="88"/>
      <c r="R83" s="104"/>
      <c r="S83" s="92"/>
      <c r="T83" s="81"/>
      <c r="U83" s="106">
        <f t="shared" si="5"/>
        <v>0</v>
      </c>
      <c r="V83" s="4">
        <f>C83</f>
        <v>71</v>
      </c>
      <c r="W83" s="4">
        <f t="shared" si="6"/>
        <v>71</v>
      </c>
      <c r="X83" s="4">
        <f t="shared" si="7"/>
        <v>0</v>
      </c>
      <c r="Y83" s="4">
        <f t="shared" si="8"/>
        <v>0</v>
      </c>
      <c r="Z83" s="4">
        <f t="shared" si="9"/>
        <v>0</v>
      </c>
      <c r="AC83" s="34"/>
    </row>
    <row r="84" spans="1:29" s="4" customFormat="1" x14ac:dyDescent="0.35">
      <c r="A84" s="81"/>
      <c r="B84" s="90">
        <v>43902</v>
      </c>
      <c r="C84" s="105">
        <v>72</v>
      </c>
      <c r="D84" s="105">
        <v>72</v>
      </c>
      <c r="E84" s="105">
        <v>72</v>
      </c>
      <c r="F84" s="105">
        <v>72</v>
      </c>
      <c r="G84" s="105">
        <v>72</v>
      </c>
      <c r="H84" s="81"/>
      <c r="I84" s="90"/>
      <c r="J84" s="105"/>
      <c r="K84" s="91"/>
      <c r="L84" s="81"/>
      <c r="M84" s="90"/>
      <c r="N84" s="105"/>
      <c r="O84" s="91"/>
      <c r="P84" s="81"/>
      <c r="Q84" s="90"/>
      <c r="R84" s="105"/>
      <c r="S84" s="91"/>
      <c r="T84" s="81"/>
      <c r="U84" s="106">
        <f t="shared" si="5"/>
        <v>0</v>
      </c>
      <c r="V84" s="4">
        <f>C84</f>
        <v>72</v>
      </c>
      <c r="W84" s="4">
        <f t="shared" si="6"/>
        <v>72</v>
      </c>
      <c r="X84" s="4">
        <f t="shared" si="7"/>
        <v>0</v>
      </c>
      <c r="Y84" s="4">
        <f t="shared" si="8"/>
        <v>0</v>
      </c>
      <c r="Z84" s="4">
        <f t="shared" si="9"/>
        <v>0</v>
      </c>
      <c r="AC84" s="34"/>
    </row>
    <row r="85" spans="1:29" s="4" customFormat="1" x14ac:dyDescent="0.35">
      <c r="A85" s="81"/>
      <c r="B85" s="88">
        <v>43903</v>
      </c>
      <c r="C85" s="104">
        <v>73</v>
      </c>
      <c r="D85" s="104">
        <v>73</v>
      </c>
      <c r="E85" s="104">
        <v>73</v>
      </c>
      <c r="F85" s="104">
        <v>73</v>
      </c>
      <c r="G85" s="104">
        <v>73</v>
      </c>
      <c r="H85" s="81"/>
      <c r="I85" s="88"/>
      <c r="J85" s="104"/>
      <c r="K85" s="92"/>
      <c r="L85" s="81"/>
      <c r="M85" s="88"/>
      <c r="N85" s="104"/>
      <c r="O85" s="92"/>
      <c r="P85" s="81"/>
      <c r="Q85" s="88"/>
      <c r="R85" s="104"/>
      <c r="S85" s="92"/>
      <c r="T85" s="81"/>
      <c r="U85" s="106">
        <f t="shared" si="5"/>
        <v>0</v>
      </c>
      <c r="V85" s="4">
        <f>C85</f>
        <v>73</v>
      </c>
      <c r="W85" s="4">
        <f t="shared" si="6"/>
        <v>73</v>
      </c>
      <c r="X85" s="4">
        <f t="shared" si="7"/>
        <v>0</v>
      </c>
      <c r="Y85" s="4">
        <f t="shared" si="8"/>
        <v>0</v>
      </c>
      <c r="Z85" s="4">
        <f t="shared" si="9"/>
        <v>0</v>
      </c>
      <c r="AC85" s="34"/>
    </row>
    <row r="86" spans="1:29" s="4" customFormat="1" x14ac:dyDescent="0.35">
      <c r="A86" s="81"/>
      <c r="B86" s="90">
        <v>43904</v>
      </c>
      <c r="C86" s="105">
        <v>74</v>
      </c>
      <c r="D86" s="105">
        <v>74</v>
      </c>
      <c r="E86" s="105">
        <v>74</v>
      </c>
      <c r="F86" s="105">
        <v>74</v>
      </c>
      <c r="G86" s="105">
        <v>74</v>
      </c>
      <c r="H86" s="81"/>
      <c r="I86" s="90"/>
      <c r="J86" s="105"/>
      <c r="K86" s="91"/>
      <c r="L86" s="81"/>
      <c r="M86" s="90"/>
      <c r="N86" s="105"/>
      <c r="O86" s="91"/>
      <c r="P86" s="81"/>
      <c r="Q86" s="90"/>
      <c r="R86" s="105"/>
      <c r="S86" s="91"/>
      <c r="T86" s="81"/>
      <c r="U86" s="106">
        <f t="shared" si="5"/>
        <v>0</v>
      </c>
      <c r="V86" s="4">
        <f>C86</f>
        <v>74</v>
      </c>
      <c r="W86" s="4">
        <f t="shared" si="6"/>
        <v>74</v>
      </c>
      <c r="X86" s="4">
        <f t="shared" si="7"/>
        <v>0</v>
      </c>
      <c r="Y86" s="4">
        <f t="shared" si="8"/>
        <v>0</v>
      </c>
      <c r="Z86" s="4">
        <f t="shared" si="9"/>
        <v>0</v>
      </c>
      <c r="AC86" s="34"/>
    </row>
    <row r="87" spans="1:29" s="4" customFormat="1" x14ac:dyDescent="0.35">
      <c r="A87" s="81"/>
      <c r="B87" s="88">
        <v>43905</v>
      </c>
      <c r="C87" s="104">
        <v>75</v>
      </c>
      <c r="D87" s="104">
        <v>75</v>
      </c>
      <c r="E87" s="104">
        <v>75</v>
      </c>
      <c r="F87" s="104">
        <v>75</v>
      </c>
      <c r="G87" s="104">
        <v>75</v>
      </c>
      <c r="H87" s="81"/>
      <c r="I87" s="88"/>
      <c r="J87" s="104"/>
      <c r="K87" s="92"/>
      <c r="L87" s="81"/>
      <c r="M87" s="88"/>
      <c r="N87" s="104"/>
      <c r="O87" s="92"/>
      <c r="P87" s="81"/>
      <c r="Q87" s="88"/>
      <c r="R87" s="104"/>
      <c r="S87" s="92"/>
      <c r="T87" s="81"/>
      <c r="U87" s="106">
        <f t="shared" si="5"/>
        <v>0</v>
      </c>
      <c r="V87" s="4">
        <f>C87</f>
        <v>75</v>
      </c>
      <c r="W87" s="4">
        <f t="shared" si="6"/>
        <v>75</v>
      </c>
      <c r="X87" s="4">
        <f t="shared" si="7"/>
        <v>0</v>
      </c>
      <c r="Y87" s="4">
        <f t="shared" si="8"/>
        <v>0</v>
      </c>
      <c r="Z87" s="4">
        <f t="shared" si="9"/>
        <v>0</v>
      </c>
      <c r="AC87" s="34"/>
    </row>
    <row r="88" spans="1:29" s="4" customFormat="1" x14ac:dyDescent="0.35">
      <c r="A88" s="81"/>
      <c r="B88" s="90">
        <v>43906</v>
      </c>
      <c r="C88" s="105">
        <v>76</v>
      </c>
      <c r="D88" s="105">
        <v>76</v>
      </c>
      <c r="E88" s="105">
        <v>76</v>
      </c>
      <c r="F88" s="105">
        <v>76</v>
      </c>
      <c r="G88" s="105">
        <v>76</v>
      </c>
      <c r="H88" s="81"/>
      <c r="I88" s="90"/>
      <c r="J88" s="105"/>
      <c r="K88" s="91"/>
      <c r="L88" s="81"/>
      <c r="M88" s="90"/>
      <c r="N88" s="105"/>
      <c r="O88" s="91"/>
      <c r="P88" s="81"/>
      <c r="Q88" s="90"/>
      <c r="R88" s="105"/>
      <c r="S88" s="91"/>
      <c r="T88" s="81"/>
      <c r="U88" s="106">
        <f t="shared" si="5"/>
        <v>0</v>
      </c>
      <c r="V88" s="4">
        <f>C88</f>
        <v>76</v>
      </c>
      <c r="W88" s="4">
        <f t="shared" si="6"/>
        <v>76</v>
      </c>
      <c r="X88" s="4">
        <f t="shared" si="7"/>
        <v>0</v>
      </c>
      <c r="Y88" s="4">
        <f t="shared" si="8"/>
        <v>0</v>
      </c>
      <c r="Z88" s="4">
        <f t="shared" si="9"/>
        <v>0</v>
      </c>
      <c r="AC88" s="34"/>
    </row>
    <row r="89" spans="1:29" s="4" customFormat="1" x14ac:dyDescent="0.35">
      <c r="A89" s="81"/>
      <c r="B89" s="88">
        <v>43907</v>
      </c>
      <c r="C89" s="104">
        <v>77</v>
      </c>
      <c r="D89" s="104">
        <v>77</v>
      </c>
      <c r="E89" s="104">
        <v>77</v>
      </c>
      <c r="F89" s="104">
        <v>77</v>
      </c>
      <c r="G89" s="104">
        <v>77</v>
      </c>
      <c r="H89" s="81"/>
      <c r="I89" s="88"/>
      <c r="J89" s="104"/>
      <c r="K89" s="92"/>
      <c r="L89" s="81"/>
      <c r="M89" s="88"/>
      <c r="N89" s="104"/>
      <c r="O89" s="92"/>
      <c r="P89" s="81"/>
      <c r="Q89" s="88"/>
      <c r="R89" s="104"/>
      <c r="S89" s="92"/>
      <c r="T89" s="81"/>
      <c r="U89" s="106">
        <f t="shared" si="5"/>
        <v>0</v>
      </c>
      <c r="V89" s="4">
        <f>C89</f>
        <v>77</v>
      </c>
      <c r="W89" s="4">
        <f t="shared" si="6"/>
        <v>77</v>
      </c>
      <c r="X89" s="4">
        <f t="shared" si="7"/>
        <v>0</v>
      </c>
      <c r="Y89" s="4">
        <f t="shared" si="8"/>
        <v>0</v>
      </c>
      <c r="Z89" s="4">
        <f t="shared" si="9"/>
        <v>0</v>
      </c>
      <c r="AC89" s="34"/>
    </row>
    <row r="90" spans="1:29" s="4" customFormat="1" x14ac:dyDescent="0.35">
      <c r="A90" s="81"/>
      <c r="B90" s="90">
        <v>43908</v>
      </c>
      <c r="C90" s="105">
        <v>78</v>
      </c>
      <c r="D90" s="105">
        <v>78</v>
      </c>
      <c r="E90" s="105">
        <v>78</v>
      </c>
      <c r="F90" s="105">
        <v>78</v>
      </c>
      <c r="G90" s="105">
        <v>78</v>
      </c>
      <c r="H90" s="81"/>
      <c r="I90" s="90"/>
      <c r="J90" s="105"/>
      <c r="K90" s="91"/>
      <c r="L90" s="81"/>
      <c r="M90" s="90"/>
      <c r="N90" s="105"/>
      <c r="O90" s="91"/>
      <c r="P90" s="81"/>
      <c r="Q90" s="90"/>
      <c r="R90" s="105"/>
      <c r="S90" s="91"/>
      <c r="T90" s="81"/>
      <c r="U90" s="106">
        <f t="shared" si="5"/>
        <v>0</v>
      </c>
      <c r="V90" s="4">
        <f>C90</f>
        <v>78</v>
      </c>
      <c r="W90" s="4">
        <f t="shared" si="6"/>
        <v>78</v>
      </c>
      <c r="X90" s="4">
        <f t="shared" si="7"/>
        <v>0</v>
      </c>
      <c r="Y90" s="4">
        <f t="shared" si="8"/>
        <v>0</v>
      </c>
      <c r="Z90" s="4">
        <f t="shared" si="9"/>
        <v>0</v>
      </c>
      <c r="AC90" s="34"/>
    </row>
    <row r="91" spans="1:29" s="4" customFormat="1" x14ac:dyDescent="0.35">
      <c r="A91" s="81"/>
      <c r="B91" s="88">
        <v>43909</v>
      </c>
      <c r="C91" s="104">
        <v>79</v>
      </c>
      <c r="D91" s="104">
        <v>79</v>
      </c>
      <c r="E91" s="104">
        <v>79</v>
      </c>
      <c r="F91" s="104">
        <v>79</v>
      </c>
      <c r="G91" s="104">
        <v>79</v>
      </c>
      <c r="H91" s="81"/>
      <c r="I91" s="88"/>
      <c r="J91" s="104"/>
      <c r="K91" s="92"/>
      <c r="L91" s="81"/>
      <c r="M91" s="88"/>
      <c r="N91" s="104"/>
      <c r="O91" s="92"/>
      <c r="P91" s="81"/>
      <c r="Q91" s="88"/>
      <c r="R91" s="104"/>
      <c r="S91" s="92"/>
      <c r="T91" s="81"/>
      <c r="U91" s="106">
        <f t="shared" si="5"/>
        <v>0</v>
      </c>
      <c r="V91" s="4">
        <f>C91</f>
        <v>79</v>
      </c>
      <c r="W91" s="4">
        <f t="shared" si="6"/>
        <v>79</v>
      </c>
      <c r="X91" s="4">
        <f t="shared" si="7"/>
        <v>0</v>
      </c>
      <c r="Y91" s="4">
        <f t="shared" si="8"/>
        <v>0</v>
      </c>
      <c r="Z91" s="4">
        <f t="shared" si="9"/>
        <v>0</v>
      </c>
      <c r="AC91" s="34"/>
    </row>
    <row r="92" spans="1:29" x14ac:dyDescent="0.35">
      <c r="A92" s="81"/>
      <c r="B92" s="90">
        <v>43910</v>
      </c>
      <c r="C92" s="105">
        <v>80</v>
      </c>
      <c r="D92" s="105">
        <v>80</v>
      </c>
      <c r="E92" s="105">
        <v>80</v>
      </c>
      <c r="F92" s="105">
        <v>80</v>
      </c>
      <c r="G92" s="105">
        <v>80</v>
      </c>
      <c r="H92" s="81"/>
      <c r="I92" s="90"/>
      <c r="J92" s="105"/>
      <c r="K92" s="91"/>
      <c r="L92" s="81"/>
      <c r="M92" s="90"/>
      <c r="N92" s="105"/>
      <c r="O92" s="91"/>
      <c r="P92" s="81"/>
      <c r="Q92" s="90"/>
      <c r="R92" s="105"/>
      <c r="S92" s="91"/>
      <c r="T92" s="81"/>
      <c r="U92" s="106">
        <f t="shared" si="5"/>
        <v>0</v>
      </c>
      <c r="V92" s="4">
        <f>C92</f>
        <v>80</v>
      </c>
      <c r="W92" s="4">
        <f t="shared" si="6"/>
        <v>80</v>
      </c>
      <c r="X92" s="4">
        <f t="shared" si="7"/>
        <v>0</v>
      </c>
      <c r="Y92" s="4">
        <f t="shared" si="8"/>
        <v>0</v>
      </c>
      <c r="Z92" s="4">
        <f t="shared" si="9"/>
        <v>0</v>
      </c>
    </row>
    <row r="93" spans="1:29" x14ac:dyDescent="0.35">
      <c r="A93" s="81"/>
      <c r="B93" s="88">
        <v>43911</v>
      </c>
      <c r="C93" s="104">
        <v>81</v>
      </c>
      <c r="D93" s="104">
        <v>81</v>
      </c>
      <c r="E93" s="104">
        <v>81</v>
      </c>
      <c r="F93" s="104">
        <v>81</v>
      </c>
      <c r="G93" s="104">
        <v>81</v>
      </c>
      <c r="H93" s="81"/>
      <c r="I93" s="88"/>
      <c r="J93" s="104"/>
      <c r="K93" s="92"/>
      <c r="L93" s="81"/>
      <c r="M93" s="88"/>
      <c r="N93" s="104"/>
      <c r="O93" s="92"/>
      <c r="P93" s="81"/>
      <c r="Q93" s="88"/>
      <c r="R93" s="104"/>
      <c r="S93" s="92"/>
      <c r="T93" s="81"/>
      <c r="U93" s="106">
        <f t="shared" si="5"/>
        <v>0</v>
      </c>
      <c r="V93" s="4">
        <f>C93</f>
        <v>81</v>
      </c>
      <c r="W93" s="4">
        <f t="shared" si="6"/>
        <v>81</v>
      </c>
      <c r="X93" s="4">
        <f t="shared" si="7"/>
        <v>0</v>
      </c>
      <c r="Y93" s="4">
        <f t="shared" si="8"/>
        <v>0</v>
      </c>
      <c r="Z93" s="4">
        <f t="shared" si="9"/>
        <v>0</v>
      </c>
    </row>
    <row r="94" spans="1:29" x14ac:dyDescent="0.35">
      <c r="A94" s="81"/>
      <c r="B94" s="90">
        <v>43912</v>
      </c>
      <c r="C94" s="105">
        <v>82</v>
      </c>
      <c r="D94" s="105">
        <v>82</v>
      </c>
      <c r="E94" s="105">
        <v>82</v>
      </c>
      <c r="F94" s="105">
        <v>82</v>
      </c>
      <c r="G94" s="105">
        <v>82</v>
      </c>
      <c r="H94" s="81"/>
      <c r="I94" s="90"/>
      <c r="J94" s="105"/>
      <c r="K94" s="91"/>
      <c r="L94" s="81"/>
      <c r="M94" s="90"/>
      <c r="N94" s="105"/>
      <c r="O94" s="91"/>
      <c r="P94" s="81"/>
      <c r="Q94" s="90"/>
      <c r="R94" s="105"/>
      <c r="S94" s="91"/>
      <c r="T94" s="81"/>
      <c r="U94" s="106">
        <f t="shared" si="5"/>
        <v>0</v>
      </c>
      <c r="V94" s="4">
        <f>C94</f>
        <v>82</v>
      </c>
      <c r="W94" s="4">
        <f t="shared" si="6"/>
        <v>82</v>
      </c>
      <c r="X94" s="4">
        <f t="shared" si="7"/>
        <v>0</v>
      </c>
      <c r="Y94" s="4">
        <f t="shared" si="8"/>
        <v>0</v>
      </c>
      <c r="Z94" s="4">
        <f t="shared" si="9"/>
        <v>0</v>
      </c>
    </row>
    <row r="95" spans="1:29" x14ac:dyDescent="0.35">
      <c r="A95" s="81"/>
      <c r="B95" s="88">
        <v>43913</v>
      </c>
      <c r="C95" s="104">
        <v>83</v>
      </c>
      <c r="D95" s="104">
        <v>83</v>
      </c>
      <c r="E95" s="104">
        <v>83</v>
      </c>
      <c r="F95" s="104">
        <v>83</v>
      </c>
      <c r="G95" s="104">
        <v>83</v>
      </c>
      <c r="H95" s="81"/>
      <c r="I95" s="88"/>
      <c r="J95" s="104"/>
      <c r="K95" s="92"/>
      <c r="L95" s="81"/>
      <c r="M95" s="88"/>
      <c r="N95" s="104"/>
      <c r="O95" s="92"/>
      <c r="P95" s="81"/>
      <c r="Q95" s="88"/>
      <c r="R95" s="104"/>
      <c r="S95" s="92"/>
      <c r="T95" s="81"/>
      <c r="U95" s="106">
        <f t="shared" si="5"/>
        <v>0</v>
      </c>
      <c r="V95" s="4">
        <f>C95</f>
        <v>83</v>
      </c>
      <c r="W95" s="4">
        <f t="shared" si="6"/>
        <v>83</v>
      </c>
      <c r="X95" s="4">
        <f t="shared" si="7"/>
        <v>0</v>
      </c>
      <c r="Y95" s="4">
        <f t="shared" si="8"/>
        <v>0</v>
      </c>
      <c r="Z95" s="4">
        <f t="shared" si="9"/>
        <v>0</v>
      </c>
    </row>
    <row r="96" spans="1:29" x14ac:dyDescent="0.35">
      <c r="A96" s="81"/>
      <c r="B96" s="90">
        <v>43914</v>
      </c>
      <c r="C96" s="105">
        <v>84</v>
      </c>
      <c r="D96" s="105">
        <v>84</v>
      </c>
      <c r="E96" s="105">
        <v>84</v>
      </c>
      <c r="F96" s="105">
        <v>84</v>
      </c>
      <c r="G96" s="105">
        <v>84</v>
      </c>
      <c r="H96" s="81"/>
      <c r="I96" s="90"/>
      <c r="J96" s="105"/>
      <c r="K96" s="91"/>
      <c r="L96" s="81"/>
      <c r="M96" s="90"/>
      <c r="N96" s="105"/>
      <c r="O96" s="91"/>
      <c r="P96" s="81"/>
      <c r="Q96" s="90"/>
      <c r="R96" s="105"/>
      <c r="S96" s="91"/>
      <c r="T96" s="81"/>
      <c r="U96" s="106">
        <f t="shared" si="5"/>
        <v>0</v>
      </c>
      <c r="V96" s="4">
        <f>C96</f>
        <v>84</v>
      </c>
      <c r="W96" s="4">
        <f t="shared" si="6"/>
        <v>84</v>
      </c>
      <c r="X96" s="4">
        <f t="shared" si="7"/>
        <v>0</v>
      </c>
      <c r="Y96" s="4">
        <f t="shared" si="8"/>
        <v>0</v>
      </c>
      <c r="Z96" s="4">
        <f t="shared" si="9"/>
        <v>0</v>
      </c>
    </row>
    <row r="97" spans="1:26" x14ac:dyDescent="0.35">
      <c r="A97" s="81"/>
      <c r="B97" s="88">
        <v>43915</v>
      </c>
      <c r="C97" s="104">
        <v>85</v>
      </c>
      <c r="D97" s="104">
        <v>85</v>
      </c>
      <c r="E97" s="104">
        <v>85</v>
      </c>
      <c r="F97" s="104">
        <v>85</v>
      </c>
      <c r="G97" s="104">
        <v>85</v>
      </c>
      <c r="H97" s="81"/>
      <c r="I97" s="88"/>
      <c r="J97" s="104"/>
      <c r="K97" s="92"/>
      <c r="L97" s="81"/>
      <c r="M97" s="88"/>
      <c r="N97" s="104"/>
      <c r="O97" s="92"/>
      <c r="P97" s="81"/>
      <c r="Q97" s="88"/>
      <c r="R97" s="104"/>
      <c r="S97" s="92"/>
      <c r="T97" s="81"/>
      <c r="U97" s="106">
        <f t="shared" si="5"/>
        <v>0</v>
      </c>
      <c r="V97" s="4">
        <f>C97</f>
        <v>85</v>
      </c>
      <c r="W97" s="4">
        <f t="shared" si="6"/>
        <v>85</v>
      </c>
      <c r="X97" s="4">
        <f t="shared" si="7"/>
        <v>0</v>
      </c>
      <c r="Y97" s="4">
        <f t="shared" si="8"/>
        <v>0</v>
      </c>
      <c r="Z97" s="4">
        <f t="shared" si="9"/>
        <v>0</v>
      </c>
    </row>
    <row r="98" spans="1:26" x14ac:dyDescent="0.35">
      <c r="A98" s="81"/>
      <c r="B98" s="90">
        <v>43916</v>
      </c>
      <c r="C98" s="105">
        <v>86</v>
      </c>
      <c r="D98" s="105">
        <v>86</v>
      </c>
      <c r="E98" s="105">
        <v>86</v>
      </c>
      <c r="F98" s="105">
        <v>86</v>
      </c>
      <c r="G98" s="105">
        <v>86</v>
      </c>
      <c r="H98" s="81"/>
      <c r="I98" s="90"/>
      <c r="J98" s="105"/>
      <c r="K98" s="91"/>
      <c r="L98" s="81"/>
      <c r="M98" s="90"/>
      <c r="N98" s="105"/>
      <c r="O98" s="91"/>
      <c r="P98" s="81"/>
      <c r="Q98" s="90"/>
      <c r="R98" s="105"/>
      <c r="S98" s="91"/>
      <c r="T98" s="81"/>
      <c r="U98" s="106">
        <f t="shared" si="5"/>
        <v>0</v>
      </c>
      <c r="V98" s="4">
        <f>C98</f>
        <v>86</v>
      </c>
      <c r="W98" s="4">
        <f t="shared" si="6"/>
        <v>86</v>
      </c>
      <c r="X98" s="4">
        <f t="shared" si="7"/>
        <v>0</v>
      </c>
      <c r="Y98" s="4">
        <f t="shared" si="8"/>
        <v>0</v>
      </c>
      <c r="Z98" s="4">
        <f t="shared" si="9"/>
        <v>0</v>
      </c>
    </row>
    <row r="99" spans="1:26" x14ac:dyDescent="0.35">
      <c r="A99" s="81"/>
      <c r="B99" s="88">
        <v>43917</v>
      </c>
      <c r="C99" s="104">
        <v>87</v>
      </c>
      <c r="D99" s="104">
        <v>87</v>
      </c>
      <c r="E99" s="104">
        <v>87</v>
      </c>
      <c r="F99" s="104">
        <v>87</v>
      </c>
      <c r="G99" s="104">
        <v>87</v>
      </c>
      <c r="H99" s="81"/>
      <c r="I99" s="88"/>
      <c r="J99" s="104"/>
      <c r="K99" s="92"/>
      <c r="L99" s="81"/>
      <c r="M99" s="88"/>
      <c r="N99" s="104"/>
      <c r="O99" s="92"/>
      <c r="P99" s="81"/>
      <c r="Q99" s="88"/>
      <c r="R99" s="104"/>
      <c r="S99" s="92"/>
      <c r="T99" s="81"/>
      <c r="U99" s="106">
        <f t="shared" si="5"/>
        <v>0</v>
      </c>
      <c r="V99" s="4">
        <f>C99</f>
        <v>87</v>
      </c>
      <c r="W99" s="4">
        <f t="shared" si="6"/>
        <v>87</v>
      </c>
      <c r="X99" s="4">
        <f t="shared" si="7"/>
        <v>0</v>
      </c>
      <c r="Y99" s="4">
        <f t="shared" si="8"/>
        <v>0</v>
      </c>
      <c r="Z99" s="4">
        <f t="shared" si="9"/>
        <v>0</v>
      </c>
    </row>
    <row r="100" spans="1:26" x14ac:dyDescent="0.35">
      <c r="A100" s="81"/>
      <c r="B100" s="90">
        <v>43918</v>
      </c>
      <c r="C100" s="105">
        <v>88</v>
      </c>
      <c r="D100" s="105">
        <v>88</v>
      </c>
      <c r="E100" s="105">
        <v>88</v>
      </c>
      <c r="F100" s="105">
        <v>88</v>
      </c>
      <c r="G100" s="105">
        <v>88</v>
      </c>
      <c r="H100" s="81"/>
      <c r="I100" s="90"/>
      <c r="J100" s="105"/>
      <c r="K100" s="91"/>
      <c r="L100" s="81"/>
      <c r="M100" s="90"/>
      <c r="N100" s="105"/>
      <c r="O100" s="91"/>
      <c r="P100" s="81"/>
      <c r="Q100" s="90"/>
      <c r="R100" s="105"/>
      <c r="S100" s="91"/>
      <c r="T100" s="81"/>
      <c r="U100" s="106">
        <f t="shared" si="5"/>
        <v>0</v>
      </c>
      <c r="V100" s="4">
        <f>C100</f>
        <v>88</v>
      </c>
      <c r="W100" s="4">
        <f t="shared" si="6"/>
        <v>88</v>
      </c>
      <c r="X100" s="4">
        <f t="shared" si="7"/>
        <v>0</v>
      </c>
      <c r="Y100" s="4">
        <f t="shared" si="8"/>
        <v>0</v>
      </c>
      <c r="Z100" s="4">
        <f t="shared" si="9"/>
        <v>0</v>
      </c>
    </row>
    <row r="101" spans="1:26" x14ac:dyDescent="0.35">
      <c r="A101" s="81"/>
      <c r="B101" s="88">
        <v>43919</v>
      </c>
      <c r="C101" s="104">
        <v>89</v>
      </c>
      <c r="D101" s="104">
        <v>89</v>
      </c>
      <c r="E101" s="104">
        <v>89</v>
      </c>
      <c r="F101" s="104">
        <v>89</v>
      </c>
      <c r="G101" s="104">
        <v>89</v>
      </c>
      <c r="H101" s="81"/>
      <c r="I101" s="88"/>
      <c r="J101" s="104"/>
      <c r="K101" s="92"/>
      <c r="L101" s="81"/>
      <c r="M101" s="88"/>
      <c r="N101" s="104"/>
      <c r="O101" s="92"/>
      <c r="P101" s="81"/>
      <c r="Q101" s="88"/>
      <c r="R101" s="104"/>
      <c r="S101" s="92"/>
      <c r="T101" s="81"/>
      <c r="U101" s="106">
        <f t="shared" si="5"/>
        <v>0</v>
      </c>
      <c r="V101" s="4">
        <f>C101</f>
        <v>89</v>
      </c>
      <c r="W101" s="4">
        <f t="shared" si="6"/>
        <v>89</v>
      </c>
      <c r="X101" s="4">
        <f t="shared" si="7"/>
        <v>0</v>
      </c>
      <c r="Y101" s="4">
        <f t="shared" si="8"/>
        <v>0</v>
      </c>
      <c r="Z101" s="4">
        <f t="shared" si="9"/>
        <v>0</v>
      </c>
    </row>
    <row r="102" spans="1:26" x14ac:dyDescent="0.35">
      <c r="A102" s="81"/>
      <c r="B102" s="90">
        <v>43920</v>
      </c>
      <c r="C102" s="105">
        <v>90</v>
      </c>
      <c r="D102" s="105">
        <v>90</v>
      </c>
      <c r="E102" s="105">
        <v>90</v>
      </c>
      <c r="F102" s="105">
        <v>90</v>
      </c>
      <c r="G102" s="105">
        <v>90</v>
      </c>
      <c r="H102" s="81"/>
      <c r="I102" s="90"/>
      <c r="J102" s="105"/>
      <c r="K102" s="91"/>
      <c r="L102" s="81"/>
      <c r="M102" s="90"/>
      <c r="N102" s="105"/>
      <c r="O102" s="91"/>
      <c r="P102" s="81"/>
      <c r="Q102" s="90"/>
      <c r="R102" s="105"/>
      <c r="S102" s="91"/>
      <c r="T102" s="81"/>
      <c r="U102" s="106">
        <f t="shared" si="5"/>
        <v>0</v>
      </c>
      <c r="V102" s="4">
        <f>C102</f>
        <v>90</v>
      </c>
      <c r="W102" s="4">
        <f t="shared" si="6"/>
        <v>90</v>
      </c>
      <c r="X102" s="4">
        <f t="shared" si="7"/>
        <v>0</v>
      </c>
      <c r="Y102" s="4">
        <f t="shared" si="8"/>
        <v>0</v>
      </c>
      <c r="Z102" s="4">
        <f t="shared" si="9"/>
        <v>0</v>
      </c>
    </row>
    <row r="103" spans="1:26" x14ac:dyDescent="0.35">
      <c r="A103" s="81"/>
      <c r="B103" s="88">
        <v>43921</v>
      </c>
      <c r="C103" s="104">
        <v>91</v>
      </c>
      <c r="D103" s="104">
        <v>91</v>
      </c>
      <c r="E103" s="104">
        <v>91</v>
      </c>
      <c r="F103" s="104">
        <v>91</v>
      </c>
      <c r="G103" s="104">
        <v>91</v>
      </c>
      <c r="H103" s="81"/>
      <c r="I103" s="88"/>
      <c r="J103" s="104"/>
      <c r="K103" s="92"/>
      <c r="L103" s="81"/>
      <c r="M103" s="88"/>
      <c r="N103" s="104"/>
      <c r="O103" s="92"/>
      <c r="P103" s="81"/>
      <c r="Q103" s="88"/>
      <c r="R103" s="104"/>
      <c r="S103" s="92"/>
      <c r="T103" s="81"/>
      <c r="U103" s="106">
        <f t="shared" si="5"/>
        <v>0</v>
      </c>
      <c r="V103" s="4">
        <f>C103</f>
        <v>91</v>
      </c>
      <c r="W103" s="4">
        <f t="shared" si="6"/>
        <v>91</v>
      </c>
      <c r="X103" s="4">
        <f t="shared" si="7"/>
        <v>0</v>
      </c>
      <c r="Y103" s="4">
        <f t="shared" si="8"/>
        <v>0</v>
      </c>
      <c r="Z103" s="4">
        <f t="shared" si="9"/>
        <v>0</v>
      </c>
    </row>
    <row r="104" spans="1:26" x14ac:dyDescent="0.35">
      <c r="A104" s="81"/>
      <c r="B104" s="90">
        <v>43922</v>
      </c>
      <c r="C104" s="105">
        <v>92</v>
      </c>
      <c r="D104" s="105">
        <v>92</v>
      </c>
      <c r="E104" s="105">
        <v>92</v>
      </c>
      <c r="F104" s="105">
        <v>92</v>
      </c>
      <c r="G104" s="105">
        <v>92</v>
      </c>
      <c r="H104" s="81"/>
      <c r="I104" s="90"/>
      <c r="J104" s="105"/>
      <c r="K104" s="91"/>
      <c r="L104" s="81"/>
      <c r="M104" s="90"/>
      <c r="N104" s="105"/>
      <c r="O104" s="91"/>
      <c r="P104" s="81"/>
      <c r="Q104" s="90"/>
      <c r="R104" s="105"/>
      <c r="S104" s="91"/>
      <c r="T104" s="81"/>
      <c r="U104" s="106">
        <f t="shared" si="5"/>
        <v>0</v>
      </c>
      <c r="V104" s="4">
        <f>C104</f>
        <v>92</v>
      </c>
      <c r="W104" s="4">
        <f t="shared" si="6"/>
        <v>92</v>
      </c>
      <c r="X104" s="4">
        <f t="shared" si="7"/>
        <v>0</v>
      </c>
      <c r="Y104" s="4">
        <f t="shared" si="8"/>
        <v>0</v>
      </c>
      <c r="Z104" s="4">
        <f t="shared" si="9"/>
        <v>0</v>
      </c>
    </row>
    <row r="105" spans="1:26" x14ac:dyDescent="0.35">
      <c r="A105" s="81"/>
      <c r="B105" s="88">
        <v>43923</v>
      </c>
      <c r="C105" s="104">
        <v>93</v>
      </c>
      <c r="D105" s="104">
        <v>93</v>
      </c>
      <c r="E105" s="104">
        <v>93</v>
      </c>
      <c r="F105" s="104">
        <v>93</v>
      </c>
      <c r="G105" s="104">
        <v>93</v>
      </c>
      <c r="H105" s="81"/>
      <c r="I105" s="88"/>
      <c r="J105" s="104"/>
      <c r="K105" s="92"/>
      <c r="L105" s="81"/>
      <c r="M105" s="88"/>
      <c r="N105" s="104"/>
      <c r="O105" s="92"/>
      <c r="P105" s="81"/>
      <c r="Q105" s="88"/>
      <c r="R105" s="104"/>
      <c r="S105" s="92"/>
      <c r="T105" s="81"/>
      <c r="U105" s="106">
        <f t="shared" si="5"/>
        <v>0</v>
      </c>
      <c r="V105" s="4">
        <f>C105</f>
        <v>93</v>
      </c>
      <c r="W105" s="4">
        <f t="shared" si="6"/>
        <v>93</v>
      </c>
      <c r="X105" s="4">
        <f t="shared" si="7"/>
        <v>0</v>
      </c>
      <c r="Y105" s="4">
        <f t="shared" si="8"/>
        <v>0</v>
      </c>
      <c r="Z105" s="4">
        <f t="shared" si="9"/>
        <v>0</v>
      </c>
    </row>
    <row r="106" spans="1:26" x14ac:dyDescent="0.35">
      <c r="A106" s="81"/>
      <c r="B106" s="90">
        <v>43924</v>
      </c>
      <c r="C106" s="105">
        <v>94</v>
      </c>
      <c r="D106" s="105">
        <v>94</v>
      </c>
      <c r="E106" s="105">
        <v>94</v>
      </c>
      <c r="F106" s="105">
        <v>94</v>
      </c>
      <c r="G106" s="105">
        <v>94</v>
      </c>
      <c r="H106" s="81"/>
      <c r="I106" s="90"/>
      <c r="J106" s="105"/>
      <c r="K106" s="91"/>
      <c r="L106" s="81"/>
      <c r="M106" s="90"/>
      <c r="N106" s="105"/>
      <c r="O106" s="91"/>
      <c r="P106" s="81"/>
      <c r="Q106" s="90"/>
      <c r="R106" s="105"/>
      <c r="S106" s="91"/>
      <c r="T106" s="81"/>
      <c r="U106" s="106">
        <f t="shared" si="5"/>
        <v>0</v>
      </c>
      <c r="V106" s="4">
        <f>C106</f>
        <v>94</v>
      </c>
      <c r="W106" s="4">
        <f t="shared" si="6"/>
        <v>94</v>
      </c>
      <c r="X106" s="4">
        <f t="shared" si="7"/>
        <v>0</v>
      </c>
      <c r="Y106" s="4">
        <f t="shared" si="8"/>
        <v>0</v>
      </c>
      <c r="Z106" s="4">
        <f t="shared" si="9"/>
        <v>0</v>
      </c>
    </row>
    <row r="107" spans="1:26" x14ac:dyDescent="0.35">
      <c r="A107" s="81"/>
      <c r="B107" s="88">
        <v>43925</v>
      </c>
      <c r="C107" s="104">
        <v>95</v>
      </c>
      <c r="D107" s="104">
        <v>95</v>
      </c>
      <c r="E107" s="104">
        <v>95</v>
      </c>
      <c r="F107" s="104">
        <v>95</v>
      </c>
      <c r="G107" s="104">
        <v>95</v>
      </c>
      <c r="H107" s="81"/>
      <c r="I107" s="88"/>
      <c r="J107" s="104"/>
      <c r="K107" s="92"/>
      <c r="L107" s="81"/>
      <c r="M107" s="88"/>
      <c r="N107" s="104"/>
      <c r="O107" s="92"/>
      <c r="P107" s="81"/>
      <c r="Q107" s="88"/>
      <c r="R107" s="104"/>
      <c r="S107" s="92"/>
      <c r="T107" s="81"/>
      <c r="U107" s="106">
        <f t="shared" si="5"/>
        <v>0</v>
      </c>
      <c r="V107" s="4">
        <f>C107</f>
        <v>95</v>
      </c>
      <c r="W107" s="4">
        <f t="shared" si="6"/>
        <v>95</v>
      </c>
      <c r="X107" s="4">
        <f t="shared" si="7"/>
        <v>0</v>
      </c>
      <c r="Y107" s="4">
        <f t="shared" si="8"/>
        <v>0</v>
      </c>
      <c r="Z107" s="4">
        <f t="shared" si="9"/>
        <v>0</v>
      </c>
    </row>
    <row r="108" spans="1:26" x14ac:dyDescent="0.35">
      <c r="A108" s="81"/>
      <c r="B108" s="90">
        <v>43926</v>
      </c>
      <c r="C108" s="105">
        <v>96</v>
      </c>
      <c r="D108" s="105">
        <v>96</v>
      </c>
      <c r="E108" s="105">
        <v>96</v>
      </c>
      <c r="F108" s="105">
        <v>96</v>
      </c>
      <c r="G108" s="105">
        <v>96</v>
      </c>
      <c r="H108" s="81"/>
      <c r="I108" s="90"/>
      <c r="J108" s="105"/>
      <c r="K108" s="91"/>
      <c r="L108" s="81"/>
      <c r="M108" s="90"/>
      <c r="N108" s="105"/>
      <c r="O108" s="91"/>
      <c r="P108" s="81"/>
      <c r="Q108" s="90"/>
      <c r="R108" s="105"/>
      <c r="S108" s="91"/>
      <c r="T108" s="81"/>
      <c r="U108" s="106">
        <f t="shared" si="5"/>
        <v>0</v>
      </c>
      <c r="V108" s="4">
        <f>C108</f>
        <v>96</v>
      </c>
      <c r="W108" s="4">
        <f t="shared" si="6"/>
        <v>96</v>
      </c>
      <c r="X108" s="4">
        <f t="shared" si="7"/>
        <v>0</v>
      </c>
      <c r="Y108" s="4">
        <f t="shared" si="8"/>
        <v>0</v>
      </c>
      <c r="Z108" s="4">
        <f t="shared" si="9"/>
        <v>0</v>
      </c>
    </row>
    <row r="109" spans="1:26" x14ac:dyDescent="0.35">
      <c r="A109" s="81"/>
      <c r="B109" s="88">
        <v>43927</v>
      </c>
      <c r="C109" s="104">
        <v>97</v>
      </c>
      <c r="D109" s="104">
        <v>97</v>
      </c>
      <c r="E109" s="104">
        <v>97</v>
      </c>
      <c r="F109" s="104">
        <v>97</v>
      </c>
      <c r="G109" s="104">
        <v>97</v>
      </c>
      <c r="H109" s="81"/>
      <c r="I109" s="88"/>
      <c r="J109" s="104"/>
      <c r="K109" s="92"/>
      <c r="L109" s="81"/>
      <c r="M109" s="88"/>
      <c r="N109" s="104"/>
      <c r="O109" s="92"/>
      <c r="P109" s="81"/>
      <c r="Q109" s="88"/>
      <c r="R109" s="104"/>
      <c r="S109" s="92"/>
      <c r="T109" s="81"/>
      <c r="U109" s="106">
        <f t="shared" si="5"/>
        <v>0</v>
      </c>
      <c r="V109" s="4">
        <f>C109</f>
        <v>97</v>
      </c>
      <c r="W109" s="4">
        <f t="shared" si="6"/>
        <v>97</v>
      </c>
      <c r="X109" s="4">
        <f t="shared" si="7"/>
        <v>0</v>
      </c>
      <c r="Y109" s="4">
        <f t="shared" si="8"/>
        <v>0</v>
      </c>
      <c r="Z109" s="4">
        <f t="shared" si="9"/>
        <v>0</v>
      </c>
    </row>
    <row r="110" spans="1:26" x14ac:dyDescent="0.35">
      <c r="A110" s="81"/>
      <c r="B110" s="90">
        <v>43928</v>
      </c>
      <c r="C110" s="105">
        <v>98</v>
      </c>
      <c r="D110" s="105">
        <v>98</v>
      </c>
      <c r="E110" s="105">
        <v>98</v>
      </c>
      <c r="F110" s="105">
        <v>98</v>
      </c>
      <c r="G110" s="105">
        <v>98</v>
      </c>
      <c r="H110" s="81"/>
      <c r="I110" s="90"/>
      <c r="J110" s="105"/>
      <c r="K110" s="91"/>
      <c r="L110" s="81"/>
      <c r="M110" s="90"/>
      <c r="N110" s="105"/>
      <c r="O110" s="91"/>
      <c r="P110" s="81"/>
      <c r="Q110" s="90"/>
      <c r="R110" s="105"/>
      <c r="S110" s="91"/>
      <c r="T110" s="81"/>
      <c r="U110" s="106">
        <f t="shared" si="5"/>
        <v>0</v>
      </c>
      <c r="V110" s="4">
        <f>C110</f>
        <v>98</v>
      </c>
      <c r="W110" s="4">
        <f t="shared" si="6"/>
        <v>98</v>
      </c>
      <c r="X110" s="4">
        <f t="shared" si="7"/>
        <v>0</v>
      </c>
      <c r="Y110" s="4">
        <f t="shared" si="8"/>
        <v>0</v>
      </c>
      <c r="Z110" s="4">
        <f t="shared" si="9"/>
        <v>0</v>
      </c>
    </row>
    <row r="111" spans="1:26" x14ac:dyDescent="0.35">
      <c r="A111" s="81"/>
      <c r="B111" s="88">
        <v>43929</v>
      </c>
      <c r="C111" s="104">
        <v>99</v>
      </c>
      <c r="D111" s="104">
        <v>99</v>
      </c>
      <c r="E111" s="104">
        <v>99</v>
      </c>
      <c r="F111" s="104">
        <v>99</v>
      </c>
      <c r="G111" s="104">
        <v>99</v>
      </c>
      <c r="H111" s="81"/>
      <c r="I111" s="88"/>
      <c r="J111" s="104"/>
      <c r="K111" s="92"/>
      <c r="L111" s="81"/>
      <c r="M111" s="88"/>
      <c r="N111" s="104"/>
      <c r="O111" s="92"/>
      <c r="P111" s="81"/>
      <c r="Q111" s="88"/>
      <c r="R111" s="104"/>
      <c r="S111" s="92"/>
      <c r="T111" s="81"/>
      <c r="U111" s="106">
        <f t="shared" si="5"/>
        <v>0</v>
      </c>
      <c r="V111" s="4">
        <f>C111</f>
        <v>99</v>
      </c>
      <c r="W111" s="4">
        <f t="shared" si="6"/>
        <v>99</v>
      </c>
      <c r="X111" s="4">
        <f t="shared" si="7"/>
        <v>0</v>
      </c>
      <c r="Y111" s="4">
        <f t="shared" si="8"/>
        <v>0</v>
      </c>
      <c r="Z111" s="4">
        <f t="shared" si="9"/>
        <v>0</v>
      </c>
    </row>
    <row r="112" spans="1:26" x14ac:dyDescent="0.35">
      <c r="A112" s="81"/>
      <c r="B112" s="90">
        <v>43930</v>
      </c>
      <c r="C112" s="105">
        <v>100</v>
      </c>
      <c r="D112" s="105">
        <v>100</v>
      </c>
      <c r="E112" s="105">
        <v>100</v>
      </c>
      <c r="F112" s="105">
        <v>100</v>
      </c>
      <c r="G112" s="105">
        <v>100</v>
      </c>
      <c r="H112" s="81"/>
      <c r="I112" s="90"/>
      <c r="J112" s="105"/>
      <c r="K112" s="91"/>
      <c r="L112" s="81"/>
      <c r="M112" s="90"/>
      <c r="N112" s="105"/>
      <c r="O112" s="91"/>
      <c r="P112" s="81"/>
      <c r="Q112" s="90"/>
      <c r="R112" s="105"/>
      <c r="S112" s="91"/>
      <c r="T112" s="81"/>
      <c r="U112" s="106">
        <f t="shared" si="5"/>
        <v>0</v>
      </c>
      <c r="V112" s="4">
        <f>C112</f>
        <v>100</v>
      </c>
      <c r="W112" s="4">
        <f t="shared" si="6"/>
        <v>100</v>
      </c>
      <c r="X112" s="4">
        <f t="shared" si="7"/>
        <v>0</v>
      </c>
      <c r="Y112" s="4">
        <f t="shared" si="8"/>
        <v>0</v>
      </c>
      <c r="Z112" s="4">
        <f t="shared" si="9"/>
        <v>0</v>
      </c>
    </row>
    <row r="113" spans="1:26" x14ac:dyDescent="0.35">
      <c r="A113" s="81"/>
      <c r="B113" s="88">
        <v>43931</v>
      </c>
      <c r="C113" s="104">
        <v>1</v>
      </c>
      <c r="D113" s="104">
        <v>1</v>
      </c>
      <c r="E113" s="104">
        <v>1</v>
      </c>
      <c r="F113" s="104">
        <v>1</v>
      </c>
      <c r="G113" s="104">
        <v>1</v>
      </c>
      <c r="H113" s="81"/>
      <c r="I113" s="88"/>
      <c r="J113" s="104"/>
      <c r="K113" s="92"/>
      <c r="L113" s="81"/>
      <c r="M113" s="88"/>
      <c r="N113" s="104"/>
      <c r="O113" s="92"/>
      <c r="P113" s="81"/>
      <c r="Q113" s="88"/>
      <c r="R113" s="104"/>
      <c r="S113" s="92"/>
      <c r="T113" s="81"/>
      <c r="U113" s="106">
        <f t="shared" si="5"/>
        <v>0</v>
      </c>
      <c r="V113" s="4">
        <f>C113</f>
        <v>1</v>
      </c>
      <c r="W113" s="4">
        <f t="shared" si="6"/>
        <v>1</v>
      </c>
      <c r="X113" s="4">
        <f t="shared" si="7"/>
        <v>0</v>
      </c>
      <c r="Y113" s="4">
        <f t="shared" si="8"/>
        <v>0</v>
      </c>
      <c r="Z113" s="4">
        <f t="shared" si="9"/>
        <v>0</v>
      </c>
    </row>
    <row r="114" spans="1:26" x14ac:dyDescent="0.35">
      <c r="A114" s="81"/>
      <c r="B114" s="90">
        <v>43932</v>
      </c>
      <c r="C114" s="105">
        <v>1</v>
      </c>
      <c r="D114" s="105">
        <v>1</v>
      </c>
      <c r="E114" s="105">
        <v>1</v>
      </c>
      <c r="F114" s="105">
        <v>1</v>
      </c>
      <c r="G114" s="105">
        <v>1</v>
      </c>
      <c r="H114" s="81"/>
      <c r="I114" s="90"/>
      <c r="J114" s="105"/>
      <c r="K114" s="91"/>
      <c r="L114" s="81"/>
      <c r="M114" s="90"/>
      <c r="N114" s="105"/>
      <c r="O114" s="91"/>
      <c r="P114" s="81"/>
      <c r="Q114" s="90"/>
      <c r="R114" s="105"/>
      <c r="S114" s="91"/>
      <c r="T114" s="81"/>
      <c r="U114" s="106">
        <f t="shared" si="5"/>
        <v>0</v>
      </c>
      <c r="V114" s="4">
        <f>C114</f>
        <v>1</v>
      </c>
      <c r="W114" s="4">
        <f t="shared" si="6"/>
        <v>1</v>
      </c>
      <c r="X114" s="4">
        <f t="shared" si="7"/>
        <v>0</v>
      </c>
      <c r="Y114" s="4">
        <f t="shared" si="8"/>
        <v>0</v>
      </c>
      <c r="Z114" s="4">
        <f t="shared" si="9"/>
        <v>0</v>
      </c>
    </row>
    <row r="115" spans="1:26" x14ac:dyDescent="0.35">
      <c r="A115" s="81"/>
      <c r="B115" s="88">
        <v>43933</v>
      </c>
      <c r="C115" s="104">
        <v>1</v>
      </c>
      <c r="D115" s="104">
        <v>1</v>
      </c>
      <c r="E115" s="104">
        <v>1</v>
      </c>
      <c r="F115" s="104">
        <v>1</v>
      </c>
      <c r="G115" s="104">
        <v>1</v>
      </c>
      <c r="H115" s="81"/>
      <c r="I115" s="88"/>
      <c r="J115" s="104"/>
      <c r="K115" s="92"/>
      <c r="L115" s="81"/>
      <c r="M115" s="88"/>
      <c r="N115" s="104"/>
      <c r="O115" s="92"/>
      <c r="P115" s="81"/>
      <c r="Q115" s="88"/>
      <c r="R115" s="104"/>
      <c r="S115" s="92"/>
      <c r="T115" s="81"/>
      <c r="U115" s="106">
        <f t="shared" si="5"/>
        <v>0</v>
      </c>
      <c r="V115" s="4">
        <f>C115</f>
        <v>1</v>
      </c>
      <c r="W115" s="4">
        <f t="shared" si="6"/>
        <v>1</v>
      </c>
      <c r="X115" s="4">
        <f t="shared" si="7"/>
        <v>0</v>
      </c>
      <c r="Y115" s="4">
        <f t="shared" si="8"/>
        <v>0</v>
      </c>
      <c r="Z115" s="4">
        <f t="shared" si="9"/>
        <v>0</v>
      </c>
    </row>
    <row r="116" spans="1:26" x14ac:dyDescent="0.35">
      <c r="A116" s="81"/>
      <c r="B116" s="90">
        <v>43934</v>
      </c>
      <c r="C116" s="105">
        <v>1</v>
      </c>
      <c r="D116" s="105">
        <v>1</v>
      </c>
      <c r="E116" s="105">
        <v>1</v>
      </c>
      <c r="F116" s="105">
        <v>1</v>
      </c>
      <c r="G116" s="105">
        <v>1</v>
      </c>
      <c r="H116" s="81"/>
      <c r="I116" s="90"/>
      <c r="J116" s="105"/>
      <c r="K116" s="91"/>
      <c r="L116" s="81"/>
      <c r="M116" s="90"/>
      <c r="N116" s="105"/>
      <c r="O116" s="91"/>
      <c r="P116" s="81"/>
      <c r="Q116" s="90"/>
      <c r="R116" s="105"/>
      <c r="S116" s="91"/>
      <c r="T116" s="81"/>
      <c r="U116" s="106">
        <f t="shared" si="5"/>
        <v>0</v>
      </c>
      <c r="V116" s="4">
        <f>C116</f>
        <v>1</v>
      </c>
      <c r="W116" s="4">
        <f t="shared" si="6"/>
        <v>1</v>
      </c>
      <c r="X116" s="4">
        <f t="shared" si="7"/>
        <v>0</v>
      </c>
      <c r="Y116" s="4">
        <f t="shared" si="8"/>
        <v>0</v>
      </c>
      <c r="Z116" s="4">
        <f t="shared" si="9"/>
        <v>0</v>
      </c>
    </row>
    <row r="117" spans="1:26" x14ac:dyDescent="0.35">
      <c r="A117" s="81"/>
      <c r="B117" s="88">
        <v>43935</v>
      </c>
      <c r="C117" s="104">
        <v>1</v>
      </c>
      <c r="D117" s="104">
        <v>1</v>
      </c>
      <c r="E117" s="104">
        <v>1</v>
      </c>
      <c r="F117" s="104">
        <v>1</v>
      </c>
      <c r="G117" s="104">
        <v>1</v>
      </c>
      <c r="H117" s="81"/>
      <c r="I117" s="88"/>
      <c r="J117" s="104"/>
      <c r="K117" s="92"/>
      <c r="L117" s="81"/>
      <c r="M117" s="88"/>
      <c r="N117" s="104"/>
      <c r="O117" s="92"/>
      <c r="P117" s="81"/>
      <c r="Q117" s="88"/>
      <c r="R117" s="104"/>
      <c r="S117" s="92"/>
      <c r="T117" s="81"/>
      <c r="U117" s="106">
        <f t="shared" si="5"/>
        <v>0</v>
      </c>
      <c r="V117" s="4">
        <f>C117</f>
        <v>1</v>
      </c>
      <c r="W117" s="4">
        <f t="shared" si="6"/>
        <v>1</v>
      </c>
      <c r="X117" s="4">
        <f t="shared" si="7"/>
        <v>0</v>
      </c>
      <c r="Y117" s="4">
        <f t="shared" si="8"/>
        <v>0</v>
      </c>
      <c r="Z117" s="4">
        <f t="shared" si="9"/>
        <v>0</v>
      </c>
    </row>
    <row r="118" spans="1:26" x14ac:dyDescent="0.35">
      <c r="A118" s="81"/>
      <c r="B118" s="90">
        <v>43936</v>
      </c>
      <c r="C118" s="105">
        <v>1</v>
      </c>
      <c r="D118" s="105">
        <v>1</v>
      </c>
      <c r="E118" s="105">
        <v>1</v>
      </c>
      <c r="F118" s="105">
        <v>1</v>
      </c>
      <c r="G118" s="105">
        <v>1</v>
      </c>
      <c r="H118" s="81"/>
      <c r="I118" s="90"/>
      <c r="J118" s="105"/>
      <c r="K118" s="91"/>
      <c r="L118" s="81"/>
      <c r="M118" s="90"/>
      <c r="N118" s="105"/>
      <c r="O118" s="91"/>
      <c r="P118" s="81"/>
      <c r="Q118" s="90"/>
      <c r="R118" s="105"/>
      <c r="S118" s="91"/>
      <c r="T118" s="81"/>
      <c r="U118" s="106">
        <f t="shared" si="5"/>
        <v>0</v>
      </c>
      <c r="V118" s="4">
        <f>C118</f>
        <v>1</v>
      </c>
      <c r="W118" s="4">
        <f t="shared" si="6"/>
        <v>1</v>
      </c>
      <c r="X118" s="4">
        <f t="shared" si="7"/>
        <v>0</v>
      </c>
      <c r="Y118" s="4">
        <f t="shared" si="8"/>
        <v>0</v>
      </c>
      <c r="Z118" s="4">
        <f t="shared" si="9"/>
        <v>0</v>
      </c>
    </row>
    <row r="119" spans="1:26" x14ac:dyDescent="0.35">
      <c r="A119" s="81"/>
      <c r="B119" s="88">
        <v>43937</v>
      </c>
      <c r="C119" s="104">
        <v>1</v>
      </c>
      <c r="D119" s="104">
        <v>1</v>
      </c>
      <c r="E119" s="104">
        <v>1</v>
      </c>
      <c r="F119" s="104">
        <v>1</v>
      </c>
      <c r="G119" s="104">
        <v>1</v>
      </c>
      <c r="H119" s="81"/>
      <c r="I119" s="88"/>
      <c r="J119" s="104"/>
      <c r="K119" s="92"/>
      <c r="L119" s="81"/>
      <c r="M119" s="88"/>
      <c r="N119" s="104"/>
      <c r="O119" s="92"/>
      <c r="P119" s="81"/>
      <c r="Q119" s="88"/>
      <c r="R119" s="104"/>
      <c r="S119" s="92"/>
      <c r="T119" s="81"/>
      <c r="U119" s="106">
        <f t="shared" si="5"/>
        <v>0</v>
      </c>
      <c r="V119" s="4">
        <f>C119</f>
        <v>1</v>
      </c>
      <c r="W119" s="4">
        <f t="shared" si="6"/>
        <v>1</v>
      </c>
      <c r="X119" s="4">
        <f t="shared" si="7"/>
        <v>0</v>
      </c>
      <c r="Y119" s="4">
        <f t="shared" si="8"/>
        <v>0</v>
      </c>
      <c r="Z119" s="4">
        <f t="shared" si="9"/>
        <v>0</v>
      </c>
    </row>
    <row r="120" spans="1:26" x14ac:dyDescent="0.35">
      <c r="A120" s="81"/>
      <c r="B120" s="90">
        <v>43938</v>
      </c>
      <c r="C120" s="105">
        <v>1</v>
      </c>
      <c r="D120" s="105">
        <v>1</v>
      </c>
      <c r="E120" s="105">
        <v>1</v>
      </c>
      <c r="F120" s="105">
        <v>1</v>
      </c>
      <c r="G120" s="105">
        <v>1</v>
      </c>
      <c r="H120" s="81"/>
      <c r="I120" s="90"/>
      <c r="J120" s="105"/>
      <c r="K120" s="91"/>
      <c r="L120" s="81"/>
      <c r="M120" s="90"/>
      <c r="N120" s="105"/>
      <c r="O120" s="91"/>
      <c r="P120" s="81"/>
      <c r="Q120" s="90"/>
      <c r="R120" s="105"/>
      <c r="S120" s="91"/>
      <c r="T120" s="81"/>
      <c r="U120" s="106">
        <f t="shared" si="5"/>
        <v>0</v>
      </c>
      <c r="V120" s="4">
        <f>C120</f>
        <v>1</v>
      </c>
      <c r="W120" s="4">
        <f t="shared" si="6"/>
        <v>1</v>
      </c>
      <c r="X120" s="4">
        <f t="shared" si="7"/>
        <v>0</v>
      </c>
      <c r="Y120" s="4">
        <f t="shared" si="8"/>
        <v>0</v>
      </c>
      <c r="Z120" s="4">
        <f t="shared" si="9"/>
        <v>0</v>
      </c>
    </row>
    <row r="121" spans="1:26" x14ac:dyDescent="0.35">
      <c r="A121" s="81"/>
      <c r="B121" s="88">
        <v>43939</v>
      </c>
      <c r="C121" s="104">
        <v>1</v>
      </c>
      <c r="D121" s="104">
        <v>1</v>
      </c>
      <c r="E121" s="104">
        <v>1</v>
      </c>
      <c r="F121" s="104">
        <v>1</v>
      </c>
      <c r="G121" s="104">
        <v>1</v>
      </c>
      <c r="H121" s="81"/>
      <c r="I121" s="88"/>
      <c r="J121" s="104"/>
      <c r="K121" s="92"/>
      <c r="L121" s="81"/>
      <c r="M121" s="88"/>
      <c r="N121" s="104"/>
      <c r="O121" s="92"/>
      <c r="P121" s="81"/>
      <c r="Q121" s="88"/>
      <c r="R121" s="104"/>
      <c r="S121" s="92"/>
      <c r="T121" s="81"/>
      <c r="U121" s="106">
        <f t="shared" si="5"/>
        <v>0</v>
      </c>
      <c r="V121" s="4">
        <f>C121</f>
        <v>1</v>
      </c>
      <c r="W121" s="4">
        <f t="shared" si="6"/>
        <v>1</v>
      </c>
      <c r="X121" s="4">
        <f t="shared" si="7"/>
        <v>0</v>
      </c>
      <c r="Y121" s="4">
        <f t="shared" si="8"/>
        <v>0</v>
      </c>
      <c r="Z121" s="4">
        <f t="shared" si="9"/>
        <v>0</v>
      </c>
    </row>
    <row r="122" spans="1:26" x14ac:dyDescent="0.35">
      <c r="A122" s="81"/>
      <c r="B122" s="90">
        <v>43940</v>
      </c>
      <c r="C122" s="105">
        <v>1</v>
      </c>
      <c r="D122" s="105">
        <v>1</v>
      </c>
      <c r="E122" s="105">
        <v>1</v>
      </c>
      <c r="F122" s="105">
        <v>1</v>
      </c>
      <c r="G122" s="105">
        <v>1</v>
      </c>
      <c r="H122" s="81"/>
      <c r="I122" s="90"/>
      <c r="J122" s="105"/>
      <c r="K122" s="91"/>
      <c r="L122" s="81"/>
      <c r="M122" s="90"/>
      <c r="N122" s="105"/>
      <c r="O122" s="91"/>
      <c r="P122" s="81"/>
      <c r="Q122" s="90"/>
      <c r="R122" s="105"/>
      <c r="S122" s="91"/>
      <c r="T122" s="81"/>
      <c r="U122" s="106">
        <f t="shared" si="5"/>
        <v>0</v>
      </c>
      <c r="V122" s="4">
        <f>C122</f>
        <v>1</v>
      </c>
      <c r="W122" s="4">
        <f t="shared" si="6"/>
        <v>1</v>
      </c>
      <c r="X122" s="4">
        <f t="shared" si="7"/>
        <v>0</v>
      </c>
      <c r="Y122" s="4">
        <f t="shared" si="8"/>
        <v>0</v>
      </c>
      <c r="Z122" s="4">
        <f t="shared" si="9"/>
        <v>0</v>
      </c>
    </row>
    <row r="123" spans="1:26" x14ac:dyDescent="0.35">
      <c r="A123" s="81"/>
      <c r="B123" s="88">
        <v>43941</v>
      </c>
      <c r="C123" s="104">
        <v>1</v>
      </c>
      <c r="D123" s="104">
        <v>1</v>
      </c>
      <c r="E123" s="104">
        <v>1</v>
      </c>
      <c r="F123" s="104">
        <v>1</v>
      </c>
      <c r="G123" s="104">
        <v>1</v>
      </c>
      <c r="H123" s="81"/>
      <c r="I123" s="88"/>
      <c r="J123" s="104"/>
      <c r="K123" s="92"/>
      <c r="L123" s="81"/>
      <c r="M123" s="88"/>
      <c r="N123" s="104"/>
      <c r="O123" s="92"/>
      <c r="P123" s="81"/>
      <c r="Q123" s="88"/>
      <c r="R123" s="104"/>
      <c r="S123" s="92"/>
      <c r="T123" s="81"/>
      <c r="U123" s="106">
        <f t="shared" si="5"/>
        <v>0</v>
      </c>
      <c r="V123" s="4">
        <f>C123</f>
        <v>1</v>
      </c>
      <c r="W123" s="4">
        <f t="shared" si="6"/>
        <v>1</v>
      </c>
      <c r="X123" s="4">
        <f t="shared" si="7"/>
        <v>0</v>
      </c>
      <c r="Y123" s="4">
        <f t="shared" si="8"/>
        <v>0</v>
      </c>
      <c r="Z123" s="4">
        <f t="shared" si="9"/>
        <v>0</v>
      </c>
    </row>
    <row r="124" spans="1:26" x14ac:dyDescent="0.35">
      <c r="A124" s="81"/>
      <c r="B124" s="90">
        <v>43942</v>
      </c>
      <c r="C124" s="105">
        <v>1</v>
      </c>
      <c r="D124" s="105">
        <v>1</v>
      </c>
      <c r="E124" s="105">
        <v>1</v>
      </c>
      <c r="F124" s="105">
        <v>1</v>
      </c>
      <c r="G124" s="105">
        <v>1</v>
      </c>
      <c r="H124" s="81"/>
      <c r="I124" s="90"/>
      <c r="J124" s="105"/>
      <c r="K124" s="91"/>
      <c r="L124" s="81"/>
      <c r="M124" s="90"/>
      <c r="N124" s="105"/>
      <c r="O124" s="91"/>
      <c r="P124" s="81"/>
      <c r="Q124" s="90"/>
      <c r="R124" s="105"/>
      <c r="S124" s="91"/>
      <c r="T124" s="81"/>
      <c r="U124" s="106">
        <f t="shared" si="5"/>
        <v>0</v>
      </c>
      <c r="V124" s="4">
        <f>C124</f>
        <v>1</v>
      </c>
      <c r="W124" s="4">
        <f t="shared" si="6"/>
        <v>1</v>
      </c>
      <c r="X124" s="4">
        <f t="shared" si="7"/>
        <v>0</v>
      </c>
      <c r="Y124" s="4">
        <f t="shared" si="8"/>
        <v>0</v>
      </c>
      <c r="Z124" s="4">
        <f t="shared" si="9"/>
        <v>0</v>
      </c>
    </row>
    <row r="125" spans="1:26" x14ac:dyDescent="0.35">
      <c r="A125" s="81"/>
      <c r="B125" s="88">
        <v>43943</v>
      </c>
      <c r="C125" s="104">
        <v>1</v>
      </c>
      <c r="D125" s="104">
        <v>1</v>
      </c>
      <c r="E125" s="104">
        <v>1</v>
      </c>
      <c r="F125" s="104">
        <v>1</v>
      </c>
      <c r="G125" s="104">
        <v>1</v>
      </c>
      <c r="H125" s="81"/>
      <c r="I125" s="88"/>
      <c r="J125" s="104"/>
      <c r="K125" s="92"/>
      <c r="L125" s="81"/>
      <c r="M125" s="88"/>
      <c r="N125" s="104"/>
      <c r="O125" s="92"/>
      <c r="P125" s="81"/>
      <c r="Q125" s="88"/>
      <c r="R125" s="104"/>
      <c r="S125" s="92"/>
      <c r="T125" s="81"/>
      <c r="U125" s="106">
        <f t="shared" si="5"/>
        <v>0</v>
      </c>
      <c r="V125" s="4">
        <f>C125</f>
        <v>1</v>
      </c>
      <c r="W125" s="4">
        <f t="shared" si="6"/>
        <v>1</v>
      </c>
      <c r="X125" s="4">
        <f t="shared" si="7"/>
        <v>0</v>
      </c>
      <c r="Y125" s="4">
        <f t="shared" si="8"/>
        <v>0</v>
      </c>
      <c r="Z125" s="4">
        <f t="shared" si="9"/>
        <v>0</v>
      </c>
    </row>
    <row r="126" spans="1:26" x14ac:dyDescent="0.35">
      <c r="A126" s="81"/>
      <c r="B126" s="90">
        <v>43944</v>
      </c>
      <c r="C126" s="105">
        <v>1</v>
      </c>
      <c r="D126" s="105">
        <v>1</v>
      </c>
      <c r="E126" s="105">
        <v>1</v>
      </c>
      <c r="F126" s="105">
        <v>1</v>
      </c>
      <c r="G126" s="105">
        <v>1</v>
      </c>
      <c r="H126" s="81"/>
      <c r="I126" s="90"/>
      <c r="J126" s="105"/>
      <c r="K126" s="91"/>
      <c r="L126" s="81"/>
      <c r="M126" s="90"/>
      <c r="N126" s="105"/>
      <c r="O126" s="91"/>
      <c r="P126" s="81"/>
      <c r="Q126" s="90"/>
      <c r="R126" s="105"/>
      <c r="S126" s="91"/>
      <c r="T126" s="81"/>
      <c r="U126" s="106">
        <f t="shared" si="5"/>
        <v>0</v>
      </c>
      <c r="V126" s="4">
        <f>C126</f>
        <v>1</v>
      </c>
      <c r="W126" s="4">
        <f t="shared" si="6"/>
        <v>1</v>
      </c>
      <c r="X126" s="4">
        <f t="shared" si="7"/>
        <v>0</v>
      </c>
      <c r="Y126" s="4">
        <f t="shared" si="8"/>
        <v>0</v>
      </c>
      <c r="Z126" s="4">
        <f t="shared" si="9"/>
        <v>0</v>
      </c>
    </row>
    <row r="127" spans="1:26" x14ac:dyDescent="0.35">
      <c r="A127" s="81"/>
      <c r="B127" s="88">
        <v>43945</v>
      </c>
      <c r="C127" s="104">
        <v>1</v>
      </c>
      <c r="D127" s="104">
        <v>1</v>
      </c>
      <c r="E127" s="104">
        <v>1</v>
      </c>
      <c r="F127" s="104">
        <v>1</v>
      </c>
      <c r="G127" s="104">
        <v>1</v>
      </c>
      <c r="H127" s="81"/>
      <c r="I127" s="88"/>
      <c r="J127" s="104"/>
      <c r="K127" s="92"/>
      <c r="L127" s="81"/>
      <c r="M127" s="88"/>
      <c r="N127" s="104"/>
      <c r="O127" s="92"/>
      <c r="P127" s="81"/>
      <c r="Q127" s="88"/>
      <c r="R127" s="104"/>
      <c r="S127" s="92"/>
      <c r="T127" s="81"/>
      <c r="U127" s="106">
        <f t="shared" si="5"/>
        <v>0</v>
      </c>
      <c r="V127" s="4">
        <f>C127</f>
        <v>1</v>
      </c>
      <c r="W127" s="4">
        <f t="shared" si="6"/>
        <v>1</v>
      </c>
      <c r="X127" s="4">
        <f t="shared" si="7"/>
        <v>0</v>
      </c>
      <c r="Y127" s="4">
        <f t="shared" si="8"/>
        <v>0</v>
      </c>
      <c r="Z127" s="4">
        <f t="shared" si="9"/>
        <v>0</v>
      </c>
    </row>
    <row r="128" spans="1:26" x14ac:dyDescent="0.35">
      <c r="A128" s="81"/>
      <c r="B128" s="90">
        <v>43946</v>
      </c>
      <c r="C128" s="105">
        <v>1</v>
      </c>
      <c r="D128" s="105">
        <v>1</v>
      </c>
      <c r="E128" s="105">
        <v>1</v>
      </c>
      <c r="F128" s="105">
        <v>1</v>
      </c>
      <c r="G128" s="105">
        <v>1</v>
      </c>
      <c r="H128" s="81"/>
      <c r="I128" s="90"/>
      <c r="J128" s="105"/>
      <c r="K128" s="91"/>
      <c r="L128" s="81"/>
      <c r="M128" s="90"/>
      <c r="N128" s="105"/>
      <c r="O128" s="91"/>
      <c r="P128" s="81"/>
      <c r="Q128" s="90"/>
      <c r="R128" s="105"/>
      <c r="S128" s="91"/>
      <c r="T128" s="81"/>
      <c r="U128" s="106">
        <f t="shared" si="5"/>
        <v>0</v>
      </c>
      <c r="V128" s="4">
        <f>C128</f>
        <v>1</v>
      </c>
      <c r="W128" s="4">
        <f t="shared" si="6"/>
        <v>1</v>
      </c>
      <c r="X128" s="4">
        <f t="shared" si="7"/>
        <v>0</v>
      </c>
      <c r="Y128" s="4">
        <f t="shared" si="8"/>
        <v>0</v>
      </c>
      <c r="Z128" s="4">
        <f t="shared" si="9"/>
        <v>0</v>
      </c>
    </row>
    <row r="129" spans="1:26" x14ac:dyDescent="0.35">
      <c r="A129" s="81"/>
      <c r="B129" s="88">
        <v>43947</v>
      </c>
      <c r="C129" s="104">
        <v>1</v>
      </c>
      <c r="D129" s="104">
        <v>1</v>
      </c>
      <c r="E129" s="104">
        <v>1</v>
      </c>
      <c r="F129" s="104">
        <v>1</v>
      </c>
      <c r="G129" s="104">
        <v>1</v>
      </c>
      <c r="H129" s="81"/>
      <c r="I129" s="88"/>
      <c r="J129" s="104"/>
      <c r="K129" s="92"/>
      <c r="L129" s="81"/>
      <c r="M129" s="88"/>
      <c r="N129" s="104"/>
      <c r="O129" s="92"/>
      <c r="P129" s="81"/>
      <c r="Q129" s="88"/>
      <c r="R129" s="104"/>
      <c r="S129" s="92"/>
      <c r="T129" s="81"/>
      <c r="U129" s="106">
        <f t="shared" si="5"/>
        <v>0</v>
      </c>
      <c r="V129" s="4">
        <f>C129</f>
        <v>1</v>
      </c>
      <c r="W129" s="4">
        <f t="shared" si="6"/>
        <v>1</v>
      </c>
      <c r="X129" s="4">
        <f t="shared" si="7"/>
        <v>0</v>
      </c>
      <c r="Y129" s="4">
        <f t="shared" si="8"/>
        <v>0</v>
      </c>
      <c r="Z129" s="4">
        <f t="shared" si="9"/>
        <v>0</v>
      </c>
    </row>
    <row r="130" spans="1:26" x14ac:dyDescent="0.35">
      <c r="A130" s="81"/>
      <c r="B130" s="90">
        <v>43948</v>
      </c>
      <c r="C130" s="105">
        <v>18</v>
      </c>
      <c r="D130" s="105">
        <v>18</v>
      </c>
      <c r="E130" s="105">
        <v>18</v>
      </c>
      <c r="F130" s="105">
        <v>18</v>
      </c>
      <c r="G130" s="105">
        <v>18</v>
      </c>
      <c r="H130" s="81"/>
      <c r="I130" s="90"/>
      <c r="J130" s="105"/>
      <c r="K130" s="91"/>
      <c r="L130" s="81"/>
      <c r="M130" s="90"/>
      <c r="N130" s="105"/>
      <c r="O130" s="91"/>
      <c r="P130" s="81"/>
      <c r="Q130" s="90"/>
      <c r="R130" s="105"/>
      <c r="S130" s="91"/>
      <c r="T130" s="81"/>
      <c r="U130" s="106">
        <f t="shared" si="5"/>
        <v>0</v>
      </c>
      <c r="V130" s="4">
        <f>C130</f>
        <v>18</v>
      </c>
      <c r="W130" s="4">
        <f t="shared" si="6"/>
        <v>18</v>
      </c>
      <c r="X130" s="4">
        <f t="shared" si="7"/>
        <v>0</v>
      </c>
      <c r="Y130" s="4">
        <f t="shared" si="8"/>
        <v>0</v>
      </c>
      <c r="Z130" s="4">
        <f t="shared" si="9"/>
        <v>0</v>
      </c>
    </row>
    <row r="131" spans="1:26" x14ac:dyDescent="0.35">
      <c r="A131" s="81"/>
      <c r="B131" s="88">
        <v>43949</v>
      </c>
      <c r="C131" s="104">
        <v>1</v>
      </c>
      <c r="D131" s="104">
        <v>1</v>
      </c>
      <c r="E131" s="104">
        <v>1</v>
      </c>
      <c r="F131" s="104">
        <v>1</v>
      </c>
      <c r="G131" s="104">
        <v>1</v>
      </c>
      <c r="H131" s="81"/>
      <c r="I131" s="88"/>
      <c r="J131" s="104"/>
      <c r="K131" s="92"/>
      <c r="L131" s="81"/>
      <c r="M131" s="88"/>
      <c r="N131" s="104"/>
      <c r="O131" s="92"/>
      <c r="P131" s="81"/>
      <c r="Q131" s="88"/>
      <c r="R131" s="104"/>
      <c r="S131" s="92"/>
      <c r="T131" s="81"/>
      <c r="U131" s="106">
        <f t="shared" si="5"/>
        <v>0</v>
      </c>
      <c r="V131" s="4">
        <f>C131</f>
        <v>1</v>
      </c>
      <c r="W131" s="4">
        <f t="shared" si="6"/>
        <v>1</v>
      </c>
      <c r="X131" s="4">
        <f t="shared" si="7"/>
        <v>0</v>
      </c>
      <c r="Y131" s="4">
        <f t="shared" si="8"/>
        <v>0</v>
      </c>
      <c r="Z131" s="4">
        <f t="shared" si="9"/>
        <v>0</v>
      </c>
    </row>
    <row r="132" spans="1:26" x14ac:dyDescent="0.35">
      <c r="A132" s="81"/>
      <c r="B132" s="90">
        <v>43950</v>
      </c>
      <c r="C132" s="105">
        <v>1</v>
      </c>
      <c r="D132" s="105">
        <v>1</v>
      </c>
      <c r="E132" s="105">
        <v>1</v>
      </c>
      <c r="F132" s="105">
        <v>1</v>
      </c>
      <c r="G132" s="105">
        <v>1</v>
      </c>
      <c r="H132" s="81"/>
      <c r="I132" s="90"/>
      <c r="J132" s="105"/>
      <c r="K132" s="91"/>
      <c r="L132" s="81"/>
      <c r="M132" s="90"/>
      <c r="N132" s="105"/>
      <c r="O132" s="91"/>
      <c r="P132" s="81"/>
      <c r="Q132" s="90"/>
      <c r="R132" s="105"/>
      <c r="S132" s="91"/>
      <c r="T132" s="81"/>
      <c r="U132" s="106">
        <f t="shared" si="5"/>
        <v>0</v>
      </c>
      <c r="V132" s="4">
        <f>C132</f>
        <v>1</v>
      </c>
      <c r="W132" s="4">
        <f t="shared" si="6"/>
        <v>1</v>
      </c>
      <c r="X132" s="4">
        <f t="shared" si="7"/>
        <v>0</v>
      </c>
      <c r="Y132" s="4">
        <f t="shared" si="8"/>
        <v>0</v>
      </c>
      <c r="Z132" s="4">
        <f t="shared" si="9"/>
        <v>0</v>
      </c>
    </row>
    <row r="133" spans="1:26" x14ac:dyDescent="0.35">
      <c r="A133" s="81"/>
      <c r="B133" s="88">
        <v>43951</v>
      </c>
      <c r="C133" s="104">
        <v>1</v>
      </c>
      <c r="D133" s="104">
        <v>1</v>
      </c>
      <c r="E133" s="104">
        <v>1</v>
      </c>
      <c r="F133" s="104">
        <v>1</v>
      </c>
      <c r="G133" s="104">
        <v>1</v>
      </c>
      <c r="H133" s="81"/>
      <c r="I133" s="88"/>
      <c r="J133" s="104"/>
      <c r="K133" s="92"/>
      <c r="L133" s="81"/>
      <c r="M133" s="88"/>
      <c r="N133" s="104"/>
      <c r="O133" s="92"/>
      <c r="P133" s="81"/>
      <c r="Q133" s="88"/>
      <c r="R133" s="104"/>
      <c r="S133" s="92"/>
      <c r="T133" s="81"/>
      <c r="U133" s="106">
        <f t="shared" si="5"/>
        <v>0</v>
      </c>
      <c r="V133" s="4">
        <f>C133</f>
        <v>1</v>
      </c>
      <c r="W133" s="4">
        <f t="shared" si="6"/>
        <v>1</v>
      </c>
      <c r="X133" s="4">
        <f t="shared" si="7"/>
        <v>0</v>
      </c>
      <c r="Y133" s="4">
        <f t="shared" si="8"/>
        <v>0</v>
      </c>
      <c r="Z133" s="4">
        <f t="shared" si="9"/>
        <v>0</v>
      </c>
    </row>
    <row r="134" spans="1:26" x14ac:dyDescent="0.35">
      <c r="A134" s="81"/>
      <c r="B134" s="90">
        <v>43952</v>
      </c>
      <c r="C134" s="105">
        <v>1</v>
      </c>
      <c r="D134" s="105">
        <v>1</v>
      </c>
      <c r="E134" s="105">
        <v>1</v>
      </c>
      <c r="F134" s="105">
        <v>1</v>
      </c>
      <c r="G134" s="105">
        <v>1</v>
      </c>
      <c r="H134" s="81"/>
      <c r="I134" s="90"/>
      <c r="J134" s="105"/>
      <c r="K134" s="91"/>
      <c r="L134" s="81"/>
      <c r="M134" s="90"/>
      <c r="N134" s="105"/>
      <c r="O134" s="91"/>
      <c r="P134" s="81"/>
      <c r="Q134" s="90"/>
      <c r="R134" s="105"/>
      <c r="S134" s="91"/>
      <c r="T134" s="81"/>
      <c r="U134" s="106">
        <f t="shared" si="5"/>
        <v>0</v>
      </c>
      <c r="V134" s="4">
        <f>C134</f>
        <v>1</v>
      </c>
      <c r="W134" s="4">
        <f t="shared" si="6"/>
        <v>1</v>
      </c>
      <c r="X134" s="4">
        <f t="shared" si="7"/>
        <v>0</v>
      </c>
      <c r="Y134" s="4">
        <f t="shared" si="8"/>
        <v>0</v>
      </c>
      <c r="Z134" s="4">
        <f t="shared" si="9"/>
        <v>0</v>
      </c>
    </row>
    <row r="135" spans="1:26" x14ac:dyDescent="0.35">
      <c r="A135" s="81"/>
      <c r="B135" s="88">
        <v>43953</v>
      </c>
      <c r="C135" s="104">
        <v>1</v>
      </c>
      <c r="D135" s="104">
        <v>1</v>
      </c>
      <c r="E135" s="104">
        <v>1</v>
      </c>
      <c r="F135" s="104">
        <v>1</v>
      </c>
      <c r="G135" s="104">
        <v>1</v>
      </c>
      <c r="H135" s="81"/>
      <c r="I135" s="88"/>
      <c r="J135" s="104"/>
      <c r="K135" s="92"/>
      <c r="L135" s="81"/>
      <c r="M135" s="88"/>
      <c r="N135" s="104"/>
      <c r="O135" s="92"/>
      <c r="P135" s="81"/>
      <c r="Q135" s="88"/>
      <c r="R135" s="104"/>
      <c r="S135" s="92"/>
      <c r="T135" s="81"/>
      <c r="U135" s="106">
        <f t="shared" si="5"/>
        <v>0</v>
      </c>
      <c r="V135" s="4">
        <f>C135</f>
        <v>1</v>
      </c>
      <c r="W135" s="4">
        <f t="shared" si="6"/>
        <v>1</v>
      </c>
      <c r="X135" s="4">
        <f t="shared" si="7"/>
        <v>0</v>
      </c>
      <c r="Y135" s="4">
        <f t="shared" si="8"/>
        <v>0</v>
      </c>
      <c r="Z135" s="4">
        <f t="shared" si="9"/>
        <v>0</v>
      </c>
    </row>
    <row r="136" spans="1:26" x14ac:dyDescent="0.35">
      <c r="A136" s="81"/>
      <c r="B136" s="90">
        <v>43954</v>
      </c>
      <c r="C136" s="105">
        <v>1</v>
      </c>
      <c r="D136" s="105">
        <v>1</v>
      </c>
      <c r="E136" s="105">
        <v>1</v>
      </c>
      <c r="F136" s="105">
        <v>1</v>
      </c>
      <c r="G136" s="105">
        <v>1</v>
      </c>
      <c r="H136" s="81"/>
      <c r="I136" s="90"/>
      <c r="J136" s="105"/>
      <c r="K136" s="91"/>
      <c r="L136" s="81"/>
      <c r="M136" s="90"/>
      <c r="N136" s="105"/>
      <c r="O136" s="91"/>
      <c r="P136" s="81"/>
      <c r="Q136" s="90"/>
      <c r="R136" s="105"/>
      <c r="S136" s="91"/>
      <c r="T136" s="81"/>
      <c r="U136" s="106">
        <f t="shared" si="5"/>
        <v>0</v>
      </c>
      <c r="V136" s="4">
        <f>C136</f>
        <v>1</v>
      </c>
      <c r="W136" s="4">
        <f t="shared" si="6"/>
        <v>1</v>
      </c>
      <c r="X136" s="4">
        <f t="shared" si="7"/>
        <v>0</v>
      </c>
      <c r="Y136" s="4">
        <f t="shared" si="8"/>
        <v>0</v>
      </c>
      <c r="Z136" s="4">
        <f t="shared" si="9"/>
        <v>0</v>
      </c>
    </row>
    <row r="137" spans="1:26" x14ac:dyDescent="0.35">
      <c r="A137" s="81"/>
      <c r="B137" s="88">
        <v>43955</v>
      </c>
      <c r="C137" s="104">
        <v>1</v>
      </c>
      <c r="D137" s="104">
        <v>1</v>
      </c>
      <c r="E137" s="104">
        <v>1</v>
      </c>
      <c r="F137" s="104">
        <v>1</v>
      </c>
      <c r="G137" s="104">
        <v>1</v>
      </c>
      <c r="H137" s="81"/>
      <c r="I137" s="88"/>
      <c r="J137" s="104"/>
      <c r="K137" s="92"/>
      <c r="L137" s="81"/>
      <c r="M137" s="88"/>
      <c r="N137" s="104"/>
      <c r="O137" s="92"/>
      <c r="P137" s="81"/>
      <c r="Q137" s="88"/>
      <c r="R137" s="104"/>
      <c r="S137" s="92"/>
      <c r="T137" s="81"/>
      <c r="U137" s="106">
        <f t="shared" si="5"/>
        <v>0</v>
      </c>
      <c r="V137" s="4">
        <f>C137</f>
        <v>1</v>
      </c>
      <c r="W137" s="4">
        <f t="shared" si="6"/>
        <v>1</v>
      </c>
      <c r="X137" s="4">
        <f t="shared" si="7"/>
        <v>0</v>
      </c>
      <c r="Y137" s="4">
        <f t="shared" si="8"/>
        <v>0</v>
      </c>
      <c r="Z137" s="4">
        <f t="shared" si="9"/>
        <v>0</v>
      </c>
    </row>
    <row r="138" spans="1:26" x14ac:dyDescent="0.35">
      <c r="A138" s="81"/>
      <c r="B138" s="90">
        <v>43956</v>
      </c>
      <c r="C138" s="105">
        <v>26</v>
      </c>
      <c r="D138" s="105">
        <v>26</v>
      </c>
      <c r="E138" s="105">
        <v>26</v>
      </c>
      <c r="F138" s="105">
        <v>26</v>
      </c>
      <c r="G138" s="105">
        <v>26</v>
      </c>
      <c r="H138" s="81"/>
      <c r="I138" s="90"/>
      <c r="J138" s="105"/>
      <c r="K138" s="91"/>
      <c r="L138" s="81"/>
      <c r="M138" s="90"/>
      <c r="N138" s="105"/>
      <c r="O138" s="91"/>
      <c r="P138" s="81"/>
      <c r="Q138" s="90"/>
      <c r="R138" s="105"/>
      <c r="S138" s="91"/>
      <c r="T138" s="81"/>
      <c r="U138" s="106">
        <f t="shared" si="5"/>
        <v>0</v>
      </c>
      <c r="V138" s="4">
        <f>C138</f>
        <v>26</v>
      </c>
      <c r="W138" s="4">
        <f t="shared" si="6"/>
        <v>26</v>
      </c>
      <c r="X138" s="4">
        <f t="shared" si="7"/>
        <v>0</v>
      </c>
      <c r="Y138" s="4">
        <f t="shared" si="8"/>
        <v>0</v>
      </c>
      <c r="Z138" s="4">
        <f t="shared" si="9"/>
        <v>0</v>
      </c>
    </row>
    <row r="139" spans="1:26" x14ac:dyDescent="0.35">
      <c r="A139" s="81"/>
      <c r="B139" s="88">
        <v>43957</v>
      </c>
      <c r="C139" s="104">
        <v>1</v>
      </c>
      <c r="D139" s="104">
        <v>1</v>
      </c>
      <c r="E139" s="104">
        <v>1</v>
      </c>
      <c r="F139" s="104">
        <v>1</v>
      </c>
      <c r="G139" s="104">
        <v>1</v>
      </c>
      <c r="H139" s="81"/>
      <c r="I139" s="88"/>
      <c r="J139" s="104"/>
      <c r="K139" s="92"/>
      <c r="L139" s="81"/>
      <c r="M139" s="88"/>
      <c r="N139" s="104"/>
      <c r="O139" s="92"/>
      <c r="P139" s="81"/>
      <c r="Q139" s="88"/>
      <c r="R139" s="104"/>
      <c r="S139" s="92"/>
      <c r="T139" s="81"/>
      <c r="U139" s="106">
        <f t="shared" si="5"/>
        <v>0</v>
      </c>
      <c r="V139" s="4">
        <f>C139</f>
        <v>1</v>
      </c>
      <c r="W139" s="4">
        <f t="shared" si="6"/>
        <v>1</v>
      </c>
      <c r="X139" s="4">
        <f t="shared" si="7"/>
        <v>0</v>
      </c>
      <c r="Y139" s="4">
        <f t="shared" si="8"/>
        <v>0</v>
      </c>
      <c r="Z139" s="4">
        <f t="shared" si="9"/>
        <v>0</v>
      </c>
    </row>
    <row r="140" spans="1:26" x14ac:dyDescent="0.35">
      <c r="A140" s="81"/>
      <c r="B140" s="90">
        <v>43958</v>
      </c>
      <c r="C140" s="105">
        <v>1</v>
      </c>
      <c r="D140" s="105">
        <v>1</v>
      </c>
      <c r="E140" s="105">
        <v>1</v>
      </c>
      <c r="F140" s="105">
        <v>1</v>
      </c>
      <c r="G140" s="105">
        <v>1</v>
      </c>
      <c r="H140" s="81"/>
      <c r="I140" s="90"/>
      <c r="J140" s="105"/>
      <c r="K140" s="91"/>
      <c r="L140" s="81"/>
      <c r="M140" s="90"/>
      <c r="N140" s="105"/>
      <c r="O140" s="91"/>
      <c r="P140" s="81"/>
      <c r="Q140" s="90"/>
      <c r="R140" s="105"/>
      <c r="S140" s="91"/>
      <c r="T140" s="81"/>
      <c r="U140" s="106">
        <f t="shared" si="5"/>
        <v>0</v>
      </c>
      <c r="V140" s="4">
        <f>C140</f>
        <v>1</v>
      </c>
      <c r="W140" s="4">
        <f t="shared" si="6"/>
        <v>1</v>
      </c>
      <c r="X140" s="4">
        <f t="shared" si="7"/>
        <v>0</v>
      </c>
      <c r="Y140" s="4">
        <f t="shared" si="8"/>
        <v>0</v>
      </c>
      <c r="Z140" s="4">
        <f t="shared" si="9"/>
        <v>0</v>
      </c>
    </row>
    <row r="141" spans="1:26" x14ac:dyDescent="0.35">
      <c r="A141" s="81"/>
      <c r="B141" s="88">
        <v>43959</v>
      </c>
      <c r="C141" s="104">
        <v>1</v>
      </c>
      <c r="D141" s="104">
        <v>1</v>
      </c>
      <c r="E141" s="104">
        <v>1</v>
      </c>
      <c r="F141" s="104">
        <v>1</v>
      </c>
      <c r="G141" s="104">
        <v>1</v>
      </c>
      <c r="H141" s="81"/>
      <c r="I141" s="88"/>
      <c r="J141" s="104"/>
      <c r="K141" s="92"/>
      <c r="L141" s="81"/>
      <c r="M141" s="88"/>
      <c r="N141" s="104"/>
      <c r="O141" s="92"/>
      <c r="P141" s="81"/>
      <c r="Q141" s="88"/>
      <c r="R141" s="104"/>
      <c r="S141" s="92"/>
      <c r="T141" s="81"/>
      <c r="U141" s="106">
        <f t="shared" si="5"/>
        <v>0</v>
      </c>
      <c r="V141" s="4">
        <f>C141</f>
        <v>1</v>
      </c>
      <c r="W141" s="4">
        <f t="shared" si="6"/>
        <v>1</v>
      </c>
      <c r="X141" s="4">
        <f t="shared" si="7"/>
        <v>0</v>
      </c>
      <c r="Y141" s="4">
        <f t="shared" si="8"/>
        <v>0</v>
      </c>
      <c r="Z141" s="4">
        <f t="shared" si="9"/>
        <v>0</v>
      </c>
    </row>
    <row r="142" spans="1:26" x14ac:dyDescent="0.35">
      <c r="A142" s="81"/>
      <c r="B142" s="90">
        <v>43960</v>
      </c>
      <c r="C142" s="105">
        <v>1</v>
      </c>
      <c r="D142" s="105">
        <v>1</v>
      </c>
      <c r="E142" s="105">
        <v>1</v>
      </c>
      <c r="F142" s="105">
        <v>1</v>
      </c>
      <c r="G142" s="105">
        <v>1</v>
      </c>
      <c r="H142" s="81"/>
      <c r="I142" s="90"/>
      <c r="J142" s="105"/>
      <c r="K142" s="91"/>
      <c r="L142" s="81"/>
      <c r="M142" s="90"/>
      <c r="N142" s="105"/>
      <c r="O142" s="91"/>
      <c r="P142" s="81"/>
      <c r="Q142" s="90"/>
      <c r="R142" s="105"/>
      <c r="S142" s="91"/>
      <c r="T142" s="81"/>
      <c r="U142" s="106">
        <f t="shared" si="5"/>
        <v>0</v>
      </c>
      <c r="V142" s="4">
        <f>C142</f>
        <v>1</v>
      </c>
      <c r="W142" s="4">
        <f t="shared" si="6"/>
        <v>1</v>
      </c>
      <c r="X142" s="4">
        <f t="shared" si="7"/>
        <v>0</v>
      </c>
      <c r="Y142" s="4">
        <f t="shared" si="8"/>
        <v>0</v>
      </c>
      <c r="Z142" s="4">
        <f t="shared" si="9"/>
        <v>0</v>
      </c>
    </row>
    <row r="143" spans="1:26" x14ac:dyDescent="0.35">
      <c r="A143" s="81"/>
      <c r="B143" s="88">
        <v>43961</v>
      </c>
      <c r="C143" s="104">
        <v>1</v>
      </c>
      <c r="D143" s="104">
        <v>1</v>
      </c>
      <c r="E143" s="104">
        <v>1</v>
      </c>
      <c r="F143" s="104">
        <v>1</v>
      </c>
      <c r="G143" s="104">
        <v>1</v>
      </c>
      <c r="H143" s="81"/>
      <c r="I143" s="88"/>
      <c r="J143" s="104"/>
      <c r="K143" s="92"/>
      <c r="L143" s="81"/>
      <c r="M143" s="88"/>
      <c r="N143" s="104"/>
      <c r="O143" s="92"/>
      <c r="P143" s="81"/>
      <c r="Q143" s="88"/>
      <c r="R143" s="104"/>
      <c r="S143" s="92"/>
      <c r="T143" s="81"/>
      <c r="U143" s="106">
        <f t="shared" ref="U143:U206" si="10">Q143</f>
        <v>0</v>
      </c>
      <c r="V143" s="4">
        <f>C143</f>
        <v>1</v>
      </c>
      <c r="W143" s="4">
        <f t="shared" ref="W143:W206" si="11">F143</f>
        <v>1</v>
      </c>
      <c r="X143" s="4">
        <f t="shared" ref="X143:X206" si="12">J143</f>
        <v>0</v>
      </c>
      <c r="Y143" s="4">
        <f t="shared" ref="Y143:Y206" si="13">N143</f>
        <v>0</v>
      </c>
      <c r="Z143" s="4">
        <f t="shared" ref="Z143:Z206" si="14">R143</f>
        <v>0</v>
      </c>
    </row>
    <row r="144" spans="1:26" x14ac:dyDescent="0.35">
      <c r="A144" s="81"/>
      <c r="B144" s="90">
        <v>43962</v>
      </c>
      <c r="C144" s="105">
        <v>1</v>
      </c>
      <c r="D144" s="105">
        <v>1</v>
      </c>
      <c r="E144" s="105">
        <v>1</v>
      </c>
      <c r="F144" s="105">
        <v>1</v>
      </c>
      <c r="G144" s="105">
        <v>1</v>
      </c>
      <c r="H144" s="81"/>
      <c r="I144" s="90"/>
      <c r="J144" s="105"/>
      <c r="K144" s="91"/>
      <c r="L144" s="81"/>
      <c r="M144" s="90"/>
      <c r="N144" s="105"/>
      <c r="O144" s="91"/>
      <c r="P144" s="81"/>
      <c r="Q144" s="90"/>
      <c r="R144" s="105"/>
      <c r="S144" s="91"/>
      <c r="T144" s="81"/>
      <c r="U144" s="106">
        <f t="shared" si="10"/>
        <v>0</v>
      </c>
      <c r="V144" s="4">
        <f>C144</f>
        <v>1</v>
      </c>
      <c r="W144" s="4">
        <f t="shared" si="11"/>
        <v>1</v>
      </c>
      <c r="X144" s="4">
        <f t="shared" si="12"/>
        <v>0</v>
      </c>
      <c r="Y144" s="4">
        <f t="shared" si="13"/>
        <v>0</v>
      </c>
      <c r="Z144" s="4">
        <f t="shared" si="14"/>
        <v>0</v>
      </c>
    </row>
    <row r="145" spans="1:26" x14ac:dyDescent="0.35">
      <c r="A145" s="81"/>
      <c r="B145" s="88">
        <v>43963</v>
      </c>
      <c r="C145" s="104">
        <v>33</v>
      </c>
      <c r="D145" s="104">
        <v>33</v>
      </c>
      <c r="E145" s="104">
        <v>33</v>
      </c>
      <c r="F145" s="104">
        <v>33</v>
      </c>
      <c r="G145" s="104">
        <v>33</v>
      </c>
      <c r="H145" s="81"/>
      <c r="I145" s="88"/>
      <c r="J145" s="104"/>
      <c r="K145" s="92"/>
      <c r="L145" s="81"/>
      <c r="M145" s="88"/>
      <c r="N145" s="104"/>
      <c r="O145" s="92"/>
      <c r="P145" s="81"/>
      <c r="Q145" s="88"/>
      <c r="R145" s="104"/>
      <c r="S145" s="92"/>
      <c r="T145" s="81"/>
      <c r="U145" s="106">
        <f t="shared" si="10"/>
        <v>0</v>
      </c>
      <c r="V145" s="4">
        <f>C145</f>
        <v>33</v>
      </c>
      <c r="W145" s="4">
        <f t="shared" si="11"/>
        <v>33</v>
      </c>
      <c r="X145" s="4">
        <f t="shared" si="12"/>
        <v>0</v>
      </c>
      <c r="Y145" s="4">
        <f t="shared" si="13"/>
        <v>0</v>
      </c>
      <c r="Z145" s="4">
        <f t="shared" si="14"/>
        <v>0</v>
      </c>
    </row>
    <row r="146" spans="1:26" x14ac:dyDescent="0.35">
      <c r="A146" s="81"/>
      <c r="B146" s="90">
        <v>43964</v>
      </c>
      <c r="C146" s="105">
        <v>34</v>
      </c>
      <c r="D146" s="105">
        <v>34</v>
      </c>
      <c r="E146" s="105">
        <v>34</v>
      </c>
      <c r="F146" s="105">
        <v>34</v>
      </c>
      <c r="G146" s="105">
        <v>34</v>
      </c>
      <c r="H146" s="81"/>
      <c r="I146" s="90"/>
      <c r="J146" s="105"/>
      <c r="K146" s="91"/>
      <c r="L146" s="81"/>
      <c r="M146" s="90"/>
      <c r="N146" s="105"/>
      <c r="O146" s="91"/>
      <c r="P146" s="81"/>
      <c r="Q146" s="90"/>
      <c r="R146" s="105"/>
      <c r="S146" s="91"/>
      <c r="T146" s="81"/>
      <c r="U146" s="106">
        <f t="shared" si="10"/>
        <v>0</v>
      </c>
      <c r="V146" s="4">
        <f>C146</f>
        <v>34</v>
      </c>
      <c r="W146" s="4">
        <f t="shared" si="11"/>
        <v>34</v>
      </c>
      <c r="X146" s="4">
        <f t="shared" si="12"/>
        <v>0</v>
      </c>
      <c r="Y146" s="4">
        <f t="shared" si="13"/>
        <v>0</v>
      </c>
      <c r="Z146" s="4">
        <f t="shared" si="14"/>
        <v>0</v>
      </c>
    </row>
    <row r="147" spans="1:26" x14ac:dyDescent="0.35">
      <c r="A147" s="81"/>
      <c r="B147" s="88">
        <v>43965</v>
      </c>
      <c r="C147" s="104">
        <v>35</v>
      </c>
      <c r="D147" s="104">
        <v>35</v>
      </c>
      <c r="E147" s="104">
        <v>35</v>
      </c>
      <c r="F147" s="104">
        <v>35</v>
      </c>
      <c r="G147" s="104">
        <v>35</v>
      </c>
      <c r="H147" s="81"/>
      <c r="I147" s="88"/>
      <c r="J147" s="104"/>
      <c r="K147" s="92"/>
      <c r="L147" s="81"/>
      <c r="M147" s="88"/>
      <c r="N147" s="104"/>
      <c r="O147" s="92"/>
      <c r="P147" s="81"/>
      <c r="Q147" s="88"/>
      <c r="R147" s="104"/>
      <c r="S147" s="92"/>
      <c r="T147" s="81"/>
      <c r="U147" s="106">
        <f t="shared" si="10"/>
        <v>0</v>
      </c>
      <c r="V147" s="4">
        <f>C147</f>
        <v>35</v>
      </c>
      <c r="W147" s="4">
        <f t="shared" si="11"/>
        <v>35</v>
      </c>
      <c r="X147" s="4">
        <f t="shared" si="12"/>
        <v>0</v>
      </c>
      <c r="Y147" s="4">
        <f t="shared" si="13"/>
        <v>0</v>
      </c>
      <c r="Z147" s="4">
        <f t="shared" si="14"/>
        <v>0</v>
      </c>
    </row>
    <row r="148" spans="1:26" x14ac:dyDescent="0.35">
      <c r="A148" s="81"/>
      <c r="B148" s="90">
        <v>43966</v>
      </c>
      <c r="C148" s="105">
        <v>36</v>
      </c>
      <c r="D148" s="105">
        <v>36</v>
      </c>
      <c r="E148" s="105">
        <v>36</v>
      </c>
      <c r="F148" s="105">
        <v>36</v>
      </c>
      <c r="G148" s="105">
        <v>36</v>
      </c>
      <c r="H148" s="81"/>
      <c r="I148" s="90"/>
      <c r="J148" s="105"/>
      <c r="K148" s="91"/>
      <c r="L148" s="81"/>
      <c r="M148" s="90"/>
      <c r="N148" s="105"/>
      <c r="O148" s="91"/>
      <c r="P148" s="81"/>
      <c r="Q148" s="90"/>
      <c r="R148" s="105"/>
      <c r="S148" s="91"/>
      <c r="T148" s="81"/>
      <c r="U148" s="106">
        <f t="shared" si="10"/>
        <v>0</v>
      </c>
      <c r="V148" s="4">
        <f>C148</f>
        <v>36</v>
      </c>
      <c r="W148" s="4">
        <f t="shared" si="11"/>
        <v>36</v>
      </c>
      <c r="X148" s="4">
        <f t="shared" si="12"/>
        <v>0</v>
      </c>
      <c r="Y148" s="4">
        <f t="shared" si="13"/>
        <v>0</v>
      </c>
      <c r="Z148" s="4">
        <f t="shared" si="14"/>
        <v>0</v>
      </c>
    </row>
    <row r="149" spans="1:26" x14ac:dyDescent="0.35">
      <c r="A149" s="81"/>
      <c r="B149" s="88">
        <v>43967</v>
      </c>
      <c r="C149" s="104">
        <v>37</v>
      </c>
      <c r="D149" s="104">
        <v>37</v>
      </c>
      <c r="E149" s="104">
        <v>37</v>
      </c>
      <c r="F149" s="104">
        <v>37</v>
      </c>
      <c r="G149" s="104">
        <v>37</v>
      </c>
      <c r="H149" s="81"/>
      <c r="I149" s="88"/>
      <c r="J149" s="104"/>
      <c r="K149" s="92"/>
      <c r="L149" s="81"/>
      <c r="M149" s="88"/>
      <c r="N149" s="104"/>
      <c r="O149" s="92"/>
      <c r="P149" s="81"/>
      <c r="Q149" s="88"/>
      <c r="R149" s="104"/>
      <c r="S149" s="92"/>
      <c r="T149" s="81"/>
      <c r="U149" s="106">
        <f t="shared" si="10"/>
        <v>0</v>
      </c>
      <c r="V149" s="4">
        <f>C149</f>
        <v>37</v>
      </c>
      <c r="W149" s="4">
        <f t="shared" si="11"/>
        <v>37</v>
      </c>
      <c r="X149" s="4">
        <f t="shared" si="12"/>
        <v>0</v>
      </c>
      <c r="Y149" s="4">
        <f t="shared" si="13"/>
        <v>0</v>
      </c>
      <c r="Z149" s="4">
        <f t="shared" si="14"/>
        <v>0</v>
      </c>
    </row>
    <row r="150" spans="1:26" x14ac:dyDescent="0.35">
      <c r="A150" s="81"/>
      <c r="B150" s="90">
        <v>43968</v>
      </c>
      <c r="C150" s="105">
        <v>38</v>
      </c>
      <c r="D150" s="105">
        <v>38</v>
      </c>
      <c r="E150" s="105">
        <v>38</v>
      </c>
      <c r="F150" s="105">
        <v>38</v>
      </c>
      <c r="G150" s="105">
        <v>38</v>
      </c>
      <c r="H150" s="81"/>
      <c r="I150" s="90"/>
      <c r="J150" s="105"/>
      <c r="K150" s="91"/>
      <c r="L150" s="81"/>
      <c r="M150" s="90"/>
      <c r="N150" s="105"/>
      <c r="O150" s="91"/>
      <c r="P150" s="81"/>
      <c r="Q150" s="90"/>
      <c r="R150" s="105"/>
      <c r="S150" s="91"/>
      <c r="T150" s="81"/>
      <c r="U150" s="106">
        <f t="shared" si="10"/>
        <v>0</v>
      </c>
      <c r="V150" s="4">
        <f>C150</f>
        <v>38</v>
      </c>
      <c r="W150" s="4">
        <f t="shared" si="11"/>
        <v>38</v>
      </c>
      <c r="X150" s="4">
        <f t="shared" si="12"/>
        <v>0</v>
      </c>
      <c r="Y150" s="4">
        <f t="shared" si="13"/>
        <v>0</v>
      </c>
      <c r="Z150" s="4">
        <f t="shared" si="14"/>
        <v>0</v>
      </c>
    </row>
    <row r="151" spans="1:26" x14ac:dyDescent="0.35">
      <c r="A151" s="81"/>
      <c r="B151" s="88">
        <v>43969</v>
      </c>
      <c r="C151" s="104">
        <v>39</v>
      </c>
      <c r="D151" s="104">
        <v>39</v>
      </c>
      <c r="E151" s="104">
        <v>39</v>
      </c>
      <c r="F151" s="104">
        <v>39</v>
      </c>
      <c r="G151" s="104">
        <v>39</v>
      </c>
      <c r="H151" s="81"/>
      <c r="I151" s="88"/>
      <c r="J151" s="104"/>
      <c r="K151" s="92"/>
      <c r="L151" s="81"/>
      <c r="M151" s="88"/>
      <c r="N151" s="104"/>
      <c r="O151" s="92"/>
      <c r="P151" s="81"/>
      <c r="Q151" s="88"/>
      <c r="R151" s="104"/>
      <c r="S151" s="92"/>
      <c r="T151" s="81"/>
      <c r="U151" s="106">
        <f t="shared" si="10"/>
        <v>0</v>
      </c>
      <c r="V151" s="4">
        <f>C151</f>
        <v>39</v>
      </c>
      <c r="W151" s="4">
        <f t="shared" si="11"/>
        <v>39</v>
      </c>
      <c r="X151" s="4">
        <f t="shared" si="12"/>
        <v>0</v>
      </c>
      <c r="Y151" s="4">
        <f t="shared" si="13"/>
        <v>0</v>
      </c>
      <c r="Z151" s="4">
        <f t="shared" si="14"/>
        <v>0</v>
      </c>
    </row>
    <row r="152" spans="1:26" x14ac:dyDescent="0.35">
      <c r="A152" s="81"/>
      <c r="B152" s="90">
        <v>43970</v>
      </c>
      <c r="C152" s="105">
        <v>40</v>
      </c>
      <c r="D152" s="105">
        <v>40</v>
      </c>
      <c r="E152" s="105">
        <v>40</v>
      </c>
      <c r="F152" s="105">
        <v>40</v>
      </c>
      <c r="G152" s="105">
        <v>40</v>
      </c>
      <c r="H152" s="81"/>
      <c r="I152" s="90"/>
      <c r="J152" s="105"/>
      <c r="K152" s="91"/>
      <c r="L152" s="81"/>
      <c r="M152" s="90"/>
      <c r="N152" s="105"/>
      <c r="O152" s="91"/>
      <c r="P152" s="81"/>
      <c r="Q152" s="90"/>
      <c r="R152" s="105"/>
      <c r="S152" s="91"/>
      <c r="T152" s="81"/>
      <c r="U152" s="106">
        <f t="shared" si="10"/>
        <v>0</v>
      </c>
      <c r="V152" s="4">
        <f>C152</f>
        <v>40</v>
      </c>
      <c r="W152" s="4">
        <f t="shared" si="11"/>
        <v>40</v>
      </c>
      <c r="X152" s="4">
        <f t="shared" si="12"/>
        <v>0</v>
      </c>
      <c r="Y152" s="4">
        <f t="shared" si="13"/>
        <v>0</v>
      </c>
      <c r="Z152" s="4">
        <f t="shared" si="14"/>
        <v>0</v>
      </c>
    </row>
    <row r="153" spans="1:26" x14ac:dyDescent="0.35">
      <c r="A153" s="81"/>
      <c r="B153" s="88">
        <v>43971</v>
      </c>
      <c r="C153" s="104">
        <v>41</v>
      </c>
      <c r="D153" s="104">
        <v>41</v>
      </c>
      <c r="E153" s="104">
        <v>41</v>
      </c>
      <c r="F153" s="104">
        <v>41</v>
      </c>
      <c r="G153" s="104">
        <v>41</v>
      </c>
      <c r="H153" s="81"/>
      <c r="I153" s="88"/>
      <c r="J153" s="104"/>
      <c r="K153" s="92"/>
      <c r="L153" s="81"/>
      <c r="M153" s="88"/>
      <c r="N153" s="104"/>
      <c r="O153" s="92"/>
      <c r="P153" s="81"/>
      <c r="Q153" s="88"/>
      <c r="R153" s="104"/>
      <c r="S153" s="92"/>
      <c r="T153" s="81"/>
      <c r="U153" s="106">
        <f t="shared" si="10"/>
        <v>0</v>
      </c>
      <c r="V153" s="4">
        <f>C153</f>
        <v>41</v>
      </c>
      <c r="W153" s="4">
        <f t="shared" si="11"/>
        <v>41</v>
      </c>
      <c r="X153" s="4">
        <f t="shared" si="12"/>
        <v>0</v>
      </c>
      <c r="Y153" s="4">
        <f t="shared" si="13"/>
        <v>0</v>
      </c>
      <c r="Z153" s="4">
        <f t="shared" si="14"/>
        <v>0</v>
      </c>
    </row>
    <row r="154" spans="1:26" x14ac:dyDescent="0.35">
      <c r="A154" s="81"/>
      <c r="B154" s="90">
        <v>43972</v>
      </c>
      <c r="C154" s="105">
        <v>42</v>
      </c>
      <c r="D154" s="105">
        <v>42</v>
      </c>
      <c r="E154" s="105">
        <v>42</v>
      </c>
      <c r="F154" s="105">
        <v>42</v>
      </c>
      <c r="G154" s="105">
        <v>42</v>
      </c>
      <c r="H154" s="81"/>
      <c r="I154" s="90"/>
      <c r="J154" s="105"/>
      <c r="K154" s="91"/>
      <c r="L154" s="81"/>
      <c r="M154" s="90"/>
      <c r="N154" s="105"/>
      <c r="O154" s="91"/>
      <c r="P154" s="81"/>
      <c r="Q154" s="90"/>
      <c r="R154" s="105"/>
      <c r="S154" s="91"/>
      <c r="T154" s="81"/>
      <c r="U154" s="106">
        <f t="shared" si="10"/>
        <v>0</v>
      </c>
      <c r="V154" s="4">
        <f>C154</f>
        <v>42</v>
      </c>
      <c r="W154" s="4">
        <f t="shared" si="11"/>
        <v>42</v>
      </c>
      <c r="X154" s="4">
        <f t="shared" si="12"/>
        <v>0</v>
      </c>
      <c r="Y154" s="4">
        <f t="shared" si="13"/>
        <v>0</v>
      </c>
      <c r="Z154" s="4">
        <f t="shared" si="14"/>
        <v>0</v>
      </c>
    </row>
    <row r="155" spans="1:26" x14ac:dyDescent="0.35">
      <c r="A155" s="81"/>
      <c r="B155" s="88">
        <v>43973</v>
      </c>
      <c r="C155" s="104">
        <v>43</v>
      </c>
      <c r="D155" s="104">
        <v>43</v>
      </c>
      <c r="E155" s="104">
        <v>43</v>
      </c>
      <c r="F155" s="104">
        <v>43</v>
      </c>
      <c r="G155" s="104">
        <v>43</v>
      </c>
      <c r="H155" s="81"/>
      <c r="I155" s="88"/>
      <c r="J155" s="104"/>
      <c r="K155" s="92"/>
      <c r="L155" s="81"/>
      <c r="M155" s="88"/>
      <c r="N155" s="104"/>
      <c r="O155" s="92"/>
      <c r="P155" s="81"/>
      <c r="Q155" s="88"/>
      <c r="R155" s="104"/>
      <c r="S155" s="92"/>
      <c r="T155" s="81"/>
      <c r="U155" s="106">
        <f t="shared" si="10"/>
        <v>0</v>
      </c>
      <c r="V155" s="4">
        <f>C155</f>
        <v>43</v>
      </c>
      <c r="W155" s="4">
        <f t="shared" si="11"/>
        <v>43</v>
      </c>
      <c r="X155" s="4">
        <f t="shared" si="12"/>
        <v>0</v>
      </c>
      <c r="Y155" s="4">
        <f t="shared" si="13"/>
        <v>0</v>
      </c>
      <c r="Z155" s="4">
        <f t="shared" si="14"/>
        <v>0</v>
      </c>
    </row>
    <row r="156" spans="1:26" x14ac:dyDescent="0.35">
      <c r="A156" s="81"/>
      <c r="B156" s="90">
        <v>43974</v>
      </c>
      <c r="C156" s="105">
        <v>44</v>
      </c>
      <c r="D156" s="105">
        <v>44</v>
      </c>
      <c r="E156" s="105">
        <v>44</v>
      </c>
      <c r="F156" s="105">
        <v>44</v>
      </c>
      <c r="G156" s="105">
        <v>44</v>
      </c>
      <c r="H156" s="81"/>
      <c r="I156" s="90"/>
      <c r="J156" s="105"/>
      <c r="K156" s="91"/>
      <c r="L156" s="81"/>
      <c r="M156" s="90"/>
      <c r="N156" s="105"/>
      <c r="O156" s="91"/>
      <c r="P156" s="81"/>
      <c r="Q156" s="90"/>
      <c r="R156" s="105"/>
      <c r="S156" s="91"/>
      <c r="T156" s="81"/>
      <c r="U156" s="106">
        <f t="shared" si="10"/>
        <v>0</v>
      </c>
      <c r="V156" s="4">
        <f>C156</f>
        <v>44</v>
      </c>
      <c r="W156" s="4">
        <f t="shared" si="11"/>
        <v>44</v>
      </c>
      <c r="X156" s="4">
        <f t="shared" si="12"/>
        <v>0</v>
      </c>
      <c r="Y156" s="4">
        <f t="shared" si="13"/>
        <v>0</v>
      </c>
      <c r="Z156" s="4">
        <f t="shared" si="14"/>
        <v>0</v>
      </c>
    </row>
    <row r="157" spans="1:26" x14ac:dyDescent="0.35">
      <c r="A157" s="81"/>
      <c r="B157" s="88">
        <v>43975</v>
      </c>
      <c r="C157" s="104">
        <v>45</v>
      </c>
      <c r="D157" s="104">
        <v>45</v>
      </c>
      <c r="E157" s="104">
        <v>45</v>
      </c>
      <c r="F157" s="104">
        <v>45</v>
      </c>
      <c r="G157" s="104">
        <v>45</v>
      </c>
      <c r="H157" s="81"/>
      <c r="I157" s="88"/>
      <c r="J157" s="104"/>
      <c r="K157" s="92"/>
      <c r="L157" s="81"/>
      <c r="M157" s="88"/>
      <c r="N157" s="104"/>
      <c r="O157" s="92"/>
      <c r="P157" s="81"/>
      <c r="Q157" s="88"/>
      <c r="R157" s="104"/>
      <c r="S157" s="92"/>
      <c r="T157" s="81"/>
      <c r="U157" s="106">
        <f t="shared" si="10"/>
        <v>0</v>
      </c>
      <c r="V157" s="4">
        <f>C157</f>
        <v>45</v>
      </c>
      <c r="W157" s="4">
        <f t="shared" si="11"/>
        <v>45</v>
      </c>
      <c r="X157" s="4">
        <f t="shared" si="12"/>
        <v>0</v>
      </c>
      <c r="Y157" s="4">
        <f t="shared" si="13"/>
        <v>0</v>
      </c>
      <c r="Z157" s="4">
        <f t="shared" si="14"/>
        <v>0</v>
      </c>
    </row>
    <row r="158" spans="1:26" x14ac:dyDescent="0.35">
      <c r="A158" s="81"/>
      <c r="B158" s="90">
        <v>43976</v>
      </c>
      <c r="C158" s="105">
        <v>46</v>
      </c>
      <c r="D158" s="105">
        <v>46</v>
      </c>
      <c r="E158" s="105">
        <v>46</v>
      </c>
      <c r="F158" s="105">
        <v>46</v>
      </c>
      <c r="G158" s="105">
        <v>46</v>
      </c>
      <c r="H158" s="81"/>
      <c r="I158" s="90"/>
      <c r="J158" s="105"/>
      <c r="K158" s="91"/>
      <c r="L158" s="81"/>
      <c r="M158" s="90"/>
      <c r="N158" s="105"/>
      <c r="O158" s="91"/>
      <c r="P158" s="81"/>
      <c r="Q158" s="90"/>
      <c r="R158" s="105"/>
      <c r="S158" s="91"/>
      <c r="T158" s="81"/>
      <c r="U158" s="106">
        <f t="shared" si="10"/>
        <v>0</v>
      </c>
      <c r="V158" s="4">
        <f>C158</f>
        <v>46</v>
      </c>
      <c r="W158" s="4">
        <f t="shared" si="11"/>
        <v>46</v>
      </c>
      <c r="X158" s="4">
        <f t="shared" si="12"/>
        <v>0</v>
      </c>
      <c r="Y158" s="4">
        <f t="shared" si="13"/>
        <v>0</v>
      </c>
      <c r="Z158" s="4">
        <f t="shared" si="14"/>
        <v>0</v>
      </c>
    </row>
    <row r="159" spans="1:26" x14ac:dyDescent="0.35">
      <c r="A159" s="81"/>
      <c r="B159" s="88">
        <v>43977</v>
      </c>
      <c r="C159" s="104">
        <v>47</v>
      </c>
      <c r="D159" s="104">
        <v>47</v>
      </c>
      <c r="E159" s="104">
        <v>47</v>
      </c>
      <c r="F159" s="104">
        <v>47</v>
      </c>
      <c r="G159" s="104">
        <v>47</v>
      </c>
      <c r="H159" s="81"/>
      <c r="I159" s="88"/>
      <c r="J159" s="104"/>
      <c r="K159" s="92"/>
      <c r="L159" s="81"/>
      <c r="M159" s="88"/>
      <c r="N159" s="104"/>
      <c r="O159" s="92"/>
      <c r="P159" s="81"/>
      <c r="Q159" s="88"/>
      <c r="R159" s="104"/>
      <c r="S159" s="92"/>
      <c r="T159" s="81"/>
      <c r="U159" s="106">
        <f t="shared" si="10"/>
        <v>0</v>
      </c>
      <c r="V159" s="4">
        <f>C159</f>
        <v>47</v>
      </c>
      <c r="W159" s="4">
        <f t="shared" si="11"/>
        <v>47</v>
      </c>
      <c r="X159" s="4">
        <f t="shared" si="12"/>
        <v>0</v>
      </c>
      <c r="Y159" s="4">
        <f t="shared" si="13"/>
        <v>0</v>
      </c>
      <c r="Z159" s="4">
        <f t="shared" si="14"/>
        <v>0</v>
      </c>
    </row>
    <row r="160" spans="1:26" x14ac:dyDescent="0.35">
      <c r="A160" s="81"/>
      <c r="B160" s="90">
        <v>43978</v>
      </c>
      <c r="C160" s="105">
        <v>48</v>
      </c>
      <c r="D160" s="105">
        <v>48</v>
      </c>
      <c r="E160" s="105">
        <v>48</v>
      </c>
      <c r="F160" s="105">
        <v>48</v>
      </c>
      <c r="G160" s="105">
        <v>48</v>
      </c>
      <c r="H160" s="81"/>
      <c r="I160" s="90"/>
      <c r="J160" s="105"/>
      <c r="K160" s="91"/>
      <c r="L160" s="81"/>
      <c r="M160" s="90"/>
      <c r="N160" s="105"/>
      <c r="O160" s="91"/>
      <c r="P160" s="81"/>
      <c r="Q160" s="90"/>
      <c r="R160" s="105"/>
      <c r="S160" s="91"/>
      <c r="T160" s="81"/>
      <c r="U160" s="106">
        <f t="shared" si="10"/>
        <v>0</v>
      </c>
      <c r="V160" s="4">
        <f>C160</f>
        <v>48</v>
      </c>
      <c r="W160" s="4">
        <f t="shared" si="11"/>
        <v>48</v>
      </c>
      <c r="X160" s="4">
        <f t="shared" si="12"/>
        <v>0</v>
      </c>
      <c r="Y160" s="4">
        <f t="shared" si="13"/>
        <v>0</v>
      </c>
      <c r="Z160" s="4">
        <f t="shared" si="14"/>
        <v>0</v>
      </c>
    </row>
    <row r="161" spans="1:26" x14ac:dyDescent="0.35">
      <c r="A161" s="81"/>
      <c r="B161" s="88">
        <v>43979</v>
      </c>
      <c r="C161" s="104">
        <v>49</v>
      </c>
      <c r="D161" s="104">
        <v>49</v>
      </c>
      <c r="E161" s="104">
        <v>49</v>
      </c>
      <c r="F161" s="104">
        <v>49</v>
      </c>
      <c r="G161" s="104">
        <v>49</v>
      </c>
      <c r="H161" s="81"/>
      <c r="I161" s="88"/>
      <c r="J161" s="104"/>
      <c r="K161" s="92"/>
      <c r="L161" s="81"/>
      <c r="M161" s="88"/>
      <c r="N161" s="104"/>
      <c r="O161" s="92"/>
      <c r="P161" s="81"/>
      <c r="Q161" s="88"/>
      <c r="R161" s="104"/>
      <c r="S161" s="92"/>
      <c r="T161" s="81"/>
      <c r="U161" s="106">
        <f t="shared" si="10"/>
        <v>0</v>
      </c>
      <c r="V161" s="4">
        <f>C161</f>
        <v>49</v>
      </c>
      <c r="W161" s="4">
        <f t="shared" si="11"/>
        <v>49</v>
      </c>
      <c r="X161" s="4">
        <f t="shared" si="12"/>
        <v>0</v>
      </c>
      <c r="Y161" s="4">
        <f t="shared" si="13"/>
        <v>0</v>
      </c>
      <c r="Z161" s="4">
        <f t="shared" si="14"/>
        <v>0</v>
      </c>
    </row>
    <row r="162" spans="1:26" x14ac:dyDescent="0.35">
      <c r="A162" s="81"/>
      <c r="B162" s="90">
        <v>43980</v>
      </c>
      <c r="C162" s="105">
        <v>50</v>
      </c>
      <c r="D162" s="105">
        <v>50</v>
      </c>
      <c r="E162" s="105">
        <v>50</v>
      </c>
      <c r="F162" s="105">
        <v>50</v>
      </c>
      <c r="G162" s="105">
        <v>50</v>
      </c>
      <c r="H162" s="81"/>
      <c r="I162" s="90"/>
      <c r="J162" s="105"/>
      <c r="K162" s="91"/>
      <c r="L162" s="81"/>
      <c r="M162" s="90"/>
      <c r="N162" s="105"/>
      <c r="O162" s="91"/>
      <c r="P162" s="81"/>
      <c r="Q162" s="90"/>
      <c r="R162" s="105"/>
      <c r="S162" s="91"/>
      <c r="T162" s="81"/>
      <c r="U162" s="106">
        <f t="shared" si="10"/>
        <v>0</v>
      </c>
      <c r="V162" s="4">
        <f>C162</f>
        <v>50</v>
      </c>
      <c r="W162" s="4">
        <f t="shared" si="11"/>
        <v>50</v>
      </c>
      <c r="X162" s="4">
        <f t="shared" si="12"/>
        <v>0</v>
      </c>
      <c r="Y162" s="4">
        <f t="shared" si="13"/>
        <v>0</v>
      </c>
      <c r="Z162" s="4">
        <f t="shared" si="14"/>
        <v>0</v>
      </c>
    </row>
    <row r="163" spans="1:26" x14ac:dyDescent="0.35">
      <c r="A163" s="81"/>
      <c r="B163" s="88">
        <v>43981</v>
      </c>
      <c r="C163" s="104">
        <v>51</v>
      </c>
      <c r="D163" s="104">
        <v>51</v>
      </c>
      <c r="E163" s="104">
        <v>51</v>
      </c>
      <c r="F163" s="104">
        <v>51</v>
      </c>
      <c r="G163" s="104">
        <v>51</v>
      </c>
      <c r="H163" s="81"/>
      <c r="I163" s="88"/>
      <c r="J163" s="104"/>
      <c r="K163" s="92"/>
      <c r="L163" s="81"/>
      <c r="M163" s="88"/>
      <c r="N163" s="104"/>
      <c r="O163" s="92"/>
      <c r="P163" s="81"/>
      <c r="Q163" s="88"/>
      <c r="R163" s="104"/>
      <c r="S163" s="92"/>
      <c r="T163" s="81"/>
      <c r="U163" s="106">
        <f t="shared" si="10"/>
        <v>0</v>
      </c>
      <c r="V163" s="4">
        <f>C163</f>
        <v>51</v>
      </c>
      <c r="W163" s="4">
        <f t="shared" si="11"/>
        <v>51</v>
      </c>
      <c r="X163" s="4">
        <f t="shared" si="12"/>
        <v>0</v>
      </c>
      <c r="Y163" s="4">
        <f t="shared" si="13"/>
        <v>0</v>
      </c>
      <c r="Z163" s="4">
        <f t="shared" si="14"/>
        <v>0</v>
      </c>
    </row>
    <row r="164" spans="1:26" x14ac:dyDescent="0.35">
      <c r="A164" s="81"/>
      <c r="B164" s="90">
        <v>43982</v>
      </c>
      <c r="C164" s="105">
        <v>52</v>
      </c>
      <c r="D164" s="105">
        <v>52</v>
      </c>
      <c r="E164" s="105">
        <v>52</v>
      </c>
      <c r="F164" s="105">
        <v>52</v>
      </c>
      <c r="G164" s="105">
        <v>52</v>
      </c>
      <c r="H164" s="81"/>
      <c r="I164" s="90"/>
      <c r="J164" s="105"/>
      <c r="K164" s="91"/>
      <c r="L164" s="81"/>
      <c r="M164" s="90"/>
      <c r="N164" s="105"/>
      <c r="O164" s="91"/>
      <c r="P164" s="81"/>
      <c r="Q164" s="90"/>
      <c r="R164" s="105"/>
      <c r="S164" s="91"/>
      <c r="T164" s="81"/>
      <c r="U164" s="106">
        <f t="shared" si="10"/>
        <v>0</v>
      </c>
      <c r="V164" s="4">
        <f>C164</f>
        <v>52</v>
      </c>
      <c r="W164" s="4">
        <f t="shared" si="11"/>
        <v>52</v>
      </c>
      <c r="X164" s="4">
        <f t="shared" si="12"/>
        <v>0</v>
      </c>
      <c r="Y164" s="4">
        <f t="shared" si="13"/>
        <v>0</v>
      </c>
      <c r="Z164" s="4">
        <f t="shared" si="14"/>
        <v>0</v>
      </c>
    </row>
    <row r="165" spans="1:26" x14ac:dyDescent="0.35">
      <c r="A165" s="81"/>
      <c r="B165" s="88">
        <v>43983</v>
      </c>
      <c r="C165" s="104">
        <v>53</v>
      </c>
      <c r="D165" s="104">
        <v>53</v>
      </c>
      <c r="E165" s="104">
        <v>53</v>
      </c>
      <c r="F165" s="104">
        <v>53</v>
      </c>
      <c r="G165" s="104">
        <v>53</v>
      </c>
      <c r="H165" s="81"/>
      <c r="I165" s="88"/>
      <c r="J165" s="104"/>
      <c r="K165" s="92"/>
      <c r="L165" s="81"/>
      <c r="M165" s="88"/>
      <c r="N165" s="104"/>
      <c r="O165" s="92"/>
      <c r="P165" s="81"/>
      <c r="Q165" s="88"/>
      <c r="R165" s="104"/>
      <c r="S165" s="92"/>
      <c r="T165" s="81"/>
      <c r="U165" s="106">
        <f t="shared" si="10"/>
        <v>0</v>
      </c>
      <c r="V165" s="4">
        <f>C165</f>
        <v>53</v>
      </c>
      <c r="W165" s="4">
        <f t="shared" si="11"/>
        <v>53</v>
      </c>
      <c r="X165" s="4">
        <f t="shared" si="12"/>
        <v>0</v>
      </c>
      <c r="Y165" s="4">
        <f t="shared" si="13"/>
        <v>0</v>
      </c>
      <c r="Z165" s="4">
        <f t="shared" si="14"/>
        <v>0</v>
      </c>
    </row>
    <row r="166" spans="1:26" x14ac:dyDescent="0.35">
      <c r="A166" s="81"/>
      <c r="B166" s="90">
        <v>43984</v>
      </c>
      <c r="C166" s="105">
        <v>54</v>
      </c>
      <c r="D166" s="105">
        <v>54</v>
      </c>
      <c r="E166" s="105">
        <v>54</v>
      </c>
      <c r="F166" s="105">
        <v>54</v>
      </c>
      <c r="G166" s="105">
        <v>54</v>
      </c>
      <c r="H166" s="81"/>
      <c r="I166" s="90"/>
      <c r="J166" s="105"/>
      <c r="K166" s="91"/>
      <c r="L166" s="81"/>
      <c r="M166" s="90"/>
      <c r="N166" s="105"/>
      <c r="O166" s="91"/>
      <c r="P166" s="81"/>
      <c r="Q166" s="90"/>
      <c r="R166" s="105"/>
      <c r="S166" s="91"/>
      <c r="T166" s="81"/>
      <c r="U166" s="106">
        <f t="shared" si="10"/>
        <v>0</v>
      </c>
      <c r="V166" s="4">
        <f>C166</f>
        <v>54</v>
      </c>
      <c r="W166" s="4">
        <f t="shared" si="11"/>
        <v>54</v>
      </c>
      <c r="X166" s="4">
        <f t="shared" si="12"/>
        <v>0</v>
      </c>
      <c r="Y166" s="4">
        <f t="shared" si="13"/>
        <v>0</v>
      </c>
      <c r="Z166" s="4">
        <f t="shared" si="14"/>
        <v>0</v>
      </c>
    </row>
    <row r="167" spans="1:26" x14ac:dyDescent="0.35">
      <c r="A167" s="81"/>
      <c r="B167" s="88">
        <v>43985</v>
      </c>
      <c r="C167" s="104">
        <v>55</v>
      </c>
      <c r="D167" s="104">
        <v>55</v>
      </c>
      <c r="E167" s="104">
        <v>55</v>
      </c>
      <c r="F167" s="104">
        <v>55</v>
      </c>
      <c r="G167" s="104">
        <v>55</v>
      </c>
      <c r="H167" s="81"/>
      <c r="I167" s="88"/>
      <c r="J167" s="104"/>
      <c r="K167" s="92"/>
      <c r="L167" s="81"/>
      <c r="M167" s="88"/>
      <c r="N167" s="104"/>
      <c r="O167" s="92"/>
      <c r="P167" s="81"/>
      <c r="Q167" s="88"/>
      <c r="R167" s="104"/>
      <c r="S167" s="92"/>
      <c r="T167" s="81"/>
      <c r="U167" s="106">
        <f t="shared" si="10"/>
        <v>0</v>
      </c>
      <c r="V167" s="4">
        <f>C167</f>
        <v>55</v>
      </c>
      <c r="W167" s="4">
        <f t="shared" si="11"/>
        <v>55</v>
      </c>
      <c r="X167" s="4">
        <f t="shared" si="12"/>
        <v>0</v>
      </c>
      <c r="Y167" s="4">
        <f t="shared" si="13"/>
        <v>0</v>
      </c>
      <c r="Z167" s="4">
        <f t="shared" si="14"/>
        <v>0</v>
      </c>
    </row>
    <row r="168" spans="1:26" x14ac:dyDescent="0.35">
      <c r="A168" s="81"/>
      <c r="B168" s="90">
        <v>43986</v>
      </c>
      <c r="C168" s="105">
        <v>56</v>
      </c>
      <c r="D168" s="105">
        <v>56</v>
      </c>
      <c r="E168" s="105">
        <v>56</v>
      </c>
      <c r="F168" s="105">
        <v>56</v>
      </c>
      <c r="G168" s="105">
        <v>56</v>
      </c>
      <c r="H168" s="81"/>
      <c r="I168" s="90"/>
      <c r="J168" s="105"/>
      <c r="K168" s="91"/>
      <c r="L168" s="81"/>
      <c r="M168" s="90"/>
      <c r="N168" s="105"/>
      <c r="O168" s="91"/>
      <c r="P168" s="81"/>
      <c r="Q168" s="90"/>
      <c r="R168" s="105"/>
      <c r="S168" s="91"/>
      <c r="T168" s="81"/>
      <c r="U168" s="106">
        <f t="shared" si="10"/>
        <v>0</v>
      </c>
      <c r="V168" s="4">
        <f>C168</f>
        <v>56</v>
      </c>
      <c r="W168" s="4">
        <f t="shared" si="11"/>
        <v>56</v>
      </c>
      <c r="X168" s="4">
        <f t="shared" si="12"/>
        <v>0</v>
      </c>
      <c r="Y168" s="4">
        <f t="shared" si="13"/>
        <v>0</v>
      </c>
      <c r="Z168" s="4">
        <f t="shared" si="14"/>
        <v>0</v>
      </c>
    </row>
    <row r="169" spans="1:26" x14ac:dyDescent="0.35">
      <c r="A169" s="81"/>
      <c r="B169" s="88">
        <v>43987</v>
      </c>
      <c r="C169" s="104">
        <v>57</v>
      </c>
      <c r="D169" s="104">
        <v>57</v>
      </c>
      <c r="E169" s="104">
        <v>57</v>
      </c>
      <c r="F169" s="104">
        <v>57</v>
      </c>
      <c r="G169" s="104">
        <v>57</v>
      </c>
      <c r="H169" s="81"/>
      <c r="I169" s="88"/>
      <c r="J169" s="104"/>
      <c r="K169" s="92"/>
      <c r="L169" s="81"/>
      <c r="M169" s="88"/>
      <c r="N169" s="104"/>
      <c r="O169" s="92"/>
      <c r="P169" s="81"/>
      <c r="Q169" s="88"/>
      <c r="R169" s="104"/>
      <c r="S169" s="92"/>
      <c r="T169" s="81"/>
      <c r="U169" s="106">
        <f t="shared" si="10"/>
        <v>0</v>
      </c>
      <c r="V169" s="4">
        <f>C169</f>
        <v>57</v>
      </c>
      <c r="W169" s="4">
        <f t="shared" si="11"/>
        <v>57</v>
      </c>
      <c r="X169" s="4">
        <f t="shared" si="12"/>
        <v>0</v>
      </c>
      <c r="Y169" s="4">
        <f t="shared" si="13"/>
        <v>0</v>
      </c>
      <c r="Z169" s="4">
        <f t="shared" si="14"/>
        <v>0</v>
      </c>
    </row>
    <row r="170" spans="1:26" x14ac:dyDescent="0.35">
      <c r="A170" s="81"/>
      <c r="B170" s="90">
        <v>43988</v>
      </c>
      <c r="C170" s="105">
        <v>58</v>
      </c>
      <c r="D170" s="105">
        <v>58</v>
      </c>
      <c r="E170" s="105">
        <v>58</v>
      </c>
      <c r="F170" s="105">
        <v>58</v>
      </c>
      <c r="G170" s="105">
        <v>58</v>
      </c>
      <c r="H170" s="81"/>
      <c r="I170" s="90"/>
      <c r="J170" s="105"/>
      <c r="K170" s="91"/>
      <c r="L170" s="81"/>
      <c r="M170" s="90"/>
      <c r="N170" s="105"/>
      <c r="O170" s="91"/>
      <c r="P170" s="81"/>
      <c r="Q170" s="90"/>
      <c r="R170" s="105"/>
      <c r="S170" s="91"/>
      <c r="T170" s="81"/>
      <c r="U170" s="106">
        <f t="shared" si="10"/>
        <v>0</v>
      </c>
      <c r="V170" s="4">
        <f>C170</f>
        <v>58</v>
      </c>
      <c r="W170" s="4">
        <f t="shared" si="11"/>
        <v>58</v>
      </c>
      <c r="X170" s="4">
        <f t="shared" si="12"/>
        <v>0</v>
      </c>
      <c r="Y170" s="4">
        <f t="shared" si="13"/>
        <v>0</v>
      </c>
      <c r="Z170" s="4">
        <f t="shared" si="14"/>
        <v>0</v>
      </c>
    </row>
    <row r="171" spans="1:26" x14ac:dyDescent="0.35">
      <c r="A171" s="81"/>
      <c r="B171" s="88">
        <v>43989</v>
      </c>
      <c r="C171" s="104">
        <v>59</v>
      </c>
      <c r="D171" s="104">
        <v>59</v>
      </c>
      <c r="E171" s="104">
        <v>59</v>
      </c>
      <c r="F171" s="104">
        <v>59</v>
      </c>
      <c r="G171" s="104">
        <v>59</v>
      </c>
      <c r="H171" s="81"/>
      <c r="I171" s="88"/>
      <c r="J171" s="104"/>
      <c r="K171" s="92"/>
      <c r="L171" s="81"/>
      <c r="M171" s="88"/>
      <c r="N171" s="104"/>
      <c r="O171" s="92"/>
      <c r="P171" s="81"/>
      <c r="Q171" s="88"/>
      <c r="R171" s="104"/>
      <c r="S171" s="92"/>
      <c r="T171" s="81"/>
      <c r="U171" s="106">
        <f t="shared" si="10"/>
        <v>0</v>
      </c>
      <c r="V171" s="4">
        <f>C171</f>
        <v>59</v>
      </c>
      <c r="W171" s="4">
        <f t="shared" si="11"/>
        <v>59</v>
      </c>
      <c r="X171" s="4">
        <f t="shared" si="12"/>
        <v>0</v>
      </c>
      <c r="Y171" s="4">
        <f t="shared" si="13"/>
        <v>0</v>
      </c>
      <c r="Z171" s="4">
        <f t="shared" si="14"/>
        <v>0</v>
      </c>
    </row>
    <row r="172" spans="1:26" x14ac:dyDescent="0.35">
      <c r="A172" s="81"/>
      <c r="B172" s="90">
        <v>43990</v>
      </c>
      <c r="C172" s="105">
        <v>60</v>
      </c>
      <c r="D172" s="105">
        <v>60</v>
      </c>
      <c r="E172" s="105">
        <v>60</v>
      </c>
      <c r="F172" s="105">
        <v>60</v>
      </c>
      <c r="G172" s="105">
        <v>60</v>
      </c>
      <c r="H172" s="81"/>
      <c r="I172" s="90"/>
      <c r="J172" s="105"/>
      <c r="K172" s="91"/>
      <c r="L172" s="81"/>
      <c r="M172" s="90"/>
      <c r="N172" s="105"/>
      <c r="O172" s="91"/>
      <c r="P172" s="81"/>
      <c r="Q172" s="90"/>
      <c r="R172" s="105"/>
      <c r="S172" s="91"/>
      <c r="T172" s="81"/>
      <c r="U172" s="106">
        <f t="shared" si="10"/>
        <v>0</v>
      </c>
      <c r="V172" s="4">
        <f>C172</f>
        <v>60</v>
      </c>
      <c r="W172" s="4">
        <f t="shared" si="11"/>
        <v>60</v>
      </c>
      <c r="X172" s="4">
        <f t="shared" si="12"/>
        <v>0</v>
      </c>
      <c r="Y172" s="4">
        <f t="shared" si="13"/>
        <v>0</v>
      </c>
      <c r="Z172" s="4">
        <f t="shared" si="14"/>
        <v>0</v>
      </c>
    </row>
    <row r="173" spans="1:26" x14ac:dyDescent="0.35">
      <c r="A173" s="81"/>
      <c r="B173" s="88">
        <v>43991</v>
      </c>
      <c r="C173" s="104">
        <v>61</v>
      </c>
      <c r="D173" s="104">
        <v>61</v>
      </c>
      <c r="E173" s="104">
        <v>61</v>
      </c>
      <c r="F173" s="104">
        <v>61</v>
      </c>
      <c r="G173" s="104">
        <v>61</v>
      </c>
      <c r="H173" s="81"/>
      <c r="I173" s="88"/>
      <c r="J173" s="104"/>
      <c r="K173" s="92"/>
      <c r="L173" s="81"/>
      <c r="M173" s="88"/>
      <c r="N173" s="104"/>
      <c r="O173" s="92"/>
      <c r="P173" s="81"/>
      <c r="Q173" s="88"/>
      <c r="R173" s="104"/>
      <c r="S173" s="92"/>
      <c r="T173" s="81"/>
      <c r="U173" s="106">
        <f t="shared" si="10"/>
        <v>0</v>
      </c>
      <c r="V173" s="4">
        <f>C173</f>
        <v>61</v>
      </c>
      <c r="W173" s="4">
        <f t="shared" si="11"/>
        <v>61</v>
      </c>
      <c r="X173" s="4">
        <f t="shared" si="12"/>
        <v>0</v>
      </c>
      <c r="Y173" s="4">
        <f t="shared" si="13"/>
        <v>0</v>
      </c>
      <c r="Z173" s="4">
        <f t="shared" si="14"/>
        <v>0</v>
      </c>
    </row>
    <row r="174" spans="1:26" x14ac:dyDescent="0.35">
      <c r="A174" s="81"/>
      <c r="B174" s="90">
        <v>43992</v>
      </c>
      <c r="C174" s="105">
        <v>62</v>
      </c>
      <c r="D174" s="105">
        <v>62</v>
      </c>
      <c r="E174" s="105">
        <v>62</v>
      </c>
      <c r="F174" s="105">
        <v>62</v>
      </c>
      <c r="G174" s="105">
        <v>62</v>
      </c>
      <c r="H174" s="81"/>
      <c r="I174" s="90"/>
      <c r="J174" s="105"/>
      <c r="K174" s="91"/>
      <c r="L174" s="81"/>
      <c r="M174" s="90"/>
      <c r="N174" s="105"/>
      <c r="O174" s="91"/>
      <c r="P174" s="81"/>
      <c r="Q174" s="90"/>
      <c r="R174" s="105"/>
      <c r="S174" s="91"/>
      <c r="T174" s="81"/>
      <c r="U174" s="106">
        <f t="shared" si="10"/>
        <v>0</v>
      </c>
      <c r="V174" s="4">
        <f>C174</f>
        <v>62</v>
      </c>
      <c r="W174" s="4">
        <f t="shared" si="11"/>
        <v>62</v>
      </c>
      <c r="X174" s="4">
        <f t="shared" si="12"/>
        <v>0</v>
      </c>
      <c r="Y174" s="4">
        <f t="shared" si="13"/>
        <v>0</v>
      </c>
      <c r="Z174" s="4">
        <f t="shared" si="14"/>
        <v>0</v>
      </c>
    </row>
    <row r="175" spans="1:26" x14ac:dyDescent="0.35">
      <c r="A175" s="81"/>
      <c r="B175" s="88">
        <v>43993</v>
      </c>
      <c r="C175" s="104">
        <v>63</v>
      </c>
      <c r="D175" s="104">
        <v>63</v>
      </c>
      <c r="E175" s="104">
        <v>63</v>
      </c>
      <c r="F175" s="104">
        <v>63</v>
      </c>
      <c r="G175" s="104">
        <v>63</v>
      </c>
      <c r="H175" s="81"/>
      <c r="I175" s="88"/>
      <c r="J175" s="104"/>
      <c r="K175" s="92"/>
      <c r="L175" s="81"/>
      <c r="M175" s="88"/>
      <c r="N175" s="104"/>
      <c r="O175" s="92"/>
      <c r="P175" s="81"/>
      <c r="Q175" s="88"/>
      <c r="R175" s="104"/>
      <c r="S175" s="92"/>
      <c r="T175" s="81"/>
      <c r="U175" s="106">
        <f t="shared" si="10"/>
        <v>0</v>
      </c>
      <c r="V175" s="4">
        <f>C175</f>
        <v>63</v>
      </c>
      <c r="W175" s="4">
        <f t="shared" si="11"/>
        <v>63</v>
      </c>
      <c r="X175" s="4">
        <f t="shared" si="12"/>
        <v>0</v>
      </c>
      <c r="Y175" s="4">
        <f t="shared" si="13"/>
        <v>0</v>
      </c>
      <c r="Z175" s="4">
        <f t="shared" si="14"/>
        <v>0</v>
      </c>
    </row>
    <row r="176" spans="1:26" x14ac:dyDescent="0.35">
      <c r="A176" s="81"/>
      <c r="B176" s="90">
        <v>43994</v>
      </c>
      <c r="C176" s="105">
        <v>64</v>
      </c>
      <c r="D176" s="105">
        <v>64</v>
      </c>
      <c r="E176" s="105">
        <v>64</v>
      </c>
      <c r="F176" s="105">
        <v>64</v>
      </c>
      <c r="G176" s="105">
        <v>64</v>
      </c>
      <c r="H176" s="81"/>
      <c r="I176" s="90"/>
      <c r="J176" s="105"/>
      <c r="K176" s="91"/>
      <c r="L176" s="81"/>
      <c r="M176" s="90"/>
      <c r="N176" s="105"/>
      <c r="O176" s="91"/>
      <c r="P176" s="81"/>
      <c r="Q176" s="90"/>
      <c r="R176" s="105"/>
      <c r="S176" s="91"/>
      <c r="T176" s="81"/>
      <c r="U176" s="106">
        <f t="shared" si="10"/>
        <v>0</v>
      </c>
      <c r="V176" s="4">
        <f>C176</f>
        <v>64</v>
      </c>
      <c r="W176" s="4">
        <f t="shared" si="11"/>
        <v>64</v>
      </c>
      <c r="X176" s="4">
        <f t="shared" si="12"/>
        <v>0</v>
      </c>
      <c r="Y176" s="4">
        <f t="shared" si="13"/>
        <v>0</v>
      </c>
      <c r="Z176" s="4">
        <f t="shared" si="14"/>
        <v>0</v>
      </c>
    </row>
    <row r="177" spans="1:26" x14ac:dyDescent="0.35">
      <c r="A177" s="81"/>
      <c r="B177" s="88">
        <v>43995</v>
      </c>
      <c r="C177" s="104">
        <v>65</v>
      </c>
      <c r="D177" s="104">
        <v>65</v>
      </c>
      <c r="E177" s="104">
        <v>65</v>
      </c>
      <c r="F177" s="104">
        <v>65</v>
      </c>
      <c r="G177" s="104">
        <v>65</v>
      </c>
      <c r="H177" s="81"/>
      <c r="I177" s="88"/>
      <c r="J177" s="104"/>
      <c r="K177" s="92"/>
      <c r="L177" s="81"/>
      <c r="M177" s="88"/>
      <c r="N177" s="104"/>
      <c r="O177" s="92"/>
      <c r="P177" s="81"/>
      <c r="Q177" s="88"/>
      <c r="R177" s="104"/>
      <c r="S177" s="92"/>
      <c r="T177" s="81"/>
      <c r="U177" s="106">
        <f t="shared" si="10"/>
        <v>0</v>
      </c>
      <c r="V177" s="4">
        <f>C177</f>
        <v>65</v>
      </c>
      <c r="W177" s="4">
        <f t="shared" si="11"/>
        <v>65</v>
      </c>
      <c r="X177" s="4">
        <f t="shared" si="12"/>
        <v>0</v>
      </c>
      <c r="Y177" s="4">
        <f t="shared" si="13"/>
        <v>0</v>
      </c>
      <c r="Z177" s="4">
        <f t="shared" si="14"/>
        <v>0</v>
      </c>
    </row>
    <row r="178" spans="1:26" x14ac:dyDescent="0.35">
      <c r="A178" s="81"/>
      <c r="B178" s="90">
        <v>43996</v>
      </c>
      <c r="C178" s="105">
        <v>66</v>
      </c>
      <c r="D178" s="105">
        <v>66</v>
      </c>
      <c r="E178" s="105">
        <v>66</v>
      </c>
      <c r="F178" s="105">
        <v>66</v>
      </c>
      <c r="G178" s="105">
        <v>66</v>
      </c>
      <c r="H178" s="81"/>
      <c r="I178" s="90"/>
      <c r="J178" s="105"/>
      <c r="K178" s="91"/>
      <c r="L178" s="81"/>
      <c r="M178" s="90"/>
      <c r="N178" s="105"/>
      <c r="O178" s="91"/>
      <c r="P178" s="81"/>
      <c r="Q178" s="90"/>
      <c r="R178" s="105"/>
      <c r="S178" s="91"/>
      <c r="T178" s="81"/>
      <c r="U178" s="106">
        <f t="shared" si="10"/>
        <v>0</v>
      </c>
      <c r="V178" s="4">
        <f>C178</f>
        <v>66</v>
      </c>
      <c r="W178" s="4">
        <f t="shared" si="11"/>
        <v>66</v>
      </c>
      <c r="X178" s="4">
        <f t="shared" si="12"/>
        <v>0</v>
      </c>
      <c r="Y178" s="4">
        <f t="shared" si="13"/>
        <v>0</v>
      </c>
      <c r="Z178" s="4">
        <f t="shared" si="14"/>
        <v>0</v>
      </c>
    </row>
    <row r="179" spans="1:26" x14ac:dyDescent="0.35">
      <c r="A179" s="81"/>
      <c r="B179" s="88">
        <v>43997</v>
      </c>
      <c r="C179" s="104">
        <v>67</v>
      </c>
      <c r="D179" s="104">
        <v>67</v>
      </c>
      <c r="E179" s="104">
        <v>67</v>
      </c>
      <c r="F179" s="104">
        <v>67</v>
      </c>
      <c r="G179" s="104">
        <v>67</v>
      </c>
      <c r="H179" s="81"/>
      <c r="I179" s="88"/>
      <c r="J179" s="104"/>
      <c r="K179" s="92"/>
      <c r="L179" s="81"/>
      <c r="M179" s="88"/>
      <c r="N179" s="104"/>
      <c r="O179" s="92"/>
      <c r="P179" s="81"/>
      <c r="Q179" s="88"/>
      <c r="R179" s="104"/>
      <c r="S179" s="92"/>
      <c r="T179" s="81"/>
      <c r="U179" s="106">
        <f t="shared" si="10"/>
        <v>0</v>
      </c>
      <c r="V179" s="4">
        <f>C179</f>
        <v>67</v>
      </c>
      <c r="W179" s="4">
        <f t="shared" si="11"/>
        <v>67</v>
      </c>
      <c r="X179" s="4">
        <f t="shared" si="12"/>
        <v>0</v>
      </c>
      <c r="Y179" s="4">
        <f t="shared" si="13"/>
        <v>0</v>
      </c>
      <c r="Z179" s="4">
        <f t="shared" si="14"/>
        <v>0</v>
      </c>
    </row>
    <row r="180" spans="1:26" x14ac:dyDescent="0.35">
      <c r="A180" s="81"/>
      <c r="B180" s="90">
        <v>43998</v>
      </c>
      <c r="C180" s="105">
        <v>68</v>
      </c>
      <c r="D180" s="105">
        <v>68</v>
      </c>
      <c r="E180" s="105">
        <v>68</v>
      </c>
      <c r="F180" s="105">
        <v>68</v>
      </c>
      <c r="G180" s="105">
        <v>68</v>
      </c>
      <c r="H180" s="81"/>
      <c r="I180" s="90"/>
      <c r="J180" s="105"/>
      <c r="K180" s="91"/>
      <c r="L180" s="81"/>
      <c r="M180" s="90"/>
      <c r="N180" s="105"/>
      <c r="O180" s="91"/>
      <c r="P180" s="81"/>
      <c r="Q180" s="90"/>
      <c r="R180" s="105"/>
      <c r="S180" s="91"/>
      <c r="T180" s="81"/>
      <c r="U180" s="106">
        <f t="shared" si="10"/>
        <v>0</v>
      </c>
      <c r="V180" s="4">
        <f>C180</f>
        <v>68</v>
      </c>
      <c r="W180" s="4">
        <f t="shared" si="11"/>
        <v>68</v>
      </c>
      <c r="X180" s="4">
        <f t="shared" si="12"/>
        <v>0</v>
      </c>
      <c r="Y180" s="4">
        <f t="shared" si="13"/>
        <v>0</v>
      </c>
      <c r="Z180" s="4">
        <f t="shared" si="14"/>
        <v>0</v>
      </c>
    </row>
    <row r="181" spans="1:26" x14ac:dyDescent="0.35">
      <c r="A181" s="81"/>
      <c r="B181" s="88">
        <v>43999</v>
      </c>
      <c r="C181" s="104">
        <v>69</v>
      </c>
      <c r="D181" s="104">
        <v>69</v>
      </c>
      <c r="E181" s="104">
        <v>69</v>
      </c>
      <c r="F181" s="104">
        <v>69</v>
      </c>
      <c r="G181" s="104">
        <v>69</v>
      </c>
      <c r="H181" s="81"/>
      <c r="I181" s="88"/>
      <c r="J181" s="104"/>
      <c r="K181" s="92"/>
      <c r="L181" s="81"/>
      <c r="M181" s="88"/>
      <c r="N181" s="104"/>
      <c r="O181" s="92"/>
      <c r="P181" s="81"/>
      <c r="Q181" s="88"/>
      <c r="R181" s="104"/>
      <c r="S181" s="92"/>
      <c r="T181" s="81"/>
      <c r="U181" s="106">
        <f t="shared" si="10"/>
        <v>0</v>
      </c>
      <c r="V181" s="4">
        <f>C181</f>
        <v>69</v>
      </c>
      <c r="W181" s="4">
        <f t="shared" si="11"/>
        <v>69</v>
      </c>
      <c r="X181" s="4">
        <f t="shared" si="12"/>
        <v>0</v>
      </c>
      <c r="Y181" s="4">
        <f t="shared" si="13"/>
        <v>0</v>
      </c>
      <c r="Z181" s="4">
        <f t="shared" si="14"/>
        <v>0</v>
      </c>
    </row>
    <row r="182" spans="1:26" x14ac:dyDescent="0.35">
      <c r="A182" s="81"/>
      <c r="B182" s="90">
        <v>44000</v>
      </c>
      <c r="C182" s="105">
        <v>70</v>
      </c>
      <c r="D182" s="105">
        <v>70</v>
      </c>
      <c r="E182" s="105">
        <v>70</v>
      </c>
      <c r="F182" s="105">
        <v>70</v>
      </c>
      <c r="G182" s="105">
        <v>70</v>
      </c>
      <c r="H182" s="81"/>
      <c r="I182" s="90"/>
      <c r="J182" s="105"/>
      <c r="K182" s="91"/>
      <c r="L182" s="81"/>
      <c r="M182" s="90"/>
      <c r="N182" s="105"/>
      <c r="O182" s="91"/>
      <c r="P182" s="81"/>
      <c r="Q182" s="90"/>
      <c r="R182" s="105"/>
      <c r="S182" s="91"/>
      <c r="T182" s="81"/>
      <c r="U182" s="106">
        <f t="shared" si="10"/>
        <v>0</v>
      </c>
      <c r="V182" s="4">
        <f>C182</f>
        <v>70</v>
      </c>
      <c r="W182" s="4">
        <f t="shared" si="11"/>
        <v>70</v>
      </c>
      <c r="X182" s="4">
        <f t="shared" si="12"/>
        <v>0</v>
      </c>
      <c r="Y182" s="4">
        <f t="shared" si="13"/>
        <v>0</v>
      </c>
      <c r="Z182" s="4">
        <f t="shared" si="14"/>
        <v>0</v>
      </c>
    </row>
    <row r="183" spans="1:26" x14ac:dyDescent="0.35">
      <c r="A183" s="81"/>
      <c r="B183" s="88">
        <v>44001</v>
      </c>
      <c r="C183" s="104">
        <v>71</v>
      </c>
      <c r="D183" s="104">
        <v>71</v>
      </c>
      <c r="E183" s="104">
        <v>71</v>
      </c>
      <c r="F183" s="104">
        <v>71</v>
      </c>
      <c r="G183" s="104">
        <v>71</v>
      </c>
      <c r="H183" s="81"/>
      <c r="I183" s="88"/>
      <c r="J183" s="104"/>
      <c r="K183" s="92"/>
      <c r="L183" s="81"/>
      <c r="M183" s="88"/>
      <c r="N183" s="104"/>
      <c r="O183" s="92"/>
      <c r="P183" s="81"/>
      <c r="Q183" s="88"/>
      <c r="R183" s="104"/>
      <c r="S183" s="92"/>
      <c r="T183" s="81"/>
      <c r="U183" s="106">
        <f t="shared" si="10"/>
        <v>0</v>
      </c>
      <c r="V183" s="4">
        <f>C183</f>
        <v>71</v>
      </c>
      <c r="W183" s="4">
        <f t="shared" si="11"/>
        <v>71</v>
      </c>
      <c r="X183" s="4">
        <f t="shared" si="12"/>
        <v>0</v>
      </c>
      <c r="Y183" s="4">
        <f t="shared" si="13"/>
        <v>0</v>
      </c>
      <c r="Z183" s="4">
        <f t="shared" si="14"/>
        <v>0</v>
      </c>
    </row>
    <row r="184" spans="1:26" x14ac:dyDescent="0.35">
      <c r="A184" s="81"/>
      <c r="B184" s="90">
        <v>44002</v>
      </c>
      <c r="C184" s="105">
        <v>72</v>
      </c>
      <c r="D184" s="105">
        <v>72</v>
      </c>
      <c r="E184" s="105">
        <v>72</v>
      </c>
      <c r="F184" s="105">
        <v>72</v>
      </c>
      <c r="G184" s="105">
        <v>72</v>
      </c>
      <c r="H184" s="81"/>
      <c r="I184" s="90"/>
      <c r="J184" s="105"/>
      <c r="K184" s="91"/>
      <c r="L184" s="81"/>
      <c r="M184" s="90"/>
      <c r="N184" s="105"/>
      <c r="O184" s="91"/>
      <c r="P184" s="81"/>
      <c r="Q184" s="90"/>
      <c r="R184" s="105"/>
      <c r="S184" s="91"/>
      <c r="T184" s="81"/>
      <c r="U184" s="106">
        <f t="shared" si="10"/>
        <v>0</v>
      </c>
      <c r="V184" s="4">
        <f>C184</f>
        <v>72</v>
      </c>
      <c r="W184" s="4">
        <f t="shared" si="11"/>
        <v>72</v>
      </c>
      <c r="X184" s="4">
        <f t="shared" si="12"/>
        <v>0</v>
      </c>
      <c r="Y184" s="4">
        <f t="shared" si="13"/>
        <v>0</v>
      </c>
      <c r="Z184" s="4">
        <f t="shared" si="14"/>
        <v>0</v>
      </c>
    </row>
    <row r="185" spans="1:26" x14ac:dyDescent="0.35">
      <c r="A185" s="81"/>
      <c r="B185" s="88">
        <v>44003</v>
      </c>
      <c r="C185" s="104">
        <v>73</v>
      </c>
      <c r="D185" s="104">
        <v>73</v>
      </c>
      <c r="E185" s="104">
        <v>73</v>
      </c>
      <c r="F185" s="104">
        <v>73</v>
      </c>
      <c r="G185" s="104">
        <v>73</v>
      </c>
      <c r="H185" s="81"/>
      <c r="I185" s="88"/>
      <c r="J185" s="104"/>
      <c r="K185" s="92"/>
      <c r="L185" s="81"/>
      <c r="M185" s="88"/>
      <c r="N185" s="104"/>
      <c r="O185" s="92"/>
      <c r="P185" s="81"/>
      <c r="Q185" s="88"/>
      <c r="R185" s="104"/>
      <c r="S185" s="92"/>
      <c r="T185" s="81"/>
      <c r="U185" s="106">
        <f t="shared" si="10"/>
        <v>0</v>
      </c>
      <c r="V185" s="4">
        <f>C185</f>
        <v>73</v>
      </c>
      <c r="W185" s="4">
        <f t="shared" si="11"/>
        <v>73</v>
      </c>
      <c r="X185" s="4">
        <f t="shared" si="12"/>
        <v>0</v>
      </c>
      <c r="Y185" s="4">
        <f t="shared" si="13"/>
        <v>0</v>
      </c>
      <c r="Z185" s="4">
        <f t="shared" si="14"/>
        <v>0</v>
      </c>
    </row>
    <row r="186" spans="1:26" x14ac:dyDescent="0.35">
      <c r="A186" s="81"/>
      <c r="B186" s="90">
        <v>44004</v>
      </c>
      <c r="C186" s="105">
        <v>74</v>
      </c>
      <c r="D186" s="105">
        <v>74</v>
      </c>
      <c r="E186" s="105">
        <v>74</v>
      </c>
      <c r="F186" s="105">
        <v>74</v>
      </c>
      <c r="G186" s="105">
        <v>74</v>
      </c>
      <c r="H186" s="81"/>
      <c r="I186" s="90"/>
      <c r="J186" s="105"/>
      <c r="K186" s="91"/>
      <c r="L186" s="81"/>
      <c r="M186" s="90"/>
      <c r="N186" s="105"/>
      <c r="O186" s="91"/>
      <c r="P186" s="81"/>
      <c r="Q186" s="90"/>
      <c r="R186" s="105"/>
      <c r="S186" s="91"/>
      <c r="T186" s="81"/>
      <c r="U186" s="106">
        <f t="shared" si="10"/>
        <v>0</v>
      </c>
      <c r="V186" s="4">
        <f>C186</f>
        <v>74</v>
      </c>
      <c r="W186" s="4">
        <f t="shared" si="11"/>
        <v>74</v>
      </c>
      <c r="X186" s="4">
        <f t="shared" si="12"/>
        <v>0</v>
      </c>
      <c r="Y186" s="4">
        <f t="shared" si="13"/>
        <v>0</v>
      </c>
      <c r="Z186" s="4">
        <f t="shared" si="14"/>
        <v>0</v>
      </c>
    </row>
    <row r="187" spans="1:26" x14ac:dyDescent="0.35">
      <c r="A187" s="81"/>
      <c r="B187" s="88">
        <v>44005</v>
      </c>
      <c r="C187" s="104">
        <v>75</v>
      </c>
      <c r="D187" s="104">
        <v>75</v>
      </c>
      <c r="E187" s="104">
        <v>75</v>
      </c>
      <c r="F187" s="104">
        <v>75</v>
      </c>
      <c r="G187" s="104">
        <v>75</v>
      </c>
      <c r="H187" s="81"/>
      <c r="I187" s="88"/>
      <c r="J187" s="104"/>
      <c r="K187" s="92"/>
      <c r="L187" s="81"/>
      <c r="M187" s="88"/>
      <c r="N187" s="104"/>
      <c r="O187" s="92"/>
      <c r="P187" s="81"/>
      <c r="Q187" s="88"/>
      <c r="R187" s="104"/>
      <c r="S187" s="92"/>
      <c r="T187" s="81"/>
      <c r="U187" s="106">
        <f t="shared" si="10"/>
        <v>0</v>
      </c>
      <c r="V187" s="4">
        <f>C187</f>
        <v>75</v>
      </c>
      <c r="W187" s="4">
        <f t="shared" si="11"/>
        <v>75</v>
      </c>
      <c r="X187" s="4">
        <f t="shared" si="12"/>
        <v>0</v>
      </c>
      <c r="Y187" s="4">
        <f t="shared" si="13"/>
        <v>0</v>
      </c>
      <c r="Z187" s="4">
        <f t="shared" si="14"/>
        <v>0</v>
      </c>
    </row>
    <row r="188" spans="1:26" x14ac:dyDescent="0.35">
      <c r="A188" s="81"/>
      <c r="B188" s="90">
        <v>44006</v>
      </c>
      <c r="C188" s="105">
        <v>76</v>
      </c>
      <c r="D188" s="105">
        <v>76</v>
      </c>
      <c r="E188" s="105">
        <v>76</v>
      </c>
      <c r="F188" s="105">
        <v>76</v>
      </c>
      <c r="G188" s="105">
        <v>76</v>
      </c>
      <c r="H188" s="81"/>
      <c r="I188" s="90"/>
      <c r="J188" s="105"/>
      <c r="K188" s="91"/>
      <c r="L188" s="81"/>
      <c r="M188" s="90"/>
      <c r="N188" s="105"/>
      <c r="O188" s="91"/>
      <c r="P188" s="81"/>
      <c r="Q188" s="90"/>
      <c r="R188" s="105"/>
      <c r="S188" s="91"/>
      <c r="T188" s="81"/>
      <c r="U188" s="106">
        <f t="shared" si="10"/>
        <v>0</v>
      </c>
      <c r="V188" s="4">
        <f>C188</f>
        <v>76</v>
      </c>
      <c r="W188" s="4">
        <f t="shared" si="11"/>
        <v>76</v>
      </c>
      <c r="X188" s="4">
        <f t="shared" si="12"/>
        <v>0</v>
      </c>
      <c r="Y188" s="4">
        <f t="shared" si="13"/>
        <v>0</v>
      </c>
      <c r="Z188" s="4">
        <f t="shared" si="14"/>
        <v>0</v>
      </c>
    </row>
    <row r="189" spans="1:26" x14ac:dyDescent="0.35">
      <c r="A189" s="81"/>
      <c r="B189" s="88">
        <v>44007</v>
      </c>
      <c r="C189" s="104">
        <v>77</v>
      </c>
      <c r="D189" s="104">
        <v>77</v>
      </c>
      <c r="E189" s="104">
        <v>77</v>
      </c>
      <c r="F189" s="104">
        <v>77</v>
      </c>
      <c r="G189" s="104">
        <v>77</v>
      </c>
      <c r="H189" s="81"/>
      <c r="I189" s="88"/>
      <c r="J189" s="104"/>
      <c r="K189" s="92"/>
      <c r="L189" s="81"/>
      <c r="M189" s="88"/>
      <c r="N189" s="104"/>
      <c r="O189" s="92"/>
      <c r="P189" s="81"/>
      <c r="Q189" s="88"/>
      <c r="R189" s="104"/>
      <c r="S189" s="92"/>
      <c r="T189" s="81"/>
      <c r="U189" s="106">
        <f t="shared" si="10"/>
        <v>0</v>
      </c>
      <c r="V189" s="4">
        <f>C189</f>
        <v>77</v>
      </c>
      <c r="W189" s="4">
        <f t="shared" si="11"/>
        <v>77</v>
      </c>
      <c r="X189" s="4">
        <f t="shared" si="12"/>
        <v>0</v>
      </c>
      <c r="Y189" s="4">
        <f t="shared" si="13"/>
        <v>0</v>
      </c>
      <c r="Z189" s="4">
        <f t="shared" si="14"/>
        <v>0</v>
      </c>
    </row>
    <row r="190" spans="1:26" x14ac:dyDescent="0.35">
      <c r="A190" s="81"/>
      <c r="B190" s="90">
        <v>44008</v>
      </c>
      <c r="C190" s="105">
        <v>78</v>
      </c>
      <c r="D190" s="105">
        <v>78</v>
      </c>
      <c r="E190" s="105">
        <v>78</v>
      </c>
      <c r="F190" s="105">
        <v>78</v>
      </c>
      <c r="G190" s="105">
        <v>78</v>
      </c>
      <c r="H190" s="81"/>
      <c r="I190" s="90"/>
      <c r="J190" s="105"/>
      <c r="K190" s="91"/>
      <c r="L190" s="81"/>
      <c r="M190" s="90"/>
      <c r="N190" s="105"/>
      <c r="O190" s="91"/>
      <c r="P190" s="81"/>
      <c r="Q190" s="90"/>
      <c r="R190" s="105"/>
      <c r="S190" s="91"/>
      <c r="T190" s="81"/>
      <c r="U190" s="106">
        <f t="shared" si="10"/>
        <v>0</v>
      </c>
      <c r="V190" s="4">
        <f>C190</f>
        <v>78</v>
      </c>
      <c r="W190" s="4">
        <f t="shared" si="11"/>
        <v>78</v>
      </c>
      <c r="X190" s="4">
        <f t="shared" si="12"/>
        <v>0</v>
      </c>
      <c r="Y190" s="4">
        <f t="shared" si="13"/>
        <v>0</v>
      </c>
      <c r="Z190" s="4">
        <f t="shared" si="14"/>
        <v>0</v>
      </c>
    </row>
    <row r="191" spans="1:26" x14ac:dyDescent="0.35">
      <c r="A191" s="81"/>
      <c r="B191" s="88">
        <v>44009</v>
      </c>
      <c r="C191" s="104">
        <v>79</v>
      </c>
      <c r="D191" s="104">
        <v>79</v>
      </c>
      <c r="E191" s="104">
        <v>79</v>
      </c>
      <c r="F191" s="104">
        <v>79</v>
      </c>
      <c r="G191" s="104">
        <v>79</v>
      </c>
      <c r="H191" s="81"/>
      <c r="I191" s="88"/>
      <c r="J191" s="104"/>
      <c r="K191" s="92"/>
      <c r="L191" s="81"/>
      <c r="M191" s="88"/>
      <c r="N191" s="104"/>
      <c r="O191" s="92"/>
      <c r="P191" s="81"/>
      <c r="Q191" s="88"/>
      <c r="R191" s="104"/>
      <c r="S191" s="92"/>
      <c r="T191" s="81"/>
      <c r="U191" s="106">
        <f t="shared" si="10"/>
        <v>0</v>
      </c>
      <c r="V191" s="4">
        <f>C191</f>
        <v>79</v>
      </c>
      <c r="W191" s="4">
        <f t="shared" si="11"/>
        <v>79</v>
      </c>
      <c r="X191" s="4">
        <f t="shared" si="12"/>
        <v>0</v>
      </c>
      <c r="Y191" s="4">
        <f t="shared" si="13"/>
        <v>0</v>
      </c>
      <c r="Z191" s="4">
        <f t="shared" si="14"/>
        <v>0</v>
      </c>
    </row>
    <row r="192" spans="1:26" x14ac:dyDescent="0.35">
      <c r="A192" s="81"/>
      <c r="B192" s="90">
        <v>44010</v>
      </c>
      <c r="C192" s="105">
        <v>80</v>
      </c>
      <c r="D192" s="105">
        <v>80</v>
      </c>
      <c r="E192" s="105">
        <v>80</v>
      </c>
      <c r="F192" s="105">
        <v>80</v>
      </c>
      <c r="G192" s="105">
        <v>80</v>
      </c>
      <c r="H192" s="81"/>
      <c r="I192" s="90"/>
      <c r="J192" s="105"/>
      <c r="K192" s="91"/>
      <c r="L192" s="81"/>
      <c r="M192" s="90"/>
      <c r="N192" s="105"/>
      <c r="O192" s="91"/>
      <c r="P192" s="81"/>
      <c r="Q192" s="90"/>
      <c r="R192" s="105"/>
      <c r="S192" s="91"/>
      <c r="T192" s="81"/>
      <c r="U192" s="106">
        <f t="shared" si="10"/>
        <v>0</v>
      </c>
      <c r="V192" s="4">
        <f>C192</f>
        <v>80</v>
      </c>
      <c r="W192" s="4">
        <f t="shared" si="11"/>
        <v>80</v>
      </c>
      <c r="X192" s="4">
        <f t="shared" si="12"/>
        <v>0</v>
      </c>
      <c r="Y192" s="4">
        <f t="shared" si="13"/>
        <v>0</v>
      </c>
      <c r="Z192" s="4">
        <f t="shared" si="14"/>
        <v>0</v>
      </c>
    </row>
    <row r="193" spans="1:26" x14ac:dyDescent="0.35">
      <c r="A193" s="81"/>
      <c r="B193" s="88">
        <v>44011</v>
      </c>
      <c r="C193" s="104">
        <v>81</v>
      </c>
      <c r="D193" s="104">
        <v>81</v>
      </c>
      <c r="E193" s="104">
        <v>81</v>
      </c>
      <c r="F193" s="104">
        <v>81</v>
      </c>
      <c r="G193" s="104">
        <v>81</v>
      </c>
      <c r="H193" s="81"/>
      <c r="I193" s="88"/>
      <c r="J193" s="104"/>
      <c r="K193" s="92"/>
      <c r="L193" s="81"/>
      <c r="M193" s="88"/>
      <c r="N193" s="104"/>
      <c r="O193" s="92"/>
      <c r="P193" s="81"/>
      <c r="Q193" s="88"/>
      <c r="R193" s="104"/>
      <c r="S193" s="92"/>
      <c r="T193" s="81"/>
      <c r="U193" s="106">
        <f t="shared" si="10"/>
        <v>0</v>
      </c>
      <c r="V193" s="4">
        <f>C193</f>
        <v>81</v>
      </c>
      <c r="W193" s="4">
        <f t="shared" si="11"/>
        <v>81</v>
      </c>
      <c r="X193" s="4">
        <f t="shared" si="12"/>
        <v>0</v>
      </c>
      <c r="Y193" s="4">
        <f t="shared" si="13"/>
        <v>0</v>
      </c>
      <c r="Z193" s="4">
        <f t="shared" si="14"/>
        <v>0</v>
      </c>
    </row>
    <row r="194" spans="1:26" x14ac:dyDescent="0.35">
      <c r="A194" s="81"/>
      <c r="B194" s="90">
        <v>44012</v>
      </c>
      <c r="C194" s="105">
        <v>82</v>
      </c>
      <c r="D194" s="105">
        <v>82</v>
      </c>
      <c r="E194" s="105">
        <v>82</v>
      </c>
      <c r="F194" s="105">
        <v>82</v>
      </c>
      <c r="G194" s="105">
        <v>82</v>
      </c>
      <c r="H194" s="81"/>
      <c r="I194" s="90"/>
      <c r="J194" s="105"/>
      <c r="K194" s="91"/>
      <c r="L194" s="81"/>
      <c r="M194" s="90"/>
      <c r="N194" s="105"/>
      <c r="O194" s="91"/>
      <c r="P194" s="81"/>
      <c r="Q194" s="90"/>
      <c r="R194" s="105"/>
      <c r="S194" s="91"/>
      <c r="T194" s="81"/>
      <c r="U194" s="106">
        <f t="shared" si="10"/>
        <v>0</v>
      </c>
      <c r="V194" s="4">
        <f>C194</f>
        <v>82</v>
      </c>
      <c r="W194" s="4">
        <f t="shared" si="11"/>
        <v>82</v>
      </c>
      <c r="X194" s="4">
        <f t="shared" si="12"/>
        <v>0</v>
      </c>
      <c r="Y194" s="4">
        <f t="shared" si="13"/>
        <v>0</v>
      </c>
      <c r="Z194" s="4">
        <f t="shared" si="14"/>
        <v>0</v>
      </c>
    </row>
    <row r="195" spans="1:26" x14ac:dyDescent="0.35">
      <c r="A195" s="81"/>
      <c r="B195" s="88">
        <v>44013</v>
      </c>
      <c r="C195" s="104">
        <v>83</v>
      </c>
      <c r="D195" s="104">
        <v>83</v>
      </c>
      <c r="E195" s="104">
        <v>83</v>
      </c>
      <c r="F195" s="104">
        <v>83</v>
      </c>
      <c r="G195" s="104">
        <v>83</v>
      </c>
      <c r="H195" s="81"/>
      <c r="I195" s="88"/>
      <c r="J195" s="104"/>
      <c r="K195" s="92"/>
      <c r="L195" s="81"/>
      <c r="M195" s="88"/>
      <c r="N195" s="104"/>
      <c r="O195" s="92"/>
      <c r="P195" s="81"/>
      <c r="Q195" s="88"/>
      <c r="R195" s="104"/>
      <c r="S195" s="92"/>
      <c r="T195" s="81"/>
      <c r="U195" s="106">
        <f t="shared" si="10"/>
        <v>0</v>
      </c>
      <c r="V195" s="4">
        <f>C195</f>
        <v>83</v>
      </c>
      <c r="W195" s="4">
        <f t="shared" si="11"/>
        <v>83</v>
      </c>
      <c r="X195" s="4">
        <f t="shared" si="12"/>
        <v>0</v>
      </c>
      <c r="Y195" s="4">
        <f t="shared" si="13"/>
        <v>0</v>
      </c>
      <c r="Z195" s="4">
        <f t="shared" si="14"/>
        <v>0</v>
      </c>
    </row>
    <row r="196" spans="1:26" x14ac:dyDescent="0.35">
      <c r="A196" s="81"/>
      <c r="B196" s="90">
        <v>44014</v>
      </c>
      <c r="C196" s="105">
        <v>84</v>
      </c>
      <c r="D196" s="105">
        <v>84</v>
      </c>
      <c r="E196" s="105">
        <v>84</v>
      </c>
      <c r="F196" s="105">
        <v>84</v>
      </c>
      <c r="G196" s="105">
        <v>84</v>
      </c>
      <c r="H196" s="81"/>
      <c r="I196" s="90"/>
      <c r="J196" s="105"/>
      <c r="K196" s="91"/>
      <c r="L196" s="81"/>
      <c r="M196" s="90"/>
      <c r="N196" s="105"/>
      <c r="O196" s="91"/>
      <c r="P196" s="81"/>
      <c r="Q196" s="90"/>
      <c r="R196" s="105"/>
      <c r="S196" s="91"/>
      <c r="T196" s="81"/>
      <c r="U196" s="106">
        <f t="shared" si="10"/>
        <v>0</v>
      </c>
      <c r="V196" s="4">
        <f>C196</f>
        <v>84</v>
      </c>
      <c r="W196" s="4">
        <f t="shared" si="11"/>
        <v>84</v>
      </c>
      <c r="X196" s="4">
        <f t="shared" si="12"/>
        <v>0</v>
      </c>
      <c r="Y196" s="4">
        <f t="shared" si="13"/>
        <v>0</v>
      </c>
      <c r="Z196" s="4">
        <f t="shared" si="14"/>
        <v>0</v>
      </c>
    </row>
    <row r="197" spans="1:26" x14ac:dyDescent="0.35">
      <c r="A197" s="81"/>
      <c r="B197" s="88">
        <v>44015</v>
      </c>
      <c r="C197" s="104">
        <v>85</v>
      </c>
      <c r="D197" s="104">
        <v>85</v>
      </c>
      <c r="E197" s="104">
        <v>85</v>
      </c>
      <c r="F197" s="104">
        <v>85</v>
      </c>
      <c r="G197" s="104">
        <v>85</v>
      </c>
      <c r="H197" s="81"/>
      <c r="I197" s="88"/>
      <c r="J197" s="104"/>
      <c r="K197" s="92"/>
      <c r="L197" s="81"/>
      <c r="M197" s="88"/>
      <c r="N197" s="104"/>
      <c r="O197" s="92"/>
      <c r="P197" s="81"/>
      <c r="Q197" s="88"/>
      <c r="R197" s="104"/>
      <c r="S197" s="92"/>
      <c r="T197" s="81"/>
      <c r="U197" s="106">
        <f t="shared" si="10"/>
        <v>0</v>
      </c>
      <c r="V197" s="4">
        <f>C197</f>
        <v>85</v>
      </c>
      <c r="W197" s="4">
        <f t="shared" si="11"/>
        <v>85</v>
      </c>
      <c r="X197" s="4">
        <f t="shared" si="12"/>
        <v>0</v>
      </c>
      <c r="Y197" s="4">
        <f t="shared" si="13"/>
        <v>0</v>
      </c>
      <c r="Z197" s="4">
        <f t="shared" si="14"/>
        <v>0</v>
      </c>
    </row>
    <row r="198" spans="1:26" x14ac:dyDescent="0.35">
      <c r="A198" s="81"/>
      <c r="B198" s="90">
        <v>44016</v>
      </c>
      <c r="C198" s="105">
        <v>86</v>
      </c>
      <c r="D198" s="105">
        <v>86</v>
      </c>
      <c r="E198" s="105">
        <v>86</v>
      </c>
      <c r="F198" s="105">
        <v>86</v>
      </c>
      <c r="G198" s="105">
        <v>86</v>
      </c>
      <c r="H198" s="81"/>
      <c r="I198" s="90"/>
      <c r="J198" s="105"/>
      <c r="K198" s="91"/>
      <c r="L198" s="81"/>
      <c r="M198" s="90"/>
      <c r="N198" s="105"/>
      <c r="O198" s="91"/>
      <c r="P198" s="81"/>
      <c r="Q198" s="90"/>
      <c r="R198" s="105"/>
      <c r="S198" s="91"/>
      <c r="T198" s="81"/>
      <c r="U198" s="106">
        <f t="shared" si="10"/>
        <v>0</v>
      </c>
      <c r="V198" s="4">
        <f>C198</f>
        <v>86</v>
      </c>
      <c r="W198" s="4">
        <f t="shared" si="11"/>
        <v>86</v>
      </c>
      <c r="X198" s="4">
        <f t="shared" si="12"/>
        <v>0</v>
      </c>
      <c r="Y198" s="4">
        <f t="shared" si="13"/>
        <v>0</v>
      </c>
      <c r="Z198" s="4">
        <f t="shared" si="14"/>
        <v>0</v>
      </c>
    </row>
    <row r="199" spans="1:26" x14ac:dyDescent="0.35">
      <c r="A199" s="81"/>
      <c r="B199" s="88">
        <v>44017</v>
      </c>
      <c r="C199" s="104">
        <v>87</v>
      </c>
      <c r="D199" s="104">
        <v>87</v>
      </c>
      <c r="E199" s="104">
        <v>87</v>
      </c>
      <c r="F199" s="104">
        <v>87</v>
      </c>
      <c r="G199" s="104">
        <v>87</v>
      </c>
      <c r="H199" s="81"/>
      <c r="I199" s="88"/>
      <c r="J199" s="104"/>
      <c r="K199" s="92"/>
      <c r="L199" s="81"/>
      <c r="M199" s="88"/>
      <c r="N199" s="104"/>
      <c r="O199" s="92"/>
      <c r="P199" s="81"/>
      <c r="Q199" s="88"/>
      <c r="R199" s="104"/>
      <c r="S199" s="92"/>
      <c r="T199" s="81"/>
      <c r="U199" s="106">
        <f t="shared" si="10"/>
        <v>0</v>
      </c>
      <c r="V199" s="4">
        <f>C199</f>
        <v>87</v>
      </c>
      <c r="W199" s="4">
        <f t="shared" si="11"/>
        <v>87</v>
      </c>
      <c r="X199" s="4">
        <f t="shared" si="12"/>
        <v>0</v>
      </c>
      <c r="Y199" s="4">
        <f t="shared" si="13"/>
        <v>0</v>
      </c>
      <c r="Z199" s="4">
        <f t="shared" si="14"/>
        <v>0</v>
      </c>
    </row>
    <row r="200" spans="1:26" x14ac:dyDescent="0.35">
      <c r="A200" s="81"/>
      <c r="B200" s="90">
        <v>44018</v>
      </c>
      <c r="C200" s="105">
        <v>88</v>
      </c>
      <c r="D200" s="105">
        <v>88</v>
      </c>
      <c r="E200" s="105">
        <v>88</v>
      </c>
      <c r="F200" s="105">
        <v>88</v>
      </c>
      <c r="G200" s="105">
        <v>88</v>
      </c>
      <c r="H200" s="81"/>
      <c r="I200" s="90"/>
      <c r="J200" s="105"/>
      <c r="K200" s="91"/>
      <c r="L200" s="81"/>
      <c r="M200" s="90"/>
      <c r="N200" s="105"/>
      <c r="O200" s="91"/>
      <c r="P200" s="81"/>
      <c r="Q200" s="90"/>
      <c r="R200" s="105"/>
      <c r="S200" s="91"/>
      <c r="T200" s="81"/>
      <c r="U200" s="106">
        <f t="shared" si="10"/>
        <v>0</v>
      </c>
      <c r="V200" s="4">
        <f>C200</f>
        <v>88</v>
      </c>
      <c r="W200" s="4">
        <f t="shared" si="11"/>
        <v>88</v>
      </c>
      <c r="X200" s="4">
        <f t="shared" si="12"/>
        <v>0</v>
      </c>
      <c r="Y200" s="4">
        <f t="shared" si="13"/>
        <v>0</v>
      </c>
      <c r="Z200" s="4">
        <f t="shared" si="14"/>
        <v>0</v>
      </c>
    </row>
    <row r="201" spans="1:26" x14ac:dyDescent="0.35">
      <c r="A201" s="81"/>
      <c r="B201" s="88">
        <v>44019</v>
      </c>
      <c r="C201" s="104">
        <v>89</v>
      </c>
      <c r="D201" s="104">
        <v>89</v>
      </c>
      <c r="E201" s="104">
        <v>89</v>
      </c>
      <c r="F201" s="104">
        <v>89</v>
      </c>
      <c r="G201" s="104">
        <v>89</v>
      </c>
      <c r="H201" s="81"/>
      <c r="I201" s="88"/>
      <c r="J201" s="104"/>
      <c r="K201" s="92"/>
      <c r="L201" s="81"/>
      <c r="M201" s="88"/>
      <c r="N201" s="104"/>
      <c r="O201" s="92"/>
      <c r="P201" s="81"/>
      <c r="Q201" s="88"/>
      <c r="R201" s="104"/>
      <c r="S201" s="92"/>
      <c r="T201" s="81"/>
      <c r="U201" s="106">
        <f t="shared" si="10"/>
        <v>0</v>
      </c>
      <c r="V201" s="4">
        <f>C201</f>
        <v>89</v>
      </c>
      <c r="W201" s="4">
        <f t="shared" si="11"/>
        <v>89</v>
      </c>
      <c r="X201" s="4">
        <f t="shared" si="12"/>
        <v>0</v>
      </c>
      <c r="Y201" s="4">
        <f t="shared" si="13"/>
        <v>0</v>
      </c>
      <c r="Z201" s="4">
        <f t="shared" si="14"/>
        <v>0</v>
      </c>
    </row>
    <row r="202" spans="1:26" x14ac:dyDescent="0.35">
      <c r="A202" s="81"/>
      <c r="B202" s="90">
        <v>44020</v>
      </c>
      <c r="C202" s="105">
        <v>90</v>
      </c>
      <c r="D202" s="105">
        <v>90</v>
      </c>
      <c r="E202" s="105">
        <v>90</v>
      </c>
      <c r="F202" s="105">
        <v>90</v>
      </c>
      <c r="G202" s="105">
        <v>90</v>
      </c>
      <c r="H202" s="81"/>
      <c r="I202" s="90"/>
      <c r="J202" s="105"/>
      <c r="K202" s="91"/>
      <c r="L202" s="81"/>
      <c r="M202" s="90"/>
      <c r="N202" s="105"/>
      <c r="O202" s="91"/>
      <c r="P202" s="81"/>
      <c r="Q202" s="90"/>
      <c r="R202" s="105"/>
      <c r="S202" s="91"/>
      <c r="T202" s="81"/>
      <c r="U202" s="106">
        <f t="shared" si="10"/>
        <v>0</v>
      </c>
      <c r="V202" s="4">
        <f>C202</f>
        <v>90</v>
      </c>
      <c r="W202" s="4">
        <f t="shared" si="11"/>
        <v>90</v>
      </c>
      <c r="X202" s="4">
        <f t="shared" si="12"/>
        <v>0</v>
      </c>
      <c r="Y202" s="4">
        <f t="shared" si="13"/>
        <v>0</v>
      </c>
      <c r="Z202" s="4">
        <f t="shared" si="14"/>
        <v>0</v>
      </c>
    </row>
    <row r="203" spans="1:26" x14ac:dyDescent="0.35">
      <c r="A203" s="81"/>
      <c r="B203" s="88">
        <v>44021</v>
      </c>
      <c r="C203" s="104">
        <v>91</v>
      </c>
      <c r="D203" s="104">
        <v>91</v>
      </c>
      <c r="E203" s="104">
        <v>91</v>
      </c>
      <c r="F203" s="104">
        <v>91</v>
      </c>
      <c r="G203" s="104">
        <v>91</v>
      </c>
      <c r="H203" s="81"/>
      <c r="I203" s="88"/>
      <c r="J203" s="104"/>
      <c r="K203" s="92"/>
      <c r="L203" s="81"/>
      <c r="M203" s="88"/>
      <c r="N203" s="104"/>
      <c r="O203" s="92"/>
      <c r="P203" s="81"/>
      <c r="Q203" s="88"/>
      <c r="R203" s="104"/>
      <c r="S203" s="92"/>
      <c r="T203" s="81"/>
      <c r="U203" s="106">
        <f t="shared" si="10"/>
        <v>0</v>
      </c>
      <c r="V203" s="4">
        <f>C203</f>
        <v>91</v>
      </c>
      <c r="W203" s="4">
        <f t="shared" si="11"/>
        <v>91</v>
      </c>
      <c r="X203" s="4">
        <f t="shared" si="12"/>
        <v>0</v>
      </c>
      <c r="Y203" s="4">
        <f t="shared" si="13"/>
        <v>0</v>
      </c>
      <c r="Z203" s="4">
        <f t="shared" si="14"/>
        <v>0</v>
      </c>
    </row>
    <row r="204" spans="1:26" x14ac:dyDescent="0.35">
      <c r="A204" s="81"/>
      <c r="B204" s="90">
        <v>44022</v>
      </c>
      <c r="C204" s="105">
        <v>92</v>
      </c>
      <c r="D204" s="105">
        <v>92</v>
      </c>
      <c r="E204" s="105">
        <v>92</v>
      </c>
      <c r="F204" s="105">
        <v>92</v>
      </c>
      <c r="G204" s="105">
        <v>92</v>
      </c>
      <c r="H204" s="81"/>
      <c r="I204" s="90"/>
      <c r="J204" s="105"/>
      <c r="K204" s="91"/>
      <c r="L204" s="81"/>
      <c r="M204" s="90"/>
      <c r="N204" s="105"/>
      <c r="O204" s="91"/>
      <c r="P204" s="81"/>
      <c r="Q204" s="90"/>
      <c r="R204" s="105"/>
      <c r="S204" s="91"/>
      <c r="T204" s="81"/>
      <c r="U204" s="106">
        <f t="shared" si="10"/>
        <v>0</v>
      </c>
      <c r="V204" s="4">
        <f>C204</f>
        <v>92</v>
      </c>
      <c r="W204" s="4">
        <f t="shared" si="11"/>
        <v>92</v>
      </c>
      <c r="X204" s="4">
        <f t="shared" si="12"/>
        <v>0</v>
      </c>
      <c r="Y204" s="4">
        <f t="shared" si="13"/>
        <v>0</v>
      </c>
      <c r="Z204" s="4">
        <f t="shared" si="14"/>
        <v>0</v>
      </c>
    </row>
    <row r="205" spans="1:26" x14ac:dyDescent="0.35">
      <c r="A205" s="81"/>
      <c r="B205" s="88">
        <v>44023</v>
      </c>
      <c r="C205" s="104">
        <v>93</v>
      </c>
      <c r="D205" s="104">
        <v>93</v>
      </c>
      <c r="E205" s="104">
        <v>93</v>
      </c>
      <c r="F205" s="104">
        <v>93</v>
      </c>
      <c r="G205" s="104">
        <v>93</v>
      </c>
      <c r="H205" s="81"/>
      <c r="I205" s="88"/>
      <c r="J205" s="104"/>
      <c r="K205" s="92"/>
      <c r="L205" s="81"/>
      <c r="M205" s="88"/>
      <c r="N205" s="104"/>
      <c r="O205" s="92"/>
      <c r="P205" s="81"/>
      <c r="Q205" s="88"/>
      <c r="R205" s="104"/>
      <c r="S205" s="92"/>
      <c r="T205" s="81"/>
      <c r="U205" s="106">
        <f t="shared" si="10"/>
        <v>0</v>
      </c>
      <c r="V205" s="4">
        <f>C205</f>
        <v>93</v>
      </c>
      <c r="W205" s="4">
        <f t="shared" si="11"/>
        <v>93</v>
      </c>
      <c r="X205" s="4">
        <f t="shared" si="12"/>
        <v>0</v>
      </c>
      <c r="Y205" s="4">
        <f t="shared" si="13"/>
        <v>0</v>
      </c>
      <c r="Z205" s="4">
        <f t="shared" si="14"/>
        <v>0</v>
      </c>
    </row>
    <row r="206" spans="1:26" x14ac:dyDescent="0.35">
      <c r="A206" s="81"/>
      <c r="B206" s="90">
        <v>44024</v>
      </c>
      <c r="C206" s="105">
        <v>94</v>
      </c>
      <c r="D206" s="105">
        <v>94</v>
      </c>
      <c r="E206" s="105">
        <v>94</v>
      </c>
      <c r="F206" s="105">
        <v>94</v>
      </c>
      <c r="G206" s="105">
        <v>94</v>
      </c>
      <c r="H206" s="81"/>
      <c r="I206" s="90"/>
      <c r="J206" s="105"/>
      <c r="K206" s="91"/>
      <c r="L206" s="81"/>
      <c r="M206" s="90"/>
      <c r="N206" s="105"/>
      <c r="O206" s="91"/>
      <c r="P206" s="81"/>
      <c r="Q206" s="90"/>
      <c r="R206" s="105"/>
      <c r="S206" s="91"/>
      <c r="T206" s="81"/>
      <c r="U206" s="106">
        <f t="shared" si="10"/>
        <v>0</v>
      </c>
      <c r="V206" s="4">
        <f>C206</f>
        <v>94</v>
      </c>
      <c r="W206" s="4">
        <f t="shared" si="11"/>
        <v>94</v>
      </c>
      <c r="X206" s="4">
        <f t="shared" si="12"/>
        <v>0</v>
      </c>
      <c r="Y206" s="4">
        <f t="shared" si="13"/>
        <v>0</v>
      </c>
      <c r="Z206" s="4">
        <f t="shared" si="14"/>
        <v>0</v>
      </c>
    </row>
    <row r="207" spans="1:26" x14ac:dyDescent="0.35">
      <c r="A207" s="81"/>
      <c r="B207" s="88">
        <v>44025</v>
      </c>
      <c r="C207" s="104">
        <v>95</v>
      </c>
      <c r="D207" s="104">
        <v>95</v>
      </c>
      <c r="E207" s="104">
        <v>95</v>
      </c>
      <c r="F207" s="104">
        <v>95</v>
      </c>
      <c r="G207" s="104">
        <v>95</v>
      </c>
      <c r="H207" s="81"/>
      <c r="I207" s="88"/>
      <c r="J207" s="104"/>
      <c r="K207" s="92"/>
      <c r="L207" s="81"/>
      <c r="M207" s="88"/>
      <c r="N207" s="104"/>
      <c r="O207" s="92"/>
      <c r="P207" s="81"/>
      <c r="Q207" s="88"/>
      <c r="R207" s="104"/>
      <c r="S207" s="92"/>
      <c r="T207" s="81"/>
      <c r="U207" s="106">
        <f t="shared" ref="U207:U250" si="15">Q207</f>
        <v>0</v>
      </c>
      <c r="V207" s="4">
        <f>C207</f>
        <v>95</v>
      </c>
      <c r="W207" s="4">
        <f t="shared" ref="W207:W250" si="16">F207</f>
        <v>95</v>
      </c>
      <c r="X207" s="4">
        <f t="shared" ref="X207:X250" si="17">J207</f>
        <v>0</v>
      </c>
      <c r="Y207" s="4">
        <f t="shared" ref="Y207:Y250" si="18">N207</f>
        <v>0</v>
      </c>
      <c r="Z207" s="4">
        <f t="shared" ref="Z207:Z250" si="19">R207</f>
        <v>0</v>
      </c>
    </row>
    <row r="208" spans="1:26" x14ac:dyDescent="0.35">
      <c r="A208" s="81"/>
      <c r="B208" s="90">
        <v>44026</v>
      </c>
      <c r="C208" s="105">
        <v>96</v>
      </c>
      <c r="D208" s="105">
        <v>96</v>
      </c>
      <c r="E208" s="105">
        <v>96</v>
      </c>
      <c r="F208" s="105">
        <v>96</v>
      </c>
      <c r="G208" s="105">
        <v>96</v>
      </c>
      <c r="H208" s="81"/>
      <c r="I208" s="90"/>
      <c r="J208" s="105"/>
      <c r="K208" s="91"/>
      <c r="L208" s="81"/>
      <c r="M208" s="90"/>
      <c r="N208" s="105"/>
      <c r="O208" s="91"/>
      <c r="P208" s="81"/>
      <c r="Q208" s="90"/>
      <c r="R208" s="105"/>
      <c r="S208" s="91"/>
      <c r="T208" s="81"/>
      <c r="U208" s="106">
        <f t="shared" si="15"/>
        <v>0</v>
      </c>
      <c r="V208" s="4">
        <f>C208</f>
        <v>96</v>
      </c>
      <c r="W208" s="4">
        <f t="shared" si="16"/>
        <v>96</v>
      </c>
      <c r="X208" s="4">
        <f t="shared" si="17"/>
        <v>0</v>
      </c>
      <c r="Y208" s="4">
        <f t="shared" si="18"/>
        <v>0</v>
      </c>
      <c r="Z208" s="4">
        <f t="shared" si="19"/>
        <v>0</v>
      </c>
    </row>
    <row r="209" spans="1:26" x14ac:dyDescent="0.35">
      <c r="A209" s="81"/>
      <c r="B209" s="88">
        <v>44027</v>
      </c>
      <c r="C209" s="104">
        <v>97</v>
      </c>
      <c r="D209" s="104">
        <v>97</v>
      </c>
      <c r="E209" s="104">
        <v>97</v>
      </c>
      <c r="F209" s="104">
        <v>97</v>
      </c>
      <c r="G209" s="104">
        <v>97</v>
      </c>
      <c r="H209" s="81"/>
      <c r="I209" s="88"/>
      <c r="J209" s="104"/>
      <c r="K209" s="92"/>
      <c r="L209" s="81"/>
      <c r="M209" s="88"/>
      <c r="N209" s="104"/>
      <c r="O209" s="92"/>
      <c r="P209" s="81"/>
      <c r="Q209" s="88"/>
      <c r="R209" s="104"/>
      <c r="S209" s="92"/>
      <c r="T209" s="81"/>
      <c r="U209" s="106">
        <f t="shared" si="15"/>
        <v>0</v>
      </c>
      <c r="V209" s="4">
        <f>C209</f>
        <v>97</v>
      </c>
      <c r="W209" s="4">
        <f t="shared" si="16"/>
        <v>97</v>
      </c>
      <c r="X209" s="4">
        <f t="shared" si="17"/>
        <v>0</v>
      </c>
      <c r="Y209" s="4">
        <f t="shared" si="18"/>
        <v>0</v>
      </c>
      <c r="Z209" s="4">
        <f t="shared" si="19"/>
        <v>0</v>
      </c>
    </row>
    <row r="210" spans="1:26" x14ac:dyDescent="0.35">
      <c r="A210" s="81"/>
      <c r="B210" s="90">
        <v>44028</v>
      </c>
      <c r="C210" s="105">
        <v>98</v>
      </c>
      <c r="D210" s="105">
        <v>98</v>
      </c>
      <c r="E210" s="105">
        <v>98</v>
      </c>
      <c r="F210" s="105">
        <v>98</v>
      </c>
      <c r="G210" s="105">
        <v>98</v>
      </c>
      <c r="H210" s="81"/>
      <c r="I210" s="90"/>
      <c r="J210" s="105"/>
      <c r="K210" s="91"/>
      <c r="L210" s="81"/>
      <c r="M210" s="90"/>
      <c r="N210" s="105"/>
      <c r="O210" s="91"/>
      <c r="P210" s="81"/>
      <c r="Q210" s="90"/>
      <c r="R210" s="105"/>
      <c r="S210" s="91"/>
      <c r="T210" s="81"/>
      <c r="U210" s="106">
        <f t="shared" si="15"/>
        <v>0</v>
      </c>
      <c r="V210" s="4">
        <f>C210</f>
        <v>98</v>
      </c>
      <c r="W210" s="4">
        <f t="shared" si="16"/>
        <v>98</v>
      </c>
      <c r="X210" s="4">
        <f t="shared" si="17"/>
        <v>0</v>
      </c>
      <c r="Y210" s="4">
        <f t="shared" si="18"/>
        <v>0</v>
      </c>
      <c r="Z210" s="4">
        <f t="shared" si="19"/>
        <v>0</v>
      </c>
    </row>
    <row r="211" spans="1:26" x14ac:dyDescent="0.35">
      <c r="A211" s="81"/>
      <c r="B211" s="88">
        <v>44029</v>
      </c>
      <c r="C211" s="104">
        <v>99</v>
      </c>
      <c r="D211" s="104">
        <v>99</v>
      </c>
      <c r="E211" s="104">
        <v>99</v>
      </c>
      <c r="F211" s="104">
        <v>99</v>
      </c>
      <c r="G211" s="104">
        <v>99</v>
      </c>
      <c r="H211" s="81"/>
      <c r="I211" s="88"/>
      <c r="J211" s="104"/>
      <c r="K211" s="92"/>
      <c r="L211" s="81"/>
      <c r="M211" s="88"/>
      <c r="N211" s="104"/>
      <c r="O211" s="92"/>
      <c r="P211" s="81"/>
      <c r="Q211" s="88"/>
      <c r="R211" s="104"/>
      <c r="S211" s="92"/>
      <c r="T211" s="81"/>
      <c r="U211" s="106">
        <f t="shared" si="15"/>
        <v>0</v>
      </c>
      <c r="V211" s="4">
        <f>C211</f>
        <v>99</v>
      </c>
      <c r="W211" s="4">
        <f t="shared" si="16"/>
        <v>99</v>
      </c>
      <c r="X211" s="4">
        <f t="shared" si="17"/>
        <v>0</v>
      </c>
      <c r="Y211" s="4">
        <f t="shared" si="18"/>
        <v>0</v>
      </c>
      <c r="Z211" s="4">
        <f t="shared" si="19"/>
        <v>0</v>
      </c>
    </row>
    <row r="212" spans="1:26" x14ac:dyDescent="0.35">
      <c r="A212" s="81"/>
      <c r="B212" s="90">
        <v>44030</v>
      </c>
      <c r="C212" s="105">
        <v>100</v>
      </c>
      <c r="D212" s="105">
        <v>100</v>
      </c>
      <c r="E212" s="105">
        <v>100</v>
      </c>
      <c r="F212" s="105">
        <v>100</v>
      </c>
      <c r="G212" s="105">
        <v>100</v>
      </c>
      <c r="H212" s="81"/>
      <c r="I212" s="90"/>
      <c r="J212" s="105"/>
      <c r="K212" s="91"/>
      <c r="L212" s="81"/>
      <c r="M212" s="90"/>
      <c r="N212" s="105"/>
      <c r="O212" s="91"/>
      <c r="P212" s="81"/>
      <c r="Q212" s="90"/>
      <c r="R212" s="105"/>
      <c r="S212" s="91"/>
      <c r="T212" s="81"/>
      <c r="U212" s="106">
        <f t="shared" si="15"/>
        <v>0</v>
      </c>
      <c r="V212" s="4">
        <f>C212</f>
        <v>100</v>
      </c>
      <c r="W212" s="4">
        <f t="shared" si="16"/>
        <v>100</v>
      </c>
      <c r="X212" s="4">
        <f t="shared" si="17"/>
        <v>0</v>
      </c>
      <c r="Y212" s="4">
        <f t="shared" si="18"/>
        <v>0</v>
      </c>
      <c r="Z212" s="4">
        <f t="shared" si="19"/>
        <v>0</v>
      </c>
    </row>
    <row r="213" spans="1:26" x14ac:dyDescent="0.35">
      <c r="A213" s="81"/>
      <c r="B213" s="88">
        <v>44031</v>
      </c>
      <c r="C213" s="104">
        <v>1</v>
      </c>
      <c r="D213" s="104">
        <v>1</v>
      </c>
      <c r="E213" s="104">
        <v>1</v>
      </c>
      <c r="F213" s="104">
        <v>1</v>
      </c>
      <c r="G213" s="104">
        <v>1</v>
      </c>
      <c r="H213" s="81"/>
      <c r="I213" s="88"/>
      <c r="J213" s="104"/>
      <c r="K213" s="92"/>
      <c r="L213" s="81"/>
      <c r="M213" s="88"/>
      <c r="N213" s="104"/>
      <c r="O213" s="92"/>
      <c r="P213" s="81"/>
      <c r="Q213" s="88"/>
      <c r="R213" s="104"/>
      <c r="S213" s="92"/>
      <c r="T213" s="81"/>
      <c r="U213" s="106">
        <f t="shared" si="15"/>
        <v>0</v>
      </c>
      <c r="V213" s="4">
        <f>C213</f>
        <v>1</v>
      </c>
      <c r="W213" s="4">
        <f t="shared" si="16"/>
        <v>1</v>
      </c>
      <c r="X213" s="4">
        <f t="shared" si="17"/>
        <v>0</v>
      </c>
      <c r="Y213" s="4">
        <f t="shared" si="18"/>
        <v>0</v>
      </c>
      <c r="Z213" s="4">
        <f t="shared" si="19"/>
        <v>0</v>
      </c>
    </row>
    <row r="214" spans="1:26" x14ac:dyDescent="0.35">
      <c r="A214" s="81"/>
      <c r="B214" s="90">
        <v>44032</v>
      </c>
      <c r="C214" s="105">
        <v>1</v>
      </c>
      <c r="D214" s="105">
        <v>1</v>
      </c>
      <c r="E214" s="105">
        <v>1</v>
      </c>
      <c r="F214" s="105">
        <v>1</v>
      </c>
      <c r="G214" s="105">
        <v>1</v>
      </c>
      <c r="H214" s="81"/>
      <c r="I214" s="90"/>
      <c r="J214" s="105"/>
      <c r="K214" s="91"/>
      <c r="L214" s="81"/>
      <c r="M214" s="90"/>
      <c r="N214" s="105"/>
      <c r="O214" s="91"/>
      <c r="P214" s="81"/>
      <c r="Q214" s="90"/>
      <c r="R214" s="105"/>
      <c r="S214" s="91"/>
      <c r="T214" s="81"/>
      <c r="U214" s="106">
        <f t="shared" si="15"/>
        <v>0</v>
      </c>
      <c r="V214" s="4">
        <f>C214</f>
        <v>1</v>
      </c>
      <c r="W214" s="4">
        <f t="shared" si="16"/>
        <v>1</v>
      </c>
      <c r="X214" s="4">
        <f t="shared" si="17"/>
        <v>0</v>
      </c>
      <c r="Y214" s="4">
        <f t="shared" si="18"/>
        <v>0</v>
      </c>
      <c r="Z214" s="4">
        <f t="shared" si="19"/>
        <v>0</v>
      </c>
    </row>
    <row r="215" spans="1:26" x14ac:dyDescent="0.35">
      <c r="A215" s="81"/>
      <c r="B215" s="88">
        <v>44033</v>
      </c>
      <c r="C215" s="104">
        <v>1</v>
      </c>
      <c r="D215" s="104">
        <v>1</v>
      </c>
      <c r="E215" s="104">
        <v>1</v>
      </c>
      <c r="F215" s="104">
        <v>1</v>
      </c>
      <c r="G215" s="104">
        <v>1</v>
      </c>
      <c r="H215" s="81"/>
      <c r="I215" s="88"/>
      <c r="J215" s="104"/>
      <c r="K215" s="92"/>
      <c r="L215" s="81"/>
      <c r="M215" s="88"/>
      <c r="N215" s="104"/>
      <c r="O215" s="92"/>
      <c r="P215" s="81"/>
      <c r="Q215" s="88"/>
      <c r="R215" s="104"/>
      <c r="S215" s="92"/>
      <c r="T215" s="81"/>
      <c r="U215" s="106">
        <f t="shared" si="15"/>
        <v>0</v>
      </c>
      <c r="V215" s="4">
        <f>C215</f>
        <v>1</v>
      </c>
      <c r="W215" s="4">
        <f t="shared" si="16"/>
        <v>1</v>
      </c>
      <c r="X215" s="4">
        <f t="shared" si="17"/>
        <v>0</v>
      </c>
      <c r="Y215" s="4">
        <f t="shared" si="18"/>
        <v>0</v>
      </c>
      <c r="Z215" s="4">
        <f t="shared" si="19"/>
        <v>0</v>
      </c>
    </row>
    <row r="216" spans="1:26" x14ac:dyDescent="0.35">
      <c r="A216" s="81"/>
      <c r="B216" s="90">
        <v>44034</v>
      </c>
      <c r="C216" s="105">
        <v>1</v>
      </c>
      <c r="D216" s="105">
        <v>1</v>
      </c>
      <c r="E216" s="105">
        <v>1</v>
      </c>
      <c r="F216" s="105">
        <v>1</v>
      </c>
      <c r="G216" s="105">
        <v>1</v>
      </c>
      <c r="H216" s="81"/>
      <c r="I216" s="90"/>
      <c r="J216" s="105"/>
      <c r="K216" s="91"/>
      <c r="L216" s="81"/>
      <c r="M216" s="90"/>
      <c r="N216" s="105"/>
      <c r="O216" s="91"/>
      <c r="P216" s="81"/>
      <c r="Q216" s="90"/>
      <c r="R216" s="105"/>
      <c r="S216" s="91"/>
      <c r="T216" s="81"/>
      <c r="U216" s="106">
        <f t="shared" si="15"/>
        <v>0</v>
      </c>
      <c r="V216" s="4">
        <f>C216</f>
        <v>1</v>
      </c>
      <c r="W216" s="4">
        <f t="shared" si="16"/>
        <v>1</v>
      </c>
      <c r="X216" s="4">
        <f t="shared" si="17"/>
        <v>0</v>
      </c>
      <c r="Y216" s="4">
        <f t="shared" si="18"/>
        <v>0</v>
      </c>
      <c r="Z216" s="4">
        <f t="shared" si="19"/>
        <v>0</v>
      </c>
    </row>
    <row r="217" spans="1:26" x14ac:dyDescent="0.35">
      <c r="A217" s="81"/>
      <c r="B217" s="88">
        <v>44035</v>
      </c>
      <c r="C217" s="104">
        <v>1</v>
      </c>
      <c r="D217" s="104">
        <v>1</v>
      </c>
      <c r="E217" s="104">
        <v>1</v>
      </c>
      <c r="F217" s="104">
        <v>1</v>
      </c>
      <c r="G217" s="104">
        <v>1</v>
      </c>
      <c r="H217" s="81"/>
      <c r="I217" s="88"/>
      <c r="J217" s="104"/>
      <c r="K217" s="92"/>
      <c r="L217" s="81"/>
      <c r="M217" s="88"/>
      <c r="N217" s="104"/>
      <c r="O217" s="92"/>
      <c r="P217" s="81"/>
      <c r="Q217" s="88"/>
      <c r="R217" s="104"/>
      <c r="S217" s="92"/>
      <c r="T217" s="81"/>
      <c r="U217" s="106">
        <f t="shared" si="15"/>
        <v>0</v>
      </c>
      <c r="V217" s="4">
        <f>C217</f>
        <v>1</v>
      </c>
      <c r="W217" s="4">
        <f t="shared" si="16"/>
        <v>1</v>
      </c>
      <c r="X217" s="4">
        <f t="shared" si="17"/>
        <v>0</v>
      </c>
      <c r="Y217" s="4">
        <f t="shared" si="18"/>
        <v>0</v>
      </c>
      <c r="Z217" s="4">
        <f t="shared" si="19"/>
        <v>0</v>
      </c>
    </row>
    <row r="218" spans="1:26" x14ac:dyDescent="0.35">
      <c r="A218" s="81"/>
      <c r="B218" s="90">
        <v>44036</v>
      </c>
      <c r="C218" s="105">
        <v>1</v>
      </c>
      <c r="D218" s="105">
        <v>1</v>
      </c>
      <c r="E218" s="105">
        <v>1</v>
      </c>
      <c r="F218" s="105">
        <v>1</v>
      </c>
      <c r="G218" s="105">
        <v>1</v>
      </c>
      <c r="H218" s="81"/>
      <c r="I218" s="90"/>
      <c r="J218" s="105"/>
      <c r="K218" s="91"/>
      <c r="L218" s="81"/>
      <c r="M218" s="90"/>
      <c r="N218" s="105"/>
      <c r="O218" s="91"/>
      <c r="P218" s="81"/>
      <c r="Q218" s="90"/>
      <c r="R218" s="105"/>
      <c r="S218" s="91"/>
      <c r="T218" s="81"/>
      <c r="U218" s="106">
        <f t="shared" si="15"/>
        <v>0</v>
      </c>
      <c r="V218" s="4">
        <f>C218</f>
        <v>1</v>
      </c>
      <c r="W218" s="4">
        <f t="shared" si="16"/>
        <v>1</v>
      </c>
      <c r="X218" s="4">
        <f t="shared" si="17"/>
        <v>0</v>
      </c>
      <c r="Y218" s="4">
        <f t="shared" si="18"/>
        <v>0</v>
      </c>
      <c r="Z218" s="4">
        <f t="shared" si="19"/>
        <v>0</v>
      </c>
    </row>
    <row r="219" spans="1:26" x14ac:dyDescent="0.35">
      <c r="A219" s="81"/>
      <c r="B219" s="88">
        <v>44037</v>
      </c>
      <c r="C219" s="104">
        <v>1</v>
      </c>
      <c r="D219" s="104">
        <v>1</v>
      </c>
      <c r="E219" s="104">
        <v>1</v>
      </c>
      <c r="F219" s="104">
        <v>1</v>
      </c>
      <c r="G219" s="104">
        <v>1</v>
      </c>
      <c r="H219" s="81"/>
      <c r="I219" s="88"/>
      <c r="J219" s="104"/>
      <c r="K219" s="92"/>
      <c r="L219" s="81"/>
      <c r="M219" s="88"/>
      <c r="N219" s="104"/>
      <c r="O219" s="92"/>
      <c r="P219" s="81"/>
      <c r="Q219" s="88"/>
      <c r="R219" s="104"/>
      <c r="S219" s="92"/>
      <c r="T219" s="81"/>
      <c r="U219" s="106">
        <f t="shared" si="15"/>
        <v>0</v>
      </c>
      <c r="V219" s="4">
        <f>C219</f>
        <v>1</v>
      </c>
      <c r="W219" s="4">
        <f t="shared" si="16"/>
        <v>1</v>
      </c>
      <c r="X219" s="4">
        <f t="shared" si="17"/>
        <v>0</v>
      </c>
      <c r="Y219" s="4">
        <f t="shared" si="18"/>
        <v>0</v>
      </c>
      <c r="Z219" s="4">
        <f t="shared" si="19"/>
        <v>0</v>
      </c>
    </row>
    <row r="220" spans="1:26" x14ac:dyDescent="0.35">
      <c r="A220" s="81"/>
      <c r="B220" s="90">
        <v>44038</v>
      </c>
      <c r="C220" s="105">
        <v>1</v>
      </c>
      <c r="D220" s="105">
        <v>1</v>
      </c>
      <c r="E220" s="105">
        <v>1</v>
      </c>
      <c r="F220" s="105">
        <v>1</v>
      </c>
      <c r="G220" s="105">
        <v>1</v>
      </c>
      <c r="H220" s="81"/>
      <c r="I220" s="90"/>
      <c r="J220" s="105"/>
      <c r="K220" s="91"/>
      <c r="L220" s="81"/>
      <c r="M220" s="90"/>
      <c r="N220" s="105"/>
      <c r="O220" s="91"/>
      <c r="P220" s="81"/>
      <c r="Q220" s="90"/>
      <c r="R220" s="105"/>
      <c r="S220" s="91"/>
      <c r="T220" s="81"/>
      <c r="U220" s="106">
        <f t="shared" si="15"/>
        <v>0</v>
      </c>
      <c r="V220" s="4">
        <f>C220</f>
        <v>1</v>
      </c>
      <c r="W220" s="4">
        <f t="shared" si="16"/>
        <v>1</v>
      </c>
      <c r="X220" s="4">
        <f t="shared" si="17"/>
        <v>0</v>
      </c>
      <c r="Y220" s="4">
        <f t="shared" si="18"/>
        <v>0</v>
      </c>
      <c r="Z220" s="4">
        <f t="shared" si="19"/>
        <v>0</v>
      </c>
    </row>
    <row r="221" spans="1:26" x14ac:dyDescent="0.35">
      <c r="A221" s="81"/>
      <c r="B221" s="88">
        <v>44039</v>
      </c>
      <c r="C221" s="104">
        <v>1</v>
      </c>
      <c r="D221" s="104">
        <v>1</v>
      </c>
      <c r="E221" s="104">
        <v>1</v>
      </c>
      <c r="F221" s="104">
        <v>1</v>
      </c>
      <c r="G221" s="104">
        <v>1</v>
      </c>
      <c r="H221" s="81"/>
      <c r="I221" s="88"/>
      <c r="J221" s="104"/>
      <c r="K221" s="92"/>
      <c r="L221" s="81"/>
      <c r="M221" s="88"/>
      <c r="N221" s="104"/>
      <c r="O221" s="92"/>
      <c r="P221" s="81"/>
      <c r="Q221" s="88"/>
      <c r="R221" s="104"/>
      <c r="S221" s="92"/>
      <c r="T221" s="81"/>
      <c r="U221" s="106">
        <f t="shared" si="15"/>
        <v>0</v>
      </c>
      <c r="V221" s="4">
        <f>C221</f>
        <v>1</v>
      </c>
      <c r="W221" s="4">
        <f t="shared" si="16"/>
        <v>1</v>
      </c>
      <c r="X221" s="4">
        <f t="shared" si="17"/>
        <v>0</v>
      </c>
      <c r="Y221" s="4">
        <f t="shared" si="18"/>
        <v>0</v>
      </c>
      <c r="Z221" s="4">
        <f t="shared" si="19"/>
        <v>0</v>
      </c>
    </row>
    <row r="222" spans="1:26" x14ac:dyDescent="0.35">
      <c r="A222" s="81"/>
      <c r="B222" s="90">
        <v>44040</v>
      </c>
      <c r="C222" s="105">
        <v>1</v>
      </c>
      <c r="D222" s="105">
        <v>1</v>
      </c>
      <c r="E222" s="105">
        <v>1</v>
      </c>
      <c r="F222" s="105">
        <v>1</v>
      </c>
      <c r="G222" s="105">
        <v>1</v>
      </c>
      <c r="H222" s="81"/>
      <c r="I222" s="90"/>
      <c r="J222" s="105"/>
      <c r="K222" s="91"/>
      <c r="L222" s="81"/>
      <c r="M222" s="90"/>
      <c r="N222" s="105"/>
      <c r="O222" s="91"/>
      <c r="P222" s="81"/>
      <c r="Q222" s="90"/>
      <c r="R222" s="105"/>
      <c r="S222" s="91"/>
      <c r="T222" s="81"/>
      <c r="U222" s="106">
        <f t="shared" si="15"/>
        <v>0</v>
      </c>
      <c r="V222" s="4">
        <f>C222</f>
        <v>1</v>
      </c>
      <c r="W222" s="4">
        <f t="shared" si="16"/>
        <v>1</v>
      </c>
      <c r="X222" s="4">
        <f t="shared" si="17"/>
        <v>0</v>
      </c>
      <c r="Y222" s="4">
        <f t="shared" si="18"/>
        <v>0</v>
      </c>
      <c r="Z222" s="4">
        <f t="shared" si="19"/>
        <v>0</v>
      </c>
    </row>
    <row r="223" spans="1:26" x14ac:dyDescent="0.35">
      <c r="A223" s="81"/>
      <c r="B223" s="88">
        <v>44041</v>
      </c>
      <c r="C223" s="104">
        <v>1</v>
      </c>
      <c r="D223" s="104">
        <v>1</v>
      </c>
      <c r="E223" s="104">
        <v>1</v>
      </c>
      <c r="F223" s="104">
        <v>1</v>
      </c>
      <c r="G223" s="104">
        <v>1</v>
      </c>
      <c r="H223" s="81"/>
      <c r="I223" s="88"/>
      <c r="J223" s="104"/>
      <c r="K223" s="92"/>
      <c r="L223" s="81"/>
      <c r="M223" s="88"/>
      <c r="N223" s="104"/>
      <c r="O223" s="92"/>
      <c r="P223" s="81"/>
      <c r="Q223" s="88"/>
      <c r="R223" s="104"/>
      <c r="S223" s="92"/>
      <c r="T223" s="81"/>
      <c r="U223" s="106">
        <f t="shared" si="15"/>
        <v>0</v>
      </c>
      <c r="V223" s="4">
        <f>C223</f>
        <v>1</v>
      </c>
      <c r="W223" s="4">
        <f t="shared" si="16"/>
        <v>1</v>
      </c>
      <c r="X223" s="4">
        <f t="shared" si="17"/>
        <v>0</v>
      </c>
      <c r="Y223" s="4">
        <f t="shared" si="18"/>
        <v>0</v>
      </c>
      <c r="Z223" s="4">
        <f t="shared" si="19"/>
        <v>0</v>
      </c>
    </row>
    <row r="224" spans="1:26" x14ac:dyDescent="0.35">
      <c r="A224" s="81"/>
      <c r="B224" s="90">
        <v>44042</v>
      </c>
      <c r="C224" s="105">
        <v>1</v>
      </c>
      <c r="D224" s="105">
        <v>1</v>
      </c>
      <c r="E224" s="105">
        <v>1</v>
      </c>
      <c r="F224" s="105">
        <v>1</v>
      </c>
      <c r="G224" s="105">
        <v>1</v>
      </c>
      <c r="H224" s="81"/>
      <c r="I224" s="90"/>
      <c r="J224" s="105"/>
      <c r="K224" s="91"/>
      <c r="L224" s="81"/>
      <c r="M224" s="90"/>
      <c r="N224" s="105"/>
      <c r="O224" s="91"/>
      <c r="P224" s="81"/>
      <c r="Q224" s="90"/>
      <c r="R224" s="105"/>
      <c r="S224" s="91"/>
      <c r="T224" s="81"/>
      <c r="U224" s="106">
        <f t="shared" si="15"/>
        <v>0</v>
      </c>
      <c r="V224" s="4">
        <f>C224</f>
        <v>1</v>
      </c>
      <c r="W224" s="4">
        <f t="shared" si="16"/>
        <v>1</v>
      </c>
      <c r="X224" s="4">
        <f t="shared" si="17"/>
        <v>0</v>
      </c>
      <c r="Y224" s="4">
        <f t="shared" si="18"/>
        <v>0</v>
      </c>
      <c r="Z224" s="4">
        <f t="shared" si="19"/>
        <v>0</v>
      </c>
    </row>
    <row r="225" spans="1:26" x14ac:dyDescent="0.35">
      <c r="A225" s="81"/>
      <c r="B225" s="88">
        <v>44043</v>
      </c>
      <c r="C225" s="104">
        <v>1</v>
      </c>
      <c r="D225" s="104">
        <v>1</v>
      </c>
      <c r="E225" s="104">
        <v>1</v>
      </c>
      <c r="F225" s="104">
        <v>1</v>
      </c>
      <c r="G225" s="104">
        <v>1</v>
      </c>
      <c r="H225" s="81"/>
      <c r="I225" s="88"/>
      <c r="J225" s="104"/>
      <c r="K225" s="92"/>
      <c r="L225" s="81"/>
      <c r="M225" s="88"/>
      <c r="N225" s="104"/>
      <c r="O225" s="92"/>
      <c r="P225" s="81"/>
      <c r="Q225" s="88"/>
      <c r="R225" s="104"/>
      <c r="S225" s="92"/>
      <c r="T225" s="81"/>
      <c r="U225" s="106">
        <f t="shared" si="15"/>
        <v>0</v>
      </c>
      <c r="V225" s="4">
        <f>C225</f>
        <v>1</v>
      </c>
      <c r="W225" s="4">
        <f t="shared" si="16"/>
        <v>1</v>
      </c>
      <c r="X225" s="4">
        <f t="shared" si="17"/>
        <v>0</v>
      </c>
      <c r="Y225" s="4">
        <f t="shared" si="18"/>
        <v>0</v>
      </c>
      <c r="Z225" s="4">
        <f t="shared" si="19"/>
        <v>0</v>
      </c>
    </row>
    <row r="226" spans="1:26" x14ac:dyDescent="0.35">
      <c r="A226" s="81"/>
      <c r="B226" s="90">
        <v>44044</v>
      </c>
      <c r="C226" s="105">
        <v>1</v>
      </c>
      <c r="D226" s="105">
        <v>1</v>
      </c>
      <c r="E226" s="105">
        <v>1</v>
      </c>
      <c r="F226" s="105">
        <v>1</v>
      </c>
      <c r="G226" s="105">
        <v>1</v>
      </c>
      <c r="H226" s="81"/>
      <c r="I226" s="90"/>
      <c r="J226" s="105"/>
      <c r="K226" s="91"/>
      <c r="L226" s="81"/>
      <c r="M226" s="90"/>
      <c r="N226" s="105"/>
      <c r="O226" s="91"/>
      <c r="P226" s="81"/>
      <c r="Q226" s="90"/>
      <c r="R226" s="105"/>
      <c r="S226" s="91"/>
      <c r="T226" s="81"/>
      <c r="U226" s="106">
        <f t="shared" si="15"/>
        <v>0</v>
      </c>
      <c r="V226" s="4">
        <f>C226</f>
        <v>1</v>
      </c>
      <c r="W226" s="4">
        <f t="shared" si="16"/>
        <v>1</v>
      </c>
      <c r="X226" s="4">
        <f t="shared" si="17"/>
        <v>0</v>
      </c>
      <c r="Y226" s="4">
        <f t="shared" si="18"/>
        <v>0</v>
      </c>
      <c r="Z226" s="4">
        <f t="shared" si="19"/>
        <v>0</v>
      </c>
    </row>
    <row r="227" spans="1:26" x14ac:dyDescent="0.35">
      <c r="A227" s="81"/>
      <c r="B227" s="88">
        <v>44045</v>
      </c>
      <c r="C227" s="104">
        <v>1</v>
      </c>
      <c r="D227" s="104">
        <v>1</v>
      </c>
      <c r="E227" s="104">
        <v>1</v>
      </c>
      <c r="F227" s="104">
        <v>1</v>
      </c>
      <c r="G227" s="104">
        <v>1</v>
      </c>
      <c r="H227" s="81"/>
      <c r="I227" s="88"/>
      <c r="J227" s="104"/>
      <c r="K227" s="92"/>
      <c r="L227" s="81"/>
      <c r="M227" s="88"/>
      <c r="N227" s="104"/>
      <c r="O227" s="92"/>
      <c r="P227" s="81"/>
      <c r="Q227" s="88"/>
      <c r="R227" s="104"/>
      <c r="S227" s="92"/>
      <c r="T227" s="81"/>
      <c r="U227" s="106">
        <f t="shared" si="15"/>
        <v>0</v>
      </c>
      <c r="V227" s="4">
        <f>C227</f>
        <v>1</v>
      </c>
      <c r="W227" s="4">
        <f t="shared" si="16"/>
        <v>1</v>
      </c>
      <c r="X227" s="4">
        <f t="shared" si="17"/>
        <v>0</v>
      </c>
      <c r="Y227" s="4">
        <f t="shared" si="18"/>
        <v>0</v>
      </c>
      <c r="Z227" s="4">
        <f t="shared" si="19"/>
        <v>0</v>
      </c>
    </row>
    <row r="228" spans="1:26" x14ac:dyDescent="0.35">
      <c r="A228" s="81"/>
      <c r="B228" s="90">
        <v>44046</v>
      </c>
      <c r="C228" s="105">
        <v>1</v>
      </c>
      <c r="D228" s="105">
        <v>1</v>
      </c>
      <c r="E228" s="105">
        <v>1</v>
      </c>
      <c r="F228" s="105">
        <v>1</v>
      </c>
      <c r="G228" s="105">
        <v>1</v>
      </c>
      <c r="H228" s="81"/>
      <c r="I228" s="90"/>
      <c r="J228" s="105"/>
      <c r="K228" s="91"/>
      <c r="L228" s="81"/>
      <c r="M228" s="90"/>
      <c r="N228" s="105"/>
      <c r="O228" s="91"/>
      <c r="P228" s="81"/>
      <c r="Q228" s="90"/>
      <c r="R228" s="105"/>
      <c r="S228" s="91"/>
      <c r="T228" s="81"/>
      <c r="U228" s="106">
        <f t="shared" si="15"/>
        <v>0</v>
      </c>
      <c r="V228" s="4">
        <f>C228</f>
        <v>1</v>
      </c>
      <c r="W228" s="4">
        <f t="shared" si="16"/>
        <v>1</v>
      </c>
      <c r="X228" s="4">
        <f t="shared" si="17"/>
        <v>0</v>
      </c>
      <c r="Y228" s="4">
        <f t="shared" si="18"/>
        <v>0</v>
      </c>
      <c r="Z228" s="4">
        <f t="shared" si="19"/>
        <v>0</v>
      </c>
    </row>
    <row r="229" spans="1:26" x14ac:dyDescent="0.35">
      <c r="A229" s="81"/>
      <c r="B229" s="88">
        <v>44047</v>
      </c>
      <c r="C229" s="104">
        <v>1</v>
      </c>
      <c r="D229" s="104">
        <v>1</v>
      </c>
      <c r="E229" s="104">
        <v>1</v>
      </c>
      <c r="F229" s="104">
        <v>1</v>
      </c>
      <c r="G229" s="104">
        <v>1</v>
      </c>
      <c r="H229" s="81"/>
      <c r="I229" s="88"/>
      <c r="J229" s="104"/>
      <c r="K229" s="92"/>
      <c r="L229" s="81"/>
      <c r="M229" s="88"/>
      <c r="N229" s="104"/>
      <c r="O229" s="92"/>
      <c r="P229" s="81"/>
      <c r="Q229" s="88"/>
      <c r="R229" s="104"/>
      <c r="S229" s="92"/>
      <c r="T229" s="81"/>
      <c r="U229" s="106">
        <f t="shared" si="15"/>
        <v>0</v>
      </c>
      <c r="V229" s="4">
        <f>C229</f>
        <v>1</v>
      </c>
      <c r="W229" s="4">
        <f t="shared" si="16"/>
        <v>1</v>
      </c>
      <c r="X229" s="4">
        <f t="shared" si="17"/>
        <v>0</v>
      </c>
      <c r="Y229" s="4">
        <f t="shared" si="18"/>
        <v>0</v>
      </c>
      <c r="Z229" s="4">
        <f t="shared" si="19"/>
        <v>0</v>
      </c>
    </row>
    <row r="230" spans="1:26" x14ac:dyDescent="0.35">
      <c r="A230" s="81"/>
      <c r="B230" s="90">
        <v>44048</v>
      </c>
      <c r="C230" s="105">
        <v>18</v>
      </c>
      <c r="D230" s="105">
        <v>18</v>
      </c>
      <c r="E230" s="105">
        <v>18</v>
      </c>
      <c r="F230" s="105">
        <v>18</v>
      </c>
      <c r="G230" s="105">
        <v>18</v>
      </c>
      <c r="H230" s="81"/>
      <c r="I230" s="90"/>
      <c r="J230" s="105"/>
      <c r="K230" s="91"/>
      <c r="L230" s="81"/>
      <c r="M230" s="90"/>
      <c r="N230" s="105"/>
      <c r="O230" s="91"/>
      <c r="P230" s="81"/>
      <c r="Q230" s="90"/>
      <c r="R230" s="105"/>
      <c r="S230" s="91"/>
      <c r="T230" s="81"/>
      <c r="U230" s="106">
        <f t="shared" si="15"/>
        <v>0</v>
      </c>
      <c r="V230" s="4">
        <f>C230</f>
        <v>18</v>
      </c>
      <c r="W230" s="4">
        <f t="shared" si="16"/>
        <v>18</v>
      </c>
      <c r="X230" s="4">
        <f t="shared" si="17"/>
        <v>0</v>
      </c>
      <c r="Y230" s="4">
        <f t="shared" si="18"/>
        <v>0</v>
      </c>
      <c r="Z230" s="4">
        <f t="shared" si="19"/>
        <v>0</v>
      </c>
    </row>
    <row r="231" spans="1:26" x14ac:dyDescent="0.35">
      <c r="A231" s="81"/>
      <c r="B231" s="88">
        <v>44049</v>
      </c>
      <c r="C231" s="104">
        <v>1</v>
      </c>
      <c r="D231" s="104">
        <v>1</v>
      </c>
      <c r="E231" s="104">
        <v>1</v>
      </c>
      <c r="F231" s="104">
        <v>1</v>
      </c>
      <c r="G231" s="104">
        <v>1</v>
      </c>
      <c r="H231" s="81"/>
      <c r="I231" s="88"/>
      <c r="J231" s="104"/>
      <c r="K231" s="92"/>
      <c r="L231" s="81"/>
      <c r="M231" s="88"/>
      <c r="N231" s="104"/>
      <c r="O231" s="92"/>
      <c r="P231" s="81"/>
      <c r="Q231" s="88"/>
      <c r="R231" s="104"/>
      <c r="S231" s="92"/>
      <c r="T231" s="81"/>
      <c r="U231" s="106">
        <f t="shared" si="15"/>
        <v>0</v>
      </c>
      <c r="V231" s="4">
        <f>C231</f>
        <v>1</v>
      </c>
      <c r="W231" s="4">
        <f t="shared" si="16"/>
        <v>1</v>
      </c>
      <c r="X231" s="4">
        <f t="shared" si="17"/>
        <v>0</v>
      </c>
      <c r="Y231" s="4">
        <f t="shared" si="18"/>
        <v>0</v>
      </c>
      <c r="Z231" s="4">
        <f t="shared" si="19"/>
        <v>0</v>
      </c>
    </row>
    <row r="232" spans="1:26" x14ac:dyDescent="0.35">
      <c r="A232" s="81"/>
      <c r="B232" s="90">
        <v>44050</v>
      </c>
      <c r="C232" s="105">
        <v>1</v>
      </c>
      <c r="D232" s="105">
        <v>1</v>
      </c>
      <c r="E232" s="105">
        <v>1</v>
      </c>
      <c r="F232" s="105">
        <v>1</v>
      </c>
      <c r="G232" s="105">
        <v>1</v>
      </c>
      <c r="H232" s="81"/>
      <c r="I232" s="90"/>
      <c r="J232" s="105"/>
      <c r="K232" s="91"/>
      <c r="L232" s="81"/>
      <c r="M232" s="90"/>
      <c r="N232" s="105"/>
      <c r="O232" s="91"/>
      <c r="P232" s="81"/>
      <c r="Q232" s="90"/>
      <c r="R232" s="105"/>
      <c r="S232" s="91"/>
      <c r="T232" s="81"/>
      <c r="U232" s="106">
        <f t="shared" si="15"/>
        <v>0</v>
      </c>
      <c r="V232" s="4">
        <f>C232</f>
        <v>1</v>
      </c>
      <c r="W232" s="4">
        <f t="shared" si="16"/>
        <v>1</v>
      </c>
      <c r="X232" s="4">
        <f t="shared" si="17"/>
        <v>0</v>
      </c>
      <c r="Y232" s="4">
        <f t="shared" si="18"/>
        <v>0</v>
      </c>
      <c r="Z232" s="4">
        <f t="shared" si="19"/>
        <v>0</v>
      </c>
    </row>
    <row r="233" spans="1:26" x14ac:dyDescent="0.35">
      <c r="A233" s="81"/>
      <c r="B233" s="88">
        <v>44051</v>
      </c>
      <c r="C233" s="104">
        <v>1</v>
      </c>
      <c r="D233" s="104">
        <v>1</v>
      </c>
      <c r="E233" s="104">
        <v>1</v>
      </c>
      <c r="F233" s="104">
        <v>1</v>
      </c>
      <c r="G233" s="104">
        <v>1</v>
      </c>
      <c r="H233" s="81"/>
      <c r="I233" s="88"/>
      <c r="J233" s="104"/>
      <c r="K233" s="92"/>
      <c r="L233" s="81"/>
      <c r="M233" s="88"/>
      <c r="N233" s="104"/>
      <c r="O233" s="92"/>
      <c r="P233" s="81"/>
      <c r="Q233" s="88"/>
      <c r="R233" s="104"/>
      <c r="S233" s="92"/>
      <c r="T233" s="81"/>
      <c r="U233" s="106">
        <f t="shared" si="15"/>
        <v>0</v>
      </c>
      <c r="V233" s="4">
        <f>C233</f>
        <v>1</v>
      </c>
      <c r="W233" s="4">
        <f t="shared" si="16"/>
        <v>1</v>
      </c>
      <c r="X233" s="4">
        <f t="shared" si="17"/>
        <v>0</v>
      </c>
      <c r="Y233" s="4">
        <f t="shared" si="18"/>
        <v>0</v>
      </c>
      <c r="Z233" s="4">
        <f t="shared" si="19"/>
        <v>0</v>
      </c>
    </row>
    <row r="234" spans="1:26" x14ac:dyDescent="0.35">
      <c r="A234" s="81"/>
      <c r="B234" s="90">
        <v>44052</v>
      </c>
      <c r="C234" s="105">
        <v>1</v>
      </c>
      <c r="D234" s="105">
        <v>1</v>
      </c>
      <c r="E234" s="105">
        <v>1</v>
      </c>
      <c r="F234" s="105">
        <v>1</v>
      </c>
      <c r="G234" s="105">
        <v>1</v>
      </c>
      <c r="H234" s="81"/>
      <c r="I234" s="90"/>
      <c r="J234" s="105"/>
      <c r="K234" s="91"/>
      <c r="L234" s="81"/>
      <c r="M234" s="90"/>
      <c r="N234" s="105"/>
      <c r="O234" s="91"/>
      <c r="P234" s="81"/>
      <c r="Q234" s="90"/>
      <c r="R234" s="105"/>
      <c r="S234" s="91"/>
      <c r="T234" s="81"/>
      <c r="U234" s="106">
        <f t="shared" si="15"/>
        <v>0</v>
      </c>
      <c r="V234" s="4">
        <f>C234</f>
        <v>1</v>
      </c>
      <c r="W234" s="4">
        <f t="shared" si="16"/>
        <v>1</v>
      </c>
      <c r="X234" s="4">
        <f t="shared" si="17"/>
        <v>0</v>
      </c>
      <c r="Y234" s="4">
        <f t="shared" si="18"/>
        <v>0</v>
      </c>
      <c r="Z234" s="4">
        <f t="shared" si="19"/>
        <v>0</v>
      </c>
    </row>
    <row r="235" spans="1:26" x14ac:dyDescent="0.35">
      <c r="A235" s="81"/>
      <c r="B235" s="88">
        <v>44053</v>
      </c>
      <c r="C235" s="104">
        <v>1</v>
      </c>
      <c r="D235" s="104">
        <v>1</v>
      </c>
      <c r="E235" s="104">
        <v>1</v>
      </c>
      <c r="F235" s="104">
        <v>1</v>
      </c>
      <c r="G235" s="104">
        <v>1</v>
      </c>
      <c r="H235" s="81"/>
      <c r="I235" s="88"/>
      <c r="J235" s="104"/>
      <c r="K235" s="92"/>
      <c r="L235" s="81"/>
      <c r="M235" s="88"/>
      <c r="N235" s="104"/>
      <c r="O235" s="92"/>
      <c r="P235" s="81"/>
      <c r="Q235" s="88"/>
      <c r="R235" s="104"/>
      <c r="S235" s="92"/>
      <c r="T235" s="81"/>
      <c r="U235" s="106">
        <f t="shared" si="15"/>
        <v>0</v>
      </c>
      <c r="V235" s="4">
        <f>C235</f>
        <v>1</v>
      </c>
      <c r="W235" s="4">
        <f t="shared" si="16"/>
        <v>1</v>
      </c>
      <c r="X235" s="4">
        <f t="shared" si="17"/>
        <v>0</v>
      </c>
      <c r="Y235" s="4">
        <f t="shared" si="18"/>
        <v>0</v>
      </c>
      <c r="Z235" s="4">
        <f t="shared" si="19"/>
        <v>0</v>
      </c>
    </row>
    <row r="236" spans="1:26" x14ac:dyDescent="0.35">
      <c r="A236" s="81"/>
      <c r="B236" s="90">
        <v>44054</v>
      </c>
      <c r="C236" s="105">
        <v>1</v>
      </c>
      <c r="D236" s="105">
        <v>1</v>
      </c>
      <c r="E236" s="105">
        <v>1</v>
      </c>
      <c r="F236" s="105">
        <v>1</v>
      </c>
      <c r="G236" s="105">
        <v>1</v>
      </c>
      <c r="H236" s="81"/>
      <c r="I236" s="90"/>
      <c r="J236" s="105"/>
      <c r="K236" s="91"/>
      <c r="L236" s="81"/>
      <c r="M236" s="90"/>
      <c r="N236" s="105"/>
      <c r="O236" s="91"/>
      <c r="P236" s="81"/>
      <c r="Q236" s="90"/>
      <c r="R236" s="105"/>
      <c r="S236" s="91"/>
      <c r="T236" s="81"/>
      <c r="U236" s="106">
        <f t="shared" si="15"/>
        <v>0</v>
      </c>
      <c r="V236" s="4">
        <f>C236</f>
        <v>1</v>
      </c>
      <c r="W236" s="4">
        <f t="shared" si="16"/>
        <v>1</v>
      </c>
      <c r="X236" s="4">
        <f t="shared" si="17"/>
        <v>0</v>
      </c>
      <c r="Y236" s="4">
        <f t="shared" si="18"/>
        <v>0</v>
      </c>
      <c r="Z236" s="4">
        <f t="shared" si="19"/>
        <v>0</v>
      </c>
    </row>
    <row r="237" spans="1:26" x14ac:dyDescent="0.35">
      <c r="A237" s="81"/>
      <c r="B237" s="88">
        <v>44055</v>
      </c>
      <c r="C237" s="104">
        <v>1</v>
      </c>
      <c r="D237" s="104">
        <v>1</v>
      </c>
      <c r="E237" s="104">
        <v>1</v>
      </c>
      <c r="F237" s="104">
        <v>1</v>
      </c>
      <c r="G237" s="104">
        <v>1</v>
      </c>
      <c r="H237" s="81"/>
      <c r="I237" s="88"/>
      <c r="J237" s="104"/>
      <c r="K237" s="92"/>
      <c r="L237" s="81"/>
      <c r="M237" s="88"/>
      <c r="N237" s="104"/>
      <c r="O237" s="92"/>
      <c r="P237" s="81"/>
      <c r="Q237" s="88"/>
      <c r="R237" s="104"/>
      <c r="S237" s="92"/>
      <c r="T237" s="81"/>
      <c r="U237" s="106">
        <f t="shared" si="15"/>
        <v>0</v>
      </c>
      <c r="V237" s="4">
        <f>C237</f>
        <v>1</v>
      </c>
      <c r="W237" s="4">
        <f t="shared" si="16"/>
        <v>1</v>
      </c>
      <c r="X237" s="4">
        <f t="shared" si="17"/>
        <v>0</v>
      </c>
      <c r="Y237" s="4">
        <f t="shared" si="18"/>
        <v>0</v>
      </c>
      <c r="Z237" s="4">
        <f t="shared" si="19"/>
        <v>0</v>
      </c>
    </row>
    <row r="238" spans="1:26" x14ac:dyDescent="0.35">
      <c r="A238" s="81"/>
      <c r="B238" s="90">
        <v>44056</v>
      </c>
      <c r="C238" s="105">
        <v>26</v>
      </c>
      <c r="D238" s="105">
        <v>26</v>
      </c>
      <c r="E238" s="105">
        <v>26</v>
      </c>
      <c r="F238" s="105">
        <v>26</v>
      </c>
      <c r="G238" s="105">
        <v>26</v>
      </c>
      <c r="H238" s="81"/>
      <c r="I238" s="90"/>
      <c r="J238" s="105"/>
      <c r="K238" s="91"/>
      <c r="L238" s="81"/>
      <c r="M238" s="90"/>
      <c r="N238" s="105"/>
      <c r="O238" s="91"/>
      <c r="P238" s="81"/>
      <c r="Q238" s="90"/>
      <c r="R238" s="105"/>
      <c r="S238" s="91"/>
      <c r="T238" s="81"/>
      <c r="U238" s="106">
        <f t="shared" si="15"/>
        <v>0</v>
      </c>
      <c r="V238" s="4">
        <f>C238</f>
        <v>26</v>
      </c>
      <c r="W238" s="4">
        <f t="shared" si="16"/>
        <v>26</v>
      </c>
      <c r="X238" s="4">
        <f t="shared" si="17"/>
        <v>0</v>
      </c>
      <c r="Y238" s="4">
        <f t="shared" si="18"/>
        <v>0</v>
      </c>
      <c r="Z238" s="4">
        <f t="shared" si="19"/>
        <v>0</v>
      </c>
    </row>
    <row r="239" spans="1:26" x14ac:dyDescent="0.35">
      <c r="A239" s="81"/>
      <c r="B239" s="88">
        <v>44057</v>
      </c>
      <c r="C239" s="104">
        <v>1</v>
      </c>
      <c r="D239" s="104">
        <v>1</v>
      </c>
      <c r="E239" s="104">
        <v>1</v>
      </c>
      <c r="F239" s="104">
        <v>1</v>
      </c>
      <c r="G239" s="104">
        <v>1</v>
      </c>
      <c r="H239" s="81"/>
      <c r="I239" s="88"/>
      <c r="J239" s="104"/>
      <c r="K239" s="92"/>
      <c r="L239" s="81"/>
      <c r="M239" s="88"/>
      <c r="N239" s="104"/>
      <c r="O239" s="92"/>
      <c r="P239" s="81"/>
      <c r="Q239" s="88"/>
      <c r="R239" s="104"/>
      <c r="S239" s="92"/>
      <c r="T239" s="81"/>
      <c r="U239" s="106">
        <f t="shared" si="15"/>
        <v>0</v>
      </c>
      <c r="V239" s="4">
        <f>C239</f>
        <v>1</v>
      </c>
      <c r="W239" s="4">
        <f t="shared" si="16"/>
        <v>1</v>
      </c>
      <c r="X239" s="4">
        <f t="shared" si="17"/>
        <v>0</v>
      </c>
      <c r="Y239" s="4">
        <f t="shared" si="18"/>
        <v>0</v>
      </c>
      <c r="Z239" s="4">
        <f t="shared" si="19"/>
        <v>0</v>
      </c>
    </row>
    <row r="240" spans="1:26" x14ac:dyDescent="0.35">
      <c r="A240" s="81"/>
      <c r="B240" s="90">
        <v>44058</v>
      </c>
      <c r="C240" s="105">
        <v>1</v>
      </c>
      <c r="D240" s="105">
        <v>1</v>
      </c>
      <c r="E240" s="105">
        <v>1</v>
      </c>
      <c r="F240" s="105">
        <v>1</v>
      </c>
      <c r="G240" s="105">
        <v>1</v>
      </c>
      <c r="H240" s="81"/>
      <c r="I240" s="90"/>
      <c r="J240" s="105"/>
      <c r="K240" s="91"/>
      <c r="L240" s="81"/>
      <c r="M240" s="90"/>
      <c r="N240" s="105"/>
      <c r="O240" s="91"/>
      <c r="P240" s="81"/>
      <c r="Q240" s="90"/>
      <c r="R240" s="105"/>
      <c r="S240" s="91"/>
      <c r="T240" s="81"/>
      <c r="U240" s="106">
        <f t="shared" si="15"/>
        <v>0</v>
      </c>
      <c r="V240" s="4">
        <f>C240</f>
        <v>1</v>
      </c>
      <c r="W240" s="4">
        <f t="shared" si="16"/>
        <v>1</v>
      </c>
      <c r="X240" s="4">
        <f t="shared" si="17"/>
        <v>0</v>
      </c>
      <c r="Y240" s="4">
        <f t="shared" si="18"/>
        <v>0</v>
      </c>
      <c r="Z240" s="4">
        <f t="shared" si="19"/>
        <v>0</v>
      </c>
    </row>
    <row r="241" spans="1:26" x14ac:dyDescent="0.35">
      <c r="A241" s="81"/>
      <c r="B241" s="88">
        <v>44059</v>
      </c>
      <c r="C241" s="104">
        <v>1</v>
      </c>
      <c r="D241" s="104">
        <v>1</v>
      </c>
      <c r="E241" s="104">
        <v>1</v>
      </c>
      <c r="F241" s="104">
        <v>1</v>
      </c>
      <c r="G241" s="104">
        <v>1</v>
      </c>
      <c r="H241" s="81"/>
      <c r="I241" s="88"/>
      <c r="J241" s="104"/>
      <c r="K241" s="92"/>
      <c r="L241" s="81"/>
      <c r="M241" s="88"/>
      <c r="N241" s="104"/>
      <c r="O241" s="92"/>
      <c r="P241" s="81"/>
      <c r="Q241" s="88"/>
      <c r="R241" s="104"/>
      <c r="S241" s="92"/>
      <c r="T241" s="81"/>
      <c r="U241" s="106">
        <f t="shared" si="15"/>
        <v>0</v>
      </c>
      <c r="V241" s="4">
        <f>C241</f>
        <v>1</v>
      </c>
      <c r="W241" s="4">
        <f t="shared" si="16"/>
        <v>1</v>
      </c>
      <c r="X241" s="4">
        <f t="shared" si="17"/>
        <v>0</v>
      </c>
      <c r="Y241" s="4">
        <f t="shared" si="18"/>
        <v>0</v>
      </c>
      <c r="Z241" s="4">
        <f t="shared" si="19"/>
        <v>0</v>
      </c>
    </row>
    <row r="242" spans="1:26" x14ac:dyDescent="0.35">
      <c r="A242" s="81"/>
      <c r="B242" s="90">
        <v>44060</v>
      </c>
      <c r="C242" s="105">
        <v>1</v>
      </c>
      <c r="D242" s="105">
        <v>1</v>
      </c>
      <c r="E242" s="105">
        <v>1</v>
      </c>
      <c r="F242" s="105">
        <v>1</v>
      </c>
      <c r="G242" s="105">
        <v>1</v>
      </c>
      <c r="H242" s="81"/>
      <c r="I242" s="90"/>
      <c r="J242" s="105"/>
      <c r="K242" s="91"/>
      <c r="L242" s="81"/>
      <c r="M242" s="90"/>
      <c r="N242" s="105"/>
      <c r="O242" s="91"/>
      <c r="P242" s="81"/>
      <c r="Q242" s="90"/>
      <c r="R242" s="105"/>
      <c r="S242" s="91"/>
      <c r="T242" s="81"/>
      <c r="U242" s="106">
        <f t="shared" si="15"/>
        <v>0</v>
      </c>
      <c r="V242" s="4">
        <f>C242</f>
        <v>1</v>
      </c>
      <c r="W242" s="4">
        <f t="shared" si="16"/>
        <v>1</v>
      </c>
      <c r="X242" s="4">
        <f t="shared" si="17"/>
        <v>0</v>
      </c>
      <c r="Y242" s="4">
        <f t="shared" si="18"/>
        <v>0</v>
      </c>
      <c r="Z242" s="4">
        <f t="shared" si="19"/>
        <v>0</v>
      </c>
    </row>
    <row r="243" spans="1:26" x14ac:dyDescent="0.35">
      <c r="A243" s="81"/>
      <c r="B243" s="88">
        <v>44061</v>
      </c>
      <c r="C243" s="104">
        <v>1</v>
      </c>
      <c r="D243" s="104">
        <v>1</v>
      </c>
      <c r="E243" s="104">
        <v>1</v>
      </c>
      <c r="F243" s="104">
        <v>1</v>
      </c>
      <c r="G243" s="104">
        <v>1</v>
      </c>
      <c r="H243" s="81"/>
      <c r="I243" s="88"/>
      <c r="J243" s="104"/>
      <c r="K243" s="92"/>
      <c r="L243" s="81"/>
      <c r="M243" s="88"/>
      <c r="N243" s="104"/>
      <c r="O243" s="92"/>
      <c r="P243" s="81"/>
      <c r="Q243" s="88"/>
      <c r="R243" s="104"/>
      <c r="S243" s="92"/>
      <c r="T243" s="81"/>
      <c r="U243" s="106">
        <f t="shared" si="15"/>
        <v>0</v>
      </c>
      <c r="V243" s="4">
        <f>C243</f>
        <v>1</v>
      </c>
      <c r="W243" s="4">
        <f t="shared" si="16"/>
        <v>1</v>
      </c>
      <c r="X243" s="4">
        <f t="shared" si="17"/>
        <v>0</v>
      </c>
      <c r="Y243" s="4">
        <f t="shared" si="18"/>
        <v>0</v>
      </c>
      <c r="Z243" s="4">
        <f t="shared" si="19"/>
        <v>0</v>
      </c>
    </row>
    <row r="244" spans="1:26" x14ac:dyDescent="0.35">
      <c r="A244" s="81"/>
      <c r="B244" s="90">
        <v>44062</v>
      </c>
      <c r="C244" s="105">
        <v>1</v>
      </c>
      <c r="D244" s="105">
        <v>1</v>
      </c>
      <c r="E244" s="105">
        <v>1</v>
      </c>
      <c r="F244" s="105">
        <v>1</v>
      </c>
      <c r="G244" s="105">
        <v>1</v>
      </c>
      <c r="H244" s="81"/>
      <c r="I244" s="90"/>
      <c r="J244" s="105"/>
      <c r="K244" s="91"/>
      <c r="L244" s="81"/>
      <c r="M244" s="90"/>
      <c r="N244" s="105"/>
      <c r="O244" s="91"/>
      <c r="P244" s="81"/>
      <c r="Q244" s="90"/>
      <c r="R244" s="105"/>
      <c r="S244" s="91"/>
      <c r="T244" s="81"/>
      <c r="U244" s="106">
        <f t="shared" si="15"/>
        <v>0</v>
      </c>
      <c r="V244" s="4">
        <f>C244</f>
        <v>1</v>
      </c>
      <c r="W244" s="4">
        <f t="shared" si="16"/>
        <v>1</v>
      </c>
      <c r="X244" s="4">
        <f t="shared" si="17"/>
        <v>0</v>
      </c>
      <c r="Y244" s="4">
        <f t="shared" si="18"/>
        <v>0</v>
      </c>
      <c r="Z244" s="4">
        <f t="shared" si="19"/>
        <v>0</v>
      </c>
    </row>
    <row r="245" spans="1:26" x14ac:dyDescent="0.35">
      <c r="A245" s="81"/>
      <c r="B245" s="88">
        <v>44063</v>
      </c>
      <c r="C245" s="104">
        <v>33</v>
      </c>
      <c r="D245" s="104">
        <v>33</v>
      </c>
      <c r="E245" s="104">
        <v>33</v>
      </c>
      <c r="F245" s="104">
        <v>33</v>
      </c>
      <c r="G245" s="104">
        <v>33</v>
      </c>
      <c r="H245" s="81"/>
      <c r="I245" s="88"/>
      <c r="J245" s="104"/>
      <c r="K245" s="92"/>
      <c r="L245" s="81"/>
      <c r="M245" s="88"/>
      <c r="N245" s="104"/>
      <c r="O245" s="92"/>
      <c r="P245" s="81"/>
      <c r="Q245" s="88"/>
      <c r="R245" s="104"/>
      <c r="S245" s="92"/>
      <c r="T245" s="81"/>
      <c r="U245" s="106">
        <f t="shared" si="15"/>
        <v>0</v>
      </c>
      <c r="V245" s="4">
        <f>C245</f>
        <v>33</v>
      </c>
      <c r="W245" s="4">
        <f t="shared" si="16"/>
        <v>33</v>
      </c>
      <c r="X245" s="4">
        <f t="shared" si="17"/>
        <v>0</v>
      </c>
      <c r="Y245" s="4">
        <f t="shared" si="18"/>
        <v>0</v>
      </c>
      <c r="Z245" s="4">
        <f t="shared" si="19"/>
        <v>0</v>
      </c>
    </row>
    <row r="246" spans="1:26" x14ac:dyDescent="0.35">
      <c r="A246" s="81"/>
      <c r="B246" s="90">
        <v>44064</v>
      </c>
      <c r="C246" s="105">
        <v>34</v>
      </c>
      <c r="D246" s="105">
        <v>34</v>
      </c>
      <c r="E246" s="105">
        <v>34</v>
      </c>
      <c r="F246" s="105">
        <v>34</v>
      </c>
      <c r="G246" s="105">
        <v>34</v>
      </c>
      <c r="H246" s="81"/>
      <c r="I246" s="90"/>
      <c r="J246" s="105"/>
      <c r="K246" s="91"/>
      <c r="L246" s="81"/>
      <c r="M246" s="90"/>
      <c r="N246" s="105"/>
      <c r="O246" s="91"/>
      <c r="P246" s="81"/>
      <c r="Q246" s="90"/>
      <c r="R246" s="105"/>
      <c r="S246" s="91"/>
      <c r="T246" s="81"/>
      <c r="U246" s="106">
        <f t="shared" si="15"/>
        <v>0</v>
      </c>
      <c r="V246" s="4">
        <f>C246</f>
        <v>34</v>
      </c>
      <c r="W246" s="4">
        <f t="shared" si="16"/>
        <v>34</v>
      </c>
      <c r="X246" s="4">
        <f t="shared" si="17"/>
        <v>0</v>
      </c>
      <c r="Y246" s="4">
        <f t="shared" si="18"/>
        <v>0</v>
      </c>
      <c r="Z246" s="4">
        <f t="shared" si="19"/>
        <v>0</v>
      </c>
    </row>
    <row r="247" spans="1:26" x14ac:dyDescent="0.35">
      <c r="A247" s="81"/>
      <c r="B247" s="88">
        <v>44065</v>
      </c>
      <c r="C247" s="104">
        <v>35</v>
      </c>
      <c r="D247" s="104">
        <v>35</v>
      </c>
      <c r="E247" s="104">
        <v>35</v>
      </c>
      <c r="F247" s="104">
        <v>35</v>
      </c>
      <c r="G247" s="104">
        <v>35</v>
      </c>
      <c r="H247" s="81"/>
      <c r="I247" s="88"/>
      <c r="J247" s="104"/>
      <c r="K247" s="92"/>
      <c r="L247" s="81"/>
      <c r="M247" s="88"/>
      <c r="N247" s="104"/>
      <c r="O247" s="92"/>
      <c r="P247" s="81"/>
      <c r="Q247" s="88"/>
      <c r="R247" s="104"/>
      <c r="S247" s="92"/>
      <c r="T247" s="81"/>
      <c r="U247" s="106">
        <f t="shared" si="15"/>
        <v>0</v>
      </c>
      <c r="V247" s="4">
        <f>C247</f>
        <v>35</v>
      </c>
      <c r="W247" s="4">
        <f t="shared" si="16"/>
        <v>35</v>
      </c>
      <c r="X247" s="4">
        <f t="shared" si="17"/>
        <v>0</v>
      </c>
      <c r="Y247" s="4">
        <f t="shared" si="18"/>
        <v>0</v>
      </c>
      <c r="Z247" s="4">
        <f t="shared" si="19"/>
        <v>0</v>
      </c>
    </row>
    <row r="248" spans="1:26" x14ac:dyDescent="0.35">
      <c r="A248" s="81"/>
      <c r="B248" s="90">
        <v>44066</v>
      </c>
      <c r="C248" s="105">
        <v>36</v>
      </c>
      <c r="D248" s="105">
        <v>36</v>
      </c>
      <c r="E248" s="105">
        <v>36</v>
      </c>
      <c r="F248" s="105">
        <v>36</v>
      </c>
      <c r="G248" s="105">
        <v>36</v>
      </c>
      <c r="H248" s="81"/>
      <c r="I248" s="90"/>
      <c r="J248" s="105"/>
      <c r="K248" s="91"/>
      <c r="L248" s="81"/>
      <c r="M248" s="90"/>
      <c r="N248" s="105"/>
      <c r="O248" s="91"/>
      <c r="P248" s="81"/>
      <c r="Q248" s="90"/>
      <c r="R248" s="105"/>
      <c r="S248" s="91"/>
      <c r="T248" s="81"/>
      <c r="U248" s="106">
        <f t="shared" si="15"/>
        <v>0</v>
      </c>
      <c r="V248" s="4">
        <f>C248</f>
        <v>36</v>
      </c>
      <c r="W248" s="4">
        <f t="shared" si="16"/>
        <v>36</v>
      </c>
      <c r="X248" s="4">
        <f t="shared" si="17"/>
        <v>0</v>
      </c>
      <c r="Y248" s="4">
        <f t="shared" si="18"/>
        <v>0</v>
      </c>
      <c r="Z248" s="4">
        <f t="shared" si="19"/>
        <v>0</v>
      </c>
    </row>
    <row r="249" spans="1:26" x14ac:dyDescent="0.35">
      <c r="A249" s="81"/>
      <c r="B249" s="88">
        <v>44067</v>
      </c>
      <c r="C249" s="104">
        <v>37</v>
      </c>
      <c r="D249" s="104">
        <v>37</v>
      </c>
      <c r="E249" s="104">
        <v>37</v>
      </c>
      <c r="F249" s="104">
        <v>37</v>
      </c>
      <c r="G249" s="104">
        <v>37</v>
      </c>
      <c r="H249" s="81"/>
      <c r="I249" s="88"/>
      <c r="J249" s="104"/>
      <c r="K249" s="92"/>
      <c r="L249" s="81"/>
      <c r="M249" s="88"/>
      <c r="N249" s="104"/>
      <c r="O249" s="92"/>
      <c r="P249" s="81"/>
      <c r="Q249" s="88"/>
      <c r="R249" s="104"/>
      <c r="S249" s="92"/>
      <c r="T249" s="81"/>
      <c r="U249" s="106">
        <f t="shared" si="15"/>
        <v>0</v>
      </c>
      <c r="V249" s="4">
        <f>C249</f>
        <v>37</v>
      </c>
      <c r="W249" s="4">
        <f t="shared" si="16"/>
        <v>37</v>
      </c>
      <c r="X249" s="4">
        <f t="shared" si="17"/>
        <v>0</v>
      </c>
      <c r="Y249" s="4">
        <f t="shared" si="18"/>
        <v>0</v>
      </c>
      <c r="Z249" s="4">
        <f t="shared" si="19"/>
        <v>0</v>
      </c>
    </row>
    <row r="250" spans="1:26" x14ac:dyDescent="0.35">
      <c r="A250" s="81"/>
      <c r="B250" s="90">
        <v>44068</v>
      </c>
      <c r="C250" s="105">
        <v>38</v>
      </c>
      <c r="D250" s="105">
        <v>38</v>
      </c>
      <c r="E250" s="105">
        <v>38</v>
      </c>
      <c r="F250" s="105">
        <v>38</v>
      </c>
      <c r="G250" s="105">
        <v>38</v>
      </c>
      <c r="H250" s="81"/>
      <c r="I250" s="90"/>
      <c r="J250" s="105"/>
      <c r="K250" s="91"/>
      <c r="L250" s="81"/>
      <c r="M250" s="90"/>
      <c r="N250" s="105"/>
      <c r="O250" s="91"/>
      <c r="P250" s="81"/>
      <c r="Q250" s="90"/>
      <c r="R250" s="105"/>
      <c r="S250" s="91"/>
      <c r="T250" s="81"/>
      <c r="U250" s="106">
        <f t="shared" si="15"/>
        <v>0</v>
      </c>
      <c r="V250" s="4">
        <f>C250</f>
        <v>38</v>
      </c>
      <c r="W250" s="4">
        <f t="shared" si="16"/>
        <v>38</v>
      </c>
      <c r="X250" s="4">
        <f t="shared" si="17"/>
        <v>0</v>
      </c>
      <c r="Y250" s="4">
        <f t="shared" si="18"/>
        <v>0</v>
      </c>
      <c r="Z250" s="4">
        <f t="shared" si="19"/>
        <v>0</v>
      </c>
    </row>
    <row r="251" spans="1:26" x14ac:dyDescent="0.35">
      <c r="A251" s="81"/>
      <c r="B251" s="93"/>
      <c r="C251" s="94"/>
      <c r="D251" s="94"/>
      <c r="E251" s="94"/>
      <c r="F251" s="94"/>
      <c r="G251" s="94"/>
      <c r="H251" s="95"/>
      <c r="I251" s="87"/>
      <c r="J251" s="87"/>
      <c r="K251" s="96"/>
      <c r="L251" s="95"/>
      <c r="M251" s="87"/>
      <c r="N251" s="87"/>
      <c r="O251" s="96"/>
      <c r="P251" s="95"/>
      <c r="Q251" s="87"/>
      <c r="R251" s="87"/>
      <c r="S251" s="96"/>
      <c r="T251" s="95"/>
    </row>
    <row r="252" spans="1:26" x14ac:dyDescent="0.35">
      <c r="A252" s="97"/>
      <c r="B252" s="97"/>
      <c r="C252" s="97"/>
      <c r="D252" s="97"/>
      <c r="E252" s="97"/>
      <c r="F252" s="97"/>
      <c r="G252" s="97"/>
      <c r="H252" s="97"/>
      <c r="I252" s="97"/>
      <c r="J252" s="97"/>
      <c r="K252" s="97"/>
      <c r="L252" s="97"/>
      <c r="M252" s="97"/>
      <c r="N252" s="97"/>
      <c r="O252" s="97"/>
      <c r="P252" s="97"/>
      <c r="Q252" s="97"/>
      <c r="R252" s="97"/>
      <c r="S252" s="97"/>
      <c r="T252" s="97"/>
      <c r="U252" s="25"/>
      <c r="V252" s="25"/>
      <c r="W252" s="25"/>
      <c r="X252" s="25"/>
      <c r="Y252" s="25"/>
      <c r="Z252" s="25"/>
    </row>
    <row r="253" spans="1:26" x14ac:dyDescent="0.35">
      <c r="A253" s="97"/>
      <c r="B253" s="97"/>
      <c r="C253" s="97"/>
      <c r="D253" s="97"/>
      <c r="E253" s="97"/>
      <c r="F253" s="97"/>
      <c r="G253" s="97"/>
      <c r="H253" s="97"/>
      <c r="I253" s="97"/>
      <c r="J253" s="97"/>
      <c r="K253" s="97"/>
      <c r="L253" s="97"/>
      <c r="M253" s="97"/>
      <c r="N253" s="97"/>
      <c r="O253" s="97"/>
      <c r="P253" s="97"/>
      <c r="Q253" s="97"/>
      <c r="R253" s="97"/>
      <c r="S253" s="97"/>
      <c r="T253" s="97"/>
      <c r="U253" s="25"/>
      <c r="V253" s="25"/>
      <c r="W253" s="25"/>
      <c r="X253" s="25"/>
      <c r="Y253" s="25"/>
      <c r="Z253" s="25"/>
    </row>
    <row r="254" spans="1:26" x14ac:dyDescent="0.35">
      <c r="A254" s="97"/>
      <c r="B254" s="97"/>
      <c r="C254" s="97"/>
      <c r="D254" s="97"/>
      <c r="E254" s="97"/>
      <c r="F254" s="97"/>
      <c r="G254" s="97"/>
      <c r="H254" s="97"/>
      <c r="I254" s="97"/>
      <c r="J254" s="97"/>
      <c r="K254" s="97"/>
      <c r="L254" s="97"/>
      <c r="M254" s="97"/>
      <c r="N254" s="97"/>
      <c r="O254" s="97"/>
      <c r="P254" s="97"/>
      <c r="Q254" s="97"/>
      <c r="R254" s="97"/>
      <c r="S254" s="97"/>
      <c r="T254" s="97"/>
      <c r="U254" s="25"/>
      <c r="V254" s="25"/>
      <c r="W254" s="25"/>
      <c r="X254" s="25"/>
      <c r="Y254" s="25"/>
      <c r="Z254" s="25"/>
    </row>
    <row r="255" spans="1:26" x14ac:dyDescent="0.35">
      <c r="A255" s="97"/>
      <c r="B255" s="97"/>
      <c r="C255" s="97"/>
      <c r="D255" s="97"/>
      <c r="E255" s="97"/>
      <c r="F255" s="97"/>
      <c r="G255" s="97"/>
      <c r="H255" s="97"/>
      <c r="I255" s="97"/>
      <c r="J255" s="97"/>
      <c r="K255" s="97"/>
      <c r="L255" s="97"/>
      <c r="M255" s="97"/>
      <c r="N255" s="97"/>
      <c r="O255" s="97"/>
      <c r="P255" s="97"/>
      <c r="Q255" s="97"/>
      <c r="R255" s="97"/>
      <c r="S255" s="97"/>
      <c r="T255" s="97"/>
      <c r="U255" s="25"/>
      <c r="V255" s="25"/>
      <c r="W255" s="25"/>
      <c r="X255" s="25"/>
      <c r="Y255" s="25"/>
      <c r="Z255" s="25"/>
    </row>
    <row r="256" spans="1:26" x14ac:dyDescent="0.35">
      <c r="A256" s="97"/>
      <c r="B256" s="97"/>
      <c r="C256" s="97"/>
      <c r="D256" s="97"/>
      <c r="E256" s="97"/>
      <c r="F256" s="97"/>
      <c r="G256" s="97"/>
      <c r="H256" s="97"/>
      <c r="I256" s="97"/>
      <c r="J256" s="97"/>
      <c r="K256" s="97"/>
      <c r="L256" s="97"/>
      <c r="M256" s="97"/>
      <c r="N256" s="97"/>
      <c r="O256" s="97"/>
      <c r="P256" s="97"/>
      <c r="Q256" s="97"/>
      <c r="R256" s="97"/>
      <c r="S256" s="97"/>
      <c r="T256" s="97"/>
      <c r="U256" s="25"/>
      <c r="V256" s="25"/>
      <c r="W256" s="25"/>
      <c r="X256" s="25"/>
      <c r="Y256" s="25"/>
      <c r="Z256" s="25"/>
    </row>
    <row r="257" spans="1:26" x14ac:dyDescent="0.35">
      <c r="A257" s="97"/>
      <c r="B257" s="97"/>
      <c r="C257" s="97"/>
      <c r="D257" s="97"/>
      <c r="E257" s="97"/>
      <c r="F257" s="97"/>
      <c r="G257" s="97"/>
      <c r="H257" s="97"/>
      <c r="I257" s="97"/>
      <c r="J257" s="97"/>
      <c r="K257" s="97"/>
      <c r="L257" s="97"/>
      <c r="M257" s="97"/>
      <c r="N257" s="97"/>
      <c r="O257" s="97"/>
      <c r="P257" s="97"/>
      <c r="Q257" s="97"/>
      <c r="R257" s="97"/>
      <c r="S257" s="97"/>
      <c r="T257" s="97"/>
      <c r="U257" s="25"/>
      <c r="V257" s="25"/>
      <c r="W257" s="25"/>
      <c r="X257" s="25"/>
      <c r="Y257" s="25"/>
      <c r="Z257" s="25"/>
    </row>
    <row r="258" spans="1:26" x14ac:dyDescent="0.35">
      <c r="A258" s="97"/>
      <c r="B258" s="97"/>
      <c r="C258" s="97"/>
      <c r="D258" s="97"/>
      <c r="E258" s="97"/>
      <c r="F258" s="97"/>
      <c r="G258" s="97"/>
      <c r="H258" s="97"/>
      <c r="I258" s="97"/>
      <c r="J258" s="97"/>
      <c r="K258" s="97"/>
      <c r="L258" s="97"/>
      <c r="M258" s="97"/>
      <c r="N258" s="97"/>
      <c r="O258" s="97"/>
      <c r="P258" s="97"/>
      <c r="Q258" s="97"/>
      <c r="R258" s="97"/>
      <c r="S258" s="97"/>
      <c r="T258" s="97"/>
      <c r="U258" s="25"/>
      <c r="V258" s="25"/>
      <c r="W258" s="25"/>
      <c r="X258" s="25"/>
      <c r="Y258" s="25"/>
      <c r="Z258" s="25"/>
    </row>
    <row r="259" spans="1:26" x14ac:dyDescent="0.35">
      <c r="A259" s="97"/>
      <c r="B259" s="97"/>
      <c r="C259" s="97"/>
      <c r="D259" s="97"/>
      <c r="E259" s="97"/>
      <c r="F259" s="97"/>
      <c r="G259" s="97"/>
      <c r="H259" s="97"/>
      <c r="I259" s="97"/>
      <c r="J259" s="97"/>
      <c r="K259" s="97"/>
      <c r="L259" s="97"/>
      <c r="M259" s="97"/>
      <c r="N259" s="97"/>
      <c r="O259" s="97"/>
      <c r="P259" s="97"/>
      <c r="Q259" s="97"/>
      <c r="R259" s="97"/>
      <c r="S259" s="97"/>
      <c r="T259" s="97"/>
      <c r="U259" s="25"/>
      <c r="V259" s="25"/>
      <c r="W259" s="25"/>
      <c r="X259" s="25"/>
      <c r="Y259" s="25"/>
      <c r="Z259" s="25"/>
    </row>
    <row r="260" spans="1:26" x14ac:dyDescent="0.35">
      <c r="A260" s="97"/>
      <c r="B260" s="97"/>
      <c r="C260" s="97"/>
      <c r="D260" s="97"/>
      <c r="E260" s="97"/>
      <c r="F260" s="97"/>
      <c r="G260" s="97"/>
      <c r="H260" s="97"/>
      <c r="I260" s="97"/>
      <c r="J260" s="97"/>
      <c r="K260" s="97"/>
      <c r="L260" s="97"/>
      <c r="M260" s="97"/>
      <c r="N260" s="97"/>
      <c r="O260" s="97"/>
      <c r="P260" s="97"/>
      <c r="Q260" s="97"/>
      <c r="R260" s="97"/>
      <c r="S260" s="97"/>
      <c r="T260" s="97"/>
      <c r="U260" s="25"/>
      <c r="V260" s="25"/>
      <c r="W260" s="25"/>
      <c r="X260" s="25"/>
      <c r="Y260" s="25"/>
      <c r="Z260" s="25"/>
    </row>
    <row r="261" spans="1:26" x14ac:dyDescent="0.35">
      <c r="A261" s="97"/>
      <c r="B261" s="97"/>
      <c r="C261" s="97"/>
      <c r="D261" s="97"/>
      <c r="E261" s="97"/>
      <c r="F261" s="97"/>
      <c r="G261" s="97"/>
      <c r="H261" s="97"/>
      <c r="I261" s="97"/>
      <c r="J261" s="97"/>
      <c r="K261" s="97"/>
      <c r="L261" s="97"/>
      <c r="M261" s="97"/>
      <c r="N261" s="97"/>
      <c r="O261" s="97"/>
      <c r="P261" s="97"/>
      <c r="Q261" s="97"/>
      <c r="R261" s="97"/>
      <c r="S261" s="97"/>
      <c r="T261" s="97"/>
      <c r="U261" s="25"/>
      <c r="V261" s="25"/>
      <c r="W261" s="25"/>
      <c r="X261" s="25"/>
      <c r="Y261" s="25"/>
      <c r="Z261" s="25"/>
    </row>
    <row r="262" spans="1:26" x14ac:dyDescent="0.35">
      <c r="A262" s="97"/>
      <c r="B262" s="97"/>
      <c r="C262" s="97"/>
      <c r="D262" s="97"/>
      <c r="E262" s="97"/>
      <c r="F262" s="97"/>
      <c r="G262" s="97"/>
      <c r="H262" s="97"/>
      <c r="I262" s="97"/>
      <c r="J262" s="97"/>
      <c r="K262" s="97"/>
      <c r="L262" s="97"/>
      <c r="M262" s="97"/>
      <c r="N262" s="97"/>
      <c r="O262" s="97"/>
      <c r="P262" s="97"/>
      <c r="Q262" s="97"/>
      <c r="R262" s="97"/>
      <c r="S262" s="97"/>
      <c r="T262" s="97"/>
      <c r="U262" s="25"/>
      <c r="V262" s="25"/>
      <c r="W262" s="25"/>
      <c r="X262" s="25"/>
      <c r="Y262" s="25"/>
      <c r="Z262" s="25"/>
    </row>
    <row r="263" spans="1:26" x14ac:dyDescent="0.35">
      <c r="A263" s="97"/>
      <c r="B263" s="97"/>
      <c r="C263" s="97"/>
      <c r="D263" s="97"/>
      <c r="E263" s="97"/>
      <c r="F263" s="97"/>
      <c r="G263" s="97"/>
      <c r="H263" s="97"/>
      <c r="I263" s="97"/>
      <c r="J263" s="97"/>
      <c r="K263" s="97"/>
      <c r="L263" s="97"/>
      <c r="M263" s="97"/>
      <c r="N263" s="97"/>
      <c r="O263" s="97"/>
      <c r="P263" s="97"/>
      <c r="Q263" s="97"/>
      <c r="R263" s="97"/>
      <c r="S263" s="97"/>
      <c r="T263" s="97"/>
      <c r="U263" s="25"/>
      <c r="V263" s="25"/>
      <c r="W263" s="25"/>
      <c r="X263" s="25"/>
      <c r="Y263" s="25"/>
      <c r="Z263" s="25"/>
    </row>
    <row r="264" spans="1:26" x14ac:dyDescent="0.35">
      <c r="A264" s="97"/>
      <c r="B264" s="97"/>
      <c r="C264" s="97"/>
      <c r="D264" s="97"/>
      <c r="E264" s="97"/>
      <c r="F264" s="97"/>
      <c r="G264" s="97"/>
      <c r="H264" s="97"/>
      <c r="I264" s="97"/>
      <c r="J264" s="97"/>
      <c r="K264" s="97"/>
      <c r="L264" s="97"/>
      <c r="M264" s="97"/>
      <c r="N264" s="97"/>
      <c r="O264" s="97"/>
      <c r="P264" s="97"/>
      <c r="Q264" s="97"/>
      <c r="R264" s="97"/>
      <c r="S264" s="97"/>
      <c r="T264" s="97"/>
      <c r="U264" s="25"/>
      <c r="V264" s="25"/>
      <c r="W264" s="25"/>
      <c r="X264" s="25"/>
      <c r="Y264" s="25"/>
      <c r="Z264" s="25"/>
    </row>
    <row r="265" spans="1:26" x14ac:dyDescent="0.35">
      <c r="A265" s="97"/>
      <c r="B265" s="97"/>
      <c r="C265" s="97"/>
      <c r="D265" s="97"/>
      <c r="E265" s="97"/>
      <c r="F265" s="97"/>
      <c r="G265" s="97"/>
      <c r="H265" s="97"/>
      <c r="I265" s="97"/>
      <c r="J265" s="97"/>
      <c r="K265" s="97"/>
      <c r="L265" s="97"/>
      <c r="M265" s="97"/>
      <c r="N265" s="97"/>
      <c r="O265" s="97"/>
      <c r="P265" s="97"/>
      <c r="Q265" s="97"/>
      <c r="R265" s="97"/>
      <c r="S265" s="97"/>
      <c r="T265" s="97"/>
      <c r="U265" s="25"/>
      <c r="V265" s="25"/>
      <c r="W265" s="25"/>
      <c r="X265" s="25"/>
      <c r="Y265" s="25"/>
      <c r="Z265" s="25"/>
    </row>
    <row r="266" spans="1:26" x14ac:dyDescent="0.35">
      <c r="A266" s="97"/>
      <c r="B266" s="97"/>
      <c r="C266" s="97"/>
      <c r="D266" s="97"/>
      <c r="E266" s="97"/>
      <c r="F266" s="97"/>
      <c r="G266" s="97"/>
      <c r="H266" s="97"/>
      <c r="I266" s="97"/>
      <c r="J266" s="97"/>
      <c r="K266" s="97"/>
      <c r="L266" s="97"/>
      <c r="M266" s="97"/>
      <c r="N266" s="97"/>
      <c r="O266" s="97"/>
      <c r="P266" s="97"/>
      <c r="Q266" s="97"/>
      <c r="R266" s="97"/>
      <c r="S266" s="97"/>
      <c r="T266" s="97"/>
      <c r="U266" s="25"/>
      <c r="V266" s="25"/>
      <c r="W266" s="25"/>
      <c r="X266" s="25"/>
      <c r="Y266" s="25"/>
      <c r="Z266" s="25"/>
    </row>
    <row r="267" spans="1:26" x14ac:dyDescent="0.35">
      <c r="A267" s="97"/>
      <c r="B267" s="97"/>
      <c r="C267" s="97"/>
      <c r="D267" s="97"/>
      <c r="E267" s="97"/>
      <c r="F267" s="97"/>
      <c r="G267" s="97"/>
      <c r="H267" s="97"/>
      <c r="I267" s="97"/>
      <c r="J267" s="97"/>
      <c r="K267" s="97"/>
      <c r="L267" s="97"/>
      <c r="M267" s="97"/>
      <c r="N267" s="97"/>
      <c r="O267" s="97"/>
      <c r="P267" s="97"/>
      <c r="Q267" s="97"/>
      <c r="R267" s="97"/>
      <c r="S267" s="97"/>
      <c r="T267" s="97"/>
      <c r="U267" s="25"/>
      <c r="V267" s="25"/>
      <c r="W267" s="25"/>
      <c r="X267" s="25"/>
      <c r="Y267" s="25"/>
      <c r="Z267" s="25"/>
    </row>
    <row r="268" spans="1:26" x14ac:dyDescent="0.35">
      <c r="A268" s="97"/>
      <c r="B268" s="97"/>
      <c r="C268" s="97"/>
      <c r="D268" s="97"/>
      <c r="E268" s="97"/>
      <c r="F268" s="97"/>
      <c r="G268" s="97"/>
      <c r="H268" s="97"/>
      <c r="I268" s="97"/>
      <c r="J268" s="97"/>
      <c r="K268" s="97"/>
      <c r="L268" s="97"/>
      <c r="M268" s="97"/>
      <c r="N268" s="97"/>
      <c r="O268" s="97"/>
      <c r="P268" s="97"/>
      <c r="Q268" s="97"/>
      <c r="R268" s="97"/>
      <c r="S268" s="97"/>
      <c r="T268" s="97"/>
      <c r="U268" s="25"/>
      <c r="V268" s="25"/>
      <c r="W268" s="25"/>
      <c r="X268" s="25"/>
      <c r="Y268" s="25"/>
      <c r="Z268" s="25"/>
    </row>
    <row r="269" spans="1:26" x14ac:dyDescent="0.35">
      <c r="A269" s="97"/>
      <c r="B269" s="97"/>
      <c r="C269" s="97"/>
      <c r="D269" s="97"/>
      <c r="E269" s="97"/>
      <c r="F269" s="97"/>
      <c r="G269" s="97"/>
      <c r="H269" s="97"/>
      <c r="I269" s="97"/>
      <c r="J269" s="97"/>
      <c r="K269" s="97"/>
      <c r="L269" s="97"/>
      <c r="M269" s="97"/>
      <c r="N269" s="97"/>
      <c r="O269" s="97"/>
      <c r="P269" s="97"/>
      <c r="Q269" s="97"/>
      <c r="R269" s="97"/>
      <c r="S269" s="97"/>
      <c r="T269" s="97"/>
      <c r="U269" s="25"/>
      <c r="V269" s="25"/>
      <c r="W269" s="25"/>
      <c r="X269" s="25"/>
      <c r="Y269" s="25"/>
      <c r="Z269" s="25"/>
    </row>
    <row r="270" spans="1:26" x14ac:dyDescent="0.35">
      <c r="A270" s="97"/>
      <c r="B270" s="97"/>
      <c r="C270" s="97"/>
      <c r="D270" s="97"/>
      <c r="E270" s="97"/>
      <c r="F270" s="97"/>
      <c r="G270" s="97"/>
      <c r="H270" s="97"/>
      <c r="I270" s="97"/>
      <c r="J270" s="97"/>
      <c r="K270" s="97"/>
      <c r="L270" s="97"/>
      <c r="M270" s="97"/>
      <c r="N270" s="97"/>
      <c r="O270" s="97"/>
      <c r="P270" s="97"/>
      <c r="Q270" s="97"/>
      <c r="R270" s="97"/>
      <c r="S270" s="97"/>
      <c r="T270" s="97"/>
      <c r="U270" s="25"/>
      <c r="V270" s="25"/>
      <c r="W270" s="25"/>
      <c r="X270" s="25"/>
      <c r="Y270" s="25"/>
      <c r="Z270" s="25"/>
    </row>
    <row r="271" spans="1:26" x14ac:dyDescent="0.35">
      <c r="A271" s="97"/>
      <c r="B271" s="97"/>
      <c r="C271" s="97"/>
      <c r="D271" s="97"/>
      <c r="E271" s="97"/>
      <c r="F271" s="97"/>
      <c r="G271" s="97"/>
      <c r="H271" s="97"/>
      <c r="I271" s="97"/>
      <c r="J271" s="97"/>
      <c r="K271" s="97"/>
      <c r="L271" s="97"/>
      <c r="M271" s="97"/>
      <c r="N271" s="97"/>
      <c r="O271" s="97"/>
      <c r="P271" s="97"/>
      <c r="Q271" s="97"/>
      <c r="R271" s="97"/>
      <c r="S271" s="97"/>
      <c r="T271" s="97"/>
      <c r="U271" s="25"/>
      <c r="V271" s="25"/>
      <c r="W271" s="25"/>
      <c r="X271" s="25"/>
      <c r="Y271" s="25"/>
      <c r="Z271" s="25"/>
    </row>
    <row r="272" spans="1:26" x14ac:dyDescent="0.35">
      <c r="A272" s="97"/>
      <c r="B272" s="97"/>
      <c r="C272" s="97"/>
      <c r="D272" s="97"/>
      <c r="E272" s="97"/>
      <c r="F272" s="97"/>
      <c r="G272" s="97"/>
      <c r="H272" s="97"/>
      <c r="I272" s="97"/>
      <c r="J272" s="97"/>
      <c r="K272" s="97"/>
      <c r="L272" s="97"/>
      <c r="M272" s="97"/>
      <c r="N272" s="97"/>
      <c r="O272" s="97"/>
      <c r="P272" s="97"/>
      <c r="Q272" s="97"/>
      <c r="R272" s="97"/>
      <c r="S272" s="97"/>
      <c r="T272" s="97"/>
      <c r="U272" s="25"/>
      <c r="V272" s="25"/>
      <c r="W272" s="25"/>
      <c r="X272" s="25"/>
      <c r="Y272" s="25"/>
      <c r="Z272" s="25"/>
    </row>
    <row r="273" spans="1:26" x14ac:dyDescent="0.35">
      <c r="A273" s="97"/>
      <c r="B273" s="97"/>
      <c r="C273" s="97"/>
      <c r="D273" s="97"/>
      <c r="E273" s="97"/>
      <c r="F273" s="97"/>
      <c r="G273" s="97"/>
      <c r="H273" s="97"/>
      <c r="I273" s="97"/>
      <c r="J273" s="97"/>
      <c r="K273" s="97"/>
      <c r="L273" s="97"/>
      <c r="M273" s="97"/>
      <c r="N273" s="97"/>
      <c r="O273" s="97"/>
      <c r="P273" s="97"/>
      <c r="Q273" s="97"/>
      <c r="R273" s="97"/>
      <c r="S273" s="97"/>
      <c r="T273" s="97"/>
      <c r="U273" s="25"/>
      <c r="V273" s="25"/>
      <c r="W273" s="25"/>
      <c r="X273" s="25"/>
      <c r="Y273" s="25"/>
      <c r="Z273" s="25"/>
    </row>
    <row r="274" spans="1:26" x14ac:dyDescent="0.35">
      <c r="A274" s="97"/>
      <c r="B274" s="97"/>
      <c r="C274" s="97"/>
      <c r="D274" s="97"/>
      <c r="E274" s="97"/>
      <c r="F274" s="97"/>
      <c r="G274" s="97"/>
      <c r="H274" s="97"/>
      <c r="I274" s="97"/>
      <c r="J274" s="97"/>
      <c r="K274" s="97"/>
      <c r="L274" s="97"/>
      <c r="M274" s="97"/>
      <c r="N274" s="97"/>
      <c r="O274" s="97"/>
      <c r="P274" s="97"/>
      <c r="Q274" s="97"/>
      <c r="R274" s="97"/>
      <c r="S274" s="97"/>
      <c r="T274" s="97"/>
      <c r="U274" s="25"/>
      <c r="V274" s="25"/>
      <c r="W274" s="25"/>
      <c r="X274" s="25"/>
      <c r="Y274" s="25"/>
      <c r="Z274" s="25"/>
    </row>
    <row r="275" spans="1:26" x14ac:dyDescent="0.35">
      <c r="A275" s="97"/>
      <c r="B275" s="97"/>
      <c r="C275" s="97"/>
      <c r="D275" s="97"/>
      <c r="E275" s="97"/>
      <c r="F275" s="97"/>
      <c r="G275" s="97"/>
      <c r="H275" s="97"/>
      <c r="I275" s="97"/>
      <c r="J275" s="97"/>
      <c r="K275" s="97"/>
      <c r="L275" s="97"/>
      <c r="M275" s="97"/>
      <c r="N275" s="97"/>
      <c r="O275" s="97"/>
      <c r="P275" s="97"/>
      <c r="Q275" s="97"/>
      <c r="R275" s="97"/>
      <c r="S275" s="97"/>
      <c r="T275" s="97"/>
      <c r="U275" s="25"/>
      <c r="V275" s="25"/>
      <c r="W275" s="25"/>
      <c r="X275" s="25"/>
      <c r="Y275" s="25"/>
      <c r="Z275" s="25"/>
    </row>
    <row r="276" spans="1:26" x14ac:dyDescent="0.35">
      <c r="A276" s="97"/>
      <c r="B276" s="97"/>
      <c r="C276" s="97"/>
      <c r="D276" s="97"/>
      <c r="E276" s="97"/>
      <c r="F276" s="97"/>
      <c r="G276" s="97"/>
      <c r="H276" s="97"/>
      <c r="I276" s="97"/>
      <c r="J276" s="97"/>
      <c r="K276" s="97"/>
      <c r="L276" s="97"/>
      <c r="M276" s="97"/>
      <c r="N276" s="97"/>
      <c r="O276" s="97"/>
      <c r="P276" s="97"/>
      <c r="Q276" s="97"/>
      <c r="R276" s="97"/>
      <c r="S276" s="97"/>
      <c r="T276" s="97"/>
      <c r="U276" s="25"/>
      <c r="V276" s="25"/>
      <c r="W276" s="25"/>
      <c r="X276" s="25"/>
      <c r="Y276" s="25"/>
      <c r="Z276" s="25"/>
    </row>
    <row r="277" spans="1:26" x14ac:dyDescent="0.35">
      <c r="A277" s="97"/>
      <c r="B277" s="97"/>
      <c r="C277" s="97"/>
      <c r="D277" s="97"/>
      <c r="E277" s="97"/>
      <c r="F277" s="97"/>
      <c r="G277" s="97"/>
      <c r="H277" s="97"/>
      <c r="I277" s="97"/>
      <c r="J277" s="97"/>
      <c r="K277" s="97"/>
      <c r="L277" s="97"/>
      <c r="M277" s="97"/>
      <c r="N277" s="97"/>
      <c r="O277" s="97"/>
      <c r="P277" s="97"/>
      <c r="Q277" s="97"/>
      <c r="R277" s="97"/>
      <c r="S277" s="97"/>
      <c r="T277" s="97"/>
      <c r="U277" s="25"/>
      <c r="V277" s="25"/>
      <c r="W277" s="25"/>
      <c r="X277" s="25"/>
      <c r="Y277" s="25"/>
      <c r="Z277" s="25"/>
    </row>
    <row r="278" spans="1:26" x14ac:dyDescent="0.35">
      <c r="A278" s="97"/>
      <c r="B278" s="97"/>
      <c r="C278" s="97"/>
      <c r="D278" s="97"/>
      <c r="E278" s="97"/>
      <c r="F278" s="97"/>
      <c r="G278" s="97"/>
      <c r="H278" s="97"/>
      <c r="I278" s="97"/>
      <c r="J278" s="97"/>
      <c r="K278" s="97"/>
      <c r="L278" s="97"/>
      <c r="M278" s="97"/>
      <c r="N278" s="97"/>
      <c r="O278" s="97"/>
      <c r="P278" s="97"/>
      <c r="Q278" s="97"/>
      <c r="R278" s="97"/>
      <c r="S278" s="97"/>
      <c r="T278" s="97"/>
      <c r="U278" s="25"/>
      <c r="V278" s="25"/>
      <c r="W278" s="25"/>
      <c r="X278" s="25"/>
      <c r="Y278" s="25"/>
      <c r="Z278" s="25"/>
    </row>
    <row r="279" spans="1:26" x14ac:dyDescent="0.35">
      <c r="A279" s="97"/>
      <c r="B279" s="97"/>
      <c r="C279" s="97"/>
      <c r="D279" s="97"/>
      <c r="E279" s="97"/>
      <c r="F279" s="97"/>
      <c r="G279" s="97"/>
      <c r="H279" s="97"/>
      <c r="I279" s="97"/>
      <c r="J279" s="97"/>
      <c r="K279" s="97"/>
      <c r="L279" s="97"/>
      <c r="M279" s="97"/>
      <c r="N279" s="97"/>
      <c r="O279" s="97"/>
      <c r="P279" s="97"/>
      <c r="Q279" s="97"/>
      <c r="R279" s="97"/>
      <c r="S279" s="97"/>
      <c r="T279" s="97"/>
      <c r="U279" s="25"/>
      <c r="V279" s="25"/>
      <c r="W279" s="25"/>
      <c r="X279" s="25"/>
      <c r="Y279" s="25"/>
      <c r="Z279" s="25"/>
    </row>
    <row r="280" spans="1:26" x14ac:dyDescent="0.35">
      <c r="A280" s="97"/>
      <c r="B280" s="97"/>
      <c r="C280" s="97"/>
      <c r="D280" s="97"/>
      <c r="E280" s="97"/>
      <c r="F280" s="97"/>
      <c r="G280" s="97"/>
      <c r="H280" s="97"/>
      <c r="I280" s="97"/>
      <c r="J280" s="97"/>
      <c r="K280" s="97"/>
      <c r="L280" s="97"/>
      <c r="M280" s="97"/>
      <c r="N280" s="97"/>
      <c r="O280" s="97"/>
      <c r="P280" s="97"/>
      <c r="Q280" s="97"/>
      <c r="R280" s="97"/>
      <c r="S280" s="97"/>
      <c r="T280" s="97"/>
      <c r="U280" s="25"/>
      <c r="V280" s="25"/>
      <c r="W280" s="25"/>
      <c r="X280" s="25"/>
      <c r="Y280" s="25"/>
      <c r="Z280" s="25"/>
    </row>
    <row r="281" spans="1:26" x14ac:dyDescent="0.35">
      <c r="A281" s="97"/>
      <c r="B281" s="97"/>
      <c r="C281" s="97"/>
      <c r="D281" s="97"/>
      <c r="E281" s="97"/>
      <c r="F281" s="97"/>
      <c r="G281" s="97"/>
      <c r="H281" s="97"/>
      <c r="I281" s="97"/>
      <c r="J281" s="97"/>
      <c r="K281" s="97"/>
      <c r="L281" s="97"/>
      <c r="M281" s="97"/>
      <c r="N281" s="97"/>
      <c r="O281" s="97"/>
      <c r="P281" s="97"/>
      <c r="Q281" s="97"/>
      <c r="R281" s="97"/>
      <c r="S281" s="97"/>
      <c r="T281" s="97"/>
      <c r="U281" s="25"/>
      <c r="V281" s="25"/>
      <c r="W281" s="25"/>
      <c r="X281" s="25"/>
      <c r="Y281" s="25"/>
      <c r="Z281" s="25"/>
    </row>
    <row r="282" spans="1:26" x14ac:dyDescent="0.35">
      <c r="A282" s="97"/>
      <c r="B282" s="97"/>
      <c r="C282" s="97"/>
      <c r="D282" s="97"/>
      <c r="E282" s="97"/>
      <c r="F282" s="97"/>
      <c r="G282" s="97"/>
      <c r="H282" s="97"/>
      <c r="I282" s="97"/>
      <c r="J282" s="97"/>
      <c r="K282" s="97"/>
      <c r="L282" s="97"/>
      <c r="M282" s="97"/>
      <c r="N282" s="97"/>
      <c r="O282" s="97"/>
      <c r="P282" s="97"/>
      <c r="Q282" s="97"/>
      <c r="R282" s="97"/>
      <c r="S282" s="97"/>
      <c r="T282" s="97"/>
      <c r="U282" s="25"/>
      <c r="V282" s="25"/>
      <c r="W282" s="25"/>
      <c r="X282" s="25"/>
      <c r="Y282" s="25"/>
      <c r="Z282" s="25"/>
    </row>
    <row r="283" spans="1:26" x14ac:dyDescent="0.35">
      <c r="A283" s="97"/>
      <c r="B283" s="97"/>
      <c r="C283" s="97"/>
      <c r="D283" s="97"/>
      <c r="E283" s="97"/>
      <c r="F283" s="97"/>
      <c r="G283" s="97"/>
      <c r="H283" s="97"/>
      <c r="I283" s="97"/>
      <c r="J283" s="97"/>
      <c r="K283" s="97"/>
      <c r="L283" s="97"/>
      <c r="M283" s="97"/>
      <c r="N283" s="97"/>
      <c r="O283" s="97"/>
      <c r="P283" s="97"/>
      <c r="Q283" s="97"/>
      <c r="R283" s="97"/>
      <c r="S283" s="97"/>
      <c r="T283" s="97"/>
      <c r="U283" s="25"/>
      <c r="V283" s="25"/>
      <c r="W283" s="25"/>
      <c r="X283" s="25"/>
      <c r="Y283" s="25"/>
      <c r="Z283" s="25"/>
    </row>
    <row r="284" spans="1:26" x14ac:dyDescent="0.35">
      <c r="A284" s="97"/>
      <c r="B284" s="97"/>
      <c r="C284" s="97"/>
      <c r="D284" s="97"/>
      <c r="E284" s="97"/>
      <c r="F284" s="97"/>
      <c r="G284" s="97"/>
      <c r="H284" s="97"/>
      <c r="I284" s="97"/>
      <c r="J284" s="97"/>
      <c r="K284" s="97"/>
      <c r="L284" s="97"/>
      <c r="M284" s="97"/>
      <c r="N284" s="97"/>
      <c r="O284" s="97"/>
      <c r="P284" s="97"/>
      <c r="Q284" s="97"/>
      <c r="R284" s="97"/>
      <c r="S284" s="97"/>
      <c r="T284" s="97"/>
      <c r="U284" s="25"/>
      <c r="V284" s="25"/>
      <c r="W284" s="25"/>
      <c r="X284" s="25"/>
      <c r="Y284" s="25"/>
      <c r="Z284" s="25"/>
    </row>
    <row r="285" spans="1:26" x14ac:dyDescent="0.35">
      <c r="A285" s="97"/>
      <c r="B285" s="97"/>
      <c r="C285" s="97"/>
      <c r="D285" s="97"/>
      <c r="E285" s="97"/>
      <c r="F285" s="97"/>
      <c r="G285" s="97"/>
      <c r="H285" s="97"/>
      <c r="I285" s="97"/>
      <c r="J285" s="97"/>
      <c r="K285" s="97"/>
      <c r="L285" s="97"/>
      <c r="M285" s="97"/>
      <c r="N285" s="97"/>
      <c r="O285" s="97"/>
      <c r="P285" s="97"/>
      <c r="Q285" s="97"/>
      <c r="R285" s="97"/>
      <c r="S285" s="97"/>
      <c r="T285" s="97"/>
      <c r="U285" s="25"/>
      <c r="V285" s="25"/>
      <c r="W285" s="25"/>
      <c r="X285" s="25"/>
      <c r="Y285" s="25"/>
      <c r="Z285" s="25"/>
    </row>
    <row r="286" spans="1:26" x14ac:dyDescent="0.35">
      <c r="A286" s="97"/>
      <c r="B286" s="97"/>
      <c r="C286" s="97"/>
      <c r="D286" s="97"/>
      <c r="E286" s="97"/>
      <c r="F286" s="97"/>
      <c r="G286" s="97"/>
      <c r="H286" s="97"/>
      <c r="I286" s="97"/>
      <c r="J286" s="97"/>
      <c r="K286" s="97"/>
      <c r="L286" s="97"/>
      <c r="M286" s="97"/>
      <c r="N286" s="97"/>
      <c r="O286" s="97"/>
      <c r="P286" s="97"/>
      <c r="Q286" s="97"/>
      <c r="R286" s="97"/>
      <c r="S286" s="97"/>
      <c r="T286" s="97"/>
      <c r="U286" s="25"/>
      <c r="V286" s="25"/>
      <c r="W286" s="25"/>
      <c r="X286" s="25"/>
      <c r="Y286" s="25"/>
      <c r="Z286" s="25"/>
    </row>
    <row r="287" spans="1:26" x14ac:dyDescent="0.35">
      <c r="A287" s="97"/>
      <c r="B287" s="97"/>
      <c r="C287" s="97"/>
      <c r="D287" s="97"/>
      <c r="E287" s="97"/>
      <c r="F287" s="97"/>
      <c r="G287" s="97"/>
      <c r="H287" s="97"/>
      <c r="I287" s="97"/>
      <c r="J287" s="97"/>
      <c r="K287" s="97"/>
      <c r="L287" s="97"/>
      <c r="M287" s="97"/>
      <c r="N287" s="97"/>
      <c r="O287" s="97"/>
      <c r="P287" s="97"/>
      <c r="Q287" s="97"/>
      <c r="R287" s="97"/>
      <c r="S287" s="97"/>
      <c r="T287" s="97"/>
      <c r="U287" s="25"/>
      <c r="V287" s="25"/>
      <c r="W287" s="25"/>
      <c r="X287" s="25"/>
      <c r="Y287" s="25"/>
      <c r="Z287" s="25"/>
    </row>
    <row r="288" spans="1:26" x14ac:dyDescent="0.35">
      <c r="A288" s="97"/>
      <c r="B288" s="97"/>
      <c r="C288" s="97"/>
      <c r="D288" s="97"/>
      <c r="E288" s="97"/>
      <c r="F288" s="97"/>
      <c r="G288" s="97"/>
      <c r="H288" s="97"/>
      <c r="I288" s="97"/>
      <c r="J288" s="97"/>
      <c r="K288" s="97"/>
      <c r="L288" s="97"/>
      <c r="M288" s="97"/>
      <c r="N288" s="97"/>
      <c r="O288" s="97"/>
      <c r="P288" s="97"/>
      <c r="Q288" s="97"/>
      <c r="R288" s="97"/>
      <c r="S288" s="97"/>
      <c r="T288" s="97"/>
      <c r="U288" s="25"/>
      <c r="V288" s="25"/>
      <c r="W288" s="25"/>
      <c r="X288" s="25"/>
      <c r="Y288" s="25"/>
      <c r="Z288" s="25"/>
    </row>
    <row r="289" spans="1:26" x14ac:dyDescent="0.35">
      <c r="A289" s="97"/>
      <c r="B289" s="97"/>
      <c r="C289" s="97"/>
      <c r="D289" s="97"/>
      <c r="E289" s="97"/>
      <c r="F289" s="97"/>
      <c r="G289" s="97"/>
      <c r="H289" s="97"/>
      <c r="I289" s="97"/>
      <c r="J289" s="97"/>
      <c r="K289" s="97"/>
      <c r="L289" s="97"/>
      <c r="M289" s="97"/>
      <c r="N289" s="97"/>
      <c r="O289" s="97"/>
      <c r="P289" s="97"/>
      <c r="Q289" s="97"/>
      <c r="R289" s="97"/>
      <c r="S289" s="97"/>
      <c r="T289" s="97"/>
      <c r="U289" s="25"/>
      <c r="V289" s="25"/>
      <c r="W289" s="25"/>
      <c r="X289" s="25"/>
      <c r="Y289" s="25"/>
      <c r="Z289" s="25"/>
    </row>
    <row r="290" spans="1:26" x14ac:dyDescent="0.35">
      <c r="A290" s="97"/>
      <c r="B290" s="97"/>
      <c r="C290" s="97"/>
      <c r="D290" s="97"/>
      <c r="E290" s="97"/>
      <c r="F290" s="97"/>
      <c r="G290" s="97"/>
      <c r="H290" s="97"/>
      <c r="I290" s="97"/>
      <c r="J290" s="97"/>
      <c r="K290" s="97"/>
      <c r="L290" s="97"/>
      <c r="M290" s="97"/>
      <c r="N290" s="97"/>
      <c r="O290" s="97"/>
      <c r="P290" s="97"/>
      <c r="Q290" s="97"/>
      <c r="R290" s="97"/>
      <c r="S290" s="97"/>
      <c r="T290" s="97"/>
      <c r="U290" s="25"/>
      <c r="V290" s="25"/>
      <c r="W290" s="25"/>
      <c r="X290" s="25"/>
      <c r="Y290" s="25"/>
      <c r="Z290" s="25"/>
    </row>
    <row r="291" spans="1:26" x14ac:dyDescent="0.35">
      <c r="A291" s="97"/>
      <c r="B291" s="97"/>
      <c r="C291" s="97"/>
      <c r="D291" s="97"/>
      <c r="E291" s="97"/>
      <c r="F291" s="97"/>
      <c r="G291" s="97"/>
      <c r="H291" s="97"/>
      <c r="I291" s="97"/>
      <c r="J291" s="97"/>
      <c r="K291" s="97"/>
      <c r="L291" s="97"/>
      <c r="M291" s="97"/>
      <c r="N291" s="97"/>
      <c r="O291" s="97"/>
      <c r="P291" s="97"/>
      <c r="Q291" s="97"/>
      <c r="R291" s="97"/>
      <c r="S291" s="97"/>
      <c r="T291" s="97"/>
      <c r="U291" s="25"/>
      <c r="V291" s="25"/>
      <c r="W291" s="25"/>
      <c r="X291" s="25"/>
      <c r="Y291" s="25"/>
      <c r="Z291" s="25"/>
    </row>
    <row r="292" spans="1:26" x14ac:dyDescent="0.35">
      <c r="A292" s="97"/>
      <c r="B292" s="97"/>
      <c r="C292" s="97"/>
      <c r="D292" s="97"/>
      <c r="E292" s="97"/>
      <c r="F292" s="97"/>
      <c r="G292" s="97"/>
      <c r="H292" s="97"/>
      <c r="I292" s="97"/>
      <c r="J292" s="97"/>
      <c r="K292" s="97"/>
      <c r="L292" s="97"/>
      <c r="M292" s="97"/>
      <c r="N292" s="97"/>
      <c r="O292" s="97"/>
      <c r="P292" s="97"/>
      <c r="Q292" s="97"/>
      <c r="R292" s="97"/>
      <c r="S292" s="97"/>
      <c r="T292" s="97"/>
      <c r="U292" s="25"/>
      <c r="V292" s="25"/>
      <c r="W292" s="25"/>
      <c r="X292" s="25"/>
      <c r="Y292" s="25"/>
      <c r="Z292" s="25"/>
    </row>
    <row r="293" spans="1:26" x14ac:dyDescent="0.35">
      <c r="A293" s="97"/>
      <c r="B293" s="97"/>
      <c r="C293" s="97"/>
      <c r="D293" s="97"/>
      <c r="E293" s="97"/>
      <c r="F293" s="97"/>
      <c r="G293" s="97"/>
      <c r="H293" s="97"/>
      <c r="I293" s="97"/>
      <c r="J293" s="97"/>
      <c r="K293" s="97"/>
      <c r="L293" s="97"/>
      <c r="M293" s="97"/>
      <c r="N293" s="97"/>
      <c r="O293" s="97"/>
      <c r="P293" s="97"/>
      <c r="Q293" s="97"/>
      <c r="R293" s="97"/>
      <c r="S293" s="97"/>
      <c r="T293" s="97"/>
      <c r="U293" s="25"/>
      <c r="V293" s="25"/>
      <c r="W293" s="25"/>
      <c r="X293" s="25"/>
      <c r="Y293" s="25"/>
      <c r="Z293" s="25"/>
    </row>
    <row r="294" spans="1:26" x14ac:dyDescent="0.35">
      <c r="A294" s="97"/>
      <c r="B294" s="97"/>
      <c r="C294" s="97"/>
      <c r="D294" s="97"/>
      <c r="E294" s="97"/>
      <c r="F294" s="97"/>
      <c r="G294" s="97"/>
      <c r="H294" s="97"/>
      <c r="I294" s="97"/>
      <c r="J294" s="97"/>
      <c r="K294" s="97"/>
      <c r="L294" s="97"/>
      <c r="M294" s="97"/>
      <c r="N294" s="97"/>
      <c r="O294" s="97"/>
      <c r="P294" s="97"/>
      <c r="Q294" s="97"/>
      <c r="R294" s="97"/>
      <c r="S294" s="97"/>
      <c r="T294" s="97"/>
      <c r="U294" s="25"/>
      <c r="V294" s="25"/>
      <c r="W294" s="25"/>
      <c r="X294" s="25"/>
      <c r="Y294" s="25"/>
      <c r="Z294" s="25"/>
    </row>
    <row r="295" spans="1:26" x14ac:dyDescent="0.35">
      <c r="A295" s="97"/>
      <c r="B295" s="97"/>
      <c r="C295" s="97"/>
      <c r="D295" s="97"/>
      <c r="E295" s="97"/>
      <c r="F295" s="97"/>
      <c r="G295" s="97"/>
      <c r="H295" s="97"/>
      <c r="I295" s="97"/>
      <c r="J295" s="97"/>
      <c r="K295" s="97"/>
      <c r="L295" s="97"/>
      <c r="M295" s="97"/>
      <c r="N295" s="97"/>
      <c r="O295" s="97"/>
      <c r="P295" s="97"/>
      <c r="Q295" s="97"/>
      <c r="R295" s="97"/>
      <c r="S295" s="97"/>
      <c r="T295" s="97"/>
      <c r="U295" s="25"/>
      <c r="V295" s="25"/>
      <c r="W295" s="25"/>
      <c r="X295" s="25"/>
      <c r="Y295" s="25"/>
      <c r="Z295" s="25"/>
    </row>
    <row r="296" spans="1:26" x14ac:dyDescent="0.35">
      <c r="A296" s="97"/>
      <c r="B296" s="97"/>
      <c r="C296" s="97"/>
      <c r="D296" s="97"/>
      <c r="E296" s="97"/>
      <c r="F296" s="97"/>
      <c r="G296" s="97"/>
      <c r="H296" s="97"/>
      <c r="I296" s="97"/>
      <c r="J296" s="97"/>
      <c r="K296" s="97"/>
      <c r="L296" s="97"/>
      <c r="M296" s="97"/>
      <c r="N296" s="97"/>
      <c r="O296" s="97"/>
      <c r="P296" s="97"/>
      <c r="Q296" s="97"/>
      <c r="R296" s="97"/>
      <c r="S296" s="97"/>
      <c r="T296" s="97"/>
      <c r="U296" s="25"/>
      <c r="V296" s="25"/>
      <c r="W296" s="25"/>
      <c r="X296" s="25"/>
      <c r="Y296" s="25"/>
      <c r="Z296" s="25"/>
    </row>
    <row r="297" spans="1:26" x14ac:dyDescent="0.35">
      <c r="A297" s="97"/>
      <c r="B297" s="97"/>
      <c r="C297" s="97"/>
      <c r="D297" s="97"/>
      <c r="E297" s="97"/>
      <c r="F297" s="97"/>
      <c r="G297" s="97"/>
      <c r="H297" s="97"/>
      <c r="I297" s="97"/>
      <c r="J297" s="97"/>
      <c r="K297" s="97"/>
      <c r="L297" s="97"/>
      <c r="M297" s="97"/>
      <c r="N297" s="97"/>
      <c r="O297" s="97"/>
      <c r="P297" s="97"/>
      <c r="Q297" s="97"/>
      <c r="R297" s="97"/>
      <c r="S297" s="97"/>
      <c r="T297" s="97"/>
      <c r="U297" s="25"/>
      <c r="V297" s="25"/>
      <c r="W297" s="25"/>
      <c r="X297" s="25"/>
      <c r="Y297" s="25"/>
      <c r="Z297" s="25"/>
    </row>
    <row r="298" spans="1:26" x14ac:dyDescent="0.35">
      <c r="A298" s="97"/>
      <c r="B298" s="97"/>
      <c r="C298" s="97"/>
      <c r="D298" s="97"/>
      <c r="E298" s="97"/>
      <c r="F298" s="97"/>
      <c r="G298" s="97"/>
      <c r="H298" s="97"/>
      <c r="I298" s="97"/>
      <c r="J298" s="97"/>
      <c r="K298" s="97"/>
      <c r="L298" s="97"/>
      <c r="M298" s="97"/>
      <c r="N298" s="97"/>
      <c r="O298" s="97"/>
      <c r="P298" s="97"/>
      <c r="Q298" s="97"/>
      <c r="R298" s="97"/>
      <c r="S298" s="97"/>
      <c r="T298" s="97"/>
      <c r="U298" s="25"/>
      <c r="V298" s="25"/>
      <c r="W298" s="25"/>
      <c r="X298" s="25"/>
      <c r="Y298" s="25"/>
      <c r="Z298" s="25"/>
    </row>
    <row r="299" spans="1:26" x14ac:dyDescent="0.35">
      <c r="A299" s="97"/>
      <c r="B299" s="97"/>
      <c r="C299" s="97"/>
      <c r="D299" s="97"/>
      <c r="E299" s="97"/>
      <c r="F299" s="97"/>
      <c r="G299" s="97"/>
      <c r="H299" s="97"/>
      <c r="I299" s="97"/>
      <c r="J299" s="97"/>
      <c r="K299" s="97"/>
      <c r="L299" s="97"/>
      <c r="M299" s="97"/>
      <c r="N299" s="97"/>
      <c r="O299" s="97"/>
      <c r="P299" s="97"/>
      <c r="Q299" s="97"/>
      <c r="R299" s="97"/>
      <c r="S299" s="97"/>
      <c r="T299" s="97"/>
      <c r="U299" s="25"/>
      <c r="V299" s="25"/>
      <c r="W299" s="25"/>
      <c r="X299" s="25"/>
      <c r="Y299" s="25"/>
      <c r="Z299" s="25"/>
    </row>
    <row r="300" spans="1:26" x14ac:dyDescent="0.35">
      <c r="A300" s="97"/>
      <c r="B300" s="97"/>
      <c r="C300" s="97"/>
      <c r="D300" s="97"/>
      <c r="E300" s="97"/>
      <c r="F300" s="97"/>
      <c r="G300" s="97"/>
      <c r="H300" s="97"/>
      <c r="I300" s="97"/>
      <c r="J300" s="97"/>
      <c r="K300" s="97"/>
      <c r="L300" s="97"/>
      <c r="M300" s="97"/>
      <c r="N300" s="97"/>
      <c r="O300" s="97"/>
      <c r="P300" s="97"/>
      <c r="Q300" s="97"/>
      <c r="R300" s="97"/>
      <c r="S300" s="97"/>
      <c r="T300" s="97"/>
      <c r="U300" s="25"/>
      <c r="V300" s="25"/>
      <c r="W300" s="25"/>
      <c r="X300" s="25"/>
      <c r="Y300" s="25"/>
      <c r="Z300" s="25"/>
    </row>
    <row r="301" spans="1:26" x14ac:dyDescent="0.35">
      <c r="A301" s="97"/>
      <c r="B301" s="97"/>
      <c r="C301" s="97"/>
      <c r="D301" s="97"/>
      <c r="E301" s="97"/>
      <c r="F301" s="97"/>
      <c r="G301" s="97"/>
      <c r="H301" s="97"/>
      <c r="I301" s="97"/>
      <c r="J301" s="97"/>
      <c r="K301" s="97"/>
      <c r="L301" s="97"/>
      <c r="M301" s="97"/>
      <c r="N301" s="97"/>
      <c r="O301" s="97"/>
      <c r="P301" s="97"/>
      <c r="Q301" s="97"/>
      <c r="R301" s="97"/>
      <c r="S301" s="97"/>
      <c r="T301" s="97"/>
      <c r="U301" s="25"/>
      <c r="V301" s="25"/>
      <c r="W301" s="25"/>
      <c r="X301" s="25"/>
      <c r="Y301" s="25"/>
      <c r="Z301" s="25"/>
    </row>
    <row r="302" spans="1:26" x14ac:dyDescent="0.35">
      <c r="A302" s="97"/>
      <c r="B302" s="97"/>
      <c r="C302" s="97"/>
      <c r="D302" s="97"/>
      <c r="E302" s="97"/>
      <c r="F302" s="97"/>
      <c r="G302" s="97"/>
      <c r="H302" s="97"/>
      <c r="I302" s="97"/>
      <c r="J302" s="97"/>
      <c r="K302" s="97"/>
      <c r="L302" s="97"/>
      <c r="M302" s="97"/>
      <c r="N302" s="97"/>
      <c r="O302" s="97"/>
      <c r="P302" s="97"/>
      <c r="Q302" s="97"/>
      <c r="R302" s="97"/>
      <c r="S302" s="97"/>
      <c r="T302" s="97"/>
      <c r="U302" s="25"/>
      <c r="V302" s="25"/>
      <c r="W302" s="25"/>
      <c r="X302" s="25"/>
      <c r="Y302" s="25"/>
      <c r="Z302" s="25"/>
    </row>
    <row r="303" spans="1:26" x14ac:dyDescent="0.35">
      <c r="A303" s="97"/>
      <c r="B303" s="97"/>
      <c r="C303" s="97"/>
      <c r="D303" s="97"/>
      <c r="E303" s="97"/>
      <c r="F303" s="97"/>
      <c r="G303" s="97"/>
      <c r="H303" s="97"/>
      <c r="I303" s="97"/>
      <c r="J303" s="97"/>
      <c r="K303" s="97"/>
      <c r="L303" s="97"/>
      <c r="M303" s="97"/>
      <c r="N303" s="97"/>
      <c r="O303" s="97"/>
      <c r="P303" s="97"/>
      <c r="Q303" s="97"/>
      <c r="R303" s="97"/>
      <c r="S303" s="97"/>
      <c r="T303" s="97"/>
      <c r="U303" s="25"/>
      <c r="V303" s="25"/>
      <c r="W303" s="25"/>
      <c r="X303" s="25"/>
      <c r="Y303" s="25"/>
      <c r="Z303" s="25"/>
    </row>
    <row r="304" spans="1:26" x14ac:dyDescent="0.35">
      <c r="A304" s="97"/>
      <c r="B304" s="97"/>
      <c r="C304" s="97"/>
      <c r="D304" s="97"/>
      <c r="E304" s="97"/>
      <c r="F304" s="97"/>
      <c r="G304" s="97"/>
      <c r="H304" s="97"/>
      <c r="I304" s="97"/>
      <c r="J304" s="97"/>
      <c r="K304" s="97"/>
      <c r="L304" s="97"/>
      <c r="M304" s="97"/>
      <c r="N304" s="97"/>
      <c r="O304" s="97"/>
      <c r="P304" s="97"/>
      <c r="Q304" s="97"/>
      <c r="R304" s="97"/>
      <c r="S304" s="97"/>
      <c r="T304" s="97"/>
      <c r="U304" s="25"/>
      <c r="V304" s="25"/>
      <c r="W304" s="25"/>
      <c r="X304" s="25"/>
      <c r="Y304" s="25"/>
      <c r="Z304" s="25"/>
    </row>
    <row r="305" spans="1:26" x14ac:dyDescent="0.35">
      <c r="A305" s="97"/>
      <c r="B305" s="97"/>
      <c r="C305" s="97"/>
      <c r="D305" s="97"/>
      <c r="E305" s="97"/>
      <c r="F305" s="97"/>
      <c r="G305" s="97"/>
      <c r="H305" s="97"/>
      <c r="I305" s="97"/>
      <c r="J305" s="97"/>
      <c r="K305" s="97"/>
      <c r="L305" s="97"/>
      <c r="M305" s="97"/>
      <c r="N305" s="97"/>
      <c r="O305" s="97"/>
      <c r="P305" s="97"/>
      <c r="Q305" s="97"/>
      <c r="R305" s="97"/>
      <c r="S305" s="97"/>
      <c r="T305" s="97"/>
      <c r="U305" s="25"/>
      <c r="V305" s="25"/>
      <c r="W305" s="25"/>
      <c r="X305" s="25"/>
      <c r="Y305" s="25"/>
      <c r="Z305" s="25"/>
    </row>
    <row r="306" spans="1:26" x14ac:dyDescent="0.35">
      <c r="A306" s="97"/>
      <c r="B306" s="97"/>
      <c r="C306" s="97"/>
      <c r="D306" s="97"/>
      <c r="E306" s="97"/>
      <c r="F306" s="97"/>
      <c r="G306" s="97"/>
      <c r="H306" s="97"/>
      <c r="I306" s="97"/>
      <c r="J306" s="97"/>
      <c r="K306" s="97"/>
      <c r="L306" s="97"/>
      <c r="M306" s="97"/>
      <c r="N306" s="97"/>
      <c r="O306" s="97"/>
      <c r="P306" s="97"/>
      <c r="Q306" s="97"/>
      <c r="R306" s="97"/>
      <c r="S306" s="97"/>
      <c r="T306" s="97"/>
      <c r="U306" s="25"/>
      <c r="V306" s="25"/>
      <c r="W306" s="25"/>
      <c r="X306" s="25"/>
      <c r="Y306" s="25"/>
      <c r="Z306" s="25"/>
    </row>
    <row r="307" spans="1:26" x14ac:dyDescent="0.35">
      <c r="A307" s="97"/>
      <c r="B307" s="97"/>
      <c r="C307" s="97"/>
      <c r="D307" s="97"/>
      <c r="E307" s="97"/>
      <c r="F307" s="97"/>
      <c r="G307" s="97"/>
      <c r="H307" s="97"/>
      <c r="I307" s="97"/>
      <c r="J307" s="97"/>
      <c r="K307" s="97"/>
      <c r="L307" s="97"/>
      <c r="M307" s="97"/>
      <c r="N307" s="97"/>
      <c r="O307" s="97"/>
      <c r="P307" s="97"/>
      <c r="Q307" s="97"/>
      <c r="R307" s="97"/>
      <c r="S307" s="97"/>
      <c r="T307" s="97"/>
      <c r="U307" s="25"/>
      <c r="V307" s="25"/>
      <c r="W307" s="25"/>
      <c r="X307" s="25"/>
      <c r="Y307" s="25"/>
      <c r="Z307" s="25"/>
    </row>
    <row r="308" spans="1:26" x14ac:dyDescent="0.35">
      <c r="A308" s="97"/>
      <c r="B308" s="97"/>
      <c r="C308" s="97"/>
      <c r="D308" s="97"/>
      <c r="E308" s="97"/>
      <c r="F308" s="97"/>
      <c r="G308" s="97"/>
      <c r="H308" s="97"/>
      <c r="I308" s="97"/>
      <c r="J308" s="97"/>
      <c r="K308" s="97"/>
      <c r="L308" s="97"/>
      <c r="M308" s="97"/>
      <c r="N308" s="97"/>
      <c r="O308" s="97"/>
      <c r="P308" s="97"/>
      <c r="Q308" s="97"/>
      <c r="R308" s="97"/>
      <c r="S308" s="97"/>
      <c r="T308" s="97"/>
      <c r="U308" s="25"/>
      <c r="V308" s="25"/>
      <c r="W308" s="25"/>
      <c r="X308" s="25"/>
      <c r="Y308" s="25"/>
      <c r="Z308" s="25"/>
    </row>
    <row r="309" spans="1:26" x14ac:dyDescent="0.35">
      <c r="A309" s="97"/>
      <c r="B309" s="97"/>
      <c r="C309" s="97"/>
      <c r="D309" s="97"/>
      <c r="E309" s="97"/>
      <c r="F309" s="97"/>
      <c r="G309" s="97"/>
      <c r="H309" s="97"/>
      <c r="I309" s="97"/>
      <c r="J309" s="97"/>
      <c r="K309" s="97"/>
      <c r="L309" s="97"/>
      <c r="M309" s="97"/>
      <c r="N309" s="97"/>
      <c r="O309" s="97"/>
      <c r="P309" s="97"/>
      <c r="Q309" s="97"/>
      <c r="R309" s="97"/>
      <c r="S309" s="97"/>
      <c r="T309" s="97"/>
      <c r="U309" s="25"/>
      <c r="V309" s="25"/>
      <c r="W309" s="25"/>
      <c r="X309" s="25"/>
      <c r="Y309" s="25"/>
      <c r="Z309" s="25"/>
    </row>
    <row r="310" spans="1:26" x14ac:dyDescent="0.35">
      <c r="A310" s="97"/>
      <c r="B310" s="97"/>
      <c r="C310" s="97"/>
      <c r="D310" s="97"/>
      <c r="E310" s="97"/>
      <c r="F310" s="97"/>
      <c r="G310" s="97"/>
      <c r="H310" s="97"/>
      <c r="I310" s="97"/>
      <c r="J310" s="97"/>
      <c r="K310" s="97"/>
      <c r="L310" s="97"/>
      <c r="M310" s="97"/>
      <c r="N310" s="97"/>
      <c r="O310" s="97"/>
      <c r="P310" s="97"/>
      <c r="Q310" s="97"/>
      <c r="R310" s="97"/>
      <c r="S310" s="97"/>
      <c r="T310" s="97"/>
      <c r="U310" s="25"/>
      <c r="V310" s="25"/>
      <c r="W310" s="25"/>
      <c r="X310" s="25"/>
      <c r="Y310" s="25"/>
      <c r="Z310" s="25"/>
    </row>
    <row r="311" spans="1:26" x14ac:dyDescent="0.35">
      <c r="A311" s="97"/>
      <c r="B311" s="97"/>
      <c r="C311" s="97"/>
      <c r="D311" s="97"/>
      <c r="E311" s="97"/>
      <c r="F311" s="97"/>
      <c r="G311" s="97"/>
      <c r="H311" s="97"/>
      <c r="I311" s="97"/>
      <c r="J311" s="97"/>
      <c r="K311" s="97"/>
      <c r="L311" s="97"/>
      <c r="M311" s="97"/>
      <c r="N311" s="97"/>
      <c r="O311" s="97"/>
      <c r="P311" s="97"/>
      <c r="Q311" s="97"/>
      <c r="R311" s="97"/>
      <c r="S311" s="97"/>
      <c r="T311" s="97"/>
      <c r="U311" s="25"/>
      <c r="V311" s="25"/>
      <c r="W311" s="25"/>
      <c r="X311" s="25"/>
      <c r="Y311" s="25"/>
      <c r="Z311" s="25"/>
    </row>
    <row r="312" spans="1:26" x14ac:dyDescent="0.35">
      <c r="A312" s="97"/>
      <c r="B312" s="97"/>
      <c r="C312" s="97"/>
      <c r="D312" s="97"/>
      <c r="E312" s="97"/>
      <c r="F312" s="97"/>
      <c r="G312" s="97"/>
      <c r="H312" s="97"/>
      <c r="I312" s="97"/>
      <c r="J312" s="97"/>
      <c r="K312" s="97"/>
      <c r="L312" s="97"/>
      <c r="M312" s="97"/>
      <c r="N312" s="97"/>
      <c r="O312" s="97"/>
      <c r="P312" s="97"/>
      <c r="Q312" s="97"/>
      <c r="R312" s="97"/>
      <c r="S312" s="97"/>
      <c r="T312" s="97"/>
      <c r="U312" s="25"/>
      <c r="V312" s="25"/>
      <c r="W312" s="25"/>
      <c r="X312" s="25"/>
      <c r="Y312" s="25"/>
      <c r="Z312" s="25"/>
    </row>
    <row r="313" spans="1:26" x14ac:dyDescent="0.35">
      <c r="A313" s="97"/>
      <c r="B313" s="97"/>
      <c r="C313" s="97"/>
      <c r="D313" s="97"/>
      <c r="E313" s="97"/>
      <c r="F313" s="97"/>
      <c r="G313" s="97"/>
      <c r="H313" s="97"/>
      <c r="I313" s="97"/>
      <c r="J313" s="97"/>
      <c r="K313" s="97"/>
      <c r="L313" s="97"/>
      <c r="M313" s="97"/>
      <c r="N313" s="97"/>
      <c r="O313" s="97"/>
      <c r="P313" s="97"/>
      <c r="Q313" s="97"/>
      <c r="R313" s="97"/>
      <c r="S313" s="97"/>
      <c r="T313" s="97"/>
      <c r="U313" s="25"/>
      <c r="V313" s="25"/>
      <c r="W313" s="25"/>
      <c r="X313" s="25"/>
      <c r="Y313" s="25"/>
      <c r="Z313" s="25"/>
    </row>
    <row r="314" spans="1:26" x14ac:dyDescent="0.35">
      <c r="A314" s="97"/>
      <c r="B314" s="97"/>
      <c r="C314" s="97"/>
      <c r="D314" s="97"/>
      <c r="E314" s="97"/>
      <c r="F314" s="97"/>
      <c r="G314" s="97"/>
      <c r="H314" s="97"/>
      <c r="I314" s="97"/>
      <c r="J314" s="97"/>
      <c r="K314" s="97"/>
      <c r="L314" s="97"/>
      <c r="M314" s="97"/>
      <c r="N314" s="97"/>
      <c r="O314" s="97"/>
      <c r="P314" s="97"/>
      <c r="Q314" s="97"/>
      <c r="R314" s="97"/>
      <c r="S314" s="97"/>
      <c r="T314" s="97"/>
      <c r="U314" s="25"/>
      <c r="V314" s="25"/>
      <c r="W314" s="25"/>
      <c r="X314" s="25"/>
      <c r="Y314" s="25"/>
      <c r="Z314" s="25"/>
    </row>
    <row r="315" spans="1:26" x14ac:dyDescent="0.35">
      <c r="A315" s="97"/>
      <c r="B315" s="97"/>
      <c r="C315" s="97"/>
      <c r="D315" s="97"/>
      <c r="E315" s="97"/>
      <c r="F315" s="97"/>
      <c r="G315" s="97"/>
      <c r="H315" s="97"/>
      <c r="I315" s="97"/>
      <c r="J315" s="97"/>
      <c r="K315" s="97"/>
      <c r="L315" s="97"/>
      <c r="M315" s="97"/>
      <c r="N315" s="97"/>
      <c r="O315" s="97"/>
      <c r="P315" s="97"/>
      <c r="Q315" s="97"/>
      <c r="R315" s="97"/>
      <c r="S315" s="97"/>
      <c r="T315" s="97"/>
      <c r="U315" s="25"/>
      <c r="V315" s="25"/>
      <c r="W315" s="25"/>
      <c r="X315" s="25"/>
      <c r="Y315" s="25"/>
      <c r="Z315" s="25"/>
    </row>
    <row r="316" spans="1:26" x14ac:dyDescent="0.35">
      <c r="A316" s="97"/>
      <c r="B316" s="97"/>
      <c r="C316" s="97"/>
      <c r="D316" s="97"/>
      <c r="E316" s="97"/>
      <c r="F316" s="97"/>
      <c r="G316" s="97"/>
      <c r="H316" s="97"/>
      <c r="I316" s="97"/>
      <c r="J316" s="97"/>
      <c r="K316" s="97"/>
      <c r="L316" s="97"/>
      <c r="M316" s="97"/>
      <c r="N316" s="97"/>
      <c r="O316" s="97"/>
      <c r="P316" s="97"/>
      <c r="Q316" s="97"/>
      <c r="R316" s="97"/>
      <c r="S316" s="97"/>
      <c r="T316" s="97"/>
      <c r="U316" s="25"/>
      <c r="V316" s="25"/>
      <c r="W316" s="25"/>
      <c r="X316" s="25"/>
      <c r="Y316" s="25"/>
      <c r="Z316" s="25"/>
    </row>
    <row r="317" spans="1:26" x14ac:dyDescent="0.35">
      <c r="A317" s="97"/>
      <c r="B317" s="97"/>
      <c r="C317" s="97"/>
      <c r="D317" s="97"/>
      <c r="E317" s="97"/>
      <c r="F317" s="97"/>
      <c r="G317" s="97"/>
      <c r="H317" s="97"/>
      <c r="I317" s="97"/>
      <c r="J317" s="97"/>
      <c r="K317" s="97"/>
      <c r="L317" s="97"/>
      <c r="M317" s="97"/>
      <c r="N317" s="97"/>
      <c r="O317" s="97"/>
      <c r="P317" s="97"/>
      <c r="Q317" s="97"/>
      <c r="R317" s="97"/>
      <c r="S317" s="97"/>
      <c r="T317" s="97"/>
      <c r="U317" s="25"/>
      <c r="V317" s="25"/>
      <c r="W317" s="25"/>
      <c r="X317" s="25"/>
      <c r="Y317" s="25"/>
      <c r="Z317" s="25"/>
    </row>
    <row r="318" spans="1:26" x14ac:dyDescent="0.35">
      <c r="A318" s="97"/>
      <c r="B318" s="97"/>
      <c r="C318" s="97"/>
      <c r="D318" s="97"/>
      <c r="E318" s="97"/>
      <c r="F318" s="97"/>
      <c r="G318" s="97"/>
      <c r="H318" s="97"/>
      <c r="I318" s="97"/>
      <c r="J318" s="97"/>
      <c r="K318" s="97"/>
      <c r="L318" s="97"/>
      <c r="M318" s="97"/>
      <c r="N318" s="97"/>
      <c r="O318" s="97"/>
      <c r="P318" s="97"/>
      <c r="Q318" s="97"/>
      <c r="R318" s="97"/>
      <c r="S318" s="97"/>
      <c r="T318" s="97"/>
      <c r="U318" s="25"/>
      <c r="V318" s="25"/>
      <c r="W318" s="25"/>
      <c r="X318" s="25"/>
      <c r="Y318" s="25"/>
      <c r="Z318" s="25"/>
    </row>
    <row r="319" spans="1:26" x14ac:dyDescent="0.35">
      <c r="A319" s="97"/>
      <c r="B319" s="97"/>
      <c r="C319" s="97"/>
      <c r="D319" s="97"/>
      <c r="E319" s="97"/>
      <c r="F319" s="97"/>
      <c r="G319" s="97"/>
      <c r="H319" s="97"/>
      <c r="I319" s="97"/>
      <c r="J319" s="97"/>
      <c r="K319" s="97"/>
      <c r="L319" s="97"/>
      <c r="M319" s="97"/>
      <c r="N319" s="97"/>
      <c r="O319" s="97"/>
      <c r="P319" s="97"/>
      <c r="Q319" s="97"/>
      <c r="R319" s="97"/>
      <c r="S319" s="97"/>
      <c r="T319" s="97"/>
      <c r="U319" s="25"/>
      <c r="V319" s="25"/>
      <c r="W319" s="25"/>
      <c r="X319" s="25"/>
      <c r="Y319" s="25"/>
      <c r="Z319" s="25"/>
    </row>
    <row r="320" spans="1:26" x14ac:dyDescent="0.35">
      <c r="A320" s="97"/>
      <c r="B320" s="97"/>
      <c r="C320" s="97"/>
      <c r="D320" s="97"/>
      <c r="E320" s="97"/>
      <c r="F320" s="97"/>
      <c r="G320" s="97"/>
      <c r="H320" s="97"/>
      <c r="I320" s="97"/>
      <c r="J320" s="97"/>
      <c r="K320" s="97"/>
      <c r="L320" s="97"/>
      <c r="M320" s="97"/>
      <c r="N320" s="97"/>
      <c r="O320" s="97"/>
      <c r="P320" s="97"/>
      <c r="Q320" s="97"/>
      <c r="R320" s="97"/>
      <c r="S320" s="97"/>
      <c r="T320" s="97"/>
      <c r="U320" s="25"/>
      <c r="V320" s="25"/>
      <c r="W320" s="25"/>
      <c r="X320" s="25"/>
      <c r="Y320" s="25"/>
      <c r="Z320" s="25"/>
    </row>
    <row r="321" spans="1:26" x14ac:dyDescent="0.35">
      <c r="A321" s="97"/>
      <c r="B321" s="97"/>
      <c r="C321" s="97"/>
      <c r="D321" s="97"/>
      <c r="E321" s="97"/>
      <c r="F321" s="97"/>
      <c r="G321" s="97"/>
      <c r="H321" s="97"/>
      <c r="I321" s="97"/>
      <c r="J321" s="97"/>
      <c r="K321" s="97"/>
      <c r="L321" s="97"/>
      <c r="M321" s="97"/>
      <c r="N321" s="97"/>
      <c r="O321" s="97"/>
      <c r="P321" s="97"/>
      <c r="Q321" s="97"/>
      <c r="R321" s="97"/>
      <c r="S321" s="97"/>
      <c r="T321" s="97"/>
      <c r="U321" s="25"/>
      <c r="V321" s="25"/>
      <c r="W321" s="25"/>
      <c r="X321" s="25"/>
      <c r="Y321" s="25"/>
      <c r="Z321" s="25"/>
    </row>
    <row r="322" spans="1:26" x14ac:dyDescent="0.35">
      <c r="A322" s="97"/>
      <c r="B322" s="97"/>
      <c r="C322" s="97"/>
      <c r="D322" s="97"/>
      <c r="E322" s="97"/>
      <c r="F322" s="97"/>
      <c r="G322" s="97"/>
      <c r="H322" s="97"/>
      <c r="I322" s="97"/>
      <c r="J322" s="97"/>
      <c r="K322" s="97"/>
      <c r="L322" s="97"/>
      <c r="M322" s="97"/>
      <c r="N322" s="97"/>
      <c r="O322" s="97"/>
      <c r="P322" s="97"/>
      <c r="Q322" s="97"/>
      <c r="R322" s="97"/>
      <c r="S322" s="97"/>
      <c r="T322" s="97"/>
      <c r="U322" s="25"/>
      <c r="V322" s="25"/>
      <c r="W322" s="25"/>
      <c r="X322" s="25"/>
      <c r="Y322" s="25"/>
      <c r="Z322" s="25"/>
    </row>
    <row r="323" spans="1:26" x14ac:dyDescent="0.35">
      <c r="A323" s="97"/>
      <c r="B323" s="97"/>
      <c r="C323" s="97"/>
      <c r="D323" s="97"/>
      <c r="E323" s="97"/>
      <c r="F323" s="97"/>
      <c r="G323" s="97"/>
      <c r="H323" s="97"/>
      <c r="I323" s="97"/>
      <c r="J323" s="97"/>
      <c r="K323" s="97"/>
      <c r="L323" s="97"/>
      <c r="M323" s="97"/>
      <c r="N323" s="97"/>
      <c r="O323" s="97"/>
      <c r="P323" s="97"/>
      <c r="Q323" s="97"/>
      <c r="R323" s="97"/>
      <c r="S323" s="97"/>
      <c r="T323" s="97"/>
      <c r="U323" s="25"/>
      <c r="V323" s="25"/>
      <c r="W323" s="25"/>
      <c r="X323" s="25"/>
      <c r="Y323" s="25"/>
      <c r="Z323" s="25"/>
    </row>
    <row r="324" spans="1:26" x14ac:dyDescent="0.35">
      <c r="A324" s="97"/>
      <c r="B324" s="97"/>
      <c r="C324" s="97"/>
      <c r="D324" s="97"/>
      <c r="E324" s="97"/>
      <c r="F324" s="97"/>
      <c r="G324" s="97"/>
      <c r="H324" s="97"/>
      <c r="I324" s="97"/>
      <c r="J324" s="97"/>
      <c r="K324" s="97"/>
      <c r="L324" s="97"/>
      <c r="M324" s="97"/>
      <c r="N324" s="97"/>
      <c r="O324" s="97"/>
      <c r="P324" s="97"/>
      <c r="Q324" s="97"/>
      <c r="R324" s="97"/>
      <c r="S324" s="97"/>
      <c r="T324" s="97"/>
      <c r="U324" s="25"/>
      <c r="V324" s="25"/>
      <c r="W324" s="25"/>
      <c r="X324" s="25"/>
      <c r="Y324" s="25"/>
      <c r="Z324" s="25"/>
    </row>
    <row r="325" spans="1:26" x14ac:dyDescent="0.35">
      <c r="A325" s="97"/>
      <c r="B325" s="97"/>
      <c r="C325" s="97"/>
      <c r="D325" s="97"/>
      <c r="E325" s="97"/>
      <c r="F325" s="97"/>
      <c r="G325" s="97"/>
      <c r="H325" s="97"/>
      <c r="I325" s="97"/>
      <c r="J325" s="97"/>
      <c r="K325" s="97"/>
      <c r="L325" s="97"/>
      <c r="M325" s="97"/>
      <c r="N325" s="97"/>
      <c r="O325" s="97"/>
      <c r="P325" s="97"/>
      <c r="Q325" s="97"/>
      <c r="R325" s="97"/>
      <c r="S325" s="97"/>
      <c r="T325" s="97"/>
      <c r="U325" s="25"/>
      <c r="V325" s="25"/>
      <c r="W325" s="25"/>
      <c r="X325" s="25"/>
      <c r="Y325" s="25"/>
      <c r="Z325" s="25"/>
    </row>
    <row r="326" spans="1:26" x14ac:dyDescent="0.35">
      <c r="A326" s="97"/>
      <c r="B326" s="97"/>
      <c r="C326" s="97"/>
      <c r="D326" s="97"/>
      <c r="E326" s="97"/>
      <c r="F326" s="97"/>
      <c r="G326" s="97"/>
      <c r="H326" s="97"/>
      <c r="I326" s="97"/>
      <c r="J326" s="97"/>
      <c r="K326" s="97"/>
      <c r="L326" s="97"/>
      <c r="M326" s="97"/>
      <c r="N326" s="97"/>
      <c r="O326" s="97"/>
      <c r="P326" s="97"/>
      <c r="Q326" s="97"/>
      <c r="R326" s="97"/>
      <c r="S326" s="97"/>
      <c r="T326" s="97"/>
      <c r="U326" s="25"/>
      <c r="V326" s="25"/>
      <c r="W326" s="25"/>
      <c r="X326" s="25"/>
      <c r="Y326" s="25"/>
      <c r="Z326" s="25"/>
    </row>
    <row r="327" spans="1:26" x14ac:dyDescent="0.35">
      <c r="A327" s="97"/>
      <c r="B327" s="97"/>
      <c r="C327" s="97"/>
      <c r="D327" s="97"/>
      <c r="E327" s="97"/>
      <c r="F327" s="97"/>
      <c r="G327" s="97"/>
      <c r="H327" s="97"/>
      <c r="I327" s="97"/>
      <c r="J327" s="97"/>
      <c r="K327" s="97"/>
      <c r="L327" s="97"/>
      <c r="M327" s="97"/>
      <c r="N327" s="97"/>
      <c r="O327" s="97"/>
      <c r="P327" s="97"/>
      <c r="Q327" s="97"/>
      <c r="R327" s="97"/>
      <c r="S327" s="97"/>
      <c r="T327" s="97"/>
      <c r="U327" s="25"/>
      <c r="V327" s="25"/>
      <c r="W327" s="25"/>
      <c r="X327" s="25"/>
      <c r="Y327" s="25"/>
      <c r="Z327" s="25"/>
    </row>
    <row r="328" spans="1:26" x14ac:dyDescent="0.35">
      <c r="A328" s="97"/>
      <c r="B328" s="97"/>
      <c r="C328" s="97"/>
      <c r="D328" s="97"/>
      <c r="E328" s="97"/>
      <c r="F328" s="97"/>
      <c r="G328" s="97"/>
      <c r="H328" s="97"/>
      <c r="I328" s="97"/>
      <c r="J328" s="97"/>
      <c r="K328" s="97"/>
      <c r="L328" s="97"/>
      <c r="M328" s="97"/>
      <c r="N328" s="97"/>
      <c r="O328" s="97"/>
      <c r="P328" s="97"/>
      <c r="Q328" s="97"/>
      <c r="R328" s="97"/>
      <c r="S328" s="97"/>
      <c r="T328" s="97"/>
      <c r="U328" s="25"/>
      <c r="V328" s="25"/>
      <c r="W328" s="25"/>
      <c r="X328" s="25"/>
      <c r="Y328" s="25"/>
      <c r="Z328" s="25"/>
    </row>
    <row r="329" spans="1:26" x14ac:dyDescent="0.35">
      <c r="A329" s="97"/>
      <c r="B329" s="97"/>
      <c r="C329" s="97"/>
      <c r="D329" s="97"/>
      <c r="E329" s="97"/>
      <c r="F329" s="97"/>
      <c r="G329" s="97"/>
      <c r="H329" s="97"/>
      <c r="I329" s="97"/>
      <c r="J329" s="97"/>
      <c r="K329" s="97"/>
      <c r="L329" s="97"/>
      <c r="M329" s="97"/>
      <c r="N329" s="97"/>
      <c r="O329" s="97"/>
      <c r="P329" s="97"/>
      <c r="Q329" s="97"/>
      <c r="R329" s="97"/>
      <c r="S329" s="97"/>
      <c r="T329" s="97"/>
      <c r="U329" s="25"/>
      <c r="V329" s="25"/>
      <c r="W329" s="25"/>
      <c r="X329" s="25"/>
      <c r="Y329" s="25"/>
      <c r="Z329" s="25"/>
    </row>
    <row r="330" spans="1:26" x14ac:dyDescent="0.35">
      <c r="A330" s="97"/>
      <c r="B330" s="97"/>
      <c r="C330" s="97"/>
      <c r="D330" s="97"/>
      <c r="E330" s="97"/>
      <c r="F330" s="97"/>
      <c r="G330" s="97"/>
      <c r="H330" s="97"/>
      <c r="I330" s="97"/>
      <c r="J330" s="97"/>
      <c r="K330" s="97"/>
      <c r="L330" s="97"/>
      <c r="M330" s="97"/>
      <c r="N330" s="97"/>
      <c r="O330" s="97"/>
      <c r="P330" s="97"/>
      <c r="Q330" s="97"/>
      <c r="R330" s="97"/>
      <c r="S330" s="97"/>
      <c r="T330" s="97"/>
      <c r="U330" s="25"/>
      <c r="V330" s="25"/>
      <c r="W330" s="25"/>
      <c r="X330" s="25"/>
      <c r="Y330" s="25"/>
      <c r="Z330" s="25"/>
    </row>
    <row r="331" spans="1:26" x14ac:dyDescent="0.35">
      <c r="A331" s="97"/>
      <c r="B331" s="97"/>
      <c r="C331" s="97"/>
      <c r="D331" s="97"/>
      <c r="E331" s="97"/>
      <c r="F331" s="97"/>
      <c r="G331" s="97"/>
      <c r="H331" s="97"/>
      <c r="I331" s="97"/>
      <c r="J331" s="97"/>
      <c r="K331" s="97"/>
      <c r="L331" s="97"/>
      <c r="M331" s="97"/>
      <c r="N331" s="97"/>
      <c r="O331" s="97"/>
      <c r="P331" s="97"/>
      <c r="Q331" s="97"/>
      <c r="R331" s="97"/>
      <c r="S331" s="97"/>
      <c r="T331" s="97"/>
      <c r="U331" s="25"/>
      <c r="V331" s="25"/>
      <c r="W331" s="25"/>
      <c r="X331" s="25"/>
      <c r="Y331" s="25"/>
      <c r="Z331" s="25"/>
    </row>
    <row r="332" spans="1:26" x14ac:dyDescent="0.35">
      <c r="A332" s="97"/>
      <c r="B332" s="97"/>
      <c r="C332" s="97"/>
      <c r="D332" s="97"/>
      <c r="E332" s="97"/>
      <c r="F332" s="97"/>
      <c r="G332" s="97"/>
      <c r="H332" s="97"/>
      <c r="I332" s="97"/>
      <c r="J332" s="97"/>
      <c r="K332" s="97"/>
      <c r="L332" s="97"/>
      <c r="M332" s="97"/>
      <c r="N332" s="97"/>
      <c r="O332" s="97"/>
      <c r="P332" s="97"/>
      <c r="Q332" s="97"/>
      <c r="R332" s="97"/>
      <c r="S332" s="97"/>
      <c r="T332" s="97"/>
      <c r="U332" s="25"/>
      <c r="V332" s="25"/>
      <c r="W332" s="25"/>
      <c r="X332" s="25"/>
      <c r="Y332" s="25"/>
      <c r="Z332" s="25"/>
    </row>
    <row r="333" spans="1:26" x14ac:dyDescent="0.35">
      <c r="A333" s="97"/>
      <c r="B333" s="97"/>
      <c r="C333" s="97"/>
      <c r="D333" s="97"/>
      <c r="E333" s="97"/>
      <c r="F333" s="97"/>
      <c r="G333" s="97"/>
      <c r="H333" s="97"/>
      <c r="I333" s="97"/>
      <c r="J333" s="97"/>
      <c r="K333" s="97"/>
      <c r="L333" s="97"/>
      <c r="M333" s="97"/>
      <c r="N333" s="97"/>
      <c r="O333" s="97"/>
      <c r="P333" s="97"/>
      <c r="Q333" s="97"/>
      <c r="R333" s="97"/>
      <c r="S333" s="97"/>
      <c r="T333" s="97"/>
      <c r="U333" s="25"/>
      <c r="V333" s="25"/>
      <c r="W333" s="25"/>
      <c r="X333" s="25"/>
      <c r="Y333" s="25"/>
      <c r="Z333" s="25"/>
    </row>
    <row r="334" spans="1:26" x14ac:dyDescent="0.35">
      <c r="A334" s="97"/>
      <c r="B334" s="97"/>
      <c r="C334" s="97"/>
      <c r="D334" s="97"/>
      <c r="E334" s="97"/>
      <c r="F334" s="97"/>
      <c r="G334" s="97"/>
      <c r="H334" s="97"/>
      <c r="I334" s="97"/>
      <c r="J334" s="97"/>
      <c r="K334" s="97"/>
      <c r="L334" s="97"/>
      <c r="M334" s="97"/>
      <c r="N334" s="97"/>
      <c r="O334" s="97"/>
      <c r="P334" s="97"/>
      <c r="Q334" s="97"/>
      <c r="R334" s="97"/>
      <c r="S334" s="97"/>
      <c r="T334" s="97"/>
      <c r="U334" s="25"/>
      <c r="V334" s="25"/>
      <c r="W334" s="25"/>
      <c r="X334" s="25"/>
      <c r="Y334" s="25"/>
      <c r="Z334" s="25"/>
    </row>
    <row r="335" spans="1:26" x14ac:dyDescent="0.35">
      <c r="A335" s="97"/>
      <c r="B335" s="97"/>
      <c r="C335" s="97"/>
      <c r="D335" s="97"/>
      <c r="E335" s="97"/>
      <c r="F335" s="97"/>
      <c r="G335" s="97"/>
      <c r="H335" s="97"/>
      <c r="I335" s="97"/>
      <c r="J335" s="97"/>
      <c r="K335" s="97"/>
      <c r="L335" s="97"/>
      <c r="M335" s="97"/>
      <c r="N335" s="97"/>
      <c r="O335" s="97"/>
      <c r="P335" s="97"/>
      <c r="Q335" s="97"/>
      <c r="R335" s="97"/>
      <c r="S335" s="97"/>
      <c r="T335" s="97"/>
      <c r="U335" s="25"/>
      <c r="V335" s="25"/>
      <c r="W335" s="25"/>
      <c r="X335" s="25"/>
      <c r="Y335" s="25"/>
      <c r="Z335" s="25"/>
    </row>
    <row r="336" spans="1:26" x14ac:dyDescent="0.35">
      <c r="A336" s="97"/>
      <c r="B336" s="97"/>
      <c r="C336" s="97"/>
      <c r="D336" s="97"/>
      <c r="E336" s="97"/>
      <c r="F336" s="97"/>
      <c r="G336" s="97"/>
      <c r="H336" s="97"/>
      <c r="I336" s="97"/>
      <c r="J336" s="97"/>
      <c r="K336" s="97"/>
      <c r="L336" s="97"/>
      <c r="M336" s="97"/>
      <c r="N336" s="97"/>
      <c r="O336" s="97"/>
      <c r="P336" s="97"/>
      <c r="Q336" s="97"/>
      <c r="R336" s="97"/>
      <c r="S336" s="97"/>
      <c r="T336" s="97"/>
      <c r="U336" s="25"/>
      <c r="V336" s="25"/>
      <c r="W336" s="25"/>
      <c r="X336" s="25"/>
      <c r="Y336" s="25"/>
      <c r="Z336" s="25"/>
    </row>
    <row r="337" spans="1:26" x14ac:dyDescent="0.35">
      <c r="A337" s="97"/>
      <c r="B337" s="97"/>
      <c r="C337" s="97"/>
      <c r="D337" s="97"/>
      <c r="E337" s="97"/>
      <c r="F337" s="97"/>
      <c r="G337" s="97"/>
      <c r="H337" s="97"/>
      <c r="I337" s="97"/>
      <c r="J337" s="97"/>
      <c r="K337" s="97"/>
      <c r="L337" s="97"/>
      <c r="M337" s="97"/>
      <c r="N337" s="97"/>
      <c r="O337" s="97"/>
      <c r="P337" s="97"/>
      <c r="Q337" s="97"/>
      <c r="R337" s="97"/>
      <c r="S337" s="97"/>
      <c r="T337" s="97"/>
      <c r="U337" s="25"/>
      <c r="V337" s="25"/>
      <c r="W337" s="25"/>
      <c r="X337" s="25"/>
      <c r="Y337" s="25"/>
      <c r="Z337" s="25"/>
    </row>
    <row r="338" spans="1:26" x14ac:dyDescent="0.35">
      <c r="A338" s="97"/>
      <c r="B338" s="97"/>
      <c r="C338" s="97"/>
      <c r="D338" s="97"/>
      <c r="E338" s="97"/>
      <c r="F338" s="97"/>
      <c r="G338" s="97"/>
      <c r="H338" s="97"/>
      <c r="I338" s="97"/>
      <c r="J338" s="97"/>
      <c r="K338" s="97"/>
      <c r="L338" s="97"/>
      <c r="M338" s="97"/>
      <c r="N338" s="97"/>
      <c r="O338" s="97"/>
      <c r="P338" s="97"/>
      <c r="Q338" s="97"/>
      <c r="R338" s="97"/>
      <c r="S338" s="97"/>
      <c r="T338" s="97"/>
      <c r="U338" s="25"/>
      <c r="V338" s="25"/>
      <c r="W338" s="25"/>
      <c r="X338" s="25"/>
      <c r="Y338" s="25"/>
      <c r="Z338" s="25"/>
    </row>
    <row r="339" spans="1:26" x14ac:dyDescent="0.35">
      <c r="A339" s="97"/>
      <c r="B339" s="97"/>
      <c r="C339" s="97"/>
      <c r="D339" s="97"/>
      <c r="E339" s="97"/>
      <c r="F339" s="97"/>
      <c r="G339" s="97"/>
      <c r="H339" s="97"/>
      <c r="I339" s="97"/>
      <c r="J339" s="97"/>
      <c r="K339" s="97"/>
      <c r="L339" s="97"/>
      <c r="M339" s="97"/>
      <c r="N339" s="97"/>
      <c r="O339" s="97"/>
      <c r="P339" s="97"/>
      <c r="Q339" s="97"/>
      <c r="R339" s="97"/>
      <c r="S339" s="97"/>
      <c r="T339" s="97"/>
      <c r="U339" s="25"/>
      <c r="V339" s="25"/>
      <c r="W339" s="25"/>
      <c r="X339" s="25"/>
      <c r="Y339" s="25"/>
      <c r="Z339" s="25"/>
    </row>
    <row r="340" spans="1:26" x14ac:dyDescent="0.35">
      <c r="A340" s="97"/>
      <c r="B340" s="97"/>
      <c r="C340" s="97"/>
      <c r="D340" s="97"/>
      <c r="E340" s="97"/>
      <c r="F340" s="97"/>
      <c r="G340" s="97"/>
      <c r="H340" s="97"/>
      <c r="I340" s="97"/>
      <c r="J340" s="97"/>
      <c r="K340" s="97"/>
      <c r="L340" s="97"/>
      <c r="M340" s="97"/>
      <c r="N340" s="97"/>
      <c r="O340" s="97"/>
      <c r="P340" s="97"/>
      <c r="Q340" s="97"/>
      <c r="R340" s="97"/>
      <c r="S340" s="97"/>
      <c r="T340" s="97"/>
      <c r="U340" s="25"/>
      <c r="V340" s="25"/>
      <c r="W340" s="25"/>
      <c r="X340" s="25"/>
      <c r="Y340" s="25"/>
      <c r="Z340" s="25"/>
    </row>
    <row r="341" spans="1:26" x14ac:dyDescent="0.35">
      <c r="A341" s="97"/>
      <c r="B341" s="97"/>
      <c r="C341" s="97"/>
      <c r="D341" s="97"/>
      <c r="E341" s="97"/>
      <c r="F341" s="97"/>
      <c r="G341" s="97"/>
      <c r="H341" s="97"/>
      <c r="I341" s="97"/>
      <c r="J341" s="97"/>
      <c r="K341" s="97"/>
      <c r="L341" s="97"/>
      <c r="M341" s="97"/>
      <c r="N341" s="97"/>
      <c r="O341" s="97"/>
      <c r="P341" s="97"/>
      <c r="Q341" s="97"/>
      <c r="R341" s="97"/>
      <c r="S341" s="97"/>
      <c r="T341" s="97"/>
      <c r="U341" s="25"/>
      <c r="V341" s="25"/>
      <c r="W341" s="25"/>
      <c r="X341" s="25"/>
      <c r="Y341" s="25"/>
      <c r="Z341" s="25"/>
    </row>
    <row r="342" spans="1:26" x14ac:dyDescent="0.35">
      <c r="A342" s="97"/>
      <c r="B342" s="97"/>
      <c r="C342" s="97"/>
      <c r="D342" s="97"/>
      <c r="E342" s="97"/>
      <c r="F342" s="97"/>
      <c r="G342" s="97"/>
      <c r="H342" s="97"/>
      <c r="I342" s="97"/>
      <c r="J342" s="97"/>
      <c r="K342" s="97"/>
      <c r="L342" s="97"/>
      <c r="M342" s="97"/>
      <c r="N342" s="97"/>
      <c r="O342" s="97"/>
      <c r="P342" s="97"/>
      <c r="Q342" s="97"/>
      <c r="R342" s="97"/>
      <c r="S342" s="97"/>
      <c r="T342" s="97"/>
      <c r="U342" s="25"/>
      <c r="V342" s="25"/>
      <c r="W342" s="25"/>
      <c r="X342" s="25"/>
      <c r="Y342" s="25"/>
      <c r="Z342" s="25"/>
    </row>
    <row r="343" spans="1:26" x14ac:dyDescent="0.35">
      <c r="A343" s="97"/>
      <c r="B343" s="97"/>
      <c r="C343" s="97"/>
      <c r="D343" s="97"/>
      <c r="E343" s="97"/>
      <c r="F343" s="97"/>
      <c r="G343" s="97"/>
      <c r="H343" s="97"/>
      <c r="I343" s="97"/>
      <c r="J343" s="97"/>
      <c r="K343" s="97"/>
      <c r="L343" s="97"/>
      <c r="M343" s="97"/>
      <c r="N343" s="97"/>
      <c r="O343" s="97"/>
      <c r="P343" s="97"/>
      <c r="Q343" s="97"/>
      <c r="R343" s="97"/>
      <c r="S343" s="97"/>
      <c r="T343" s="97"/>
      <c r="U343" s="25"/>
      <c r="V343" s="25"/>
      <c r="W343" s="25"/>
      <c r="X343" s="25"/>
      <c r="Y343" s="25"/>
      <c r="Z343" s="25"/>
    </row>
    <row r="344" spans="1:26" x14ac:dyDescent="0.35">
      <c r="A344" s="97"/>
      <c r="B344" s="97"/>
      <c r="C344" s="97"/>
      <c r="D344" s="97"/>
      <c r="E344" s="97"/>
      <c r="F344" s="97"/>
      <c r="G344" s="97"/>
      <c r="H344" s="97"/>
      <c r="I344" s="97"/>
      <c r="J344" s="97"/>
      <c r="K344" s="97"/>
      <c r="L344" s="97"/>
      <c r="M344" s="97"/>
      <c r="N344" s="97"/>
      <c r="O344" s="97"/>
      <c r="P344" s="97"/>
      <c r="Q344" s="97"/>
      <c r="R344" s="97"/>
      <c r="S344" s="97"/>
      <c r="T344" s="97"/>
      <c r="U344" s="25"/>
      <c r="V344" s="25"/>
      <c r="W344" s="25"/>
      <c r="X344" s="25"/>
      <c r="Y344" s="25"/>
      <c r="Z344" s="25"/>
    </row>
    <row r="345" spans="1:26" x14ac:dyDescent="0.35">
      <c r="A345" s="97"/>
      <c r="B345" s="97"/>
      <c r="C345" s="97"/>
      <c r="D345" s="97"/>
      <c r="E345" s="97"/>
      <c r="F345" s="97"/>
      <c r="G345" s="97"/>
      <c r="H345" s="97"/>
      <c r="I345" s="97"/>
      <c r="J345" s="97"/>
      <c r="K345" s="97"/>
      <c r="L345" s="97"/>
      <c r="M345" s="97"/>
      <c r="N345" s="97"/>
      <c r="O345" s="97"/>
      <c r="P345" s="97"/>
      <c r="Q345" s="97"/>
      <c r="R345" s="97"/>
      <c r="S345" s="97"/>
      <c r="T345" s="97"/>
      <c r="U345" s="25"/>
      <c r="V345" s="25"/>
      <c r="W345" s="25"/>
      <c r="X345" s="25"/>
      <c r="Y345" s="25"/>
      <c r="Z345" s="25"/>
    </row>
    <row r="346" spans="1:26" x14ac:dyDescent="0.35">
      <c r="A346" s="97"/>
      <c r="B346" s="97"/>
      <c r="C346" s="97"/>
      <c r="D346" s="97"/>
      <c r="E346" s="97"/>
      <c r="F346" s="97"/>
      <c r="G346" s="97"/>
      <c r="H346" s="97"/>
      <c r="I346" s="97"/>
      <c r="J346" s="97"/>
      <c r="K346" s="97"/>
      <c r="L346" s="97"/>
      <c r="M346" s="97"/>
      <c r="N346" s="97"/>
      <c r="O346" s="97"/>
      <c r="P346" s="97"/>
      <c r="Q346" s="97"/>
      <c r="R346" s="97"/>
      <c r="S346" s="97"/>
      <c r="T346" s="97"/>
      <c r="U346" s="25"/>
      <c r="V346" s="25"/>
      <c r="W346" s="25"/>
      <c r="X346" s="25"/>
      <c r="Y346" s="25"/>
      <c r="Z346" s="25"/>
    </row>
    <row r="347" spans="1:26" x14ac:dyDescent="0.35">
      <c r="A347" s="97"/>
      <c r="B347" s="97"/>
      <c r="C347" s="97"/>
      <c r="D347" s="97"/>
      <c r="E347" s="97"/>
      <c r="F347" s="97"/>
      <c r="G347" s="97"/>
      <c r="H347" s="97"/>
      <c r="I347" s="97"/>
      <c r="J347" s="97"/>
      <c r="K347" s="97"/>
      <c r="L347" s="97"/>
      <c r="M347" s="97"/>
      <c r="N347" s="97"/>
      <c r="O347" s="97"/>
      <c r="P347" s="97"/>
      <c r="Q347" s="97"/>
      <c r="R347" s="97"/>
      <c r="S347" s="97"/>
      <c r="T347" s="97"/>
      <c r="U347" s="25"/>
      <c r="V347" s="25"/>
      <c r="W347" s="25"/>
      <c r="X347" s="25"/>
      <c r="Y347" s="25"/>
      <c r="Z347" s="25"/>
    </row>
    <row r="348" spans="1:26" x14ac:dyDescent="0.35">
      <c r="A348" s="97"/>
      <c r="B348" s="97"/>
      <c r="C348" s="97"/>
      <c r="D348" s="97"/>
      <c r="E348" s="97"/>
      <c r="F348" s="97"/>
      <c r="G348" s="97"/>
      <c r="H348" s="97"/>
      <c r="I348" s="97"/>
      <c r="J348" s="97"/>
      <c r="K348" s="97"/>
      <c r="L348" s="97"/>
      <c r="M348" s="97"/>
      <c r="N348" s="97"/>
      <c r="O348" s="97"/>
      <c r="P348" s="97"/>
      <c r="Q348" s="97"/>
      <c r="R348" s="97"/>
      <c r="S348" s="97"/>
      <c r="T348" s="97"/>
      <c r="U348" s="25"/>
      <c r="V348" s="25"/>
      <c r="W348" s="25"/>
      <c r="X348" s="25"/>
      <c r="Y348" s="25"/>
      <c r="Z348" s="25"/>
    </row>
    <row r="349" spans="1:26" x14ac:dyDescent="0.35">
      <c r="A349" s="97"/>
      <c r="B349" s="97"/>
      <c r="C349" s="97"/>
      <c r="D349" s="97"/>
      <c r="E349" s="97"/>
      <c r="F349" s="97"/>
      <c r="G349" s="97"/>
      <c r="H349" s="97"/>
      <c r="I349" s="97"/>
      <c r="J349" s="97"/>
      <c r="K349" s="97"/>
      <c r="L349" s="97"/>
      <c r="M349" s="97"/>
      <c r="N349" s="97"/>
      <c r="O349" s="97"/>
      <c r="P349" s="97"/>
      <c r="Q349" s="97"/>
      <c r="R349" s="97"/>
      <c r="S349" s="97"/>
      <c r="T349" s="97"/>
      <c r="U349" s="25"/>
      <c r="V349" s="25"/>
      <c r="W349" s="25"/>
      <c r="X349" s="25"/>
      <c r="Y349" s="25"/>
      <c r="Z349" s="25"/>
    </row>
    <row r="350" spans="1:26" x14ac:dyDescent="0.35">
      <c r="A350" s="97"/>
      <c r="B350" s="97"/>
      <c r="C350" s="97"/>
      <c r="D350" s="97"/>
      <c r="E350" s="97"/>
      <c r="F350" s="97"/>
      <c r="G350" s="97"/>
      <c r="H350" s="97"/>
      <c r="I350" s="97"/>
      <c r="J350" s="97"/>
      <c r="K350" s="97"/>
      <c r="L350" s="97"/>
      <c r="M350" s="97"/>
      <c r="N350" s="97"/>
      <c r="O350" s="97"/>
      <c r="P350" s="97"/>
      <c r="Q350" s="97"/>
      <c r="R350" s="97"/>
      <c r="S350" s="97"/>
      <c r="T350" s="97"/>
      <c r="U350" s="25"/>
      <c r="V350" s="25"/>
      <c r="W350" s="25"/>
      <c r="X350" s="25"/>
      <c r="Y350" s="25"/>
      <c r="Z350" s="25"/>
    </row>
    <row r="351" spans="1:26" x14ac:dyDescent="0.35">
      <c r="A351" s="97"/>
      <c r="B351" s="97"/>
      <c r="C351" s="97"/>
      <c r="D351" s="97"/>
      <c r="E351" s="97"/>
      <c r="F351" s="97"/>
      <c r="G351" s="97"/>
      <c r="H351" s="97"/>
      <c r="I351" s="97"/>
      <c r="J351" s="97"/>
      <c r="K351" s="97"/>
      <c r="L351" s="97"/>
      <c r="M351" s="97"/>
      <c r="N351" s="97"/>
      <c r="O351" s="97"/>
      <c r="P351" s="97"/>
      <c r="Q351" s="97"/>
      <c r="R351" s="97"/>
      <c r="S351" s="97"/>
      <c r="T351" s="97"/>
      <c r="U351" s="25"/>
      <c r="V351" s="25"/>
      <c r="W351" s="25"/>
      <c r="X351" s="25"/>
      <c r="Y351" s="25"/>
      <c r="Z351" s="25"/>
    </row>
    <row r="352" spans="1:26" x14ac:dyDescent="0.35">
      <c r="A352" s="97"/>
      <c r="B352" s="97"/>
      <c r="C352" s="97"/>
      <c r="D352" s="97"/>
      <c r="E352" s="97"/>
      <c r="F352" s="97"/>
      <c r="G352" s="97"/>
      <c r="H352" s="97"/>
      <c r="I352" s="97"/>
      <c r="J352" s="97"/>
      <c r="K352" s="97"/>
      <c r="L352" s="97"/>
      <c r="M352" s="97"/>
      <c r="N352" s="97"/>
      <c r="O352" s="97"/>
      <c r="P352" s="97"/>
      <c r="Q352" s="97"/>
      <c r="R352" s="97"/>
      <c r="S352" s="97"/>
      <c r="T352" s="97"/>
      <c r="U352" s="25"/>
      <c r="V352" s="25"/>
      <c r="W352" s="25"/>
      <c r="X352" s="25"/>
      <c r="Y352" s="25"/>
      <c r="Z352" s="25"/>
    </row>
    <row r="353" spans="1:26" x14ac:dyDescent="0.35">
      <c r="A353" s="97"/>
      <c r="B353" s="97"/>
      <c r="C353" s="97"/>
      <c r="D353" s="97"/>
      <c r="E353" s="97"/>
      <c r="F353" s="97"/>
      <c r="G353" s="97"/>
      <c r="H353" s="97"/>
      <c r="I353" s="97"/>
      <c r="J353" s="97"/>
      <c r="K353" s="97"/>
      <c r="L353" s="97"/>
      <c r="M353" s="97"/>
      <c r="N353" s="97"/>
      <c r="O353" s="97"/>
      <c r="P353" s="97"/>
      <c r="Q353" s="97"/>
      <c r="R353" s="97"/>
      <c r="S353" s="97"/>
      <c r="T353" s="97"/>
      <c r="U353" s="25"/>
      <c r="V353" s="25"/>
      <c r="W353" s="25"/>
      <c r="X353" s="25"/>
      <c r="Y353" s="25"/>
      <c r="Z353" s="25"/>
    </row>
    <row r="354" spans="1:26" x14ac:dyDescent="0.35">
      <c r="A354" s="97"/>
      <c r="B354" s="97"/>
      <c r="C354" s="97"/>
      <c r="D354" s="97"/>
      <c r="E354" s="97"/>
      <c r="F354" s="97"/>
      <c r="G354" s="97"/>
      <c r="H354" s="97"/>
      <c r="I354" s="97"/>
      <c r="J354" s="97"/>
      <c r="K354" s="97"/>
      <c r="L354" s="97"/>
      <c r="M354" s="97"/>
      <c r="N354" s="97"/>
      <c r="O354" s="97"/>
      <c r="P354" s="97"/>
      <c r="Q354" s="97"/>
      <c r="R354" s="97"/>
      <c r="S354" s="97"/>
      <c r="T354" s="97"/>
      <c r="U354" s="25"/>
      <c r="V354" s="25"/>
      <c r="W354" s="25"/>
      <c r="X354" s="25"/>
      <c r="Y354" s="25"/>
      <c r="Z354" s="25"/>
    </row>
    <row r="355" spans="1:26" x14ac:dyDescent="0.35">
      <c r="A355" s="97"/>
      <c r="B355" s="97"/>
      <c r="C355" s="97"/>
      <c r="D355" s="97"/>
      <c r="E355" s="97"/>
      <c r="F355" s="97"/>
      <c r="G355" s="97"/>
      <c r="H355" s="97"/>
      <c r="I355" s="97"/>
      <c r="J355" s="97"/>
      <c r="K355" s="97"/>
      <c r="L355" s="97"/>
      <c r="M355" s="97"/>
      <c r="N355" s="97"/>
      <c r="O355" s="97"/>
      <c r="P355" s="97"/>
      <c r="Q355" s="97"/>
      <c r="R355" s="97"/>
      <c r="S355" s="97"/>
      <c r="T355" s="97"/>
      <c r="U355" s="25"/>
      <c r="V355" s="25"/>
      <c r="W355" s="25"/>
      <c r="X355" s="25"/>
      <c r="Y355" s="25"/>
      <c r="Z355" s="25"/>
    </row>
    <row r="356" spans="1:26" x14ac:dyDescent="0.35">
      <c r="A356" s="97"/>
      <c r="B356" s="97"/>
      <c r="C356" s="97"/>
      <c r="D356" s="97"/>
      <c r="E356" s="97"/>
      <c r="F356" s="97"/>
      <c r="G356" s="97"/>
      <c r="H356" s="97"/>
      <c r="I356" s="97"/>
      <c r="J356" s="97"/>
      <c r="K356" s="97"/>
      <c r="L356" s="97"/>
      <c r="M356" s="97"/>
      <c r="N356" s="97"/>
      <c r="O356" s="97"/>
      <c r="P356" s="97"/>
      <c r="Q356" s="97"/>
      <c r="R356" s="97"/>
      <c r="S356" s="97"/>
      <c r="T356" s="97"/>
      <c r="U356" s="25"/>
      <c r="V356" s="25"/>
      <c r="W356" s="25"/>
      <c r="X356" s="25"/>
      <c r="Y356" s="25"/>
      <c r="Z356" s="25"/>
    </row>
    <row r="357" spans="1:26" x14ac:dyDescent="0.35">
      <c r="A357" s="97"/>
      <c r="B357" s="97"/>
      <c r="C357" s="97"/>
      <c r="D357" s="97"/>
      <c r="E357" s="97"/>
      <c r="F357" s="97"/>
      <c r="G357" s="97"/>
      <c r="H357" s="97"/>
      <c r="I357" s="97"/>
      <c r="J357" s="97"/>
      <c r="K357" s="97"/>
      <c r="L357" s="97"/>
      <c r="M357" s="97"/>
      <c r="N357" s="97"/>
      <c r="O357" s="97"/>
      <c r="P357" s="97"/>
      <c r="Q357" s="97"/>
      <c r="R357" s="97"/>
      <c r="S357" s="97"/>
      <c r="T357" s="97"/>
      <c r="U357" s="25"/>
      <c r="V357" s="25"/>
      <c r="W357" s="25"/>
      <c r="X357" s="25"/>
      <c r="Y357" s="25"/>
      <c r="Z357" s="25"/>
    </row>
    <row r="358" spans="1:26" x14ac:dyDescent="0.35">
      <c r="A358" s="97"/>
      <c r="B358" s="97"/>
      <c r="C358" s="97"/>
      <c r="D358" s="97"/>
      <c r="E358" s="97"/>
      <c r="F358" s="97"/>
      <c r="G358" s="97"/>
      <c r="H358" s="97"/>
      <c r="I358" s="97"/>
      <c r="J358" s="97"/>
      <c r="K358" s="97"/>
      <c r="L358" s="97"/>
      <c r="M358" s="97"/>
      <c r="N358" s="97"/>
      <c r="O358" s="97"/>
      <c r="P358" s="97"/>
      <c r="Q358" s="97"/>
      <c r="R358" s="97"/>
      <c r="S358" s="97"/>
      <c r="T358" s="97"/>
      <c r="U358" s="25"/>
      <c r="V358" s="25"/>
      <c r="W358" s="25"/>
      <c r="X358" s="25"/>
      <c r="Y358" s="25"/>
      <c r="Z358" s="25"/>
    </row>
    <row r="359" spans="1:26" x14ac:dyDescent="0.35">
      <c r="A359" s="97"/>
      <c r="B359" s="97"/>
      <c r="C359" s="97"/>
      <c r="D359" s="97"/>
      <c r="E359" s="97"/>
      <c r="F359" s="97"/>
      <c r="G359" s="97"/>
      <c r="H359" s="97"/>
      <c r="I359" s="97"/>
      <c r="J359" s="97"/>
      <c r="K359" s="97"/>
      <c r="L359" s="97"/>
      <c r="M359" s="97"/>
      <c r="N359" s="97"/>
      <c r="O359" s="97"/>
      <c r="P359" s="97"/>
      <c r="Q359" s="97"/>
      <c r="R359" s="97"/>
      <c r="S359" s="97"/>
      <c r="T359" s="97"/>
      <c r="U359" s="25"/>
      <c r="V359" s="25"/>
      <c r="W359" s="25"/>
      <c r="X359" s="25"/>
      <c r="Y359" s="25"/>
      <c r="Z359" s="25"/>
    </row>
    <row r="360" spans="1:26" x14ac:dyDescent="0.35">
      <c r="A360" s="97"/>
      <c r="B360" s="97"/>
      <c r="C360" s="97"/>
      <c r="D360" s="97"/>
      <c r="E360" s="97"/>
      <c r="F360" s="97"/>
      <c r="G360" s="97"/>
      <c r="H360" s="97"/>
      <c r="I360" s="97"/>
      <c r="J360" s="97"/>
      <c r="K360" s="97"/>
      <c r="L360" s="97"/>
      <c r="M360" s="97"/>
      <c r="N360" s="97"/>
      <c r="O360" s="97"/>
      <c r="P360" s="97"/>
      <c r="Q360" s="97"/>
      <c r="R360" s="97"/>
      <c r="S360" s="97"/>
      <c r="T360" s="97"/>
      <c r="U360" s="25"/>
      <c r="V360" s="25"/>
      <c r="W360" s="25"/>
      <c r="X360" s="25"/>
      <c r="Y360" s="25"/>
      <c r="Z360" s="25"/>
    </row>
    <row r="361" spans="1:26" x14ac:dyDescent="0.35">
      <c r="A361" s="97"/>
      <c r="B361" s="97"/>
      <c r="C361" s="97"/>
      <c r="D361" s="97"/>
      <c r="E361" s="97"/>
      <c r="F361" s="97"/>
      <c r="G361" s="97"/>
      <c r="H361" s="97"/>
      <c r="I361" s="97"/>
      <c r="J361" s="97"/>
      <c r="K361" s="97"/>
      <c r="L361" s="97"/>
      <c r="M361" s="97"/>
      <c r="N361" s="97"/>
      <c r="O361" s="97"/>
      <c r="P361" s="97"/>
      <c r="Q361" s="97"/>
      <c r="R361" s="97"/>
      <c r="S361" s="97"/>
      <c r="T361" s="97"/>
      <c r="U361" s="25"/>
      <c r="V361" s="25"/>
      <c r="W361" s="25"/>
      <c r="X361" s="25"/>
      <c r="Y361" s="25"/>
      <c r="Z361" s="25"/>
    </row>
    <row r="362" spans="1:26" x14ac:dyDescent="0.35">
      <c r="A362" s="97"/>
      <c r="B362" s="97"/>
      <c r="C362" s="97"/>
      <c r="D362" s="97"/>
      <c r="E362" s="97"/>
      <c r="F362" s="97"/>
      <c r="G362" s="97"/>
      <c r="H362" s="97"/>
      <c r="I362" s="97"/>
      <c r="J362" s="97"/>
      <c r="K362" s="97"/>
      <c r="L362" s="97"/>
      <c r="M362" s="97"/>
      <c r="N362" s="97"/>
      <c r="O362" s="97"/>
      <c r="P362" s="97"/>
      <c r="Q362" s="97"/>
      <c r="R362" s="97"/>
      <c r="S362" s="97"/>
      <c r="T362" s="97"/>
      <c r="U362" s="25"/>
      <c r="V362" s="25"/>
      <c r="W362" s="25"/>
      <c r="X362" s="25"/>
      <c r="Y362" s="25"/>
      <c r="Z362" s="25"/>
    </row>
    <row r="363" spans="1:26" x14ac:dyDescent="0.35">
      <c r="A363" s="97"/>
      <c r="B363" s="97"/>
      <c r="C363" s="97"/>
      <c r="D363" s="97"/>
      <c r="E363" s="97"/>
      <c r="F363" s="97"/>
      <c r="G363" s="97"/>
      <c r="H363" s="97"/>
      <c r="I363" s="97"/>
      <c r="J363" s="97"/>
      <c r="K363" s="97"/>
      <c r="L363" s="97"/>
      <c r="M363" s="97"/>
      <c r="N363" s="97"/>
      <c r="O363" s="97"/>
      <c r="P363" s="97"/>
      <c r="Q363" s="97"/>
      <c r="R363" s="97"/>
      <c r="S363" s="97"/>
      <c r="T363" s="97"/>
      <c r="U363" s="25"/>
      <c r="V363" s="25"/>
      <c r="W363" s="25"/>
      <c r="X363" s="25"/>
      <c r="Y363" s="25"/>
      <c r="Z363" s="25"/>
    </row>
    <row r="364" spans="1:26" x14ac:dyDescent="0.35">
      <c r="A364" s="97"/>
      <c r="B364" s="97"/>
      <c r="C364" s="97"/>
      <c r="D364" s="97"/>
      <c r="E364" s="97"/>
      <c r="F364" s="97"/>
      <c r="G364" s="97"/>
      <c r="H364" s="97"/>
      <c r="I364" s="97"/>
      <c r="J364" s="97"/>
      <c r="K364" s="97"/>
      <c r="L364" s="97"/>
      <c r="M364" s="97"/>
      <c r="N364" s="97"/>
      <c r="O364" s="97"/>
      <c r="P364" s="97"/>
      <c r="Q364" s="97"/>
      <c r="R364" s="97"/>
      <c r="S364" s="97"/>
      <c r="T364" s="97"/>
      <c r="U364" s="25"/>
      <c r="V364" s="25"/>
      <c r="W364" s="25"/>
      <c r="X364" s="25"/>
      <c r="Y364" s="25"/>
      <c r="Z364" s="25"/>
    </row>
    <row r="365" spans="1:26" x14ac:dyDescent="0.35">
      <c r="A365" s="97"/>
      <c r="B365" s="97"/>
      <c r="C365" s="97"/>
      <c r="D365" s="97"/>
      <c r="E365" s="97"/>
      <c r="F365" s="97"/>
      <c r="G365" s="97"/>
      <c r="H365" s="97"/>
      <c r="I365" s="97"/>
      <c r="J365" s="97"/>
      <c r="K365" s="97"/>
      <c r="L365" s="97"/>
      <c r="M365" s="97"/>
      <c r="N365" s="97"/>
      <c r="O365" s="97"/>
      <c r="P365" s="97"/>
      <c r="Q365" s="97"/>
      <c r="R365" s="97"/>
      <c r="S365" s="97"/>
      <c r="T365" s="97"/>
      <c r="U365" s="25"/>
      <c r="V365" s="25"/>
      <c r="W365" s="25"/>
      <c r="X365" s="25"/>
      <c r="Y365" s="25"/>
      <c r="Z365" s="25"/>
    </row>
    <row r="366" spans="1:26" x14ac:dyDescent="0.35">
      <c r="A366" s="97"/>
      <c r="B366" s="97"/>
      <c r="C366" s="97"/>
      <c r="D366" s="97"/>
      <c r="E366" s="97"/>
      <c r="F366" s="97"/>
      <c r="G366" s="97"/>
      <c r="H366" s="97"/>
      <c r="I366" s="97"/>
      <c r="J366" s="97"/>
      <c r="K366" s="97"/>
      <c r="L366" s="97"/>
      <c r="M366" s="97"/>
      <c r="N366" s="97"/>
      <c r="O366" s="97"/>
      <c r="P366" s="97"/>
      <c r="Q366" s="97"/>
      <c r="R366" s="97"/>
      <c r="S366" s="97"/>
      <c r="T366" s="97"/>
      <c r="U366" s="25"/>
      <c r="V366" s="25"/>
      <c r="W366" s="25"/>
      <c r="X366" s="25"/>
      <c r="Y366" s="25"/>
      <c r="Z366" s="25"/>
    </row>
    <row r="367" spans="1:26" x14ac:dyDescent="0.35">
      <c r="A367" s="97"/>
      <c r="B367" s="97"/>
      <c r="C367" s="97"/>
      <c r="D367" s="97"/>
      <c r="E367" s="97"/>
      <c r="F367" s="97"/>
      <c r="G367" s="97"/>
      <c r="H367" s="97"/>
      <c r="I367" s="97"/>
      <c r="J367" s="97"/>
      <c r="K367" s="97"/>
      <c r="L367" s="97"/>
      <c r="M367" s="97"/>
      <c r="N367" s="97"/>
      <c r="O367" s="97"/>
      <c r="P367" s="97"/>
      <c r="Q367" s="97"/>
      <c r="R367" s="97"/>
      <c r="S367" s="97"/>
      <c r="T367" s="97"/>
      <c r="U367" s="25"/>
      <c r="V367" s="25"/>
      <c r="W367" s="25"/>
      <c r="X367" s="25"/>
      <c r="Y367" s="25"/>
      <c r="Z367" s="25"/>
    </row>
    <row r="368" spans="1:26" x14ac:dyDescent="0.35">
      <c r="A368" s="97"/>
      <c r="B368" s="97"/>
      <c r="C368" s="97"/>
      <c r="D368" s="97"/>
      <c r="E368" s="97"/>
      <c r="F368" s="97"/>
      <c r="G368" s="97"/>
      <c r="H368" s="97"/>
      <c r="I368" s="97"/>
      <c r="J368" s="97"/>
      <c r="K368" s="97"/>
      <c r="L368" s="97"/>
      <c r="M368" s="97"/>
      <c r="N368" s="97"/>
      <c r="O368" s="97"/>
      <c r="P368" s="97"/>
      <c r="Q368" s="97"/>
      <c r="R368" s="97"/>
      <c r="S368" s="97"/>
      <c r="T368" s="97"/>
      <c r="U368" s="25"/>
      <c r="V368" s="25"/>
      <c r="W368" s="25"/>
      <c r="X368" s="25"/>
      <c r="Y368" s="25"/>
      <c r="Z368" s="25"/>
    </row>
    <row r="369" spans="1:26" x14ac:dyDescent="0.35">
      <c r="A369" s="97"/>
      <c r="B369" s="97"/>
      <c r="C369" s="97"/>
      <c r="D369" s="97"/>
      <c r="E369" s="97"/>
      <c r="F369" s="97"/>
      <c r="G369" s="97"/>
      <c r="H369" s="97"/>
      <c r="I369" s="97"/>
      <c r="J369" s="97"/>
      <c r="K369" s="97"/>
      <c r="L369" s="97"/>
      <c r="M369" s="97"/>
      <c r="N369" s="97"/>
      <c r="O369" s="97"/>
      <c r="P369" s="97"/>
      <c r="Q369" s="97"/>
      <c r="R369" s="97"/>
      <c r="S369" s="97"/>
      <c r="T369" s="97"/>
      <c r="U369" s="25"/>
      <c r="V369" s="25"/>
      <c r="W369" s="25"/>
      <c r="X369" s="25"/>
      <c r="Y369" s="25"/>
      <c r="Z369" s="25"/>
    </row>
    <row r="370" spans="1:26" x14ac:dyDescent="0.35">
      <c r="A370" s="97"/>
      <c r="B370" s="97"/>
      <c r="C370" s="97"/>
      <c r="D370" s="97"/>
      <c r="E370" s="97"/>
      <c r="F370" s="97"/>
      <c r="G370" s="97"/>
      <c r="H370" s="97"/>
      <c r="I370" s="97"/>
      <c r="J370" s="97"/>
      <c r="K370" s="97"/>
      <c r="L370" s="97"/>
      <c r="M370" s="97"/>
      <c r="N370" s="97"/>
      <c r="O370" s="97"/>
      <c r="P370" s="97"/>
      <c r="Q370" s="97"/>
      <c r="R370" s="97"/>
      <c r="S370" s="97"/>
      <c r="T370" s="97"/>
      <c r="U370" s="25"/>
      <c r="V370" s="25"/>
      <c r="W370" s="25"/>
      <c r="X370" s="25"/>
      <c r="Y370" s="25"/>
      <c r="Z370" s="25"/>
    </row>
    <row r="371" spans="1:26" x14ac:dyDescent="0.35">
      <c r="A371" s="97"/>
      <c r="B371" s="97"/>
      <c r="C371" s="97"/>
      <c r="D371" s="97"/>
      <c r="E371" s="97"/>
      <c r="F371" s="97"/>
      <c r="G371" s="97"/>
      <c r="H371" s="97"/>
      <c r="I371" s="97"/>
      <c r="J371" s="97"/>
      <c r="K371" s="97"/>
      <c r="L371" s="97"/>
      <c r="M371" s="97"/>
      <c r="N371" s="97"/>
      <c r="O371" s="97"/>
      <c r="P371" s="97"/>
      <c r="Q371" s="97"/>
      <c r="R371" s="97"/>
      <c r="S371" s="97"/>
      <c r="T371" s="97"/>
      <c r="U371" s="25"/>
      <c r="V371" s="25"/>
      <c r="W371" s="25"/>
      <c r="X371" s="25"/>
      <c r="Y371" s="25"/>
      <c r="Z371" s="25"/>
    </row>
    <row r="372" spans="1:26" x14ac:dyDescent="0.35">
      <c r="A372" s="97"/>
      <c r="B372" s="97"/>
      <c r="C372" s="97"/>
      <c r="D372" s="97"/>
      <c r="E372" s="97"/>
      <c r="F372" s="97"/>
      <c r="G372" s="97"/>
      <c r="H372" s="97"/>
      <c r="I372" s="97"/>
      <c r="J372" s="97"/>
      <c r="K372" s="97"/>
      <c r="L372" s="97"/>
      <c r="M372" s="97"/>
      <c r="N372" s="97"/>
      <c r="O372" s="97"/>
      <c r="P372" s="97"/>
      <c r="Q372" s="97"/>
      <c r="R372" s="97"/>
      <c r="S372" s="97"/>
      <c r="T372" s="97"/>
      <c r="U372" s="25"/>
      <c r="V372" s="25"/>
      <c r="W372" s="25"/>
      <c r="X372" s="25"/>
      <c r="Y372" s="25"/>
      <c r="Z372" s="25"/>
    </row>
    <row r="373" spans="1:26" x14ac:dyDescent="0.35">
      <c r="A373" s="97"/>
      <c r="B373" s="97"/>
      <c r="C373" s="97"/>
      <c r="D373" s="97"/>
      <c r="E373" s="97"/>
      <c r="F373" s="97"/>
      <c r="G373" s="97"/>
      <c r="H373" s="97"/>
      <c r="I373" s="97"/>
      <c r="J373" s="97"/>
      <c r="K373" s="97"/>
      <c r="L373" s="97"/>
      <c r="M373" s="97"/>
      <c r="N373" s="97"/>
      <c r="O373" s="97"/>
      <c r="P373" s="97"/>
      <c r="Q373" s="97"/>
      <c r="R373" s="97"/>
      <c r="S373" s="97"/>
      <c r="T373" s="97"/>
      <c r="U373" s="25"/>
      <c r="V373" s="25"/>
      <c r="W373" s="25"/>
      <c r="X373" s="25"/>
      <c r="Y373" s="25"/>
      <c r="Z373" s="25"/>
    </row>
    <row r="374" spans="1:26" x14ac:dyDescent="0.35">
      <c r="A374" s="97"/>
      <c r="B374" s="97"/>
      <c r="C374" s="97"/>
      <c r="D374" s="97"/>
      <c r="E374" s="97"/>
      <c r="F374" s="97"/>
      <c r="G374" s="97"/>
      <c r="H374" s="97"/>
      <c r="I374" s="97"/>
      <c r="J374" s="97"/>
      <c r="K374" s="97"/>
      <c r="L374" s="97"/>
      <c r="M374" s="97"/>
      <c r="N374" s="97"/>
      <c r="O374" s="97"/>
      <c r="P374" s="97"/>
      <c r="Q374" s="97"/>
      <c r="R374" s="97"/>
      <c r="S374" s="97"/>
      <c r="T374" s="97"/>
      <c r="U374" s="25"/>
      <c r="V374" s="25"/>
      <c r="W374" s="25"/>
      <c r="X374" s="25"/>
      <c r="Y374" s="25"/>
      <c r="Z374" s="25"/>
    </row>
    <row r="375" spans="1:26" x14ac:dyDescent="0.35">
      <c r="A375" s="97"/>
      <c r="B375" s="97"/>
      <c r="C375" s="97"/>
      <c r="D375" s="97"/>
      <c r="E375" s="97"/>
      <c r="F375" s="97"/>
      <c r="G375" s="97"/>
      <c r="H375" s="97"/>
      <c r="I375" s="97"/>
      <c r="J375" s="97"/>
      <c r="K375" s="97"/>
      <c r="L375" s="97"/>
      <c r="M375" s="97"/>
      <c r="N375" s="97"/>
      <c r="O375" s="97"/>
      <c r="P375" s="97"/>
      <c r="Q375" s="97"/>
      <c r="R375" s="97"/>
      <c r="S375" s="97"/>
      <c r="T375" s="97"/>
      <c r="U375" s="25"/>
      <c r="V375" s="25"/>
      <c r="W375" s="25"/>
      <c r="X375" s="25"/>
      <c r="Y375" s="25"/>
      <c r="Z375" s="25"/>
    </row>
    <row r="376" spans="1:26" x14ac:dyDescent="0.35">
      <c r="A376" s="97"/>
      <c r="B376" s="97"/>
      <c r="C376" s="97"/>
      <c r="D376" s="97"/>
      <c r="E376" s="97"/>
      <c r="F376" s="97"/>
      <c r="G376" s="97"/>
      <c r="H376" s="97"/>
      <c r="I376" s="97"/>
      <c r="J376" s="97"/>
      <c r="K376" s="97"/>
      <c r="L376" s="97"/>
      <c r="M376" s="97"/>
      <c r="N376" s="97"/>
      <c r="O376" s="97"/>
      <c r="P376" s="97"/>
      <c r="Q376" s="97"/>
      <c r="R376" s="97"/>
      <c r="S376" s="97"/>
      <c r="T376" s="97"/>
      <c r="U376" s="25"/>
      <c r="V376" s="25"/>
      <c r="W376" s="25"/>
      <c r="X376" s="25"/>
      <c r="Y376" s="25"/>
      <c r="Z376" s="25"/>
    </row>
    <row r="377" spans="1:26" x14ac:dyDescent="0.35">
      <c r="A377" s="97"/>
      <c r="B377" s="97"/>
      <c r="C377" s="97"/>
      <c r="D377" s="97"/>
      <c r="E377" s="97"/>
      <c r="F377" s="97"/>
      <c r="G377" s="97"/>
      <c r="H377" s="97"/>
      <c r="I377" s="97"/>
      <c r="J377" s="97"/>
      <c r="K377" s="97"/>
      <c r="L377" s="97"/>
      <c r="M377" s="97"/>
      <c r="N377" s="97"/>
      <c r="O377" s="97"/>
      <c r="P377" s="97"/>
      <c r="Q377" s="97"/>
      <c r="R377" s="97"/>
      <c r="S377" s="97"/>
      <c r="T377" s="97"/>
      <c r="U377" s="25"/>
      <c r="V377" s="25"/>
      <c r="W377" s="25"/>
      <c r="X377" s="25"/>
      <c r="Y377" s="25"/>
      <c r="Z377" s="25"/>
    </row>
    <row r="378" spans="1:26" x14ac:dyDescent="0.35">
      <c r="A378" s="97"/>
      <c r="B378" s="97"/>
      <c r="C378" s="97"/>
      <c r="D378" s="97"/>
      <c r="E378" s="97"/>
      <c r="F378" s="97"/>
      <c r="G378" s="97"/>
      <c r="H378" s="97"/>
      <c r="I378" s="97"/>
      <c r="J378" s="97"/>
      <c r="K378" s="97"/>
      <c r="L378" s="97"/>
      <c r="M378" s="97"/>
      <c r="N378" s="97"/>
      <c r="O378" s="97"/>
      <c r="P378" s="97"/>
      <c r="Q378" s="97"/>
      <c r="R378" s="97"/>
      <c r="S378" s="97"/>
      <c r="T378" s="97"/>
      <c r="U378" s="25"/>
      <c r="V378" s="25"/>
      <c r="W378" s="25"/>
      <c r="X378" s="25"/>
      <c r="Y378" s="25"/>
      <c r="Z378" s="25"/>
    </row>
    <row r="379" spans="1:26" x14ac:dyDescent="0.35">
      <c r="A379" s="97"/>
      <c r="B379" s="97"/>
      <c r="C379" s="97"/>
      <c r="D379" s="97"/>
      <c r="E379" s="97"/>
      <c r="F379" s="97"/>
      <c r="G379" s="97"/>
      <c r="H379" s="97"/>
      <c r="I379" s="97"/>
      <c r="J379" s="97"/>
      <c r="K379" s="97"/>
      <c r="L379" s="97"/>
      <c r="M379" s="97"/>
      <c r="N379" s="97"/>
      <c r="O379" s="97"/>
      <c r="P379" s="97"/>
      <c r="Q379" s="97"/>
      <c r="R379" s="97"/>
      <c r="S379" s="97"/>
      <c r="T379" s="97"/>
      <c r="U379" s="25"/>
      <c r="V379" s="25"/>
      <c r="W379" s="25"/>
      <c r="X379" s="25"/>
      <c r="Y379" s="25"/>
      <c r="Z379" s="25"/>
    </row>
    <row r="380" spans="1:26" x14ac:dyDescent="0.35">
      <c r="A380" s="97"/>
      <c r="B380" s="97"/>
      <c r="C380" s="97"/>
      <c r="D380" s="97"/>
      <c r="E380" s="97"/>
      <c r="F380" s="97"/>
      <c r="G380" s="97"/>
      <c r="H380" s="97"/>
      <c r="I380" s="97"/>
      <c r="J380" s="97"/>
      <c r="K380" s="97"/>
      <c r="L380" s="97"/>
      <c r="M380" s="97"/>
      <c r="N380" s="97"/>
      <c r="O380" s="97"/>
      <c r="P380" s="97"/>
      <c r="Q380" s="97"/>
      <c r="R380" s="97"/>
      <c r="S380" s="97"/>
      <c r="T380" s="97"/>
      <c r="U380" s="25"/>
      <c r="V380" s="25"/>
      <c r="W380" s="25"/>
      <c r="X380" s="25"/>
      <c r="Y380" s="25"/>
      <c r="Z380" s="25"/>
    </row>
    <row r="381" spans="1:26" x14ac:dyDescent="0.35">
      <c r="A381" s="97"/>
      <c r="B381" s="97"/>
      <c r="C381" s="97"/>
      <c r="D381" s="97"/>
      <c r="E381" s="97"/>
      <c r="F381" s="97"/>
      <c r="G381" s="97"/>
      <c r="H381" s="97"/>
      <c r="I381" s="97"/>
      <c r="J381" s="97"/>
      <c r="K381" s="97"/>
      <c r="L381" s="97"/>
      <c r="M381" s="97"/>
      <c r="N381" s="97"/>
      <c r="O381" s="97"/>
      <c r="P381" s="97"/>
      <c r="Q381" s="97"/>
      <c r="R381" s="97"/>
      <c r="S381" s="97"/>
      <c r="T381" s="97"/>
      <c r="U381" s="25"/>
      <c r="V381" s="25"/>
      <c r="W381" s="25"/>
      <c r="X381" s="25"/>
      <c r="Y381" s="25"/>
      <c r="Z381" s="25"/>
    </row>
    <row r="382" spans="1:26" x14ac:dyDescent="0.35">
      <c r="A382" s="97"/>
      <c r="B382" s="97"/>
      <c r="C382" s="97"/>
      <c r="D382" s="97"/>
      <c r="E382" s="97"/>
      <c r="F382" s="97"/>
      <c r="G382" s="97"/>
      <c r="H382" s="97"/>
      <c r="I382" s="97"/>
      <c r="J382" s="97"/>
      <c r="K382" s="97"/>
      <c r="L382" s="97"/>
      <c r="M382" s="97"/>
      <c r="N382" s="97"/>
      <c r="O382" s="97"/>
      <c r="P382" s="97"/>
      <c r="Q382" s="97"/>
      <c r="R382" s="97"/>
      <c r="S382" s="97"/>
      <c r="T382" s="97"/>
      <c r="U382" s="25"/>
      <c r="V382" s="25"/>
      <c r="W382" s="25"/>
      <c r="X382" s="25"/>
      <c r="Y382" s="25"/>
      <c r="Z382" s="25"/>
    </row>
    <row r="383" spans="1:26" x14ac:dyDescent="0.35">
      <c r="A383" s="97"/>
      <c r="B383" s="97"/>
      <c r="C383" s="97"/>
      <c r="D383" s="97"/>
      <c r="E383" s="97"/>
      <c r="F383" s="97"/>
      <c r="G383" s="97"/>
      <c r="H383" s="97"/>
      <c r="I383" s="97"/>
      <c r="J383" s="97"/>
      <c r="K383" s="97"/>
      <c r="L383" s="97"/>
      <c r="M383" s="97"/>
      <c r="N383" s="97"/>
      <c r="O383" s="97"/>
      <c r="P383" s="97"/>
      <c r="Q383" s="97"/>
      <c r="R383" s="97"/>
      <c r="S383" s="97"/>
      <c r="T383" s="97"/>
      <c r="U383" s="25"/>
      <c r="V383" s="25"/>
      <c r="W383" s="25"/>
      <c r="X383" s="25"/>
      <c r="Y383" s="25"/>
      <c r="Z383" s="25"/>
    </row>
    <row r="384" spans="1:26" x14ac:dyDescent="0.35">
      <c r="A384" s="97"/>
      <c r="B384" s="97"/>
      <c r="C384" s="97"/>
      <c r="D384" s="97"/>
      <c r="E384" s="97"/>
      <c r="F384" s="97"/>
      <c r="G384" s="97"/>
      <c r="H384" s="97"/>
      <c r="I384" s="97"/>
      <c r="J384" s="97"/>
      <c r="K384" s="97"/>
      <c r="L384" s="97"/>
      <c r="M384" s="97"/>
      <c r="N384" s="97"/>
      <c r="O384" s="97"/>
      <c r="P384" s="97"/>
      <c r="Q384" s="97"/>
      <c r="R384" s="97"/>
      <c r="S384" s="97"/>
      <c r="T384" s="97"/>
      <c r="U384" s="25"/>
      <c r="V384" s="25"/>
      <c r="W384" s="25"/>
      <c r="X384" s="25"/>
      <c r="Y384" s="25"/>
      <c r="Z384" s="25"/>
    </row>
    <row r="385" spans="1:26" x14ac:dyDescent="0.35">
      <c r="A385" s="97"/>
      <c r="B385" s="97"/>
      <c r="C385" s="97"/>
      <c r="D385" s="97"/>
      <c r="E385" s="97"/>
      <c r="F385" s="97"/>
      <c r="G385" s="97"/>
      <c r="H385" s="97"/>
      <c r="I385" s="97"/>
      <c r="J385" s="97"/>
      <c r="K385" s="97"/>
      <c r="L385" s="97"/>
      <c r="M385" s="97"/>
      <c r="N385" s="97"/>
      <c r="O385" s="97"/>
      <c r="P385" s="97"/>
      <c r="Q385" s="97"/>
      <c r="R385" s="97"/>
      <c r="S385" s="97"/>
      <c r="T385" s="97"/>
      <c r="U385" s="25"/>
      <c r="V385" s="25"/>
      <c r="W385" s="25"/>
      <c r="X385" s="25"/>
      <c r="Y385" s="25"/>
      <c r="Z385" s="25"/>
    </row>
    <row r="386" spans="1:26" x14ac:dyDescent="0.35">
      <c r="A386" s="97"/>
      <c r="B386" s="97"/>
      <c r="C386" s="97"/>
      <c r="D386" s="97"/>
      <c r="E386" s="97"/>
      <c r="F386" s="97"/>
      <c r="G386" s="97"/>
      <c r="H386" s="97"/>
      <c r="I386" s="97"/>
      <c r="J386" s="97"/>
      <c r="K386" s="97"/>
      <c r="L386" s="97"/>
      <c r="M386" s="97"/>
      <c r="N386" s="97"/>
      <c r="O386" s="97"/>
      <c r="P386" s="97"/>
      <c r="Q386" s="97"/>
      <c r="R386" s="97"/>
      <c r="S386" s="97"/>
      <c r="T386" s="97"/>
      <c r="U386" s="25"/>
      <c r="V386" s="25"/>
      <c r="W386" s="25"/>
      <c r="X386" s="25"/>
      <c r="Y386" s="25"/>
      <c r="Z386" s="25"/>
    </row>
    <row r="387" spans="1:26" x14ac:dyDescent="0.35">
      <c r="A387" s="97"/>
      <c r="B387" s="97"/>
      <c r="C387" s="97"/>
      <c r="D387" s="97"/>
      <c r="E387" s="97"/>
      <c r="F387" s="97"/>
      <c r="G387" s="97"/>
      <c r="H387" s="97"/>
      <c r="I387" s="97"/>
      <c r="J387" s="97"/>
      <c r="K387" s="97"/>
      <c r="L387" s="97"/>
      <c r="M387" s="97"/>
      <c r="N387" s="97"/>
      <c r="O387" s="97"/>
      <c r="P387" s="97"/>
      <c r="Q387" s="97"/>
      <c r="R387" s="97"/>
      <c r="S387" s="97"/>
      <c r="T387" s="97"/>
      <c r="U387" s="25"/>
      <c r="V387" s="25"/>
      <c r="W387" s="25"/>
      <c r="X387" s="25"/>
      <c r="Y387" s="25"/>
      <c r="Z387" s="25"/>
    </row>
    <row r="388" spans="1:26" x14ac:dyDescent="0.35">
      <c r="A388" s="97"/>
      <c r="B388" s="97"/>
      <c r="C388" s="97"/>
      <c r="D388" s="97"/>
      <c r="E388" s="97"/>
      <c r="F388" s="97"/>
      <c r="G388" s="97"/>
      <c r="H388" s="97"/>
      <c r="I388" s="97"/>
      <c r="J388" s="97"/>
      <c r="K388" s="97"/>
      <c r="L388" s="97"/>
      <c r="M388" s="97"/>
      <c r="N388" s="97"/>
      <c r="O388" s="97"/>
      <c r="P388" s="97"/>
      <c r="Q388" s="97"/>
      <c r="R388" s="97"/>
      <c r="S388" s="97"/>
      <c r="T388" s="97"/>
      <c r="U388" s="25"/>
      <c r="V388" s="25"/>
      <c r="W388" s="25"/>
      <c r="X388" s="25"/>
      <c r="Y388" s="25"/>
      <c r="Z388" s="25"/>
    </row>
    <row r="389" spans="1:26" x14ac:dyDescent="0.35">
      <c r="A389" s="97"/>
      <c r="B389" s="97"/>
      <c r="C389" s="97"/>
      <c r="D389" s="97"/>
      <c r="E389" s="97"/>
      <c r="F389" s="97"/>
      <c r="G389" s="97"/>
      <c r="H389" s="97"/>
      <c r="I389" s="97"/>
      <c r="J389" s="97"/>
      <c r="K389" s="97"/>
      <c r="L389" s="97"/>
      <c r="M389" s="97"/>
      <c r="N389" s="97"/>
      <c r="O389" s="97"/>
      <c r="P389" s="97"/>
      <c r="Q389" s="97"/>
      <c r="R389" s="97"/>
      <c r="S389" s="97"/>
      <c r="T389" s="97"/>
      <c r="U389" s="25"/>
      <c r="V389" s="25"/>
      <c r="W389" s="25"/>
      <c r="X389" s="25"/>
      <c r="Y389" s="25"/>
      <c r="Z389" s="25"/>
    </row>
    <row r="390" spans="1:26" x14ac:dyDescent="0.35">
      <c r="A390" s="97"/>
      <c r="B390" s="97"/>
      <c r="C390" s="97"/>
      <c r="D390" s="97"/>
      <c r="E390" s="97"/>
      <c r="F390" s="97"/>
      <c r="G390" s="97"/>
      <c r="H390" s="97"/>
      <c r="I390" s="97"/>
      <c r="J390" s="97"/>
      <c r="K390" s="97"/>
      <c r="L390" s="97"/>
      <c r="M390" s="97"/>
      <c r="N390" s="97"/>
      <c r="O390" s="97"/>
      <c r="P390" s="97"/>
      <c r="Q390" s="97"/>
      <c r="R390" s="97"/>
      <c r="S390" s="97"/>
      <c r="T390" s="97"/>
      <c r="U390" s="25"/>
      <c r="V390" s="25"/>
      <c r="W390" s="25"/>
      <c r="X390" s="25"/>
      <c r="Y390" s="25"/>
      <c r="Z390" s="25"/>
    </row>
    <row r="391" spans="1:26" x14ac:dyDescent="0.35">
      <c r="A391" s="97"/>
      <c r="B391" s="97"/>
      <c r="C391" s="97"/>
      <c r="D391" s="97"/>
      <c r="E391" s="97"/>
      <c r="F391" s="97"/>
      <c r="G391" s="97"/>
      <c r="H391" s="97"/>
      <c r="I391" s="97"/>
      <c r="J391" s="97"/>
      <c r="K391" s="97"/>
      <c r="L391" s="97"/>
      <c r="M391" s="97"/>
      <c r="N391" s="97"/>
      <c r="O391" s="97"/>
      <c r="P391" s="97"/>
      <c r="Q391" s="97"/>
      <c r="R391" s="97"/>
      <c r="S391" s="97"/>
      <c r="T391" s="97"/>
      <c r="U391" s="25"/>
      <c r="V391" s="25"/>
      <c r="W391" s="25"/>
      <c r="X391" s="25"/>
      <c r="Y391" s="25"/>
      <c r="Z391" s="25"/>
    </row>
    <row r="392" spans="1:26" x14ac:dyDescent="0.35">
      <c r="A392" s="97"/>
      <c r="B392" s="97"/>
      <c r="C392" s="97"/>
      <c r="D392" s="97"/>
      <c r="E392" s="97"/>
      <c r="F392" s="97"/>
      <c r="G392" s="97"/>
      <c r="H392" s="97"/>
      <c r="I392" s="97"/>
      <c r="J392" s="97"/>
      <c r="K392" s="97"/>
      <c r="L392" s="97"/>
      <c r="M392" s="97"/>
      <c r="N392" s="97"/>
      <c r="O392" s="97"/>
      <c r="P392" s="97"/>
      <c r="Q392" s="97"/>
      <c r="R392" s="97"/>
      <c r="S392" s="97"/>
      <c r="T392" s="97"/>
      <c r="U392" s="25"/>
      <c r="V392" s="25"/>
      <c r="W392" s="25"/>
      <c r="X392" s="25"/>
      <c r="Y392" s="25"/>
      <c r="Z392" s="25"/>
    </row>
    <row r="393" spans="1:26" x14ac:dyDescent="0.35">
      <c r="A393" s="97"/>
      <c r="B393" s="97"/>
      <c r="C393" s="97"/>
      <c r="D393" s="97"/>
      <c r="E393" s="97"/>
      <c r="F393" s="97"/>
      <c r="G393" s="97"/>
      <c r="H393" s="97"/>
      <c r="I393" s="97"/>
      <c r="J393" s="97"/>
      <c r="K393" s="97"/>
      <c r="L393" s="97"/>
      <c r="M393" s="97"/>
      <c r="N393" s="97"/>
      <c r="O393" s="97"/>
      <c r="P393" s="97"/>
      <c r="Q393" s="97"/>
      <c r="R393" s="97"/>
      <c r="S393" s="97"/>
      <c r="T393" s="97"/>
      <c r="U393" s="25"/>
      <c r="V393" s="25"/>
      <c r="W393" s="25"/>
      <c r="X393" s="25"/>
      <c r="Y393" s="25"/>
      <c r="Z393" s="25"/>
    </row>
    <row r="394" spans="1:26" x14ac:dyDescent="0.35">
      <c r="A394" s="97"/>
      <c r="B394" s="97"/>
      <c r="C394" s="97"/>
      <c r="D394" s="97"/>
      <c r="E394" s="97"/>
      <c r="F394" s="97"/>
      <c r="G394" s="97"/>
      <c r="H394" s="97"/>
      <c r="I394" s="97"/>
      <c r="J394" s="97"/>
      <c r="K394" s="97"/>
      <c r="L394" s="97"/>
      <c r="M394" s="97"/>
      <c r="N394" s="97"/>
      <c r="O394" s="97"/>
      <c r="P394" s="97"/>
      <c r="Q394" s="97"/>
      <c r="R394" s="97"/>
      <c r="S394" s="97"/>
      <c r="T394" s="97"/>
      <c r="U394" s="25"/>
      <c r="V394" s="25"/>
      <c r="W394" s="25"/>
      <c r="X394" s="25"/>
      <c r="Y394" s="25"/>
      <c r="Z394" s="25"/>
    </row>
    <row r="395" spans="1:26" x14ac:dyDescent="0.35">
      <c r="A395" s="97"/>
      <c r="B395" s="97"/>
      <c r="C395" s="97"/>
      <c r="D395" s="97"/>
      <c r="E395" s="97"/>
      <c r="F395" s="97"/>
      <c r="G395" s="97"/>
      <c r="H395" s="97"/>
      <c r="I395" s="97"/>
      <c r="J395" s="97"/>
      <c r="K395" s="97"/>
      <c r="L395" s="97"/>
      <c r="M395" s="97"/>
      <c r="N395" s="97"/>
      <c r="O395" s="97"/>
      <c r="P395" s="97"/>
      <c r="Q395" s="97"/>
      <c r="R395" s="97"/>
      <c r="S395" s="97"/>
      <c r="T395" s="97"/>
      <c r="U395" s="25"/>
      <c r="V395" s="25"/>
      <c r="W395" s="25"/>
      <c r="X395" s="25"/>
      <c r="Y395" s="25"/>
      <c r="Z395" s="25"/>
    </row>
    <row r="396" spans="1:26" x14ac:dyDescent="0.35">
      <c r="A396" s="97"/>
      <c r="B396" s="97"/>
      <c r="C396" s="97"/>
      <c r="D396" s="97"/>
      <c r="E396" s="97"/>
      <c r="F396" s="97"/>
      <c r="G396" s="97"/>
      <c r="H396" s="97"/>
      <c r="I396" s="97"/>
      <c r="J396" s="97"/>
      <c r="K396" s="97"/>
      <c r="L396" s="97"/>
      <c r="M396" s="97"/>
      <c r="N396" s="97"/>
      <c r="O396" s="97"/>
      <c r="P396" s="97"/>
      <c r="Q396" s="97"/>
      <c r="R396" s="97"/>
      <c r="S396" s="97"/>
      <c r="T396" s="97"/>
      <c r="U396" s="25"/>
      <c r="V396" s="25"/>
      <c r="W396" s="25"/>
      <c r="X396" s="25"/>
      <c r="Y396" s="25"/>
      <c r="Z396" s="25"/>
    </row>
    <row r="397" spans="1:26" x14ac:dyDescent="0.35">
      <c r="A397" s="97"/>
      <c r="B397" s="97"/>
      <c r="C397" s="97"/>
      <c r="D397" s="97"/>
      <c r="E397" s="97"/>
      <c r="F397" s="97"/>
      <c r="G397" s="97"/>
      <c r="H397" s="97"/>
      <c r="I397" s="97"/>
      <c r="J397" s="97"/>
      <c r="K397" s="97"/>
      <c r="L397" s="97"/>
      <c r="M397" s="97"/>
      <c r="N397" s="97"/>
      <c r="O397" s="97"/>
      <c r="P397" s="97"/>
      <c r="Q397" s="97"/>
      <c r="R397" s="97"/>
      <c r="S397" s="97"/>
      <c r="T397" s="97"/>
      <c r="U397" s="25"/>
      <c r="V397" s="25"/>
      <c r="W397" s="25"/>
      <c r="X397" s="25"/>
      <c r="Y397" s="25"/>
      <c r="Z397" s="25"/>
    </row>
    <row r="398" spans="1:26" x14ac:dyDescent="0.35">
      <c r="A398" s="97"/>
      <c r="B398" s="97"/>
      <c r="C398" s="97"/>
      <c r="D398" s="97"/>
      <c r="E398" s="97"/>
      <c r="F398" s="97"/>
      <c r="G398" s="97"/>
      <c r="H398" s="97"/>
      <c r="I398" s="97"/>
      <c r="J398" s="97"/>
      <c r="K398" s="97"/>
      <c r="L398" s="97"/>
      <c r="M398" s="97"/>
      <c r="N398" s="97"/>
      <c r="O398" s="97"/>
      <c r="P398" s="97"/>
      <c r="Q398" s="97"/>
      <c r="R398" s="97"/>
      <c r="S398" s="97"/>
      <c r="T398" s="97"/>
      <c r="U398" s="25"/>
      <c r="V398" s="25"/>
      <c r="W398" s="25"/>
      <c r="X398" s="25"/>
      <c r="Y398" s="25"/>
      <c r="Z398" s="25"/>
    </row>
    <row r="399" spans="1:26" x14ac:dyDescent="0.35">
      <c r="A399" s="97"/>
      <c r="B399" s="97"/>
      <c r="C399" s="97"/>
      <c r="D399" s="97"/>
      <c r="E399" s="97"/>
      <c r="F399" s="97"/>
      <c r="G399" s="97"/>
      <c r="H399" s="97"/>
      <c r="I399" s="97"/>
      <c r="J399" s="97"/>
      <c r="K399" s="97"/>
      <c r="L399" s="97"/>
      <c r="M399" s="97"/>
      <c r="N399" s="97"/>
      <c r="O399" s="97"/>
      <c r="P399" s="97"/>
      <c r="Q399" s="97"/>
      <c r="R399" s="97"/>
      <c r="S399" s="97"/>
      <c r="T399" s="97"/>
      <c r="U399" s="25"/>
      <c r="V399" s="25"/>
      <c r="W399" s="25"/>
      <c r="X399" s="25"/>
      <c r="Y399" s="25"/>
      <c r="Z399" s="25"/>
    </row>
    <row r="400" spans="1:26" x14ac:dyDescent="0.35">
      <c r="A400" s="97"/>
      <c r="B400" s="97"/>
      <c r="C400" s="97"/>
      <c r="D400" s="97"/>
      <c r="E400" s="97"/>
      <c r="F400" s="97"/>
      <c r="G400" s="97"/>
      <c r="H400" s="97"/>
      <c r="I400" s="97"/>
      <c r="J400" s="97"/>
      <c r="K400" s="97"/>
      <c r="L400" s="97"/>
      <c r="M400" s="97"/>
      <c r="N400" s="97"/>
      <c r="O400" s="97"/>
      <c r="P400" s="97"/>
      <c r="Q400" s="97"/>
      <c r="R400" s="97"/>
      <c r="S400" s="97"/>
      <c r="T400" s="97"/>
      <c r="U400" s="25"/>
      <c r="V400" s="25"/>
      <c r="W400" s="25"/>
      <c r="X400" s="25"/>
      <c r="Y400" s="25"/>
      <c r="Z400" s="25"/>
    </row>
    <row r="401" spans="1:26" x14ac:dyDescent="0.35">
      <c r="A401" s="97"/>
      <c r="B401" s="97"/>
      <c r="C401" s="97"/>
      <c r="D401" s="97"/>
      <c r="E401" s="97"/>
      <c r="F401" s="97"/>
      <c r="G401" s="97"/>
      <c r="H401" s="97"/>
      <c r="I401" s="97"/>
      <c r="J401" s="97"/>
      <c r="K401" s="97"/>
      <c r="L401" s="97"/>
      <c r="M401" s="97"/>
      <c r="N401" s="97"/>
      <c r="O401" s="97"/>
      <c r="P401" s="97"/>
      <c r="Q401" s="97"/>
      <c r="R401" s="97"/>
      <c r="S401" s="97"/>
      <c r="T401" s="97"/>
      <c r="U401" s="25"/>
      <c r="V401" s="25"/>
      <c r="W401" s="25"/>
      <c r="X401" s="25"/>
      <c r="Y401" s="25"/>
      <c r="Z401" s="25"/>
    </row>
    <row r="402" spans="1:26" x14ac:dyDescent="0.35">
      <c r="A402" s="97"/>
      <c r="B402" s="97"/>
      <c r="C402" s="97"/>
      <c r="D402" s="97"/>
      <c r="E402" s="97"/>
      <c r="F402" s="97"/>
      <c r="G402" s="97"/>
      <c r="H402" s="97"/>
      <c r="I402" s="97"/>
      <c r="J402" s="97"/>
      <c r="K402" s="97"/>
      <c r="L402" s="97"/>
      <c r="M402" s="97"/>
      <c r="N402" s="97"/>
      <c r="O402" s="97"/>
      <c r="P402" s="97"/>
      <c r="Q402" s="97"/>
      <c r="R402" s="97"/>
      <c r="S402" s="97"/>
      <c r="T402" s="97"/>
      <c r="U402" s="25"/>
      <c r="V402" s="25"/>
      <c r="W402" s="25"/>
      <c r="X402" s="25"/>
      <c r="Y402" s="25"/>
      <c r="Z402" s="25"/>
    </row>
    <row r="403" spans="1:26" x14ac:dyDescent="0.35">
      <c r="A403" s="97"/>
      <c r="B403" s="97"/>
      <c r="C403" s="97"/>
      <c r="D403" s="97"/>
      <c r="E403" s="97"/>
      <c r="F403" s="97"/>
      <c r="G403" s="97"/>
      <c r="H403" s="97"/>
      <c r="I403" s="97"/>
      <c r="J403" s="97"/>
      <c r="K403" s="97"/>
      <c r="L403" s="97"/>
      <c r="M403" s="97"/>
      <c r="N403" s="97"/>
      <c r="O403" s="97"/>
      <c r="P403" s="97"/>
      <c r="Q403" s="97"/>
      <c r="R403" s="97"/>
      <c r="S403" s="97"/>
      <c r="T403" s="97"/>
      <c r="U403" s="25"/>
      <c r="V403" s="25"/>
      <c r="W403" s="25"/>
      <c r="X403" s="25"/>
      <c r="Y403" s="25"/>
      <c r="Z403" s="25"/>
    </row>
    <row r="404" spans="1:26" x14ac:dyDescent="0.35">
      <c r="A404" s="97"/>
      <c r="B404" s="97"/>
      <c r="C404" s="97"/>
      <c r="D404" s="97"/>
      <c r="E404" s="97"/>
      <c r="F404" s="97"/>
      <c r="G404" s="97"/>
      <c r="H404" s="97"/>
      <c r="I404" s="97"/>
      <c r="J404" s="97"/>
      <c r="K404" s="97"/>
      <c r="L404" s="97"/>
      <c r="M404" s="97"/>
      <c r="N404" s="97"/>
      <c r="O404" s="97"/>
      <c r="P404" s="97"/>
      <c r="Q404" s="97"/>
      <c r="R404" s="97"/>
      <c r="S404" s="97"/>
      <c r="T404" s="97"/>
      <c r="U404" s="25"/>
      <c r="V404" s="25"/>
      <c r="W404" s="25"/>
      <c r="X404" s="25"/>
      <c r="Y404" s="25"/>
      <c r="Z404" s="25"/>
    </row>
    <row r="405" spans="1:26" x14ac:dyDescent="0.35">
      <c r="A405" s="97"/>
      <c r="B405" s="97"/>
      <c r="C405" s="97"/>
      <c r="D405" s="97"/>
      <c r="E405" s="97"/>
      <c r="F405" s="97"/>
      <c r="G405" s="97"/>
      <c r="H405" s="97"/>
      <c r="I405" s="97"/>
      <c r="J405" s="97"/>
      <c r="K405" s="97"/>
      <c r="L405" s="97"/>
      <c r="M405" s="97"/>
      <c r="N405" s="97"/>
      <c r="O405" s="97"/>
      <c r="P405" s="97"/>
      <c r="Q405" s="97"/>
      <c r="R405" s="97"/>
      <c r="S405" s="97"/>
      <c r="T405" s="97"/>
      <c r="U405" s="25"/>
      <c r="V405" s="25"/>
      <c r="W405" s="25"/>
      <c r="X405" s="25"/>
      <c r="Y405" s="25"/>
      <c r="Z405" s="25"/>
    </row>
    <row r="406" spans="1:26" x14ac:dyDescent="0.35">
      <c r="A406" s="97"/>
      <c r="B406" s="97"/>
      <c r="C406" s="97"/>
      <c r="D406" s="97"/>
      <c r="E406" s="97"/>
      <c r="F406" s="97"/>
      <c r="G406" s="97"/>
      <c r="H406" s="97"/>
      <c r="I406" s="97"/>
      <c r="J406" s="97"/>
      <c r="K406" s="97"/>
      <c r="L406" s="97"/>
      <c r="M406" s="97"/>
      <c r="N406" s="97"/>
      <c r="O406" s="97"/>
      <c r="P406" s="97"/>
      <c r="Q406" s="97"/>
      <c r="R406" s="97"/>
      <c r="S406" s="97"/>
      <c r="T406" s="97"/>
      <c r="U406" s="25"/>
      <c r="V406" s="25"/>
      <c r="W406" s="25"/>
      <c r="X406" s="25"/>
      <c r="Y406" s="25"/>
      <c r="Z406" s="25"/>
    </row>
    <row r="407" spans="1:26" x14ac:dyDescent="0.35">
      <c r="A407" s="97"/>
      <c r="B407" s="97"/>
      <c r="C407" s="97"/>
      <c r="D407" s="97"/>
      <c r="E407" s="97"/>
      <c r="F407" s="97"/>
      <c r="G407" s="97"/>
      <c r="H407" s="97"/>
      <c r="I407" s="97"/>
      <c r="J407" s="97"/>
      <c r="K407" s="97"/>
      <c r="L407" s="97"/>
      <c r="M407" s="97"/>
      <c r="N407" s="97"/>
      <c r="O407" s="97"/>
      <c r="P407" s="97"/>
      <c r="Q407" s="97"/>
      <c r="R407" s="97"/>
      <c r="S407" s="97"/>
      <c r="T407" s="97"/>
      <c r="U407" s="25"/>
      <c r="V407" s="25"/>
      <c r="W407" s="25"/>
      <c r="X407" s="25"/>
      <c r="Y407" s="25"/>
      <c r="Z407" s="25"/>
    </row>
    <row r="408" spans="1:26" x14ac:dyDescent="0.35">
      <c r="A408" s="97"/>
      <c r="B408" s="97"/>
      <c r="C408" s="97"/>
      <c r="D408" s="97"/>
      <c r="E408" s="97"/>
      <c r="F408" s="97"/>
      <c r="G408" s="97"/>
      <c r="H408" s="97"/>
      <c r="I408" s="97"/>
      <c r="J408" s="97"/>
      <c r="K408" s="97"/>
      <c r="L408" s="97"/>
      <c r="M408" s="97"/>
      <c r="N408" s="97"/>
      <c r="O408" s="97"/>
      <c r="P408" s="97"/>
      <c r="Q408" s="97"/>
      <c r="R408" s="97"/>
      <c r="S408" s="97"/>
      <c r="T408" s="97"/>
      <c r="U408" s="25"/>
      <c r="V408" s="25"/>
      <c r="W408" s="25"/>
      <c r="X408" s="25"/>
      <c r="Y408" s="25"/>
      <c r="Z408" s="25"/>
    </row>
    <row r="409" spans="1:26" x14ac:dyDescent="0.35">
      <c r="A409" s="97"/>
      <c r="B409" s="97"/>
      <c r="C409" s="97"/>
      <c r="D409" s="97"/>
      <c r="E409" s="97"/>
      <c r="F409" s="97"/>
      <c r="G409" s="97"/>
      <c r="H409" s="97"/>
      <c r="I409" s="97"/>
      <c r="J409" s="97"/>
      <c r="K409" s="97"/>
      <c r="L409" s="97"/>
      <c r="M409" s="97"/>
      <c r="N409" s="97"/>
      <c r="O409" s="97"/>
      <c r="P409" s="97"/>
      <c r="Q409" s="97"/>
      <c r="R409" s="97"/>
      <c r="S409" s="97"/>
      <c r="T409" s="97"/>
      <c r="U409" s="25"/>
      <c r="V409" s="25"/>
      <c r="W409" s="25"/>
      <c r="X409" s="25"/>
      <c r="Y409" s="25"/>
      <c r="Z409" s="25"/>
    </row>
    <row r="410" spans="1:26" x14ac:dyDescent="0.35">
      <c r="A410" s="97"/>
      <c r="B410" s="97"/>
      <c r="C410" s="97"/>
      <c r="D410" s="97"/>
      <c r="E410" s="97"/>
      <c r="F410" s="97"/>
      <c r="G410" s="97"/>
      <c r="H410" s="97"/>
      <c r="I410" s="97"/>
      <c r="J410" s="97"/>
      <c r="K410" s="97"/>
      <c r="L410" s="97"/>
      <c r="M410" s="97"/>
      <c r="N410" s="97"/>
      <c r="O410" s="97"/>
      <c r="P410" s="97"/>
      <c r="Q410" s="97"/>
      <c r="R410" s="97"/>
      <c r="S410" s="97"/>
      <c r="T410" s="97"/>
      <c r="U410" s="25"/>
      <c r="V410" s="25"/>
      <c r="W410" s="25"/>
      <c r="X410" s="25"/>
      <c r="Y410" s="25"/>
      <c r="Z410" s="25"/>
    </row>
    <row r="411" spans="1:26" x14ac:dyDescent="0.35">
      <c r="A411" s="97"/>
      <c r="B411" s="97"/>
      <c r="C411" s="97"/>
      <c r="D411" s="97"/>
      <c r="E411" s="97"/>
      <c r="F411" s="97"/>
      <c r="G411" s="97"/>
      <c r="H411" s="97"/>
      <c r="I411" s="97"/>
      <c r="J411" s="97"/>
      <c r="K411" s="97"/>
      <c r="L411" s="97"/>
      <c r="M411" s="97"/>
      <c r="N411" s="97"/>
      <c r="O411" s="97"/>
      <c r="P411" s="97"/>
      <c r="Q411" s="97"/>
      <c r="R411" s="97"/>
      <c r="S411" s="97"/>
      <c r="T411" s="97"/>
      <c r="U411" s="25"/>
      <c r="V411" s="25"/>
      <c r="W411" s="25"/>
      <c r="X411" s="25"/>
      <c r="Y411" s="25"/>
      <c r="Z411" s="25"/>
    </row>
    <row r="412" spans="1:26" x14ac:dyDescent="0.35">
      <c r="A412" s="97"/>
      <c r="B412" s="97"/>
      <c r="C412" s="97"/>
      <c r="D412" s="97"/>
      <c r="E412" s="97"/>
      <c r="F412" s="97"/>
      <c r="G412" s="97"/>
      <c r="H412" s="97"/>
      <c r="I412" s="97"/>
      <c r="J412" s="97"/>
      <c r="K412" s="97"/>
      <c r="L412" s="97"/>
      <c r="M412" s="97"/>
      <c r="N412" s="97"/>
      <c r="O412" s="97"/>
      <c r="P412" s="97"/>
      <c r="Q412" s="97"/>
      <c r="R412" s="97"/>
      <c r="S412" s="97"/>
      <c r="T412" s="97"/>
      <c r="U412" s="25"/>
      <c r="V412" s="25"/>
      <c r="W412" s="25"/>
      <c r="X412" s="25"/>
      <c r="Y412" s="25"/>
      <c r="Z412" s="25"/>
    </row>
    <row r="413" spans="1:26" x14ac:dyDescent="0.35">
      <c r="A413" s="97"/>
      <c r="B413" s="97"/>
      <c r="C413" s="97"/>
      <c r="D413" s="97"/>
      <c r="E413" s="97"/>
      <c r="F413" s="97"/>
      <c r="G413" s="97"/>
      <c r="H413" s="97"/>
      <c r="I413" s="97"/>
      <c r="J413" s="97"/>
      <c r="K413" s="97"/>
      <c r="L413" s="97"/>
      <c r="M413" s="97"/>
      <c r="N413" s="97"/>
      <c r="O413" s="97"/>
      <c r="P413" s="97"/>
      <c r="Q413" s="97"/>
      <c r="R413" s="97"/>
      <c r="S413" s="97"/>
      <c r="T413" s="97"/>
      <c r="U413" s="25"/>
      <c r="V413" s="25"/>
      <c r="W413" s="25"/>
      <c r="X413" s="25"/>
      <c r="Y413" s="25"/>
      <c r="Z413" s="25"/>
    </row>
    <row r="414" spans="1:26" x14ac:dyDescent="0.35">
      <c r="A414" s="97"/>
      <c r="B414" s="97"/>
      <c r="C414" s="97"/>
      <c r="D414" s="97"/>
      <c r="E414" s="97"/>
      <c r="F414" s="97"/>
      <c r="G414" s="97"/>
      <c r="H414" s="97"/>
      <c r="I414" s="97"/>
      <c r="J414" s="97"/>
      <c r="K414" s="97"/>
      <c r="L414" s="97"/>
      <c r="M414" s="97"/>
      <c r="N414" s="97"/>
      <c r="O414" s="97"/>
      <c r="P414" s="97"/>
      <c r="Q414" s="97"/>
      <c r="R414" s="97"/>
      <c r="S414" s="97"/>
      <c r="T414" s="97"/>
      <c r="U414" s="25"/>
      <c r="V414" s="25"/>
      <c r="W414" s="25"/>
      <c r="X414" s="25"/>
      <c r="Y414" s="25"/>
      <c r="Z414" s="25"/>
    </row>
    <row r="415" spans="1:26" x14ac:dyDescent="0.35">
      <c r="A415" s="97"/>
      <c r="B415" s="97"/>
      <c r="C415" s="97"/>
      <c r="D415" s="97"/>
      <c r="E415" s="97"/>
      <c r="F415" s="97"/>
      <c r="G415" s="97"/>
      <c r="H415" s="97"/>
      <c r="I415" s="97"/>
      <c r="J415" s="97"/>
      <c r="K415" s="97"/>
      <c r="L415" s="97"/>
      <c r="M415" s="97"/>
      <c r="N415" s="97"/>
      <c r="O415" s="97"/>
      <c r="P415" s="97"/>
      <c r="Q415" s="97"/>
      <c r="R415" s="97"/>
      <c r="S415" s="97"/>
      <c r="T415" s="97"/>
      <c r="U415" s="25"/>
      <c r="V415" s="25"/>
      <c r="W415" s="25"/>
      <c r="X415" s="25"/>
      <c r="Y415" s="25"/>
      <c r="Z415" s="25"/>
    </row>
    <row r="416" spans="1:26" x14ac:dyDescent="0.35">
      <c r="A416" s="97"/>
      <c r="B416" s="97"/>
      <c r="C416" s="97"/>
      <c r="D416" s="97"/>
      <c r="E416" s="97"/>
      <c r="F416" s="97"/>
      <c r="G416" s="97"/>
      <c r="H416" s="97"/>
      <c r="I416" s="97"/>
      <c r="J416" s="97"/>
      <c r="K416" s="97"/>
      <c r="L416" s="97"/>
      <c r="M416" s="97"/>
      <c r="N416" s="97"/>
      <c r="O416" s="97"/>
      <c r="P416" s="97"/>
      <c r="Q416" s="97"/>
      <c r="R416" s="97"/>
      <c r="S416" s="97"/>
      <c r="T416" s="97"/>
      <c r="U416" s="25"/>
      <c r="V416" s="25"/>
      <c r="W416" s="25"/>
      <c r="X416" s="25"/>
      <c r="Y416" s="25"/>
      <c r="Z416" s="25"/>
    </row>
    <row r="417" spans="1:26" x14ac:dyDescent="0.35">
      <c r="A417" s="97"/>
      <c r="B417" s="97"/>
      <c r="C417" s="97"/>
      <c r="D417" s="97"/>
      <c r="E417" s="97"/>
      <c r="F417" s="97"/>
      <c r="G417" s="97"/>
      <c r="H417" s="97"/>
      <c r="I417" s="97"/>
      <c r="J417" s="97"/>
      <c r="K417" s="97"/>
      <c r="L417" s="97"/>
      <c r="M417" s="97"/>
      <c r="N417" s="97"/>
      <c r="O417" s="97"/>
      <c r="P417" s="97"/>
      <c r="Q417" s="97"/>
      <c r="R417" s="97"/>
      <c r="S417" s="97"/>
      <c r="T417" s="97"/>
      <c r="U417" s="25"/>
      <c r="V417" s="25"/>
      <c r="W417" s="25"/>
      <c r="X417" s="25"/>
      <c r="Y417" s="25"/>
      <c r="Z417" s="25"/>
    </row>
    <row r="418" spans="1:26" x14ac:dyDescent="0.35">
      <c r="A418" s="97"/>
      <c r="B418" s="97"/>
      <c r="C418" s="97"/>
      <c r="D418" s="97"/>
      <c r="E418" s="97"/>
      <c r="F418" s="97"/>
      <c r="G418" s="97"/>
      <c r="H418" s="97"/>
      <c r="I418" s="97"/>
      <c r="J418" s="97"/>
      <c r="K418" s="97"/>
      <c r="L418" s="97"/>
      <c r="M418" s="97"/>
      <c r="N418" s="97"/>
      <c r="O418" s="97"/>
      <c r="P418" s="97"/>
      <c r="Q418" s="97"/>
      <c r="R418" s="97"/>
      <c r="S418" s="97"/>
      <c r="T418" s="97"/>
      <c r="U418" s="25"/>
      <c r="V418" s="25"/>
      <c r="W418" s="25"/>
      <c r="X418" s="25"/>
      <c r="Y418" s="25"/>
      <c r="Z418" s="25"/>
    </row>
    <row r="419" spans="1:26" x14ac:dyDescent="0.35">
      <c r="A419" s="97"/>
      <c r="B419" s="97"/>
      <c r="C419" s="97"/>
      <c r="D419" s="97"/>
      <c r="E419" s="97"/>
      <c r="F419" s="97"/>
      <c r="G419" s="97"/>
      <c r="H419" s="97"/>
      <c r="I419" s="97"/>
      <c r="J419" s="97"/>
      <c r="K419" s="97"/>
      <c r="L419" s="97"/>
      <c r="M419" s="97"/>
      <c r="N419" s="97"/>
      <c r="O419" s="97"/>
      <c r="P419" s="97"/>
      <c r="Q419" s="97"/>
      <c r="R419" s="97"/>
      <c r="S419" s="97"/>
      <c r="T419" s="97"/>
      <c r="U419" s="25"/>
      <c r="V419" s="25"/>
      <c r="W419" s="25"/>
      <c r="X419" s="25"/>
      <c r="Y419" s="25"/>
      <c r="Z419" s="25"/>
    </row>
    <row r="420" spans="1:26" x14ac:dyDescent="0.35">
      <c r="A420" s="97"/>
      <c r="B420" s="97"/>
      <c r="C420" s="97"/>
      <c r="D420" s="97"/>
      <c r="E420" s="97"/>
      <c r="F420" s="97"/>
      <c r="G420" s="97"/>
      <c r="H420" s="97"/>
      <c r="I420" s="97"/>
      <c r="J420" s="97"/>
      <c r="K420" s="97"/>
      <c r="L420" s="97"/>
      <c r="M420" s="97"/>
      <c r="N420" s="97"/>
      <c r="O420" s="97"/>
      <c r="P420" s="97"/>
      <c r="Q420" s="97"/>
      <c r="R420" s="97"/>
      <c r="S420" s="97"/>
      <c r="T420" s="97"/>
      <c r="U420" s="25"/>
      <c r="V420" s="25"/>
      <c r="W420" s="25"/>
      <c r="X420" s="25"/>
      <c r="Y420" s="25"/>
      <c r="Z420" s="25"/>
    </row>
    <row r="421" spans="1:26" x14ac:dyDescent="0.35">
      <c r="A421" s="97"/>
      <c r="B421" s="97"/>
      <c r="C421" s="97"/>
      <c r="D421" s="97"/>
      <c r="E421" s="97"/>
      <c r="F421" s="97"/>
      <c r="G421" s="97"/>
      <c r="H421" s="97"/>
      <c r="I421" s="97"/>
      <c r="J421" s="97"/>
      <c r="K421" s="97"/>
      <c r="L421" s="97"/>
      <c r="M421" s="97"/>
      <c r="N421" s="97"/>
      <c r="O421" s="97"/>
      <c r="P421" s="97"/>
      <c r="Q421" s="97"/>
      <c r="R421" s="97"/>
      <c r="S421" s="97"/>
      <c r="T421" s="97"/>
      <c r="U421" s="25"/>
      <c r="V421" s="25"/>
      <c r="W421" s="25"/>
      <c r="X421" s="25"/>
      <c r="Y421" s="25"/>
      <c r="Z421" s="25"/>
    </row>
    <row r="422" spans="1:26" x14ac:dyDescent="0.35">
      <c r="A422" s="97"/>
      <c r="B422" s="97"/>
      <c r="C422" s="97"/>
      <c r="D422" s="97"/>
      <c r="E422" s="97"/>
      <c r="F422" s="97"/>
      <c r="G422" s="97"/>
      <c r="H422" s="97"/>
      <c r="I422" s="97"/>
      <c r="J422" s="97"/>
      <c r="K422" s="97"/>
      <c r="L422" s="97"/>
      <c r="M422" s="97"/>
      <c r="N422" s="97"/>
      <c r="O422" s="97"/>
      <c r="P422" s="97"/>
      <c r="Q422" s="97"/>
      <c r="R422" s="97"/>
      <c r="S422" s="97"/>
      <c r="T422" s="97"/>
      <c r="U422" s="25"/>
      <c r="V422" s="25"/>
      <c r="W422" s="25"/>
      <c r="X422" s="25"/>
      <c r="Y422" s="25"/>
      <c r="Z422" s="25"/>
    </row>
    <row r="423" spans="1:26" x14ac:dyDescent="0.35">
      <c r="A423" s="97"/>
      <c r="B423" s="97"/>
      <c r="C423" s="97"/>
      <c r="D423" s="97"/>
      <c r="E423" s="97"/>
      <c r="F423" s="97"/>
      <c r="G423" s="97"/>
      <c r="H423" s="97"/>
      <c r="I423" s="97"/>
      <c r="J423" s="97"/>
      <c r="K423" s="97"/>
      <c r="L423" s="97"/>
      <c r="M423" s="97"/>
      <c r="N423" s="97"/>
      <c r="O423" s="97"/>
      <c r="P423" s="97"/>
      <c r="Q423" s="97"/>
      <c r="R423" s="97"/>
      <c r="S423" s="97"/>
      <c r="T423" s="97"/>
      <c r="U423" s="25"/>
      <c r="V423" s="25"/>
      <c r="W423" s="25"/>
      <c r="X423" s="25"/>
      <c r="Y423" s="25"/>
      <c r="Z423" s="25"/>
    </row>
    <row r="424" spans="1:26" x14ac:dyDescent="0.35">
      <c r="A424" s="97"/>
      <c r="B424" s="97"/>
      <c r="C424" s="97"/>
      <c r="D424" s="97"/>
      <c r="E424" s="97"/>
      <c r="F424" s="97"/>
      <c r="G424" s="97"/>
      <c r="H424" s="97"/>
      <c r="I424" s="97"/>
      <c r="J424" s="97"/>
      <c r="K424" s="97"/>
      <c r="L424" s="97"/>
      <c r="M424" s="97"/>
      <c r="N424" s="97"/>
      <c r="O424" s="97"/>
      <c r="P424" s="97"/>
      <c r="Q424" s="97"/>
      <c r="R424" s="97"/>
      <c r="S424" s="97"/>
      <c r="T424" s="97"/>
      <c r="U424" s="25"/>
      <c r="V424" s="25"/>
      <c r="W424" s="25"/>
      <c r="X424" s="25"/>
      <c r="Y424" s="25"/>
      <c r="Z424" s="25"/>
    </row>
    <row r="425" spans="1:26" x14ac:dyDescent="0.35">
      <c r="A425" s="97"/>
      <c r="B425" s="97"/>
      <c r="C425" s="97"/>
      <c r="D425" s="97"/>
      <c r="E425" s="97"/>
      <c r="F425" s="97"/>
      <c r="G425" s="97"/>
      <c r="H425" s="97"/>
      <c r="I425" s="97"/>
      <c r="J425" s="97"/>
      <c r="K425" s="97"/>
      <c r="L425" s="97"/>
      <c r="M425" s="97"/>
      <c r="N425" s="97"/>
      <c r="O425" s="97"/>
      <c r="P425" s="97"/>
      <c r="Q425" s="97"/>
      <c r="R425" s="97"/>
      <c r="S425" s="97"/>
      <c r="T425" s="97"/>
      <c r="U425" s="25"/>
      <c r="V425" s="25"/>
      <c r="W425" s="25"/>
      <c r="X425" s="25"/>
      <c r="Y425" s="25"/>
      <c r="Z425" s="25"/>
    </row>
    <row r="426" spans="1:26" x14ac:dyDescent="0.35">
      <c r="A426" s="97"/>
      <c r="B426" s="97"/>
      <c r="C426" s="97"/>
      <c r="D426" s="97"/>
      <c r="E426" s="97"/>
      <c r="F426" s="97"/>
      <c r="G426" s="97"/>
      <c r="H426" s="97"/>
      <c r="I426" s="97"/>
      <c r="J426" s="97"/>
      <c r="K426" s="97"/>
      <c r="L426" s="97"/>
      <c r="M426" s="97"/>
      <c r="N426" s="97"/>
      <c r="O426" s="97"/>
      <c r="P426" s="97"/>
      <c r="Q426" s="97"/>
      <c r="R426" s="97"/>
      <c r="S426" s="97"/>
      <c r="T426" s="97"/>
      <c r="U426" s="25"/>
      <c r="V426" s="25"/>
      <c r="W426" s="25"/>
      <c r="X426" s="25"/>
      <c r="Y426" s="25"/>
      <c r="Z426" s="25"/>
    </row>
    <row r="427" spans="1:26" x14ac:dyDescent="0.35">
      <c r="A427" s="97"/>
      <c r="B427" s="97"/>
      <c r="C427" s="97"/>
      <c r="D427" s="97"/>
      <c r="E427" s="97"/>
      <c r="F427" s="97"/>
      <c r="G427" s="97"/>
      <c r="H427" s="97"/>
      <c r="I427" s="97"/>
      <c r="J427" s="97"/>
      <c r="K427" s="97"/>
      <c r="L427" s="97"/>
      <c r="M427" s="97"/>
      <c r="N427" s="97"/>
      <c r="O427" s="97"/>
      <c r="P427" s="97"/>
      <c r="Q427" s="97"/>
      <c r="R427" s="97"/>
      <c r="S427" s="97"/>
      <c r="T427" s="97"/>
      <c r="U427" s="25"/>
      <c r="V427" s="25"/>
      <c r="W427" s="25"/>
      <c r="X427" s="25"/>
      <c r="Y427" s="25"/>
      <c r="Z427" s="25"/>
    </row>
    <row r="428" spans="1:26" x14ac:dyDescent="0.35">
      <c r="A428" s="97"/>
      <c r="B428" s="97"/>
      <c r="C428" s="97"/>
      <c r="D428" s="97"/>
      <c r="E428" s="97"/>
      <c r="F428" s="97"/>
      <c r="G428" s="97"/>
      <c r="H428" s="97"/>
      <c r="I428" s="97"/>
      <c r="J428" s="97"/>
      <c r="K428" s="97"/>
      <c r="L428" s="97"/>
      <c r="M428" s="97"/>
      <c r="N428" s="97"/>
      <c r="O428" s="97"/>
      <c r="P428" s="97"/>
      <c r="Q428" s="97"/>
      <c r="R428" s="97"/>
      <c r="S428" s="97"/>
      <c r="T428" s="97"/>
      <c r="U428" s="25"/>
      <c r="V428" s="25"/>
      <c r="W428" s="25"/>
      <c r="X428" s="25"/>
      <c r="Y428" s="25"/>
      <c r="Z428" s="25"/>
    </row>
    <row r="429" spans="1:26" x14ac:dyDescent="0.35">
      <c r="A429" s="97"/>
      <c r="B429" s="97"/>
      <c r="C429" s="97"/>
      <c r="D429" s="97"/>
      <c r="E429" s="97"/>
      <c r="F429" s="97"/>
      <c r="G429" s="97"/>
      <c r="H429" s="97"/>
      <c r="I429" s="97"/>
      <c r="J429" s="97"/>
      <c r="K429" s="97"/>
      <c r="L429" s="97"/>
      <c r="M429" s="97"/>
      <c r="N429" s="97"/>
      <c r="O429" s="97"/>
      <c r="P429" s="97"/>
      <c r="Q429" s="97"/>
      <c r="R429" s="97"/>
      <c r="S429" s="97"/>
      <c r="T429" s="97"/>
      <c r="U429" s="25"/>
      <c r="V429" s="25"/>
      <c r="W429" s="25"/>
      <c r="X429" s="25"/>
      <c r="Y429" s="25"/>
      <c r="Z429" s="25"/>
    </row>
    <row r="430" spans="1:26" x14ac:dyDescent="0.35">
      <c r="A430" s="97"/>
      <c r="B430" s="97"/>
      <c r="C430" s="97"/>
      <c r="D430" s="97"/>
      <c r="E430" s="97"/>
      <c r="F430" s="97"/>
      <c r="G430" s="97"/>
      <c r="H430" s="97"/>
      <c r="I430" s="97"/>
      <c r="J430" s="97"/>
      <c r="K430" s="97"/>
      <c r="L430" s="97"/>
      <c r="M430" s="97"/>
      <c r="N430" s="97"/>
      <c r="O430" s="97"/>
      <c r="P430" s="97"/>
      <c r="Q430" s="97"/>
      <c r="R430" s="97"/>
      <c r="S430" s="97"/>
      <c r="T430" s="97"/>
      <c r="U430" s="25"/>
      <c r="V430" s="25"/>
      <c r="W430" s="25"/>
      <c r="X430" s="25"/>
      <c r="Y430" s="25"/>
      <c r="Z430" s="25"/>
    </row>
    <row r="431" spans="1:26" x14ac:dyDescent="0.35">
      <c r="A431" s="97"/>
      <c r="B431" s="97"/>
      <c r="C431" s="97"/>
      <c r="D431" s="97"/>
      <c r="E431" s="97"/>
      <c r="F431" s="97"/>
      <c r="G431" s="97"/>
      <c r="H431" s="97"/>
      <c r="I431" s="97"/>
      <c r="J431" s="97"/>
      <c r="K431" s="97"/>
      <c r="L431" s="97"/>
      <c r="M431" s="97"/>
      <c r="N431" s="97"/>
      <c r="O431" s="97"/>
      <c r="P431" s="97"/>
      <c r="Q431" s="97"/>
      <c r="R431" s="97"/>
      <c r="S431" s="97"/>
      <c r="T431" s="97"/>
      <c r="U431" s="25"/>
      <c r="V431" s="25"/>
      <c r="W431" s="25"/>
      <c r="X431" s="25"/>
      <c r="Y431" s="25"/>
      <c r="Z431" s="25"/>
    </row>
    <row r="432" spans="1:26" x14ac:dyDescent="0.35">
      <c r="A432" s="97"/>
      <c r="B432" s="97"/>
      <c r="C432" s="97"/>
      <c r="D432" s="97"/>
      <c r="E432" s="97"/>
      <c r="F432" s="97"/>
      <c r="G432" s="97"/>
      <c r="H432" s="97"/>
      <c r="I432" s="97"/>
      <c r="J432" s="97"/>
      <c r="K432" s="97"/>
      <c r="L432" s="97"/>
      <c r="M432" s="97"/>
      <c r="N432" s="97"/>
      <c r="O432" s="97"/>
      <c r="P432" s="97"/>
      <c r="Q432" s="97"/>
      <c r="R432" s="97"/>
      <c r="S432" s="97"/>
      <c r="T432" s="97"/>
      <c r="U432" s="25"/>
      <c r="V432" s="25"/>
      <c r="W432" s="25"/>
      <c r="X432" s="25"/>
      <c r="Y432" s="25"/>
      <c r="Z432" s="25"/>
    </row>
    <row r="433" spans="1:26" x14ac:dyDescent="0.35">
      <c r="A433" s="97"/>
      <c r="B433" s="97"/>
      <c r="C433" s="97"/>
      <c r="D433" s="97"/>
      <c r="E433" s="97"/>
      <c r="F433" s="97"/>
      <c r="G433" s="97"/>
      <c r="H433" s="97"/>
      <c r="I433" s="97"/>
      <c r="J433" s="97"/>
      <c r="K433" s="97"/>
      <c r="L433" s="97"/>
      <c r="M433" s="97"/>
      <c r="N433" s="97"/>
      <c r="O433" s="97"/>
      <c r="P433" s="97"/>
      <c r="Q433" s="97"/>
      <c r="R433" s="97"/>
      <c r="S433" s="97"/>
      <c r="T433" s="97"/>
      <c r="U433" s="25"/>
      <c r="V433" s="25"/>
      <c r="W433" s="25"/>
      <c r="X433" s="25"/>
      <c r="Y433" s="25"/>
      <c r="Z433" s="25"/>
    </row>
    <row r="434" spans="1:26" x14ac:dyDescent="0.35">
      <c r="A434" s="97"/>
      <c r="B434" s="97"/>
      <c r="C434" s="97"/>
      <c r="D434" s="97"/>
      <c r="E434" s="97"/>
      <c r="F434" s="97"/>
      <c r="G434" s="97"/>
      <c r="H434" s="97"/>
      <c r="I434" s="97"/>
      <c r="J434" s="97"/>
      <c r="K434" s="97"/>
      <c r="L434" s="97"/>
      <c r="M434" s="97"/>
      <c r="N434" s="97"/>
      <c r="O434" s="97"/>
      <c r="P434" s="97"/>
      <c r="Q434" s="97"/>
      <c r="R434" s="97"/>
      <c r="S434" s="97"/>
      <c r="T434" s="97"/>
      <c r="U434" s="25"/>
      <c r="V434" s="25"/>
      <c r="W434" s="25"/>
      <c r="X434" s="25"/>
      <c r="Y434" s="25"/>
      <c r="Z434" s="25"/>
    </row>
    <row r="435" spans="1:26" x14ac:dyDescent="0.35">
      <c r="A435" s="97"/>
      <c r="B435" s="97"/>
      <c r="C435" s="97"/>
      <c r="D435" s="97"/>
      <c r="E435" s="97"/>
      <c r="F435" s="97"/>
      <c r="G435" s="97"/>
      <c r="H435" s="97"/>
      <c r="I435" s="97"/>
      <c r="J435" s="97"/>
      <c r="K435" s="97"/>
      <c r="L435" s="97"/>
      <c r="M435" s="97"/>
      <c r="N435" s="97"/>
      <c r="O435" s="97"/>
      <c r="P435" s="97"/>
      <c r="Q435" s="97"/>
      <c r="R435" s="97"/>
      <c r="S435" s="97"/>
      <c r="T435" s="97"/>
      <c r="U435" s="25"/>
      <c r="V435" s="25"/>
      <c r="W435" s="25"/>
      <c r="X435" s="25"/>
      <c r="Y435" s="25"/>
      <c r="Z435" s="25"/>
    </row>
    <row r="436" spans="1:26" x14ac:dyDescent="0.35">
      <c r="A436" s="97"/>
      <c r="B436" s="97"/>
      <c r="C436" s="97"/>
      <c r="D436" s="97"/>
      <c r="E436" s="97"/>
      <c r="F436" s="97"/>
      <c r="G436" s="97"/>
      <c r="H436" s="97"/>
      <c r="I436" s="97"/>
      <c r="J436" s="97"/>
      <c r="K436" s="97"/>
      <c r="L436" s="97"/>
      <c r="M436" s="97"/>
      <c r="N436" s="97"/>
      <c r="O436" s="97"/>
      <c r="P436" s="97"/>
      <c r="Q436" s="97"/>
      <c r="R436" s="97"/>
      <c r="S436" s="97"/>
      <c r="T436" s="97"/>
      <c r="U436" s="25"/>
      <c r="V436" s="25"/>
      <c r="W436" s="25"/>
      <c r="X436" s="25"/>
      <c r="Y436" s="25"/>
      <c r="Z436" s="25"/>
    </row>
    <row r="437" spans="1:26" x14ac:dyDescent="0.35">
      <c r="A437" s="97"/>
      <c r="B437" s="97"/>
      <c r="C437" s="97"/>
      <c r="D437" s="97"/>
      <c r="E437" s="97"/>
      <c r="F437" s="97"/>
      <c r="G437" s="97"/>
      <c r="H437" s="97"/>
      <c r="I437" s="97"/>
      <c r="J437" s="97"/>
      <c r="K437" s="97"/>
      <c r="L437" s="97"/>
      <c r="M437" s="97"/>
      <c r="N437" s="97"/>
      <c r="O437" s="97"/>
      <c r="P437" s="97"/>
      <c r="Q437" s="97"/>
      <c r="R437" s="97"/>
      <c r="S437" s="97"/>
      <c r="T437" s="97"/>
      <c r="U437" s="25"/>
      <c r="V437" s="25"/>
      <c r="W437" s="25"/>
      <c r="X437" s="25"/>
      <c r="Y437" s="25"/>
      <c r="Z437" s="25"/>
    </row>
    <row r="438" spans="1:26" x14ac:dyDescent="0.35">
      <c r="A438" s="97"/>
      <c r="B438" s="97"/>
      <c r="C438" s="97"/>
      <c r="D438" s="97"/>
      <c r="E438" s="97"/>
      <c r="F438" s="97"/>
      <c r="G438" s="97"/>
      <c r="H438" s="97"/>
      <c r="I438" s="97"/>
      <c r="J438" s="97"/>
      <c r="K438" s="97"/>
      <c r="L438" s="97"/>
      <c r="M438" s="97"/>
      <c r="N438" s="97"/>
      <c r="O438" s="97"/>
      <c r="P438" s="97"/>
      <c r="Q438" s="97"/>
      <c r="R438" s="97"/>
      <c r="S438" s="97"/>
      <c r="T438" s="97"/>
      <c r="U438" s="25"/>
      <c r="V438" s="25"/>
      <c r="W438" s="25"/>
      <c r="X438" s="25"/>
      <c r="Y438" s="25"/>
      <c r="Z438" s="25"/>
    </row>
    <row r="439" spans="1:26" x14ac:dyDescent="0.35">
      <c r="A439" s="97"/>
      <c r="B439" s="97"/>
      <c r="C439" s="97"/>
      <c r="D439" s="97"/>
      <c r="E439" s="97"/>
      <c r="F439" s="97"/>
      <c r="G439" s="97"/>
      <c r="H439" s="97"/>
      <c r="I439" s="97"/>
      <c r="J439" s="97"/>
      <c r="K439" s="97"/>
      <c r="L439" s="97"/>
      <c r="M439" s="97"/>
      <c r="N439" s="97"/>
      <c r="O439" s="97"/>
      <c r="P439" s="97"/>
      <c r="Q439" s="97"/>
      <c r="R439" s="97"/>
      <c r="S439" s="97"/>
      <c r="T439" s="97"/>
      <c r="U439" s="25"/>
      <c r="V439" s="25"/>
      <c r="W439" s="25"/>
      <c r="X439" s="25"/>
      <c r="Y439" s="25"/>
      <c r="Z439" s="25"/>
    </row>
    <row r="440" spans="1:26" x14ac:dyDescent="0.35">
      <c r="A440" s="97"/>
      <c r="B440" s="97"/>
      <c r="C440" s="97"/>
      <c r="D440" s="97"/>
      <c r="E440" s="97"/>
      <c r="F440" s="97"/>
      <c r="G440" s="97"/>
      <c r="H440" s="97"/>
      <c r="I440" s="97"/>
      <c r="J440" s="97"/>
      <c r="K440" s="97"/>
      <c r="L440" s="97"/>
      <c r="M440" s="97"/>
      <c r="N440" s="97"/>
      <c r="O440" s="97"/>
      <c r="P440" s="97"/>
      <c r="Q440" s="97"/>
      <c r="R440" s="97"/>
      <c r="S440" s="97"/>
      <c r="T440" s="97"/>
      <c r="U440" s="25"/>
      <c r="V440" s="25"/>
      <c r="W440" s="25"/>
      <c r="X440" s="25"/>
      <c r="Y440" s="25"/>
      <c r="Z440" s="25"/>
    </row>
    <row r="441" spans="1:26" x14ac:dyDescent="0.35">
      <c r="A441" s="97"/>
      <c r="B441" s="97"/>
      <c r="C441" s="97"/>
      <c r="D441" s="97"/>
      <c r="E441" s="97"/>
      <c r="F441" s="97"/>
      <c r="G441" s="97"/>
      <c r="H441" s="97"/>
      <c r="I441" s="97"/>
      <c r="J441" s="97"/>
      <c r="K441" s="97"/>
      <c r="L441" s="97"/>
      <c r="M441" s="97"/>
      <c r="N441" s="97"/>
      <c r="O441" s="97"/>
      <c r="P441" s="97"/>
      <c r="Q441" s="97"/>
      <c r="R441" s="97"/>
      <c r="S441" s="97"/>
      <c r="T441" s="97"/>
      <c r="U441" s="25"/>
      <c r="V441" s="25"/>
      <c r="W441" s="25"/>
      <c r="X441" s="25"/>
      <c r="Y441" s="25"/>
      <c r="Z441" s="25"/>
    </row>
    <row r="442" spans="1:26" x14ac:dyDescent="0.35">
      <c r="A442" s="97"/>
      <c r="B442" s="97"/>
      <c r="C442" s="97"/>
      <c r="D442" s="97"/>
      <c r="E442" s="97"/>
      <c r="F442" s="97"/>
      <c r="G442" s="97"/>
      <c r="H442" s="97"/>
      <c r="I442" s="97"/>
      <c r="J442" s="97"/>
      <c r="K442" s="97"/>
      <c r="L442" s="97"/>
      <c r="M442" s="97"/>
      <c r="N442" s="97"/>
      <c r="O442" s="97"/>
      <c r="P442" s="97"/>
      <c r="Q442" s="97"/>
      <c r="R442" s="97"/>
      <c r="S442" s="97"/>
      <c r="T442" s="97"/>
      <c r="U442" s="25"/>
      <c r="V442" s="25"/>
      <c r="W442" s="25"/>
      <c r="X442" s="25"/>
      <c r="Y442" s="25"/>
      <c r="Z442" s="25"/>
    </row>
    <row r="443" spans="1:26" x14ac:dyDescent="0.35">
      <c r="A443" s="97"/>
      <c r="B443" s="97"/>
      <c r="C443" s="97"/>
      <c r="D443" s="97"/>
      <c r="E443" s="97"/>
      <c r="F443" s="97"/>
      <c r="G443" s="97"/>
      <c r="H443" s="97"/>
      <c r="I443" s="97"/>
      <c r="J443" s="97"/>
      <c r="K443" s="97"/>
      <c r="L443" s="97"/>
      <c r="M443" s="97"/>
      <c r="N443" s="97"/>
      <c r="O443" s="97"/>
      <c r="P443" s="97"/>
      <c r="Q443" s="97"/>
      <c r="R443" s="97"/>
      <c r="S443" s="97"/>
      <c r="T443" s="97"/>
      <c r="U443" s="25"/>
      <c r="V443" s="25"/>
      <c r="W443" s="25"/>
      <c r="X443" s="25"/>
      <c r="Y443" s="25"/>
      <c r="Z443" s="25"/>
    </row>
    <row r="444" spans="1:26" x14ac:dyDescent="0.35">
      <c r="A444" s="97"/>
      <c r="B444" s="97"/>
      <c r="C444" s="97"/>
      <c r="D444" s="97"/>
      <c r="E444" s="97"/>
      <c r="F444" s="97"/>
      <c r="G444" s="97"/>
      <c r="H444" s="97"/>
      <c r="I444" s="97"/>
      <c r="J444" s="97"/>
      <c r="K444" s="97"/>
      <c r="L444" s="97"/>
      <c r="M444" s="97"/>
      <c r="N444" s="97"/>
      <c r="O444" s="97"/>
      <c r="P444" s="97"/>
      <c r="Q444" s="97"/>
      <c r="R444" s="97"/>
      <c r="S444" s="97"/>
      <c r="T444" s="97"/>
      <c r="U444" s="25"/>
      <c r="V444" s="25"/>
      <c r="W444" s="25"/>
      <c r="X444" s="25"/>
      <c r="Y444" s="25"/>
      <c r="Z444" s="25"/>
    </row>
    <row r="445" spans="1:26" x14ac:dyDescent="0.35">
      <c r="A445" s="97"/>
      <c r="B445" s="97"/>
      <c r="C445" s="97"/>
      <c r="D445" s="97"/>
      <c r="E445" s="97"/>
      <c r="F445" s="97"/>
      <c r="G445" s="97"/>
      <c r="H445" s="97"/>
      <c r="I445" s="97"/>
      <c r="J445" s="97"/>
      <c r="K445" s="97"/>
      <c r="L445" s="97"/>
      <c r="M445" s="97"/>
      <c r="N445" s="97"/>
      <c r="O445" s="97"/>
      <c r="P445" s="97"/>
      <c r="Q445" s="97"/>
      <c r="R445" s="97"/>
      <c r="S445" s="97"/>
      <c r="T445" s="97"/>
      <c r="U445" s="25"/>
      <c r="V445" s="25"/>
      <c r="W445" s="25"/>
      <c r="X445" s="25"/>
      <c r="Y445" s="25"/>
      <c r="Z445" s="25"/>
    </row>
    <row r="446" spans="1:26" x14ac:dyDescent="0.35">
      <c r="A446" s="97"/>
      <c r="B446" s="97"/>
      <c r="C446" s="97"/>
      <c r="D446" s="97"/>
      <c r="E446" s="97"/>
      <c r="F446" s="97"/>
      <c r="G446" s="97"/>
      <c r="H446" s="97"/>
      <c r="I446" s="97"/>
      <c r="J446" s="97"/>
      <c r="K446" s="97"/>
      <c r="L446" s="97"/>
      <c r="M446" s="97"/>
      <c r="N446" s="97"/>
      <c r="O446" s="97"/>
      <c r="P446" s="97"/>
      <c r="Q446" s="97"/>
      <c r="R446" s="97"/>
      <c r="S446" s="97"/>
      <c r="T446" s="97"/>
      <c r="U446" s="25"/>
      <c r="V446" s="25"/>
      <c r="W446" s="25"/>
      <c r="X446" s="25"/>
      <c r="Y446" s="25"/>
      <c r="Z446" s="25"/>
    </row>
    <row r="447" spans="1:26" x14ac:dyDescent="0.35">
      <c r="A447" s="97"/>
      <c r="B447" s="97"/>
      <c r="C447" s="97"/>
      <c r="D447" s="97"/>
      <c r="E447" s="97"/>
      <c r="F447" s="97"/>
      <c r="G447" s="97"/>
      <c r="H447" s="97"/>
      <c r="I447" s="97"/>
      <c r="J447" s="97"/>
      <c r="K447" s="97"/>
      <c r="L447" s="97"/>
      <c r="M447" s="97"/>
      <c r="N447" s="97"/>
      <c r="O447" s="97"/>
      <c r="P447" s="97"/>
      <c r="Q447" s="97"/>
      <c r="R447" s="97"/>
      <c r="S447" s="97"/>
      <c r="T447" s="97"/>
      <c r="U447" s="25"/>
      <c r="V447" s="25"/>
      <c r="W447" s="25"/>
      <c r="X447" s="25"/>
      <c r="Y447" s="25"/>
      <c r="Z447" s="25"/>
    </row>
    <row r="448" spans="1:26" x14ac:dyDescent="0.35">
      <c r="A448" s="97"/>
      <c r="B448" s="97"/>
      <c r="C448" s="97"/>
      <c r="D448" s="97"/>
      <c r="E448" s="97"/>
      <c r="F448" s="97"/>
      <c r="G448" s="97"/>
      <c r="H448" s="97"/>
      <c r="I448" s="97"/>
      <c r="J448" s="97"/>
      <c r="K448" s="97"/>
      <c r="L448" s="97"/>
      <c r="M448" s="97"/>
      <c r="N448" s="97"/>
      <c r="O448" s="97"/>
      <c r="P448" s="97"/>
      <c r="Q448" s="97"/>
      <c r="R448" s="97"/>
      <c r="S448" s="97"/>
      <c r="T448" s="97"/>
      <c r="U448" s="25"/>
      <c r="V448" s="25"/>
      <c r="W448" s="25"/>
      <c r="X448" s="25"/>
      <c r="Y448" s="25"/>
      <c r="Z448" s="25"/>
    </row>
    <row r="449" spans="1:26" x14ac:dyDescent="0.35">
      <c r="A449" s="97"/>
      <c r="B449" s="97"/>
      <c r="C449" s="97"/>
      <c r="D449" s="97"/>
      <c r="E449" s="97"/>
      <c r="F449" s="97"/>
      <c r="G449" s="97"/>
      <c r="H449" s="97"/>
      <c r="I449" s="97"/>
      <c r="J449" s="97"/>
      <c r="K449" s="97"/>
      <c r="L449" s="97"/>
      <c r="M449" s="97"/>
      <c r="N449" s="97"/>
      <c r="O449" s="97"/>
      <c r="P449" s="97"/>
      <c r="Q449" s="97"/>
      <c r="R449" s="97"/>
      <c r="S449" s="97"/>
      <c r="T449" s="97"/>
      <c r="U449" s="25"/>
      <c r="V449" s="25"/>
      <c r="W449" s="25"/>
      <c r="X449" s="25"/>
      <c r="Y449" s="25"/>
      <c r="Z449" s="25"/>
    </row>
    <row r="450" spans="1:26" x14ac:dyDescent="0.35">
      <c r="A450" s="97"/>
      <c r="B450" s="97"/>
      <c r="C450" s="97"/>
      <c r="D450" s="97"/>
      <c r="E450" s="97"/>
      <c r="F450" s="97"/>
      <c r="G450" s="97"/>
      <c r="H450" s="97"/>
      <c r="I450" s="97"/>
      <c r="J450" s="97"/>
      <c r="K450" s="97"/>
      <c r="L450" s="97"/>
      <c r="M450" s="97"/>
      <c r="N450" s="97"/>
      <c r="O450" s="97"/>
      <c r="P450" s="97"/>
      <c r="Q450" s="97"/>
      <c r="R450" s="97"/>
      <c r="S450" s="97"/>
      <c r="T450" s="97"/>
      <c r="U450" s="25"/>
      <c r="V450" s="25"/>
      <c r="W450" s="25"/>
      <c r="X450" s="25"/>
      <c r="Y450" s="25"/>
      <c r="Z450" s="25"/>
    </row>
    <row r="451" spans="1:26" x14ac:dyDescent="0.35">
      <c r="A451" s="97"/>
      <c r="B451" s="97"/>
      <c r="C451" s="97"/>
      <c r="D451" s="97"/>
      <c r="E451" s="97"/>
      <c r="F451" s="97"/>
      <c r="G451" s="97"/>
      <c r="H451" s="97"/>
      <c r="I451" s="97"/>
      <c r="J451" s="97"/>
      <c r="K451" s="97"/>
      <c r="L451" s="97"/>
      <c r="M451" s="97"/>
      <c r="N451" s="97"/>
      <c r="O451" s="97"/>
      <c r="P451" s="97"/>
      <c r="Q451" s="97"/>
      <c r="R451" s="97"/>
      <c r="S451" s="97"/>
      <c r="T451" s="97"/>
      <c r="U451" s="25"/>
      <c r="V451" s="25"/>
      <c r="W451" s="25"/>
      <c r="X451" s="25"/>
      <c r="Y451" s="25"/>
      <c r="Z451" s="25"/>
    </row>
    <row r="452" spans="1:26" x14ac:dyDescent="0.35">
      <c r="A452" s="97"/>
      <c r="B452" s="97"/>
      <c r="C452" s="97"/>
      <c r="D452" s="97"/>
      <c r="E452" s="97"/>
      <c r="F452" s="97"/>
      <c r="G452" s="97"/>
      <c r="H452" s="97"/>
      <c r="I452" s="97"/>
      <c r="J452" s="97"/>
      <c r="K452" s="97"/>
      <c r="L452" s="97"/>
      <c r="M452" s="97"/>
      <c r="N452" s="97"/>
      <c r="O452" s="97"/>
      <c r="P452" s="97"/>
      <c r="Q452" s="97"/>
      <c r="R452" s="97"/>
      <c r="S452" s="97"/>
      <c r="T452" s="97"/>
      <c r="U452" s="25"/>
      <c r="V452" s="25"/>
      <c r="W452" s="25"/>
      <c r="X452" s="25"/>
      <c r="Y452" s="25"/>
      <c r="Z452" s="25"/>
    </row>
    <row r="453" spans="1:26" x14ac:dyDescent="0.35">
      <c r="A453" s="97"/>
      <c r="B453" s="97"/>
      <c r="C453" s="97"/>
      <c r="D453" s="97"/>
      <c r="E453" s="97"/>
      <c r="F453" s="97"/>
      <c r="G453" s="97"/>
      <c r="H453" s="97"/>
      <c r="I453" s="97"/>
      <c r="J453" s="97"/>
      <c r="K453" s="97"/>
      <c r="L453" s="97"/>
      <c r="M453" s="97"/>
      <c r="N453" s="97"/>
      <c r="O453" s="97"/>
      <c r="P453" s="97"/>
      <c r="Q453" s="97"/>
      <c r="R453" s="97"/>
      <c r="S453" s="97"/>
      <c r="T453" s="97"/>
      <c r="U453" s="25"/>
      <c r="V453" s="25"/>
      <c r="W453" s="25"/>
      <c r="X453" s="25"/>
      <c r="Y453" s="25"/>
      <c r="Z453" s="25"/>
    </row>
    <row r="454" spans="1:26" x14ac:dyDescent="0.35">
      <c r="A454" s="97"/>
      <c r="B454" s="97"/>
      <c r="C454" s="97"/>
      <c r="D454" s="97"/>
      <c r="E454" s="97"/>
      <c r="F454" s="97"/>
      <c r="G454" s="97"/>
      <c r="H454" s="97"/>
      <c r="I454" s="97"/>
      <c r="J454" s="97"/>
      <c r="K454" s="97"/>
      <c r="L454" s="97"/>
      <c r="M454" s="97"/>
      <c r="N454" s="97"/>
      <c r="O454" s="97"/>
      <c r="P454" s="97"/>
      <c r="Q454" s="97"/>
      <c r="R454" s="97"/>
      <c r="S454" s="97"/>
      <c r="T454" s="97"/>
      <c r="U454" s="25"/>
      <c r="V454" s="25"/>
      <c r="W454" s="25"/>
      <c r="X454" s="25"/>
      <c r="Y454" s="25"/>
      <c r="Z454" s="25"/>
    </row>
    <row r="455" spans="1:26" x14ac:dyDescent="0.35">
      <c r="A455" s="97"/>
      <c r="B455" s="97"/>
      <c r="C455" s="97"/>
      <c r="D455" s="97"/>
      <c r="E455" s="97"/>
      <c r="F455" s="97"/>
      <c r="G455" s="97"/>
      <c r="H455" s="97"/>
      <c r="I455" s="97"/>
      <c r="J455" s="97"/>
      <c r="K455" s="97"/>
      <c r="L455" s="97"/>
      <c r="M455" s="97"/>
      <c r="N455" s="97"/>
      <c r="O455" s="97"/>
      <c r="P455" s="97"/>
      <c r="Q455" s="97"/>
      <c r="R455" s="97"/>
      <c r="S455" s="97"/>
      <c r="T455" s="97"/>
      <c r="U455" s="25"/>
      <c r="V455" s="25"/>
      <c r="W455" s="25"/>
      <c r="X455" s="25"/>
      <c r="Y455" s="25"/>
      <c r="Z455" s="25"/>
    </row>
    <row r="456" spans="1:26" x14ac:dyDescent="0.35">
      <c r="A456" s="97"/>
      <c r="B456" s="97"/>
      <c r="C456" s="97"/>
      <c r="D456" s="97"/>
      <c r="E456" s="97"/>
      <c r="F456" s="97"/>
      <c r="G456" s="97"/>
      <c r="H456" s="97"/>
      <c r="I456" s="97"/>
      <c r="J456" s="97"/>
      <c r="K456" s="97"/>
      <c r="L456" s="97"/>
      <c r="M456" s="97"/>
      <c r="N456" s="97"/>
      <c r="O456" s="97"/>
      <c r="P456" s="97"/>
      <c r="Q456" s="97"/>
      <c r="R456" s="97"/>
      <c r="S456" s="97"/>
      <c r="T456" s="97"/>
      <c r="U456" s="25"/>
      <c r="V456" s="25"/>
      <c r="W456" s="25"/>
      <c r="X456" s="25"/>
      <c r="Y456" s="25"/>
      <c r="Z456" s="25"/>
    </row>
    <row r="457" spans="1:26" x14ac:dyDescent="0.35">
      <c r="A457" s="97"/>
      <c r="B457" s="97"/>
      <c r="C457" s="97"/>
      <c r="D457" s="97"/>
      <c r="E457" s="97"/>
      <c r="F457" s="97"/>
      <c r="G457" s="97"/>
      <c r="H457" s="97"/>
      <c r="I457" s="97"/>
      <c r="J457" s="97"/>
      <c r="K457" s="97"/>
      <c r="L457" s="97"/>
      <c r="M457" s="97"/>
      <c r="N457" s="97"/>
      <c r="O457" s="97"/>
      <c r="P457" s="97"/>
      <c r="Q457" s="97"/>
      <c r="R457" s="97"/>
      <c r="S457" s="97"/>
      <c r="T457" s="97"/>
      <c r="U457" s="25"/>
      <c r="V457" s="25"/>
      <c r="W457" s="25"/>
      <c r="X457" s="25"/>
      <c r="Y457" s="25"/>
      <c r="Z457" s="25"/>
    </row>
    <row r="458" spans="1:26" x14ac:dyDescent="0.35">
      <c r="A458" s="97"/>
      <c r="B458" s="97"/>
      <c r="C458" s="97"/>
      <c r="D458" s="97"/>
      <c r="E458" s="97"/>
      <c r="F458" s="97"/>
      <c r="G458" s="97"/>
      <c r="H458" s="97"/>
      <c r="I458" s="97"/>
      <c r="J458" s="97"/>
      <c r="K458" s="97"/>
      <c r="L458" s="97"/>
      <c r="M458" s="97"/>
      <c r="N458" s="97"/>
      <c r="O458" s="97"/>
      <c r="P458" s="97"/>
      <c r="Q458" s="97"/>
      <c r="R458" s="97"/>
      <c r="S458" s="97"/>
      <c r="T458" s="97"/>
      <c r="U458" s="25"/>
      <c r="V458" s="25"/>
      <c r="W458" s="25"/>
      <c r="X458" s="25"/>
      <c r="Y458" s="25"/>
      <c r="Z458" s="25"/>
    </row>
    <row r="459" spans="1:26" x14ac:dyDescent="0.35">
      <c r="A459" s="97"/>
      <c r="B459" s="97"/>
      <c r="C459" s="97"/>
      <c r="D459" s="97"/>
      <c r="E459" s="97"/>
      <c r="F459" s="97"/>
      <c r="G459" s="97"/>
      <c r="H459" s="97"/>
      <c r="I459" s="97"/>
      <c r="J459" s="97"/>
      <c r="K459" s="97"/>
      <c r="L459" s="97"/>
      <c r="M459" s="97"/>
      <c r="N459" s="97"/>
      <c r="O459" s="97"/>
      <c r="P459" s="97"/>
      <c r="Q459" s="97"/>
      <c r="R459" s="97"/>
      <c r="S459" s="97"/>
      <c r="T459" s="97"/>
      <c r="U459" s="25"/>
      <c r="V459" s="25"/>
      <c r="W459" s="25"/>
      <c r="X459" s="25"/>
      <c r="Y459" s="25"/>
      <c r="Z459" s="25"/>
    </row>
    <row r="460" spans="1:26" x14ac:dyDescent="0.35">
      <c r="A460" s="97"/>
      <c r="B460" s="97"/>
      <c r="C460" s="97"/>
      <c r="D460" s="97"/>
      <c r="E460" s="97"/>
      <c r="F460" s="97"/>
      <c r="G460" s="97"/>
      <c r="H460" s="97"/>
      <c r="I460" s="97"/>
      <c r="J460" s="97"/>
      <c r="K460" s="97"/>
      <c r="L460" s="97"/>
      <c r="M460" s="97"/>
      <c r="N460" s="97"/>
      <c r="O460" s="97"/>
      <c r="P460" s="97"/>
      <c r="Q460" s="97"/>
      <c r="R460" s="97"/>
      <c r="S460" s="97"/>
      <c r="T460" s="97"/>
      <c r="U460" s="25"/>
      <c r="V460" s="25"/>
      <c r="W460" s="25"/>
      <c r="X460" s="25"/>
      <c r="Y460" s="25"/>
      <c r="Z460" s="25"/>
    </row>
    <row r="461" spans="1:26" x14ac:dyDescent="0.35">
      <c r="A461" s="97"/>
      <c r="B461" s="97"/>
      <c r="C461" s="97"/>
      <c r="D461" s="97"/>
      <c r="E461" s="97"/>
      <c r="F461" s="97"/>
      <c r="G461" s="97"/>
      <c r="H461" s="97"/>
      <c r="I461" s="97"/>
      <c r="J461" s="97"/>
      <c r="K461" s="97"/>
      <c r="L461" s="97"/>
      <c r="M461" s="97"/>
      <c r="N461" s="97"/>
      <c r="O461" s="97"/>
      <c r="P461" s="97"/>
      <c r="Q461" s="97"/>
      <c r="R461" s="97"/>
      <c r="S461" s="97"/>
      <c r="T461" s="97"/>
      <c r="U461" s="25"/>
      <c r="V461" s="25"/>
      <c r="W461" s="25"/>
      <c r="X461" s="25"/>
      <c r="Y461" s="25"/>
      <c r="Z461" s="25"/>
    </row>
    <row r="462" spans="1:26" x14ac:dyDescent="0.35">
      <c r="A462" s="97"/>
      <c r="B462" s="97"/>
      <c r="C462" s="97"/>
      <c r="D462" s="97"/>
      <c r="E462" s="97"/>
      <c r="F462" s="97"/>
      <c r="G462" s="97"/>
      <c r="H462" s="97"/>
      <c r="I462" s="97"/>
      <c r="J462" s="97"/>
      <c r="K462" s="97"/>
      <c r="L462" s="97"/>
      <c r="M462" s="97"/>
      <c r="N462" s="97"/>
      <c r="O462" s="97"/>
      <c r="P462" s="97"/>
      <c r="Q462" s="97"/>
      <c r="R462" s="97"/>
      <c r="S462" s="97"/>
      <c r="T462" s="97"/>
      <c r="U462" s="25"/>
      <c r="V462" s="25"/>
      <c r="W462" s="25"/>
      <c r="X462" s="25"/>
      <c r="Y462" s="25"/>
      <c r="Z462" s="25"/>
    </row>
    <row r="463" spans="1:26" x14ac:dyDescent="0.35">
      <c r="A463" s="97"/>
      <c r="B463" s="97"/>
      <c r="C463" s="97"/>
      <c r="D463" s="97"/>
      <c r="E463" s="97"/>
      <c r="F463" s="97"/>
      <c r="G463" s="97"/>
      <c r="H463" s="97"/>
      <c r="I463" s="97"/>
      <c r="J463" s="97"/>
      <c r="K463" s="97"/>
      <c r="L463" s="97"/>
      <c r="M463" s="97"/>
      <c r="N463" s="97"/>
      <c r="O463" s="97"/>
      <c r="P463" s="97"/>
      <c r="Q463" s="97"/>
      <c r="R463" s="97"/>
      <c r="S463" s="97"/>
      <c r="T463" s="97"/>
      <c r="U463" s="25"/>
      <c r="V463" s="25"/>
      <c r="W463" s="25"/>
      <c r="X463" s="25"/>
      <c r="Y463" s="25"/>
      <c r="Z463" s="25"/>
    </row>
    <row r="464" spans="1:26" x14ac:dyDescent="0.35">
      <c r="A464" s="97"/>
      <c r="B464" s="97"/>
      <c r="C464" s="97"/>
      <c r="D464" s="97"/>
      <c r="E464" s="97"/>
      <c r="F464" s="97"/>
      <c r="G464" s="97"/>
      <c r="H464" s="97"/>
      <c r="I464" s="97"/>
      <c r="J464" s="97"/>
      <c r="K464" s="97"/>
      <c r="L464" s="97"/>
      <c r="M464" s="97"/>
      <c r="N464" s="97"/>
      <c r="O464" s="97"/>
      <c r="P464" s="97"/>
      <c r="Q464" s="97"/>
      <c r="R464" s="97"/>
      <c r="S464" s="97"/>
      <c r="T464" s="97"/>
      <c r="U464" s="25"/>
      <c r="V464" s="25"/>
      <c r="W464" s="25"/>
      <c r="X464" s="25"/>
      <c r="Y464" s="25"/>
      <c r="Z464" s="25"/>
    </row>
    <row r="465" spans="1:26" x14ac:dyDescent="0.35">
      <c r="A465" s="97"/>
      <c r="B465" s="97"/>
      <c r="C465" s="97"/>
      <c r="D465" s="97"/>
      <c r="E465" s="97"/>
      <c r="F465" s="97"/>
      <c r="G465" s="97"/>
      <c r="H465" s="97"/>
      <c r="I465" s="97"/>
      <c r="J465" s="97"/>
      <c r="K465" s="97"/>
      <c r="L465" s="97"/>
      <c r="M465" s="97"/>
      <c r="N465" s="97"/>
      <c r="O465" s="97"/>
      <c r="P465" s="97"/>
      <c r="Q465" s="97"/>
      <c r="R465" s="97"/>
      <c r="S465" s="97"/>
      <c r="T465" s="97"/>
      <c r="U465" s="25"/>
      <c r="V465" s="25"/>
      <c r="W465" s="25"/>
      <c r="X465" s="25"/>
      <c r="Y465" s="25"/>
      <c r="Z465" s="25"/>
    </row>
    <row r="466" spans="1:26" x14ac:dyDescent="0.35">
      <c r="A466" s="97"/>
      <c r="B466" s="97"/>
      <c r="C466" s="97"/>
      <c r="D466" s="97"/>
      <c r="E466" s="97"/>
      <c r="F466" s="97"/>
      <c r="G466" s="97"/>
      <c r="H466" s="97"/>
      <c r="I466" s="97"/>
      <c r="J466" s="97"/>
      <c r="K466" s="97"/>
      <c r="L466" s="97"/>
      <c r="M466" s="97"/>
      <c r="N466" s="97"/>
      <c r="O466" s="97"/>
      <c r="P466" s="97"/>
      <c r="Q466" s="97"/>
      <c r="R466" s="97"/>
      <c r="S466" s="97"/>
      <c r="T466" s="97"/>
      <c r="U466" s="25"/>
      <c r="V466" s="25"/>
      <c r="W466" s="25"/>
      <c r="X466" s="25"/>
      <c r="Y466" s="25"/>
      <c r="Z466" s="25"/>
    </row>
    <row r="467" spans="1:26" x14ac:dyDescent="0.35">
      <c r="A467" s="97"/>
      <c r="B467" s="97"/>
      <c r="C467" s="97"/>
      <c r="D467" s="97"/>
      <c r="E467" s="97"/>
      <c r="F467" s="97"/>
      <c r="G467" s="97"/>
      <c r="H467" s="97"/>
      <c r="I467" s="97"/>
      <c r="J467" s="97"/>
      <c r="K467" s="97"/>
      <c r="L467" s="97"/>
      <c r="M467" s="97"/>
      <c r="N467" s="97"/>
      <c r="O467" s="97"/>
      <c r="P467" s="97"/>
      <c r="Q467" s="97"/>
      <c r="R467" s="97"/>
      <c r="S467" s="97"/>
      <c r="T467" s="97"/>
      <c r="U467" s="25"/>
      <c r="V467" s="25"/>
      <c r="W467" s="25"/>
      <c r="X467" s="25"/>
      <c r="Y467" s="25"/>
      <c r="Z467" s="25"/>
    </row>
    <row r="468" spans="1:26" x14ac:dyDescent="0.35">
      <c r="A468" s="97"/>
      <c r="B468" s="97"/>
      <c r="C468" s="97"/>
      <c r="D468" s="97"/>
      <c r="E468" s="97"/>
      <c r="F468" s="97"/>
      <c r="G468" s="97"/>
      <c r="H468" s="97"/>
      <c r="I468" s="97"/>
      <c r="J468" s="97"/>
      <c r="K468" s="97"/>
      <c r="L468" s="97"/>
      <c r="M468" s="97"/>
      <c r="N468" s="97"/>
      <c r="O468" s="97"/>
      <c r="P468" s="97"/>
      <c r="Q468" s="97"/>
      <c r="R468" s="97"/>
      <c r="S468" s="97"/>
      <c r="T468" s="97"/>
      <c r="U468" s="25"/>
      <c r="V468" s="25"/>
      <c r="W468" s="25"/>
      <c r="X468" s="25"/>
      <c r="Y468" s="25"/>
      <c r="Z468" s="25"/>
    </row>
    <row r="469" spans="1:26" x14ac:dyDescent="0.35">
      <c r="A469" s="97"/>
      <c r="B469" s="97"/>
      <c r="C469" s="97"/>
      <c r="D469" s="97"/>
      <c r="E469" s="97"/>
      <c r="F469" s="97"/>
      <c r="G469" s="97"/>
      <c r="H469" s="97"/>
      <c r="I469" s="97"/>
      <c r="J469" s="97"/>
      <c r="K469" s="97"/>
      <c r="L469" s="97"/>
      <c r="M469" s="97"/>
      <c r="N469" s="97"/>
      <c r="O469" s="97"/>
      <c r="P469" s="97"/>
      <c r="Q469" s="97"/>
      <c r="R469" s="97"/>
      <c r="S469" s="97"/>
      <c r="T469" s="97"/>
      <c r="U469" s="25"/>
      <c r="V469" s="25"/>
      <c r="W469" s="25"/>
      <c r="X469" s="25"/>
      <c r="Y469" s="25"/>
      <c r="Z469" s="25"/>
    </row>
    <row r="470" spans="1:26" x14ac:dyDescent="0.35">
      <c r="A470" s="97"/>
      <c r="B470" s="97"/>
      <c r="C470" s="97"/>
      <c r="D470" s="97"/>
      <c r="E470" s="97"/>
      <c r="F470" s="97"/>
      <c r="G470" s="97"/>
      <c r="H470" s="97"/>
      <c r="I470" s="97"/>
      <c r="J470" s="97"/>
      <c r="K470" s="97"/>
      <c r="L470" s="97"/>
      <c r="M470" s="97"/>
      <c r="N470" s="97"/>
      <c r="O470" s="97"/>
      <c r="P470" s="97"/>
      <c r="Q470" s="97"/>
      <c r="R470" s="97"/>
      <c r="S470" s="97"/>
      <c r="T470" s="97"/>
      <c r="U470" s="25"/>
      <c r="V470" s="25"/>
      <c r="W470" s="25"/>
      <c r="X470" s="25"/>
      <c r="Y470" s="25"/>
      <c r="Z470" s="25"/>
    </row>
    <row r="471" spans="1:26" x14ac:dyDescent="0.35">
      <c r="A471" s="97"/>
      <c r="B471" s="97"/>
      <c r="C471" s="97"/>
      <c r="D471" s="97"/>
      <c r="E471" s="97"/>
      <c r="F471" s="97"/>
      <c r="G471" s="97"/>
      <c r="H471" s="97"/>
      <c r="I471" s="97"/>
      <c r="J471" s="97"/>
      <c r="K471" s="97"/>
      <c r="L471" s="97"/>
      <c r="M471" s="97"/>
      <c r="N471" s="97"/>
      <c r="O471" s="97"/>
      <c r="P471" s="97"/>
      <c r="Q471" s="97"/>
      <c r="R471" s="97"/>
      <c r="S471" s="97"/>
      <c r="T471" s="97"/>
      <c r="U471" s="25"/>
      <c r="V471" s="25"/>
      <c r="W471" s="25"/>
      <c r="X471" s="25"/>
      <c r="Y471" s="25"/>
      <c r="Z471" s="25"/>
    </row>
    <row r="472" spans="1:26" x14ac:dyDescent="0.35">
      <c r="A472" s="97"/>
      <c r="B472" s="97"/>
      <c r="C472" s="97"/>
      <c r="D472" s="97"/>
      <c r="E472" s="97"/>
      <c r="F472" s="97"/>
      <c r="G472" s="97"/>
      <c r="H472" s="97"/>
      <c r="I472" s="97"/>
      <c r="J472" s="97"/>
      <c r="K472" s="97"/>
      <c r="L472" s="97"/>
      <c r="M472" s="97"/>
      <c r="N472" s="97"/>
      <c r="O472" s="97"/>
      <c r="P472" s="97"/>
      <c r="Q472" s="97"/>
      <c r="R472" s="97"/>
      <c r="S472" s="97"/>
      <c r="T472" s="97"/>
      <c r="U472" s="25"/>
      <c r="V472" s="25"/>
      <c r="W472" s="25"/>
      <c r="X472" s="25"/>
      <c r="Y472" s="25"/>
      <c r="Z472" s="25"/>
    </row>
    <row r="473" spans="1:26" x14ac:dyDescent="0.35">
      <c r="A473" s="97"/>
      <c r="B473" s="97"/>
      <c r="C473" s="97"/>
      <c r="D473" s="97"/>
      <c r="E473" s="97"/>
      <c r="F473" s="97"/>
      <c r="G473" s="97"/>
      <c r="H473" s="97"/>
      <c r="I473" s="97"/>
      <c r="J473" s="97"/>
      <c r="K473" s="97"/>
      <c r="L473" s="97"/>
      <c r="M473" s="97"/>
      <c r="N473" s="97"/>
      <c r="O473" s="97"/>
      <c r="P473" s="97"/>
      <c r="Q473" s="97"/>
      <c r="R473" s="97"/>
      <c r="S473" s="97"/>
      <c r="T473" s="97"/>
      <c r="U473" s="25"/>
      <c r="V473" s="25"/>
      <c r="W473" s="25"/>
      <c r="X473" s="25"/>
      <c r="Y473" s="25"/>
      <c r="Z473" s="25"/>
    </row>
    <row r="474" spans="1:26" x14ac:dyDescent="0.35">
      <c r="A474" s="97"/>
      <c r="B474" s="97"/>
      <c r="C474" s="97"/>
      <c r="D474" s="97"/>
      <c r="E474" s="97"/>
      <c r="F474" s="97"/>
      <c r="G474" s="97"/>
      <c r="H474" s="97"/>
      <c r="I474" s="97"/>
      <c r="J474" s="97"/>
      <c r="K474" s="97"/>
      <c r="L474" s="97"/>
      <c r="M474" s="97"/>
      <c r="N474" s="97"/>
      <c r="O474" s="97"/>
      <c r="P474" s="97"/>
      <c r="Q474" s="97"/>
      <c r="R474" s="97"/>
      <c r="S474" s="97"/>
      <c r="T474" s="97"/>
      <c r="U474" s="25"/>
      <c r="V474" s="25"/>
      <c r="W474" s="25"/>
      <c r="X474" s="25"/>
      <c r="Y474" s="25"/>
      <c r="Z474" s="25"/>
    </row>
    <row r="475" spans="1:26" x14ac:dyDescent="0.35">
      <c r="A475" s="97"/>
      <c r="B475" s="97"/>
      <c r="C475" s="97"/>
      <c r="D475" s="97"/>
      <c r="E475" s="97"/>
      <c r="F475" s="97"/>
      <c r="G475" s="97"/>
      <c r="H475" s="97"/>
      <c r="I475" s="97"/>
      <c r="J475" s="97"/>
      <c r="K475" s="97"/>
      <c r="L475" s="97"/>
      <c r="M475" s="97"/>
      <c r="N475" s="97"/>
      <c r="O475" s="97"/>
      <c r="P475" s="97"/>
      <c r="Q475" s="97"/>
      <c r="R475" s="97"/>
      <c r="S475" s="97"/>
      <c r="T475" s="97"/>
      <c r="U475" s="25"/>
      <c r="V475" s="25"/>
      <c r="W475" s="25"/>
      <c r="X475" s="25"/>
      <c r="Y475" s="25"/>
      <c r="Z475" s="25"/>
    </row>
    <row r="476" spans="1:26" x14ac:dyDescent="0.35">
      <c r="A476" s="97"/>
      <c r="B476" s="97"/>
      <c r="C476" s="97"/>
      <c r="D476" s="97"/>
      <c r="E476" s="97"/>
      <c r="F476" s="97"/>
      <c r="G476" s="97"/>
      <c r="H476" s="97"/>
      <c r="I476" s="97"/>
      <c r="J476" s="97"/>
      <c r="K476" s="97"/>
      <c r="L476" s="97"/>
      <c r="M476" s="97"/>
      <c r="N476" s="97"/>
      <c r="O476" s="97"/>
      <c r="P476" s="97"/>
      <c r="Q476" s="97"/>
      <c r="R476" s="97"/>
      <c r="S476" s="97"/>
      <c r="T476" s="97"/>
      <c r="U476" s="25"/>
      <c r="V476" s="25"/>
      <c r="W476" s="25"/>
      <c r="X476" s="25"/>
      <c r="Y476" s="25"/>
      <c r="Z476" s="25"/>
    </row>
    <row r="477" spans="1:26" x14ac:dyDescent="0.35">
      <c r="A477" s="97"/>
      <c r="B477" s="97"/>
      <c r="C477" s="97"/>
      <c r="D477" s="97"/>
      <c r="E477" s="97"/>
      <c r="F477" s="97"/>
      <c r="G477" s="97"/>
      <c r="H477" s="97"/>
      <c r="I477" s="97"/>
      <c r="J477" s="97"/>
      <c r="K477" s="97"/>
      <c r="L477" s="97"/>
      <c r="M477" s="97"/>
      <c r="N477" s="97"/>
      <c r="O477" s="97"/>
      <c r="P477" s="97"/>
      <c r="Q477" s="97"/>
      <c r="R477" s="97"/>
      <c r="S477" s="97"/>
      <c r="T477" s="97"/>
      <c r="U477" s="25"/>
      <c r="V477" s="25"/>
      <c r="W477" s="25"/>
      <c r="X477" s="25"/>
      <c r="Y477" s="25"/>
      <c r="Z477" s="25"/>
    </row>
    <row r="478" spans="1:26" x14ac:dyDescent="0.35">
      <c r="A478" s="97"/>
      <c r="B478" s="97"/>
      <c r="C478" s="97"/>
      <c r="D478" s="97"/>
      <c r="E478" s="97"/>
      <c r="F478" s="97"/>
      <c r="G478" s="97"/>
      <c r="H478" s="97"/>
      <c r="I478" s="97"/>
      <c r="J478" s="97"/>
      <c r="K478" s="97"/>
      <c r="L478" s="97"/>
      <c r="M478" s="97"/>
      <c r="N478" s="97"/>
      <c r="O478" s="97"/>
      <c r="P478" s="97"/>
      <c r="Q478" s="97"/>
      <c r="R478" s="97"/>
      <c r="S478" s="97"/>
      <c r="T478" s="97"/>
      <c r="U478" s="25"/>
      <c r="V478" s="25"/>
      <c r="W478" s="25"/>
      <c r="X478" s="25"/>
      <c r="Y478" s="25"/>
      <c r="Z478" s="25"/>
    </row>
    <row r="479" spans="1:26" x14ac:dyDescent="0.35">
      <c r="A479" s="97"/>
      <c r="B479" s="97"/>
      <c r="C479" s="97"/>
      <c r="D479" s="97"/>
      <c r="E479" s="97"/>
      <c r="F479" s="97"/>
      <c r="G479" s="97"/>
      <c r="H479" s="97"/>
      <c r="I479" s="97"/>
      <c r="J479" s="97"/>
      <c r="K479" s="97"/>
      <c r="L479" s="97"/>
      <c r="M479" s="97"/>
      <c r="N479" s="97"/>
      <c r="O479" s="97"/>
      <c r="P479" s="97"/>
      <c r="Q479" s="97"/>
      <c r="R479" s="97"/>
      <c r="S479" s="97"/>
      <c r="T479" s="97"/>
      <c r="U479" s="25"/>
      <c r="V479" s="25"/>
      <c r="W479" s="25"/>
      <c r="X479" s="25"/>
      <c r="Y479" s="25"/>
      <c r="Z479" s="25"/>
    </row>
    <row r="480" spans="1:26" x14ac:dyDescent="0.35">
      <c r="A480" s="97"/>
      <c r="B480" s="97"/>
      <c r="C480" s="97"/>
      <c r="D480" s="97"/>
      <c r="E480" s="97"/>
      <c r="F480" s="97"/>
      <c r="G480" s="97"/>
      <c r="H480" s="97"/>
      <c r="I480" s="97"/>
      <c r="J480" s="97"/>
      <c r="K480" s="97"/>
      <c r="L480" s="97"/>
      <c r="M480" s="97"/>
      <c r="N480" s="97"/>
      <c r="O480" s="97"/>
      <c r="P480" s="97"/>
      <c r="Q480" s="97"/>
      <c r="R480" s="97"/>
      <c r="S480" s="97"/>
      <c r="T480" s="97"/>
      <c r="U480" s="25"/>
      <c r="V480" s="25"/>
      <c r="W480" s="25"/>
      <c r="X480" s="25"/>
      <c r="Y480" s="25"/>
      <c r="Z480" s="25"/>
    </row>
    <row r="481" spans="1:26" x14ac:dyDescent="0.35">
      <c r="A481" s="97"/>
      <c r="B481" s="97"/>
      <c r="C481" s="97"/>
      <c r="D481" s="97"/>
      <c r="E481" s="97"/>
      <c r="F481" s="97"/>
      <c r="G481" s="97"/>
      <c r="H481" s="97"/>
      <c r="I481" s="97"/>
      <c r="J481" s="97"/>
      <c r="K481" s="97"/>
      <c r="L481" s="97"/>
      <c r="M481" s="97"/>
      <c r="N481" s="97"/>
      <c r="O481" s="97"/>
      <c r="P481" s="97"/>
      <c r="Q481" s="97"/>
      <c r="R481" s="97"/>
      <c r="S481" s="97"/>
      <c r="T481" s="97"/>
      <c r="U481" s="25"/>
      <c r="V481" s="25"/>
      <c r="W481" s="25"/>
      <c r="X481" s="25"/>
      <c r="Y481" s="25"/>
      <c r="Z481" s="25"/>
    </row>
    <row r="482" spans="1:26" x14ac:dyDescent="0.35">
      <c r="A482" s="97"/>
      <c r="B482" s="97"/>
      <c r="C482" s="97"/>
      <c r="D482" s="97"/>
      <c r="E482" s="97"/>
      <c r="F482" s="97"/>
      <c r="G482" s="97"/>
      <c r="H482" s="97"/>
      <c r="I482" s="97"/>
      <c r="J482" s="97"/>
      <c r="K482" s="97"/>
      <c r="L482" s="97"/>
      <c r="M482" s="97"/>
      <c r="N482" s="97"/>
      <c r="O482" s="97"/>
      <c r="P482" s="97"/>
      <c r="Q482" s="97"/>
      <c r="R482" s="97"/>
      <c r="S482" s="97"/>
      <c r="T482" s="97"/>
      <c r="U482" s="25"/>
      <c r="V482" s="25"/>
      <c r="W482" s="25"/>
      <c r="X482" s="25"/>
      <c r="Y482" s="25"/>
      <c r="Z482" s="25"/>
    </row>
    <row r="483" spans="1:26" x14ac:dyDescent="0.35">
      <c r="A483" s="97"/>
      <c r="B483" s="97"/>
      <c r="C483" s="97"/>
      <c r="D483" s="97"/>
      <c r="E483" s="97"/>
      <c r="F483" s="97"/>
      <c r="G483" s="97"/>
      <c r="H483" s="97"/>
      <c r="I483" s="97"/>
      <c r="J483" s="97"/>
      <c r="K483" s="97"/>
      <c r="L483" s="97"/>
      <c r="M483" s="97"/>
      <c r="N483" s="97"/>
      <c r="O483" s="97"/>
      <c r="P483" s="97"/>
      <c r="Q483" s="97"/>
      <c r="R483" s="97"/>
      <c r="S483" s="97"/>
      <c r="T483" s="97"/>
      <c r="U483" s="25"/>
      <c r="V483" s="25"/>
      <c r="W483" s="25"/>
      <c r="X483" s="25"/>
      <c r="Y483" s="25"/>
      <c r="Z483" s="25"/>
    </row>
    <row r="484" spans="1:26" x14ac:dyDescent="0.35">
      <c r="A484" s="97"/>
      <c r="B484" s="97"/>
      <c r="C484" s="97"/>
      <c r="D484" s="97"/>
      <c r="E484" s="97"/>
      <c r="F484" s="97"/>
      <c r="G484" s="97"/>
      <c r="H484" s="97"/>
      <c r="I484" s="97"/>
      <c r="J484" s="97"/>
      <c r="K484" s="97"/>
      <c r="L484" s="97"/>
      <c r="M484" s="97"/>
      <c r="N484" s="97"/>
      <c r="O484" s="97"/>
      <c r="P484" s="97"/>
      <c r="Q484" s="97"/>
      <c r="R484" s="97"/>
      <c r="S484" s="97"/>
      <c r="T484" s="97"/>
      <c r="U484" s="25"/>
      <c r="V484" s="25"/>
      <c r="W484" s="25"/>
      <c r="X484" s="25"/>
      <c r="Y484" s="25"/>
      <c r="Z484" s="25"/>
    </row>
    <row r="485" spans="1:26" x14ac:dyDescent="0.35">
      <c r="A485" s="97"/>
      <c r="B485" s="97"/>
      <c r="C485" s="97"/>
      <c r="D485" s="97"/>
      <c r="E485" s="97"/>
      <c r="F485" s="97"/>
      <c r="G485" s="97"/>
      <c r="H485" s="97"/>
      <c r="I485" s="97"/>
      <c r="J485" s="97"/>
      <c r="K485" s="97"/>
      <c r="L485" s="97"/>
      <c r="M485" s="97"/>
      <c r="N485" s="97"/>
      <c r="O485" s="97"/>
      <c r="P485" s="97"/>
      <c r="Q485" s="97"/>
      <c r="R485" s="97"/>
      <c r="S485" s="97"/>
      <c r="T485" s="97"/>
      <c r="U485" s="25"/>
      <c r="V485" s="25"/>
      <c r="W485" s="25"/>
      <c r="X485" s="25"/>
      <c r="Y485" s="25"/>
      <c r="Z485" s="25"/>
    </row>
    <row r="486" spans="1:26" x14ac:dyDescent="0.35">
      <c r="A486" s="97"/>
      <c r="B486" s="97"/>
      <c r="C486" s="97"/>
      <c r="D486" s="97"/>
      <c r="E486" s="97"/>
      <c r="F486" s="97"/>
      <c r="G486" s="97"/>
      <c r="H486" s="97"/>
      <c r="I486" s="97"/>
      <c r="J486" s="97"/>
      <c r="K486" s="97"/>
      <c r="L486" s="97"/>
      <c r="M486" s="97"/>
      <c r="N486" s="97"/>
      <c r="O486" s="97"/>
      <c r="P486" s="97"/>
      <c r="Q486" s="97"/>
      <c r="R486" s="97"/>
      <c r="S486" s="97"/>
      <c r="T486" s="97"/>
      <c r="U486" s="25"/>
      <c r="V486" s="25"/>
      <c r="W486" s="25"/>
      <c r="X486" s="25"/>
      <c r="Y486" s="25"/>
      <c r="Z486" s="25"/>
    </row>
    <row r="487" spans="1:26" x14ac:dyDescent="0.35">
      <c r="A487" s="97"/>
      <c r="B487" s="97"/>
      <c r="C487" s="97"/>
      <c r="D487" s="97"/>
      <c r="E487" s="97"/>
      <c r="F487" s="97"/>
      <c r="G487" s="97"/>
      <c r="H487" s="97"/>
      <c r="I487" s="97"/>
      <c r="J487" s="97"/>
      <c r="K487" s="97"/>
      <c r="L487" s="97"/>
      <c r="M487" s="97"/>
      <c r="N487" s="97"/>
      <c r="O487" s="97"/>
      <c r="P487" s="97"/>
      <c r="Q487" s="97"/>
      <c r="R487" s="97"/>
      <c r="S487" s="97"/>
      <c r="T487" s="97"/>
      <c r="U487" s="25"/>
      <c r="V487" s="25"/>
      <c r="W487" s="25"/>
      <c r="X487" s="25"/>
      <c r="Y487" s="25"/>
      <c r="Z487" s="25"/>
    </row>
    <row r="488" spans="1:26" x14ac:dyDescent="0.35">
      <c r="A488" s="97"/>
      <c r="B488" s="97"/>
      <c r="C488" s="97"/>
      <c r="D488" s="97"/>
      <c r="E488" s="97"/>
      <c r="F488" s="97"/>
      <c r="G488" s="97"/>
      <c r="H488" s="97"/>
      <c r="I488" s="97"/>
      <c r="J488" s="97"/>
      <c r="K488" s="97"/>
      <c r="L488" s="97"/>
      <c r="M488" s="97"/>
      <c r="N488" s="97"/>
      <c r="O488" s="97"/>
      <c r="P488" s="97"/>
      <c r="Q488" s="97"/>
      <c r="R488" s="97"/>
      <c r="S488" s="97"/>
      <c r="T488" s="97"/>
      <c r="U488" s="25"/>
      <c r="V488" s="25"/>
      <c r="W488" s="25"/>
      <c r="X488" s="25"/>
      <c r="Y488" s="25"/>
      <c r="Z488" s="25"/>
    </row>
    <row r="489" spans="1:26" x14ac:dyDescent="0.35">
      <c r="A489" s="97"/>
      <c r="B489" s="97"/>
      <c r="C489" s="97"/>
      <c r="D489" s="97"/>
      <c r="E489" s="97"/>
      <c r="F489" s="97"/>
      <c r="G489" s="97"/>
      <c r="H489" s="97"/>
      <c r="I489" s="97"/>
      <c r="J489" s="97"/>
      <c r="K489" s="97"/>
      <c r="L489" s="97"/>
      <c r="M489" s="97"/>
      <c r="N489" s="97"/>
      <c r="O489" s="97"/>
      <c r="P489" s="97"/>
      <c r="Q489" s="97"/>
      <c r="R489" s="97"/>
      <c r="S489" s="97"/>
      <c r="T489" s="97"/>
      <c r="U489" s="25"/>
      <c r="V489" s="25"/>
      <c r="W489" s="25"/>
      <c r="X489" s="25"/>
      <c r="Y489" s="25"/>
      <c r="Z489" s="25"/>
    </row>
    <row r="490" spans="1:26" x14ac:dyDescent="0.35">
      <c r="A490" s="97"/>
      <c r="B490" s="97"/>
      <c r="C490" s="97"/>
      <c r="D490" s="97"/>
      <c r="E490" s="97"/>
      <c r="F490" s="97"/>
      <c r="G490" s="97"/>
      <c r="H490" s="97"/>
      <c r="I490" s="97"/>
      <c r="J490" s="97"/>
      <c r="K490" s="97"/>
      <c r="L490" s="97"/>
      <c r="M490" s="97"/>
      <c r="N490" s="97"/>
      <c r="O490" s="97"/>
      <c r="P490" s="97"/>
      <c r="Q490" s="97"/>
      <c r="R490" s="97"/>
      <c r="S490" s="97"/>
      <c r="T490" s="97"/>
      <c r="U490" s="25"/>
      <c r="V490" s="25"/>
      <c r="W490" s="25"/>
      <c r="X490" s="25"/>
      <c r="Y490" s="25"/>
      <c r="Z490" s="25"/>
    </row>
    <row r="491" spans="1:26" x14ac:dyDescent="0.35">
      <c r="A491" s="97"/>
      <c r="B491" s="97"/>
      <c r="C491" s="97"/>
      <c r="D491" s="97"/>
      <c r="E491" s="97"/>
      <c r="F491" s="97"/>
      <c r="G491" s="97"/>
      <c r="H491" s="97"/>
      <c r="I491" s="97"/>
      <c r="J491" s="97"/>
      <c r="K491" s="97"/>
      <c r="L491" s="97"/>
      <c r="M491" s="97"/>
      <c r="N491" s="97"/>
      <c r="O491" s="97"/>
      <c r="P491" s="97"/>
      <c r="Q491" s="97"/>
      <c r="R491" s="97"/>
      <c r="S491" s="97"/>
      <c r="T491" s="97"/>
      <c r="U491" s="25"/>
      <c r="V491" s="25"/>
      <c r="W491" s="25"/>
      <c r="X491" s="25"/>
      <c r="Y491" s="25"/>
      <c r="Z491" s="25"/>
    </row>
    <row r="492" spans="1:26" x14ac:dyDescent="0.35">
      <c r="A492" s="97"/>
      <c r="B492" s="97"/>
      <c r="C492" s="97"/>
      <c r="D492" s="97"/>
      <c r="E492" s="97"/>
      <c r="F492" s="97"/>
      <c r="G492" s="97"/>
      <c r="H492" s="97"/>
      <c r="I492" s="97"/>
      <c r="J492" s="97"/>
      <c r="K492" s="97"/>
      <c r="L492" s="97"/>
      <c r="M492" s="97"/>
      <c r="N492" s="97"/>
      <c r="O492" s="97"/>
      <c r="P492" s="97"/>
      <c r="Q492" s="97"/>
      <c r="R492" s="97"/>
      <c r="S492" s="97"/>
      <c r="T492" s="97"/>
      <c r="U492" s="25"/>
      <c r="V492" s="25"/>
      <c r="W492" s="25"/>
      <c r="X492" s="25"/>
      <c r="Y492" s="25"/>
      <c r="Z492" s="25"/>
    </row>
    <row r="493" spans="1:26" x14ac:dyDescent="0.35">
      <c r="A493" s="97"/>
      <c r="B493" s="97"/>
      <c r="C493" s="97"/>
      <c r="D493" s="97"/>
      <c r="E493" s="97"/>
      <c r="F493" s="97"/>
      <c r="G493" s="97"/>
      <c r="H493" s="97"/>
      <c r="I493" s="97"/>
      <c r="J493" s="97"/>
      <c r="K493" s="97"/>
      <c r="L493" s="97"/>
      <c r="M493" s="97"/>
      <c r="N493" s="97"/>
      <c r="O493" s="97"/>
      <c r="P493" s="97"/>
      <c r="Q493" s="97"/>
      <c r="R493" s="97"/>
      <c r="S493" s="97"/>
      <c r="T493" s="97"/>
      <c r="U493" s="25"/>
      <c r="V493" s="25"/>
      <c r="W493" s="25"/>
      <c r="X493" s="25"/>
      <c r="Y493" s="25"/>
      <c r="Z493" s="25"/>
    </row>
    <row r="494" spans="1:26" x14ac:dyDescent="0.35">
      <c r="A494" s="97"/>
      <c r="B494" s="97"/>
      <c r="C494" s="97"/>
      <c r="D494" s="97"/>
      <c r="E494" s="97"/>
      <c r="F494" s="97"/>
      <c r="G494" s="97"/>
      <c r="H494" s="97"/>
      <c r="I494" s="97"/>
      <c r="J494" s="97"/>
      <c r="K494" s="97"/>
      <c r="L494" s="97"/>
      <c r="M494" s="97"/>
      <c r="N494" s="97"/>
      <c r="O494" s="97"/>
      <c r="P494" s="97"/>
      <c r="Q494" s="97"/>
      <c r="R494" s="97"/>
      <c r="S494" s="97"/>
      <c r="T494" s="97"/>
      <c r="U494" s="25"/>
      <c r="V494" s="25"/>
      <c r="W494" s="25"/>
      <c r="X494" s="25"/>
      <c r="Y494" s="25"/>
      <c r="Z494" s="25"/>
    </row>
    <row r="495" spans="1:26" x14ac:dyDescent="0.35">
      <c r="A495" s="97"/>
      <c r="B495" s="97"/>
      <c r="C495" s="97"/>
      <c r="D495" s="97"/>
      <c r="E495" s="97"/>
      <c r="F495" s="97"/>
      <c r="G495" s="97"/>
      <c r="H495" s="97"/>
      <c r="I495" s="97"/>
      <c r="J495" s="97"/>
      <c r="K495" s="97"/>
      <c r="L495" s="97"/>
      <c r="M495" s="97"/>
      <c r="N495" s="97"/>
      <c r="O495" s="97"/>
      <c r="P495" s="97"/>
      <c r="Q495" s="97"/>
      <c r="R495" s="97"/>
      <c r="S495" s="97"/>
      <c r="T495" s="97"/>
      <c r="U495" s="25"/>
      <c r="V495" s="25"/>
      <c r="W495" s="25"/>
      <c r="X495" s="25"/>
      <c r="Y495" s="25"/>
      <c r="Z495" s="25"/>
    </row>
    <row r="496" spans="1:26" x14ac:dyDescent="0.35">
      <c r="A496" s="97"/>
      <c r="B496" s="97"/>
      <c r="C496" s="97"/>
      <c r="D496" s="97"/>
      <c r="E496" s="97"/>
      <c r="F496" s="97"/>
      <c r="G496" s="97"/>
      <c r="H496" s="97"/>
      <c r="I496" s="97"/>
      <c r="J496" s="97"/>
      <c r="K496" s="97"/>
      <c r="L496" s="97"/>
      <c r="M496" s="97"/>
      <c r="N496" s="97"/>
      <c r="O496" s="97"/>
      <c r="P496" s="97"/>
      <c r="Q496" s="97"/>
      <c r="R496" s="97"/>
      <c r="S496" s="97"/>
      <c r="T496" s="97"/>
      <c r="U496" s="25"/>
      <c r="V496" s="25"/>
      <c r="W496" s="25"/>
      <c r="X496" s="25"/>
      <c r="Y496" s="25"/>
      <c r="Z496" s="25"/>
    </row>
    <row r="497" spans="1:26" x14ac:dyDescent="0.35">
      <c r="A497" s="97"/>
      <c r="B497" s="97"/>
      <c r="C497" s="97"/>
      <c r="D497" s="97"/>
      <c r="E497" s="97"/>
      <c r="F497" s="97"/>
      <c r="G497" s="97"/>
      <c r="H497" s="97"/>
      <c r="I497" s="97"/>
      <c r="J497" s="97"/>
      <c r="K497" s="97"/>
      <c r="L497" s="97"/>
      <c r="M497" s="97"/>
      <c r="N497" s="97"/>
      <c r="O497" s="97"/>
      <c r="P497" s="97"/>
      <c r="Q497" s="97"/>
      <c r="R497" s="97"/>
      <c r="S497" s="97"/>
      <c r="T497" s="97"/>
      <c r="U497" s="25"/>
      <c r="V497" s="25"/>
      <c r="W497" s="25"/>
      <c r="X497" s="25"/>
      <c r="Y497" s="25"/>
      <c r="Z497" s="25"/>
    </row>
    <row r="498" spans="1:26" x14ac:dyDescent="0.35">
      <c r="A498" s="97"/>
      <c r="B498" s="97"/>
      <c r="C498" s="97"/>
      <c r="D498" s="97"/>
      <c r="E498" s="97"/>
      <c r="F498" s="97"/>
      <c r="G498" s="97"/>
      <c r="H498" s="97"/>
      <c r="I498" s="97"/>
      <c r="J498" s="97"/>
      <c r="K498" s="97"/>
      <c r="L498" s="97"/>
      <c r="M498" s="97"/>
      <c r="N498" s="97"/>
      <c r="O498" s="97"/>
      <c r="P498" s="97"/>
      <c r="Q498" s="97"/>
      <c r="R498" s="97"/>
      <c r="S498" s="97"/>
      <c r="T498" s="97"/>
      <c r="U498" s="25"/>
      <c r="V498" s="25"/>
      <c r="W498" s="25"/>
      <c r="X498" s="25"/>
      <c r="Y498" s="25"/>
      <c r="Z498" s="25"/>
    </row>
    <row r="499" spans="1:26" x14ac:dyDescent="0.35">
      <c r="A499" s="97"/>
      <c r="B499" s="97"/>
      <c r="C499" s="97"/>
      <c r="D499" s="97"/>
      <c r="E499" s="97"/>
      <c r="F499" s="97"/>
      <c r="G499" s="97"/>
      <c r="H499" s="97"/>
      <c r="I499" s="97"/>
      <c r="J499" s="97"/>
      <c r="K499" s="97"/>
      <c r="L499" s="97"/>
      <c r="M499" s="97"/>
      <c r="N499" s="97"/>
      <c r="O499" s="97"/>
      <c r="P499" s="97"/>
      <c r="Q499" s="97"/>
      <c r="R499" s="97"/>
      <c r="S499" s="97"/>
      <c r="T499" s="97"/>
      <c r="U499" s="25"/>
      <c r="V499" s="25"/>
      <c r="W499" s="25"/>
      <c r="X499" s="25"/>
      <c r="Y499" s="25"/>
      <c r="Z499" s="25"/>
    </row>
    <row r="500" spans="1:26" x14ac:dyDescent="0.35">
      <c r="A500" s="97"/>
      <c r="B500" s="97"/>
      <c r="C500" s="97"/>
      <c r="D500" s="97"/>
      <c r="E500" s="97"/>
      <c r="F500" s="97"/>
      <c r="G500" s="97"/>
      <c r="H500" s="97"/>
      <c r="I500" s="97"/>
      <c r="J500" s="97"/>
      <c r="K500" s="97"/>
      <c r="L500" s="97"/>
      <c r="M500" s="97"/>
      <c r="N500" s="97"/>
      <c r="O500" s="97"/>
      <c r="P500" s="97"/>
      <c r="Q500" s="97"/>
      <c r="R500" s="97"/>
      <c r="S500" s="97"/>
      <c r="T500" s="97"/>
      <c r="U500" s="25"/>
      <c r="V500" s="25"/>
      <c r="W500" s="25"/>
      <c r="X500" s="25"/>
      <c r="Y500" s="25"/>
      <c r="Z500" s="25"/>
    </row>
    <row r="501" spans="1:26" x14ac:dyDescent="0.35">
      <c r="A501" s="97"/>
      <c r="B501" s="97"/>
      <c r="C501" s="97"/>
      <c r="D501" s="97"/>
      <c r="E501" s="97"/>
      <c r="F501" s="97"/>
      <c r="G501" s="97"/>
      <c r="H501" s="97"/>
      <c r="I501" s="97"/>
      <c r="J501" s="97"/>
      <c r="K501" s="97"/>
      <c r="L501" s="97"/>
      <c r="M501" s="97"/>
      <c r="N501" s="97"/>
      <c r="O501" s="97"/>
      <c r="P501" s="97"/>
      <c r="Q501" s="97"/>
      <c r="R501" s="97"/>
      <c r="S501" s="97"/>
      <c r="T501" s="97"/>
      <c r="U501" s="25"/>
      <c r="V501" s="25"/>
      <c r="W501" s="25"/>
      <c r="X501" s="25"/>
      <c r="Y501" s="25"/>
      <c r="Z501" s="25"/>
    </row>
    <row r="502" spans="1:26" x14ac:dyDescent="0.35">
      <c r="A502" s="97"/>
      <c r="B502" s="97"/>
      <c r="C502" s="97"/>
      <c r="D502" s="97"/>
      <c r="E502" s="97"/>
      <c r="F502" s="97"/>
      <c r="G502" s="97"/>
      <c r="H502" s="97"/>
      <c r="I502" s="97"/>
      <c r="J502" s="97"/>
      <c r="K502" s="97"/>
      <c r="L502" s="97"/>
      <c r="M502" s="97"/>
      <c r="N502" s="97"/>
      <c r="O502" s="97"/>
      <c r="P502" s="97"/>
      <c r="Q502" s="97"/>
      <c r="R502" s="97"/>
      <c r="S502" s="97"/>
      <c r="T502" s="97"/>
      <c r="U502" s="25"/>
      <c r="V502" s="25"/>
      <c r="W502" s="25"/>
      <c r="X502" s="25"/>
      <c r="Y502" s="25"/>
      <c r="Z502" s="25"/>
    </row>
    <row r="503" spans="1:26" x14ac:dyDescent="0.35">
      <c r="A503" s="97"/>
      <c r="B503" s="97"/>
      <c r="C503" s="97"/>
      <c r="D503" s="97"/>
      <c r="E503" s="97"/>
      <c r="F503" s="97"/>
      <c r="G503" s="97"/>
      <c r="H503" s="97"/>
      <c r="I503" s="97"/>
      <c r="J503" s="97"/>
      <c r="K503" s="97"/>
      <c r="L503" s="97"/>
      <c r="M503" s="97"/>
      <c r="N503" s="97"/>
      <c r="O503" s="97"/>
      <c r="P503" s="97"/>
      <c r="Q503" s="97"/>
      <c r="R503" s="97"/>
      <c r="S503" s="97"/>
      <c r="T503" s="97"/>
      <c r="U503" s="25"/>
      <c r="V503" s="25"/>
      <c r="W503" s="25"/>
      <c r="X503" s="25"/>
      <c r="Y503" s="25"/>
      <c r="Z503" s="25"/>
    </row>
    <row r="504" spans="1:26" x14ac:dyDescent="0.35">
      <c r="A504" s="97"/>
      <c r="B504" s="97"/>
      <c r="C504" s="97"/>
      <c r="D504" s="97"/>
      <c r="E504" s="97"/>
      <c r="F504" s="97"/>
      <c r="G504" s="97"/>
      <c r="H504" s="97"/>
      <c r="I504" s="97"/>
      <c r="J504" s="97"/>
      <c r="K504" s="97"/>
      <c r="L504" s="97"/>
      <c r="M504" s="97"/>
      <c r="N504" s="97"/>
      <c r="O504" s="97"/>
      <c r="P504" s="97"/>
      <c r="Q504" s="97"/>
      <c r="R504" s="97"/>
      <c r="S504" s="97"/>
      <c r="T504" s="97"/>
      <c r="U504" s="25"/>
      <c r="V504" s="25"/>
      <c r="W504" s="25"/>
      <c r="X504" s="25"/>
      <c r="Y504" s="25"/>
      <c r="Z504" s="25"/>
    </row>
    <row r="505" spans="1:26" x14ac:dyDescent="0.35">
      <c r="A505" s="97"/>
      <c r="B505" s="97"/>
      <c r="C505" s="97"/>
      <c r="D505" s="97"/>
      <c r="E505" s="97"/>
      <c r="F505" s="97"/>
      <c r="G505" s="97"/>
      <c r="H505" s="97"/>
      <c r="I505" s="97"/>
      <c r="J505" s="97"/>
      <c r="K505" s="97"/>
      <c r="L505" s="97"/>
      <c r="M505" s="97"/>
      <c r="N505" s="97"/>
      <c r="O505" s="97"/>
      <c r="P505" s="97"/>
      <c r="Q505" s="97"/>
      <c r="R505" s="97"/>
      <c r="S505" s="97"/>
      <c r="T505" s="97"/>
      <c r="U505" s="25"/>
      <c r="V505" s="25"/>
      <c r="W505" s="25"/>
      <c r="X505" s="25"/>
      <c r="Y505" s="25"/>
      <c r="Z505" s="25"/>
    </row>
    <row r="506" spans="1:26" x14ac:dyDescent="0.35">
      <c r="A506" s="97"/>
      <c r="B506" s="97"/>
      <c r="C506" s="97"/>
      <c r="D506" s="97"/>
      <c r="E506" s="97"/>
      <c r="F506" s="97"/>
      <c r="G506" s="97"/>
      <c r="H506" s="97"/>
      <c r="I506" s="97"/>
      <c r="J506" s="97"/>
      <c r="K506" s="97"/>
      <c r="L506" s="97"/>
      <c r="M506" s="97"/>
      <c r="N506" s="97"/>
      <c r="O506" s="97"/>
      <c r="P506" s="97"/>
      <c r="Q506" s="97"/>
      <c r="R506" s="97"/>
      <c r="S506" s="97"/>
      <c r="T506" s="97"/>
      <c r="U506" s="25"/>
      <c r="V506" s="25"/>
      <c r="W506" s="25"/>
      <c r="X506" s="25"/>
      <c r="Y506" s="25"/>
      <c r="Z506" s="25"/>
    </row>
    <row r="507" spans="1:26" x14ac:dyDescent="0.35">
      <c r="A507" s="97"/>
      <c r="B507" s="97"/>
      <c r="C507" s="97"/>
      <c r="D507" s="97"/>
      <c r="E507" s="97"/>
      <c r="F507" s="97"/>
      <c r="G507" s="97"/>
      <c r="H507" s="97"/>
      <c r="I507" s="97"/>
      <c r="J507" s="97"/>
      <c r="K507" s="97"/>
      <c r="L507" s="97"/>
      <c r="M507" s="97"/>
      <c r="N507" s="97"/>
      <c r="O507" s="97"/>
      <c r="P507" s="97"/>
      <c r="Q507" s="97"/>
      <c r="R507" s="97"/>
      <c r="S507" s="97"/>
      <c r="T507" s="97"/>
      <c r="U507" s="25"/>
      <c r="V507" s="25"/>
      <c r="W507" s="25"/>
      <c r="X507" s="25"/>
      <c r="Y507" s="25"/>
      <c r="Z507" s="25"/>
    </row>
    <row r="508" spans="1:26" x14ac:dyDescent="0.35">
      <c r="A508" s="97"/>
      <c r="B508" s="97"/>
      <c r="C508" s="97"/>
      <c r="D508" s="97"/>
      <c r="E508" s="97"/>
      <c r="F508" s="97"/>
      <c r="G508" s="97"/>
      <c r="H508" s="97"/>
      <c r="I508" s="97"/>
      <c r="J508" s="97"/>
      <c r="K508" s="97"/>
      <c r="L508" s="97"/>
      <c r="M508" s="97"/>
      <c r="N508" s="97"/>
      <c r="O508" s="97"/>
      <c r="P508" s="97"/>
      <c r="Q508" s="97"/>
      <c r="R508" s="97"/>
      <c r="S508" s="97"/>
      <c r="T508" s="97"/>
      <c r="U508" s="25"/>
      <c r="V508" s="25"/>
      <c r="W508" s="25"/>
      <c r="X508" s="25"/>
      <c r="Y508" s="25"/>
      <c r="Z508" s="25"/>
    </row>
    <row r="509" spans="1:26" x14ac:dyDescent="0.35">
      <c r="A509" s="97"/>
      <c r="B509" s="97"/>
      <c r="C509" s="97"/>
      <c r="D509" s="97"/>
      <c r="E509" s="97"/>
      <c r="F509" s="97"/>
      <c r="G509" s="97"/>
      <c r="H509" s="97"/>
      <c r="I509" s="97"/>
      <c r="J509" s="97"/>
      <c r="K509" s="97"/>
      <c r="L509" s="97"/>
      <c r="M509" s="97"/>
      <c r="N509" s="97"/>
      <c r="O509" s="97"/>
      <c r="P509" s="97"/>
      <c r="Q509" s="97"/>
      <c r="R509" s="97"/>
      <c r="S509" s="97"/>
      <c r="T509" s="97"/>
      <c r="U509" s="25"/>
      <c r="V509" s="25"/>
      <c r="W509" s="25"/>
      <c r="X509" s="25"/>
      <c r="Y509" s="25"/>
      <c r="Z509" s="25"/>
    </row>
    <row r="510" spans="1:26" x14ac:dyDescent="0.35">
      <c r="A510" s="97"/>
      <c r="B510" s="97"/>
      <c r="C510" s="97"/>
      <c r="D510" s="97"/>
      <c r="E510" s="97"/>
      <c r="F510" s="97"/>
      <c r="G510" s="97"/>
      <c r="H510" s="97"/>
      <c r="I510" s="97"/>
      <c r="J510" s="97"/>
      <c r="K510" s="97"/>
      <c r="L510" s="97"/>
      <c r="M510" s="97"/>
      <c r="N510" s="97"/>
      <c r="O510" s="97"/>
      <c r="P510" s="97"/>
      <c r="Q510" s="97"/>
      <c r="R510" s="97"/>
      <c r="S510" s="97"/>
      <c r="T510" s="97"/>
      <c r="U510" s="25"/>
      <c r="V510" s="25"/>
      <c r="W510" s="25"/>
      <c r="X510" s="25"/>
      <c r="Y510" s="25"/>
      <c r="Z510" s="25"/>
    </row>
    <row r="511" spans="1:26" x14ac:dyDescent="0.35">
      <c r="A511" s="97"/>
      <c r="B511" s="97"/>
      <c r="C511" s="97"/>
      <c r="D511" s="97"/>
      <c r="E511" s="97"/>
      <c r="F511" s="97"/>
      <c r="G511" s="97"/>
      <c r="H511" s="97"/>
      <c r="I511" s="97"/>
      <c r="J511" s="97"/>
      <c r="K511" s="97"/>
      <c r="L511" s="97"/>
      <c r="M511" s="97"/>
      <c r="N511" s="97"/>
      <c r="O511" s="97"/>
      <c r="P511" s="97"/>
      <c r="Q511" s="97"/>
      <c r="R511" s="97"/>
      <c r="S511" s="97"/>
      <c r="T511" s="97"/>
      <c r="U511" s="25"/>
      <c r="V511" s="25"/>
      <c r="W511" s="25"/>
      <c r="X511" s="25"/>
      <c r="Y511" s="25"/>
      <c r="Z511" s="25"/>
    </row>
    <row r="512" spans="1:26" x14ac:dyDescent="0.35">
      <c r="A512" s="97"/>
      <c r="B512" s="97"/>
      <c r="C512" s="97"/>
      <c r="D512" s="97"/>
      <c r="E512" s="97"/>
      <c r="F512" s="97"/>
      <c r="G512" s="97"/>
      <c r="H512" s="97"/>
      <c r="I512" s="97"/>
      <c r="J512" s="97"/>
      <c r="K512" s="97"/>
      <c r="L512" s="97"/>
      <c r="M512" s="97"/>
      <c r="N512" s="97"/>
      <c r="O512" s="97"/>
      <c r="P512" s="97"/>
      <c r="Q512" s="97"/>
      <c r="R512" s="97"/>
      <c r="S512" s="97"/>
      <c r="T512" s="97"/>
      <c r="U512" s="25"/>
      <c r="V512" s="25"/>
      <c r="W512" s="25"/>
      <c r="X512" s="25"/>
      <c r="Y512" s="25"/>
      <c r="Z512" s="25"/>
    </row>
    <row r="513" spans="1:26" x14ac:dyDescent="0.35">
      <c r="A513" s="97"/>
      <c r="B513" s="97"/>
      <c r="C513" s="97"/>
      <c r="D513" s="97"/>
      <c r="E513" s="97"/>
      <c r="F513" s="97"/>
      <c r="G513" s="97"/>
      <c r="H513" s="97"/>
      <c r="I513" s="97"/>
      <c r="J513" s="97"/>
      <c r="K513" s="97"/>
      <c r="L513" s="97"/>
      <c r="M513" s="97"/>
      <c r="N513" s="97"/>
      <c r="O513" s="97"/>
      <c r="P513" s="97"/>
      <c r="Q513" s="97"/>
      <c r="R513" s="97"/>
      <c r="S513" s="97"/>
      <c r="T513" s="97"/>
      <c r="U513" s="25"/>
      <c r="V513" s="25"/>
      <c r="W513" s="25"/>
      <c r="X513" s="25"/>
      <c r="Y513" s="25"/>
      <c r="Z513" s="25"/>
    </row>
    <row r="514" spans="1:26" x14ac:dyDescent="0.35">
      <c r="A514" s="97"/>
      <c r="B514" s="97"/>
      <c r="C514" s="97"/>
      <c r="D514" s="97"/>
      <c r="E514" s="97"/>
      <c r="F514" s="97"/>
      <c r="G514" s="97"/>
      <c r="H514" s="97"/>
      <c r="I514" s="97"/>
      <c r="J514" s="97"/>
      <c r="K514" s="97"/>
      <c r="L514" s="97"/>
      <c r="M514" s="97"/>
      <c r="N514" s="97"/>
      <c r="O514" s="97"/>
      <c r="P514" s="97"/>
      <c r="Q514" s="97"/>
      <c r="R514" s="97"/>
      <c r="S514" s="97"/>
      <c r="T514" s="97"/>
      <c r="U514" s="25"/>
      <c r="V514" s="25"/>
      <c r="W514" s="25"/>
      <c r="X514" s="25"/>
      <c r="Y514" s="25"/>
      <c r="Z514" s="25"/>
    </row>
    <row r="515" spans="1:26" x14ac:dyDescent="0.35">
      <c r="A515" s="97"/>
      <c r="B515" s="97"/>
      <c r="C515" s="97"/>
      <c r="D515" s="97"/>
      <c r="E515" s="97"/>
      <c r="F515" s="97"/>
      <c r="G515" s="97"/>
      <c r="H515" s="97"/>
      <c r="I515" s="97"/>
      <c r="J515" s="97"/>
      <c r="K515" s="97"/>
      <c r="L515" s="97"/>
      <c r="M515" s="97"/>
      <c r="N515" s="97"/>
      <c r="O515" s="97"/>
      <c r="P515" s="97"/>
      <c r="Q515" s="97"/>
      <c r="R515" s="97"/>
      <c r="S515" s="97"/>
      <c r="T515" s="97"/>
      <c r="U515" s="25"/>
      <c r="V515" s="25"/>
      <c r="W515" s="25"/>
      <c r="X515" s="25"/>
      <c r="Y515" s="25"/>
      <c r="Z515" s="25"/>
    </row>
    <row r="516" spans="1:26" x14ac:dyDescent="0.35">
      <c r="A516" s="97"/>
      <c r="B516" s="97"/>
      <c r="C516" s="97"/>
      <c r="D516" s="97"/>
      <c r="E516" s="97"/>
      <c r="F516" s="97"/>
      <c r="G516" s="97"/>
      <c r="H516" s="97"/>
      <c r="I516" s="97"/>
      <c r="J516" s="97"/>
      <c r="K516" s="97"/>
      <c r="L516" s="97"/>
      <c r="M516" s="97"/>
      <c r="N516" s="97"/>
      <c r="O516" s="97"/>
      <c r="P516" s="97"/>
      <c r="Q516" s="97"/>
      <c r="R516" s="97"/>
      <c r="S516" s="97"/>
      <c r="T516" s="97"/>
      <c r="U516" s="25"/>
      <c r="V516" s="25"/>
      <c r="W516" s="25"/>
      <c r="X516" s="25"/>
      <c r="Y516" s="25"/>
      <c r="Z516" s="25"/>
    </row>
    <row r="517" spans="1:26" x14ac:dyDescent="0.35">
      <c r="A517" s="97"/>
      <c r="B517" s="97"/>
      <c r="C517" s="97"/>
      <c r="D517" s="97"/>
      <c r="E517" s="97"/>
      <c r="F517" s="97"/>
      <c r="G517" s="97"/>
      <c r="H517" s="97"/>
      <c r="I517" s="97"/>
      <c r="J517" s="97"/>
      <c r="K517" s="97"/>
      <c r="L517" s="97"/>
      <c r="M517" s="97"/>
      <c r="N517" s="97"/>
      <c r="O517" s="97"/>
      <c r="P517" s="97"/>
      <c r="Q517" s="97"/>
      <c r="R517" s="97"/>
      <c r="S517" s="97"/>
      <c r="T517" s="97"/>
      <c r="U517" s="25"/>
      <c r="V517" s="25"/>
      <c r="W517" s="25"/>
      <c r="X517" s="25"/>
      <c r="Y517" s="25"/>
      <c r="Z517" s="25"/>
    </row>
    <row r="518" spans="1:26" x14ac:dyDescent="0.35">
      <c r="A518" s="97"/>
      <c r="B518" s="97"/>
      <c r="C518" s="97"/>
      <c r="D518" s="97"/>
      <c r="E518" s="97"/>
      <c r="F518" s="97"/>
      <c r="G518" s="97"/>
      <c r="H518" s="97"/>
      <c r="I518" s="97"/>
      <c r="J518" s="97"/>
      <c r="K518" s="97"/>
      <c r="L518" s="97"/>
      <c r="M518" s="97"/>
      <c r="N518" s="97"/>
      <c r="O518" s="97"/>
      <c r="P518" s="97"/>
      <c r="Q518" s="97"/>
      <c r="R518" s="97"/>
      <c r="S518" s="97"/>
      <c r="T518" s="97"/>
      <c r="U518" s="25"/>
      <c r="V518" s="25"/>
      <c r="W518" s="25"/>
      <c r="X518" s="25"/>
      <c r="Y518" s="25"/>
      <c r="Z518" s="25"/>
    </row>
    <row r="519" spans="1:26" x14ac:dyDescent="0.35">
      <c r="A519" s="97"/>
      <c r="B519" s="97"/>
      <c r="C519" s="97"/>
      <c r="D519" s="97"/>
      <c r="E519" s="97"/>
      <c r="F519" s="97"/>
      <c r="G519" s="97"/>
      <c r="H519" s="97"/>
      <c r="I519" s="97"/>
      <c r="J519" s="97"/>
      <c r="K519" s="97"/>
      <c r="L519" s="97"/>
      <c r="M519" s="97"/>
      <c r="N519" s="97"/>
      <c r="O519" s="97"/>
      <c r="P519" s="97"/>
      <c r="Q519" s="97"/>
      <c r="R519" s="97"/>
      <c r="S519" s="97"/>
      <c r="T519" s="97"/>
      <c r="U519" s="25"/>
      <c r="V519" s="25"/>
      <c r="W519" s="25"/>
      <c r="X519" s="25"/>
      <c r="Y519" s="25"/>
      <c r="Z519" s="25"/>
    </row>
    <row r="520" spans="1:26" x14ac:dyDescent="0.35">
      <c r="A520" s="97"/>
      <c r="B520" s="97"/>
      <c r="C520" s="97"/>
      <c r="D520" s="97"/>
      <c r="E520" s="97"/>
      <c r="F520" s="97"/>
      <c r="G520" s="97"/>
      <c r="H520" s="97"/>
      <c r="I520" s="97"/>
      <c r="J520" s="97"/>
      <c r="K520" s="97"/>
      <c r="L520" s="97"/>
      <c r="M520" s="97"/>
      <c r="N520" s="97"/>
      <c r="O520" s="97"/>
      <c r="P520" s="97"/>
      <c r="Q520" s="97"/>
      <c r="R520" s="97"/>
      <c r="S520" s="97"/>
      <c r="T520" s="97"/>
      <c r="U520" s="25"/>
      <c r="V520" s="25"/>
      <c r="W520" s="25"/>
      <c r="X520" s="25"/>
      <c r="Y520" s="25"/>
      <c r="Z520" s="25"/>
    </row>
    <row r="521" spans="1:26" x14ac:dyDescent="0.35">
      <c r="A521" s="97"/>
      <c r="B521" s="97"/>
      <c r="C521" s="97"/>
      <c r="D521" s="97"/>
      <c r="E521" s="97"/>
      <c r="F521" s="97"/>
      <c r="G521" s="97"/>
      <c r="H521" s="97"/>
      <c r="I521" s="97"/>
      <c r="J521" s="97"/>
      <c r="K521" s="97"/>
      <c r="L521" s="97"/>
      <c r="M521" s="97"/>
      <c r="N521" s="97"/>
      <c r="O521" s="97"/>
      <c r="P521" s="97"/>
      <c r="Q521" s="97"/>
      <c r="R521" s="97"/>
      <c r="S521" s="97"/>
      <c r="T521" s="97"/>
      <c r="U521" s="25"/>
      <c r="V521" s="25"/>
      <c r="W521" s="25"/>
      <c r="X521" s="25"/>
      <c r="Y521" s="25"/>
      <c r="Z521" s="25"/>
    </row>
    <row r="522" spans="1:26" x14ac:dyDescent="0.35">
      <c r="A522" s="97"/>
      <c r="B522" s="97"/>
      <c r="C522" s="97"/>
      <c r="D522" s="97"/>
      <c r="E522" s="97"/>
      <c r="F522" s="97"/>
      <c r="G522" s="97"/>
      <c r="H522" s="97"/>
      <c r="I522" s="97"/>
      <c r="J522" s="97"/>
      <c r="K522" s="97"/>
      <c r="L522" s="97"/>
      <c r="M522" s="97"/>
      <c r="N522" s="97"/>
      <c r="O522" s="97"/>
      <c r="P522" s="97"/>
      <c r="Q522" s="97"/>
      <c r="R522" s="97"/>
      <c r="S522" s="97"/>
      <c r="T522" s="97"/>
      <c r="U522" s="25"/>
      <c r="V522" s="25"/>
      <c r="W522" s="25"/>
      <c r="X522" s="25"/>
      <c r="Y522" s="25"/>
      <c r="Z522" s="25"/>
    </row>
    <row r="523" spans="1:26" x14ac:dyDescent="0.35">
      <c r="A523" s="97"/>
      <c r="B523" s="97"/>
      <c r="C523" s="97"/>
      <c r="D523" s="97"/>
      <c r="E523" s="97"/>
      <c r="F523" s="97"/>
      <c r="G523" s="97"/>
      <c r="H523" s="97"/>
      <c r="I523" s="97"/>
      <c r="J523" s="97"/>
      <c r="K523" s="97"/>
      <c r="L523" s="97"/>
      <c r="M523" s="97"/>
      <c r="N523" s="97"/>
      <c r="O523" s="97"/>
      <c r="P523" s="97"/>
      <c r="Q523" s="97"/>
      <c r="R523" s="97"/>
      <c r="S523" s="97"/>
      <c r="T523" s="97"/>
      <c r="U523" s="25"/>
      <c r="V523" s="25"/>
      <c r="W523" s="25"/>
      <c r="X523" s="25"/>
      <c r="Y523" s="25"/>
      <c r="Z523" s="25"/>
    </row>
    <row r="524" spans="1:26" x14ac:dyDescent="0.35">
      <c r="A524" s="97"/>
      <c r="B524" s="97"/>
      <c r="C524" s="97"/>
      <c r="D524" s="97"/>
      <c r="E524" s="97"/>
      <c r="F524" s="97"/>
      <c r="G524" s="97"/>
      <c r="H524" s="97"/>
      <c r="I524" s="97"/>
      <c r="J524" s="97"/>
      <c r="K524" s="97"/>
      <c r="L524" s="97"/>
      <c r="M524" s="97"/>
      <c r="N524" s="97"/>
      <c r="O524" s="97"/>
      <c r="P524" s="97"/>
      <c r="Q524" s="97"/>
      <c r="R524" s="97"/>
      <c r="S524" s="97"/>
      <c r="T524" s="97"/>
      <c r="U524" s="25"/>
      <c r="V524" s="25"/>
      <c r="W524" s="25"/>
      <c r="X524" s="25"/>
      <c r="Y524" s="25"/>
      <c r="Z524" s="25"/>
    </row>
    <row r="525" spans="1:26" x14ac:dyDescent="0.35">
      <c r="A525" s="97"/>
      <c r="B525" s="97"/>
      <c r="C525" s="97"/>
      <c r="D525" s="97"/>
      <c r="E525" s="97"/>
      <c r="F525" s="97"/>
      <c r="G525" s="97"/>
      <c r="H525" s="97"/>
      <c r="I525" s="97"/>
      <c r="J525" s="97"/>
      <c r="K525" s="97"/>
      <c r="L525" s="97"/>
      <c r="M525" s="97"/>
      <c r="N525" s="97"/>
      <c r="O525" s="97"/>
      <c r="P525" s="97"/>
      <c r="Q525" s="97"/>
      <c r="R525" s="97"/>
      <c r="S525" s="97"/>
      <c r="T525" s="97"/>
      <c r="U525" s="25"/>
      <c r="V525" s="25"/>
      <c r="W525" s="25"/>
      <c r="X525" s="25"/>
      <c r="Y525" s="25"/>
      <c r="Z525" s="25"/>
    </row>
    <row r="526" spans="1:26" x14ac:dyDescent="0.35">
      <c r="A526" s="97"/>
      <c r="B526" s="97"/>
      <c r="C526" s="97"/>
      <c r="D526" s="97"/>
      <c r="E526" s="97"/>
      <c r="F526" s="97"/>
      <c r="G526" s="97"/>
      <c r="H526" s="97"/>
      <c r="I526" s="97"/>
      <c r="J526" s="97"/>
      <c r="K526" s="97"/>
      <c r="L526" s="97"/>
      <c r="M526" s="97"/>
      <c r="N526" s="97"/>
      <c r="O526" s="97"/>
      <c r="P526" s="97"/>
      <c r="Q526" s="97"/>
      <c r="R526" s="97"/>
      <c r="S526" s="97"/>
      <c r="T526" s="97"/>
      <c r="U526" s="25"/>
      <c r="V526" s="25"/>
      <c r="W526" s="25"/>
      <c r="X526" s="25"/>
      <c r="Y526" s="25"/>
      <c r="Z526" s="25"/>
    </row>
    <row r="527" spans="1:26" x14ac:dyDescent="0.35">
      <c r="A527" s="97"/>
      <c r="B527" s="97"/>
      <c r="C527" s="97"/>
      <c r="D527" s="97"/>
      <c r="E527" s="97"/>
      <c r="F527" s="97"/>
      <c r="G527" s="97"/>
      <c r="H527" s="97"/>
      <c r="I527" s="97"/>
      <c r="J527" s="97"/>
      <c r="K527" s="97"/>
      <c r="L527" s="97"/>
      <c r="M527" s="97"/>
      <c r="N527" s="97"/>
      <c r="O527" s="97"/>
      <c r="P527" s="97"/>
      <c r="Q527" s="97"/>
      <c r="R527" s="97"/>
      <c r="S527" s="97"/>
      <c r="T527" s="97"/>
      <c r="U527" s="25"/>
      <c r="V527" s="25"/>
      <c r="W527" s="25"/>
      <c r="X527" s="25"/>
      <c r="Y527" s="25"/>
      <c r="Z527" s="25"/>
    </row>
    <row r="528" spans="1:26" x14ac:dyDescent="0.35">
      <c r="A528" s="97"/>
      <c r="B528" s="97"/>
      <c r="C528" s="97"/>
      <c r="D528" s="97"/>
      <c r="E528" s="97"/>
      <c r="F528" s="97"/>
      <c r="G528" s="97"/>
      <c r="H528" s="97"/>
      <c r="I528" s="97"/>
      <c r="J528" s="97"/>
      <c r="K528" s="97"/>
      <c r="L528" s="97"/>
      <c r="M528" s="97"/>
      <c r="N528" s="97"/>
      <c r="O528" s="97"/>
      <c r="P528" s="97"/>
      <c r="Q528" s="97"/>
      <c r="R528" s="97"/>
      <c r="S528" s="97"/>
      <c r="T528" s="97"/>
      <c r="U528" s="25"/>
      <c r="V528" s="25"/>
      <c r="W528" s="25"/>
      <c r="X528" s="25"/>
      <c r="Y528" s="25"/>
      <c r="Z528" s="25"/>
    </row>
    <row r="529" spans="1:26" x14ac:dyDescent="0.35">
      <c r="A529" s="97"/>
      <c r="B529" s="97"/>
      <c r="C529" s="97"/>
      <c r="D529" s="97"/>
      <c r="E529" s="97"/>
      <c r="F529" s="97"/>
      <c r="G529" s="97"/>
      <c r="H529" s="97"/>
      <c r="I529" s="97"/>
      <c r="J529" s="97"/>
      <c r="K529" s="97"/>
      <c r="L529" s="97"/>
      <c r="M529" s="97"/>
      <c r="N529" s="97"/>
      <c r="O529" s="97"/>
      <c r="P529" s="97"/>
      <c r="Q529" s="97"/>
      <c r="R529" s="97"/>
      <c r="S529" s="97"/>
      <c r="T529" s="97"/>
      <c r="U529" s="25"/>
      <c r="V529" s="25"/>
      <c r="W529" s="25"/>
      <c r="X529" s="25"/>
      <c r="Y529" s="25"/>
      <c r="Z529" s="25"/>
    </row>
    <row r="530" spans="1:26" x14ac:dyDescent="0.35">
      <c r="A530" s="97"/>
      <c r="B530" s="97"/>
      <c r="C530" s="97"/>
      <c r="D530" s="97"/>
      <c r="E530" s="97"/>
      <c r="F530" s="97"/>
      <c r="G530" s="97"/>
      <c r="H530" s="97"/>
      <c r="I530" s="97"/>
      <c r="J530" s="97"/>
      <c r="K530" s="97"/>
      <c r="L530" s="97"/>
      <c r="M530" s="97"/>
      <c r="N530" s="97"/>
      <c r="O530" s="97"/>
      <c r="P530" s="97"/>
      <c r="Q530" s="97"/>
      <c r="R530" s="97"/>
      <c r="S530" s="97"/>
      <c r="T530" s="97"/>
      <c r="U530" s="25"/>
      <c r="V530" s="25"/>
      <c r="W530" s="25"/>
      <c r="X530" s="25"/>
      <c r="Y530" s="25"/>
      <c r="Z530" s="25"/>
    </row>
    <row r="531" spans="1:26" x14ac:dyDescent="0.35">
      <c r="A531" s="97"/>
      <c r="B531" s="97"/>
      <c r="C531" s="97"/>
      <c r="D531" s="97"/>
      <c r="E531" s="97"/>
      <c r="F531" s="97"/>
      <c r="G531" s="97"/>
      <c r="H531" s="97"/>
      <c r="I531" s="97"/>
      <c r="J531" s="97"/>
      <c r="K531" s="97"/>
      <c r="L531" s="97"/>
      <c r="M531" s="97"/>
      <c r="N531" s="97"/>
      <c r="O531" s="97"/>
      <c r="P531" s="97"/>
      <c r="Q531" s="97"/>
      <c r="R531" s="97"/>
      <c r="S531" s="97"/>
      <c r="T531" s="97"/>
      <c r="U531" s="25"/>
      <c r="V531" s="25"/>
      <c r="W531" s="25"/>
      <c r="X531" s="25"/>
      <c r="Y531" s="25"/>
      <c r="Z531" s="25"/>
    </row>
    <row r="532" spans="1:26" x14ac:dyDescent="0.35">
      <c r="A532" s="97"/>
      <c r="B532" s="97"/>
      <c r="C532" s="97"/>
      <c r="D532" s="97"/>
      <c r="E532" s="97"/>
      <c r="F532" s="97"/>
      <c r="G532" s="97"/>
      <c r="H532" s="97"/>
      <c r="I532" s="97"/>
      <c r="J532" s="97"/>
      <c r="K532" s="97"/>
      <c r="L532" s="97"/>
      <c r="M532" s="97"/>
      <c r="N532" s="97"/>
      <c r="O532" s="97"/>
      <c r="P532" s="97"/>
      <c r="Q532" s="97"/>
      <c r="R532" s="97"/>
      <c r="S532" s="97"/>
      <c r="T532" s="97"/>
      <c r="U532" s="25"/>
      <c r="V532" s="25"/>
      <c r="W532" s="25"/>
      <c r="X532" s="25"/>
      <c r="Y532" s="25"/>
      <c r="Z532" s="25"/>
    </row>
    <row r="533" spans="1:26" x14ac:dyDescent="0.35">
      <c r="A533" s="97"/>
      <c r="B533" s="97"/>
      <c r="C533" s="97"/>
      <c r="D533" s="97"/>
      <c r="E533" s="97"/>
      <c r="F533" s="97"/>
      <c r="G533" s="97"/>
      <c r="H533" s="97"/>
      <c r="I533" s="97"/>
      <c r="J533" s="97"/>
      <c r="K533" s="97"/>
      <c r="L533" s="97"/>
      <c r="M533" s="97"/>
      <c r="N533" s="97"/>
      <c r="O533" s="97"/>
      <c r="P533" s="97"/>
      <c r="Q533" s="97"/>
      <c r="R533" s="97"/>
      <c r="S533" s="97"/>
      <c r="T533" s="97"/>
      <c r="U533" s="25"/>
      <c r="V533" s="25"/>
      <c r="W533" s="25"/>
      <c r="X533" s="25"/>
      <c r="Y533" s="25"/>
      <c r="Z533" s="25"/>
    </row>
    <row r="534" spans="1:26" x14ac:dyDescent="0.35">
      <c r="A534" s="97"/>
      <c r="B534" s="97"/>
      <c r="C534" s="97"/>
      <c r="D534" s="97"/>
      <c r="E534" s="97"/>
      <c r="F534" s="97"/>
      <c r="G534" s="97"/>
      <c r="H534" s="97"/>
      <c r="I534" s="97"/>
      <c r="J534" s="97"/>
      <c r="K534" s="97"/>
      <c r="L534" s="97"/>
      <c r="M534" s="97"/>
      <c r="N534" s="97"/>
      <c r="O534" s="97"/>
      <c r="P534" s="97"/>
      <c r="Q534" s="97"/>
      <c r="R534" s="97"/>
      <c r="S534" s="97"/>
      <c r="T534" s="97"/>
      <c r="U534" s="25"/>
      <c r="V534" s="25"/>
      <c r="W534" s="25"/>
      <c r="X534" s="25"/>
      <c r="Y534" s="25"/>
      <c r="Z534" s="25"/>
    </row>
    <row r="535" spans="1:26" x14ac:dyDescent="0.35">
      <c r="A535" s="97"/>
      <c r="B535" s="97"/>
      <c r="C535" s="97"/>
      <c r="D535" s="97"/>
      <c r="E535" s="97"/>
      <c r="F535" s="97"/>
      <c r="G535" s="97"/>
      <c r="H535" s="97"/>
      <c r="I535" s="97"/>
      <c r="J535" s="97"/>
      <c r="K535" s="97"/>
      <c r="L535" s="97"/>
      <c r="M535" s="97"/>
      <c r="N535" s="97"/>
      <c r="O535" s="97"/>
      <c r="P535" s="97"/>
      <c r="Q535" s="97"/>
      <c r="R535" s="97"/>
      <c r="S535" s="97"/>
      <c r="T535" s="97"/>
      <c r="U535" s="25"/>
      <c r="V535" s="25"/>
      <c r="W535" s="25"/>
      <c r="X535" s="25"/>
      <c r="Y535" s="25"/>
      <c r="Z535" s="25"/>
    </row>
    <row r="536" spans="1:26" x14ac:dyDescent="0.35">
      <c r="A536" s="97"/>
      <c r="B536" s="97"/>
      <c r="C536" s="97"/>
      <c r="D536" s="97"/>
      <c r="E536" s="97"/>
      <c r="F536" s="97"/>
      <c r="G536" s="97"/>
      <c r="H536" s="97"/>
      <c r="I536" s="97"/>
      <c r="J536" s="97"/>
      <c r="K536" s="97"/>
      <c r="L536" s="97"/>
      <c r="M536" s="97"/>
      <c r="N536" s="97"/>
      <c r="O536" s="97"/>
      <c r="P536" s="97"/>
      <c r="Q536" s="97"/>
      <c r="R536" s="97"/>
      <c r="S536" s="97"/>
      <c r="T536" s="97"/>
      <c r="U536" s="25"/>
      <c r="V536" s="25"/>
      <c r="W536" s="25"/>
      <c r="X536" s="25"/>
      <c r="Y536" s="25"/>
      <c r="Z536" s="25"/>
    </row>
    <row r="537" spans="1:26" x14ac:dyDescent="0.35">
      <c r="A537" s="97"/>
      <c r="B537" s="97"/>
      <c r="C537" s="97"/>
      <c r="D537" s="97"/>
      <c r="E537" s="97"/>
      <c r="F537" s="97"/>
      <c r="G537" s="97"/>
      <c r="H537" s="97"/>
      <c r="I537" s="97"/>
      <c r="J537" s="97"/>
      <c r="K537" s="97"/>
      <c r="L537" s="97"/>
      <c r="M537" s="97"/>
      <c r="N537" s="97"/>
      <c r="O537" s="97"/>
      <c r="P537" s="97"/>
      <c r="Q537" s="97"/>
      <c r="R537" s="97"/>
      <c r="S537" s="97"/>
      <c r="T537" s="97"/>
      <c r="U537" s="25"/>
      <c r="V537" s="25"/>
      <c r="W537" s="25"/>
      <c r="X537" s="25"/>
      <c r="Y537" s="25"/>
      <c r="Z537" s="25"/>
    </row>
    <row r="538" spans="1:26" x14ac:dyDescent="0.35">
      <c r="A538" s="97"/>
      <c r="B538" s="97"/>
      <c r="C538" s="97"/>
      <c r="D538" s="97"/>
      <c r="E538" s="97"/>
      <c r="F538" s="97"/>
      <c r="G538" s="97"/>
      <c r="H538" s="97"/>
      <c r="I538" s="97"/>
      <c r="J538" s="97"/>
      <c r="K538" s="97"/>
      <c r="L538" s="97"/>
      <c r="M538" s="97"/>
      <c r="N538" s="97"/>
      <c r="O538" s="97"/>
      <c r="P538" s="97"/>
      <c r="Q538" s="97"/>
      <c r="R538" s="97"/>
      <c r="S538" s="97"/>
      <c r="T538" s="97"/>
      <c r="U538" s="25"/>
      <c r="V538" s="25"/>
      <c r="W538" s="25"/>
      <c r="X538" s="25"/>
      <c r="Y538" s="25"/>
      <c r="Z538" s="25"/>
    </row>
    <row r="539" spans="1:26" x14ac:dyDescent="0.35">
      <c r="A539" s="97"/>
      <c r="B539" s="97"/>
      <c r="C539" s="97"/>
      <c r="D539" s="97"/>
      <c r="E539" s="97"/>
      <c r="F539" s="97"/>
      <c r="G539" s="97"/>
      <c r="H539" s="97"/>
      <c r="I539" s="97"/>
      <c r="J539" s="97"/>
      <c r="K539" s="97"/>
      <c r="L539" s="97"/>
      <c r="M539" s="97"/>
      <c r="N539" s="97"/>
      <c r="O539" s="97"/>
      <c r="P539" s="97"/>
      <c r="Q539" s="97"/>
      <c r="R539" s="97"/>
      <c r="S539" s="97"/>
      <c r="T539" s="97"/>
      <c r="U539" s="25"/>
      <c r="V539" s="25"/>
      <c r="W539" s="25"/>
      <c r="X539" s="25"/>
      <c r="Y539" s="25"/>
      <c r="Z539" s="25"/>
    </row>
    <row r="540" spans="1:26" x14ac:dyDescent="0.35">
      <c r="A540" s="97"/>
      <c r="B540" s="97"/>
      <c r="C540" s="97"/>
      <c r="D540" s="97"/>
      <c r="E540" s="97"/>
      <c r="F540" s="97"/>
      <c r="G540" s="97"/>
      <c r="H540" s="97"/>
      <c r="I540" s="97"/>
      <c r="J540" s="97"/>
      <c r="K540" s="97"/>
      <c r="L540" s="97"/>
      <c r="M540" s="97"/>
      <c r="N540" s="97"/>
      <c r="O540" s="97"/>
      <c r="P540" s="97"/>
      <c r="Q540" s="97"/>
      <c r="R540" s="97"/>
      <c r="S540" s="97"/>
      <c r="T540" s="97"/>
      <c r="U540" s="25"/>
      <c r="V540" s="25"/>
      <c r="W540" s="25"/>
      <c r="X540" s="25"/>
      <c r="Y540" s="25"/>
      <c r="Z540" s="25"/>
    </row>
    <row r="541" spans="1:26" x14ac:dyDescent="0.35">
      <c r="A541" s="97"/>
      <c r="B541" s="97"/>
      <c r="C541" s="97"/>
      <c r="D541" s="97"/>
      <c r="E541" s="97"/>
      <c r="F541" s="97"/>
      <c r="G541" s="97"/>
      <c r="H541" s="97"/>
      <c r="I541" s="97"/>
      <c r="J541" s="97"/>
      <c r="K541" s="97"/>
      <c r="L541" s="97"/>
      <c r="M541" s="97"/>
      <c r="N541" s="97"/>
      <c r="O541" s="97"/>
      <c r="P541" s="97"/>
      <c r="Q541" s="97"/>
      <c r="R541" s="97"/>
      <c r="S541" s="97"/>
      <c r="T541" s="97"/>
      <c r="U541" s="25"/>
      <c r="V541" s="25"/>
      <c r="W541" s="25"/>
      <c r="X541" s="25"/>
      <c r="Y541" s="25"/>
      <c r="Z541" s="25"/>
    </row>
    <row r="542" spans="1:26" x14ac:dyDescent="0.35">
      <c r="A542" s="97"/>
      <c r="B542" s="97"/>
      <c r="C542" s="97"/>
      <c r="D542" s="97"/>
      <c r="E542" s="97"/>
      <c r="F542" s="97"/>
      <c r="G542" s="97"/>
      <c r="H542" s="97"/>
      <c r="I542" s="97"/>
      <c r="J542" s="97"/>
      <c r="K542" s="97"/>
      <c r="L542" s="97"/>
      <c r="M542" s="97"/>
      <c r="N542" s="97"/>
      <c r="O542" s="97"/>
      <c r="P542" s="97"/>
      <c r="Q542" s="97"/>
      <c r="R542" s="97"/>
      <c r="S542" s="97"/>
      <c r="T542" s="97"/>
      <c r="U542" s="25"/>
      <c r="V542" s="25"/>
      <c r="W542" s="25"/>
      <c r="X542" s="25"/>
      <c r="Y542" s="25"/>
      <c r="Z542" s="25"/>
    </row>
    <row r="543" spans="1:26" x14ac:dyDescent="0.35">
      <c r="A543" s="97"/>
      <c r="B543" s="97"/>
      <c r="C543" s="97"/>
      <c r="D543" s="97"/>
      <c r="E543" s="97"/>
      <c r="F543" s="97"/>
      <c r="G543" s="97"/>
      <c r="H543" s="97"/>
      <c r="I543" s="97"/>
      <c r="J543" s="97"/>
      <c r="K543" s="97"/>
      <c r="L543" s="97"/>
      <c r="M543" s="97"/>
      <c r="N543" s="97"/>
      <c r="O543" s="97"/>
      <c r="P543" s="97"/>
      <c r="Q543" s="97"/>
      <c r="R543" s="97"/>
      <c r="S543" s="97"/>
      <c r="T543" s="97"/>
      <c r="U543" s="25"/>
      <c r="V543" s="25"/>
      <c r="W543" s="25"/>
      <c r="X543" s="25"/>
      <c r="Y543" s="25"/>
      <c r="Z543" s="25"/>
    </row>
    <row r="544" spans="1:26" x14ac:dyDescent="0.35">
      <c r="A544" s="97"/>
      <c r="B544" s="97"/>
      <c r="C544" s="97"/>
      <c r="D544" s="97"/>
      <c r="E544" s="97"/>
      <c r="F544" s="97"/>
      <c r="G544" s="97"/>
      <c r="H544" s="97"/>
      <c r="I544" s="97"/>
      <c r="J544" s="97"/>
      <c r="K544" s="97"/>
      <c r="L544" s="97"/>
      <c r="M544" s="97"/>
      <c r="N544" s="97"/>
      <c r="O544" s="97"/>
      <c r="P544" s="97"/>
      <c r="Q544" s="97"/>
      <c r="R544" s="97"/>
      <c r="S544" s="97"/>
      <c r="T544" s="97"/>
      <c r="U544" s="25"/>
      <c r="V544" s="25"/>
      <c r="W544" s="25"/>
      <c r="X544" s="25"/>
      <c r="Y544" s="25"/>
      <c r="Z544" s="25"/>
    </row>
    <row r="545" spans="1:26" x14ac:dyDescent="0.35">
      <c r="A545" s="97"/>
      <c r="B545" s="97"/>
      <c r="C545" s="97"/>
      <c r="D545" s="97"/>
      <c r="E545" s="97"/>
      <c r="F545" s="97"/>
      <c r="G545" s="97"/>
      <c r="H545" s="97"/>
      <c r="I545" s="97"/>
      <c r="J545" s="97"/>
      <c r="K545" s="97"/>
      <c r="L545" s="97"/>
      <c r="M545" s="97"/>
      <c r="N545" s="97"/>
      <c r="O545" s="97"/>
      <c r="P545" s="97"/>
      <c r="Q545" s="97"/>
      <c r="R545" s="97"/>
      <c r="S545" s="97"/>
      <c r="T545" s="97"/>
      <c r="U545" s="25"/>
      <c r="V545" s="25"/>
      <c r="W545" s="25"/>
      <c r="X545" s="25"/>
      <c r="Y545" s="25"/>
      <c r="Z545" s="25"/>
    </row>
    <row r="546" spans="1:26" x14ac:dyDescent="0.35">
      <c r="A546" s="97"/>
      <c r="B546" s="97"/>
      <c r="C546" s="97"/>
      <c r="D546" s="97"/>
      <c r="E546" s="97"/>
      <c r="F546" s="97"/>
      <c r="G546" s="97"/>
      <c r="H546" s="97"/>
      <c r="I546" s="97"/>
      <c r="J546" s="97"/>
      <c r="K546" s="97"/>
      <c r="L546" s="97"/>
      <c r="M546" s="97"/>
      <c r="N546" s="97"/>
      <c r="O546" s="97"/>
      <c r="P546" s="97"/>
      <c r="Q546" s="97"/>
      <c r="R546" s="97"/>
      <c r="S546" s="97"/>
      <c r="T546" s="97"/>
      <c r="U546" s="25"/>
      <c r="V546" s="25"/>
      <c r="W546" s="25"/>
      <c r="X546" s="25"/>
      <c r="Y546" s="25"/>
      <c r="Z546" s="25"/>
    </row>
    <row r="547" spans="1:26" x14ac:dyDescent="0.35">
      <c r="A547" s="97"/>
      <c r="B547" s="97"/>
      <c r="C547" s="97"/>
      <c r="D547" s="97"/>
      <c r="E547" s="97"/>
      <c r="F547" s="97"/>
      <c r="G547" s="97"/>
      <c r="H547" s="97"/>
      <c r="I547" s="97"/>
      <c r="J547" s="97"/>
      <c r="K547" s="97"/>
      <c r="L547" s="97"/>
      <c r="M547" s="97"/>
      <c r="N547" s="97"/>
      <c r="O547" s="97"/>
      <c r="P547" s="97"/>
      <c r="Q547" s="97"/>
      <c r="R547" s="97"/>
      <c r="S547" s="97"/>
      <c r="T547" s="97"/>
      <c r="U547" s="25"/>
      <c r="V547" s="25"/>
      <c r="W547" s="25"/>
      <c r="X547" s="25"/>
      <c r="Y547" s="25"/>
      <c r="Z547" s="25"/>
    </row>
    <row r="548" spans="1:26" x14ac:dyDescent="0.35">
      <c r="A548" s="97"/>
      <c r="B548" s="97"/>
      <c r="C548" s="97"/>
      <c r="D548" s="97"/>
      <c r="E548" s="97"/>
      <c r="F548" s="97"/>
      <c r="G548" s="97"/>
      <c r="H548" s="97"/>
      <c r="I548" s="97"/>
      <c r="J548" s="97"/>
      <c r="K548" s="97"/>
      <c r="L548" s="97"/>
      <c r="M548" s="97"/>
      <c r="N548" s="97"/>
      <c r="O548" s="97"/>
      <c r="P548" s="97"/>
      <c r="Q548" s="97"/>
      <c r="R548" s="97"/>
      <c r="S548" s="97"/>
      <c r="T548" s="97"/>
      <c r="U548" s="25"/>
      <c r="V548" s="25"/>
      <c r="W548" s="25"/>
      <c r="X548" s="25"/>
      <c r="Y548" s="25"/>
      <c r="Z548" s="25"/>
    </row>
    <row r="549" spans="1:26" x14ac:dyDescent="0.35">
      <c r="A549" s="97"/>
      <c r="B549" s="97"/>
      <c r="C549" s="97"/>
      <c r="D549" s="97"/>
      <c r="E549" s="97"/>
      <c r="F549" s="97"/>
      <c r="G549" s="97"/>
      <c r="H549" s="97"/>
      <c r="I549" s="97"/>
      <c r="J549" s="97"/>
      <c r="K549" s="97"/>
      <c r="L549" s="97"/>
      <c r="M549" s="97"/>
      <c r="N549" s="97"/>
      <c r="O549" s="97"/>
      <c r="P549" s="97"/>
      <c r="Q549" s="97"/>
      <c r="R549" s="97"/>
      <c r="S549" s="97"/>
      <c r="T549" s="97"/>
      <c r="U549" s="25"/>
      <c r="V549" s="25"/>
      <c r="W549" s="25"/>
      <c r="X549" s="25"/>
      <c r="Y549" s="25"/>
      <c r="Z549" s="25"/>
    </row>
    <row r="550" spans="1:26" x14ac:dyDescent="0.35">
      <c r="A550" s="97"/>
      <c r="B550" s="97"/>
      <c r="C550" s="97"/>
      <c r="D550" s="97"/>
      <c r="E550" s="97"/>
      <c r="F550" s="97"/>
      <c r="G550" s="97"/>
      <c r="H550" s="97"/>
      <c r="I550" s="97"/>
      <c r="J550" s="97"/>
      <c r="K550" s="97"/>
      <c r="L550" s="97"/>
      <c r="M550" s="97"/>
      <c r="N550" s="97"/>
      <c r="O550" s="97"/>
      <c r="P550" s="97"/>
      <c r="Q550" s="97"/>
      <c r="R550" s="97"/>
      <c r="S550" s="97"/>
      <c r="T550" s="97"/>
      <c r="U550" s="25"/>
      <c r="V550" s="25"/>
      <c r="W550" s="25"/>
      <c r="X550" s="25"/>
      <c r="Y550" s="25"/>
      <c r="Z550" s="25"/>
    </row>
    <row r="551" spans="1:26" x14ac:dyDescent="0.35">
      <c r="A551" s="97"/>
      <c r="B551" s="97"/>
      <c r="C551" s="97"/>
      <c r="D551" s="97"/>
      <c r="E551" s="97"/>
      <c r="F551" s="97"/>
      <c r="G551" s="97"/>
      <c r="H551" s="97"/>
      <c r="I551" s="97"/>
      <c r="J551" s="97"/>
      <c r="K551" s="97"/>
      <c r="L551" s="97"/>
      <c r="M551" s="97"/>
      <c r="N551" s="97"/>
      <c r="O551" s="97"/>
      <c r="P551" s="97"/>
      <c r="Q551" s="97"/>
      <c r="R551" s="97"/>
      <c r="S551" s="97"/>
      <c r="T551" s="97"/>
      <c r="U551" s="25"/>
      <c r="V551" s="25"/>
      <c r="W551" s="25"/>
      <c r="X551" s="25"/>
      <c r="Y551" s="25"/>
      <c r="Z551" s="25"/>
    </row>
    <row r="552" spans="1:26" x14ac:dyDescent="0.35">
      <c r="A552" s="97"/>
      <c r="B552" s="97"/>
      <c r="C552" s="97"/>
      <c r="D552" s="97"/>
      <c r="E552" s="97"/>
      <c r="F552" s="97"/>
      <c r="G552" s="97"/>
      <c r="H552" s="97"/>
      <c r="I552" s="97"/>
      <c r="J552" s="97"/>
      <c r="K552" s="97"/>
      <c r="L552" s="97"/>
      <c r="M552" s="97"/>
      <c r="N552" s="97"/>
      <c r="O552" s="97"/>
      <c r="P552" s="97"/>
      <c r="Q552" s="97"/>
      <c r="R552" s="97"/>
      <c r="S552" s="97"/>
      <c r="T552" s="97"/>
      <c r="U552" s="25"/>
      <c r="V552" s="25"/>
      <c r="W552" s="25"/>
      <c r="X552" s="25"/>
      <c r="Y552" s="25"/>
      <c r="Z552" s="25"/>
    </row>
    <row r="553" spans="1:26" x14ac:dyDescent="0.35">
      <c r="A553" s="97"/>
      <c r="B553" s="97"/>
      <c r="C553" s="97"/>
      <c r="D553" s="97"/>
      <c r="E553" s="97"/>
      <c r="F553" s="97"/>
      <c r="G553" s="97"/>
      <c r="H553" s="97"/>
      <c r="I553" s="97"/>
      <c r="J553" s="97"/>
      <c r="K553" s="97"/>
      <c r="L553" s="97"/>
      <c r="M553" s="97"/>
      <c r="N553" s="97"/>
      <c r="O553" s="97"/>
      <c r="P553" s="97"/>
      <c r="Q553" s="97"/>
      <c r="R553" s="97"/>
      <c r="S553" s="97"/>
      <c r="T553" s="97"/>
      <c r="U553" s="25"/>
      <c r="V553" s="25"/>
      <c r="W553" s="25"/>
      <c r="X553" s="25"/>
      <c r="Y553" s="25"/>
      <c r="Z553" s="25"/>
    </row>
    <row r="554" spans="1:26" x14ac:dyDescent="0.35">
      <c r="A554" s="97"/>
      <c r="B554" s="97"/>
      <c r="C554" s="97"/>
      <c r="D554" s="97"/>
      <c r="E554" s="97"/>
      <c r="F554" s="97"/>
      <c r="G554" s="97"/>
      <c r="H554" s="97"/>
      <c r="I554" s="97"/>
      <c r="J554" s="97"/>
      <c r="K554" s="97"/>
      <c r="L554" s="97"/>
      <c r="M554" s="97"/>
      <c r="N554" s="97"/>
      <c r="O554" s="97"/>
      <c r="P554" s="97"/>
      <c r="Q554" s="97"/>
      <c r="R554" s="97"/>
      <c r="S554" s="97"/>
      <c r="T554" s="97"/>
      <c r="U554" s="25"/>
      <c r="V554" s="25"/>
      <c r="W554" s="25"/>
      <c r="X554" s="25"/>
      <c r="Y554" s="25"/>
      <c r="Z554" s="25"/>
    </row>
    <row r="555" spans="1:26" x14ac:dyDescent="0.35">
      <c r="A555" s="97"/>
      <c r="B555" s="97"/>
      <c r="C555" s="97"/>
      <c r="D555" s="97"/>
      <c r="E555" s="97"/>
      <c r="F555" s="97"/>
      <c r="G555" s="97"/>
      <c r="H555" s="97"/>
      <c r="I555" s="97"/>
      <c r="J555" s="97"/>
      <c r="K555" s="97"/>
      <c r="L555" s="97"/>
      <c r="M555" s="97"/>
      <c r="N555" s="97"/>
      <c r="O555" s="97"/>
      <c r="P555" s="97"/>
      <c r="Q555" s="97"/>
      <c r="R555" s="97"/>
      <c r="S555" s="97"/>
      <c r="T555" s="97"/>
      <c r="U555" s="25"/>
      <c r="V555" s="25"/>
      <c r="W555" s="25"/>
      <c r="X555" s="25"/>
      <c r="Y555" s="25"/>
      <c r="Z555" s="25"/>
    </row>
    <row r="556" spans="1:26" x14ac:dyDescent="0.35">
      <c r="A556" s="97"/>
      <c r="B556" s="97"/>
      <c r="C556" s="97"/>
      <c r="D556" s="97"/>
      <c r="E556" s="97"/>
      <c r="F556" s="97"/>
      <c r="G556" s="97"/>
      <c r="H556" s="97"/>
      <c r="I556" s="97"/>
      <c r="J556" s="97"/>
      <c r="K556" s="97"/>
      <c r="L556" s="97"/>
      <c r="M556" s="97"/>
      <c r="N556" s="97"/>
      <c r="O556" s="97"/>
      <c r="P556" s="97"/>
      <c r="Q556" s="97"/>
      <c r="R556" s="97"/>
      <c r="S556" s="97"/>
      <c r="T556" s="97"/>
      <c r="U556" s="25"/>
      <c r="V556" s="25"/>
      <c r="W556" s="25"/>
      <c r="X556" s="25"/>
      <c r="Y556" s="25"/>
      <c r="Z556" s="25"/>
    </row>
    <row r="557" spans="1:26" x14ac:dyDescent="0.35">
      <c r="A557" s="97"/>
      <c r="B557" s="97"/>
      <c r="C557" s="97"/>
      <c r="D557" s="97"/>
      <c r="E557" s="97"/>
      <c r="F557" s="97"/>
      <c r="G557" s="97"/>
      <c r="H557" s="97"/>
      <c r="I557" s="97"/>
      <c r="J557" s="97"/>
      <c r="K557" s="97"/>
      <c r="L557" s="97"/>
      <c r="M557" s="97"/>
      <c r="N557" s="97"/>
      <c r="O557" s="97"/>
      <c r="P557" s="97"/>
      <c r="Q557" s="97"/>
      <c r="R557" s="97"/>
      <c r="S557" s="97"/>
      <c r="T557" s="97"/>
      <c r="U557" s="25"/>
      <c r="V557" s="25"/>
      <c r="W557" s="25"/>
      <c r="X557" s="25"/>
      <c r="Y557" s="25"/>
      <c r="Z557" s="25"/>
    </row>
    <row r="558" spans="1:26" x14ac:dyDescent="0.35">
      <c r="A558" s="97"/>
      <c r="B558" s="97"/>
      <c r="C558" s="97"/>
      <c r="D558" s="97"/>
      <c r="E558" s="97"/>
      <c r="F558" s="97"/>
      <c r="G558" s="97"/>
      <c r="H558" s="97"/>
      <c r="I558" s="97"/>
      <c r="J558" s="97"/>
      <c r="K558" s="97"/>
      <c r="L558" s="97"/>
      <c r="M558" s="97"/>
      <c r="N558" s="97"/>
      <c r="O558" s="97"/>
      <c r="P558" s="97"/>
      <c r="Q558" s="97"/>
      <c r="R558" s="97"/>
      <c r="S558" s="97"/>
      <c r="T558" s="97"/>
      <c r="U558" s="25"/>
      <c r="V558" s="25"/>
      <c r="W558" s="25"/>
      <c r="X558" s="25"/>
      <c r="Y558" s="25"/>
      <c r="Z558" s="25"/>
    </row>
    <row r="559" spans="1:26" x14ac:dyDescent="0.35">
      <c r="A559" s="97"/>
      <c r="B559" s="97"/>
      <c r="C559" s="97"/>
      <c r="D559" s="97"/>
      <c r="E559" s="97"/>
      <c r="F559" s="97"/>
      <c r="G559" s="97"/>
      <c r="H559" s="97"/>
      <c r="I559" s="97"/>
      <c r="J559" s="97"/>
      <c r="K559" s="97"/>
      <c r="L559" s="97"/>
      <c r="M559" s="97"/>
      <c r="N559" s="97"/>
      <c r="O559" s="97"/>
      <c r="P559" s="97"/>
      <c r="Q559" s="97"/>
      <c r="R559" s="97"/>
      <c r="S559" s="97"/>
      <c r="T559" s="97"/>
      <c r="U559" s="25"/>
      <c r="V559" s="25"/>
      <c r="W559" s="25"/>
      <c r="X559" s="25"/>
      <c r="Y559" s="25"/>
      <c r="Z559" s="25"/>
    </row>
    <row r="560" spans="1:26" x14ac:dyDescent="0.35">
      <c r="A560" s="97"/>
      <c r="B560" s="97"/>
      <c r="C560" s="97"/>
      <c r="D560" s="97"/>
      <c r="E560" s="97"/>
      <c r="F560" s="97"/>
      <c r="G560" s="97"/>
      <c r="H560" s="97"/>
      <c r="I560" s="97"/>
      <c r="J560" s="97"/>
      <c r="K560" s="97"/>
      <c r="L560" s="97"/>
      <c r="M560" s="97"/>
      <c r="N560" s="97"/>
      <c r="O560" s="97"/>
      <c r="P560" s="97"/>
      <c r="Q560" s="97"/>
      <c r="R560" s="97"/>
      <c r="S560" s="97"/>
      <c r="T560" s="97"/>
      <c r="U560" s="25"/>
      <c r="V560" s="25"/>
      <c r="W560" s="25"/>
      <c r="X560" s="25"/>
      <c r="Y560" s="25"/>
      <c r="Z560" s="25"/>
    </row>
    <row r="561" spans="1:26" x14ac:dyDescent="0.35">
      <c r="A561" s="97"/>
      <c r="B561" s="97"/>
      <c r="C561" s="97"/>
      <c r="D561" s="97"/>
      <c r="E561" s="97"/>
      <c r="F561" s="97"/>
      <c r="G561" s="97"/>
      <c r="H561" s="97"/>
      <c r="I561" s="97"/>
      <c r="J561" s="97"/>
      <c r="K561" s="97"/>
      <c r="L561" s="97"/>
      <c r="M561" s="97"/>
      <c r="N561" s="97"/>
      <c r="O561" s="97"/>
      <c r="P561" s="97"/>
      <c r="Q561" s="97"/>
      <c r="R561" s="97"/>
      <c r="S561" s="97"/>
      <c r="T561" s="97"/>
      <c r="U561" s="25"/>
      <c r="V561" s="25"/>
      <c r="W561" s="25"/>
      <c r="X561" s="25"/>
      <c r="Y561" s="25"/>
      <c r="Z561" s="25"/>
    </row>
    <row r="562" spans="1:26" x14ac:dyDescent="0.35">
      <c r="A562" s="97"/>
      <c r="B562" s="97"/>
      <c r="C562" s="97"/>
      <c r="D562" s="97"/>
      <c r="E562" s="97"/>
      <c r="F562" s="97"/>
      <c r="G562" s="97"/>
      <c r="H562" s="97"/>
      <c r="I562" s="97"/>
      <c r="J562" s="97"/>
      <c r="K562" s="97"/>
      <c r="L562" s="97"/>
      <c r="M562" s="97"/>
      <c r="N562" s="97"/>
      <c r="O562" s="97"/>
      <c r="P562" s="97"/>
      <c r="Q562" s="97"/>
      <c r="R562" s="97"/>
      <c r="S562" s="97"/>
      <c r="T562" s="97"/>
      <c r="U562" s="25"/>
      <c r="V562" s="25"/>
      <c r="W562" s="25"/>
      <c r="X562" s="25"/>
      <c r="Y562" s="25"/>
      <c r="Z562" s="25"/>
    </row>
    <row r="563" spans="1:26" x14ac:dyDescent="0.35">
      <c r="A563" s="97"/>
      <c r="B563" s="97"/>
      <c r="C563" s="97"/>
      <c r="D563" s="97"/>
      <c r="E563" s="97"/>
      <c r="F563" s="97"/>
      <c r="G563" s="97"/>
      <c r="H563" s="97"/>
      <c r="I563" s="97"/>
      <c r="J563" s="97"/>
      <c r="K563" s="97"/>
      <c r="L563" s="97"/>
      <c r="M563" s="97"/>
      <c r="N563" s="97"/>
      <c r="O563" s="97"/>
      <c r="P563" s="97"/>
      <c r="Q563" s="97"/>
      <c r="R563" s="97"/>
      <c r="S563" s="97"/>
      <c r="T563" s="97"/>
      <c r="U563" s="25"/>
      <c r="V563" s="25"/>
      <c r="W563" s="25"/>
      <c r="X563" s="25"/>
      <c r="Y563" s="25"/>
      <c r="Z563" s="25"/>
    </row>
    <row r="564" spans="1:26" x14ac:dyDescent="0.35">
      <c r="A564" s="97"/>
      <c r="B564" s="97"/>
      <c r="C564" s="97"/>
      <c r="D564" s="97"/>
      <c r="E564" s="97"/>
      <c r="F564" s="97"/>
      <c r="G564" s="97"/>
      <c r="H564" s="97"/>
      <c r="I564" s="97"/>
      <c r="J564" s="97"/>
      <c r="K564" s="97"/>
      <c r="L564" s="97"/>
      <c r="M564" s="97"/>
      <c r="N564" s="97"/>
      <c r="O564" s="97"/>
      <c r="P564" s="97"/>
      <c r="Q564" s="97"/>
      <c r="R564" s="97"/>
      <c r="S564" s="97"/>
      <c r="T564" s="97"/>
      <c r="U564" s="25"/>
      <c r="V564" s="25"/>
      <c r="W564" s="25"/>
      <c r="X564" s="25"/>
      <c r="Y564" s="25"/>
      <c r="Z564" s="25"/>
    </row>
    <row r="565" spans="1:26" x14ac:dyDescent="0.35">
      <c r="A565" s="97"/>
      <c r="B565" s="97"/>
      <c r="C565" s="97"/>
      <c r="D565" s="97"/>
      <c r="E565" s="97"/>
      <c r="F565" s="97"/>
      <c r="G565" s="97"/>
      <c r="H565" s="97"/>
      <c r="I565" s="97"/>
      <c r="J565" s="97"/>
      <c r="K565" s="97"/>
      <c r="L565" s="97"/>
      <c r="M565" s="97"/>
      <c r="N565" s="97"/>
      <c r="O565" s="97"/>
      <c r="P565" s="97"/>
      <c r="Q565" s="97"/>
      <c r="R565" s="97"/>
      <c r="S565" s="97"/>
      <c r="T565" s="97"/>
      <c r="U565" s="25"/>
      <c r="V565" s="25"/>
      <c r="W565" s="25"/>
      <c r="X565" s="25"/>
      <c r="Y565" s="25"/>
      <c r="Z565" s="25"/>
    </row>
    <row r="566" spans="1:26" x14ac:dyDescent="0.35">
      <c r="A566" s="97"/>
      <c r="B566" s="97"/>
      <c r="C566" s="97"/>
      <c r="D566" s="97"/>
      <c r="E566" s="97"/>
      <c r="F566" s="97"/>
      <c r="G566" s="97"/>
      <c r="H566" s="97"/>
      <c r="I566" s="97"/>
      <c r="J566" s="97"/>
      <c r="K566" s="97"/>
      <c r="L566" s="97"/>
      <c r="M566" s="97"/>
      <c r="N566" s="97"/>
      <c r="O566" s="97"/>
      <c r="P566" s="97"/>
      <c r="Q566" s="97"/>
      <c r="R566" s="97"/>
      <c r="S566" s="97"/>
      <c r="T566" s="97"/>
      <c r="U566" s="25"/>
      <c r="V566" s="25"/>
      <c r="W566" s="25"/>
      <c r="X566" s="25"/>
      <c r="Y566" s="25"/>
      <c r="Z566" s="25"/>
    </row>
    <row r="567" spans="1:26" x14ac:dyDescent="0.35">
      <c r="A567" s="97"/>
      <c r="B567" s="97"/>
      <c r="C567" s="97"/>
      <c r="D567" s="97"/>
      <c r="E567" s="97"/>
      <c r="F567" s="97"/>
      <c r="G567" s="97"/>
      <c r="H567" s="97"/>
      <c r="I567" s="97"/>
      <c r="J567" s="97"/>
      <c r="K567" s="97"/>
      <c r="L567" s="97"/>
      <c r="M567" s="97"/>
      <c r="N567" s="97"/>
      <c r="O567" s="97"/>
      <c r="P567" s="97"/>
      <c r="Q567" s="97"/>
      <c r="R567" s="97"/>
      <c r="S567" s="97"/>
      <c r="T567" s="97"/>
      <c r="U567" s="25"/>
      <c r="V567" s="25"/>
      <c r="W567" s="25"/>
      <c r="X567" s="25"/>
      <c r="Y567" s="25"/>
      <c r="Z567" s="25"/>
    </row>
    <row r="568" spans="1:26" x14ac:dyDescent="0.35">
      <c r="A568" s="97"/>
      <c r="B568" s="97"/>
      <c r="C568" s="97"/>
      <c r="D568" s="97"/>
      <c r="E568" s="97"/>
      <c r="F568" s="97"/>
      <c r="G568" s="97"/>
      <c r="H568" s="97"/>
      <c r="I568" s="97"/>
      <c r="J568" s="97"/>
      <c r="K568" s="97"/>
      <c r="L568" s="97"/>
      <c r="M568" s="97"/>
      <c r="N568" s="97"/>
      <c r="O568" s="97"/>
      <c r="P568" s="97"/>
      <c r="Q568" s="97"/>
      <c r="R568" s="97"/>
      <c r="S568" s="97"/>
      <c r="T568" s="97"/>
      <c r="U568" s="25"/>
      <c r="V568" s="25"/>
      <c r="W568" s="25"/>
      <c r="X568" s="25"/>
      <c r="Y568" s="25"/>
      <c r="Z568" s="25"/>
    </row>
    <row r="569" spans="1:26" x14ac:dyDescent="0.35">
      <c r="A569" s="97"/>
      <c r="B569" s="97"/>
      <c r="C569" s="97"/>
      <c r="D569" s="97"/>
      <c r="E569" s="97"/>
      <c r="F569" s="97"/>
      <c r="G569" s="97"/>
      <c r="H569" s="97"/>
      <c r="I569" s="97"/>
      <c r="J569" s="97"/>
      <c r="K569" s="97"/>
      <c r="L569" s="97"/>
      <c r="M569" s="97"/>
      <c r="N569" s="97"/>
      <c r="O569" s="97"/>
      <c r="P569" s="97"/>
      <c r="Q569" s="97"/>
      <c r="R569" s="97"/>
      <c r="S569" s="97"/>
      <c r="T569" s="97"/>
      <c r="U569" s="25"/>
      <c r="V569" s="25"/>
      <c r="W569" s="25"/>
      <c r="X569" s="25"/>
      <c r="Y569" s="25"/>
      <c r="Z569" s="25"/>
    </row>
    <row r="570" spans="1:26" x14ac:dyDescent="0.35">
      <c r="A570" s="97"/>
      <c r="B570" s="97"/>
      <c r="C570" s="97"/>
      <c r="D570" s="97"/>
      <c r="E570" s="97"/>
      <c r="F570" s="97"/>
      <c r="G570" s="97"/>
      <c r="H570" s="97"/>
      <c r="I570" s="97"/>
      <c r="J570" s="97"/>
      <c r="K570" s="97"/>
      <c r="L570" s="97"/>
      <c r="M570" s="97"/>
      <c r="N570" s="97"/>
      <c r="O570" s="97"/>
      <c r="P570" s="97"/>
      <c r="Q570" s="97"/>
      <c r="R570" s="97"/>
      <c r="S570" s="97"/>
      <c r="T570" s="97"/>
      <c r="U570" s="25"/>
      <c r="V570" s="25"/>
      <c r="W570" s="25"/>
      <c r="X570" s="25"/>
      <c r="Y570" s="25"/>
      <c r="Z570" s="25"/>
    </row>
    <row r="571" spans="1:26" x14ac:dyDescent="0.35">
      <c r="A571" s="97"/>
      <c r="B571" s="97"/>
      <c r="C571" s="97"/>
      <c r="D571" s="97"/>
      <c r="E571" s="97"/>
      <c r="F571" s="97"/>
      <c r="G571" s="97"/>
      <c r="H571" s="97"/>
      <c r="I571" s="97"/>
      <c r="J571" s="97"/>
      <c r="K571" s="97"/>
      <c r="L571" s="97"/>
      <c r="M571" s="97"/>
      <c r="N571" s="97"/>
      <c r="O571" s="97"/>
      <c r="P571" s="97"/>
      <c r="Q571" s="97"/>
      <c r="R571" s="97"/>
      <c r="S571" s="97"/>
      <c r="T571" s="97"/>
      <c r="U571" s="25"/>
      <c r="V571" s="25"/>
      <c r="W571" s="25"/>
      <c r="X571" s="25"/>
      <c r="Y571" s="25"/>
      <c r="Z571" s="25"/>
    </row>
    <row r="572" spans="1:26" x14ac:dyDescent="0.35">
      <c r="A572" s="97"/>
      <c r="B572" s="97"/>
      <c r="C572" s="97"/>
      <c r="D572" s="97"/>
      <c r="E572" s="97"/>
      <c r="F572" s="97"/>
      <c r="G572" s="97"/>
      <c r="H572" s="97"/>
      <c r="I572" s="97"/>
      <c r="J572" s="97"/>
      <c r="K572" s="97"/>
      <c r="L572" s="97"/>
      <c r="M572" s="97"/>
      <c r="N572" s="97"/>
      <c r="O572" s="97"/>
      <c r="P572" s="97"/>
      <c r="Q572" s="97"/>
      <c r="R572" s="97"/>
      <c r="S572" s="97"/>
      <c r="T572" s="97"/>
      <c r="U572" s="25"/>
      <c r="V572" s="25"/>
      <c r="W572" s="25"/>
      <c r="X572" s="25"/>
      <c r="Y572" s="25"/>
      <c r="Z572" s="25"/>
    </row>
    <row r="573" spans="1:26" x14ac:dyDescent="0.35">
      <c r="A573" s="97"/>
      <c r="B573" s="97"/>
      <c r="C573" s="97"/>
      <c r="D573" s="97"/>
      <c r="E573" s="97"/>
      <c r="F573" s="97"/>
      <c r="G573" s="97"/>
      <c r="H573" s="97"/>
      <c r="I573" s="97"/>
      <c r="J573" s="97"/>
      <c r="K573" s="97"/>
      <c r="L573" s="97"/>
      <c r="M573" s="97"/>
      <c r="N573" s="97"/>
      <c r="O573" s="97"/>
      <c r="P573" s="97"/>
      <c r="Q573" s="97"/>
      <c r="R573" s="97"/>
      <c r="S573" s="97"/>
      <c r="T573" s="97"/>
      <c r="U573" s="25"/>
      <c r="V573" s="25"/>
      <c r="W573" s="25"/>
      <c r="X573" s="25"/>
      <c r="Y573" s="25"/>
      <c r="Z573" s="25"/>
    </row>
    <row r="574" spans="1:26" x14ac:dyDescent="0.35">
      <c r="A574" s="97"/>
      <c r="B574" s="97"/>
      <c r="C574" s="97"/>
      <c r="D574" s="97"/>
      <c r="E574" s="97"/>
      <c r="F574" s="97"/>
      <c r="G574" s="97"/>
      <c r="H574" s="97"/>
      <c r="I574" s="97"/>
      <c r="J574" s="97"/>
      <c r="K574" s="97"/>
      <c r="L574" s="97"/>
      <c r="M574" s="97"/>
      <c r="N574" s="97"/>
      <c r="O574" s="97"/>
      <c r="P574" s="97"/>
      <c r="Q574" s="97"/>
      <c r="R574" s="97"/>
      <c r="S574" s="97"/>
      <c r="T574" s="97"/>
      <c r="U574" s="25"/>
      <c r="V574" s="25"/>
      <c r="W574" s="25"/>
      <c r="X574" s="25"/>
      <c r="Y574" s="25"/>
      <c r="Z574" s="25"/>
    </row>
    <row r="575" spans="1:26" x14ac:dyDescent="0.35">
      <c r="A575" s="97"/>
      <c r="B575" s="97"/>
      <c r="C575" s="97"/>
      <c r="D575" s="97"/>
      <c r="E575" s="97"/>
      <c r="F575" s="97"/>
      <c r="G575" s="97"/>
      <c r="H575" s="97"/>
      <c r="I575" s="97"/>
      <c r="J575" s="97"/>
      <c r="K575" s="97"/>
      <c r="L575" s="97"/>
      <c r="M575" s="97"/>
      <c r="N575" s="97"/>
      <c r="O575" s="97"/>
      <c r="P575" s="97"/>
      <c r="Q575" s="97"/>
      <c r="R575" s="97"/>
      <c r="S575" s="97"/>
      <c r="T575" s="97"/>
      <c r="U575" s="25"/>
      <c r="V575" s="25"/>
      <c r="W575" s="25"/>
      <c r="X575" s="25"/>
      <c r="Y575" s="25"/>
      <c r="Z575" s="25"/>
    </row>
    <row r="576" spans="1:26" x14ac:dyDescent="0.35">
      <c r="A576" s="97"/>
      <c r="B576" s="97"/>
      <c r="C576" s="97"/>
      <c r="D576" s="97"/>
      <c r="E576" s="97"/>
      <c r="F576" s="97"/>
      <c r="G576" s="97"/>
      <c r="H576" s="97"/>
      <c r="I576" s="97"/>
      <c r="J576" s="97"/>
      <c r="K576" s="97"/>
      <c r="L576" s="97"/>
      <c r="M576" s="97"/>
      <c r="N576" s="97"/>
      <c r="O576" s="97"/>
      <c r="P576" s="97"/>
      <c r="Q576" s="97"/>
      <c r="R576" s="97"/>
      <c r="S576" s="97"/>
      <c r="T576" s="97"/>
      <c r="U576" s="25"/>
      <c r="V576" s="25"/>
      <c r="W576" s="25"/>
      <c r="X576" s="25"/>
      <c r="Y576" s="25"/>
      <c r="Z576" s="25"/>
    </row>
    <row r="577" spans="1:26" x14ac:dyDescent="0.35">
      <c r="A577" s="97"/>
      <c r="B577" s="97"/>
      <c r="C577" s="97"/>
      <c r="D577" s="97"/>
      <c r="E577" s="97"/>
      <c r="F577" s="97"/>
      <c r="G577" s="97"/>
      <c r="H577" s="97"/>
      <c r="I577" s="97"/>
      <c r="J577" s="97"/>
      <c r="K577" s="97"/>
      <c r="L577" s="97"/>
      <c r="M577" s="97"/>
      <c r="N577" s="97"/>
      <c r="O577" s="97"/>
      <c r="P577" s="97"/>
      <c r="Q577" s="97"/>
      <c r="R577" s="97"/>
      <c r="S577" s="97"/>
      <c r="T577" s="97"/>
      <c r="U577" s="25"/>
      <c r="V577" s="25"/>
      <c r="W577" s="25"/>
      <c r="X577" s="25"/>
      <c r="Y577" s="25"/>
      <c r="Z577" s="25"/>
    </row>
    <row r="578" spans="1:26" x14ac:dyDescent="0.35">
      <c r="A578" s="97"/>
      <c r="B578" s="97"/>
      <c r="C578" s="97"/>
      <c r="D578" s="97"/>
      <c r="E578" s="97"/>
      <c r="F578" s="97"/>
      <c r="G578" s="97"/>
      <c r="H578" s="97"/>
      <c r="I578" s="97"/>
      <c r="J578" s="97"/>
      <c r="K578" s="97"/>
      <c r="L578" s="97"/>
      <c r="M578" s="97"/>
      <c r="N578" s="97"/>
      <c r="O578" s="97"/>
      <c r="P578" s="97"/>
      <c r="Q578" s="97"/>
      <c r="R578" s="97"/>
      <c r="S578" s="97"/>
      <c r="T578" s="97"/>
      <c r="U578" s="25"/>
      <c r="V578" s="25"/>
      <c r="W578" s="25"/>
      <c r="X578" s="25"/>
      <c r="Y578" s="25"/>
      <c r="Z578" s="25"/>
    </row>
    <row r="579" spans="1:26" x14ac:dyDescent="0.35">
      <c r="A579" s="97"/>
      <c r="B579" s="97"/>
      <c r="C579" s="97"/>
      <c r="D579" s="97"/>
      <c r="E579" s="97"/>
      <c r="F579" s="97"/>
      <c r="G579" s="97"/>
      <c r="H579" s="97"/>
      <c r="I579" s="97"/>
      <c r="J579" s="97"/>
      <c r="K579" s="97"/>
      <c r="L579" s="97"/>
      <c r="M579" s="97"/>
      <c r="N579" s="97"/>
      <c r="O579" s="97"/>
      <c r="P579" s="97"/>
      <c r="Q579" s="97"/>
      <c r="R579" s="97"/>
      <c r="S579" s="97"/>
      <c r="T579" s="97"/>
      <c r="U579" s="25"/>
      <c r="V579" s="25"/>
      <c r="W579" s="25"/>
      <c r="X579" s="25"/>
      <c r="Y579" s="25"/>
      <c r="Z579" s="25"/>
    </row>
    <row r="580" spans="1:26" x14ac:dyDescent="0.35">
      <c r="A580" s="97"/>
      <c r="B580" s="97"/>
      <c r="C580" s="97"/>
      <c r="D580" s="97"/>
      <c r="E580" s="97"/>
      <c r="F580" s="97"/>
      <c r="G580" s="97"/>
      <c r="H580" s="97"/>
      <c r="I580" s="97"/>
      <c r="J580" s="97"/>
      <c r="K580" s="97"/>
      <c r="L580" s="97"/>
      <c r="M580" s="97"/>
      <c r="N580" s="97"/>
      <c r="O580" s="97"/>
      <c r="P580" s="97"/>
      <c r="Q580" s="97"/>
      <c r="R580" s="97"/>
      <c r="S580" s="97"/>
      <c r="T580" s="97"/>
      <c r="U580" s="25"/>
      <c r="V580" s="25"/>
      <c r="W580" s="25"/>
      <c r="X580" s="25"/>
      <c r="Y580" s="25"/>
      <c r="Z580" s="25"/>
    </row>
    <row r="581" spans="1:26" x14ac:dyDescent="0.35">
      <c r="A581" s="97"/>
      <c r="B581" s="97"/>
      <c r="C581" s="97"/>
      <c r="D581" s="97"/>
      <c r="E581" s="97"/>
      <c r="F581" s="97"/>
      <c r="G581" s="97"/>
      <c r="H581" s="97"/>
      <c r="I581" s="97"/>
      <c r="J581" s="97"/>
      <c r="K581" s="97"/>
      <c r="L581" s="97"/>
      <c r="M581" s="97"/>
      <c r="N581" s="97"/>
      <c r="O581" s="97"/>
      <c r="P581" s="97"/>
      <c r="Q581" s="97"/>
      <c r="R581" s="97"/>
      <c r="S581" s="97"/>
      <c r="T581" s="97"/>
      <c r="U581" s="25"/>
      <c r="V581" s="25"/>
      <c r="W581" s="25"/>
      <c r="X581" s="25"/>
      <c r="Y581" s="25"/>
      <c r="Z581" s="25"/>
    </row>
    <row r="582" spans="1:26" x14ac:dyDescent="0.35">
      <c r="A582" s="97"/>
      <c r="B582" s="97"/>
      <c r="C582" s="97"/>
      <c r="D582" s="97"/>
      <c r="E582" s="97"/>
      <c r="F582" s="97"/>
      <c r="G582" s="97"/>
      <c r="H582" s="97"/>
      <c r="I582" s="97"/>
      <c r="J582" s="97"/>
      <c r="K582" s="97"/>
      <c r="L582" s="97"/>
      <c r="M582" s="97"/>
      <c r="N582" s="97"/>
      <c r="O582" s="97"/>
      <c r="P582" s="97"/>
      <c r="Q582" s="97"/>
      <c r="R582" s="97"/>
      <c r="S582" s="97"/>
      <c r="T582" s="97"/>
      <c r="U582" s="25"/>
      <c r="V582" s="25"/>
      <c r="W582" s="25"/>
      <c r="X582" s="25"/>
      <c r="Y582" s="25"/>
      <c r="Z582" s="25"/>
    </row>
    <row r="583" spans="1:26" x14ac:dyDescent="0.35">
      <c r="A583" s="97"/>
      <c r="B583" s="97"/>
      <c r="C583" s="97"/>
      <c r="D583" s="97"/>
      <c r="E583" s="97"/>
      <c r="F583" s="97"/>
      <c r="G583" s="97"/>
      <c r="H583" s="97"/>
      <c r="I583" s="97"/>
      <c r="J583" s="97"/>
      <c r="K583" s="97"/>
      <c r="L583" s="97"/>
      <c r="M583" s="97"/>
      <c r="N583" s="97"/>
      <c r="O583" s="97"/>
      <c r="P583" s="97"/>
      <c r="Q583" s="97"/>
      <c r="R583" s="97"/>
      <c r="S583" s="97"/>
      <c r="T583" s="97"/>
      <c r="U583" s="25"/>
      <c r="V583" s="25"/>
      <c r="W583" s="25"/>
      <c r="X583" s="25"/>
      <c r="Y583" s="25"/>
      <c r="Z583" s="25"/>
    </row>
    <row r="584" spans="1:26" x14ac:dyDescent="0.35">
      <c r="A584" s="97"/>
      <c r="B584" s="97"/>
      <c r="C584" s="97"/>
      <c r="D584" s="97"/>
      <c r="E584" s="97"/>
      <c r="F584" s="97"/>
      <c r="G584" s="97"/>
      <c r="H584" s="97"/>
      <c r="I584" s="97"/>
      <c r="J584" s="97"/>
      <c r="K584" s="97"/>
      <c r="L584" s="97"/>
      <c r="M584" s="97"/>
      <c r="N584" s="97"/>
      <c r="O584" s="97"/>
      <c r="P584" s="97"/>
      <c r="Q584" s="97"/>
      <c r="R584" s="97"/>
      <c r="S584" s="97"/>
      <c r="T584" s="97"/>
      <c r="U584" s="25"/>
      <c r="V584" s="25"/>
      <c r="W584" s="25"/>
      <c r="X584" s="25"/>
      <c r="Y584" s="25"/>
      <c r="Z584" s="25"/>
    </row>
    <row r="585" spans="1:26" x14ac:dyDescent="0.35">
      <c r="A585" s="97"/>
      <c r="B585" s="97"/>
      <c r="C585" s="97"/>
      <c r="D585" s="97"/>
      <c r="E585" s="97"/>
      <c r="F585" s="97"/>
      <c r="G585" s="97"/>
      <c r="H585" s="97"/>
      <c r="I585" s="97"/>
      <c r="J585" s="97"/>
      <c r="K585" s="97"/>
      <c r="L585" s="97"/>
      <c r="M585" s="97"/>
      <c r="N585" s="97"/>
      <c r="O585" s="97"/>
      <c r="P585" s="97"/>
      <c r="Q585" s="97"/>
      <c r="R585" s="97"/>
      <c r="S585" s="97"/>
      <c r="T585" s="97"/>
      <c r="U585" s="25"/>
      <c r="V585" s="25"/>
      <c r="W585" s="25"/>
      <c r="X585" s="25"/>
      <c r="Y585" s="25"/>
      <c r="Z585" s="25"/>
    </row>
    <row r="586" spans="1:26" x14ac:dyDescent="0.35">
      <c r="A586" s="97"/>
      <c r="B586" s="97"/>
      <c r="C586" s="97"/>
      <c r="D586" s="97"/>
      <c r="E586" s="97"/>
      <c r="F586" s="97"/>
      <c r="G586" s="97"/>
      <c r="H586" s="97"/>
      <c r="I586" s="97"/>
      <c r="J586" s="97"/>
      <c r="K586" s="97"/>
      <c r="L586" s="97"/>
      <c r="M586" s="97"/>
      <c r="N586" s="97"/>
      <c r="O586" s="97"/>
      <c r="P586" s="97"/>
      <c r="Q586" s="97"/>
      <c r="R586" s="97"/>
      <c r="S586" s="97"/>
      <c r="T586" s="97"/>
      <c r="U586" s="25"/>
      <c r="V586" s="25"/>
      <c r="W586" s="25"/>
      <c r="X586" s="25"/>
      <c r="Y586" s="25"/>
      <c r="Z586" s="25"/>
    </row>
    <row r="587" spans="1:26" x14ac:dyDescent="0.35">
      <c r="A587" s="97"/>
      <c r="B587" s="97"/>
      <c r="C587" s="97"/>
      <c r="D587" s="97"/>
      <c r="E587" s="97"/>
      <c r="F587" s="97"/>
      <c r="G587" s="97"/>
      <c r="H587" s="97"/>
      <c r="I587" s="97"/>
      <c r="J587" s="97"/>
      <c r="K587" s="97"/>
      <c r="L587" s="97"/>
      <c r="M587" s="97"/>
      <c r="N587" s="97"/>
      <c r="O587" s="97"/>
      <c r="P587" s="97"/>
      <c r="Q587" s="97"/>
      <c r="R587" s="97"/>
      <c r="S587" s="97"/>
      <c r="T587" s="97"/>
      <c r="U587" s="25"/>
      <c r="V587" s="25"/>
      <c r="W587" s="25"/>
      <c r="X587" s="25"/>
      <c r="Y587" s="25"/>
      <c r="Z587" s="25"/>
    </row>
    <row r="588" spans="1:26" x14ac:dyDescent="0.35">
      <c r="A588" s="97"/>
      <c r="B588" s="97"/>
      <c r="C588" s="97"/>
      <c r="D588" s="97"/>
      <c r="E588" s="97"/>
      <c r="F588" s="97"/>
      <c r="G588" s="97"/>
      <c r="H588" s="97"/>
      <c r="I588" s="97"/>
      <c r="J588" s="97"/>
      <c r="K588" s="97"/>
      <c r="L588" s="97"/>
      <c r="M588" s="97"/>
      <c r="N588" s="97"/>
      <c r="O588" s="97"/>
      <c r="P588" s="97"/>
      <c r="Q588" s="97"/>
      <c r="R588" s="97"/>
      <c r="S588" s="97"/>
      <c r="T588" s="97"/>
      <c r="U588" s="25"/>
      <c r="V588" s="25"/>
      <c r="W588" s="25"/>
      <c r="X588" s="25"/>
      <c r="Y588" s="25"/>
      <c r="Z588" s="25"/>
    </row>
    <row r="589" spans="1:26" x14ac:dyDescent="0.35">
      <c r="A589" s="97"/>
      <c r="B589" s="97"/>
      <c r="C589" s="97"/>
      <c r="D589" s="97"/>
      <c r="E589" s="97"/>
      <c r="F589" s="97"/>
      <c r="G589" s="97"/>
      <c r="H589" s="97"/>
      <c r="I589" s="97"/>
      <c r="J589" s="97"/>
      <c r="K589" s="97"/>
      <c r="L589" s="97"/>
      <c r="M589" s="97"/>
      <c r="N589" s="97"/>
      <c r="O589" s="97"/>
      <c r="P589" s="97"/>
      <c r="Q589" s="97"/>
      <c r="R589" s="97"/>
      <c r="S589" s="97"/>
      <c r="T589" s="97"/>
      <c r="U589" s="25"/>
      <c r="V589" s="25"/>
      <c r="W589" s="25"/>
      <c r="X589" s="25"/>
      <c r="Y589" s="25"/>
      <c r="Z589" s="25"/>
    </row>
    <row r="590" spans="1:26" x14ac:dyDescent="0.35">
      <c r="A590" s="97"/>
      <c r="B590" s="97"/>
      <c r="C590" s="97"/>
      <c r="D590" s="97"/>
      <c r="E590" s="97"/>
      <c r="F590" s="97"/>
      <c r="G590" s="97"/>
      <c r="H590" s="97"/>
      <c r="I590" s="97"/>
      <c r="J590" s="97"/>
      <c r="K590" s="97"/>
      <c r="L590" s="97"/>
      <c r="M590" s="97"/>
      <c r="N590" s="97"/>
      <c r="O590" s="97"/>
      <c r="P590" s="97"/>
      <c r="Q590" s="97"/>
      <c r="R590" s="97"/>
      <c r="S590" s="97"/>
      <c r="T590" s="97"/>
      <c r="U590" s="25"/>
      <c r="V590" s="25"/>
      <c r="W590" s="25"/>
      <c r="X590" s="25"/>
      <c r="Y590" s="25"/>
      <c r="Z590" s="25"/>
    </row>
    <row r="591" spans="1:26" x14ac:dyDescent="0.35">
      <c r="A591" s="97"/>
      <c r="B591" s="97"/>
      <c r="C591" s="97"/>
      <c r="D591" s="97"/>
      <c r="E591" s="97"/>
      <c r="F591" s="97"/>
      <c r="G591" s="97"/>
      <c r="H591" s="97"/>
      <c r="I591" s="97"/>
      <c r="J591" s="97"/>
      <c r="K591" s="97"/>
      <c r="L591" s="97"/>
      <c r="M591" s="97"/>
      <c r="N591" s="97"/>
      <c r="O591" s="97"/>
      <c r="P591" s="97"/>
      <c r="Q591" s="97"/>
      <c r="R591" s="97"/>
      <c r="S591" s="97"/>
      <c r="T591" s="97"/>
      <c r="U591" s="25"/>
      <c r="V591" s="25"/>
      <c r="W591" s="25"/>
      <c r="X591" s="25"/>
      <c r="Y591" s="25"/>
      <c r="Z591" s="25"/>
    </row>
    <row r="592" spans="1:26" x14ac:dyDescent="0.35">
      <c r="A592" s="97"/>
      <c r="B592" s="97"/>
      <c r="C592" s="97"/>
      <c r="D592" s="97"/>
      <c r="E592" s="97"/>
      <c r="F592" s="97"/>
      <c r="G592" s="97"/>
      <c r="H592" s="97"/>
      <c r="I592" s="97"/>
      <c r="J592" s="97"/>
      <c r="K592" s="97"/>
      <c r="L592" s="97"/>
      <c r="M592" s="97"/>
      <c r="N592" s="97"/>
      <c r="O592" s="97"/>
      <c r="P592" s="97"/>
      <c r="Q592" s="97"/>
      <c r="R592" s="97"/>
      <c r="S592" s="97"/>
      <c r="T592" s="97"/>
      <c r="U592" s="25"/>
      <c r="V592" s="25"/>
      <c r="W592" s="25"/>
      <c r="X592" s="25"/>
      <c r="Y592" s="25"/>
      <c r="Z592" s="25"/>
    </row>
    <row r="593" spans="1:26" x14ac:dyDescent="0.35">
      <c r="A593" s="97"/>
      <c r="B593" s="97"/>
      <c r="C593" s="97"/>
      <c r="D593" s="97"/>
      <c r="E593" s="97"/>
      <c r="F593" s="97"/>
      <c r="G593" s="97"/>
      <c r="H593" s="97"/>
      <c r="I593" s="97"/>
      <c r="J593" s="97"/>
      <c r="K593" s="97"/>
      <c r="L593" s="97"/>
      <c r="M593" s="97"/>
      <c r="N593" s="97"/>
      <c r="O593" s="97"/>
      <c r="P593" s="97"/>
      <c r="Q593" s="97"/>
      <c r="R593" s="97"/>
      <c r="S593" s="97"/>
      <c r="T593" s="97"/>
      <c r="U593" s="25"/>
      <c r="V593" s="25"/>
      <c r="W593" s="25"/>
      <c r="X593" s="25"/>
      <c r="Y593" s="25"/>
      <c r="Z593" s="25"/>
    </row>
    <row r="594" spans="1:26" x14ac:dyDescent="0.35">
      <c r="A594" s="97"/>
      <c r="B594" s="97"/>
      <c r="C594" s="97"/>
      <c r="D594" s="97"/>
      <c r="E594" s="97"/>
      <c r="F594" s="97"/>
      <c r="G594" s="97"/>
      <c r="H594" s="97"/>
      <c r="I594" s="97"/>
      <c r="J594" s="97"/>
      <c r="K594" s="97"/>
      <c r="L594" s="97"/>
      <c r="M594" s="97"/>
      <c r="N594" s="97"/>
      <c r="O594" s="97"/>
      <c r="P594" s="97"/>
      <c r="Q594" s="97"/>
      <c r="R594" s="97"/>
      <c r="S594" s="97"/>
      <c r="T594" s="97"/>
      <c r="U594" s="25"/>
      <c r="V594" s="25"/>
      <c r="W594" s="25"/>
      <c r="X594" s="25"/>
      <c r="Y594" s="25"/>
      <c r="Z594" s="25"/>
    </row>
    <row r="595" spans="1:26" x14ac:dyDescent="0.35">
      <c r="A595" s="97"/>
      <c r="B595" s="97"/>
      <c r="C595" s="97"/>
      <c r="D595" s="97"/>
      <c r="E595" s="97"/>
      <c r="F595" s="97"/>
      <c r="G595" s="97"/>
      <c r="H595" s="97"/>
      <c r="I595" s="97"/>
      <c r="J595" s="97"/>
      <c r="K595" s="97"/>
      <c r="L595" s="97"/>
      <c r="M595" s="97"/>
      <c r="N595" s="97"/>
      <c r="O595" s="97"/>
      <c r="P595" s="97"/>
      <c r="Q595" s="97"/>
      <c r="R595" s="97"/>
      <c r="S595" s="97"/>
      <c r="T595" s="97"/>
      <c r="U595" s="25"/>
      <c r="V595" s="25"/>
      <c r="W595" s="25"/>
      <c r="X595" s="25"/>
      <c r="Y595" s="25"/>
      <c r="Z595" s="25"/>
    </row>
    <row r="596" spans="1:26" x14ac:dyDescent="0.35">
      <c r="A596" s="97"/>
      <c r="B596" s="97"/>
      <c r="C596" s="97"/>
      <c r="D596" s="97"/>
      <c r="E596" s="97"/>
      <c r="F596" s="97"/>
      <c r="G596" s="97"/>
      <c r="H596" s="97"/>
      <c r="I596" s="97"/>
      <c r="J596" s="97"/>
      <c r="K596" s="97"/>
      <c r="L596" s="97"/>
      <c r="M596" s="97"/>
      <c r="N596" s="97"/>
      <c r="O596" s="97"/>
      <c r="P596" s="97"/>
      <c r="Q596" s="97"/>
      <c r="R596" s="97"/>
      <c r="S596" s="97"/>
      <c r="T596" s="97"/>
      <c r="U596" s="25"/>
      <c r="V596" s="25"/>
      <c r="W596" s="25"/>
      <c r="X596" s="25"/>
      <c r="Y596" s="25"/>
      <c r="Z596" s="25"/>
    </row>
    <row r="597" spans="1:26" x14ac:dyDescent="0.35">
      <c r="A597" s="97"/>
      <c r="B597" s="97"/>
      <c r="C597" s="97"/>
      <c r="D597" s="97"/>
      <c r="E597" s="97"/>
      <c r="F597" s="97"/>
      <c r="G597" s="97"/>
      <c r="H597" s="97"/>
      <c r="I597" s="97"/>
      <c r="J597" s="97"/>
      <c r="K597" s="97"/>
      <c r="L597" s="97"/>
      <c r="M597" s="97"/>
      <c r="N597" s="97"/>
      <c r="O597" s="97"/>
      <c r="P597" s="97"/>
      <c r="Q597" s="97"/>
      <c r="R597" s="97"/>
      <c r="S597" s="97"/>
      <c r="T597" s="97"/>
      <c r="U597" s="25"/>
      <c r="V597" s="25"/>
      <c r="W597" s="25"/>
      <c r="X597" s="25"/>
      <c r="Y597" s="25"/>
      <c r="Z597" s="25"/>
    </row>
    <row r="598" spans="1:26" x14ac:dyDescent="0.35">
      <c r="A598" s="97"/>
      <c r="B598" s="97"/>
      <c r="C598" s="97"/>
      <c r="D598" s="97"/>
      <c r="E598" s="97"/>
      <c r="F598" s="97"/>
      <c r="G598" s="97"/>
      <c r="H598" s="97"/>
      <c r="I598" s="97"/>
      <c r="J598" s="97"/>
      <c r="K598" s="97"/>
      <c r="L598" s="97"/>
      <c r="M598" s="97"/>
      <c r="N598" s="97"/>
      <c r="O598" s="97"/>
      <c r="P598" s="97"/>
      <c r="Q598" s="97"/>
      <c r="R598" s="97"/>
      <c r="S598" s="97"/>
      <c r="T598" s="97"/>
      <c r="U598" s="25"/>
      <c r="V598" s="25"/>
      <c r="W598" s="25"/>
      <c r="X598" s="25"/>
      <c r="Y598" s="25"/>
      <c r="Z598" s="25"/>
    </row>
    <row r="599" spans="1:26" x14ac:dyDescent="0.35">
      <c r="A599" s="97"/>
      <c r="B599" s="97"/>
      <c r="C599" s="97"/>
      <c r="D599" s="97"/>
      <c r="E599" s="97"/>
      <c r="F599" s="97"/>
      <c r="G599" s="97"/>
      <c r="H599" s="97"/>
      <c r="I599" s="97"/>
      <c r="J599" s="97"/>
      <c r="K599" s="97"/>
      <c r="L599" s="97"/>
      <c r="M599" s="97"/>
      <c r="N599" s="97"/>
      <c r="O599" s="97"/>
      <c r="P599" s="97"/>
      <c r="Q599" s="97"/>
      <c r="R599" s="97"/>
      <c r="S599" s="97"/>
      <c r="T599" s="97"/>
      <c r="U599" s="25"/>
      <c r="V599" s="25"/>
      <c r="W599" s="25"/>
      <c r="X599" s="25"/>
      <c r="Y599" s="25"/>
      <c r="Z599" s="25"/>
    </row>
    <row r="600" spans="1:26" x14ac:dyDescent="0.35">
      <c r="A600" s="97"/>
      <c r="B600" s="97"/>
      <c r="C600" s="97"/>
      <c r="D600" s="97"/>
      <c r="E600" s="97"/>
      <c r="F600" s="97"/>
      <c r="G600" s="97"/>
      <c r="H600" s="97"/>
      <c r="I600" s="97"/>
      <c r="J600" s="97"/>
      <c r="K600" s="97"/>
      <c r="L600" s="97"/>
      <c r="M600" s="97"/>
      <c r="N600" s="97"/>
      <c r="O600" s="97"/>
      <c r="P600" s="97"/>
      <c r="Q600" s="97"/>
      <c r="R600" s="97"/>
      <c r="S600" s="97"/>
      <c r="T600" s="97"/>
      <c r="U600" s="25"/>
      <c r="V600" s="25"/>
      <c r="W600" s="25"/>
      <c r="X600" s="25"/>
      <c r="Y600" s="25"/>
      <c r="Z600" s="25"/>
    </row>
    <row r="601" spans="1:26" x14ac:dyDescent="0.35">
      <c r="A601" s="97"/>
      <c r="B601" s="97"/>
      <c r="C601" s="97"/>
      <c r="D601" s="97"/>
      <c r="E601" s="97"/>
      <c r="F601" s="97"/>
      <c r="G601" s="97"/>
      <c r="H601" s="97"/>
      <c r="I601" s="97"/>
      <c r="J601" s="97"/>
      <c r="K601" s="97"/>
      <c r="L601" s="97"/>
      <c r="M601" s="97"/>
      <c r="N601" s="97"/>
      <c r="O601" s="97"/>
      <c r="P601" s="97"/>
      <c r="Q601" s="97"/>
      <c r="R601" s="97"/>
      <c r="S601" s="97"/>
      <c r="T601" s="97"/>
      <c r="U601" s="25"/>
      <c r="V601" s="25"/>
      <c r="W601" s="25"/>
      <c r="X601" s="25"/>
      <c r="Y601" s="25"/>
      <c r="Z601" s="25"/>
    </row>
    <row r="602" spans="1:26" x14ac:dyDescent="0.35">
      <c r="A602" s="97"/>
      <c r="B602" s="97"/>
      <c r="C602" s="97"/>
      <c r="D602" s="97"/>
      <c r="E602" s="97"/>
      <c r="F602" s="97"/>
      <c r="G602" s="97"/>
      <c r="H602" s="97"/>
      <c r="I602" s="97"/>
      <c r="J602" s="97"/>
      <c r="K602" s="97"/>
      <c r="L602" s="97"/>
      <c r="M602" s="97"/>
      <c r="N602" s="97"/>
      <c r="O602" s="97"/>
      <c r="P602" s="97"/>
      <c r="Q602" s="97"/>
      <c r="R602" s="97"/>
      <c r="S602" s="97"/>
      <c r="T602" s="97"/>
      <c r="U602" s="25"/>
      <c r="V602" s="25"/>
      <c r="W602" s="25"/>
      <c r="X602" s="25"/>
      <c r="Y602" s="25"/>
      <c r="Z602" s="25"/>
    </row>
    <row r="603" spans="1:26" x14ac:dyDescent="0.35">
      <c r="A603" s="97"/>
      <c r="B603" s="97"/>
      <c r="C603" s="97"/>
      <c r="D603" s="97"/>
      <c r="E603" s="97"/>
      <c r="F603" s="97"/>
      <c r="G603" s="97"/>
      <c r="H603" s="97"/>
      <c r="I603" s="97"/>
      <c r="J603" s="97"/>
      <c r="K603" s="97"/>
      <c r="L603" s="97"/>
      <c r="M603" s="97"/>
      <c r="N603" s="97"/>
      <c r="O603" s="97"/>
      <c r="P603" s="97"/>
      <c r="Q603" s="97"/>
      <c r="R603" s="97"/>
      <c r="S603" s="97"/>
      <c r="T603" s="97"/>
      <c r="U603" s="25"/>
      <c r="V603" s="25"/>
      <c r="W603" s="25"/>
      <c r="X603" s="25"/>
      <c r="Y603" s="25"/>
      <c r="Z603" s="25"/>
    </row>
    <row r="604" spans="1:26" x14ac:dyDescent="0.35">
      <c r="A604" s="97"/>
      <c r="B604" s="97"/>
      <c r="C604" s="97"/>
      <c r="D604" s="97"/>
      <c r="E604" s="97"/>
      <c r="F604" s="97"/>
      <c r="G604" s="97"/>
      <c r="H604" s="97"/>
      <c r="I604" s="97"/>
      <c r="J604" s="97"/>
      <c r="K604" s="97"/>
      <c r="L604" s="97"/>
      <c r="M604" s="97"/>
      <c r="N604" s="97"/>
      <c r="O604" s="97"/>
      <c r="P604" s="97"/>
      <c r="Q604" s="97"/>
      <c r="R604" s="97"/>
      <c r="S604" s="97"/>
      <c r="T604" s="97"/>
      <c r="U604" s="25"/>
      <c r="V604" s="25"/>
      <c r="W604" s="25"/>
      <c r="X604" s="25"/>
      <c r="Y604" s="25"/>
      <c r="Z604" s="25"/>
    </row>
    <row r="605" spans="1:26" x14ac:dyDescent="0.35">
      <c r="A605" s="97"/>
      <c r="B605" s="97"/>
      <c r="C605" s="97"/>
      <c r="D605" s="97"/>
      <c r="E605" s="97"/>
      <c r="F605" s="97"/>
      <c r="G605" s="97"/>
      <c r="H605" s="97"/>
      <c r="I605" s="97"/>
      <c r="J605" s="97"/>
      <c r="K605" s="97"/>
      <c r="L605" s="97"/>
      <c r="M605" s="97"/>
      <c r="N605" s="97"/>
      <c r="O605" s="97"/>
      <c r="P605" s="97"/>
      <c r="Q605" s="97"/>
      <c r="R605" s="97"/>
      <c r="S605" s="97"/>
      <c r="T605" s="97"/>
      <c r="U605" s="25"/>
      <c r="V605" s="25"/>
      <c r="W605" s="25"/>
      <c r="X605" s="25"/>
      <c r="Y605" s="25"/>
      <c r="Z605" s="25"/>
    </row>
    <row r="606" spans="1:26" x14ac:dyDescent="0.35">
      <c r="A606" s="97"/>
      <c r="B606" s="97"/>
      <c r="C606" s="97"/>
      <c r="D606" s="97"/>
      <c r="E606" s="97"/>
      <c r="F606" s="97"/>
      <c r="G606" s="97"/>
      <c r="H606" s="97"/>
      <c r="I606" s="97"/>
      <c r="J606" s="97"/>
      <c r="K606" s="97"/>
      <c r="L606" s="97"/>
      <c r="M606" s="97"/>
      <c r="N606" s="97"/>
      <c r="O606" s="97"/>
      <c r="P606" s="97"/>
      <c r="Q606" s="97"/>
      <c r="R606" s="97"/>
      <c r="S606" s="97"/>
      <c r="T606" s="97"/>
      <c r="U606" s="25"/>
      <c r="V606" s="25"/>
      <c r="W606" s="25"/>
      <c r="X606" s="25"/>
      <c r="Y606" s="25"/>
      <c r="Z606" s="25"/>
    </row>
    <row r="607" spans="1:26" x14ac:dyDescent="0.35">
      <c r="A607" s="97"/>
      <c r="B607" s="97"/>
      <c r="C607" s="97"/>
      <c r="D607" s="97"/>
      <c r="E607" s="97"/>
      <c r="F607" s="97"/>
      <c r="G607" s="97"/>
      <c r="H607" s="97"/>
      <c r="I607" s="97"/>
      <c r="J607" s="97"/>
      <c r="K607" s="97"/>
      <c r="L607" s="97"/>
      <c r="M607" s="97"/>
      <c r="N607" s="97"/>
      <c r="O607" s="97"/>
      <c r="P607" s="97"/>
      <c r="Q607" s="97"/>
      <c r="R607" s="97"/>
      <c r="S607" s="97"/>
      <c r="T607" s="97"/>
      <c r="U607" s="25"/>
      <c r="V607" s="25"/>
      <c r="W607" s="25"/>
      <c r="X607" s="25"/>
      <c r="Y607" s="25"/>
      <c r="Z607" s="25"/>
    </row>
    <row r="608" spans="1:26" x14ac:dyDescent="0.35">
      <c r="A608" s="97"/>
      <c r="B608" s="97"/>
      <c r="C608" s="97"/>
      <c r="D608" s="97"/>
      <c r="E608" s="97"/>
      <c r="F608" s="97"/>
      <c r="G608" s="97"/>
      <c r="H608" s="97"/>
      <c r="I608" s="97"/>
      <c r="J608" s="97"/>
      <c r="K608" s="97"/>
      <c r="L608" s="97"/>
      <c r="M608" s="97"/>
      <c r="N608" s="97"/>
      <c r="O608" s="97"/>
      <c r="P608" s="97"/>
      <c r="Q608" s="97"/>
      <c r="R608" s="97"/>
      <c r="S608" s="97"/>
      <c r="T608" s="97"/>
      <c r="U608" s="25"/>
      <c r="V608" s="25"/>
      <c r="W608" s="25"/>
      <c r="X608" s="25"/>
      <c r="Y608" s="25"/>
      <c r="Z608" s="25"/>
    </row>
    <row r="609" spans="1:26" x14ac:dyDescent="0.35">
      <c r="A609" s="97"/>
      <c r="B609" s="97"/>
      <c r="C609" s="97"/>
      <c r="D609" s="97"/>
      <c r="E609" s="97"/>
      <c r="F609" s="97"/>
      <c r="G609" s="97"/>
      <c r="H609" s="97"/>
      <c r="I609" s="97"/>
      <c r="J609" s="97"/>
      <c r="K609" s="97"/>
      <c r="L609" s="97"/>
      <c r="M609" s="97"/>
      <c r="N609" s="97"/>
      <c r="O609" s="97"/>
      <c r="P609" s="97"/>
      <c r="Q609" s="97"/>
      <c r="R609" s="97"/>
      <c r="S609" s="97"/>
      <c r="T609" s="97"/>
      <c r="U609" s="25"/>
      <c r="V609" s="25"/>
      <c r="W609" s="25"/>
      <c r="X609" s="25"/>
      <c r="Y609" s="25"/>
      <c r="Z609" s="25"/>
    </row>
    <row r="610" spans="1:26" x14ac:dyDescent="0.35">
      <c r="A610" s="97"/>
      <c r="B610" s="97"/>
      <c r="C610" s="97"/>
      <c r="D610" s="97"/>
      <c r="E610" s="97"/>
      <c r="F610" s="97"/>
      <c r="G610" s="97"/>
      <c r="H610" s="97"/>
      <c r="I610" s="97"/>
      <c r="J610" s="97"/>
      <c r="K610" s="97"/>
      <c r="L610" s="97"/>
      <c r="M610" s="97"/>
      <c r="N610" s="97"/>
      <c r="O610" s="97"/>
      <c r="P610" s="97"/>
      <c r="Q610" s="97"/>
      <c r="R610" s="97"/>
      <c r="S610" s="97"/>
      <c r="T610" s="97"/>
      <c r="U610" s="25"/>
      <c r="V610" s="25"/>
      <c r="W610" s="25"/>
      <c r="X610" s="25"/>
      <c r="Y610" s="25"/>
      <c r="Z610" s="25"/>
    </row>
    <row r="611" spans="1:26" x14ac:dyDescent="0.35">
      <c r="A611" s="97"/>
      <c r="B611" s="97"/>
      <c r="C611" s="97"/>
      <c r="D611" s="97"/>
      <c r="E611" s="97"/>
      <c r="F611" s="97"/>
      <c r="G611" s="97"/>
      <c r="H611" s="97"/>
      <c r="I611" s="97"/>
      <c r="J611" s="97"/>
      <c r="K611" s="97"/>
      <c r="L611" s="97"/>
      <c r="M611" s="97"/>
      <c r="N611" s="97"/>
      <c r="O611" s="97"/>
      <c r="P611" s="97"/>
      <c r="Q611" s="97"/>
      <c r="R611" s="97"/>
      <c r="S611" s="97"/>
      <c r="T611" s="97"/>
      <c r="U611" s="25"/>
      <c r="V611" s="25"/>
      <c r="W611" s="25"/>
      <c r="X611" s="25"/>
      <c r="Y611" s="25"/>
      <c r="Z611" s="25"/>
    </row>
    <row r="612" spans="1:26" x14ac:dyDescent="0.35">
      <c r="A612" s="97"/>
      <c r="B612" s="97"/>
      <c r="C612" s="97"/>
      <c r="D612" s="97"/>
      <c r="E612" s="97"/>
      <c r="F612" s="97"/>
      <c r="G612" s="97"/>
      <c r="H612" s="97"/>
      <c r="I612" s="97"/>
      <c r="J612" s="97"/>
      <c r="K612" s="97"/>
      <c r="L612" s="97"/>
      <c r="M612" s="97"/>
      <c r="N612" s="97"/>
      <c r="O612" s="97"/>
      <c r="P612" s="97"/>
      <c r="Q612" s="97"/>
      <c r="R612" s="97"/>
      <c r="S612" s="97"/>
      <c r="T612" s="97"/>
      <c r="U612" s="25"/>
      <c r="V612" s="25"/>
      <c r="W612" s="25"/>
      <c r="X612" s="25"/>
      <c r="Y612" s="25"/>
      <c r="Z612" s="25"/>
    </row>
    <row r="613" spans="1:26" x14ac:dyDescent="0.35">
      <c r="A613" s="97"/>
      <c r="B613" s="97"/>
      <c r="C613" s="97"/>
      <c r="D613" s="97"/>
      <c r="E613" s="97"/>
      <c r="F613" s="97"/>
      <c r="G613" s="97"/>
      <c r="H613" s="97"/>
      <c r="I613" s="97"/>
      <c r="J613" s="97"/>
      <c r="K613" s="97"/>
      <c r="L613" s="97"/>
      <c r="M613" s="97"/>
      <c r="N613" s="97"/>
      <c r="O613" s="97"/>
      <c r="P613" s="97"/>
      <c r="Q613" s="97"/>
      <c r="R613" s="97"/>
      <c r="S613" s="97"/>
      <c r="T613" s="97"/>
      <c r="U613" s="25"/>
      <c r="V613" s="25"/>
      <c r="W613" s="25"/>
      <c r="X613" s="25"/>
      <c r="Y613" s="25"/>
      <c r="Z613" s="25"/>
    </row>
    <row r="614" spans="1:26" x14ac:dyDescent="0.35">
      <c r="A614" s="97"/>
      <c r="B614" s="97"/>
      <c r="C614" s="97"/>
      <c r="D614" s="97"/>
      <c r="E614" s="97"/>
      <c r="F614" s="97"/>
      <c r="G614" s="97"/>
      <c r="H614" s="97"/>
      <c r="I614" s="97"/>
      <c r="J614" s="97"/>
      <c r="K614" s="97"/>
      <c r="L614" s="97"/>
      <c r="M614" s="97"/>
      <c r="N614" s="97"/>
      <c r="O614" s="97"/>
      <c r="P614" s="97"/>
      <c r="Q614" s="97"/>
      <c r="R614" s="97"/>
      <c r="S614" s="97"/>
      <c r="T614" s="97"/>
      <c r="U614" s="25"/>
      <c r="V614" s="25"/>
      <c r="W614" s="25"/>
      <c r="X614" s="25"/>
      <c r="Y614" s="25"/>
      <c r="Z614" s="25"/>
    </row>
    <row r="615" spans="1:26" x14ac:dyDescent="0.35">
      <c r="A615" s="97"/>
      <c r="B615" s="97"/>
      <c r="C615" s="97"/>
      <c r="D615" s="97"/>
      <c r="E615" s="97"/>
      <c r="F615" s="97"/>
      <c r="G615" s="97"/>
      <c r="H615" s="97"/>
      <c r="I615" s="97"/>
      <c r="J615" s="97"/>
      <c r="K615" s="97"/>
      <c r="L615" s="97"/>
      <c r="M615" s="97"/>
      <c r="N615" s="97"/>
      <c r="O615" s="97"/>
      <c r="P615" s="97"/>
      <c r="Q615" s="97"/>
      <c r="R615" s="97"/>
      <c r="S615" s="97"/>
      <c r="T615" s="97"/>
      <c r="U615" s="25"/>
      <c r="V615" s="25"/>
      <c r="W615" s="25"/>
      <c r="X615" s="25"/>
      <c r="Y615" s="25"/>
      <c r="Z615" s="25"/>
    </row>
    <row r="616" spans="1:26" x14ac:dyDescent="0.35">
      <c r="A616" s="97"/>
      <c r="B616" s="97"/>
      <c r="C616" s="97"/>
      <c r="D616" s="97"/>
      <c r="E616" s="97"/>
      <c r="F616" s="97"/>
      <c r="G616" s="97"/>
      <c r="H616" s="97"/>
      <c r="I616" s="97"/>
      <c r="J616" s="97"/>
      <c r="K616" s="97"/>
      <c r="L616" s="97"/>
      <c r="M616" s="97"/>
      <c r="N616" s="97"/>
      <c r="O616" s="97"/>
      <c r="P616" s="97"/>
      <c r="Q616" s="97"/>
      <c r="R616" s="97"/>
      <c r="S616" s="97"/>
      <c r="T616" s="97"/>
      <c r="U616" s="25"/>
      <c r="V616" s="25"/>
      <c r="W616" s="25"/>
      <c r="X616" s="25"/>
      <c r="Y616" s="25"/>
      <c r="Z616" s="25"/>
    </row>
    <row r="617" spans="1:26" x14ac:dyDescent="0.35">
      <c r="A617" s="97"/>
      <c r="B617" s="97"/>
      <c r="C617" s="97"/>
      <c r="D617" s="97"/>
      <c r="E617" s="97"/>
      <c r="F617" s="97"/>
      <c r="G617" s="97"/>
      <c r="H617" s="97"/>
      <c r="I617" s="97"/>
      <c r="J617" s="97"/>
      <c r="K617" s="97"/>
      <c r="L617" s="97"/>
      <c r="M617" s="97"/>
      <c r="N617" s="97"/>
      <c r="O617" s="97"/>
      <c r="P617" s="97"/>
      <c r="Q617" s="97"/>
      <c r="R617" s="97"/>
      <c r="S617" s="97"/>
      <c r="T617" s="97"/>
      <c r="U617" s="25"/>
      <c r="V617" s="25"/>
      <c r="W617" s="25"/>
      <c r="X617" s="25"/>
      <c r="Y617" s="25"/>
      <c r="Z617" s="25"/>
    </row>
    <row r="618" spans="1:26" x14ac:dyDescent="0.35">
      <c r="A618" s="97"/>
      <c r="B618" s="97"/>
      <c r="C618" s="97"/>
      <c r="D618" s="97"/>
      <c r="E618" s="97"/>
      <c r="F618" s="97"/>
      <c r="G618" s="97"/>
      <c r="H618" s="97"/>
      <c r="I618" s="97"/>
      <c r="J618" s="97"/>
      <c r="K618" s="97"/>
      <c r="L618" s="97"/>
      <c r="M618" s="97"/>
      <c r="N618" s="97"/>
      <c r="O618" s="97"/>
      <c r="P618" s="97"/>
      <c r="Q618" s="97"/>
      <c r="R618" s="97"/>
      <c r="S618" s="97"/>
      <c r="T618" s="97"/>
      <c r="U618" s="25"/>
      <c r="V618" s="25"/>
      <c r="W618" s="25"/>
      <c r="X618" s="25"/>
      <c r="Y618" s="25"/>
      <c r="Z618" s="25"/>
    </row>
    <row r="619" spans="1:26" x14ac:dyDescent="0.35">
      <c r="A619" s="97"/>
      <c r="B619" s="97"/>
      <c r="C619" s="97"/>
      <c r="D619" s="97"/>
      <c r="E619" s="97"/>
      <c r="F619" s="97"/>
      <c r="G619" s="97"/>
      <c r="H619" s="97"/>
      <c r="I619" s="97"/>
      <c r="J619" s="97"/>
      <c r="K619" s="97"/>
      <c r="L619" s="97"/>
      <c r="M619" s="97"/>
      <c r="N619" s="97"/>
      <c r="O619" s="97"/>
      <c r="P619" s="97"/>
      <c r="Q619" s="97"/>
      <c r="R619" s="97"/>
      <c r="S619" s="97"/>
      <c r="T619" s="97"/>
      <c r="U619" s="25"/>
      <c r="V619" s="25"/>
      <c r="W619" s="25"/>
      <c r="X619" s="25"/>
      <c r="Y619" s="25"/>
      <c r="Z619" s="25"/>
    </row>
    <row r="620" spans="1:26" x14ac:dyDescent="0.35">
      <c r="A620" s="97"/>
      <c r="B620" s="97"/>
      <c r="C620" s="97"/>
      <c r="D620" s="97"/>
      <c r="E620" s="97"/>
      <c r="F620" s="97"/>
      <c r="G620" s="97"/>
      <c r="H620" s="97"/>
      <c r="I620" s="97"/>
      <c r="J620" s="97"/>
      <c r="K620" s="97"/>
      <c r="L620" s="97"/>
      <c r="M620" s="97"/>
      <c r="N620" s="97"/>
      <c r="O620" s="97"/>
      <c r="P620" s="97"/>
      <c r="Q620" s="97"/>
      <c r="R620" s="97"/>
      <c r="S620" s="97"/>
      <c r="T620" s="97"/>
      <c r="U620" s="25"/>
      <c r="V620" s="25"/>
      <c r="W620" s="25"/>
      <c r="X620" s="25"/>
      <c r="Y620" s="25"/>
      <c r="Z620" s="25"/>
    </row>
    <row r="621" spans="1:26" x14ac:dyDescent="0.35">
      <c r="A621" s="97"/>
      <c r="B621" s="97"/>
      <c r="C621" s="97"/>
      <c r="D621" s="97"/>
      <c r="E621" s="97"/>
      <c r="F621" s="97"/>
      <c r="G621" s="97"/>
      <c r="H621" s="97"/>
      <c r="I621" s="97"/>
      <c r="J621" s="97"/>
      <c r="K621" s="97"/>
      <c r="L621" s="97"/>
      <c r="M621" s="97"/>
      <c r="N621" s="97"/>
      <c r="O621" s="97"/>
      <c r="P621" s="97"/>
      <c r="Q621" s="97"/>
      <c r="R621" s="97"/>
      <c r="S621" s="97"/>
      <c r="T621" s="97"/>
      <c r="U621" s="25"/>
      <c r="V621" s="25"/>
      <c r="W621" s="25"/>
      <c r="X621" s="25"/>
      <c r="Y621" s="25"/>
      <c r="Z621" s="25"/>
    </row>
    <row r="622" spans="1:26" x14ac:dyDescent="0.35">
      <c r="A622" s="97"/>
      <c r="B622" s="97"/>
      <c r="C622" s="97"/>
      <c r="D622" s="97"/>
      <c r="E622" s="97"/>
      <c r="F622" s="97"/>
      <c r="G622" s="97"/>
      <c r="H622" s="97"/>
      <c r="I622" s="97"/>
      <c r="J622" s="97"/>
      <c r="K622" s="97"/>
      <c r="L622" s="97"/>
      <c r="M622" s="97"/>
      <c r="N622" s="97"/>
      <c r="O622" s="97"/>
      <c r="P622" s="97"/>
      <c r="Q622" s="97"/>
      <c r="R622" s="97"/>
      <c r="S622" s="97"/>
      <c r="T622" s="97"/>
      <c r="U622" s="25"/>
      <c r="V622" s="25"/>
      <c r="W622" s="25"/>
      <c r="X622" s="25"/>
      <c r="Y622" s="25"/>
      <c r="Z622" s="25"/>
    </row>
    <row r="623" spans="1:26" x14ac:dyDescent="0.35">
      <c r="A623" s="97"/>
      <c r="B623" s="97"/>
      <c r="C623" s="97"/>
      <c r="D623" s="97"/>
      <c r="E623" s="97"/>
      <c r="F623" s="97"/>
      <c r="G623" s="97"/>
      <c r="H623" s="97"/>
      <c r="I623" s="97"/>
      <c r="J623" s="97"/>
      <c r="K623" s="97"/>
      <c r="L623" s="97"/>
      <c r="M623" s="97"/>
      <c r="N623" s="97"/>
      <c r="O623" s="97"/>
      <c r="P623" s="97"/>
      <c r="Q623" s="97"/>
      <c r="R623" s="97"/>
      <c r="S623" s="97"/>
      <c r="T623" s="97"/>
      <c r="U623" s="25"/>
      <c r="V623" s="25"/>
      <c r="W623" s="25"/>
      <c r="X623" s="25"/>
      <c r="Y623" s="25"/>
      <c r="Z623" s="25"/>
    </row>
    <row r="624" spans="1:26" x14ac:dyDescent="0.35">
      <c r="A624" s="97"/>
      <c r="B624" s="97"/>
      <c r="C624" s="97"/>
      <c r="D624" s="97"/>
      <c r="E624" s="97"/>
      <c r="F624" s="97"/>
      <c r="G624" s="97"/>
      <c r="H624" s="97"/>
      <c r="I624" s="97"/>
      <c r="J624" s="97"/>
      <c r="K624" s="97"/>
      <c r="L624" s="97"/>
      <c r="M624" s="97"/>
      <c r="N624" s="97"/>
      <c r="O624" s="97"/>
      <c r="P624" s="97"/>
      <c r="Q624" s="97"/>
      <c r="R624" s="97"/>
      <c r="S624" s="97"/>
      <c r="T624" s="97"/>
      <c r="U624" s="25"/>
      <c r="V624" s="25"/>
      <c r="W624" s="25"/>
      <c r="X624" s="25"/>
      <c r="Y624" s="25"/>
      <c r="Z624" s="25"/>
    </row>
    <row r="625" spans="1:26" x14ac:dyDescent="0.35">
      <c r="A625" s="97"/>
      <c r="B625" s="97"/>
      <c r="C625" s="97"/>
      <c r="D625" s="97"/>
      <c r="E625" s="97"/>
      <c r="F625" s="97"/>
      <c r="G625" s="97"/>
      <c r="H625" s="97"/>
      <c r="I625" s="97"/>
      <c r="J625" s="97"/>
      <c r="K625" s="97"/>
      <c r="L625" s="97"/>
      <c r="M625" s="97"/>
      <c r="N625" s="97"/>
      <c r="O625" s="97"/>
      <c r="P625" s="97"/>
      <c r="Q625" s="97"/>
      <c r="R625" s="97"/>
      <c r="S625" s="97"/>
      <c r="T625" s="97"/>
      <c r="U625" s="25"/>
      <c r="V625" s="25"/>
      <c r="W625" s="25"/>
      <c r="X625" s="25"/>
      <c r="Y625" s="25"/>
      <c r="Z625" s="25"/>
    </row>
    <row r="626" spans="1:26" x14ac:dyDescent="0.35">
      <c r="A626" s="97"/>
      <c r="B626" s="97"/>
      <c r="C626" s="97"/>
      <c r="D626" s="97"/>
      <c r="E626" s="97"/>
      <c r="F626" s="97"/>
      <c r="G626" s="97"/>
      <c r="H626" s="97"/>
      <c r="I626" s="97"/>
      <c r="J626" s="97"/>
      <c r="K626" s="97"/>
      <c r="L626" s="97"/>
      <c r="M626" s="97"/>
      <c r="N626" s="97"/>
      <c r="O626" s="97"/>
      <c r="P626" s="97"/>
      <c r="Q626" s="97"/>
      <c r="R626" s="97"/>
      <c r="S626" s="97"/>
      <c r="T626" s="97"/>
      <c r="U626" s="25"/>
      <c r="V626" s="25"/>
      <c r="W626" s="25"/>
      <c r="X626" s="25"/>
      <c r="Y626" s="25"/>
      <c r="Z626" s="25"/>
    </row>
    <row r="627" spans="1:26" x14ac:dyDescent="0.35">
      <c r="A627" s="97"/>
      <c r="B627" s="97"/>
      <c r="C627" s="97"/>
      <c r="D627" s="97"/>
      <c r="E627" s="97"/>
      <c r="F627" s="97"/>
      <c r="G627" s="97"/>
      <c r="H627" s="97"/>
      <c r="I627" s="97"/>
      <c r="J627" s="97"/>
      <c r="K627" s="97"/>
      <c r="L627" s="97"/>
      <c r="M627" s="97"/>
      <c r="N627" s="97"/>
      <c r="O627" s="97"/>
      <c r="P627" s="97"/>
      <c r="Q627" s="97"/>
      <c r="R627" s="97"/>
      <c r="S627" s="97"/>
      <c r="T627" s="97"/>
      <c r="U627" s="25"/>
      <c r="V627" s="25"/>
      <c r="W627" s="25"/>
      <c r="X627" s="25"/>
      <c r="Y627" s="25"/>
      <c r="Z627" s="25"/>
    </row>
    <row r="628" spans="1:26" x14ac:dyDescent="0.35">
      <c r="A628" s="97"/>
      <c r="B628" s="97"/>
      <c r="C628" s="97"/>
      <c r="D628" s="97"/>
      <c r="E628" s="97"/>
      <c r="F628" s="97"/>
      <c r="G628" s="97"/>
      <c r="H628" s="97"/>
      <c r="I628" s="97"/>
      <c r="J628" s="97"/>
      <c r="K628" s="97"/>
      <c r="L628" s="97"/>
      <c r="M628" s="97"/>
      <c r="N628" s="97"/>
      <c r="O628" s="97"/>
      <c r="P628" s="97"/>
      <c r="Q628" s="97"/>
      <c r="R628" s="97"/>
      <c r="S628" s="97"/>
      <c r="T628" s="97"/>
      <c r="U628" s="25"/>
      <c r="V628" s="25"/>
      <c r="W628" s="25"/>
      <c r="X628" s="25"/>
      <c r="Y628" s="25"/>
      <c r="Z628" s="25"/>
    </row>
    <row r="629" spans="1:26" x14ac:dyDescent="0.35">
      <c r="A629" s="97"/>
      <c r="B629" s="97"/>
      <c r="C629" s="97"/>
      <c r="D629" s="97"/>
      <c r="E629" s="97"/>
      <c r="F629" s="97"/>
      <c r="G629" s="97"/>
      <c r="H629" s="97"/>
      <c r="I629" s="97"/>
      <c r="J629" s="97"/>
      <c r="K629" s="97"/>
      <c r="L629" s="97"/>
      <c r="M629" s="97"/>
      <c r="N629" s="97"/>
      <c r="O629" s="97"/>
      <c r="P629" s="97"/>
      <c r="Q629" s="97"/>
      <c r="R629" s="97"/>
      <c r="S629" s="97"/>
      <c r="T629" s="97"/>
      <c r="U629" s="25"/>
      <c r="V629" s="25"/>
      <c r="W629" s="25"/>
      <c r="X629" s="25"/>
      <c r="Y629" s="25"/>
      <c r="Z629" s="25"/>
    </row>
    <row r="630" spans="1:26" x14ac:dyDescent="0.35">
      <c r="A630" s="97"/>
      <c r="B630" s="97"/>
      <c r="C630" s="97"/>
      <c r="D630" s="97"/>
      <c r="E630" s="97"/>
      <c r="F630" s="97"/>
      <c r="G630" s="97"/>
      <c r="H630" s="97"/>
      <c r="I630" s="97"/>
      <c r="J630" s="97"/>
      <c r="K630" s="97"/>
      <c r="L630" s="97"/>
      <c r="M630" s="97"/>
      <c r="N630" s="97"/>
      <c r="O630" s="97"/>
      <c r="P630" s="97"/>
      <c r="Q630" s="97"/>
      <c r="R630" s="97"/>
      <c r="S630" s="97"/>
      <c r="T630" s="97"/>
      <c r="U630" s="25"/>
      <c r="V630" s="25"/>
      <c r="W630" s="25"/>
      <c r="X630" s="25"/>
      <c r="Y630" s="25"/>
      <c r="Z630" s="25"/>
    </row>
    <row r="631" spans="1:26" x14ac:dyDescent="0.35">
      <c r="A631" s="97"/>
      <c r="B631" s="97"/>
      <c r="C631" s="97"/>
      <c r="D631" s="97"/>
      <c r="E631" s="97"/>
      <c r="F631" s="97"/>
      <c r="G631" s="97"/>
      <c r="H631" s="97"/>
      <c r="I631" s="97"/>
      <c r="J631" s="97"/>
      <c r="K631" s="97"/>
      <c r="L631" s="97"/>
      <c r="M631" s="97"/>
      <c r="N631" s="97"/>
      <c r="O631" s="97"/>
      <c r="P631" s="97"/>
      <c r="Q631" s="97"/>
      <c r="R631" s="97"/>
      <c r="S631" s="97"/>
      <c r="T631" s="97"/>
      <c r="U631" s="25"/>
      <c r="V631" s="25"/>
      <c r="W631" s="25"/>
      <c r="X631" s="25"/>
      <c r="Y631" s="25"/>
      <c r="Z631" s="25"/>
    </row>
    <row r="632" spans="1:26" x14ac:dyDescent="0.35">
      <c r="A632" s="97"/>
      <c r="B632" s="97"/>
      <c r="C632" s="97"/>
      <c r="D632" s="97"/>
      <c r="E632" s="97"/>
      <c r="F632" s="97"/>
      <c r="G632" s="97"/>
      <c r="H632" s="97"/>
      <c r="I632" s="97"/>
      <c r="J632" s="97"/>
      <c r="K632" s="97"/>
      <c r="L632" s="97"/>
      <c r="M632" s="97"/>
      <c r="N632" s="97"/>
      <c r="O632" s="97"/>
      <c r="P632" s="97"/>
      <c r="Q632" s="97"/>
      <c r="R632" s="97"/>
      <c r="S632" s="97"/>
      <c r="T632" s="97"/>
      <c r="U632" s="25"/>
      <c r="V632" s="25"/>
      <c r="W632" s="25"/>
      <c r="X632" s="25"/>
      <c r="Y632" s="25"/>
      <c r="Z632" s="25"/>
    </row>
    <row r="633" spans="1:26" x14ac:dyDescent="0.35">
      <c r="A633" s="97"/>
      <c r="B633" s="97"/>
      <c r="C633" s="97"/>
      <c r="D633" s="97"/>
      <c r="E633" s="97"/>
      <c r="F633" s="97"/>
      <c r="G633" s="97"/>
      <c r="H633" s="97"/>
      <c r="I633" s="97"/>
      <c r="J633" s="97"/>
      <c r="K633" s="97"/>
      <c r="L633" s="97"/>
      <c r="M633" s="97"/>
      <c r="N633" s="97"/>
      <c r="O633" s="97"/>
      <c r="P633" s="97"/>
      <c r="Q633" s="97"/>
      <c r="R633" s="97"/>
      <c r="S633" s="97"/>
      <c r="T633" s="97"/>
      <c r="U633" s="25"/>
      <c r="V633" s="25"/>
      <c r="W633" s="25"/>
      <c r="X633" s="25"/>
      <c r="Y633" s="25"/>
      <c r="Z633" s="25"/>
    </row>
    <row r="634" spans="1:26" x14ac:dyDescent="0.35">
      <c r="A634" s="97"/>
      <c r="B634" s="97"/>
      <c r="C634" s="97"/>
      <c r="D634" s="97"/>
      <c r="E634" s="97"/>
      <c r="F634" s="97"/>
      <c r="G634" s="97"/>
      <c r="H634" s="97"/>
      <c r="I634" s="97"/>
      <c r="J634" s="97"/>
      <c r="K634" s="97"/>
      <c r="L634" s="97"/>
      <c r="M634" s="97"/>
      <c r="N634" s="97"/>
      <c r="O634" s="97"/>
      <c r="P634" s="97"/>
      <c r="Q634" s="97"/>
      <c r="R634" s="97"/>
      <c r="S634" s="97"/>
      <c r="T634" s="97"/>
      <c r="U634" s="25"/>
      <c r="V634" s="25"/>
      <c r="W634" s="25"/>
      <c r="X634" s="25"/>
      <c r="Y634" s="25"/>
      <c r="Z634" s="25"/>
    </row>
    <row r="635" spans="1:26" x14ac:dyDescent="0.35">
      <c r="A635" s="97"/>
      <c r="B635" s="97"/>
      <c r="C635" s="97"/>
      <c r="D635" s="97"/>
      <c r="E635" s="97"/>
      <c r="F635" s="97"/>
      <c r="G635" s="97"/>
      <c r="H635" s="97"/>
      <c r="I635" s="97"/>
      <c r="J635" s="97"/>
      <c r="K635" s="97"/>
      <c r="L635" s="97"/>
      <c r="M635" s="97"/>
      <c r="N635" s="97"/>
      <c r="O635" s="97"/>
      <c r="P635" s="97"/>
      <c r="Q635" s="97"/>
      <c r="R635" s="97"/>
      <c r="S635" s="97"/>
      <c r="T635" s="97"/>
      <c r="U635" s="25"/>
      <c r="V635" s="25"/>
      <c r="W635" s="25"/>
      <c r="X635" s="25"/>
      <c r="Y635" s="25"/>
      <c r="Z635" s="25"/>
    </row>
    <row r="636" spans="1:26" x14ac:dyDescent="0.35">
      <c r="A636" s="97"/>
      <c r="B636" s="97"/>
      <c r="C636" s="97"/>
      <c r="D636" s="97"/>
      <c r="E636" s="97"/>
      <c r="F636" s="97"/>
      <c r="G636" s="97"/>
      <c r="H636" s="97"/>
      <c r="I636" s="97"/>
      <c r="J636" s="97"/>
      <c r="K636" s="97"/>
      <c r="L636" s="97"/>
      <c r="M636" s="97"/>
      <c r="N636" s="97"/>
      <c r="O636" s="97"/>
      <c r="P636" s="97"/>
      <c r="Q636" s="97"/>
      <c r="R636" s="97"/>
      <c r="S636" s="97"/>
      <c r="T636" s="97"/>
      <c r="U636" s="25"/>
      <c r="V636" s="25"/>
      <c r="W636" s="25"/>
      <c r="X636" s="25"/>
      <c r="Y636" s="25"/>
      <c r="Z636" s="25"/>
    </row>
    <row r="637" spans="1:26" x14ac:dyDescent="0.35">
      <c r="A637" s="97"/>
      <c r="B637" s="97"/>
      <c r="C637" s="97"/>
      <c r="D637" s="97"/>
      <c r="E637" s="97"/>
      <c r="F637" s="97"/>
      <c r="G637" s="97"/>
      <c r="H637" s="97"/>
      <c r="I637" s="97"/>
      <c r="J637" s="97"/>
      <c r="K637" s="97"/>
      <c r="L637" s="97"/>
      <c r="M637" s="97"/>
      <c r="N637" s="97"/>
      <c r="O637" s="97"/>
      <c r="P637" s="97"/>
      <c r="Q637" s="97"/>
      <c r="R637" s="97"/>
      <c r="S637" s="97"/>
      <c r="T637" s="97"/>
      <c r="U637" s="25"/>
      <c r="V637" s="25"/>
      <c r="W637" s="25"/>
      <c r="X637" s="25"/>
      <c r="Y637" s="25"/>
      <c r="Z637" s="25"/>
    </row>
    <row r="638" spans="1:26" x14ac:dyDescent="0.35">
      <c r="A638" s="97"/>
      <c r="B638" s="97"/>
      <c r="C638" s="97"/>
      <c r="D638" s="97"/>
      <c r="E638" s="97"/>
      <c r="F638" s="97"/>
      <c r="G638" s="97"/>
      <c r="H638" s="97"/>
      <c r="I638" s="97"/>
      <c r="J638" s="97"/>
      <c r="K638" s="97"/>
      <c r="L638" s="97"/>
      <c r="M638" s="97"/>
      <c r="N638" s="97"/>
      <c r="O638" s="97"/>
      <c r="P638" s="97"/>
      <c r="Q638" s="97"/>
      <c r="R638" s="97"/>
      <c r="S638" s="97"/>
      <c r="T638" s="97"/>
      <c r="U638" s="25"/>
      <c r="V638" s="25"/>
      <c r="W638" s="25"/>
      <c r="X638" s="25"/>
      <c r="Y638" s="25"/>
      <c r="Z638" s="25"/>
    </row>
    <row r="639" spans="1:26" x14ac:dyDescent="0.35">
      <c r="A639" s="97"/>
      <c r="B639" s="97"/>
      <c r="C639" s="97"/>
      <c r="D639" s="97"/>
      <c r="E639" s="97"/>
      <c r="F639" s="97"/>
      <c r="G639" s="97"/>
      <c r="H639" s="97"/>
      <c r="I639" s="97"/>
      <c r="J639" s="97"/>
      <c r="K639" s="97"/>
      <c r="L639" s="97"/>
      <c r="M639" s="97"/>
      <c r="N639" s="97"/>
      <c r="O639" s="97"/>
      <c r="P639" s="97"/>
      <c r="Q639" s="97"/>
      <c r="R639" s="97"/>
      <c r="S639" s="97"/>
      <c r="T639" s="97"/>
      <c r="U639" s="25"/>
      <c r="V639" s="25"/>
      <c r="W639" s="25"/>
      <c r="X639" s="25"/>
      <c r="Y639" s="25"/>
      <c r="Z639" s="25"/>
    </row>
    <row r="640" spans="1:26" x14ac:dyDescent="0.35">
      <c r="A640" s="97"/>
      <c r="B640" s="97"/>
      <c r="C640" s="97"/>
      <c r="D640" s="97"/>
      <c r="E640" s="97"/>
      <c r="F640" s="97"/>
      <c r="G640" s="97"/>
      <c r="H640" s="97"/>
      <c r="I640" s="97"/>
      <c r="J640" s="97"/>
      <c r="K640" s="97"/>
      <c r="L640" s="97"/>
      <c r="M640" s="97"/>
      <c r="N640" s="97"/>
      <c r="O640" s="97"/>
      <c r="P640" s="97"/>
      <c r="Q640" s="97"/>
      <c r="R640" s="97"/>
      <c r="S640" s="97"/>
      <c r="T640" s="97"/>
      <c r="U640" s="25"/>
      <c r="V640" s="25"/>
      <c r="W640" s="25"/>
      <c r="X640" s="25"/>
      <c r="Y640" s="25"/>
      <c r="Z640" s="25"/>
    </row>
    <row r="641" spans="1:26" x14ac:dyDescent="0.35">
      <c r="A641" s="97"/>
      <c r="B641" s="97"/>
      <c r="C641" s="97"/>
      <c r="D641" s="97"/>
      <c r="E641" s="97"/>
      <c r="F641" s="97"/>
      <c r="G641" s="97"/>
      <c r="H641" s="97"/>
      <c r="I641" s="97"/>
      <c r="J641" s="97"/>
      <c r="K641" s="97"/>
      <c r="L641" s="97"/>
      <c r="M641" s="97"/>
      <c r="N641" s="97"/>
      <c r="O641" s="97"/>
      <c r="P641" s="97"/>
      <c r="Q641" s="97"/>
      <c r="R641" s="97"/>
      <c r="S641" s="97"/>
      <c r="T641" s="97"/>
      <c r="U641" s="25"/>
      <c r="V641" s="25"/>
      <c r="W641" s="25"/>
      <c r="X641" s="25"/>
      <c r="Y641" s="25"/>
      <c r="Z641" s="25"/>
    </row>
    <row r="642" spans="1:26" x14ac:dyDescent="0.35">
      <c r="A642" s="97"/>
      <c r="B642" s="97"/>
      <c r="C642" s="97"/>
      <c r="D642" s="97"/>
      <c r="E642" s="97"/>
      <c r="F642" s="97"/>
      <c r="G642" s="97"/>
      <c r="H642" s="97"/>
      <c r="I642" s="97"/>
      <c r="J642" s="97"/>
      <c r="K642" s="97"/>
      <c r="L642" s="97"/>
      <c r="M642" s="97"/>
      <c r="N642" s="97"/>
      <c r="O642" s="97"/>
      <c r="P642" s="97"/>
      <c r="Q642" s="97"/>
      <c r="R642" s="97"/>
      <c r="S642" s="97"/>
      <c r="T642" s="97"/>
      <c r="U642" s="25"/>
      <c r="V642" s="25"/>
      <c r="W642" s="25"/>
      <c r="X642" s="25"/>
      <c r="Y642" s="25"/>
      <c r="Z642" s="25"/>
    </row>
    <row r="643" spans="1:26" x14ac:dyDescent="0.35">
      <c r="A643" s="97"/>
      <c r="B643" s="97"/>
      <c r="C643" s="97"/>
      <c r="D643" s="97"/>
      <c r="E643" s="97"/>
      <c r="F643" s="97"/>
      <c r="G643" s="97"/>
      <c r="H643" s="97"/>
      <c r="I643" s="97"/>
      <c r="J643" s="97"/>
      <c r="K643" s="97"/>
      <c r="L643" s="97"/>
      <c r="M643" s="97"/>
      <c r="N643" s="97"/>
      <c r="O643" s="97"/>
      <c r="P643" s="97"/>
      <c r="Q643" s="97"/>
      <c r="R643" s="97"/>
      <c r="S643" s="97"/>
      <c r="T643" s="97"/>
      <c r="U643" s="25"/>
      <c r="V643" s="25"/>
      <c r="W643" s="25"/>
      <c r="X643" s="25"/>
      <c r="Y643" s="25"/>
      <c r="Z643" s="25"/>
    </row>
    <row r="644" spans="1:26" x14ac:dyDescent="0.35">
      <c r="A644" s="97"/>
      <c r="B644" s="97"/>
      <c r="C644" s="97"/>
      <c r="D644" s="97"/>
      <c r="E644" s="97"/>
      <c r="F644" s="97"/>
      <c r="G644" s="97"/>
      <c r="H644" s="97"/>
      <c r="I644" s="97"/>
      <c r="J644" s="97"/>
      <c r="K644" s="97"/>
      <c r="L644" s="97"/>
      <c r="M644" s="97"/>
      <c r="N644" s="97"/>
      <c r="O644" s="97"/>
      <c r="P644" s="97"/>
      <c r="Q644" s="97"/>
      <c r="R644" s="97"/>
      <c r="S644" s="97"/>
      <c r="T644" s="97"/>
      <c r="U644" s="25"/>
      <c r="V644" s="25"/>
      <c r="W644" s="25"/>
      <c r="X644" s="25"/>
      <c r="Y644" s="25"/>
      <c r="Z644" s="25"/>
    </row>
    <row r="645" spans="1:26" x14ac:dyDescent="0.35">
      <c r="A645" s="97"/>
      <c r="B645" s="97"/>
      <c r="C645" s="97"/>
      <c r="D645" s="97"/>
      <c r="E645" s="97"/>
      <c r="F645" s="97"/>
      <c r="G645" s="97"/>
      <c r="H645" s="97"/>
      <c r="I645" s="97"/>
      <c r="J645" s="97"/>
      <c r="K645" s="97"/>
      <c r="L645" s="97"/>
      <c r="M645" s="97"/>
      <c r="N645" s="97"/>
      <c r="O645" s="97"/>
      <c r="P645" s="97"/>
      <c r="Q645" s="97"/>
      <c r="R645" s="97"/>
      <c r="S645" s="97"/>
      <c r="T645" s="97"/>
      <c r="U645" s="25"/>
      <c r="V645" s="25"/>
      <c r="W645" s="25"/>
      <c r="X645" s="25"/>
      <c r="Y645" s="25"/>
      <c r="Z645" s="25"/>
    </row>
    <row r="646" spans="1:26" x14ac:dyDescent="0.35">
      <c r="A646" s="97"/>
      <c r="B646" s="97"/>
      <c r="C646" s="97"/>
      <c r="D646" s="97"/>
      <c r="E646" s="97"/>
      <c r="F646" s="97"/>
      <c r="G646" s="97"/>
      <c r="H646" s="97"/>
      <c r="I646" s="97"/>
      <c r="J646" s="97"/>
      <c r="K646" s="97"/>
      <c r="L646" s="97"/>
      <c r="M646" s="97"/>
      <c r="N646" s="97"/>
      <c r="O646" s="97"/>
      <c r="P646" s="97"/>
      <c r="Q646" s="97"/>
      <c r="R646" s="97"/>
      <c r="S646" s="97"/>
      <c r="T646" s="97"/>
      <c r="U646" s="25"/>
      <c r="V646" s="25"/>
      <c r="W646" s="25"/>
      <c r="X646" s="25"/>
      <c r="Y646" s="25"/>
      <c r="Z646" s="25"/>
    </row>
    <row r="647" spans="1:26" x14ac:dyDescent="0.35">
      <c r="A647" s="97"/>
      <c r="B647" s="97"/>
      <c r="C647" s="97"/>
      <c r="D647" s="97"/>
      <c r="E647" s="97"/>
      <c r="F647" s="97"/>
      <c r="G647" s="97"/>
      <c r="H647" s="97"/>
      <c r="I647" s="97"/>
      <c r="J647" s="97"/>
      <c r="K647" s="97"/>
      <c r="L647" s="97"/>
      <c r="M647" s="97"/>
      <c r="N647" s="97"/>
      <c r="O647" s="97"/>
      <c r="P647" s="97"/>
      <c r="Q647" s="97"/>
      <c r="R647" s="97"/>
      <c r="S647" s="97"/>
      <c r="T647" s="97"/>
      <c r="U647" s="25"/>
      <c r="V647" s="25"/>
      <c r="W647" s="25"/>
      <c r="X647" s="25"/>
      <c r="Y647" s="25"/>
      <c r="Z647" s="25"/>
    </row>
    <row r="648" spans="1:26" x14ac:dyDescent="0.35">
      <c r="A648" s="97"/>
      <c r="B648" s="97"/>
      <c r="C648" s="97"/>
      <c r="D648" s="97"/>
      <c r="E648" s="97"/>
      <c r="F648" s="97"/>
      <c r="G648" s="97"/>
      <c r="H648" s="97"/>
      <c r="I648" s="97"/>
      <c r="J648" s="97"/>
      <c r="K648" s="97"/>
      <c r="L648" s="97"/>
      <c r="M648" s="97"/>
      <c r="N648" s="97"/>
      <c r="O648" s="97"/>
      <c r="P648" s="97"/>
      <c r="Q648" s="97"/>
      <c r="R648" s="97"/>
      <c r="S648" s="97"/>
      <c r="T648" s="97"/>
      <c r="U648" s="25"/>
      <c r="V648" s="25"/>
      <c r="W648" s="25"/>
      <c r="X648" s="25"/>
      <c r="Y648" s="25"/>
      <c r="Z648" s="25"/>
    </row>
    <row r="649" spans="1:26" x14ac:dyDescent="0.35">
      <c r="A649" s="97"/>
      <c r="B649" s="97"/>
      <c r="C649" s="97"/>
      <c r="D649" s="97"/>
      <c r="E649" s="97"/>
      <c r="F649" s="97"/>
      <c r="G649" s="97"/>
      <c r="H649" s="97"/>
      <c r="I649" s="97"/>
      <c r="J649" s="97"/>
      <c r="K649" s="97"/>
      <c r="L649" s="97"/>
      <c r="M649" s="97"/>
      <c r="N649" s="97"/>
      <c r="O649" s="97"/>
      <c r="P649" s="97"/>
      <c r="Q649" s="97"/>
      <c r="R649" s="97"/>
      <c r="S649" s="97"/>
      <c r="T649" s="97"/>
      <c r="U649" s="25"/>
      <c r="V649" s="25"/>
      <c r="W649" s="25"/>
      <c r="X649" s="25"/>
      <c r="Y649" s="25"/>
      <c r="Z649" s="25"/>
    </row>
    <row r="650" spans="1:26" x14ac:dyDescent="0.35">
      <c r="A650" s="97"/>
      <c r="B650" s="97"/>
      <c r="C650" s="97"/>
      <c r="D650" s="97"/>
      <c r="E650" s="97"/>
      <c r="F650" s="97"/>
      <c r="G650" s="97"/>
      <c r="H650" s="97"/>
      <c r="I650" s="97"/>
      <c r="J650" s="97"/>
      <c r="K650" s="97"/>
      <c r="L650" s="97"/>
      <c r="M650" s="97"/>
      <c r="N650" s="97"/>
      <c r="O650" s="97"/>
      <c r="P650" s="97"/>
      <c r="Q650" s="97"/>
      <c r="R650" s="97"/>
      <c r="S650" s="97"/>
      <c r="T650" s="97"/>
      <c r="U650" s="25"/>
      <c r="V650" s="25"/>
      <c r="W650" s="25"/>
      <c r="X650" s="25"/>
      <c r="Y650" s="25"/>
      <c r="Z650" s="25"/>
    </row>
    <row r="651" spans="1:26" x14ac:dyDescent="0.35">
      <c r="A651" s="97"/>
      <c r="B651" s="97"/>
      <c r="C651" s="97"/>
      <c r="D651" s="97"/>
      <c r="E651" s="97"/>
      <c r="F651" s="97"/>
      <c r="G651" s="97"/>
      <c r="H651" s="97"/>
      <c r="I651" s="97"/>
      <c r="J651" s="97"/>
      <c r="K651" s="97"/>
      <c r="L651" s="97"/>
      <c r="M651" s="97"/>
      <c r="N651" s="97"/>
      <c r="O651" s="97"/>
      <c r="P651" s="97"/>
      <c r="Q651" s="97"/>
      <c r="R651" s="97"/>
      <c r="S651" s="97"/>
      <c r="T651" s="97"/>
      <c r="U651" s="25"/>
      <c r="V651" s="25"/>
      <c r="W651" s="25"/>
      <c r="X651" s="25"/>
      <c r="Y651" s="25"/>
      <c r="Z651" s="25"/>
    </row>
    <row r="652" spans="1:26" x14ac:dyDescent="0.35">
      <c r="A652" s="97"/>
      <c r="B652" s="97"/>
      <c r="C652" s="97"/>
      <c r="D652" s="97"/>
      <c r="E652" s="97"/>
      <c r="F652" s="97"/>
      <c r="G652" s="97"/>
      <c r="H652" s="97"/>
      <c r="I652" s="97"/>
      <c r="J652" s="97"/>
      <c r="K652" s="97"/>
      <c r="L652" s="97"/>
      <c r="M652" s="97"/>
      <c r="N652" s="97"/>
      <c r="O652" s="97"/>
      <c r="P652" s="97"/>
      <c r="Q652" s="97"/>
      <c r="R652" s="97"/>
      <c r="S652" s="97"/>
      <c r="T652" s="97"/>
      <c r="U652" s="25"/>
      <c r="V652" s="25"/>
      <c r="W652" s="25"/>
      <c r="X652" s="25"/>
      <c r="Y652" s="25"/>
      <c r="Z652" s="25"/>
    </row>
    <row r="653" spans="1:26" x14ac:dyDescent="0.35">
      <c r="A653" s="97"/>
      <c r="B653" s="97"/>
      <c r="C653" s="97"/>
      <c r="D653" s="97"/>
      <c r="E653" s="97"/>
      <c r="F653" s="97"/>
      <c r="G653" s="97"/>
      <c r="H653" s="97"/>
      <c r="I653" s="97"/>
      <c r="J653" s="97"/>
      <c r="K653" s="97"/>
      <c r="L653" s="97"/>
      <c r="M653" s="97"/>
      <c r="N653" s="97"/>
      <c r="O653" s="97"/>
      <c r="P653" s="97"/>
      <c r="Q653" s="97"/>
      <c r="R653" s="97"/>
      <c r="S653" s="97"/>
      <c r="T653" s="97"/>
      <c r="U653" s="25"/>
      <c r="V653" s="25"/>
      <c r="W653" s="25"/>
      <c r="X653" s="25"/>
      <c r="Y653" s="25"/>
      <c r="Z653" s="25"/>
    </row>
    <row r="654" spans="1:26" x14ac:dyDescent="0.35">
      <c r="A654" s="97"/>
      <c r="B654" s="97"/>
      <c r="C654" s="97"/>
      <c r="D654" s="97"/>
      <c r="E654" s="97"/>
      <c r="F654" s="97"/>
      <c r="G654" s="97"/>
      <c r="H654" s="97"/>
      <c r="I654" s="97"/>
      <c r="J654" s="97"/>
      <c r="K654" s="97"/>
      <c r="L654" s="97"/>
      <c r="M654" s="97"/>
      <c r="N654" s="97"/>
      <c r="O654" s="97"/>
      <c r="P654" s="97"/>
      <c r="Q654" s="97"/>
      <c r="R654" s="97"/>
      <c r="S654" s="97"/>
      <c r="T654" s="97"/>
      <c r="U654" s="25"/>
      <c r="V654" s="25"/>
      <c r="W654" s="25"/>
      <c r="X654" s="25"/>
      <c r="Y654" s="25"/>
      <c r="Z654" s="25"/>
    </row>
    <row r="655" spans="1:26" x14ac:dyDescent="0.35">
      <c r="A655" s="97"/>
      <c r="B655" s="97"/>
      <c r="C655" s="97"/>
      <c r="D655" s="97"/>
      <c r="E655" s="97"/>
      <c r="F655" s="97"/>
      <c r="G655" s="97"/>
      <c r="H655" s="97"/>
      <c r="I655" s="97"/>
      <c r="J655" s="97"/>
      <c r="K655" s="97"/>
      <c r="L655" s="97"/>
      <c r="M655" s="97"/>
      <c r="N655" s="97"/>
      <c r="O655" s="97"/>
      <c r="P655" s="97"/>
      <c r="Q655" s="97"/>
      <c r="R655" s="97"/>
      <c r="S655" s="97"/>
      <c r="T655" s="97"/>
      <c r="U655" s="25"/>
      <c r="V655" s="25"/>
      <c r="W655" s="25"/>
      <c r="X655" s="25"/>
      <c r="Y655" s="25"/>
      <c r="Z655" s="25"/>
    </row>
    <row r="656" spans="1:26" x14ac:dyDescent="0.35">
      <c r="A656" s="97"/>
      <c r="B656" s="97"/>
      <c r="C656" s="97"/>
      <c r="D656" s="97"/>
      <c r="E656" s="97"/>
      <c r="F656" s="97"/>
      <c r="G656" s="97"/>
      <c r="H656" s="97"/>
      <c r="I656" s="97"/>
      <c r="J656" s="97"/>
      <c r="K656" s="97"/>
      <c r="L656" s="97"/>
      <c r="M656" s="97"/>
      <c r="N656" s="97"/>
      <c r="O656" s="97"/>
      <c r="P656" s="97"/>
      <c r="Q656" s="97"/>
      <c r="R656" s="97"/>
      <c r="S656" s="97"/>
      <c r="T656" s="97"/>
      <c r="U656" s="25"/>
      <c r="V656" s="25"/>
      <c r="W656" s="25"/>
      <c r="X656" s="25"/>
      <c r="Y656" s="25"/>
      <c r="Z656" s="25"/>
    </row>
    <row r="657" spans="1:26" x14ac:dyDescent="0.35">
      <c r="A657" s="97"/>
      <c r="B657" s="97"/>
      <c r="C657" s="97"/>
      <c r="D657" s="97"/>
      <c r="E657" s="97"/>
      <c r="F657" s="97"/>
      <c r="G657" s="97"/>
      <c r="H657" s="97"/>
      <c r="I657" s="97"/>
      <c r="J657" s="97"/>
      <c r="K657" s="97"/>
      <c r="L657" s="97"/>
      <c r="M657" s="97"/>
      <c r="N657" s="97"/>
      <c r="O657" s="97"/>
      <c r="P657" s="97"/>
      <c r="Q657" s="97"/>
      <c r="R657" s="97"/>
      <c r="S657" s="97"/>
      <c r="T657" s="97"/>
      <c r="U657" s="25"/>
      <c r="V657" s="25"/>
      <c r="W657" s="25"/>
      <c r="X657" s="25"/>
      <c r="Y657" s="25"/>
      <c r="Z657" s="25"/>
    </row>
    <row r="658" spans="1:26" x14ac:dyDescent="0.35">
      <c r="A658" s="97"/>
      <c r="B658" s="97"/>
      <c r="C658" s="97"/>
      <c r="D658" s="97"/>
      <c r="E658" s="97"/>
      <c r="F658" s="97"/>
      <c r="G658" s="97"/>
      <c r="H658" s="97"/>
      <c r="I658" s="97"/>
      <c r="J658" s="97"/>
      <c r="K658" s="97"/>
      <c r="L658" s="97"/>
      <c r="M658" s="97"/>
      <c r="N658" s="97"/>
      <c r="O658" s="97"/>
      <c r="P658" s="97"/>
      <c r="Q658" s="97"/>
      <c r="R658" s="97"/>
      <c r="S658" s="97"/>
      <c r="T658" s="97"/>
      <c r="U658" s="25"/>
      <c r="V658" s="25"/>
      <c r="W658" s="25"/>
      <c r="X658" s="25"/>
      <c r="Y658" s="25"/>
      <c r="Z658" s="25"/>
    </row>
    <row r="659" spans="1:26" x14ac:dyDescent="0.35">
      <c r="A659" s="97"/>
      <c r="B659" s="97"/>
      <c r="C659" s="97"/>
      <c r="D659" s="97"/>
      <c r="E659" s="97"/>
      <c r="F659" s="97"/>
      <c r="G659" s="97"/>
      <c r="H659" s="97"/>
      <c r="I659" s="97"/>
      <c r="J659" s="97"/>
      <c r="K659" s="97"/>
      <c r="L659" s="97"/>
      <c r="M659" s="97"/>
      <c r="N659" s="97"/>
      <c r="O659" s="97"/>
      <c r="P659" s="97"/>
      <c r="Q659" s="97"/>
      <c r="R659" s="97"/>
      <c r="S659" s="97"/>
      <c r="T659" s="97"/>
      <c r="U659" s="25"/>
      <c r="V659" s="25"/>
      <c r="W659" s="25"/>
      <c r="X659" s="25"/>
      <c r="Y659" s="25"/>
      <c r="Z659" s="25"/>
    </row>
    <row r="660" spans="1:26" x14ac:dyDescent="0.35">
      <c r="A660" s="97"/>
      <c r="B660" s="97"/>
      <c r="C660" s="97"/>
      <c r="D660" s="97"/>
      <c r="E660" s="97"/>
      <c r="F660" s="97"/>
      <c r="G660" s="97"/>
      <c r="H660" s="97"/>
      <c r="I660" s="97"/>
      <c r="J660" s="97"/>
      <c r="K660" s="97"/>
      <c r="L660" s="97"/>
      <c r="M660" s="97"/>
      <c r="N660" s="97"/>
      <c r="O660" s="97"/>
      <c r="P660" s="97"/>
      <c r="Q660" s="97"/>
      <c r="R660" s="97"/>
      <c r="S660" s="97"/>
      <c r="T660" s="97"/>
      <c r="U660" s="25"/>
      <c r="V660" s="25"/>
      <c r="W660" s="25"/>
      <c r="X660" s="25"/>
      <c r="Y660" s="25"/>
      <c r="Z660" s="25"/>
    </row>
    <row r="661" spans="1:26" x14ac:dyDescent="0.35">
      <c r="A661" s="97"/>
      <c r="B661" s="97"/>
      <c r="C661" s="97"/>
      <c r="D661" s="97"/>
      <c r="E661" s="97"/>
      <c r="F661" s="97"/>
      <c r="G661" s="97"/>
      <c r="H661" s="97"/>
      <c r="I661" s="97"/>
      <c r="J661" s="97"/>
      <c r="K661" s="97"/>
      <c r="L661" s="97"/>
      <c r="M661" s="97"/>
      <c r="N661" s="97"/>
      <c r="O661" s="97"/>
      <c r="P661" s="97"/>
      <c r="Q661" s="97"/>
      <c r="R661" s="97"/>
      <c r="S661" s="97"/>
      <c r="T661" s="97"/>
      <c r="U661" s="25"/>
      <c r="V661" s="25"/>
      <c r="W661" s="25"/>
      <c r="X661" s="25"/>
      <c r="Y661" s="25"/>
      <c r="Z661" s="25"/>
    </row>
    <row r="662" spans="1:26" x14ac:dyDescent="0.35">
      <c r="A662" s="97"/>
      <c r="B662" s="97"/>
      <c r="C662" s="97"/>
      <c r="D662" s="97"/>
      <c r="E662" s="97"/>
      <c r="F662" s="97"/>
      <c r="G662" s="97"/>
      <c r="H662" s="97"/>
      <c r="I662" s="97"/>
      <c r="J662" s="97"/>
      <c r="K662" s="97"/>
      <c r="L662" s="97"/>
      <c r="M662" s="97"/>
      <c r="N662" s="97"/>
      <c r="O662" s="97"/>
      <c r="P662" s="97"/>
      <c r="Q662" s="97"/>
      <c r="R662" s="97"/>
      <c r="S662" s="97"/>
      <c r="T662" s="97"/>
      <c r="U662" s="25"/>
      <c r="V662" s="25"/>
      <c r="W662" s="25"/>
      <c r="X662" s="25"/>
      <c r="Y662" s="25"/>
      <c r="Z662" s="25"/>
    </row>
    <row r="663" spans="1:26" x14ac:dyDescent="0.35">
      <c r="A663" s="97"/>
      <c r="B663" s="97"/>
      <c r="C663" s="97"/>
      <c r="D663" s="97"/>
      <c r="E663" s="97"/>
      <c r="F663" s="97"/>
      <c r="G663" s="97"/>
      <c r="H663" s="97"/>
      <c r="I663" s="97"/>
      <c r="J663" s="97"/>
      <c r="K663" s="97"/>
      <c r="L663" s="97"/>
      <c r="M663" s="97"/>
      <c r="N663" s="97"/>
      <c r="O663" s="97"/>
      <c r="P663" s="97"/>
      <c r="Q663" s="97"/>
      <c r="R663" s="97"/>
      <c r="S663" s="97"/>
      <c r="T663" s="97"/>
      <c r="U663" s="25"/>
      <c r="V663" s="25"/>
      <c r="W663" s="25"/>
      <c r="X663" s="25"/>
      <c r="Y663" s="25"/>
      <c r="Z663" s="25"/>
    </row>
    <row r="664" spans="1:26" x14ac:dyDescent="0.35">
      <c r="A664" s="97"/>
      <c r="B664" s="97"/>
      <c r="C664" s="97"/>
      <c r="D664" s="97"/>
      <c r="E664" s="97"/>
      <c r="F664" s="97"/>
      <c r="G664" s="97"/>
      <c r="H664" s="97"/>
      <c r="I664" s="97"/>
      <c r="J664" s="97"/>
      <c r="K664" s="97"/>
      <c r="L664" s="97"/>
      <c r="M664" s="97"/>
      <c r="N664" s="97"/>
      <c r="O664" s="97"/>
      <c r="P664" s="97"/>
      <c r="Q664" s="97"/>
      <c r="R664" s="97"/>
      <c r="S664" s="97"/>
      <c r="T664" s="97"/>
      <c r="U664" s="25"/>
      <c r="V664" s="25"/>
      <c r="W664" s="25"/>
      <c r="X664" s="25"/>
      <c r="Y664" s="25"/>
      <c r="Z664" s="25"/>
    </row>
    <row r="665" spans="1:26" x14ac:dyDescent="0.35">
      <c r="A665" s="97"/>
      <c r="B665" s="97"/>
      <c r="C665" s="97"/>
      <c r="D665" s="97"/>
      <c r="E665" s="97"/>
      <c r="F665" s="97"/>
      <c r="G665" s="97"/>
      <c r="H665" s="97"/>
      <c r="I665" s="97"/>
      <c r="J665" s="97"/>
      <c r="K665" s="97"/>
      <c r="L665" s="97"/>
      <c r="M665" s="97"/>
      <c r="N665" s="97"/>
      <c r="O665" s="97"/>
      <c r="P665" s="97"/>
      <c r="Q665" s="97"/>
      <c r="R665" s="97"/>
      <c r="S665" s="97"/>
      <c r="T665" s="97"/>
      <c r="U665" s="25"/>
      <c r="V665" s="25"/>
      <c r="W665" s="25"/>
      <c r="X665" s="25"/>
      <c r="Y665" s="25"/>
      <c r="Z665" s="25"/>
    </row>
    <row r="666" spans="1:26" x14ac:dyDescent="0.35">
      <c r="A666" s="97"/>
      <c r="B666" s="97"/>
      <c r="C666" s="97"/>
      <c r="D666" s="97"/>
      <c r="E666" s="97"/>
      <c r="F666" s="97"/>
      <c r="G666" s="97"/>
      <c r="H666" s="97"/>
      <c r="I666" s="97"/>
      <c r="J666" s="97"/>
      <c r="K666" s="97"/>
      <c r="L666" s="97"/>
      <c r="M666" s="97"/>
      <c r="N666" s="97"/>
      <c r="O666" s="97"/>
      <c r="P666" s="97"/>
      <c r="Q666" s="97"/>
      <c r="R666" s="97"/>
      <c r="S666" s="97"/>
      <c r="T666" s="97"/>
      <c r="U666" s="25"/>
      <c r="V666" s="25"/>
      <c r="W666" s="25"/>
      <c r="X666" s="25"/>
      <c r="Y666" s="25"/>
      <c r="Z666" s="25"/>
    </row>
    <row r="667" spans="1:26" x14ac:dyDescent="0.35">
      <c r="A667" s="97"/>
      <c r="B667" s="97"/>
      <c r="C667" s="97"/>
      <c r="D667" s="97"/>
      <c r="E667" s="97"/>
      <c r="F667" s="97"/>
      <c r="G667" s="97"/>
      <c r="H667" s="97"/>
      <c r="I667" s="97"/>
      <c r="J667" s="97"/>
      <c r="K667" s="97"/>
      <c r="L667" s="97"/>
      <c r="M667" s="97"/>
      <c r="N667" s="97"/>
      <c r="O667" s="97"/>
      <c r="P667" s="97"/>
      <c r="Q667" s="97"/>
      <c r="R667" s="97"/>
      <c r="S667" s="97"/>
      <c r="T667" s="97"/>
      <c r="U667" s="25"/>
      <c r="V667" s="25"/>
      <c r="W667" s="25"/>
      <c r="X667" s="25"/>
      <c r="Y667" s="25"/>
      <c r="Z667" s="25"/>
    </row>
    <row r="668" spans="1:26" x14ac:dyDescent="0.35">
      <c r="A668" s="97"/>
      <c r="B668" s="97"/>
      <c r="C668" s="97"/>
      <c r="D668" s="97"/>
      <c r="E668" s="97"/>
      <c r="F668" s="97"/>
      <c r="G668" s="97"/>
      <c r="H668" s="97"/>
      <c r="I668" s="97"/>
      <c r="J668" s="97"/>
      <c r="K668" s="97"/>
      <c r="L668" s="97"/>
      <c r="M668" s="97"/>
      <c r="N668" s="97"/>
      <c r="O668" s="97"/>
      <c r="P668" s="97"/>
      <c r="Q668" s="97"/>
      <c r="R668" s="97"/>
      <c r="S668" s="97"/>
      <c r="T668" s="97"/>
      <c r="U668" s="25"/>
      <c r="V668" s="25"/>
      <c r="W668" s="25"/>
      <c r="X668" s="25"/>
      <c r="Y668" s="25"/>
      <c r="Z668" s="25"/>
    </row>
    <row r="669" spans="1:26" x14ac:dyDescent="0.35">
      <c r="A669" s="97"/>
      <c r="B669" s="97"/>
      <c r="C669" s="97"/>
      <c r="D669" s="97"/>
      <c r="E669" s="97"/>
      <c r="F669" s="97"/>
      <c r="G669" s="97"/>
      <c r="H669" s="97"/>
      <c r="I669" s="97"/>
      <c r="J669" s="97"/>
      <c r="K669" s="97"/>
      <c r="L669" s="97"/>
      <c r="M669" s="97"/>
      <c r="N669" s="97"/>
      <c r="O669" s="97"/>
      <c r="P669" s="97"/>
      <c r="Q669" s="97"/>
      <c r="R669" s="97"/>
      <c r="S669" s="97"/>
      <c r="T669" s="97"/>
      <c r="U669" s="25"/>
      <c r="V669" s="25"/>
      <c r="W669" s="25"/>
      <c r="X669" s="25"/>
      <c r="Y669" s="25"/>
      <c r="Z669" s="25"/>
    </row>
    <row r="670" spans="1:26" x14ac:dyDescent="0.35">
      <c r="A670" s="97"/>
      <c r="B670" s="97"/>
      <c r="C670" s="97"/>
      <c r="D670" s="97"/>
      <c r="E670" s="97"/>
      <c r="F670" s="97"/>
      <c r="G670" s="97"/>
      <c r="H670" s="97"/>
      <c r="I670" s="97"/>
      <c r="J670" s="97"/>
      <c r="K670" s="97"/>
      <c r="L670" s="97"/>
      <c r="M670" s="97"/>
      <c r="N670" s="97"/>
      <c r="O670" s="97"/>
      <c r="P670" s="97"/>
      <c r="Q670" s="97"/>
      <c r="R670" s="97"/>
      <c r="S670" s="97"/>
      <c r="T670" s="97"/>
      <c r="U670" s="25"/>
      <c r="V670" s="25"/>
      <c r="W670" s="25"/>
      <c r="X670" s="25"/>
      <c r="Y670" s="25"/>
      <c r="Z670" s="25"/>
    </row>
    <row r="671" spans="1:26" x14ac:dyDescent="0.35">
      <c r="A671" s="97"/>
      <c r="B671" s="97"/>
      <c r="C671" s="97"/>
      <c r="D671" s="97"/>
      <c r="E671" s="97"/>
      <c r="F671" s="97"/>
      <c r="G671" s="97"/>
      <c r="H671" s="97"/>
      <c r="I671" s="97"/>
      <c r="J671" s="97"/>
      <c r="K671" s="97"/>
      <c r="L671" s="97"/>
      <c r="M671" s="97"/>
      <c r="N671" s="97"/>
      <c r="O671" s="97"/>
      <c r="P671" s="97"/>
      <c r="Q671" s="97"/>
      <c r="R671" s="97"/>
      <c r="S671" s="97"/>
      <c r="T671" s="97"/>
      <c r="U671" s="25"/>
      <c r="V671" s="25"/>
      <c r="W671" s="25"/>
      <c r="X671" s="25"/>
      <c r="Y671" s="25"/>
      <c r="Z671" s="25"/>
    </row>
    <row r="672" spans="1:26" x14ac:dyDescent="0.35">
      <c r="A672" s="97"/>
      <c r="B672" s="97"/>
      <c r="C672" s="97"/>
      <c r="D672" s="97"/>
      <c r="E672" s="97"/>
      <c r="F672" s="97"/>
      <c r="G672" s="97"/>
      <c r="H672" s="97"/>
      <c r="I672" s="97"/>
      <c r="J672" s="97"/>
      <c r="K672" s="97"/>
      <c r="L672" s="97"/>
      <c r="M672" s="97"/>
      <c r="N672" s="97"/>
      <c r="O672" s="97"/>
      <c r="P672" s="97"/>
      <c r="Q672" s="97"/>
      <c r="R672" s="97"/>
      <c r="S672" s="97"/>
      <c r="T672" s="97"/>
      <c r="U672" s="25"/>
      <c r="V672" s="25"/>
      <c r="W672" s="25"/>
      <c r="X672" s="25"/>
      <c r="Y672" s="25"/>
      <c r="Z672" s="25"/>
    </row>
    <row r="673" spans="1:26" x14ac:dyDescent="0.35">
      <c r="A673" s="97"/>
      <c r="B673" s="97"/>
      <c r="C673" s="97"/>
      <c r="D673" s="97"/>
      <c r="E673" s="97"/>
      <c r="F673" s="97"/>
      <c r="G673" s="97"/>
      <c r="H673" s="97"/>
      <c r="I673" s="97"/>
      <c r="J673" s="97"/>
      <c r="K673" s="97"/>
      <c r="L673" s="97"/>
      <c r="M673" s="97"/>
      <c r="N673" s="97"/>
      <c r="O673" s="97"/>
      <c r="P673" s="97"/>
      <c r="Q673" s="97"/>
      <c r="R673" s="97"/>
      <c r="S673" s="97"/>
      <c r="T673" s="97"/>
      <c r="U673" s="25"/>
      <c r="V673" s="25"/>
      <c r="W673" s="25"/>
      <c r="X673" s="25"/>
      <c r="Y673" s="25"/>
      <c r="Z673" s="25"/>
    </row>
    <row r="674" spans="1:26" x14ac:dyDescent="0.35">
      <c r="A674" s="97"/>
      <c r="B674" s="97"/>
      <c r="C674" s="97"/>
      <c r="D674" s="97"/>
      <c r="E674" s="97"/>
      <c r="F674" s="97"/>
      <c r="G674" s="97"/>
      <c r="H674" s="97"/>
      <c r="I674" s="97"/>
      <c r="J674" s="97"/>
      <c r="K674" s="97"/>
      <c r="L674" s="97"/>
      <c r="M674" s="97"/>
      <c r="N674" s="97"/>
      <c r="O674" s="97"/>
      <c r="P674" s="97"/>
      <c r="Q674" s="97"/>
      <c r="R674" s="97"/>
      <c r="S674" s="97"/>
      <c r="T674" s="97"/>
      <c r="U674" s="25"/>
      <c r="V674" s="25"/>
      <c r="W674" s="25"/>
      <c r="X674" s="25"/>
      <c r="Y674" s="25"/>
      <c r="Z674" s="25"/>
    </row>
    <row r="675" spans="1:26" x14ac:dyDescent="0.35">
      <c r="A675" s="97"/>
      <c r="B675" s="97"/>
      <c r="C675" s="97"/>
      <c r="D675" s="97"/>
      <c r="E675" s="97"/>
      <c r="F675" s="97"/>
      <c r="G675" s="97"/>
      <c r="H675" s="97"/>
      <c r="I675" s="97"/>
      <c r="J675" s="97"/>
      <c r="K675" s="97"/>
      <c r="L675" s="97"/>
      <c r="M675" s="97"/>
      <c r="N675" s="97"/>
      <c r="O675" s="97"/>
      <c r="P675" s="97"/>
      <c r="Q675" s="97"/>
      <c r="R675" s="97"/>
      <c r="S675" s="97"/>
      <c r="T675" s="97"/>
      <c r="U675" s="25"/>
      <c r="V675" s="25"/>
      <c r="W675" s="25"/>
      <c r="X675" s="25"/>
      <c r="Y675" s="25"/>
      <c r="Z675" s="25"/>
    </row>
    <row r="676" spans="1:26" x14ac:dyDescent="0.35">
      <c r="A676" s="97"/>
      <c r="B676" s="97"/>
      <c r="C676" s="97"/>
      <c r="D676" s="97"/>
      <c r="E676" s="97"/>
      <c r="F676" s="97"/>
      <c r="G676" s="97"/>
      <c r="H676" s="97"/>
      <c r="I676" s="97"/>
      <c r="J676" s="97"/>
      <c r="K676" s="97"/>
      <c r="L676" s="97"/>
      <c r="M676" s="97"/>
      <c r="N676" s="97"/>
      <c r="O676" s="97"/>
      <c r="P676" s="97"/>
      <c r="Q676" s="97"/>
      <c r="R676" s="97"/>
      <c r="S676" s="97"/>
      <c r="T676" s="97"/>
      <c r="U676" s="25"/>
      <c r="V676" s="25"/>
      <c r="W676" s="25"/>
      <c r="X676" s="25"/>
      <c r="Y676" s="25"/>
      <c r="Z676" s="25"/>
    </row>
    <row r="677" spans="1:26" x14ac:dyDescent="0.35">
      <c r="A677" s="97"/>
      <c r="B677" s="97"/>
      <c r="C677" s="97"/>
      <c r="D677" s="97"/>
      <c r="E677" s="97"/>
      <c r="F677" s="97"/>
      <c r="G677" s="97"/>
      <c r="H677" s="97"/>
      <c r="I677" s="97"/>
      <c r="J677" s="97"/>
      <c r="K677" s="97"/>
      <c r="L677" s="97"/>
      <c r="M677" s="97"/>
      <c r="N677" s="97"/>
      <c r="O677" s="97"/>
      <c r="P677" s="97"/>
      <c r="Q677" s="97"/>
      <c r="R677" s="97"/>
      <c r="S677" s="97"/>
      <c r="T677" s="97"/>
      <c r="U677" s="25"/>
      <c r="V677" s="25"/>
      <c r="W677" s="25"/>
      <c r="X677" s="25"/>
      <c r="Y677" s="25"/>
      <c r="Z677" s="25"/>
    </row>
    <row r="678" spans="1:26" x14ac:dyDescent="0.35">
      <c r="A678" s="97"/>
      <c r="B678" s="97"/>
      <c r="C678" s="97"/>
      <c r="D678" s="97"/>
      <c r="E678" s="97"/>
      <c r="F678" s="97"/>
      <c r="G678" s="97"/>
      <c r="H678" s="97"/>
      <c r="I678" s="97"/>
      <c r="J678" s="97"/>
      <c r="K678" s="97"/>
      <c r="L678" s="97"/>
      <c r="M678" s="97"/>
      <c r="N678" s="97"/>
      <c r="O678" s="97"/>
      <c r="P678" s="97"/>
      <c r="Q678" s="97"/>
      <c r="R678" s="97"/>
      <c r="S678" s="97"/>
      <c r="T678" s="97"/>
      <c r="U678" s="25"/>
      <c r="V678" s="25"/>
      <c r="W678" s="25"/>
      <c r="X678" s="25"/>
      <c r="Y678" s="25"/>
      <c r="Z678" s="25"/>
    </row>
    <row r="679" spans="1:26" x14ac:dyDescent="0.35">
      <c r="A679" s="97"/>
      <c r="B679" s="97"/>
      <c r="C679" s="97"/>
      <c r="D679" s="97"/>
      <c r="E679" s="97"/>
      <c r="F679" s="97"/>
      <c r="G679" s="97"/>
      <c r="H679" s="97"/>
      <c r="I679" s="97"/>
      <c r="J679" s="97"/>
      <c r="K679" s="97"/>
      <c r="L679" s="97"/>
      <c r="M679" s="97"/>
      <c r="N679" s="97"/>
      <c r="O679" s="97"/>
      <c r="P679" s="97"/>
      <c r="Q679" s="97"/>
      <c r="R679" s="97"/>
      <c r="S679" s="97"/>
      <c r="T679" s="97"/>
      <c r="U679" s="25"/>
      <c r="V679" s="25"/>
      <c r="W679" s="25"/>
      <c r="X679" s="25"/>
      <c r="Y679" s="25"/>
      <c r="Z679" s="25"/>
    </row>
    <row r="680" spans="1:26" x14ac:dyDescent="0.35">
      <c r="A680" s="97"/>
      <c r="B680" s="97"/>
      <c r="C680" s="97"/>
      <c r="D680" s="97"/>
      <c r="E680" s="97"/>
      <c r="F680" s="97"/>
      <c r="G680" s="97"/>
      <c r="H680" s="97"/>
      <c r="I680" s="97"/>
      <c r="J680" s="97"/>
      <c r="K680" s="97"/>
      <c r="L680" s="97"/>
      <c r="M680" s="97"/>
      <c r="N680" s="97"/>
      <c r="O680" s="97"/>
      <c r="P680" s="97"/>
      <c r="Q680" s="97"/>
      <c r="R680" s="97"/>
      <c r="S680" s="97"/>
      <c r="T680" s="97"/>
      <c r="U680" s="25"/>
      <c r="V680" s="25"/>
      <c r="W680" s="25"/>
      <c r="X680" s="25"/>
      <c r="Y680" s="25"/>
      <c r="Z680" s="25"/>
    </row>
    <row r="681" spans="1:26" x14ac:dyDescent="0.35">
      <c r="A681" s="97"/>
      <c r="B681" s="97"/>
      <c r="C681" s="97"/>
      <c r="D681" s="97"/>
      <c r="E681" s="97"/>
      <c r="F681" s="97"/>
      <c r="G681" s="97"/>
      <c r="H681" s="97"/>
      <c r="I681" s="97"/>
      <c r="J681" s="97"/>
      <c r="K681" s="97"/>
      <c r="L681" s="97"/>
      <c r="M681" s="97"/>
      <c r="N681" s="97"/>
      <c r="O681" s="97"/>
      <c r="P681" s="97"/>
      <c r="Q681" s="97"/>
      <c r="R681" s="97"/>
      <c r="S681" s="97"/>
      <c r="T681" s="97"/>
      <c r="U681" s="25"/>
      <c r="V681" s="25"/>
      <c r="W681" s="25"/>
      <c r="X681" s="25"/>
      <c r="Y681" s="25"/>
      <c r="Z681" s="25"/>
    </row>
    <row r="682" spans="1:26" x14ac:dyDescent="0.35">
      <c r="A682" s="97"/>
      <c r="B682" s="97"/>
      <c r="C682" s="97"/>
      <c r="D682" s="97"/>
      <c r="E682" s="97"/>
      <c r="F682" s="97"/>
      <c r="G682" s="97"/>
      <c r="H682" s="97"/>
      <c r="I682" s="97"/>
      <c r="J682" s="97"/>
      <c r="K682" s="97"/>
      <c r="L682" s="97"/>
      <c r="M682" s="97"/>
      <c r="N682" s="97"/>
      <c r="O682" s="97"/>
      <c r="P682" s="97"/>
      <c r="Q682" s="97"/>
      <c r="R682" s="97"/>
      <c r="S682" s="97"/>
      <c r="T682" s="97"/>
      <c r="U682" s="25"/>
      <c r="V682" s="25"/>
      <c r="W682" s="25"/>
      <c r="X682" s="25"/>
      <c r="Y682" s="25"/>
      <c r="Z682" s="25"/>
    </row>
    <row r="683" spans="1:26" x14ac:dyDescent="0.35">
      <c r="A683" s="97"/>
      <c r="B683" s="97"/>
      <c r="C683" s="97"/>
      <c r="D683" s="97"/>
      <c r="E683" s="97"/>
      <c r="F683" s="97"/>
      <c r="G683" s="97"/>
      <c r="H683" s="97"/>
      <c r="I683" s="97"/>
      <c r="J683" s="97"/>
      <c r="K683" s="97"/>
      <c r="L683" s="97"/>
      <c r="M683" s="97"/>
      <c r="N683" s="97"/>
      <c r="O683" s="97"/>
      <c r="P683" s="97"/>
      <c r="Q683" s="97"/>
      <c r="R683" s="97"/>
      <c r="S683" s="97"/>
      <c r="T683" s="97"/>
      <c r="U683" s="25"/>
      <c r="V683" s="25"/>
      <c r="W683" s="25"/>
      <c r="X683" s="25"/>
      <c r="Y683" s="25"/>
      <c r="Z683" s="25"/>
    </row>
    <row r="684" spans="1:26" x14ac:dyDescent="0.35">
      <c r="A684" s="97"/>
      <c r="B684" s="97"/>
      <c r="C684" s="97"/>
      <c r="D684" s="97"/>
      <c r="E684" s="97"/>
      <c r="F684" s="97"/>
      <c r="G684" s="97"/>
      <c r="H684" s="97"/>
      <c r="I684" s="97"/>
      <c r="J684" s="97"/>
      <c r="K684" s="97"/>
      <c r="L684" s="97"/>
      <c r="M684" s="97"/>
      <c r="N684" s="97"/>
      <c r="O684" s="97"/>
      <c r="P684" s="97"/>
      <c r="Q684" s="97"/>
      <c r="R684" s="97"/>
      <c r="S684" s="97"/>
      <c r="T684" s="97"/>
      <c r="U684" s="25"/>
      <c r="V684" s="25"/>
      <c r="W684" s="25"/>
      <c r="X684" s="25"/>
      <c r="Y684" s="25"/>
      <c r="Z684" s="25"/>
    </row>
    <row r="685" spans="1:26" x14ac:dyDescent="0.35">
      <c r="A685" s="97"/>
      <c r="B685" s="97"/>
      <c r="C685" s="97"/>
      <c r="D685" s="97"/>
      <c r="E685" s="97"/>
      <c r="F685" s="97"/>
      <c r="G685" s="97"/>
      <c r="H685" s="97"/>
      <c r="I685" s="97"/>
      <c r="J685" s="97"/>
      <c r="K685" s="97"/>
      <c r="L685" s="97"/>
      <c r="M685" s="97"/>
      <c r="N685" s="97"/>
      <c r="O685" s="97"/>
      <c r="P685" s="97"/>
      <c r="Q685" s="97"/>
      <c r="R685" s="97"/>
      <c r="S685" s="97"/>
      <c r="T685" s="97"/>
      <c r="U685" s="25"/>
      <c r="V685" s="25"/>
      <c r="W685" s="25"/>
      <c r="X685" s="25"/>
      <c r="Y685" s="25"/>
      <c r="Z685" s="25"/>
    </row>
    <row r="686" spans="1:26" x14ac:dyDescent="0.35">
      <c r="A686" s="97"/>
      <c r="B686" s="97"/>
      <c r="C686" s="97"/>
      <c r="D686" s="97"/>
      <c r="E686" s="97"/>
      <c r="F686" s="97"/>
      <c r="G686" s="97"/>
      <c r="H686" s="97"/>
      <c r="I686" s="97"/>
      <c r="J686" s="97"/>
      <c r="K686" s="97"/>
      <c r="L686" s="97"/>
      <c r="M686" s="97"/>
      <c r="N686" s="97"/>
      <c r="O686" s="97"/>
      <c r="P686" s="97"/>
      <c r="Q686" s="97"/>
      <c r="R686" s="97"/>
      <c r="S686" s="97"/>
      <c r="T686" s="97"/>
      <c r="U686" s="25"/>
      <c r="V686" s="25"/>
      <c r="W686" s="25"/>
      <c r="X686" s="25"/>
      <c r="Y686" s="25"/>
      <c r="Z686" s="25"/>
    </row>
    <row r="687" spans="1:26" x14ac:dyDescent="0.35">
      <c r="A687" s="97"/>
      <c r="B687" s="97"/>
      <c r="C687" s="97"/>
      <c r="D687" s="97"/>
      <c r="E687" s="97"/>
      <c r="F687" s="97"/>
      <c r="G687" s="97"/>
      <c r="H687" s="97"/>
      <c r="I687" s="97"/>
      <c r="J687" s="97"/>
      <c r="K687" s="97"/>
      <c r="L687" s="97"/>
      <c r="M687" s="97"/>
      <c r="N687" s="97"/>
      <c r="O687" s="97"/>
      <c r="P687" s="97"/>
      <c r="Q687" s="97"/>
      <c r="R687" s="97"/>
      <c r="S687" s="97"/>
      <c r="T687" s="97"/>
      <c r="U687" s="25"/>
      <c r="V687" s="25"/>
      <c r="W687" s="25"/>
      <c r="X687" s="25"/>
      <c r="Y687" s="25"/>
      <c r="Z687" s="25"/>
    </row>
    <row r="688" spans="1:26" x14ac:dyDescent="0.35">
      <c r="A688" s="97"/>
      <c r="B688" s="97"/>
      <c r="C688" s="97"/>
      <c r="D688" s="97"/>
      <c r="E688" s="97"/>
      <c r="F688" s="97"/>
      <c r="G688" s="97"/>
      <c r="H688" s="97"/>
      <c r="I688" s="97"/>
      <c r="J688" s="97"/>
      <c r="K688" s="97"/>
      <c r="L688" s="97"/>
      <c r="M688" s="97"/>
      <c r="N688" s="97"/>
      <c r="O688" s="97"/>
      <c r="P688" s="97"/>
      <c r="Q688" s="97"/>
      <c r="R688" s="97"/>
      <c r="S688" s="97"/>
      <c r="T688" s="97"/>
      <c r="U688" s="25"/>
      <c r="V688" s="25"/>
      <c r="W688" s="25"/>
      <c r="X688" s="25"/>
      <c r="Y688" s="25"/>
      <c r="Z688" s="25"/>
    </row>
    <row r="689" spans="1:26" x14ac:dyDescent="0.35">
      <c r="A689" s="97"/>
      <c r="B689" s="97"/>
      <c r="C689" s="97"/>
      <c r="D689" s="97"/>
      <c r="E689" s="97"/>
      <c r="F689" s="97"/>
      <c r="G689" s="97"/>
      <c r="H689" s="97"/>
      <c r="I689" s="97"/>
      <c r="J689" s="97"/>
      <c r="K689" s="97"/>
      <c r="L689" s="97"/>
      <c r="M689" s="97"/>
      <c r="N689" s="97"/>
      <c r="O689" s="97"/>
      <c r="P689" s="97"/>
      <c r="Q689" s="97"/>
      <c r="R689" s="97"/>
      <c r="S689" s="97"/>
      <c r="T689" s="97"/>
      <c r="U689" s="25"/>
      <c r="V689" s="25"/>
      <c r="W689" s="25"/>
      <c r="X689" s="25"/>
      <c r="Y689" s="25"/>
      <c r="Z689" s="25"/>
    </row>
    <row r="690" spans="1:26" x14ac:dyDescent="0.35">
      <c r="A690" s="97"/>
      <c r="B690" s="97"/>
      <c r="C690" s="97"/>
      <c r="D690" s="97"/>
      <c r="E690" s="97"/>
      <c r="F690" s="97"/>
      <c r="G690" s="97"/>
      <c r="H690" s="97"/>
      <c r="I690" s="97"/>
      <c r="J690" s="97"/>
      <c r="K690" s="97"/>
      <c r="L690" s="97"/>
      <c r="M690" s="97"/>
      <c r="N690" s="97"/>
      <c r="O690" s="97"/>
      <c r="P690" s="97"/>
      <c r="Q690" s="97"/>
      <c r="R690" s="97"/>
      <c r="S690" s="97"/>
      <c r="T690" s="97"/>
      <c r="U690" s="25"/>
      <c r="V690" s="25"/>
      <c r="W690" s="25"/>
      <c r="X690" s="25"/>
      <c r="Y690" s="25"/>
      <c r="Z690" s="25"/>
    </row>
    <row r="691" spans="1:26" x14ac:dyDescent="0.35">
      <c r="A691" s="97"/>
      <c r="B691" s="97"/>
      <c r="C691" s="97"/>
      <c r="D691" s="97"/>
      <c r="E691" s="97"/>
      <c r="F691" s="97"/>
      <c r="G691" s="97"/>
      <c r="H691" s="97"/>
      <c r="I691" s="97"/>
      <c r="J691" s="97"/>
      <c r="K691" s="97"/>
      <c r="L691" s="97"/>
      <c r="M691" s="97"/>
      <c r="N691" s="97"/>
      <c r="O691" s="97"/>
      <c r="P691" s="97"/>
      <c r="Q691" s="97"/>
      <c r="R691" s="97"/>
      <c r="S691" s="97"/>
      <c r="T691" s="97"/>
      <c r="U691" s="25"/>
      <c r="V691" s="25"/>
      <c r="W691" s="25"/>
      <c r="X691" s="25"/>
      <c r="Y691" s="25"/>
      <c r="Z691" s="25"/>
    </row>
    <row r="692" spans="1:26" x14ac:dyDescent="0.35">
      <c r="A692" s="97"/>
      <c r="B692" s="97"/>
      <c r="C692" s="97"/>
      <c r="D692" s="97"/>
      <c r="E692" s="97"/>
      <c r="F692" s="97"/>
      <c r="G692" s="97"/>
      <c r="H692" s="97"/>
      <c r="I692" s="97"/>
      <c r="J692" s="97"/>
      <c r="K692" s="97"/>
      <c r="L692" s="97"/>
      <c r="M692" s="97"/>
      <c r="N692" s="97"/>
      <c r="O692" s="97"/>
      <c r="P692" s="97"/>
      <c r="Q692" s="97"/>
      <c r="R692" s="97"/>
      <c r="S692" s="97"/>
      <c r="T692" s="97"/>
      <c r="U692" s="25"/>
      <c r="V692" s="25"/>
      <c r="W692" s="25"/>
      <c r="X692" s="25"/>
      <c r="Y692" s="25"/>
      <c r="Z692" s="25"/>
    </row>
    <row r="693" spans="1:26" x14ac:dyDescent="0.35">
      <c r="A693" s="97"/>
      <c r="B693" s="97"/>
      <c r="C693" s="97"/>
      <c r="D693" s="97"/>
      <c r="E693" s="97"/>
      <c r="F693" s="97"/>
      <c r="G693" s="97"/>
      <c r="H693" s="97"/>
      <c r="I693" s="97"/>
      <c r="J693" s="97"/>
      <c r="K693" s="97"/>
      <c r="L693" s="97"/>
      <c r="M693" s="97"/>
      <c r="N693" s="97"/>
      <c r="O693" s="97"/>
      <c r="P693" s="97"/>
      <c r="Q693" s="97"/>
      <c r="R693" s="97"/>
      <c r="S693" s="97"/>
      <c r="T693" s="97"/>
      <c r="U693" s="25"/>
      <c r="V693" s="25"/>
      <c r="W693" s="25"/>
      <c r="X693" s="25"/>
      <c r="Y693" s="25"/>
      <c r="Z693" s="25"/>
    </row>
    <row r="694" spans="1:26" x14ac:dyDescent="0.35">
      <c r="A694" s="97"/>
      <c r="B694" s="97"/>
      <c r="C694" s="97"/>
      <c r="D694" s="97"/>
      <c r="E694" s="97"/>
      <c r="F694" s="97"/>
      <c r="G694" s="97"/>
      <c r="H694" s="97"/>
      <c r="I694" s="97"/>
      <c r="J694" s="97"/>
      <c r="K694" s="97"/>
      <c r="L694" s="97"/>
      <c r="M694" s="97"/>
      <c r="N694" s="97"/>
      <c r="O694" s="97"/>
      <c r="P694" s="97"/>
      <c r="Q694" s="97"/>
      <c r="R694" s="97"/>
      <c r="S694" s="97"/>
      <c r="T694" s="97"/>
      <c r="U694" s="25"/>
      <c r="V694" s="25"/>
      <c r="W694" s="25"/>
      <c r="X694" s="25"/>
      <c r="Y694" s="25"/>
      <c r="Z694" s="25"/>
    </row>
    <row r="695" spans="1:26" x14ac:dyDescent="0.35">
      <c r="A695" s="97"/>
      <c r="B695" s="97"/>
      <c r="C695" s="97"/>
      <c r="D695" s="97"/>
      <c r="E695" s="97"/>
      <c r="F695" s="97"/>
      <c r="G695" s="97"/>
      <c r="H695" s="97"/>
      <c r="I695" s="97"/>
      <c r="J695" s="97"/>
      <c r="K695" s="97"/>
      <c r="L695" s="97"/>
      <c r="M695" s="97"/>
      <c r="N695" s="97"/>
      <c r="O695" s="97"/>
      <c r="P695" s="97"/>
      <c r="Q695" s="97"/>
      <c r="R695" s="97"/>
      <c r="S695" s="97"/>
      <c r="T695" s="97"/>
      <c r="U695" s="25"/>
      <c r="V695" s="25"/>
      <c r="W695" s="25"/>
      <c r="X695" s="25"/>
      <c r="Y695" s="25"/>
      <c r="Z695" s="25"/>
    </row>
    <row r="696" spans="1:26" x14ac:dyDescent="0.35">
      <c r="A696" s="97"/>
      <c r="B696" s="97"/>
      <c r="C696" s="97"/>
      <c r="D696" s="97"/>
      <c r="E696" s="97"/>
      <c r="F696" s="97"/>
      <c r="G696" s="97"/>
      <c r="H696" s="97"/>
      <c r="I696" s="97"/>
      <c r="J696" s="97"/>
      <c r="K696" s="97"/>
      <c r="L696" s="97"/>
      <c r="M696" s="97"/>
      <c r="N696" s="97"/>
      <c r="O696" s="97"/>
      <c r="P696" s="97"/>
      <c r="Q696" s="97"/>
      <c r="R696" s="97"/>
      <c r="S696" s="97"/>
      <c r="T696" s="97"/>
      <c r="U696" s="25"/>
      <c r="V696" s="25"/>
      <c r="W696" s="25"/>
      <c r="X696" s="25"/>
      <c r="Y696" s="25"/>
      <c r="Z696" s="25"/>
    </row>
    <row r="697" spans="1:26" x14ac:dyDescent="0.35">
      <c r="A697" s="97"/>
      <c r="B697" s="97"/>
      <c r="C697" s="97"/>
      <c r="D697" s="97"/>
      <c r="E697" s="97"/>
      <c r="F697" s="97"/>
      <c r="G697" s="97"/>
      <c r="H697" s="97"/>
      <c r="I697" s="97"/>
      <c r="J697" s="97"/>
      <c r="K697" s="97"/>
      <c r="L697" s="97"/>
      <c r="M697" s="97"/>
      <c r="N697" s="97"/>
      <c r="O697" s="97"/>
      <c r="P697" s="97"/>
      <c r="Q697" s="97"/>
      <c r="R697" s="97"/>
      <c r="S697" s="97"/>
      <c r="T697" s="97"/>
      <c r="U697" s="25"/>
      <c r="V697" s="25"/>
      <c r="W697" s="25"/>
      <c r="X697" s="25"/>
      <c r="Y697" s="25"/>
      <c r="Z697" s="25"/>
    </row>
    <row r="698" spans="1:26" x14ac:dyDescent="0.35">
      <c r="A698" s="97"/>
      <c r="B698" s="97"/>
      <c r="C698" s="97"/>
      <c r="D698" s="97"/>
      <c r="E698" s="97"/>
      <c r="F698" s="97"/>
      <c r="G698" s="97"/>
      <c r="H698" s="97"/>
      <c r="I698" s="97"/>
      <c r="J698" s="97"/>
      <c r="K698" s="97"/>
      <c r="L698" s="97"/>
      <c r="M698" s="97"/>
      <c r="N698" s="97"/>
      <c r="O698" s="97"/>
      <c r="P698" s="97"/>
      <c r="Q698" s="97"/>
      <c r="R698" s="97"/>
      <c r="S698" s="97"/>
      <c r="T698" s="97"/>
      <c r="U698" s="25"/>
      <c r="V698" s="25"/>
      <c r="W698" s="25"/>
      <c r="X698" s="25"/>
      <c r="Y698" s="25"/>
      <c r="Z698" s="25"/>
    </row>
    <row r="699" spans="1:26" x14ac:dyDescent="0.35">
      <c r="A699" s="97"/>
      <c r="B699" s="97"/>
      <c r="C699" s="97"/>
      <c r="D699" s="97"/>
      <c r="E699" s="97"/>
      <c r="F699" s="97"/>
      <c r="G699" s="97"/>
      <c r="H699" s="97"/>
      <c r="I699" s="97"/>
      <c r="J699" s="97"/>
      <c r="K699" s="97"/>
      <c r="L699" s="97"/>
      <c r="M699" s="97"/>
      <c r="N699" s="97"/>
      <c r="O699" s="97"/>
      <c r="P699" s="97"/>
      <c r="Q699" s="97"/>
      <c r="R699" s="97"/>
      <c r="S699" s="97"/>
      <c r="T699" s="97"/>
      <c r="U699" s="25"/>
      <c r="V699" s="25"/>
      <c r="W699" s="25"/>
      <c r="X699" s="25"/>
      <c r="Y699" s="25"/>
      <c r="Z699" s="25"/>
    </row>
    <row r="700" spans="1:26" x14ac:dyDescent="0.35">
      <c r="A700" s="97"/>
      <c r="B700" s="97"/>
      <c r="C700" s="97"/>
      <c r="D700" s="97"/>
      <c r="E700" s="97"/>
      <c r="F700" s="97"/>
      <c r="G700" s="97"/>
      <c r="H700" s="97"/>
      <c r="I700" s="97"/>
      <c r="J700" s="97"/>
      <c r="K700" s="97"/>
      <c r="L700" s="97"/>
      <c r="M700" s="97"/>
      <c r="N700" s="97"/>
      <c r="O700" s="97"/>
      <c r="P700" s="97"/>
      <c r="Q700" s="97"/>
      <c r="R700" s="97"/>
      <c r="S700" s="97"/>
      <c r="T700" s="97"/>
      <c r="U700" s="25"/>
      <c r="V700" s="25"/>
      <c r="W700" s="25"/>
      <c r="X700" s="25"/>
      <c r="Y700" s="25"/>
      <c r="Z700" s="25"/>
    </row>
    <row r="701" spans="1:26" x14ac:dyDescent="0.35">
      <c r="A701" s="97"/>
      <c r="B701" s="97"/>
      <c r="C701" s="97"/>
      <c r="D701" s="97"/>
      <c r="E701" s="97"/>
      <c r="F701" s="97"/>
      <c r="G701" s="97"/>
      <c r="H701" s="97"/>
      <c r="I701" s="97"/>
      <c r="J701" s="97"/>
      <c r="K701" s="97"/>
      <c r="L701" s="97"/>
      <c r="M701" s="97"/>
      <c r="N701" s="97"/>
      <c r="O701" s="97"/>
      <c r="P701" s="97"/>
      <c r="Q701" s="97"/>
      <c r="R701" s="97"/>
      <c r="S701" s="97"/>
      <c r="T701" s="97"/>
      <c r="U701" s="25"/>
      <c r="V701" s="25"/>
      <c r="W701" s="25"/>
      <c r="X701" s="25"/>
      <c r="Y701" s="25"/>
      <c r="Z701" s="25"/>
    </row>
    <row r="702" spans="1:26" x14ac:dyDescent="0.35">
      <c r="A702" s="97"/>
      <c r="B702" s="97"/>
      <c r="C702" s="97"/>
      <c r="D702" s="97"/>
      <c r="E702" s="97"/>
      <c r="F702" s="97"/>
      <c r="G702" s="97"/>
      <c r="H702" s="97"/>
      <c r="I702" s="97"/>
      <c r="J702" s="97"/>
      <c r="K702" s="97"/>
      <c r="L702" s="97"/>
      <c r="M702" s="97"/>
      <c r="N702" s="97"/>
      <c r="O702" s="97"/>
      <c r="P702" s="97"/>
      <c r="Q702" s="97"/>
      <c r="R702" s="97"/>
      <c r="S702" s="97"/>
      <c r="T702" s="97"/>
      <c r="U702" s="25"/>
      <c r="V702" s="25"/>
      <c r="W702" s="25"/>
      <c r="X702" s="25"/>
      <c r="Y702" s="25"/>
      <c r="Z702" s="25"/>
    </row>
    <row r="703" spans="1:26" x14ac:dyDescent="0.35">
      <c r="A703" s="97"/>
      <c r="B703" s="97"/>
      <c r="C703" s="97"/>
      <c r="D703" s="97"/>
      <c r="E703" s="97"/>
      <c r="F703" s="97"/>
      <c r="G703" s="97"/>
      <c r="H703" s="97"/>
      <c r="I703" s="97"/>
      <c r="J703" s="97"/>
      <c r="K703" s="97"/>
      <c r="L703" s="97"/>
      <c r="M703" s="97"/>
      <c r="N703" s="97"/>
      <c r="O703" s="97"/>
      <c r="P703" s="97"/>
      <c r="Q703" s="97"/>
      <c r="R703" s="97"/>
      <c r="S703" s="97"/>
      <c r="T703" s="97"/>
      <c r="U703" s="25"/>
      <c r="V703" s="25"/>
      <c r="W703" s="25"/>
      <c r="X703" s="25"/>
      <c r="Y703" s="25"/>
      <c r="Z703" s="25"/>
    </row>
    <row r="704" spans="1:26" x14ac:dyDescent="0.35">
      <c r="A704" s="97"/>
      <c r="B704" s="97"/>
      <c r="C704" s="97"/>
      <c r="D704" s="97"/>
      <c r="E704" s="97"/>
      <c r="F704" s="97"/>
      <c r="G704" s="97"/>
      <c r="H704" s="97"/>
      <c r="I704" s="97"/>
      <c r="J704" s="97"/>
      <c r="K704" s="97"/>
      <c r="L704" s="97"/>
      <c r="M704" s="97"/>
      <c r="N704" s="97"/>
      <c r="O704" s="97"/>
      <c r="P704" s="97"/>
      <c r="Q704" s="97"/>
      <c r="R704" s="97"/>
      <c r="S704" s="97"/>
      <c r="T704" s="97"/>
      <c r="U704" s="25"/>
      <c r="V704" s="25"/>
      <c r="W704" s="25"/>
      <c r="X704" s="25"/>
      <c r="Y704" s="25"/>
      <c r="Z704" s="25"/>
    </row>
    <row r="705" spans="1:26" x14ac:dyDescent="0.35">
      <c r="A705" s="97"/>
      <c r="B705" s="97"/>
      <c r="C705" s="97"/>
      <c r="D705" s="97"/>
      <c r="E705" s="97"/>
      <c r="F705" s="97"/>
      <c r="G705" s="97"/>
      <c r="H705" s="97"/>
      <c r="I705" s="97"/>
      <c r="J705" s="97"/>
      <c r="K705" s="97"/>
      <c r="L705" s="97"/>
      <c r="M705" s="97"/>
      <c r="N705" s="97"/>
      <c r="O705" s="97"/>
      <c r="P705" s="97"/>
      <c r="Q705" s="97"/>
      <c r="R705" s="97"/>
      <c r="S705" s="97"/>
      <c r="T705" s="97"/>
      <c r="U705" s="25"/>
      <c r="V705" s="25"/>
      <c r="W705" s="25"/>
      <c r="X705" s="25"/>
      <c r="Y705" s="25"/>
      <c r="Z705" s="25"/>
    </row>
    <row r="706" spans="1:26" x14ac:dyDescent="0.35">
      <c r="A706" s="97"/>
      <c r="B706" s="97"/>
      <c r="C706" s="97"/>
      <c r="D706" s="97"/>
      <c r="E706" s="97"/>
      <c r="F706" s="97"/>
      <c r="G706" s="97"/>
      <c r="H706" s="97"/>
      <c r="I706" s="97"/>
      <c r="J706" s="97"/>
      <c r="K706" s="97"/>
      <c r="L706" s="97"/>
      <c r="M706" s="97"/>
      <c r="N706" s="97"/>
      <c r="O706" s="97"/>
      <c r="P706" s="97"/>
      <c r="Q706" s="97"/>
      <c r="R706" s="97"/>
      <c r="S706" s="97"/>
      <c r="T706" s="97"/>
      <c r="U706" s="25"/>
      <c r="V706" s="25"/>
      <c r="W706" s="25"/>
      <c r="X706" s="25"/>
      <c r="Y706" s="25"/>
      <c r="Z706" s="25"/>
    </row>
    <row r="707" spans="1:26" x14ac:dyDescent="0.35">
      <c r="A707" s="97"/>
      <c r="B707" s="97"/>
      <c r="C707" s="97"/>
      <c r="D707" s="97"/>
      <c r="E707" s="97"/>
      <c r="F707" s="97"/>
      <c r="G707" s="97"/>
      <c r="H707" s="97"/>
      <c r="I707" s="97"/>
      <c r="J707" s="97"/>
      <c r="K707" s="97"/>
      <c r="L707" s="97"/>
      <c r="M707" s="97"/>
      <c r="N707" s="97"/>
      <c r="O707" s="97"/>
      <c r="P707" s="97"/>
      <c r="Q707" s="97"/>
      <c r="R707" s="97"/>
      <c r="S707" s="97"/>
      <c r="T707" s="97"/>
      <c r="U707" s="25"/>
      <c r="V707" s="25"/>
      <c r="W707" s="25"/>
      <c r="X707" s="25"/>
      <c r="Y707" s="25"/>
      <c r="Z707" s="25"/>
    </row>
    <row r="708" spans="1:26" x14ac:dyDescent="0.35">
      <c r="A708" s="97"/>
      <c r="B708" s="97"/>
      <c r="C708" s="97"/>
      <c r="D708" s="97"/>
      <c r="E708" s="97"/>
      <c r="F708" s="97"/>
      <c r="G708" s="97"/>
      <c r="H708" s="97"/>
      <c r="I708" s="97"/>
      <c r="J708" s="97"/>
      <c r="K708" s="97"/>
      <c r="L708" s="97"/>
      <c r="M708" s="97"/>
      <c r="N708" s="97"/>
      <c r="O708" s="97"/>
      <c r="P708" s="97"/>
      <c r="Q708" s="97"/>
      <c r="R708" s="97"/>
      <c r="S708" s="97"/>
      <c r="T708" s="97"/>
      <c r="U708" s="25"/>
      <c r="V708" s="25"/>
      <c r="W708" s="25"/>
      <c r="X708" s="25"/>
      <c r="Y708" s="25"/>
      <c r="Z708" s="25"/>
    </row>
    <row r="709" spans="1:26" x14ac:dyDescent="0.35">
      <c r="A709" s="97"/>
      <c r="B709" s="97"/>
      <c r="C709" s="97"/>
      <c r="D709" s="97"/>
      <c r="E709" s="97"/>
      <c r="F709" s="97"/>
      <c r="G709" s="97"/>
      <c r="H709" s="97"/>
      <c r="I709" s="97"/>
      <c r="J709" s="97"/>
      <c r="K709" s="97"/>
      <c r="L709" s="97"/>
      <c r="M709" s="97"/>
      <c r="N709" s="97"/>
      <c r="O709" s="97"/>
      <c r="P709" s="97"/>
      <c r="Q709" s="97"/>
      <c r="R709" s="97"/>
      <c r="S709" s="97"/>
      <c r="T709" s="97"/>
      <c r="U709" s="25"/>
      <c r="V709" s="25"/>
      <c r="W709" s="25"/>
      <c r="X709" s="25"/>
      <c r="Y709" s="25"/>
      <c r="Z709" s="25"/>
    </row>
    <row r="710" spans="1:26" x14ac:dyDescent="0.35">
      <c r="A710" s="97"/>
      <c r="B710" s="97"/>
      <c r="C710" s="97"/>
      <c r="D710" s="97"/>
      <c r="E710" s="97"/>
      <c r="F710" s="97"/>
      <c r="G710" s="97"/>
      <c r="H710" s="97"/>
      <c r="I710" s="97"/>
      <c r="J710" s="97"/>
      <c r="K710" s="97"/>
      <c r="L710" s="97"/>
      <c r="M710" s="97"/>
      <c r="N710" s="97"/>
      <c r="O710" s="97"/>
      <c r="P710" s="97"/>
      <c r="Q710" s="97"/>
      <c r="R710" s="97"/>
      <c r="S710" s="97"/>
      <c r="T710" s="97"/>
      <c r="U710" s="25"/>
      <c r="V710" s="25"/>
      <c r="W710" s="25"/>
      <c r="X710" s="25"/>
      <c r="Y710" s="25"/>
      <c r="Z710" s="25"/>
    </row>
    <row r="711" spans="1:26" x14ac:dyDescent="0.35">
      <c r="A711" s="97"/>
      <c r="B711" s="97"/>
      <c r="C711" s="97"/>
      <c r="D711" s="97"/>
      <c r="E711" s="97"/>
      <c r="F711" s="97"/>
      <c r="G711" s="97"/>
      <c r="H711" s="97"/>
      <c r="I711" s="97"/>
      <c r="J711" s="97"/>
      <c r="K711" s="97"/>
      <c r="L711" s="97"/>
      <c r="M711" s="97"/>
      <c r="N711" s="97"/>
      <c r="O711" s="97"/>
      <c r="P711" s="97"/>
      <c r="Q711" s="97"/>
      <c r="R711" s="97"/>
      <c r="S711" s="97"/>
      <c r="T711" s="97"/>
      <c r="U711" s="25"/>
      <c r="V711" s="25"/>
      <c r="W711" s="25"/>
      <c r="X711" s="25"/>
      <c r="Y711" s="25"/>
      <c r="Z711" s="25"/>
    </row>
    <row r="712" spans="1:26" x14ac:dyDescent="0.35">
      <c r="A712" s="97"/>
      <c r="B712" s="97"/>
      <c r="C712" s="97"/>
      <c r="D712" s="97"/>
      <c r="E712" s="97"/>
      <c r="F712" s="97"/>
      <c r="G712" s="97"/>
      <c r="H712" s="97"/>
      <c r="I712" s="97"/>
      <c r="J712" s="97"/>
      <c r="K712" s="97"/>
      <c r="L712" s="97"/>
      <c r="M712" s="97"/>
      <c r="N712" s="97"/>
      <c r="O712" s="97"/>
      <c r="P712" s="97"/>
      <c r="Q712" s="97"/>
      <c r="R712" s="97"/>
      <c r="S712" s="97"/>
      <c r="T712" s="97"/>
      <c r="U712" s="25"/>
      <c r="V712" s="25"/>
      <c r="W712" s="25"/>
      <c r="X712" s="25"/>
      <c r="Y712" s="25"/>
      <c r="Z712" s="25"/>
    </row>
    <row r="713" spans="1:26" x14ac:dyDescent="0.35">
      <c r="A713" s="97"/>
      <c r="B713" s="97"/>
      <c r="C713" s="97"/>
      <c r="D713" s="97"/>
      <c r="E713" s="97"/>
      <c r="F713" s="97"/>
      <c r="G713" s="97"/>
      <c r="H713" s="97"/>
      <c r="I713" s="97"/>
      <c r="J713" s="97"/>
      <c r="K713" s="97"/>
      <c r="L713" s="97"/>
      <c r="M713" s="97"/>
      <c r="N713" s="97"/>
      <c r="O713" s="97"/>
      <c r="P713" s="97"/>
      <c r="Q713" s="97"/>
      <c r="R713" s="97"/>
      <c r="S713" s="97"/>
      <c r="T713" s="97"/>
      <c r="U713" s="25"/>
      <c r="V713" s="25"/>
      <c r="W713" s="25"/>
      <c r="X713" s="25"/>
      <c r="Y713" s="25"/>
      <c r="Z713" s="25"/>
    </row>
    <row r="714" spans="1:26" x14ac:dyDescent="0.35">
      <c r="A714" s="97"/>
      <c r="B714" s="97"/>
      <c r="C714" s="97"/>
      <c r="D714" s="97"/>
      <c r="E714" s="97"/>
      <c r="F714" s="97"/>
      <c r="G714" s="97"/>
      <c r="H714" s="97"/>
      <c r="I714" s="97"/>
      <c r="J714" s="97"/>
      <c r="K714" s="97"/>
      <c r="L714" s="97"/>
      <c r="M714" s="97"/>
      <c r="N714" s="97"/>
      <c r="O714" s="97"/>
      <c r="P714" s="97"/>
      <c r="Q714" s="97"/>
      <c r="R714" s="97"/>
      <c r="S714" s="97"/>
      <c r="T714" s="97"/>
      <c r="U714" s="25"/>
      <c r="V714" s="25"/>
      <c r="W714" s="25"/>
      <c r="X714" s="25"/>
      <c r="Y714" s="25"/>
      <c r="Z714" s="25"/>
    </row>
    <row r="715" spans="1:26" x14ac:dyDescent="0.35">
      <c r="A715" s="97"/>
      <c r="B715" s="97"/>
      <c r="C715" s="97"/>
      <c r="D715" s="97"/>
      <c r="E715" s="97"/>
      <c r="F715" s="97"/>
      <c r="G715" s="97"/>
      <c r="H715" s="97"/>
      <c r="I715" s="97"/>
      <c r="J715" s="97"/>
      <c r="K715" s="97"/>
      <c r="L715" s="97"/>
      <c r="M715" s="97"/>
      <c r="N715" s="97"/>
      <c r="O715" s="97"/>
      <c r="P715" s="97"/>
      <c r="Q715" s="97"/>
      <c r="R715" s="97"/>
      <c r="S715" s="97"/>
      <c r="T715" s="97"/>
      <c r="U715" s="25"/>
      <c r="V715" s="25"/>
      <c r="W715" s="25"/>
      <c r="X715" s="25"/>
      <c r="Y715" s="25"/>
      <c r="Z715" s="25"/>
    </row>
    <row r="716" spans="1:26" x14ac:dyDescent="0.35">
      <c r="A716" s="97"/>
      <c r="B716" s="97"/>
      <c r="C716" s="97"/>
      <c r="D716" s="97"/>
      <c r="E716" s="97"/>
      <c r="F716" s="97"/>
      <c r="G716" s="97"/>
      <c r="H716" s="97"/>
      <c r="I716" s="97"/>
      <c r="J716" s="97"/>
      <c r="K716" s="97"/>
      <c r="L716" s="97"/>
      <c r="M716" s="97"/>
      <c r="N716" s="97"/>
      <c r="O716" s="97"/>
      <c r="P716" s="97"/>
      <c r="Q716" s="97"/>
      <c r="R716" s="97"/>
      <c r="S716" s="97"/>
      <c r="T716" s="97"/>
      <c r="U716" s="25"/>
      <c r="V716" s="25"/>
      <c r="W716" s="25"/>
      <c r="X716" s="25"/>
      <c r="Y716" s="25"/>
      <c r="Z716" s="25"/>
    </row>
    <row r="717" spans="1:26" x14ac:dyDescent="0.35">
      <c r="A717" s="97"/>
      <c r="B717" s="97"/>
      <c r="C717" s="97"/>
      <c r="D717" s="97"/>
      <c r="E717" s="97"/>
      <c r="F717" s="97"/>
      <c r="G717" s="97"/>
      <c r="H717" s="97"/>
      <c r="I717" s="97"/>
      <c r="J717" s="97"/>
      <c r="K717" s="97"/>
      <c r="L717" s="97"/>
      <c r="M717" s="97"/>
      <c r="N717" s="97"/>
      <c r="O717" s="97"/>
      <c r="P717" s="97"/>
      <c r="Q717" s="97"/>
      <c r="R717" s="97"/>
      <c r="S717" s="97"/>
      <c r="T717" s="97"/>
      <c r="U717" s="25"/>
      <c r="V717" s="25"/>
      <c r="W717" s="25"/>
      <c r="X717" s="25"/>
      <c r="Y717" s="25"/>
      <c r="Z717" s="25"/>
    </row>
    <row r="718" spans="1:26" x14ac:dyDescent="0.35">
      <c r="A718" s="97"/>
      <c r="B718" s="97"/>
      <c r="C718" s="97"/>
      <c r="D718" s="97"/>
      <c r="E718" s="97"/>
      <c r="F718" s="97"/>
      <c r="G718" s="97"/>
      <c r="H718" s="97"/>
      <c r="I718" s="97"/>
      <c r="J718" s="97"/>
      <c r="K718" s="97"/>
      <c r="L718" s="97"/>
      <c r="M718" s="97"/>
      <c r="N718" s="97"/>
      <c r="O718" s="97"/>
      <c r="P718" s="97"/>
      <c r="Q718" s="97"/>
      <c r="R718" s="97"/>
      <c r="S718" s="97"/>
      <c r="T718" s="97"/>
      <c r="U718" s="25"/>
      <c r="V718" s="25"/>
      <c r="W718" s="25"/>
      <c r="X718" s="25"/>
      <c r="Y718" s="25"/>
      <c r="Z718" s="25"/>
    </row>
    <row r="719" spans="1:26" x14ac:dyDescent="0.35">
      <c r="A719" s="97"/>
      <c r="B719" s="97"/>
      <c r="C719" s="97"/>
      <c r="D719" s="97"/>
      <c r="E719" s="97"/>
      <c r="F719" s="97"/>
      <c r="G719" s="97"/>
      <c r="H719" s="97"/>
      <c r="I719" s="97"/>
      <c r="J719" s="97"/>
      <c r="K719" s="97"/>
      <c r="L719" s="97"/>
      <c r="M719" s="97"/>
      <c r="N719" s="97"/>
      <c r="O719" s="97"/>
      <c r="P719" s="97"/>
      <c r="Q719" s="97"/>
      <c r="R719" s="97"/>
      <c r="S719" s="97"/>
      <c r="T719" s="97"/>
      <c r="U719" s="25"/>
      <c r="V719" s="25"/>
      <c r="W719" s="25"/>
      <c r="X719" s="25"/>
      <c r="Y719" s="25"/>
      <c r="Z719" s="25"/>
    </row>
    <row r="720" spans="1:26" x14ac:dyDescent="0.35">
      <c r="A720" s="97"/>
      <c r="B720" s="97"/>
      <c r="C720" s="97"/>
      <c r="D720" s="97"/>
      <c r="E720" s="97"/>
      <c r="F720" s="97"/>
      <c r="G720" s="97"/>
      <c r="H720" s="97"/>
      <c r="I720" s="97"/>
      <c r="J720" s="97"/>
      <c r="K720" s="97"/>
      <c r="L720" s="97"/>
      <c r="M720" s="97"/>
      <c r="N720" s="97"/>
      <c r="O720" s="97"/>
      <c r="P720" s="97"/>
      <c r="Q720" s="97"/>
      <c r="R720" s="97"/>
      <c r="S720" s="97"/>
      <c r="T720" s="97"/>
      <c r="U720" s="25"/>
      <c r="V720" s="25"/>
      <c r="W720" s="25"/>
      <c r="X720" s="25"/>
      <c r="Y720" s="25"/>
      <c r="Z720" s="25"/>
    </row>
    <row r="721" spans="1:26" x14ac:dyDescent="0.35">
      <c r="A721" s="97"/>
      <c r="B721" s="97"/>
      <c r="C721" s="97"/>
      <c r="D721" s="97"/>
      <c r="E721" s="97"/>
      <c r="F721" s="97"/>
      <c r="G721" s="97"/>
      <c r="H721" s="97"/>
      <c r="I721" s="97"/>
      <c r="J721" s="97"/>
      <c r="K721" s="97"/>
      <c r="L721" s="97"/>
      <c r="M721" s="97"/>
      <c r="N721" s="97"/>
      <c r="O721" s="97"/>
      <c r="P721" s="97"/>
      <c r="Q721" s="97"/>
      <c r="R721" s="97"/>
      <c r="S721" s="97"/>
      <c r="T721" s="97"/>
      <c r="U721" s="25"/>
      <c r="V721" s="25"/>
      <c r="W721" s="25"/>
      <c r="X721" s="25"/>
      <c r="Y721" s="25"/>
      <c r="Z721" s="25"/>
    </row>
    <row r="722" spans="1:26" x14ac:dyDescent="0.35">
      <c r="A722" s="97"/>
      <c r="B722" s="97"/>
      <c r="C722" s="97"/>
      <c r="D722" s="97"/>
      <c r="E722" s="97"/>
      <c r="F722" s="97"/>
      <c r="G722" s="97"/>
      <c r="H722" s="97"/>
      <c r="I722" s="97"/>
      <c r="J722" s="97"/>
      <c r="K722" s="97"/>
      <c r="L722" s="97"/>
      <c r="M722" s="97"/>
      <c r="N722" s="97"/>
      <c r="O722" s="97"/>
      <c r="P722" s="97"/>
      <c r="Q722" s="97"/>
      <c r="R722" s="97"/>
      <c r="S722" s="97"/>
      <c r="T722" s="97"/>
      <c r="U722" s="25"/>
      <c r="V722" s="25"/>
      <c r="W722" s="25"/>
      <c r="X722" s="25"/>
      <c r="Y722" s="25"/>
      <c r="Z722" s="25"/>
    </row>
    <row r="723" spans="1:26" x14ac:dyDescent="0.35">
      <c r="A723" s="97"/>
      <c r="B723" s="97"/>
      <c r="C723" s="97"/>
      <c r="D723" s="97"/>
      <c r="E723" s="97"/>
      <c r="F723" s="97"/>
      <c r="G723" s="97"/>
      <c r="H723" s="97"/>
      <c r="I723" s="97"/>
      <c r="J723" s="97"/>
      <c r="K723" s="97"/>
      <c r="L723" s="97"/>
      <c r="M723" s="97"/>
      <c r="N723" s="97"/>
      <c r="O723" s="97"/>
      <c r="P723" s="97"/>
      <c r="Q723" s="97"/>
      <c r="R723" s="97"/>
      <c r="S723" s="97"/>
      <c r="T723" s="97"/>
      <c r="U723" s="25"/>
      <c r="V723" s="25"/>
      <c r="W723" s="25"/>
      <c r="X723" s="25"/>
      <c r="Y723" s="25"/>
      <c r="Z723" s="25"/>
    </row>
    <row r="724" spans="1:26" x14ac:dyDescent="0.35">
      <c r="A724" s="97"/>
      <c r="B724" s="97"/>
      <c r="C724" s="97"/>
      <c r="D724" s="97"/>
      <c r="E724" s="97"/>
      <c r="F724" s="97"/>
      <c r="G724" s="97"/>
      <c r="H724" s="97"/>
      <c r="I724" s="97"/>
      <c r="J724" s="97"/>
      <c r="K724" s="97"/>
      <c r="L724" s="97"/>
      <c r="M724" s="97"/>
      <c r="N724" s="97"/>
      <c r="O724" s="97"/>
      <c r="P724" s="97"/>
      <c r="Q724" s="97"/>
      <c r="R724" s="97"/>
      <c r="S724" s="97"/>
      <c r="T724" s="97"/>
      <c r="U724" s="25"/>
      <c r="V724" s="25"/>
      <c r="W724" s="25"/>
      <c r="X724" s="25"/>
      <c r="Y724" s="25"/>
      <c r="Z724" s="25"/>
    </row>
    <row r="725" spans="1:26" x14ac:dyDescent="0.35">
      <c r="A725" s="97"/>
      <c r="B725" s="97"/>
      <c r="C725" s="97"/>
      <c r="D725" s="97"/>
      <c r="E725" s="97"/>
      <c r="F725" s="97"/>
      <c r="G725" s="97"/>
      <c r="H725" s="97"/>
      <c r="I725" s="97"/>
      <c r="J725" s="97"/>
      <c r="K725" s="97"/>
      <c r="L725" s="97"/>
      <c r="M725" s="97"/>
      <c r="N725" s="97"/>
      <c r="O725" s="97"/>
      <c r="P725" s="97"/>
      <c r="Q725" s="97"/>
      <c r="R725" s="97"/>
      <c r="S725" s="97"/>
      <c r="T725" s="97"/>
      <c r="U725" s="25"/>
      <c r="V725" s="25"/>
      <c r="W725" s="25"/>
      <c r="X725" s="25"/>
      <c r="Y725" s="25"/>
      <c r="Z725" s="25"/>
    </row>
    <row r="726" spans="1:26" x14ac:dyDescent="0.35">
      <c r="A726" s="97"/>
      <c r="B726" s="97"/>
      <c r="C726" s="97"/>
      <c r="D726" s="97"/>
      <c r="E726" s="97"/>
      <c r="F726" s="97"/>
      <c r="G726" s="97"/>
      <c r="H726" s="97"/>
      <c r="I726" s="97"/>
      <c r="J726" s="97"/>
      <c r="K726" s="97"/>
      <c r="L726" s="97"/>
      <c r="M726" s="97"/>
      <c r="N726" s="97"/>
      <c r="O726" s="97"/>
      <c r="P726" s="97"/>
      <c r="Q726" s="97"/>
      <c r="R726" s="97"/>
      <c r="S726" s="97"/>
      <c r="T726" s="97"/>
      <c r="U726" s="25"/>
      <c r="V726" s="25"/>
      <c r="W726" s="25"/>
      <c r="X726" s="25"/>
      <c r="Y726" s="25"/>
      <c r="Z726" s="25"/>
    </row>
    <row r="727" spans="1:26" x14ac:dyDescent="0.35">
      <c r="A727" s="97"/>
      <c r="B727" s="97"/>
      <c r="C727" s="97"/>
      <c r="D727" s="97"/>
      <c r="E727" s="97"/>
      <c r="F727" s="97"/>
      <c r="G727" s="97"/>
      <c r="H727" s="97"/>
      <c r="I727" s="97"/>
      <c r="J727" s="97"/>
      <c r="K727" s="97"/>
      <c r="L727" s="97"/>
      <c r="M727" s="97"/>
      <c r="N727" s="97"/>
      <c r="O727" s="97"/>
      <c r="P727" s="97"/>
      <c r="Q727" s="97"/>
      <c r="R727" s="97"/>
      <c r="S727" s="97"/>
      <c r="T727" s="97"/>
      <c r="U727" s="25"/>
      <c r="V727" s="25"/>
      <c r="W727" s="25"/>
      <c r="X727" s="25"/>
      <c r="Y727" s="25"/>
      <c r="Z727" s="25"/>
    </row>
    <row r="728" spans="1:26" x14ac:dyDescent="0.35">
      <c r="A728" s="97"/>
      <c r="B728" s="97"/>
      <c r="C728" s="97"/>
      <c r="D728" s="97"/>
      <c r="E728" s="97"/>
      <c r="F728" s="97"/>
      <c r="G728" s="97"/>
      <c r="H728" s="97"/>
      <c r="I728" s="97"/>
      <c r="J728" s="97"/>
      <c r="K728" s="97"/>
      <c r="L728" s="97"/>
      <c r="M728" s="97"/>
      <c r="N728" s="97"/>
      <c r="O728" s="97"/>
      <c r="P728" s="97"/>
      <c r="Q728" s="97"/>
      <c r="R728" s="97"/>
      <c r="S728" s="97"/>
      <c r="T728" s="97"/>
      <c r="U728" s="25"/>
      <c r="V728" s="25"/>
      <c r="W728" s="25"/>
      <c r="X728" s="25"/>
      <c r="Y728" s="25"/>
      <c r="Z728" s="25"/>
    </row>
    <row r="729" spans="1:26" x14ac:dyDescent="0.35">
      <c r="A729" s="97"/>
      <c r="B729" s="97"/>
      <c r="C729" s="97"/>
      <c r="D729" s="97"/>
      <c r="E729" s="97"/>
      <c r="F729" s="97"/>
      <c r="G729" s="97"/>
      <c r="H729" s="97"/>
      <c r="I729" s="97"/>
      <c r="J729" s="97"/>
      <c r="K729" s="97"/>
      <c r="L729" s="97"/>
      <c r="M729" s="97"/>
      <c r="N729" s="97"/>
      <c r="O729" s="97"/>
      <c r="P729" s="97"/>
      <c r="Q729" s="97"/>
      <c r="R729" s="97"/>
      <c r="S729" s="97"/>
      <c r="T729" s="97"/>
      <c r="U729" s="25"/>
      <c r="V729" s="25"/>
      <c r="W729" s="25"/>
      <c r="X729" s="25"/>
      <c r="Y729" s="25"/>
      <c r="Z729" s="25"/>
    </row>
    <row r="730" spans="1:26" x14ac:dyDescent="0.35">
      <c r="A730" s="97"/>
      <c r="B730" s="97"/>
      <c r="C730" s="97"/>
      <c r="D730" s="97"/>
      <c r="E730" s="97"/>
      <c r="F730" s="97"/>
      <c r="G730" s="97"/>
      <c r="H730" s="97"/>
      <c r="I730" s="97"/>
      <c r="J730" s="97"/>
      <c r="K730" s="97"/>
      <c r="L730" s="97"/>
      <c r="M730" s="97"/>
      <c r="N730" s="97"/>
      <c r="O730" s="97"/>
      <c r="P730" s="97"/>
      <c r="Q730" s="97"/>
      <c r="R730" s="97"/>
      <c r="S730" s="97"/>
      <c r="T730" s="97"/>
      <c r="U730" s="25"/>
      <c r="V730" s="25"/>
      <c r="W730" s="25"/>
      <c r="X730" s="25"/>
      <c r="Y730" s="25"/>
      <c r="Z730" s="25"/>
    </row>
    <row r="731" spans="1:26" x14ac:dyDescent="0.35">
      <c r="A731" s="97"/>
      <c r="B731" s="97"/>
      <c r="C731" s="97"/>
      <c r="D731" s="97"/>
      <c r="E731" s="97"/>
      <c r="F731" s="97"/>
      <c r="G731" s="97"/>
      <c r="H731" s="97"/>
      <c r="I731" s="97"/>
      <c r="J731" s="97"/>
      <c r="K731" s="97"/>
      <c r="L731" s="97"/>
      <c r="M731" s="97"/>
      <c r="N731" s="97"/>
      <c r="O731" s="97"/>
      <c r="P731" s="97"/>
      <c r="Q731" s="97"/>
      <c r="R731" s="97"/>
      <c r="S731" s="97"/>
      <c r="T731" s="97"/>
      <c r="U731" s="25"/>
      <c r="V731" s="25"/>
      <c r="W731" s="25"/>
      <c r="X731" s="25"/>
      <c r="Y731" s="25"/>
      <c r="Z731" s="25"/>
    </row>
    <row r="732" spans="1:26" x14ac:dyDescent="0.35">
      <c r="A732" s="97"/>
      <c r="B732" s="97"/>
      <c r="C732" s="97"/>
      <c r="D732" s="97"/>
      <c r="E732" s="97"/>
      <c r="F732" s="97"/>
      <c r="G732" s="97"/>
      <c r="H732" s="97"/>
      <c r="I732" s="97"/>
      <c r="J732" s="97"/>
      <c r="K732" s="97"/>
      <c r="L732" s="97"/>
      <c r="M732" s="97"/>
      <c r="N732" s="97"/>
      <c r="O732" s="97"/>
      <c r="P732" s="97"/>
      <c r="Q732" s="97"/>
      <c r="R732" s="97"/>
      <c r="S732" s="97"/>
      <c r="T732" s="97"/>
      <c r="U732" s="25"/>
      <c r="V732" s="25"/>
      <c r="W732" s="25"/>
      <c r="X732" s="25"/>
      <c r="Y732" s="25"/>
      <c r="Z732" s="25"/>
    </row>
    <row r="733" spans="1:26" x14ac:dyDescent="0.35">
      <c r="A733" s="97"/>
      <c r="B733" s="97"/>
      <c r="C733" s="97"/>
      <c r="D733" s="97"/>
      <c r="E733" s="97"/>
      <c r="F733" s="97"/>
      <c r="G733" s="97"/>
      <c r="H733" s="97"/>
      <c r="I733" s="97"/>
      <c r="J733" s="97"/>
      <c r="K733" s="97"/>
      <c r="L733" s="97"/>
      <c r="M733" s="97"/>
      <c r="N733" s="97"/>
      <c r="O733" s="97"/>
      <c r="P733" s="97"/>
      <c r="Q733" s="97"/>
      <c r="R733" s="97"/>
      <c r="S733" s="97"/>
      <c r="T733" s="97"/>
      <c r="U733" s="25"/>
      <c r="V733" s="25"/>
      <c r="W733" s="25"/>
      <c r="X733" s="25"/>
      <c r="Y733" s="25"/>
      <c r="Z733" s="25"/>
    </row>
    <row r="734" spans="1:26" x14ac:dyDescent="0.35">
      <c r="A734" s="97"/>
      <c r="B734" s="97"/>
      <c r="C734" s="97"/>
      <c r="D734" s="97"/>
      <c r="E734" s="97"/>
      <c r="F734" s="97"/>
      <c r="G734" s="97"/>
      <c r="H734" s="97"/>
      <c r="I734" s="97"/>
      <c r="J734" s="97"/>
      <c r="K734" s="97"/>
      <c r="L734" s="97"/>
      <c r="M734" s="97"/>
      <c r="N734" s="97"/>
      <c r="O734" s="97"/>
      <c r="P734" s="97"/>
      <c r="Q734" s="97"/>
      <c r="R734" s="97"/>
      <c r="S734" s="97"/>
      <c r="T734" s="97"/>
      <c r="U734" s="25"/>
      <c r="V734" s="25"/>
      <c r="W734" s="25"/>
      <c r="X734" s="25"/>
      <c r="Y734" s="25"/>
      <c r="Z734" s="25"/>
    </row>
    <row r="735" spans="1:26" x14ac:dyDescent="0.35">
      <c r="A735" s="97"/>
      <c r="B735" s="97"/>
      <c r="C735" s="97"/>
      <c r="D735" s="97"/>
      <c r="E735" s="97"/>
      <c r="F735" s="97"/>
      <c r="G735" s="97"/>
      <c r="H735" s="97"/>
      <c r="I735" s="97"/>
      <c r="J735" s="97"/>
      <c r="K735" s="97"/>
      <c r="L735" s="97"/>
      <c r="M735" s="97"/>
      <c r="N735" s="97"/>
      <c r="O735" s="97"/>
      <c r="P735" s="97"/>
      <c r="Q735" s="97"/>
      <c r="R735" s="97"/>
      <c r="S735" s="97"/>
      <c r="T735" s="97"/>
      <c r="U735" s="25"/>
      <c r="V735" s="25"/>
      <c r="W735" s="25"/>
      <c r="X735" s="25"/>
      <c r="Y735" s="25"/>
      <c r="Z735" s="25"/>
    </row>
    <row r="736" spans="1:26" x14ac:dyDescent="0.35">
      <c r="A736" s="97"/>
      <c r="B736" s="97"/>
      <c r="C736" s="97"/>
      <c r="D736" s="97"/>
      <c r="E736" s="97"/>
      <c r="F736" s="97"/>
      <c r="G736" s="97"/>
      <c r="H736" s="97"/>
      <c r="I736" s="97"/>
      <c r="J736" s="97"/>
      <c r="K736" s="97"/>
      <c r="L736" s="97"/>
      <c r="M736" s="97"/>
      <c r="N736" s="97"/>
      <c r="O736" s="97"/>
      <c r="P736" s="97"/>
      <c r="Q736" s="97"/>
      <c r="R736" s="97"/>
      <c r="S736" s="97"/>
      <c r="T736" s="97"/>
      <c r="U736" s="25"/>
      <c r="V736" s="25"/>
      <c r="W736" s="25"/>
      <c r="X736" s="25"/>
      <c r="Y736" s="25"/>
      <c r="Z736" s="25"/>
    </row>
    <row r="737" spans="1:26" x14ac:dyDescent="0.35">
      <c r="A737" s="97"/>
      <c r="B737" s="97"/>
      <c r="C737" s="97"/>
      <c r="D737" s="97"/>
      <c r="E737" s="97"/>
      <c r="F737" s="97"/>
      <c r="G737" s="97"/>
      <c r="H737" s="97"/>
      <c r="I737" s="97"/>
      <c r="J737" s="97"/>
      <c r="K737" s="97"/>
      <c r="L737" s="97"/>
      <c r="M737" s="97"/>
      <c r="N737" s="97"/>
      <c r="O737" s="97"/>
      <c r="P737" s="97"/>
      <c r="Q737" s="97"/>
      <c r="R737" s="97"/>
      <c r="S737" s="97"/>
      <c r="T737" s="97"/>
      <c r="U737" s="25"/>
      <c r="V737" s="25"/>
      <c r="W737" s="25"/>
      <c r="X737" s="25"/>
      <c r="Y737" s="25"/>
      <c r="Z737" s="25"/>
    </row>
    <row r="738" spans="1:26" x14ac:dyDescent="0.35">
      <c r="A738" s="97"/>
      <c r="B738" s="97"/>
      <c r="C738" s="97"/>
      <c r="D738" s="97"/>
      <c r="E738" s="97"/>
      <c r="F738" s="97"/>
      <c r="G738" s="97"/>
      <c r="H738" s="97"/>
      <c r="I738" s="97"/>
      <c r="J738" s="97"/>
      <c r="K738" s="97"/>
      <c r="L738" s="97"/>
      <c r="M738" s="97"/>
      <c r="N738" s="97"/>
      <c r="O738" s="97"/>
      <c r="P738" s="97"/>
      <c r="Q738" s="97"/>
      <c r="R738" s="97"/>
      <c r="S738" s="97"/>
      <c r="T738" s="97"/>
      <c r="U738" s="25"/>
      <c r="V738" s="25"/>
      <c r="W738" s="25"/>
      <c r="X738" s="25"/>
      <c r="Y738" s="25"/>
      <c r="Z738" s="25"/>
    </row>
    <row r="739" spans="1:26" x14ac:dyDescent="0.35">
      <c r="A739" s="97"/>
      <c r="B739" s="97"/>
      <c r="C739" s="97"/>
      <c r="D739" s="97"/>
      <c r="E739" s="97"/>
      <c r="F739" s="97"/>
      <c r="G739" s="97"/>
      <c r="H739" s="97"/>
      <c r="I739" s="97"/>
      <c r="J739" s="97"/>
      <c r="K739" s="97"/>
      <c r="L739" s="97"/>
      <c r="M739" s="97"/>
      <c r="N739" s="97"/>
      <c r="O739" s="97"/>
      <c r="P739" s="97"/>
      <c r="Q739" s="97"/>
      <c r="R739" s="97"/>
      <c r="S739" s="97"/>
      <c r="T739" s="97"/>
      <c r="U739" s="25"/>
      <c r="V739" s="25"/>
      <c r="W739" s="25"/>
      <c r="X739" s="25"/>
      <c r="Y739" s="25"/>
      <c r="Z739" s="25"/>
    </row>
    <row r="740" spans="1:26" x14ac:dyDescent="0.35">
      <c r="A740" s="97"/>
      <c r="B740" s="97"/>
      <c r="C740" s="97"/>
      <c r="D740" s="97"/>
      <c r="E740" s="97"/>
      <c r="F740" s="97"/>
      <c r="G740" s="97"/>
      <c r="H740" s="97"/>
      <c r="I740" s="97"/>
      <c r="J740" s="97"/>
      <c r="K740" s="97"/>
      <c r="L740" s="97"/>
      <c r="M740" s="97"/>
      <c r="N740" s="97"/>
      <c r="O740" s="97"/>
      <c r="P740" s="97"/>
      <c r="Q740" s="97"/>
      <c r="R740" s="97"/>
      <c r="S740" s="97"/>
      <c r="T740" s="97"/>
      <c r="U740" s="25"/>
      <c r="V740" s="25"/>
      <c r="W740" s="25"/>
      <c r="X740" s="25"/>
      <c r="Y740" s="25"/>
      <c r="Z740" s="25"/>
    </row>
    <row r="741" spans="1:26" x14ac:dyDescent="0.35">
      <c r="A741" s="97"/>
      <c r="B741" s="97"/>
      <c r="C741" s="97"/>
      <c r="D741" s="97"/>
      <c r="E741" s="97"/>
      <c r="F741" s="97"/>
      <c r="G741" s="97"/>
      <c r="H741" s="97"/>
      <c r="I741" s="97"/>
      <c r="J741" s="97"/>
      <c r="K741" s="97"/>
      <c r="L741" s="97"/>
      <c r="M741" s="97"/>
      <c r="N741" s="97"/>
      <c r="O741" s="97"/>
      <c r="P741" s="97"/>
      <c r="Q741" s="97"/>
      <c r="R741" s="97"/>
      <c r="S741" s="97"/>
      <c r="T741" s="97"/>
      <c r="U741" s="25"/>
      <c r="V741" s="25"/>
      <c r="W741" s="25"/>
      <c r="X741" s="25"/>
      <c r="Y741" s="25"/>
      <c r="Z741" s="25"/>
    </row>
    <row r="742" spans="1:26" x14ac:dyDescent="0.35">
      <c r="A742" s="97"/>
      <c r="B742" s="97"/>
      <c r="C742" s="97"/>
      <c r="D742" s="97"/>
      <c r="E742" s="97"/>
      <c r="F742" s="97"/>
      <c r="G742" s="97"/>
      <c r="H742" s="97"/>
      <c r="I742" s="97"/>
      <c r="J742" s="97"/>
      <c r="K742" s="97"/>
      <c r="L742" s="97"/>
      <c r="M742" s="97"/>
      <c r="N742" s="97"/>
      <c r="O742" s="97"/>
      <c r="P742" s="97"/>
      <c r="Q742" s="97"/>
      <c r="R742" s="97"/>
      <c r="S742" s="97"/>
      <c r="T742" s="97"/>
      <c r="U742" s="25"/>
      <c r="V742" s="25"/>
      <c r="W742" s="25"/>
      <c r="X742" s="25"/>
      <c r="Y742" s="25"/>
      <c r="Z742" s="25"/>
    </row>
    <row r="743" spans="1:26" x14ac:dyDescent="0.35">
      <c r="A743" s="97"/>
      <c r="B743" s="97"/>
      <c r="C743" s="97"/>
      <c r="D743" s="97"/>
      <c r="E743" s="97"/>
      <c r="F743" s="97"/>
      <c r="G743" s="97"/>
      <c r="H743" s="97"/>
      <c r="I743" s="97"/>
      <c r="J743" s="97"/>
      <c r="K743" s="97"/>
      <c r="L743" s="97"/>
      <c r="M743" s="97"/>
      <c r="N743" s="97"/>
      <c r="O743" s="97"/>
      <c r="P743" s="97"/>
      <c r="Q743" s="97"/>
      <c r="R743" s="97"/>
      <c r="S743" s="97"/>
      <c r="T743" s="97"/>
      <c r="U743" s="25"/>
      <c r="V743" s="25"/>
      <c r="W743" s="25"/>
      <c r="X743" s="25"/>
      <c r="Y743" s="25"/>
      <c r="Z743" s="25"/>
    </row>
    <row r="744" spans="1:26" x14ac:dyDescent="0.35">
      <c r="A744" s="97"/>
      <c r="B744" s="97"/>
      <c r="C744" s="97"/>
      <c r="D744" s="97"/>
      <c r="E744" s="97"/>
      <c r="F744" s="97"/>
      <c r="G744" s="97"/>
      <c r="H744" s="97"/>
      <c r="I744" s="97"/>
      <c r="J744" s="97"/>
      <c r="K744" s="97"/>
      <c r="L744" s="97"/>
      <c r="M744" s="97"/>
      <c r="N744" s="97"/>
      <c r="O744" s="97"/>
      <c r="P744" s="97"/>
      <c r="Q744" s="97"/>
      <c r="R744" s="97"/>
      <c r="S744" s="97"/>
      <c r="T744" s="97"/>
      <c r="U744" s="25"/>
      <c r="V744" s="25"/>
      <c r="W744" s="25"/>
      <c r="X744" s="25"/>
      <c r="Y744" s="25"/>
      <c r="Z744" s="25"/>
    </row>
    <row r="745" spans="1:26" x14ac:dyDescent="0.35">
      <c r="A745" s="97"/>
      <c r="B745" s="97"/>
      <c r="C745" s="97"/>
      <c r="D745" s="97"/>
      <c r="E745" s="97"/>
      <c r="F745" s="97"/>
      <c r="G745" s="97"/>
      <c r="H745" s="97"/>
      <c r="I745" s="97"/>
      <c r="J745" s="97"/>
      <c r="K745" s="97"/>
      <c r="L745" s="97"/>
      <c r="M745" s="97"/>
      <c r="N745" s="97"/>
      <c r="O745" s="97"/>
      <c r="P745" s="97"/>
      <c r="Q745" s="97"/>
      <c r="R745" s="97"/>
      <c r="S745" s="97"/>
      <c r="T745" s="97"/>
      <c r="U745" s="25"/>
      <c r="V745" s="25"/>
      <c r="W745" s="25"/>
      <c r="X745" s="25"/>
      <c r="Y745" s="25"/>
      <c r="Z745" s="25"/>
    </row>
    <row r="746" spans="1:26" x14ac:dyDescent="0.35">
      <c r="A746" s="97"/>
      <c r="B746" s="97"/>
      <c r="C746" s="97"/>
      <c r="D746" s="97"/>
      <c r="E746" s="97"/>
      <c r="F746" s="97"/>
      <c r="G746" s="97"/>
      <c r="H746" s="97"/>
      <c r="I746" s="97"/>
      <c r="J746" s="97"/>
      <c r="K746" s="97"/>
      <c r="L746" s="97"/>
      <c r="M746" s="97"/>
      <c r="N746" s="97"/>
      <c r="O746" s="97"/>
      <c r="P746" s="97"/>
      <c r="Q746" s="97"/>
      <c r="R746" s="97"/>
      <c r="S746" s="97"/>
      <c r="T746" s="97"/>
      <c r="U746" s="25"/>
      <c r="V746" s="25"/>
      <c r="W746" s="25"/>
      <c r="X746" s="25"/>
      <c r="Y746" s="25"/>
      <c r="Z746" s="25"/>
    </row>
    <row r="747" spans="1:26" x14ac:dyDescent="0.35">
      <c r="A747" s="97"/>
      <c r="B747" s="97"/>
      <c r="C747" s="97"/>
      <c r="D747" s="97"/>
      <c r="E747" s="97"/>
      <c r="F747" s="97"/>
      <c r="G747" s="97"/>
      <c r="H747" s="97"/>
      <c r="I747" s="97"/>
      <c r="J747" s="97"/>
      <c r="K747" s="97"/>
      <c r="L747" s="97"/>
      <c r="M747" s="97"/>
      <c r="N747" s="97"/>
      <c r="O747" s="97"/>
      <c r="P747" s="97"/>
      <c r="Q747" s="97"/>
      <c r="R747" s="97"/>
      <c r="S747" s="97"/>
      <c r="T747" s="97"/>
      <c r="U747" s="25"/>
      <c r="V747" s="25"/>
      <c r="W747" s="25"/>
      <c r="X747" s="25"/>
      <c r="Y747" s="25"/>
      <c r="Z747" s="25"/>
    </row>
    <row r="748" spans="1:26" x14ac:dyDescent="0.35">
      <c r="A748" s="97"/>
      <c r="B748" s="97"/>
      <c r="C748" s="97"/>
      <c r="D748" s="97"/>
      <c r="E748" s="97"/>
      <c r="F748" s="97"/>
      <c r="G748" s="97"/>
      <c r="H748" s="97"/>
      <c r="I748" s="97"/>
      <c r="J748" s="97"/>
      <c r="K748" s="97"/>
      <c r="L748" s="97"/>
      <c r="M748" s="97"/>
      <c r="N748" s="97"/>
      <c r="O748" s="97"/>
      <c r="P748" s="97"/>
      <c r="Q748" s="97"/>
      <c r="R748" s="97"/>
      <c r="S748" s="97"/>
      <c r="T748" s="97"/>
      <c r="U748" s="25"/>
      <c r="V748" s="25"/>
      <c r="W748" s="25"/>
      <c r="X748" s="25"/>
      <c r="Y748" s="25"/>
      <c r="Z748" s="25"/>
    </row>
    <row r="749" spans="1:26" x14ac:dyDescent="0.35">
      <c r="A749" s="97"/>
      <c r="B749" s="97"/>
      <c r="C749" s="97"/>
      <c r="D749" s="97"/>
      <c r="E749" s="97"/>
      <c r="F749" s="97"/>
      <c r="G749" s="97"/>
      <c r="H749" s="97"/>
      <c r="I749" s="97"/>
      <c r="J749" s="97"/>
      <c r="K749" s="97"/>
      <c r="L749" s="97"/>
      <c r="M749" s="97"/>
      <c r="N749" s="97"/>
      <c r="O749" s="97"/>
      <c r="P749" s="97"/>
      <c r="Q749" s="97"/>
      <c r="R749" s="97"/>
      <c r="S749" s="97"/>
      <c r="T749" s="97"/>
      <c r="U749" s="25"/>
      <c r="V749" s="25"/>
      <c r="W749" s="25"/>
      <c r="X749" s="25"/>
      <c r="Y749" s="25"/>
      <c r="Z749" s="25"/>
    </row>
    <row r="750" spans="1:26" x14ac:dyDescent="0.35">
      <c r="A750" s="97"/>
      <c r="B750" s="97"/>
      <c r="C750" s="97"/>
      <c r="D750" s="97"/>
      <c r="E750" s="97"/>
      <c r="F750" s="97"/>
      <c r="G750" s="97"/>
      <c r="H750" s="97"/>
      <c r="I750" s="97"/>
      <c r="J750" s="97"/>
      <c r="K750" s="97"/>
      <c r="L750" s="97"/>
      <c r="M750" s="97"/>
      <c r="N750" s="97"/>
      <c r="O750" s="97"/>
      <c r="P750" s="97"/>
      <c r="Q750" s="97"/>
      <c r="R750" s="97"/>
      <c r="S750" s="97"/>
      <c r="T750" s="97"/>
      <c r="U750" s="25"/>
      <c r="V750" s="25"/>
      <c r="W750" s="25"/>
      <c r="X750" s="25"/>
      <c r="Y750" s="25"/>
      <c r="Z750" s="25"/>
    </row>
    <row r="751" spans="1:26" x14ac:dyDescent="0.35">
      <c r="A751" s="97"/>
      <c r="B751" s="97"/>
      <c r="C751" s="97"/>
      <c r="D751" s="97"/>
      <c r="E751" s="97"/>
      <c r="F751" s="97"/>
      <c r="G751" s="97"/>
      <c r="H751" s="97"/>
      <c r="I751" s="97"/>
      <c r="J751" s="97"/>
      <c r="K751" s="97"/>
      <c r="L751" s="97"/>
      <c r="M751" s="97"/>
      <c r="N751" s="97"/>
      <c r="O751" s="97"/>
      <c r="P751" s="97"/>
      <c r="Q751" s="97"/>
      <c r="R751" s="97"/>
      <c r="S751" s="97"/>
      <c r="T751" s="97"/>
      <c r="U751" s="25"/>
      <c r="V751" s="25"/>
      <c r="W751" s="25"/>
      <c r="X751" s="25"/>
      <c r="Y751" s="25"/>
      <c r="Z751" s="25"/>
    </row>
    <row r="752" spans="1:26" x14ac:dyDescent="0.35">
      <c r="A752" s="97"/>
      <c r="B752" s="97"/>
      <c r="C752" s="97"/>
      <c r="D752" s="97"/>
      <c r="E752" s="97"/>
      <c r="F752" s="97"/>
      <c r="G752" s="97"/>
      <c r="H752" s="97"/>
      <c r="I752" s="97"/>
      <c r="J752" s="97"/>
      <c r="K752" s="97"/>
      <c r="L752" s="97"/>
      <c r="M752" s="97"/>
      <c r="N752" s="97"/>
      <c r="O752" s="97"/>
      <c r="P752" s="97"/>
      <c r="Q752" s="97"/>
      <c r="R752" s="97"/>
      <c r="S752" s="97"/>
      <c r="T752" s="97"/>
      <c r="U752" s="25"/>
      <c r="V752" s="25"/>
      <c r="W752" s="25"/>
      <c r="X752" s="25"/>
      <c r="Y752" s="25"/>
      <c r="Z752" s="25"/>
    </row>
    <row r="753" spans="1:26" x14ac:dyDescent="0.35">
      <c r="A753" s="97"/>
      <c r="B753" s="97"/>
      <c r="C753" s="97"/>
      <c r="D753" s="97"/>
      <c r="E753" s="97"/>
      <c r="F753" s="97"/>
      <c r="G753" s="97"/>
      <c r="H753" s="97"/>
      <c r="I753" s="97"/>
      <c r="J753" s="97"/>
      <c r="K753" s="97"/>
      <c r="L753" s="97"/>
      <c r="M753" s="97"/>
      <c r="N753" s="97"/>
      <c r="O753" s="97"/>
      <c r="P753" s="97"/>
      <c r="Q753" s="97"/>
      <c r="R753" s="97"/>
      <c r="S753" s="97"/>
      <c r="T753" s="97"/>
      <c r="U753" s="25"/>
      <c r="V753" s="25"/>
      <c r="W753" s="25"/>
      <c r="X753" s="25"/>
      <c r="Y753" s="25"/>
      <c r="Z753" s="25"/>
    </row>
    <row r="754" spans="1:26" x14ac:dyDescent="0.35">
      <c r="A754" s="97"/>
      <c r="B754" s="97"/>
      <c r="C754" s="97"/>
      <c r="D754" s="97"/>
      <c r="E754" s="97"/>
      <c r="F754" s="97"/>
      <c r="G754" s="97"/>
      <c r="H754" s="97"/>
      <c r="I754" s="97"/>
      <c r="J754" s="97"/>
      <c r="K754" s="97"/>
      <c r="L754" s="97"/>
      <c r="M754" s="97"/>
      <c r="N754" s="97"/>
      <c r="O754" s="97"/>
      <c r="P754" s="97"/>
      <c r="Q754" s="97"/>
      <c r="R754" s="97"/>
      <c r="S754" s="97"/>
      <c r="T754" s="97"/>
      <c r="U754" s="25"/>
      <c r="V754" s="25"/>
      <c r="W754" s="25"/>
      <c r="X754" s="25"/>
      <c r="Y754" s="25"/>
      <c r="Z754" s="25"/>
    </row>
    <row r="755" spans="1:26" x14ac:dyDescent="0.35">
      <c r="A755" s="97"/>
      <c r="B755" s="97"/>
      <c r="C755" s="97"/>
      <c r="D755" s="97"/>
      <c r="E755" s="97"/>
      <c r="F755" s="97"/>
      <c r="G755" s="97"/>
      <c r="H755" s="97"/>
      <c r="I755" s="97"/>
      <c r="J755" s="97"/>
      <c r="K755" s="97"/>
      <c r="L755" s="97"/>
      <c r="M755" s="97"/>
      <c r="N755" s="97"/>
      <c r="O755" s="97"/>
      <c r="P755" s="97"/>
      <c r="Q755" s="97"/>
      <c r="R755" s="97"/>
      <c r="S755" s="97"/>
      <c r="T755" s="97"/>
      <c r="U755" s="25"/>
      <c r="V755" s="25"/>
      <c r="W755" s="25"/>
      <c r="X755" s="25"/>
      <c r="Y755" s="25"/>
      <c r="Z755" s="25"/>
    </row>
    <row r="756" spans="1:26" x14ac:dyDescent="0.35">
      <c r="A756" s="97"/>
      <c r="B756" s="97"/>
      <c r="C756" s="97"/>
      <c r="D756" s="97"/>
      <c r="E756" s="97"/>
      <c r="F756" s="97"/>
      <c r="G756" s="97"/>
      <c r="H756" s="97"/>
      <c r="I756" s="97"/>
      <c r="J756" s="97"/>
      <c r="K756" s="97"/>
      <c r="L756" s="97"/>
      <c r="M756" s="97"/>
      <c r="N756" s="97"/>
      <c r="O756" s="97"/>
      <c r="P756" s="97"/>
      <c r="Q756" s="97"/>
      <c r="R756" s="97"/>
      <c r="S756" s="97"/>
      <c r="T756" s="97"/>
      <c r="U756" s="25"/>
      <c r="V756" s="25"/>
      <c r="W756" s="25"/>
      <c r="X756" s="25"/>
      <c r="Y756" s="25"/>
      <c r="Z756" s="25"/>
    </row>
    <row r="757" spans="1:26" x14ac:dyDescent="0.35">
      <c r="A757" s="97"/>
      <c r="B757" s="97"/>
      <c r="C757" s="97"/>
      <c r="D757" s="97"/>
      <c r="E757" s="97"/>
      <c r="F757" s="97"/>
      <c r="G757" s="97"/>
      <c r="H757" s="97"/>
      <c r="I757" s="97"/>
      <c r="J757" s="97"/>
      <c r="K757" s="97"/>
      <c r="L757" s="97"/>
      <c r="M757" s="97"/>
      <c r="N757" s="97"/>
      <c r="O757" s="97"/>
      <c r="P757" s="97"/>
      <c r="Q757" s="97"/>
      <c r="R757" s="97"/>
      <c r="S757" s="97"/>
      <c r="T757" s="97"/>
      <c r="U757" s="25"/>
      <c r="V757" s="25"/>
      <c r="W757" s="25"/>
      <c r="X757" s="25"/>
      <c r="Y757" s="25"/>
      <c r="Z757" s="25"/>
    </row>
    <row r="758" spans="1:26" x14ac:dyDescent="0.35">
      <c r="A758" s="97"/>
      <c r="B758" s="97"/>
      <c r="C758" s="97"/>
      <c r="D758" s="97"/>
      <c r="E758" s="97"/>
      <c r="F758" s="97"/>
      <c r="G758" s="97"/>
      <c r="H758" s="97"/>
      <c r="I758" s="97"/>
      <c r="J758" s="97"/>
      <c r="K758" s="97"/>
      <c r="L758" s="97"/>
      <c r="M758" s="97"/>
      <c r="N758" s="97"/>
      <c r="O758" s="97"/>
      <c r="P758" s="97"/>
      <c r="Q758" s="97"/>
      <c r="R758" s="97"/>
      <c r="S758" s="97"/>
      <c r="T758" s="97"/>
      <c r="U758" s="25"/>
      <c r="V758" s="25"/>
      <c r="W758" s="25"/>
      <c r="X758" s="25"/>
      <c r="Y758" s="25"/>
      <c r="Z758" s="25"/>
    </row>
    <row r="759" spans="1:26" x14ac:dyDescent="0.35">
      <c r="A759" s="97"/>
      <c r="B759" s="97"/>
      <c r="C759" s="97"/>
      <c r="D759" s="97"/>
      <c r="E759" s="97"/>
      <c r="F759" s="97"/>
      <c r="G759" s="97"/>
      <c r="H759" s="97"/>
      <c r="I759" s="97"/>
      <c r="J759" s="97"/>
      <c r="K759" s="97"/>
      <c r="L759" s="97"/>
      <c r="M759" s="97"/>
      <c r="N759" s="97"/>
      <c r="O759" s="97"/>
      <c r="P759" s="97"/>
      <c r="Q759" s="97"/>
      <c r="R759" s="97"/>
      <c r="S759" s="97"/>
      <c r="T759" s="97"/>
      <c r="U759" s="25"/>
      <c r="V759" s="25"/>
      <c r="W759" s="25"/>
      <c r="X759" s="25"/>
      <c r="Y759" s="25"/>
      <c r="Z759" s="25"/>
    </row>
    <row r="760" spans="1:26" x14ac:dyDescent="0.35">
      <c r="A760" s="97"/>
      <c r="B760" s="97"/>
      <c r="C760" s="97"/>
      <c r="D760" s="97"/>
      <c r="E760" s="97"/>
      <c r="F760" s="97"/>
      <c r="G760" s="97"/>
      <c r="H760" s="97"/>
      <c r="I760" s="97"/>
      <c r="J760" s="97"/>
      <c r="K760" s="97"/>
      <c r="L760" s="97"/>
      <c r="M760" s="97"/>
      <c r="N760" s="97"/>
      <c r="O760" s="97"/>
      <c r="P760" s="97"/>
      <c r="Q760" s="97"/>
      <c r="R760" s="97"/>
      <c r="S760" s="97"/>
      <c r="T760" s="97"/>
      <c r="U760" s="25"/>
      <c r="V760" s="25"/>
      <c r="W760" s="25"/>
      <c r="X760" s="25"/>
      <c r="Y760" s="25"/>
      <c r="Z760" s="25"/>
    </row>
    <row r="761" spans="1:26" x14ac:dyDescent="0.35">
      <c r="A761" s="97"/>
      <c r="B761" s="97"/>
      <c r="C761" s="97"/>
      <c r="D761" s="97"/>
      <c r="E761" s="97"/>
      <c r="F761" s="97"/>
      <c r="G761" s="97"/>
      <c r="H761" s="97"/>
      <c r="I761" s="97"/>
      <c r="J761" s="97"/>
      <c r="K761" s="97"/>
      <c r="L761" s="97"/>
      <c r="M761" s="97"/>
      <c r="N761" s="97"/>
      <c r="O761" s="97"/>
      <c r="P761" s="97"/>
      <c r="Q761" s="97"/>
      <c r="R761" s="97"/>
      <c r="S761" s="97"/>
      <c r="T761" s="97"/>
      <c r="U761" s="25"/>
      <c r="V761" s="25"/>
      <c r="W761" s="25"/>
      <c r="X761" s="25"/>
      <c r="Y761" s="25"/>
      <c r="Z761" s="25"/>
    </row>
    <row r="762" spans="1:26" x14ac:dyDescent="0.35">
      <c r="A762" s="97"/>
      <c r="B762" s="97"/>
      <c r="C762" s="97"/>
      <c r="D762" s="97"/>
      <c r="E762" s="97"/>
      <c r="F762" s="97"/>
      <c r="G762" s="97"/>
      <c r="H762" s="97"/>
      <c r="I762" s="97"/>
      <c r="J762" s="97"/>
      <c r="K762" s="97"/>
      <c r="L762" s="97"/>
      <c r="M762" s="97"/>
      <c r="N762" s="97"/>
      <c r="O762" s="97"/>
      <c r="P762" s="97"/>
      <c r="Q762" s="97"/>
      <c r="R762" s="97"/>
      <c r="S762" s="97"/>
      <c r="T762" s="97"/>
      <c r="U762" s="25"/>
      <c r="V762" s="25"/>
      <c r="W762" s="25"/>
      <c r="X762" s="25"/>
      <c r="Y762" s="25"/>
      <c r="Z762" s="25"/>
    </row>
    <row r="763" spans="1:26" x14ac:dyDescent="0.35">
      <c r="A763" s="97"/>
      <c r="B763" s="97"/>
      <c r="C763" s="97"/>
      <c r="D763" s="97"/>
      <c r="E763" s="97"/>
      <c r="F763" s="97"/>
      <c r="G763" s="97"/>
      <c r="H763" s="97"/>
      <c r="I763" s="97"/>
      <c r="J763" s="97"/>
      <c r="K763" s="97"/>
      <c r="L763" s="97"/>
      <c r="M763" s="97"/>
      <c r="N763" s="97"/>
      <c r="O763" s="97"/>
      <c r="P763" s="97"/>
      <c r="Q763" s="97"/>
      <c r="R763" s="97"/>
      <c r="S763" s="97"/>
      <c r="T763" s="97"/>
      <c r="U763" s="25"/>
      <c r="V763" s="25"/>
      <c r="W763" s="25"/>
      <c r="X763" s="25"/>
      <c r="Y763" s="25"/>
      <c r="Z763" s="25"/>
    </row>
    <row r="764" spans="1:26" x14ac:dyDescent="0.35">
      <c r="A764" s="97"/>
      <c r="B764" s="97"/>
      <c r="C764" s="97"/>
      <c r="D764" s="97"/>
      <c r="E764" s="97"/>
      <c r="F764" s="97"/>
      <c r="G764" s="97"/>
      <c r="H764" s="97"/>
      <c r="I764" s="97"/>
      <c r="J764" s="97"/>
      <c r="K764" s="97"/>
      <c r="L764" s="97"/>
      <c r="M764" s="97"/>
      <c r="N764" s="97"/>
      <c r="O764" s="97"/>
      <c r="P764" s="97"/>
      <c r="Q764" s="97"/>
      <c r="R764" s="97"/>
      <c r="S764" s="97"/>
      <c r="T764" s="97"/>
      <c r="U764" s="25"/>
      <c r="V764" s="25"/>
      <c r="W764" s="25"/>
      <c r="X764" s="25"/>
      <c r="Y764" s="25"/>
      <c r="Z764" s="25"/>
    </row>
    <row r="765" spans="1:26" x14ac:dyDescent="0.35">
      <c r="A765" s="97"/>
      <c r="B765" s="97"/>
      <c r="C765" s="97"/>
      <c r="D765" s="97"/>
      <c r="E765" s="97"/>
      <c r="F765" s="97"/>
      <c r="G765" s="97"/>
      <c r="H765" s="97"/>
      <c r="I765" s="97"/>
      <c r="J765" s="97"/>
      <c r="K765" s="97"/>
      <c r="L765" s="97"/>
      <c r="M765" s="97"/>
      <c r="N765" s="97"/>
      <c r="O765" s="97"/>
      <c r="P765" s="97"/>
      <c r="Q765" s="97"/>
      <c r="R765" s="97"/>
      <c r="S765" s="97"/>
      <c r="T765" s="97"/>
      <c r="U765" s="25"/>
      <c r="V765" s="25"/>
      <c r="W765" s="25"/>
      <c r="X765" s="25"/>
      <c r="Y765" s="25"/>
      <c r="Z765" s="25"/>
    </row>
    <row r="766" spans="1:26" x14ac:dyDescent="0.35">
      <c r="A766" s="97"/>
      <c r="B766" s="97"/>
      <c r="C766" s="97"/>
      <c r="D766" s="97"/>
      <c r="E766" s="97"/>
      <c r="F766" s="97"/>
      <c r="G766" s="97"/>
      <c r="H766" s="97"/>
      <c r="I766" s="97"/>
      <c r="J766" s="97"/>
      <c r="K766" s="97"/>
      <c r="L766" s="97"/>
      <c r="M766" s="97"/>
      <c r="N766" s="97"/>
      <c r="O766" s="97"/>
      <c r="P766" s="97"/>
      <c r="Q766" s="97"/>
      <c r="R766" s="97"/>
      <c r="S766" s="97"/>
      <c r="T766" s="97"/>
      <c r="U766" s="25"/>
      <c r="V766" s="25"/>
      <c r="W766" s="25"/>
      <c r="X766" s="25"/>
      <c r="Y766" s="25"/>
      <c r="Z766" s="25"/>
    </row>
    <row r="767" spans="1:26" x14ac:dyDescent="0.35">
      <c r="A767" s="97"/>
      <c r="B767" s="97"/>
      <c r="C767" s="97"/>
      <c r="D767" s="97"/>
      <c r="E767" s="97"/>
      <c r="F767" s="97"/>
      <c r="G767" s="97"/>
      <c r="H767" s="97"/>
      <c r="I767" s="97"/>
      <c r="J767" s="97"/>
      <c r="K767" s="97"/>
      <c r="L767" s="97"/>
      <c r="M767" s="97"/>
      <c r="N767" s="97"/>
      <c r="O767" s="97"/>
      <c r="P767" s="97"/>
      <c r="Q767" s="97"/>
      <c r="R767" s="97"/>
      <c r="S767" s="97"/>
      <c r="T767" s="97"/>
      <c r="U767" s="25"/>
      <c r="V767" s="25"/>
      <c r="W767" s="25"/>
      <c r="X767" s="25"/>
      <c r="Y767" s="25"/>
      <c r="Z767" s="25"/>
    </row>
    <row r="768" spans="1:26" x14ac:dyDescent="0.35">
      <c r="A768" s="97"/>
      <c r="B768" s="97"/>
      <c r="C768" s="97"/>
      <c r="D768" s="97"/>
      <c r="E768" s="97"/>
      <c r="F768" s="97"/>
      <c r="G768" s="97"/>
      <c r="H768" s="97"/>
      <c r="I768" s="97"/>
      <c r="J768" s="97"/>
      <c r="K768" s="97"/>
      <c r="L768" s="97"/>
      <c r="M768" s="97"/>
      <c r="N768" s="97"/>
      <c r="O768" s="97"/>
      <c r="P768" s="97"/>
      <c r="Q768" s="97"/>
      <c r="R768" s="97"/>
      <c r="S768" s="97"/>
      <c r="T768" s="97"/>
      <c r="U768" s="25"/>
      <c r="V768" s="25"/>
      <c r="W768" s="25"/>
      <c r="X768" s="25"/>
      <c r="Y768" s="25"/>
      <c r="Z768" s="25"/>
    </row>
    <row r="769" spans="1:26" x14ac:dyDescent="0.35">
      <c r="A769" s="97"/>
      <c r="B769" s="97"/>
      <c r="C769" s="97"/>
      <c r="D769" s="97"/>
      <c r="E769" s="97"/>
      <c r="F769" s="97"/>
      <c r="G769" s="97"/>
      <c r="H769" s="97"/>
      <c r="I769" s="97"/>
      <c r="J769" s="97"/>
      <c r="K769" s="97"/>
      <c r="L769" s="97"/>
      <c r="M769" s="97"/>
      <c r="N769" s="97"/>
      <c r="O769" s="97"/>
      <c r="P769" s="97"/>
      <c r="Q769" s="97"/>
      <c r="R769" s="97"/>
      <c r="S769" s="97"/>
      <c r="T769" s="97"/>
      <c r="U769" s="25"/>
      <c r="V769" s="25"/>
      <c r="W769" s="25"/>
      <c r="X769" s="25"/>
      <c r="Y769" s="25"/>
      <c r="Z769" s="25"/>
    </row>
    <row r="770" spans="1:26" x14ac:dyDescent="0.35">
      <c r="A770" s="97"/>
      <c r="B770" s="97"/>
      <c r="C770" s="97"/>
      <c r="D770" s="97"/>
      <c r="E770" s="97"/>
      <c r="F770" s="97"/>
      <c r="G770" s="97"/>
      <c r="H770" s="97"/>
      <c r="I770" s="97"/>
      <c r="J770" s="97"/>
      <c r="K770" s="97"/>
      <c r="L770" s="97"/>
      <c r="M770" s="97"/>
      <c r="N770" s="97"/>
      <c r="O770" s="97"/>
      <c r="P770" s="97"/>
      <c r="Q770" s="97"/>
      <c r="R770" s="97"/>
      <c r="S770" s="97"/>
      <c r="T770" s="97"/>
      <c r="U770" s="25"/>
      <c r="V770" s="25"/>
      <c r="W770" s="25"/>
      <c r="X770" s="25"/>
      <c r="Y770" s="25"/>
      <c r="Z770" s="25"/>
    </row>
    <row r="771" spans="1:26" x14ac:dyDescent="0.35">
      <c r="A771" s="97"/>
      <c r="B771" s="97"/>
      <c r="C771" s="97"/>
      <c r="D771" s="97"/>
      <c r="E771" s="97"/>
      <c r="F771" s="97"/>
      <c r="G771" s="97"/>
      <c r="H771" s="97"/>
      <c r="I771" s="97"/>
      <c r="J771" s="97"/>
      <c r="K771" s="97"/>
      <c r="L771" s="97"/>
      <c r="M771" s="97"/>
      <c r="N771" s="97"/>
      <c r="O771" s="97"/>
      <c r="P771" s="97"/>
      <c r="Q771" s="97"/>
      <c r="R771" s="97"/>
      <c r="S771" s="97"/>
      <c r="T771" s="97"/>
      <c r="U771" s="25"/>
      <c r="V771" s="25"/>
      <c r="W771" s="25"/>
      <c r="X771" s="25"/>
      <c r="Y771" s="25"/>
      <c r="Z771" s="25"/>
    </row>
    <row r="772" spans="1:26" x14ac:dyDescent="0.35">
      <c r="A772" s="97"/>
      <c r="B772" s="97"/>
      <c r="C772" s="97"/>
      <c r="D772" s="97"/>
      <c r="E772" s="97"/>
      <c r="F772" s="97"/>
      <c r="G772" s="97"/>
      <c r="H772" s="97"/>
      <c r="I772" s="97"/>
      <c r="J772" s="97"/>
      <c r="K772" s="97"/>
      <c r="L772" s="97"/>
      <c r="M772" s="97"/>
      <c r="N772" s="97"/>
      <c r="O772" s="97"/>
      <c r="P772" s="97"/>
      <c r="Q772" s="97"/>
      <c r="R772" s="97"/>
      <c r="S772" s="97"/>
      <c r="T772" s="97"/>
      <c r="U772" s="25"/>
      <c r="V772" s="25"/>
      <c r="W772" s="25"/>
      <c r="X772" s="25"/>
      <c r="Y772" s="25"/>
      <c r="Z772" s="25"/>
    </row>
    <row r="773" spans="1:26" x14ac:dyDescent="0.35">
      <c r="A773" s="97"/>
      <c r="B773" s="97"/>
      <c r="C773" s="97"/>
      <c r="D773" s="97"/>
      <c r="E773" s="97"/>
      <c r="F773" s="97"/>
      <c r="G773" s="97"/>
      <c r="H773" s="97"/>
      <c r="I773" s="97"/>
      <c r="J773" s="97"/>
      <c r="K773" s="97"/>
      <c r="L773" s="97"/>
      <c r="M773" s="97"/>
      <c r="N773" s="97"/>
      <c r="O773" s="97"/>
      <c r="P773" s="97"/>
      <c r="Q773" s="97"/>
      <c r="R773" s="97"/>
      <c r="S773" s="97"/>
      <c r="T773" s="97"/>
      <c r="U773" s="25"/>
      <c r="V773" s="25"/>
      <c r="W773" s="25"/>
      <c r="X773" s="25"/>
      <c r="Y773" s="25"/>
      <c r="Z773" s="25"/>
    </row>
    <row r="774" spans="1:26" x14ac:dyDescent="0.35">
      <c r="A774" s="97"/>
      <c r="B774" s="97"/>
      <c r="C774" s="97"/>
      <c r="D774" s="97"/>
      <c r="E774" s="97"/>
      <c r="F774" s="97"/>
      <c r="G774" s="97"/>
      <c r="H774" s="97"/>
      <c r="I774" s="97"/>
      <c r="J774" s="97"/>
      <c r="K774" s="97"/>
      <c r="L774" s="97"/>
      <c r="M774" s="97"/>
      <c r="N774" s="97"/>
      <c r="O774" s="97"/>
      <c r="P774" s="97"/>
      <c r="Q774" s="97"/>
      <c r="R774" s="97"/>
      <c r="S774" s="97"/>
      <c r="T774" s="97"/>
      <c r="U774" s="25"/>
      <c r="V774" s="25"/>
      <c r="W774" s="25"/>
      <c r="X774" s="25"/>
      <c r="Y774" s="25"/>
      <c r="Z774" s="25"/>
    </row>
    <row r="775" spans="1:26" x14ac:dyDescent="0.35">
      <c r="A775" s="97"/>
      <c r="B775" s="97"/>
      <c r="C775" s="97"/>
      <c r="D775" s="97"/>
      <c r="E775" s="97"/>
      <c r="F775" s="97"/>
      <c r="G775" s="97"/>
      <c r="H775" s="97"/>
      <c r="I775" s="97"/>
      <c r="J775" s="97"/>
      <c r="K775" s="97"/>
      <c r="L775" s="97"/>
      <c r="M775" s="97"/>
      <c r="N775" s="97"/>
      <c r="O775" s="97"/>
      <c r="P775" s="97"/>
      <c r="Q775" s="97"/>
      <c r="R775" s="97"/>
      <c r="S775" s="97"/>
      <c r="T775" s="97"/>
      <c r="U775" s="25"/>
      <c r="V775" s="25"/>
      <c r="W775" s="25"/>
      <c r="X775" s="25"/>
      <c r="Y775" s="25"/>
      <c r="Z775" s="25"/>
    </row>
    <row r="776" spans="1:26" x14ac:dyDescent="0.35">
      <c r="A776" s="97"/>
      <c r="B776" s="97"/>
      <c r="C776" s="97"/>
      <c r="D776" s="97"/>
      <c r="E776" s="97"/>
      <c r="F776" s="97"/>
      <c r="G776" s="97"/>
      <c r="H776" s="97"/>
      <c r="I776" s="97"/>
      <c r="J776" s="97"/>
      <c r="K776" s="97"/>
      <c r="L776" s="97"/>
      <c r="M776" s="97"/>
      <c r="N776" s="97"/>
      <c r="O776" s="97"/>
      <c r="P776" s="97"/>
      <c r="Q776" s="97"/>
      <c r="R776" s="97"/>
      <c r="S776" s="97"/>
      <c r="T776" s="97"/>
      <c r="U776" s="25"/>
      <c r="V776" s="25"/>
      <c r="W776" s="25"/>
      <c r="X776" s="25"/>
      <c r="Y776" s="25"/>
      <c r="Z776" s="25"/>
    </row>
    <row r="777" spans="1:26" x14ac:dyDescent="0.35">
      <c r="A777" s="97"/>
      <c r="B777" s="97"/>
      <c r="C777" s="97"/>
      <c r="D777" s="97"/>
      <c r="E777" s="97"/>
      <c r="F777" s="97"/>
      <c r="G777" s="97"/>
      <c r="H777" s="97"/>
      <c r="I777" s="97"/>
      <c r="J777" s="97"/>
      <c r="K777" s="97"/>
      <c r="L777" s="97"/>
      <c r="M777" s="97"/>
      <c r="N777" s="97"/>
      <c r="O777" s="97"/>
      <c r="P777" s="97"/>
      <c r="Q777" s="97"/>
      <c r="R777" s="97"/>
      <c r="S777" s="97"/>
      <c r="T777" s="97"/>
      <c r="U777" s="25"/>
      <c r="V777" s="25"/>
      <c r="W777" s="25"/>
      <c r="X777" s="25"/>
      <c r="Y777" s="25"/>
      <c r="Z777" s="25"/>
    </row>
    <row r="778" spans="1:26" x14ac:dyDescent="0.35">
      <c r="A778" s="97"/>
      <c r="B778" s="97"/>
      <c r="C778" s="97"/>
      <c r="D778" s="97"/>
      <c r="E778" s="97"/>
      <c r="F778" s="97"/>
      <c r="G778" s="97"/>
      <c r="H778" s="97"/>
      <c r="I778" s="97"/>
      <c r="J778" s="97"/>
      <c r="K778" s="97"/>
      <c r="L778" s="97"/>
      <c r="M778" s="97"/>
      <c r="N778" s="97"/>
      <c r="O778" s="97"/>
      <c r="P778" s="97"/>
      <c r="Q778" s="97"/>
      <c r="R778" s="97"/>
      <c r="S778" s="97"/>
      <c r="T778" s="97"/>
      <c r="U778" s="25"/>
      <c r="V778" s="25"/>
      <c r="W778" s="25"/>
      <c r="X778" s="25"/>
      <c r="Y778" s="25"/>
      <c r="Z778" s="25"/>
    </row>
    <row r="779" spans="1:26" x14ac:dyDescent="0.35">
      <c r="A779" s="97"/>
      <c r="B779" s="97"/>
      <c r="C779" s="97"/>
      <c r="D779" s="97"/>
      <c r="E779" s="97"/>
      <c r="F779" s="97"/>
      <c r="G779" s="97"/>
      <c r="H779" s="97"/>
      <c r="I779" s="97"/>
      <c r="J779" s="97"/>
      <c r="K779" s="97"/>
      <c r="L779" s="97"/>
      <c r="M779" s="97"/>
      <c r="N779" s="97"/>
      <c r="O779" s="97"/>
      <c r="P779" s="97"/>
      <c r="Q779" s="97"/>
      <c r="R779" s="97"/>
      <c r="S779" s="97"/>
      <c r="T779" s="97"/>
      <c r="U779" s="25"/>
      <c r="V779" s="25"/>
      <c r="W779" s="25"/>
      <c r="X779" s="25"/>
      <c r="Y779" s="25"/>
      <c r="Z779" s="25"/>
    </row>
    <row r="780" spans="1:26" x14ac:dyDescent="0.35">
      <c r="A780" s="97"/>
      <c r="B780" s="97"/>
      <c r="C780" s="97"/>
      <c r="D780" s="97"/>
      <c r="E780" s="97"/>
      <c r="F780" s="97"/>
      <c r="G780" s="97"/>
      <c r="H780" s="97"/>
      <c r="I780" s="97"/>
      <c r="J780" s="97"/>
      <c r="K780" s="97"/>
      <c r="L780" s="97"/>
      <c r="M780" s="97"/>
      <c r="N780" s="97"/>
      <c r="O780" s="97"/>
      <c r="P780" s="97"/>
      <c r="Q780" s="97"/>
      <c r="R780" s="97"/>
      <c r="S780" s="97"/>
      <c r="T780" s="97"/>
      <c r="U780" s="25"/>
      <c r="V780" s="25"/>
      <c r="W780" s="25"/>
      <c r="X780" s="25"/>
      <c r="Y780" s="25"/>
      <c r="Z780" s="25"/>
    </row>
    <row r="781" spans="1:26" x14ac:dyDescent="0.35">
      <c r="A781" s="97"/>
      <c r="B781" s="97"/>
      <c r="C781" s="97"/>
      <c r="D781" s="97"/>
      <c r="E781" s="97"/>
      <c r="F781" s="97"/>
      <c r="G781" s="97"/>
      <c r="H781" s="97"/>
      <c r="I781" s="97"/>
      <c r="J781" s="97"/>
      <c r="K781" s="97"/>
      <c r="L781" s="97"/>
      <c r="M781" s="97"/>
      <c r="N781" s="97"/>
      <c r="O781" s="97"/>
      <c r="P781" s="97"/>
      <c r="Q781" s="97"/>
      <c r="R781" s="97"/>
      <c r="S781" s="97"/>
      <c r="T781" s="97"/>
      <c r="U781" s="25"/>
      <c r="V781" s="25"/>
      <c r="W781" s="25"/>
      <c r="X781" s="25"/>
      <c r="Y781" s="25"/>
      <c r="Z781" s="25"/>
    </row>
    <row r="782" spans="1:26" x14ac:dyDescent="0.35">
      <c r="A782" s="97"/>
      <c r="B782" s="97"/>
      <c r="C782" s="97"/>
      <c r="D782" s="97"/>
      <c r="E782" s="97"/>
      <c r="F782" s="97"/>
      <c r="G782" s="97"/>
      <c r="H782" s="97"/>
      <c r="I782" s="97"/>
      <c r="J782" s="97"/>
      <c r="K782" s="97"/>
      <c r="L782" s="97"/>
      <c r="M782" s="97"/>
      <c r="N782" s="97"/>
      <c r="O782" s="97"/>
      <c r="P782" s="97"/>
      <c r="Q782" s="97"/>
      <c r="R782" s="97"/>
      <c r="S782" s="97"/>
      <c r="T782" s="97"/>
      <c r="U782" s="25"/>
      <c r="V782" s="25"/>
      <c r="W782" s="25"/>
      <c r="X782" s="25"/>
      <c r="Y782" s="25"/>
      <c r="Z782" s="25"/>
    </row>
    <row r="783" spans="1:26" x14ac:dyDescent="0.35">
      <c r="A783" s="97"/>
      <c r="B783" s="97"/>
      <c r="C783" s="97"/>
      <c r="D783" s="97"/>
      <c r="E783" s="97"/>
      <c r="F783" s="97"/>
      <c r="G783" s="97"/>
      <c r="H783" s="97"/>
      <c r="I783" s="97"/>
      <c r="J783" s="97"/>
      <c r="K783" s="97"/>
      <c r="L783" s="97"/>
      <c r="M783" s="97"/>
      <c r="N783" s="97"/>
      <c r="O783" s="97"/>
      <c r="P783" s="97"/>
      <c r="Q783" s="97"/>
      <c r="R783" s="97"/>
      <c r="S783" s="97"/>
      <c r="T783" s="97"/>
      <c r="U783" s="25"/>
      <c r="V783" s="25"/>
      <c r="W783" s="25"/>
      <c r="X783" s="25"/>
      <c r="Y783" s="25"/>
      <c r="Z783" s="25"/>
    </row>
    <row r="784" spans="1:26" x14ac:dyDescent="0.35">
      <c r="A784" s="97"/>
      <c r="B784" s="97"/>
      <c r="C784" s="97"/>
      <c r="D784" s="97"/>
      <c r="E784" s="97"/>
      <c r="F784" s="97"/>
      <c r="G784" s="97"/>
      <c r="H784" s="97"/>
      <c r="I784" s="97"/>
      <c r="J784" s="97"/>
      <c r="K784" s="97"/>
      <c r="L784" s="97"/>
      <c r="M784" s="97"/>
      <c r="N784" s="97"/>
      <c r="O784" s="97"/>
      <c r="P784" s="97"/>
      <c r="Q784" s="97"/>
      <c r="R784" s="97"/>
      <c r="S784" s="97"/>
      <c r="T784" s="97"/>
      <c r="U784" s="25"/>
      <c r="V784" s="25"/>
      <c r="W784" s="25"/>
      <c r="X784" s="25"/>
      <c r="Y784" s="25"/>
      <c r="Z784" s="25"/>
    </row>
    <row r="785" spans="1:26" x14ac:dyDescent="0.35">
      <c r="A785" s="97"/>
      <c r="B785" s="97"/>
      <c r="C785" s="97"/>
      <c r="D785" s="97"/>
      <c r="E785" s="97"/>
      <c r="F785" s="97"/>
      <c r="G785" s="97"/>
      <c r="H785" s="97"/>
      <c r="I785" s="97"/>
      <c r="J785" s="97"/>
      <c r="K785" s="97"/>
      <c r="L785" s="97"/>
      <c r="M785" s="97"/>
      <c r="N785" s="97"/>
      <c r="O785" s="97"/>
      <c r="P785" s="97"/>
      <c r="Q785" s="97"/>
      <c r="R785" s="97"/>
      <c r="S785" s="97"/>
      <c r="T785" s="97"/>
      <c r="U785" s="25"/>
      <c r="V785" s="25"/>
      <c r="W785" s="25"/>
      <c r="X785" s="25"/>
      <c r="Y785" s="25"/>
      <c r="Z785" s="25"/>
    </row>
    <row r="786" spans="1:26" x14ac:dyDescent="0.35">
      <c r="A786" s="97"/>
      <c r="B786" s="97"/>
      <c r="C786" s="97"/>
      <c r="D786" s="97"/>
      <c r="E786" s="97"/>
      <c r="F786" s="97"/>
      <c r="G786" s="97"/>
      <c r="H786" s="97"/>
      <c r="I786" s="97"/>
      <c r="J786" s="97"/>
      <c r="K786" s="97"/>
      <c r="L786" s="97"/>
      <c r="M786" s="97"/>
      <c r="N786" s="97"/>
      <c r="O786" s="97"/>
      <c r="P786" s="97"/>
      <c r="Q786" s="97"/>
      <c r="R786" s="97"/>
      <c r="S786" s="97"/>
      <c r="T786" s="97"/>
      <c r="U786" s="25"/>
      <c r="V786" s="25"/>
      <c r="W786" s="25"/>
      <c r="X786" s="25"/>
      <c r="Y786" s="25"/>
      <c r="Z786" s="25"/>
    </row>
    <row r="787" spans="1:26" x14ac:dyDescent="0.35">
      <c r="A787" s="97"/>
      <c r="B787" s="97"/>
      <c r="C787" s="97"/>
      <c r="D787" s="97"/>
      <c r="E787" s="97"/>
      <c r="F787" s="97"/>
      <c r="G787" s="97"/>
      <c r="H787" s="97"/>
      <c r="I787" s="97"/>
      <c r="J787" s="97"/>
      <c r="K787" s="97"/>
      <c r="L787" s="97"/>
      <c r="M787" s="97"/>
      <c r="N787" s="97"/>
      <c r="O787" s="97"/>
      <c r="P787" s="97"/>
      <c r="Q787" s="97"/>
      <c r="R787" s="97"/>
      <c r="S787" s="97"/>
      <c r="T787" s="97"/>
      <c r="U787" s="25"/>
      <c r="V787" s="25"/>
      <c r="W787" s="25"/>
      <c r="X787" s="25"/>
      <c r="Y787" s="25"/>
      <c r="Z787" s="25"/>
    </row>
    <row r="788" spans="1:26" x14ac:dyDescent="0.35">
      <c r="A788" s="97"/>
      <c r="B788" s="97"/>
      <c r="C788" s="97"/>
      <c r="D788" s="97"/>
      <c r="E788" s="97"/>
      <c r="F788" s="97"/>
      <c r="G788" s="97"/>
      <c r="H788" s="97"/>
      <c r="I788" s="97"/>
      <c r="J788" s="97"/>
      <c r="K788" s="97"/>
      <c r="L788" s="97"/>
      <c r="M788" s="97"/>
      <c r="N788" s="97"/>
      <c r="O788" s="97"/>
      <c r="P788" s="97"/>
      <c r="Q788" s="97"/>
      <c r="R788" s="97"/>
      <c r="S788" s="97"/>
      <c r="T788" s="97"/>
      <c r="U788" s="25"/>
      <c r="V788" s="25"/>
      <c r="W788" s="25"/>
      <c r="X788" s="25"/>
      <c r="Y788" s="25"/>
      <c r="Z788" s="25"/>
    </row>
    <row r="789" spans="1:26" x14ac:dyDescent="0.35">
      <c r="A789" s="97"/>
      <c r="B789" s="97"/>
      <c r="C789" s="97"/>
      <c r="D789" s="97"/>
      <c r="E789" s="97"/>
      <c r="F789" s="97"/>
      <c r="G789" s="97"/>
      <c r="H789" s="97"/>
      <c r="I789" s="97"/>
      <c r="J789" s="97"/>
      <c r="K789" s="97"/>
      <c r="L789" s="97"/>
      <c r="M789" s="97"/>
      <c r="N789" s="97"/>
      <c r="O789" s="97"/>
      <c r="P789" s="97"/>
      <c r="Q789" s="97"/>
      <c r="R789" s="97"/>
      <c r="S789" s="97"/>
      <c r="T789" s="97"/>
      <c r="U789" s="25"/>
      <c r="V789" s="25"/>
      <c r="W789" s="25"/>
      <c r="X789" s="25"/>
      <c r="Y789" s="25"/>
      <c r="Z789" s="25"/>
    </row>
    <row r="790" spans="1:26" x14ac:dyDescent="0.35">
      <c r="A790" s="97"/>
      <c r="B790" s="97"/>
      <c r="C790" s="97"/>
      <c r="D790" s="97"/>
      <c r="E790" s="97"/>
      <c r="F790" s="97"/>
      <c r="G790" s="97"/>
      <c r="H790" s="97"/>
      <c r="I790" s="97"/>
      <c r="J790" s="97"/>
      <c r="K790" s="97"/>
      <c r="L790" s="97"/>
      <c r="M790" s="97"/>
      <c r="N790" s="97"/>
      <c r="O790" s="97"/>
      <c r="P790" s="97"/>
      <c r="Q790" s="97"/>
      <c r="R790" s="97"/>
      <c r="S790" s="97"/>
      <c r="T790" s="97"/>
      <c r="U790" s="25"/>
      <c r="V790" s="25"/>
      <c r="W790" s="25"/>
      <c r="X790" s="25"/>
      <c r="Y790" s="25"/>
      <c r="Z790" s="25"/>
    </row>
    <row r="791" spans="1:26" x14ac:dyDescent="0.35">
      <c r="A791" s="97"/>
      <c r="B791" s="97"/>
      <c r="C791" s="97"/>
      <c r="D791" s="97"/>
      <c r="E791" s="97"/>
      <c r="F791" s="97"/>
      <c r="G791" s="97"/>
      <c r="H791" s="97"/>
      <c r="I791" s="97"/>
      <c r="J791" s="97"/>
      <c r="K791" s="97"/>
      <c r="L791" s="97"/>
      <c r="M791" s="97"/>
      <c r="N791" s="97"/>
      <c r="O791" s="97"/>
      <c r="P791" s="97"/>
      <c r="Q791" s="97"/>
      <c r="R791" s="97"/>
      <c r="S791" s="97"/>
      <c r="T791" s="97"/>
      <c r="U791" s="25"/>
      <c r="V791" s="25"/>
      <c r="W791" s="25"/>
      <c r="X791" s="25"/>
      <c r="Y791" s="25"/>
      <c r="Z791" s="25"/>
    </row>
    <row r="792" spans="1:26" x14ac:dyDescent="0.35">
      <c r="A792" s="97"/>
      <c r="B792" s="97"/>
      <c r="C792" s="97"/>
      <c r="D792" s="97"/>
      <c r="E792" s="97"/>
      <c r="F792" s="97"/>
      <c r="G792" s="97"/>
      <c r="H792" s="97"/>
      <c r="I792" s="97"/>
      <c r="J792" s="97"/>
      <c r="K792" s="97"/>
      <c r="L792" s="97"/>
      <c r="M792" s="97"/>
      <c r="N792" s="97"/>
      <c r="O792" s="97"/>
      <c r="P792" s="97"/>
      <c r="Q792" s="97"/>
      <c r="R792" s="97"/>
      <c r="S792" s="97"/>
      <c r="T792" s="97"/>
      <c r="U792" s="25"/>
      <c r="V792" s="25"/>
      <c r="W792" s="25"/>
      <c r="X792" s="25"/>
      <c r="Y792" s="25"/>
      <c r="Z792" s="25"/>
    </row>
    <row r="793" spans="1:26" x14ac:dyDescent="0.35">
      <c r="A793" s="97"/>
      <c r="B793" s="97"/>
      <c r="C793" s="97"/>
      <c r="D793" s="97"/>
      <c r="E793" s="97"/>
      <c r="F793" s="97"/>
      <c r="G793" s="97"/>
      <c r="H793" s="97"/>
      <c r="I793" s="97"/>
      <c r="J793" s="97"/>
      <c r="K793" s="97"/>
      <c r="L793" s="97"/>
      <c r="M793" s="97"/>
      <c r="N793" s="97"/>
      <c r="O793" s="97"/>
      <c r="P793" s="97"/>
      <c r="Q793" s="97"/>
      <c r="R793" s="97"/>
      <c r="S793" s="97"/>
      <c r="T793" s="97"/>
      <c r="U793" s="25"/>
      <c r="V793" s="25"/>
      <c r="W793" s="25"/>
      <c r="X793" s="25"/>
      <c r="Y793" s="25"/>
      <c r="Z793" s="25"/>
    </row>
    <row r="794" spans="1:26" x14ac:dyDescent="0.35">
      <c r="A794" s="97"/>
      <c r="B794" s="97"/>
      <c r="C794" s="97"/>
      <c r="D794" s="97"/>
      <c r="E794" s="97"/>
      <c r="F794" s="97"/>
      <c r="G794" s="97"/>
      <c r="H794" s="97"/>
      <c r="I794" s="97"/>
      <c r="J794" s="97"/>
      <c r="K794" s="97"/>
      <c r="L794" s="97"/>
      <c r="M794" s="97"/>
      <c r="N794" s="97"/>
      <c r="O794" s="97"/>
      <c r="P794" s="97"/>
      <c r="Q794" s="97"/>
      <c r="R794" s="97"/>
      <c r="S794" s="97"/>
      <c r="T794" s="97"/>
      <c r="U794" s="25"/>
      <c r="V794" s="25"/>
      <c r="W794" s="25"/>
      <c r="X794" s="25"/>
      <c r="Y794" s="25"/>
      <c r="Z794" s="25"/>
    </row>
    <row r="795" spans="1:26" x14ac:dyDescent="0.35">
      <c r="A795" s="97"/>
      <c r="B795" s="97"/>
      <c r="C795" s="97"/>
      <c r="D795" s="97"/>
      <c r="E795" s="97"/>
      <c r="F795" s="97"/>
      <c r="G795" s="97"/>
      <c r="H795" s="97"/>
      <c r="I795" s="97"/>
      <c r="J795" s="97"/>
      <c r="K795" s="97"/>
      <c r="L795" s="97"/>
      <c r="M795" s="97"/>
      <c r="N795" s="97"/>
      <c r="O795" s="97"/>
      <c r="P795" s="97"/>
      <c r="Q795" s="97"/>
      <c r="R795" s="97"/>
      <c r="S795" s="97"/>
      <c r="T795" s="97"/>
      <c r="U795" s="25"/>
      <c r="V795" s="25"/>
      <c r="W795" s="25"/>
      <c r="X795" s="25"/>
      <c r="Y795" s="25"/>
      <c r="Z795" s="25"/>
    </row>
    <row r="796" spans="1:26" x14ac:dyDescent="0.35">
      <c r="A796" s="97"/>
      <c r="B796" s="97"/>
      <c r="C796" s="97"/>
      <c r="D796" s="97"/>
      <c r="E796" s="97"/>
      <c r="F796" s="97"/>
      <c r="G796" s="97"/>
      <c r="H796" s="97"/>
      <c r="I796" s="97"/>
      <c r="J796" s="97"/>
      <c r="K796" s="97"/>
      <c r="L796" s="97"/>
      <c r="M796" s="97"/>
      <c r="N796" s="97"/>
      <c r="O796" s="97"/>
      <c r="P796" s="97"/>
      <c r="Q796" s="97"/>
      <c r="R796" s="97"/>
      <c r="S796" s="97"/>
      <c r="T796" s="97"/>
      <c r="U796" s="25"/>
      <c r="V796" s="25"/>
      <c r="W796" s="25"/>
      <c r="X796" s="25"/>
      <c r="Y796" s="25"/>
      <c r="Z796" s="25"/>
    </row>
    <row r="797" spans="1:26" x14ac:dyDescent="0.35">
      <c r="A797" s="97"/>
      <c r="B797" s="97"/>
      <c r="C797" s="97"/>
      <c r="D797" s="97"/>
      <c r="E797" s="97"/>
      <c r="F797" s="97"/>
      <c r="G797" s="97"/>
      <c r="H797" s="97"/>
      <c r="I797" s="97"/>
      <c r="J797" s="97"/>
      <c r="K797" s="97"/>
      <c r="L797" s="97"/>
      <c r="M797" s="97"/>
      <c r="N797" s="97"/>
      <c r="O797" s="97"/>
      <c r="P797" s="97"/>
      <c r="Q797" s="97"/>
      <c r="R797" s="97"/>
      <c r="S797" s="97"/>
      <c r="T797" s="97"/>
      <c r="U797" s="25"/>
      <c r="V797" s="25"/>
      <c r="W797" s="25"/>
      <c r="X797" s="25"/>
      <c r="Y797" s="25"/>
      <c r="Z797" s="25"/>
    </row>
    <row r="798" spans="1:26" x14ac:dyDescent="0.35">
      <c r="A798" s="97"/>
      <c r="B798" s="97"/>
      <c r="C798" s="97"/>
      <c r="D798" s="97"/>
      <c r="E798" s="97"/>
      <c r="F798" s="97"/>
      <c r="G798" s="97"/>
      <c r="H798" s="97"/>
      <c r="I798" s="97"/>
      <c r="J798" s="97"/>
      <c r="K798" s="97"/>
      <c r="L798" s="97"/>
      <c r="M798" s="97"/>
      <c r="N798" s="97"/>
      <c r="O798" s="97"/>
      <c r="P798" s="97"/>
      <c r="Q798" s="97"/>
      <c r="R798" s="97"/>
      <c r="S798" s="97"/>
      <c r="T798" s="97"/>
      <c r="U798" s="25"/>
      <c r="V798" s="25"/>
      <c r="W798" s="25"/>
      <c r="X798" s="25"/>
      <c r="Y798" s="25"/>
      <c r="Z798" s="25"/>
    </row>
    <row r="799" spans="1:26" x14ac:dyDescent="0.35">
      <c r="A799" s="97"/>
      <c r="B799" s="97"/>
      <c r="C799" s="97"/>
      <c r="D799" s="97"/>
      <c r="E799" s="97"/>
      <c r="F799" s="97"/>
      <c r="G799" s="97"/>
      <c r="H799" s="97"/>
      <c r="I799" s="97"/>
      <c r="J799" s="97"/>
      <c r="K799" s="97"/>
      <c r="L799" s="97"/>
      <c r="M799" s="97"/>
      <c r="N799" s="97"/>
      <c r="O799" s="97"/>
      <c r="P799" s="97"/>
      <c r="Q799" s="97"/>
      <c r="R799" s="97"/>
      <c r="S799" s="97"/>
      <c r="T799" s="97"/>
      <c r="U799" s="25"/>
      <c r="V799" s="25"/>
      <c r="W799" s="25"/>
      <c r="X799" s="25"/>
      <c r="Y799" s="25"/>
      <c r="Z799" s="25"/>
    </row>
    <row r="800" spans="1:26" x14ac:dyDescent="0.35">
      <c r="A800" s="97"/>
      <c r="B800" s="97"/>
      <c r="C800" s="97"/>
      <c r="D800" s="97"/>
      <c r="E800" s="97"/>
      <c r="F800" s="97"/>
      <c r="G800" s="97"/>
      <c r="H800" s="97"/>
      <c r="I800" s="97"/>
      <c r="J800" s="97"/>
      <c r="K800" s="97"/>
      <c r="L800" s="97"/>
      <c r="M800" s="97"/>
      <c r="N800" s="97"/>
      <c r="O800" s="97"/>
      <c r="P800" s="97"/>
      <c r="Q800" s="97"/>
      <c r="R800" s="97"/>
      <c r="S800" s="97"/>
      <c r="T800" s="97"/>
      <c r="U800" s="25"/>
      <c r="V800" s="25"/>
      <c r="W800" s="25"/>
      <c r="X800" s="25"/>
      <c r="Y800" s="25"/>
      <c r="Z800" s="25"/>
    </row>
    <row r="801" spans="1:26" x14ac:dyDescent="0.35">
      <c r="A801" s="97"/>
      <c r="B801" s="97"/>
      <c r="C801" s="97"/>
      <c r="D801" s="97"/>
      <c r="E801" s="97"/>
      <c r="F801" s="97"/>
      <c r="G801" s="97"/>
      <c r="H801" s="97"/>
      <c r="I801" s="97"/>
      <c r="J801" s="97"/>
      <c r="K801" s="97"/>
      <c r="L801" s="97"/>
      <c r="M801" s="97"/>
      <c r="N801" s="97"/>
      <c r="O801" s="97"/>
      <c r="P801" s="97"/>
      <c r="Q801" s="97"/>
      <c r="R801" s="97"/>
      <c r="S801" s="97"/>
      <c r="T801" s="97"/>
      <c r="U801" s="25"/>
      <c r="V801" s="25"/>
      <c r="W801" s="25"/>
      <c r="X801" s="25"/>
      <c r="Y801" s="25"/>
      <c r="Z801" s="25"/>
    </row>
    <row r="802" spans="1:26" x14ac:dyDescent="0.35">
      <c r="A802" s="97"/>
      <c r="B802" s="97"/>
      <c r="C802" s="97"/>
      <c r="D802" s="97"/>
      <c r="E802" s="97"/>
      <c r="F802" s="97"/>
      <c r="G802" s="97"/>
      <c r="H802" s="97"/>
      <c r="I802" s="97"/>
      <c r="J802" s="97"/>
      <c r="K802" s="97"/>
      <c r="L802" s="97"/>
      <c r="M802" s="97"/>
      <c r="N802" s="97"/>
      <c r="O802" s="97"/>
      <c r="P802" s="97"/>
      <c r="Q802" s="97"/>
      <c r="R802" s="97"/>
      <c r="S802" s="97"/>
      <c r="T802" s="97"/>
      <c r="U802" s="25"/>
      <c r="V802" s="25"/>
      <c r="W802" s="25"/>
      <c r="X802" s="25"/>
      <c r="Y802" s="25"/>
      <c r="Z802" s="25"/>
    </row>
    <row r="803" spans="1:26" x14ac:dyDescent="0.35">
      <c r="A803" s="97"/>
      <c r="B803" s="97"/>
      <c r="C803" s="97"/>
      <c r="D803" s="97"/>
      <c r="E803" s="97"/>
      <c r="F803" s="97"/>
      <c r="G803" s="97"/>
      <c r="H803" s="97"/>
      <c r="I803" s="97"/>
      <c r="J803" s="97"/>
      <c r="K803" s="97"/>
      <c r="L803" s="97"/>
      <c r="M803" s="97"/>
      <c r="N803" s="97"/>
      <c r="O803" s="97"/>
      <c r="P803" s="97"/>
      <c r="Q803" s="97"/>
      <c r="R803" s="97"/>
      <c r="S803" s="97"/>
      <c r="T803" s="97"/>
      <c r="U803" s="25"/>
      <c r="V803" s="25"/>
      <c r="W803" s="25"/>
      <c r="X803" s="25"/>
      <c r="Y803" s="25"/>
      <c r="Z803" s="25"/>
    </row>
    <row r="804" spans="1:26" x14ac:dyDescent="0.35">
      <c r="A804" s="97"/>
      <c r="B804" s="97"/>
      <c r="C804" s="97"/>
      <c r="D804" s="97"/>
      <c r="E804" s="97"/>
      <c r="F804" s="97"/>
      <c r="G804" s="97"/>
      <c r="H804" s="97"/>
      <c r="I804" s="97"/>
      <c r="J804" s="97"/>
      <c r="K804" s="97"/>
      <c r="L804" s="97"/>
      <c r="M804" s="97"/>
      <c r="N804" s="97"/>
      <c r="O804" s="97"/>
      <c r="P804" s="97"/>
      <c r="Q804" s="97"/>
      <c r="R804" s="97"/>
      <c r="S804" s="97"/>
      <c r="T804" s="97"/>
      <c r="U804" s="25"/>
      <c r="V804" s="25"/>
      <c r="W804" s="25"/>
      <c r="X804" s="25"/>
      <c r="Y804" s="25"/>
      <c r="Z804" s="25"/>
    </row>
    <row r="805" spans="1:26" x14ac:dyDescent="0.35">
      <c r="A805" s="97"/>
      <c r="B805" s="97"/>
      <c r="C805" s="97"/>
      <c r="D805" s="97"/>
      <c r="E805" s="97"/>
      <c r="F805" s="97"/>
      <c r="G805" s="97"/>
      <c r="H805" s="97"/>
      <c r="I805" s="97"/>
      <c r="J805" s="97"/>
      <c r="K805" s="97"/>
      <c r="L805" s="97"/>
      <c r="M805" s="97"/>
      <c r="N805" s="97"/>
      <c r="O805" s="97"/>
      <c r="P805" s="97"/>
      <c r="Q805" s="97"/>
      <c r="R805" s="97"/>
      <c r="S805" s="97"/>
      <c r="T805" s="97"/>
      <c r="U805" s="25"/>
      <c r="V805" s="25"/>
      <c r="W805" s="25"/>
      <c r="X805" s="25"/>
      <c r="Y805" s="25"/>
      <c r="Z805" s="25"/>
    </row>
    <row r="806" spans="1:26" x14ac:dyDescent="0.35">
      <c r="A806" s="97"/>
      <c r="B806" s="97"/>
      <c r="C806" s="97"/>
      <c r="D806" s="97"/>
      <c r="E806" s="97"/>
      <c r="F806" s="97"/>
      <c r="G806" s="97"/>
      <c r="H806" s="97"/>
      <c r="I806" s="97"/>
      <c r="J806" s="97"/>
      <c r="K806" s="97"/>
      <c r="L806" s="97"/>
      <c r="M806" s="97"/>
      <c r="N806" s="97"/>
      <c r="O806" s="97"/>
      <c r="P806" s="97"/>
      <c r="Q806" s="97"/>
      <c r="R806" s="97"/>
      <c r="S806" s="97"/>
      <c r="T806" s="97"/>
      <c r="U806" s="25"/>
      <c r="V806" s="25"/>
      <c r="W806" s="25"/>
      <c r="X806" s="25"/>
      <c r="Y806" s="25"/>
      <c r="Z806" s="25"/>
    </row>
    <row r="807" spans="1:26" x14ac:dyDescent="0.35">
      <c r="A807" s="97"/>
      <c r="B807" s="97"/>
      <c r="C807" s="97"/>
      <c r="D807" s="97"/>
      <c r="E807" s="97"/>
      <c r="F807" s="97"/>
      <c r="G807" s="97"/>
      <c r="H807" s="97"/>
      <c r="I807" s="97"/>
      <c r="J807" s="97"/>
      <c r="K807" s="97"/>
      <c r="L807" s="97"/>
      <c r="M807" s="97"/>
      <c r="N807" s="97"/>
      <c r="O807" s="97"/>
      <c r="P807" s="97"/>
      <c r="Q807" s="97"/>
      <c r="R807" s="97"/>
      <c r="S807" s="97"/>
      <c r="T807" s="97"/>
      <c r="U807" s="25"/>
      <c r="V807" s="25"/>
      <c r="W807" s="25"/>
      <c r="X807" s="25"/>
      <c r="Y807" s="25"/>
      <c r="Z807" s="25"/>
    </row>
    <row r="808" spans="1:26" x14ac:dyDescent="0.35">
      <c r="A808" s="97"/>
      <c r="B808" s="97"/>
      <c r="C808" s="97"/>
      <c r="D808" s="97"/>
      <c r="E808" s="97"/>
      <c r="F808" s="97"/>
      <c r="G808" s="97"/>
      <c r="H808" s="97"/>
      <c r="I808" s="97"/>
      <c r="J808" s="97"/>
      <c r="K808" s="97"/>
      <c r="L808" s="97"/>
      <c r="M808" s="97"/>
      <c r="N808" s="97"/>
      <c r="O808" s="97"/>
      <c r="P808" s="97"/>
      <c r="Q808" s="97"/>
      <c r="R808" s="97"/>
      <c r="S808" s="97"/>
      <c r="T808" s="97"/>
      <c r="U808" s="25"/>
      <c r="V808" s="25"/>
      <c r="W808" s="25"/>
      <c r="X808" s="25"/>
      <c r="Y808" s="25"/>
      <c r="Z808" s="25"/>
    </row>
    <row r="809" spans="1:26" x14ac:dyDescent="0.35">
      <c r="A809" s="97"/>
      <c r="B809" s="97"/>
      <c r="C809" s="97"/>
      <c r="D809" s="97"/>
      <c r="E809" s="97"/>
      <c r="F809" s="97"/>
      <c r="G809" s="97"/>
      <c r="H809" s="97"/>
      <c r="I809" s="97"/>
      <c r="J809" s="97"/>
      <c r="K809" s="97"/>
      <c r="L809" s="97"/>
      <c r="M809" s="97"/>
      <c r="N809" s="97"/>
      <c r="O809" s="97"/>
      <c r="P809" s="97"/>
      <c r="Q809" s="97"/>
      <c r="R809" s="97"/>
      <c r="S809" s="97"/>
      <c r="T809" s="97"/>
      <c r="U809" s="25"/>
      <c r="V809" s="25"/>
      <c r="W809" s="25"/>
      <c r="X809" s="25"/>
      <c r="Y809" s="25"/>
      <c r="Z809" s="25"/>
    </row>
    <row r="810" spans="1:26" x14ac:dyDescent="0.35">
      <c r="A810" s="97"/>
      <c r="B810" s="97"/>
      <c r="C810" s="97"/>
      <c r="D810" s="97"/>
      <c r="E810" s="97"/>
      <c r="F810" s="97"/>
      <c r="G810" s="97"/>
      <c r="H810" s="97"/>
      <c r="I810" s="97"/>
      <c r="J810" s="97"/>
      <c r="K810" s="97"/>
      <c r="L810" s="97"/>
      <c r="M810" s="97"/>
      <c r="N810" s="97"/>
      <c r="O810" s="97"/>
      <c r="P810" s="97"/>
      <c r="Q810" s="97"/>
      <c r="R810" s="97"/>
      <c r="S810" s="97"/>
      <c r="T810" s="97"/>
      <c r="U810" s="25"/>
      <c r="V810" s="25"/>
      <c r="W810" s="25"/>
      <c r="X810" s="25"/>
      <c r="Y810" s="25"/>
      <c r="Z810" s="25"/>
    </row>
    <row r="811" spans="1:26" x14ac:dyDescent="0.35">
      <c r="A811" s="97"/>
      <c r="B811" s="97"/>
      <c r="C811" s="97"/>
      <c r="D811" s="97"/>
      <c r="E811" s="97"/>
      <c r="F811" s="97"/>
      <c r="G811" s="97"/>
      <c r="H811" s="97"/>
      <c r="I811" s="97"/>
      <c r="J811" s="97"/>
      <c r="K811" s="97"/>
      <c r="L811" s="97"/>
      <c r="M811" s="97"/>
      <c r="N811" s="97"/>
      <c r="O811" s="97"/>
      <c r="P811" s="97"/>
      <c r="Q811" s="97"/>
      <c r="R811" s="97"/>
      <c r="S811" s="97"/>
      <c r="T811" s="97"/>
      <c r="U811" s="25"/>
      <c r="V811" s="25"/>
      <c r="W811" s="25"/>
      <c r="X811" s="25"/>
      <c r="Y811" s="25"/>
      <c r="Z811" s="25"/>
    </row>
    <row r="812" spans="1:26" x14ac:dyDescent="0.35">
      <c r="A812" s="97"/>
      <c r="B812" s="97"/>
      <c r="C812" s="97"/>
      <c r="D812" s="97"/>
      <c r="E812" s="97"/>
      <c r="F812" s="97"/>
      <c r="G812" s="97"/>
      <c r="H812" s="97"/>
      <c r="I812" s="97"/>
      <c r="J812" s="97"/>
      <c r="K812" s="97"/>
      <c r="L812" s="97"/>
      <c r="M812" s="97"/>
      <c r="N812" s="97"/>
      <c r="O812" s="97"/>
      <c r="P812" s="97"/>
      <c r="Q812" s="97"/>
      <c r="R812" s="97"/>
      <c r="S812" s="97"/>
      <c r="T812" s="97"/>
      <c r="U812" s="25"/>
      <c r="V812" s="25"/>
      <c r="W812" s="25"/>
      <c r="X812" s="25"/>
      <c r="Y812" s="25"/>
      <c r="Z812" s="25"/>
    </row>
    <row r="813" spans="1:26" x14ac:dyDescent="0.35">
      <c r="A813" s="97"/>
      <c r="B813" s="97"/>
      <c r="C813" s="97"/>
      <c r="D813" s="97"/>
      <c r="E813" s="97"/>
      <c r="F813" s="97"/>
      <c r="G813" s="97"/>
      <c r="H813" s="97"/>
      <c r="I813" s="97"/>
      <c r="J813" s="97"/>
      <c r="K813" s="97"/>
      <c r="L813" s="97"/>
      <c r="M813" s="97"/>
      <c r="N813" s="97"/>
      <c r="O813" s="97"/>
      <c r="P813" s="97"/>
      <c r="Q813" s="97"/>
      <c r="R813" s="97"/>
      <c r="S813" s="97"/>
      <c r="T813" s="97"/>
      <c r="U813" s="25"/>
      <c r="V813" s="25"/>
      <c r="W813" s="25"/>
      <c r="X813" s="25"/>
      <c r="Y813" s="25"/>
      <c r="Z813" s="25"/>
    </row>
    <row r="814" spans="1:26" x14ac:dyDescent="0.35">
      <c r="A814" s="97"/>
      <c r="B814" s="97"/>
      <c r="C814" s="97"/>
      <c r="D814" s="97"/>
      <c r="E814" s="97"/>
      <c r="F814" s="97"/>
      <c r="G814" s="97"/>
      <c r="H814" s="97"/>
      <c r="I814" s="97"/>
      <c r="J814" s="97"/>
      <c r="K814" s="97"/>
      <c r="L814" s="97"/>
      <c r="M814" s="97"/>
      <c r="N814" s="97"/>
      <c r="O814" s="97"/>
      <c r="P814" s="97"/>
      <c r="Q814" s="97"/>
      <c r="R814" s="97"/>
      <c r="S814" s="97"/>
      <c r="T814" s="97"/>
      <c r="U814" s="25"/>
      <c r="V814" s="25"/>
      <c r="W814" s="25"/>
      <c r="X814" s="25"/>
      <c r="Y814" s="25"/>
      <c r="Z814" s="25"/>
    </row>
    <row r="815" spans="1:26" x14ac:dyDescent="0.35">
      <c r="A815" s="97"/>
      <c r="B815" s="97"/>
      <c r="C815" s="97"/>
      <c r="D815" s="97"/>
      <c r="E815" s="97"/>
      <c r="F815" s="97"/>
      <c r="G815" s="97"/>
      <c r="H815" s="97"/>
      <c r="I815" s="97"/>
      <c r="J815" s="97"/>
      <c r="K815" s="97"/>
      <c r="L815" s="97"/>
      <c r="M815" s="97"/>
      <c r="N815" s="97"/>
      <c r="O815" s="97"/>
      <c r="P815" s="97"/>
      <c r="Q815" s="97"/>
      <c r="R815" s="97"/>
      <c r="S815" s="97"/>
      <c r="T815" s="97"/>
      <c r="U815" s="25"/>
      <c r="V815" s="25"/>
      <c r="W815" s="25"/>
      <c r="X815" s="25"/>
      <c r="Y815" s="25"/>
      <c r="Z815" s="25"/>
    </row>
    <row r="816" spans="1:26" x14ac:dyDescent="0.35">
      <c r="A816" s="97"/>
      <c r="B816" s="97"/>
      <c r="C816" s="97"/>
      <c r="D816" s="97"/>
      <c r="E816" s="97"/>
      <c r="F816" s="97"/>
      <c r="G816" s="97"/>
      <c r="H816" s="97"/>
      <c r="I816" s="97"/>
      <c r="J816" s="97"/>
      <c r="K816" s="97"/>
      <c r="L816" s="97"/>
      <c r="M816" s="97"/>
      <c r="N816" s="97"/>
      <c r="O816" s="97"/>
      <c r="P816" s="97"/>
      <c r="Q816" s="97"/>
      <c r="R816" s="97"/>
      <c r="S816" s="97"/>
      <c r="T816" s="97"/>
      <c r="U816" s="25"/>
      <c r="V816" s="25"/>
      <c r="W816" s="25"/>
      <c r="X816" s="25"/>
      <c r="Y816" s="25"/>
      <c r="Z816" s="25"/>
    </row>
    <row r="817" spans="1:26" x14ac:dyDescent="0.35">
      <c r="A817" s="97"/>
      <c r="B817" s="97"/>
      <c r="C817" s="97"/>
      <c r="D817" s="97"/>
      <c r="E817" s="97"/>
      <c r="F817" s="97"/>
      <c r="G817" s="97"/>
      <c r="H817" s="97"/>
      <c r="I817" s="97"/>
      <c r="J817" s="97"/>
      <c r="K817" s="97"/>
      <c r="L817" s="97"/>
      <c r="M817" s="97"/>
      <c r="N817" s="97"/>
      <c r="O817" s="97"/>
      <c r="P817" s="97"/>
      <c r="Q817" s="97"/>
      <c r="R817" s="97"/>
      <c r="S817" s="97"/>
      <c r="T817" s="97"/>
      <c r="U817" s="25"/>
      <c r="V817" s="25"/>
      <c r="W817" s="25"/>
      <c r="X817" s="25"/>
      <c r="Y817" s="25"/>
      <c r="Z817" s="25"/>
    </row>
    <row r="818" spans="1:26" x14ac:dyDescent="0.35">
      <c r="A818" s="97"/>
      <c r="B818" s="97"/>
      <c r="C818" s="97"/>
      <c r="D818" s="97"/>
      <c r="E818" s="97"/>
      <c r="F818" s="97"/>
      <c r="G818" s="97"/>
      <c r="H818" s="97"/>
      <c r="I818" s="97"/>
      <c r="J818" s="97"/>
      <c r="K818" s="97"/>
      <c r="L818" s="97"/>
      <c r="M818" s="97"/>
      <c r="N818" s="97"/>
      <c r="O818" s="97"/>
      <c r="P818" s="97"/>
      <c r="Q818" s="97"/>
      <c r="R818" s="97"/>
      <c r="S818" s="97"/>
      <c r="T818" s="97"/>
      <c r="U818" s="25"/>
      <c r="V818" s="25"/>
      <c r="W818" s="25"/>
      <c r="X818" s="25"/>
      <c r="Y818" s="25"/>
      <c r="Z818" s="25"/>
    </row>
    <row r="819" spans="1:26" x14ac:dyDescent="0.35">
      <c r="A819" s="97"/>
      <c r="B819" s="97"/>
      <c r="C819" s="97"/>
      <c r="D819" s="97"/>
      <c r="E819" s="97"/>
      <c r="F819" s="97"/>
      <c r="G819" s="97"/>
      <c r="H819" s="97"/>
      <c r="I819" s="97"/>
      <c r="J819" s="97"/>
      <c r="K819" s="97"/>
      <c r="L819" s="97"/>
      <c r="M819" s="97"/>
      <c r="N819" s="97"/>
      <c r="O819" s="97"/>
      <c r="P819" s="97"/>
      <c r="Q819" s="97"/>
      <c r="R819" s="97"/>
      <c r="S819" s="97"/>
      <c r="T819" s="97"/>
      <c r="U819" s="25"/>
      <c r="V819" s="25"/>
      <c r="W819" s="25"/>
      <c r="X819" s="25"/>
      <c r="Y819" s="25"/>
      <c r="Z819" s="25"/>
    </row>
    <row r="820" spans="1:26" x14ac:dyDescent="0.35">
      <c r="A820" s="97"/>
      <c r="B820" s="97"/>
      <c r="C820" s="97"/>
      <c r="D820" s="97"/>
      <c r="E820" s="97"/>
      <c r="F820" s="97"/>
      <c r="G820" s="97"/>
      <c r="H820" s="97"/>
      <c r="I820" s="97"/>
      <c r="J820" s="97"/>
      <c r="K820" s="97"/>
      <c r="L820" s="97"/>
      <c r="M820" s="97"/>
      <c r="N820" s="97"/>
      <c r="O820" s="97"/>
      <c r="P820" s="97"/>
      <c r="Q820" s="97"/>
      <c r="R820" s="97"/>
      <c r="S820" s="97"/>
      <c r="T820" s="97"/>
      <c r="U820" s="25"/>
      <c r="V820" s="25"/>
      <c r="W820" s="25"/>
      <c r="X820" s="25"/>
      <c r="Y820" s="25"/>
      <c r="Z820" s="25"/>
    </row>
    <row r="821" spans="1:26" x14ac:dyDescent="0.35">
      <c r="A821" s="97"/>
      <c r="B821" s="97"/>
      <c r="C821" s="97"/>
      <c r="D821" s="97"/>
      <c r="E821" s="97"/>
      <c r="F821" s="97"/>
      <c r="G821" s="97"/>
      <c r="H821" s="97"/>
      <c r="I821" s="97"/>
      <c r="J821" s="97"/>
      <c r="K821" s="97"/>
      <c r="L821" s="97"/>
      <c r="M821" s="97"/>
      <c r="N821" s="97"/>
      <c r="O821" s="97"/>
      <c r="P821" s="97"/>
      <c r="Q821" s="97"/>
      <c r="R821" s="97"/>
      <c r="S821" s="97"/>
      <c r="T821" s="97"/>
      <c r="U821" s="25"/>
      <c r="V821" s="25"/>
      <c r="W821" s="25"/>
      <c r="X821" s="25"/>
      <c r="Y821" s="25"/>
      <c r="Z821" s="25"/>
    </row>
    <row r="822" spans="1:26" x14ac:dyDescent="0.35">
      <c r="A822" s="97"/>
      <c r="B822" s="97"/>
      <c r="C822" s="97"/>
      <c r="D822" s="97"/>
      <c r="E822" s="97"/>
      <c r="F822" s="97"/>
      <c r="G822" s="97"/>
      <c r="H822" s="97"/>
      <c r="I822" s="97"/>
      <c r="J822" s="97"/>
      <c r="K822" s="97"/>
      <c r="L822" s="97"/>
      <c r="M822" s="97"/>
      <c r="N822" s="97"/>
      <c r="O822" s="97"/>
      <c r="P822" s="97"/>
      <c r="Q822" s="97"/>
      <c r="R822" s="97"/>
      <c r="S822" s="97"/>
      <c r="T822" s="97"/>
      <c r="U822" s="25"/>
      <c r="V822" s="25"/>
      <c r="W822" s="25"/>
      <c r="X822" s="25"/>
      <c r="Y822" s="25"/>
      <c r="Z822" s="25"/>
    </row>
    <row r="823" spans="1:26" x14ac:dyDescent="0.35">
      <c r="A823" s="97"/>
      <c r="B823" s="97"/>
      <c r="C823" s="97"/>
      <c r="D823" s="97"/>
      <c r="E823" s="97"/>
      <c r="F823" s="97"/>
      <c r="G823" s="97"/>
      <c r="H823" s="97"/>
      <c r="I823" s="97"/>
      <c r="J823" s="97"/>
      <c r="K823" s="97"/>
      <c r="L823" s="97"/>
      <c r="M823" s="97"/>
      <c r="N823" s="97"/>
      <c r="O823" s="97"/>
      <c r="P823" s="97"/>
      <c r="Q823" s="97"/>
      <c r="R823" s="97"/>
      <c r="S823" s="97"/>
      <c r="T823" s="97"/>
      <c r="U823" s="25"/>
      <c r="V823" s="25"/>
      <c r="W823" s="25"/>
      <c r="X823" s="25"/>
      <c r="Y823" s="25"/>
      <c r="Z823" s="25"/>
    </row>
    <row r="824" spans="1:26" x14ac:dyDescent="0.35">
      <c r="A824" s="97"/>
      <c r="B824" s="97"/>
      <c r="C824" s="97"/>
      <c r="D824" s="97"/>
      <c r="E824" s="97"/>
      <c r="F824" s="97"/>
      <c r="G824" s="97"/>
      <c r="H824" s="97"/>
      <c r="I824" s="97"/>
      <c r="J824" s="97"/>
      <c r="K824" s="97"/>
      <c r="L824" s="97"/>
      <c r="M824" s="97"/>
      <c r="N824" s="97"/>
      <c r="O824" s="97"/>
      <c r="P824" s="97"/>
      <c r="Q824" s="97"/>
      <c r="R824" s="97"/>
      <c r="S824" s="97"/>
      <c r="T824" s="97"/>
      <c r="U824" s="25"/>
      <c r="V824" s="25"/>
      <c r="W824" s="25"/>
      <c r="X824" s="25"/>
      <c r="Y824" s="25"/>
      <c r="Z824" s="25"/>
    </row>
    <row r="825" spans="1:26" x14ac:dyDescent="0.35">
      <c r="A825" s="97"/>
      <c r="B825" s="97"/>
      <c r="C825" s="97"/>
      <c r="D825" s="97"/>
      <c r="E825" s="97"/>
      <c r="F825" s="97"/>
      <c r="G825" s="97"/>
      <c r="H825" s="97"/>
      <c r="I825" s="97"/>
      <c r="J825" s="97"/>
      <c r="K825" s="97"/>
      <c r="L825" s="97"/>
      <c r="M825" s="97"/>
      <c r="N825" s="97"/>
      <c r="O825" s="97"/>
      <c r="P825" s="97"/>
      <c r="Q825" s="97"/>
      <c r="R825" s="97"/>
      <c r="S825" s="97"/>
      <c r="T825" s="97"/>
      <c r="U825" s="25"/>
      <c r="V825" s="25"/>
      <c r="W825" s="25"/>
      <c r="X825" s="25"/>
      <c r="Y825" s="25"/>
      <c r="Z825" s="25"/>
    </row>
    <row r="826" spans="1:26" x14ac:dyDescent="0.35">
      <c r="A826" s="97"/>
      <c r="B826" s="97"/>
      <c r="C826" s="97"/>
      <c r="D826" s="97"/>
      <c r="E826" s="97"/>
      <c r="F826" s="97"/>
      <c r="G826" s="97"/>
      <c r="H826" s="97"/>
      <c r="I826" s="97"/>
      <c r="J826" s="97"/>
      <c r="K826" s="97"/>
      <c r="L826" s="97"/>
      <c r="M826" s="97"/>
      <c r="N826" s="97"/>
      <c r="O826" s="97"/>
      <c r="P826" s="97"/>
      <c r="Q826" s="97"/>
      <c r="R826" s="97"/>
      <c r="S826" s="97"/>
      <c r="T826" s="97"/>
      <c r="U826" s="25"/>
      <c r="V826" s="25"/>
      <c r="W826" s="25"/>
      <c r="X826" s="25"/>
      <c r="Y826" s="25"/>
      <c r="Z826" s="25"/>
    </row>
    <row r="827" spans="1:26" x14ac:dyDescent="0.35">
      <c r="A827" s="97"/>
      <c r="B827" s="97"/>
      <c r="C827" s="97"/>
      <c r="D827" s="97"/>
      <c r="E827" s="97"/>
      <c r="F827" s="97"/>
      <c r="G827" s="97"/>
      <c r="H827" s="97"/>
      <c r="I827" s="97"/>
      <c r="J827" s="97"/>
      <c r="K827" s="97"/>
      <c r="L827" s="97"/>
      <c r="M827" s="97"/>
      <c r="N827" s="97"/>
      <c r="O827" s="97"/>
      <c r="P827" s="97"/>
      <c r="Q827" s="97"/>
      <c r="R827" s="97"/>
      <c r="S827" s="97"/>
      <c r="T827" s="97"/>
      <c r="U827" s="25"/>
      <c r="V827" s="25"/>
      <c r="W827" s="25"/>
      <c r="X827" s="25"/>
      <c r="Y827" s="25"/>
      <c r="Z827" s="25"/>
    </row>
    <row r="828" spans="1:26" x14ac:dyDescent="0.35">
      <c r="A828" s="97"/>
      <c r="B828" s="97"/>
      <c r="C828" s="97"/>
      <c r="D828" s="97"/>
      <c r="E828" s="97"/>
      <c r="F828" s="97"/>
      <c r="G828" s="97"/>
      <c r="H828" s="97"/>
      <c r="I828" s="97"/>
      <c r="J828" s="97"/>
      <c r="K828" s="97"/>
      <c r="L828" s="97"/>
      <c r="M828" s="97"/>
      <c r="N828" s="97"/>
      <c r="O828" s="97"/>
      <c r="P828" s="97"/>
      <c r="Q828" s="97"/>
      <c r="R828" s="97"/>
      <c r="S828" s="97"/>
      <c r="T828" s="97"/>
      <c r="U828" s="25"/>
      <c r="V828" s="25"/>
      <c r="W828" s="25"/>
      <c r="X828" s="25"/>
      <c r="Y828" s="25"/>
      <c r="Z828" s="25"/>
    </row>
    <row r="829" spans="1:26" x14ac:dyDescent="0.35">
      <c r="A829" s="97"/>
      <c r="B829" s="97"/>
      <c r="C829" s="97"/>
      <c r="D829" s="97"/>
      <c r="E829" s="97"/>
      <c r="F829" s="97"/>
      <c r="G829" s="97"/>
      <c r="H829" s="97"/>
      <c r="I829" s="97"/>
      <c r="J829" s="97"/>
      <c r="K829" s="97"/>
      <c r="L829" s="97"/>
      <c r="M829" s="97"/>
      <c r="N829" s="97"/>
      <c r="O829" s="97"/>
      <c r="P829" s="97"/>
      <c r="Q829" s="97"/>
      <c r="R829" s="97"/>
      <c r="S829" s="97"/>
      <c r="T829" s="97"/>
      <c r="U829" s="25"/>
      <c r="V829" s="25"/>
      <c r="W829" s="25"/>
      <c r="X829" s="25"/>
      <c r="Y829" s="25"/>
      <c r="Z829" s="25"/>
    </row>
    <row r="830" spans="1:26" x14ac:dyDescent="0.35">
      <c r="A830" s="97"/>
      <c r="B830" s="97"/>
      <c r="C830" s="97"/>
      <c r="D830" s="97"/>
      <c r="E830" s="97"/>
      <c r="F830" s="97"/>
      <c r="G830" s="97"/>
      <c r="H830" s="97"/>
      <c r="I830" s="97"/>
      <c r="J830" s="97"/>
      <c r="K830" s="97"/>
      <c r="L830" s="97"/>
      <c r="M830" s="97"/>
      <c r="N830" s="97"/>
      <c r="O830" s="97"/>
      <c r="P830" s="97"/>
      <c r="Q830" s="97"/>
      <c r="R830" s="97"/>
      <c r="S830" s="97"/>
      <c r="T830" s="97"/>
      <c r="U830" s="25"/>
      <c r="V830" s="25"/>
      <c r="W830" s="25"/>
      <c r="X830" s="25"/>
      <c r="Y830" s="25"/>
      <c r="Z830" s="25"/>
    </row>
    <row r="831" spans="1:26" x14ac:dyDescent="0.35">
      <c r="A831" s="97"/>
      <c r="B831" s="97"/>
      <c r="C831" s="97"/>
      <c r="D831" s="97"/>
      <c r="E831" s="97"/>
      <c r="F831" s="97"/>
      <c r="G831" s="97"/>
      <c r="H831" s="97"/>
      <c r="I831" s="97"/>
      <c r="J831" s="97"/>
      <c r="K831" s="97"/>
      <c r="L831" s="97"/>
      <c r="M831" s="97"/>
      <c r="N831" s="97"/>
      <c r="O831" s="97"/>
      <c r="P831" s="97"/>
      <c r="Q831" s="97"/>
      <c r="R831" s="97"/>
      <c r="S831" s="97"/>
      <c r="T831" s="97"/>
      <c r="U831" s="25"/>
      <c r="V831" s="25"/>
      <c r="W831" s="25"/>
      <c r="X831" s="25"/>
      <c r="Y831" s="25"/>
      <c r="Z831" s="25"/>
    </row>
    <row r="832" spans="1:26" x14ac:dyDescent="0.35">
      <c r="A832" s="97"/>
      <c r="B832" s="97"/>
      <c r="C832" s="97"/>
      <c r="D832" s="97"/>
      <c r="E832" s="97"/>
      <c r="F832" s="97"/>
      <c r="G832" s="97"/>
      <c r="H832" s="97"/>
      <c r="I832" s="97"/>
      <c r="J832" s="97"/>
      <c r="K832" s="97"/>
      <c r="L832" s="97"/>
      <c r="M832" s="97"/>
      <c r="N832" s="97"/>
      <c r="O832" s="97"/>
      <c r="P832" s="97"/>
      <c r="Q832" s="97"/>
      <c r="R832" s="97"/>
      <c r="S832" s="97"/>
      <c r="T832" s="97"/>
      <c r="U832" s="25"/>
      <c r="V832" s="25"/>
      <c r="W832" s="25"/>
      <c r="X832" s="25"/>
      <c r="Y832" s="25"/>
      <c r="Z832" s="25"/>
    </row>
    <row r="833" spans="1:26" x14ac:dyDescent="0.35">
      <c r="A833" s="97"/>
      <c r="B833" s="97"/>
      <c r="C833" s="97"/>
      <c r="D833" s="97"/>
      <c r="E833" s="97"/>
      <c r="F833" s="97"/>
      <c r="G833" s="97"/>
      <c r="H833" s="97"/>
      <c r="I833" s="97"/>
      <c r="J833" s="97"/>
      <c r="K833" s="97"/>
      <c r="L833" s="97"/>
      <c r="M833" s="97"/>
      <c r="N833" s="97"/>
      <c r="O833" s="97"/>
      <c r="P833" s="97"/>
      <c r="Q833" s="97"/>
      <c r="R833" s="97"/>
      <c r="S833" s="97"/>
      <c r="T833" s="97"/>
      <c r="U833" s="25"/>
      <c r="V833" s="25"/>
      <c r="W833" s="25"/>
      <c r="X833" s="25"/>
      <c r="Y833" s="25"/>
      <c r="Z833" s="25"/>
    </row>
    <row r="834" spans="1:26" x14ac:dyDescent="0.35">
      <c r="A834" s="97"/>
      <c r="B834" s="97"/>
      <c r="C834" s="97"/>
      <c r="D834" s="97"/>
      <c r="E834" s="97"/>
      <c r="F834" s="97"/>
      <c r="G834" s="97"/>
      <c r="H834" s="97"/>
      <c r="I834" s="97"/>
      <c r="J834" s="97"/>
      <c r="K834" s="97"/>
      <c r="L834" s="97"/>
      <c r="M834" s="97"/>
      <c r="N834" s="97"/>
      <c r="O834" s="97"/>
      <c r="P834" s="97"/>
      <c r="Q834" s="97"/>
      <c r="R834" s="97"/>
      <c r="S834" s="97"/>
      <c r="T834" s="97"/>
      <c r="U834" s="25"/>
      <c r="V834" s="25"/>
      <c r="W834" s="25"/>
      <c r="X834" s="25"/>
      <c r="Y834" s="25"/>
      <c r="Z834" s="25"/>
    </row>
    <row r="835" spans="1:26" x14ac:dyDescent="0.35">
      <c r="A835" s="97"/>
      <c r="B835" s="97"/>
      <c r="C835" s="97"/>
      <c r="D835" s="97"/>
      <c r="E835" s="97"/>
      <c r="F835" s="97"/>
      <c r="G835" s="97"/>
      <c r="H835" s="97"/>
      <c r="I835" s="97"/>
      <c r="J835" s="97"/>
      <c r="K835" s="97"/>
      <c r="L835" s="97"/>
      <c r="M835" s="97"/>
      <c r="N835" s="97"/>
      <c r="O835" s="97"/>
      <c r="P835" s="97"/>
      <c r="Q835" s="97"/>
      <c r="R835" s="97"/>
      <c r="S835" s="97"/>
      <c r="T835" s="97"/>
      <c r="U835" s="25"/>
      <c r="V835" s="25"/>
      <c r="W835" s="25"/>
      <c r="X835" s="25"/>
      <c r="Y835" s="25"/>
      <c r="Z835" s="25"/>
    </row>
    <row r="836" spans="1:26" x14ac:dyDescent="0.35">
      <c r="A836" s="97"/>
      <c r="B836" s="97"/>
      <c r="C836" s="97"/>
      <c r="D836" s="97"/>
      <c r="E836" s="97"/>
      <c r="F836" s="97"/>
      <c r="G836" s="97"/>
      <c r="H836" s="97"/>
      <c r="I836" s="97"/>
      <c r="J836" s="97"/>
      <c r="K836" s="97"/>
      <c r="L836" s="97"/>
      <c r="M836" s="97"/>
      <c r="N836" s="97"/>
      <c r="O836" s="97"/>
      <c r="P836" s="97"/>
      <c r="Q836" s="97"/>
      <c r="R836" s="97"/>
      <c r="S836" s="97"/>
      <c r="T836" s="97"/>
      <c r="U836" s="25"/>
      <c r="V836" s="25"/>
      <c r="W836" s="25"/>
      <c r="X836" s="25"/>
      <c r="Y836" s="25"/>
      <c r="Z836" s="25"/>
    </row>
    <row r="837" spans="1:26" x14ac:dyDescent="0.35">
      <c r="A837" s="97"/>
      <c r="B837" s="97"/>
      <c r="C837" s="97"/>
      <c r="D837" s="97"/>
      <c r="E837" s="97"/>
      <c r="F837" s="97"/>
      <c r="G837" s="97"/>
      <c r="H837" s="97"/>
      <c r="I837" s="97"/>
      <c r="J837" s="97"/>
      <c r="K837" s="97"/>
      <c r="L837" s="97"/>
      <c r="M837" s="97"/>
      <c r="N837" s="97"/>
      <c r="O837" s="97"/>
      <c r="P837" s="97"/>
      <c r="Q837" s="97"/>
      <c r="R837" s="97"/>
      <c r="S837" s="97"/>
      <c r="T837" s="97"/>
      <c r="U837" s="25"/>
      <c r="V837" s="25"/>
      <c r="W837" s="25"/>
      <c r="X837" s="25"/>
      <c r="Y837" s="25"/>
      <c r="Z837" s="25"/>
    </row>
    <row r="838" spans="1:26" x14ac:dyDescent="0.35">
      <c r="A838" s="97"/>
      <c r="B838" s="97"/>
      <c r="C838" s="97"/>
      <c r="D838" s="97"/>
      <c r="E838" s="97"/>
      <c r="F838" s="97"/>
      <c r="G838" s="97"/>
      <c r="H838" s="97"/>
      <c r="I838" s="97"/>
      <c r="J838" s="97"/>
      <c r="K838" s="97"/>
      <c r="L838" s="97"/>
      <c r="M838" s="97"/>
      <c r="N838" s="97"/>
      <c r="O838" s="97"/>
      <c r="P838" s="97"/>
      <c r="Q838" s="97"/>
      <c r="R838" s="97"/>
      <c r="S838" s="97"/>
      <c r="T838" s="97"/>
      <c r="U838" s="25"/>
      <c r="V838" s="25"/>
      <c r="W838" s="25"/>
      <c r="X838" s="25"/>
      <c r="Y838" s="25"/>
      <c r="Z838" s="25"/>
    </row>
    <row r="839" spans="1:26" x14ac:dyDescent="0.35">
      <c r="A839" s="97"/>
      <c r="B839" s="97"/>
      <c r="C839" s="97"/>
      <c r="D839" s="97"/>
      <c r="E839" s="97"/>
      <c r="F839" s="97"/>
      <c r="G839" s="97"/>
      <c r="H839" s="97"/>
      <c r="I839" s="97"/>
      <c r="J839" s="97"/>
      <c r="K839" s="97"/>
      <c r="L839" s="97"/>
      <c r="M839" s="97"/>
      <c r="N839" s="97"/>
      <c r="O839" s="97"/>
      <c r="P839" s="97"/>
      <c r="Q839" s="97"/>
      <c r="R839" s="97"/>
      <c r="S839" s="97"/>
      <c r="T839" s="97"/>
      <c r="U839" s="25"/>
      <c r="V839" s="25"/>
      <c r="W839" s="25"/>
      <c r="X839" s="25"/>
      <c r="Y839" s="25"/>
      <c r="Z839" s="25"/>
    </row>
    <row r="840" spans="1:26" x14ac:dyDescent="0.35">
      <c r="A840" s="97"/>
      <c r="B840" s="97"/>
      <c r="C840" s="97"/>
      <c r="D840" s="97"/>
      <c r="E840" s="97"/>
      <c r="F840" s="97"/>
      <c r="G840" s="97"/>
      <c r="H840" s="97"/>
      <c r="I840" s="97"/>
      <c r="J840" s="97"/>
      <c r="K840" s="97"/>
      <c r="L840" s="97"/>
      <c r="M840" s="97"/>
      <c r="N840" s="97"/>
      <c r="O840" s="97"/>
      <c r="P840" s="97"/>
      <c r="Q840" s="97"/>
      <c r="R840" s="97"/>
      <c r="S840" s="97"/>
      <c r="T840" s="97"/>
      <c r="U840" s="25"/>
      <c r="V840" s="25"/>
      <c r="W840" s="25"/>
      <c r="X840" s="25"/>
      <c r="Y840" s="25"/>
      <c r="Z840" s="25"/>
    </row>
    <row r="841" spans="1:26" x14ac:dyDescent="0.35">
      <c r="A841" s="97"/>
      <c r="B841" s="97"/>
      <c r="C841" s="97"/>
      <c r="D841" s="97"/>
      <c r="E841" s="97"/>
      <c r="F841" s="97"/>
      <c r="G841" s="97"/>
      <c r="H841" s="97"/>
      <c r="I841" s="97"/>
      <c r="J841" s="97"/>
      <c r="K841" s="97"/>
      <c r="L841" s="97"/>
      <c r="M841" s="97"/>
      <c r="N841" s="97"/>
      <c r="O841" s="97"/>
      <c r="P841" s="97"/>
      <c r="Q841" s="97"/>
      <c r="R841" s="97"/>
      <c r="S841" s="97"/>
      <c r="T841" s="97"/>
      <c r="U841" s="25"/>
      <c r="V841" s="25"/>
      <c r="W841" s="25"/>
      <c r="X841" s="25"/>
      <c r="Y841" s="25"/>
      <c r="Z841" s="25"/>
    </row>
    <row r="842" spans="1:26" x14ac:dyDescent="0.35">
      <c r="A842" s="97"/>
      <c r="B842" s="97"/>
      <c r="C842" s="97"/>
      <c r="D842" s="97"/>
      <c r="E842" s="97"/>
      <c r="F842" s="97"/>
      <c r="G842" s="97"/>
      <c r="H842" s="97"/>
      <c r="I842" s="97"/>
      <c r="J842" s="97"/>
      <c r="K842" s="97"/>
      <c r="L842" s="97"/>
      <c r="M842" s="97"/>
      <c r="N842" s="97"/>
      <c r="O842" s="97"/>
      <c r="P842" s="97"/>
      <c r="Q842" s="97"/>
      <c r="R842" s="97"/>
      <c r="S842" s="97"/>
      <c r="T842" s="97"/>
      <c r="U842" s="25"/>
      <c r="V842" s="25"/>
      <c r="W842" s="25"/>
      <c r="X842" s="25"/>
      <c r="Y842" s="25"/>
      <c r="Z842" s="25"/>
    </row>
    <row r="843" spans="1:26" x14ac:dyDescent="0.35">
      <c r="A843" s="97"/>
      <c r="B843" s="97"/>
      <c r="C843" s="97"/>
      <c r="D843" s="97"/>
      <c r="E843" s="97"/>
      <c r="F843" s="97"/>
      <c r="G843" s="97"/>
      <c r="H843" s="97"/>
      <c r="I843" s="97"/>
      <c r="J843" s="97"/>
      <c r="K843" s="97"/>
      <c r="L843" s="97"/>
      <c r="M843" s="97"/>
      <c r="N843" s="97"/>
      <c r="O843" s="97"/>
      <c r="P843" s="97"/>
      <c r="Q843" s="97"/>
      <c r="R843" s="97"/>
      <c r="S843" s="97"/>
      <c r="T843" s="97"/>
      <c r="U843" s="25"/>
      <c r="V843" s="25"/>
      <c r="W843" s="25"/>
      <c r="X843" s="25"/>
      <c r="Y843" s="25"/>
      <c r="Z843" s="25"/>
    </row>
    <row r="844" spans="1:26" x14ac:dyDescent="0.35">
      <c r="A844" s="97"/>
      <c r="B844" s="97"/>
      <c r="C844" s="97"/>
      <c r="D844" s="97"/>
      <c r="E844" s="97"/>
      <c r="F844" s="97"/>
      <c r="G844" s="97"/>
      <c r="H844" s="97"/>
      <c r="I844" s="97"/>
      <c r="J844" s="97"/>
      <c r="K844" s="97"/>
      <c r="L844" s="97"/>
      <c r="M844" s="97"/>
      <c r="N844" s="97"/>
      <c r="O844" s="97"/>
      <c r="P844" s="97"/>
      <c r="Q844" s="97"/>
      <c r="R844" s="97"/>
      <c r="S844" s="97"/>
      <c r="T844" s="97"/>
      <c r="U844" s="25"/>
      <c r="V844" s="25"/>
      <c r="W844" s="25"/>
      <c r="X844" s="25"/>
      <c r="Y844" s="25"/>
      <c r="Z844" s="25"/>
    </row>
    <row r="845" spans="1:26" x14ac:dyDescent="0.35">
      <c r="A845" s="97"/>
      <c r="B845" s="97"/>
      <c r="C845" s="97"/>
      <c r="D845" s="97"/>
      <c r="E845" s="97"/>
      <c r="F845" s="97"/>
      <c r="G845" s="97"/>
      <c r="H845" s="97"/>
      <c r="I845" s="97"/>
      <c r="J845" s="97"/>
      <c r="K845" s="97"/>
      <c r="L845" s="97"/>
      <c r="M845" s="97"/>
      <c r="N845" s="97"/>
      <c r="O845" s="97"/>
      <c r="P845" s="97"/>
      <c r="Q845" s="97"/>
      <c r="R845" s="97"/>
      <c r="S845" s="97"/>
      <c r="T845" s="97"/>
      <c r="U845" s="25"/>
      <c r="V845" s="25"/>
      <c r="W845" s="25"/>
      <c r="X845" s="25"/>
      <c r="Y845" s="25"/>
      <c r="Z845" s="25"/>
    </row>
    <row r="846" spans="1:26" x14ac:dyDescent="0.35">
      <c r="A846" s="97"/>
      <c r="B846" s="97"/>
      <c r="C846" s="97"/>
      <c r="D846" s="97"/>
      <c r="E846" s="97"/>
      <c r="F846" s="97"/>
      <c r="G846" s="97"/>
      <c r="H846" s="97"/>
      <c r="I846" s="97"/>
      <c r="J846" s="97"/>
      <c r="K846" s="97"/>
      <c r="L846" s="97"/>
      <c r="M846" s="97"/>
      <c r="N846" s="97"/>
      <c r="O846" s="97"/>
      <c r="P846" s="97"/>
      <c r="Q846" s="97"/>
      <c r="R846" s="97"/>
      <c r="S846" s="97"/>
      <c r="T846" s="97"/>
      <c r="U846" s="25"/>
      <c r="V846" s="25"/>
      <c r="W846" s="25"/>
      <c r="X846" s="25"/>
      <c r="Y846" s="25"/>
      <c r="Z846" s="25"/>
    </row>
    <row r="847" spans="1:26" x14ac:dyDescent="0.35">
      <c r="A847" s="97"/>
      <c r="B847" s="97"/>
      <c r="C847" s="97"/>
      <c r="D847" s="97"/>
      <c r="E847" s="97"/>
      <c r="F847" s="97"/>
      <c r="G847" s="97"/>
      <c r="H847" s="97"/>
      <c r="I847" s="97"/>
      <c r="J847" s="97"/>
      <c r="K847" s="97"/>
      <c r="L847" s="97"/>
      <c r="M847" s="97"/>
      <c r="N847" s="97"/>
      <c r="O847" s="97"/>
      <c r="P847" s="97"/>
      <c r="Q847" s="97"/>
      <c r="R847" s="97"/>
      <c r="S847" s="97"/>
      <c r="T847" s="97"/>
      <c r="U847" s="25"/>
      <c r="V847" s="25"/>
      <c r="W847" s="25"/>
      <c r="X847" s="25"/>
      <c r="Y847" s="25"/>
      <c r="Z847" s="25"/>
    </row>
    <row r="848" spans="1:26" x14ac:dyDescent="0.35">
      <c r="A848" s="97"/>
      <c r="B848" s="97"/>
      <c r="C848" s="97"/>
      <c r="D848" s="97"/>
      <c r="E848" s="97"/>
      <c r="F848" s="97"/>
      <c r="G848" s="97"/>
      <c r="H848" s="97"/>
      <c r="I848" s="97"/>
      <c r="J848" s="97"/>
      <c r="K848" s="97"/>
      <c r="L848" s="97"/>
      <c r="M848" s="97"/>
      <c r="N848" s="97"/>
      <c r="O848" s="97"/>
      <c r="P848" s="97"/>
      <c r="Q848" s="97"/>
      <c r="R848" s="97"/>
      <c r="S848" s="97"/>
      <c r="T848" s="97"/>
      <c r="U848" s="25"/>
      <c r="V848" s="25"/>
      <c r="W848" s="25"/>
      <c r="X848" s="25"/>
      <c r="Y848" s="25"/>
      <c r="Z848" s="25"/>
    </row>
    <row r="849" spans="1:26" x14ac:dyDescent="0.35">
      <c r="A849" s="97"/>
      <c r="B849" s="97"/>
      <c r="C849" s="97"/>
      <c r="D849" s="97"/>
      <c r="E849" s="97"/>
      <c r="F849" s="97"/>
      <c r="G849" s="97"/>
      <c r="H849" s="97"/>
      <c r="I849" s="97"/>
      <c r="J849" s="97"/>
      <c r="K849" s="97"/>
      <c r="L849" s="97"/>
      <c r="M849" s="97"/>
      <c r="N849" s="97"/>
      <c r="O849" s="97"/>
      <c r="P849" s="97"/>
      <c r="Q849" s="97"/>
      <c r="R849" s="97"/>
      <c r="S849" s="97"/>
      <c r="T849" s="97"/>
      <c r="U849" s="25"/>
      <c r="V849" s="25"/>
      <c r="W849" s="25"/>
      <c r="X849" s="25"/>
      <c r="Y849" s="25"/>
      <c r="Z849" s="25"/>
    </row>
    <row r="850" spans="1:26" x14ac:dyDescent="0.35">
      <c r="A850" s="97"/>
      <c r="B850" s="97"/>
      <c r="C850" s="97"/>
      <c r="D850" s="97"/>
      <c r="E850" s="97"/>
      <c r="F850" s="97"/>
      <c r="G850" s="97"/>
      <c r="H850" s="97"/>
      <c r="I850" s="97"/>
      <c r="J850" s="97"/>
      <c r="K850" s="97"/>
      <c r="L850" s="97"/>
      <c r="M850" s="97"/>
      <c r="N850" s="97"/>
      <c r="O850" s="97"/>
      <c r="P850" s="97"/>
      <c r="Q850" s="97"/>
      <c r="R850" s="97"/>
      <c r="S850" s="97"/>
      <c r="T850" s="97"/>
      <c r="U850" s="25"/>
      <c r="V850" s="25"/>
      <c r="W850" s="25"/>
      <c r="X850" s="25"/>
      <c r="Y850" s="25"/>
      <c r="Z850" s="25"/>
    </row>
    <row r="851" spans="1:26" x14ac:dyDescent="0.35">
      <c r="A851" s="97"/>
      <c r="B851" s="97"/>
      <c r="C851" s="97"/>
      <c r="D851" s="97"/>
      <c r="E851" s="97"/>
      <c r="F851" s="97"/>
      <c r="G851" s="97"/>
      <c r="H851" s="97"/>
      <c r="I851" s="97"/>
      <c r="J851" s="97"/>
      <c r="K851" s="97"/>
      <c r="L851" s="97"/>
      <c r="M851" s="97"/>
      <c r="N851" s="97"/>
      <c r="O851" s="97"/>
      <c r="P851" s="97"/>
      <c r="Q851" s="97"/>
      <c r="R851" s="97"/>
      <c r="S851" s="97"/>
      <c r="T851" s="97"/>
      <c r="U851" s="25"/>
      <c r="V851" s="25"/>
      <c r="W851" s="25"/>
      <c r="X851" s="25"/>
      <c r="Y851" s="25"/>
      <c r="Z851" s="25"/>
    </row>
    <row r="852" spans="1:26" x14ac:dyDescent="0.35">
      <c r="A852" s="97"/>
      <c r="B852" s="97"/>
      <c r="C852" s="97"/>
      <c r="D852" s="97"/>
      <c r="E852" s="97"/>
      <c r="F852" s="97"/>
      <c r="G852" s="97"/>
      <c r="H852" s="97"/>
      <c r="I852" s="97"/>
      <c r="J852" s="97"/>
      <c r="K852" s="97"/>
      <c r="L852" s="97"/>
      <c r="M852" s="97"/>
      <c r="N852" s="97"/>
      <c r="O852" s="97"/>
      <c r="P852" s="97"/>
      <c r="Q852" s="97"/>
      <c r="R852" s="97"/>
      <c r="S852" s="97"/>
      <c r="T852" s="97"/>
      <c r="U852" s="25"/>
      <c r="V852" s="25"/>
      <c r="W852" s="25"/>
      <c r="X852" s="25"/>
      <c r="Y852" s="25"/>
      <c r="Z852" s="25"/>
    </row>
    <row r="853" spans="1:26" x14ac:dyDescent="0.35">
      <c r="A853" s="97"/>
      <c r="B853" s="97"/>
      <c r="C853" s="97"/>
      <c r="D853" s="97"/>
      <c r="E853" s="97"/>
      <c r="F853" s="97"/>
      <c r="G853" s="97"/>
      <c r="H853" s="97"/>
      <c r="I853" s="97"/>
      <c r="J853" s="97"/>
      <c r="K853" s="97"/>
      <c r="L853" s="97"/>
      <c r="M853" s="97"/>
      <c r="N853" s="97"/>
      <c r="O853" s="97"/>
      <c r="P853" s="97"/>
      <c r="Q853" s="97"/>
      <c r="R853" s="97"/>
      <c r="S853" s="97"/>
      <c r="T853" s="97"/>
      <c r="U853" s="25"/>
      <c r="V853" s="25"/>
      <c r="W853" s="25"/>
      <c r="X853" s="25"/>
      <c r="Y853" s="25"/>
      <c r="Z853" s="25"/>
    </row>
    <row r="854" spans="1:26" x14ac:dyDescent="0.35">
      <c r="A854" s="97"/>
      <c r="B854" s="97"/>
      <c r="C854" s="97"/>
      <c r="D854" s="97"/>
      <c r="E854" s="97"/>
      <c r="F854" s="97"/>
      <c r="G854" s="97"/>
      <c r="H854" s="97"/>
      <c r="I854" s="97"/>
      <c r="J854" s="97"/>
      <c r="K854" s="97"/>
      <c r="L854" s="97"/>
      <c r="M854" s="97"/>
      <c r="N854" s="97"/>
      <c r="O854" s="97"/>
      <c r="P854" s="97"/>
      <c r="Q854" s="97"/>
      <c r="R854" s="97"/>
      <c r="S854" s="97"/>
      <c r="T854" s="97"/>
      <c r="U854" s="25"/>
      <c r="V854" s="25"/>
      <c r="W854" s="25"/>
      <c r="X854" s="25"/>
      <c r="Y854" s="25"/>
      <c r="Z854" s="25"/>
    </row>
    <row r="855" spans="1:26" x14ac:dyDescent="0.35">
      <c r="A855" s="97"/>
      <c r="B855" s="97"/>
      <c r="C855" s="97"/>
      <c r="D855" s="97"/>
      <c r="E855" s="97"/>
      <c r="F855" s="97"/>
      <c r="G855" s="97"/>
      <c r="H855" s="97"/>
      <c r="I855" s="97"/>
      <c r="J855" s="97"/>
      <c r="K855" s="97"/>
      <c r="L855" s="97"/>
      <c r="M855" s="97"/>
      <c r="N855" s="97"/>
      <c r="O855" s="97"/>
      <c r="P855" s="97"/>
      <c r="Q855" s="97"/>
      <c r="R855" s="97"/>
      <c r="S855" s="97"/>
      <c r="T855" s="97"/>
      <c r="U855" s="25"/>
      <c r="V855" s="25"/>
      <c r="W855" s="25"/>
      <c r="X855" s="25"/>
      <c r="Y855" s="25"/>
      <c r="Z855" s="25"/>
    </row>
    <row r="856" spans="1:26" x14ac:dyDescent="0.35">
      <c r="A856" s="97"/>
      <c r="B856" s="97"/>
      <c r="C856" s="97"/>
      <c r="D856" s="97"/>
      <c r="E856" s="97"/>
      <c r="F856" s="97"/>
      <c r="G856" s="97"/>
      <c r="H856" s="97"/>
      <c r="I856" s="97"/>
      <c r="J856" s="97"/>
      <c r="K856" s="97"/>
      <c r="L856" s="97"/>
      <c r="M856" s="97"/>
      <c r="N856" s="97"/>
      <c r="O856" s="97"/>
      <c r="P856" s="97"/>
      <c r="Q856" s="97"/>
      <c r="R856" s="97"/>
      <c r="S856" s="97"/>
      <c r="T856" s="97"/>
      <c r="U856" s="25"/>
      <c r="V856" s="25"/>
      <c r="W856" s="25"/>
      <c r="X856" s="25"/>
      <c r="Y856" s="25"/>
      <c r="Z856" s="25"/>
    </row>
    <row r="857" spans="1:26" x14ac:dyDescent="0.35">
      <c r="A857" s="97"/>
      <c r="B857" s="97"/>
      <c r="C857" s="97"/>
      <c r="D857" s="97"/>
      <c r="E857" s="97"/>
      <c r="F857" s="97"/>
      <c r="G857" s="97"/>
      <c r="H857" s="97"/>
      <c r="I857" s="97"/>
      <c r="J857" s="97"/>
      <c r="K857" s="97"/>
      <c r="L857" s="97"/>
      <c r="M857" s="97"/>
      <c r="N857" s="97"/>
      <c r="O857" s="97"/>
      <c r="P857" s="97"/>
      <c r="Q857" s="97"/>
      <c r="R857" s="97"/>
      <c r="S857" s="97"/>
      <c r="T857" s="97"/>
      <c r="U857" s="25"/>
      <c r="V857" s="25"/>
      <c r="W857" s="25"/>
      <c r="X857" s="25"/>
      <c r="Y857" s="25"/>
      <c r="Z857" s="25"/>
    </row>
    <row r="858" spans="1:26" x14ac:dyDescent="0.35">
      <c r="A858" s="97"/>
      <c r="B858" s="97"/>
      <c r="C858" s="97"/>
      <c r="D858" s="97"/>
      <c r="E858" s="97"/>
      <c r="F858" s="97"/>
      <c r="G858" s="97"/>
      <c r="H858" s="97"/>
      <c r="I858" s="97"/>
      <c r="J858" s="97"/>
      <c r="K858" s="97"/>
      <c r="L858" s="97"/>
      <c r="M858" s="97"/>
      <c r="N858" s="97"/>
      <c r="O858" s="97"/>
      <c r="P858" s="97"/>
      <c r="Q858" s="97"/>
      <c r="R858" s="97"/>
      <c r="S858" s="97"/>
      <c r="T858" s="97"/>
      <c r="U858" s="25"/>
      <c r="V858" s="25"/>
      <c r="W858" s="25"/>
      <c r="X858" s="25"/>
      <c r="Y858" s="25"/>
      <c r="Z858" s="25"/>
    </row>
    <row r="859" spans="1:26" x14ac:dyDescent="0.35">
      <c r="A859" s="97"/>
      <c r="B859" s="97"/>
      <c r="C859" s="97"/>
      <c r="D859" s="97"/>
      <c r="E859" s="97"/>
      <c r="F859" s="97"/>
      <c r="G859" s="97"/>
      <c r="H859" s="97"/>
      <c r="I859" s="97"/>
      <c r="J859" s="97"/>
      <c r="K859" s="97"/>
      <c r="L859" s="97"/>
      <c r="M859" s="97"/>
      <c r="N859" s="97"/>
      <c r="O859" s="97"/>
      <c r="P859" s="97"/>
      <c r="Q859" s="97"/>
      <c r="R859" s="97"/>
      <c r="S859" s="97"/>
      <c r="T859" s="97"/>
      <c r="U859" s="25"/>
      <c r="V859" s="25"/>
      <c r="W859" s="25"/>
      <c r="X859" s="25"/>
      <c r="Y859" s="25"/>
      <c r="Z859" s="25"/>
    </row>
    <row r="860" spans="1:26" x14ac:dyDescent="0.35">
      <c r="A860" s="97"/>
      <c r="B860" s="97"/>
      <c r="C860" s="97"/>
      <c r="D860" s="97"/>
      <c r="E860" s="97"/>
      <c r="F860" s="97"/>
      <c r="G860" s="97"/>
      <c r="H860" s="97"/>
      <c r="I860" s="97"/>
      <c r="J860" s="97"/>
      <c r="K860" s="97"/>
      <c r="L860" s="97"/>
      <c r="M860" s="97"/>
      <c r="N860" s="97"/>
      <c r="O860" s="97"/>
      <c r="P860" s="97"/>
      <c r="Q860" s="97"/>
      <c r="R860" s="97"/>
      <c r="S860" s="97"/>
      <c r="T860" s="97"/>
      <c r="U860" s="25"/>
      <c r="V860" s="25"/>
      <c r="W860" s="25"/>
      <c r="X860" s="25"/>
      <c r="Y860" s="25"/>
      <c r="Z860" s="25"/>
    </row>
    <row r="861" spans="1:26" x14ac:dyDescent="0.35">
      <c r="A861" s="97"/>
      <c r="B861" s="97"/>
      <c r="C861" s="97"/>
      <c r="D861" s="97"/>
      <c r="E861" s="97"/>
      <c r="F861" s="97"/>
      <c r="G861" s="97"/>
      <c r="H861" s="97"/>
      <c r="I861" s="97"/>
      <c r="J861" s="97"/>
      <c r="K861" s="97"/>
      <c r="L861" s="97"/>
      <c r="M861" s="97"/>
      <c r="N861" s="97"/>
      <c r="O861" s="97"/>
      <c r="P861" s="97"/>
      <c r="Q861" s="97"/>
      <c r="R861" s="97"/>
      <c r="S861" s="97"/>
      <c r="T861" s="97"/>
      <c r="U861" s="25"/>
      <c r="V861" s="25"/>
      <c r="W861" s="25"/>
      <c r="X861" s="25"/>
      <c r="Y861" s="25"/>
      <c r="Z861" s="25"/>
    </row>
    <row r="862" spans="1:26" x14ac:dyDescent="0.35">
      <c r="A862" s="97"/>
      <c r="B862" s="97"/>
      <c r="C862" s="97"/>
      <c r="D862" s="97"/>
      <c r="E862" s="97"/>
      <c r="F862" s="97"/>
      <c r="G862" s="97"/>
      <c r="H862" s="97"/>
      <c r="I862" s="97"/>
      <c r="J862" s="97"/>
      <c r="K862" s="97"/>
      <c r="L862" s="97"/>
      <c r="M862" s="97"/>
      <c r="N862" s="97"/>
      <c r="O862" s="97"/>
      <c r="P862" s="97"/>
      <c r="Q862" s="97"/>
      <c r="R862" s="97"/>
      <c r="S862" s="97"/>
      <c r="T862" s="97"/>
      <c r="U862" s="25"/>
      <c r="V862" s="25"/>
      <c r="W862" s="25"/>
      <c r="X862" s="25"/>
      <c r="Y862" s="25"/>
      <c r="Z862" s="25"/>
    </row>
    <row r="863" spans="1:26" x14ac:dyDescent="0.35">
      <c r="A863" s="97"/>
      <c r="B863" s="97"/>
      <c r="C863" s="97"/>
      <c r="D863" s="97"/>
      <c r="E863" s="97"/>
      <c r="F863" s="97"/>
      <c r="G863" s="97"/>
      <c r="H863" s="97"/>
      <c r="I863" s="97"/>
      <c r="J863" s="97"/>
      <c r="K863" s="97"/>
      <c r="L863" s="97"/>
      <c r="M863" s="97"/>
      <c r="N863" s="97"/>
      <c r="O863" s="97"/>
      <c r="P863" s="97"/>
      <c r="Q863" s="97"/>
      <c r="R863" s="97"/>
      <c r="S863" s="97"/>
      <c r="T863" s="97"/>
      <c r="U863" s="25"/>
      <c r="V863" s="25"/>
      <c r="W863" s="25"/>
      <c r="X863" s="25"/>
      <c r="Y863" s="25"/>
      <c r="Z863" s="25"/>
    </row>
    <row r="864" spans="1:26" x14ac:dyDescent="0.35">
      <c r="A864" s="97"/>
      <c r="B864" s="97"/>
      <c r="C864" s="97"/>
      <c r="D864" s="97"/>
      <c r="E864" s="97"/>
      <c r="F864" s="97"/>
      <c r="G864" s="97"/>
      <c r="H864" s="97"/>
      <c r="I864" s="97"/>
      <c r="J864" s="97"/>
      <c r="K864" s="97"/>
      <c r="L864" s="97"/>
      <c r="M864" s="97"/>
      <c r="N864" s="97"/>
      <c r="O864" s="97"/>
      <c r="P864" s="97"/>
      <c r="Q864" s="97"/>
      <c r="R864" s="97"/>
      <c r="S864" s="97"/>
      <c r="T864" s="97"/>
      <c r="U864" s="25"/>
      <c r="V864" s="25"/>
      <c r="W864" s="25"/>
      <c r="X864" s="25"/>
      <c r="Y864" s="25"/>
      <c r="Z864" s="25"/>
    </row>
    <row r="865" spans="1:26" x14ac:dyDescent="0.35">
      <c r="A865" s="97"/>
      <c r="B865" s="97"/>
      <c r="C865" s="97"/>
      <c r="D865" s="97"/>
      <c r="E865" s="97"/>
      <c r="F865" s="97"/>
      <c r="G865" s="97"/>
      <c r="H865" s="97"/>
      <c r="I865" s="97"/>
      <c r="J865" s="97"/>
      <c r="K865" s="97"/>
      <c r="L865" s="97"/>
      <c r="M865" s="97"/>
      <c r="N865" s="97"/>
      <c r="O865" s="97"/>
      <c r="P865" s="97"/>
      <c r="Q865" s="97"/>
      <c r="R865" s="97"/>
      <c r="S865" s="97"/>
      <c r="T865" s="97"/>
      <c r="U865" s="25"/>
      <c r="V865" s="25"/>
      <c r="W865" s="25"/>
      <c r="X865" s="25"/>
      <c r="Y865" s="25"/>
      <c r="Z865" s="25"/>
    </row>
    <row r="866" spans="1:26" x14ac:dyDescent="0.35">
      <c r="A866" s="97"/>
      <c r="B866" s="97"/>
      <c r="C866" s="97"/>
      <c r="D866" s="97"/>
      <c r="E866" s="97"/>
      <c r="F866" s="97"/>
      <c r="G866" s="97"/>
      <c r="H866" s="97"/>
      <c r="I866" s="97"/>
      <c r="J866" s="97"/>
      <c r="K866" s="97"/>
      <c r="L866" s="97"/>
      <c r="M866" s="97"/>
      <c r="N866" s="97"/>
      <c r="O866" s="97"/>
      <c r="P866" s="97"/>
      <c r="Q866" s="97"/>
      <c r="R866" s="97"/>
      <c r="S866" s="97"/>
      <c r="T866" s="97"/>
      <c r="U866" s="25"/>
      <c r="V866" s="25"/>
      <c r="W866" s="25"/>
      <c r="X866" s="25"/>
      <c r="Y866" s="25"/>
      <c r="Z866" s="25"/>
    </row>
    <row r="867" spans="1:26" x14ac:dyDescent="0.35">
      <c r="A867" s="97"/>
      <c r="B867" s="97"/>
      <c r="C867" s="97"/>
      <c r="D867" s="97"/>
      <c r="E867" s="97"/>
      <c r="F867" s="97"/>
      <c r="G867" s="97"/>
      <c r="H867" s="97"/>
      <c r="I867" s="97"/>
      <c r="J867" s="97"/>
      <c r="K867" s="97"/>
      <c r="L867" s="97"/>
      <c r="M867" s="97"/>
      <c r="N867" s="97"/>
      <c r="O867" s="97"/>
      <c r="P867" s="97"/>
      <c r="Q867" s="97"/>
      <c r="R867" s="97"/>
      <c r="S867" s="97"/>
      <c r="T867" s="97"/>
      <c r="U867" s="25"/>
      <c r="V867" s="25"/>
      <c r="W867" s="25"/>
      <c r="X867" s="25"/>
      <c r="Y867" s="25"/>
      <c r="Z867" s="25"/>
    </row>
    <row r="868" spans="1:26" x14ac:dyDescent="0.35">
      <c r="A868" s="97"/>
      <c r="B868" s="97"/>
      <c r="C868" s="97"/>
      <c r="D868" s="97"/>
      <c r="E868" s="97"/>
      <c r="F868" s="97"/>
      <c r="G868" s="97"/>
      <c r="H868" s="97"/>
      <c r="I868" s="97"/>
      <c r="J868" s="97"/>
      <c r="K868" s="97"/>
      <c r="L868" s="97"/>
      <c r="M868" s="97"/>
      <c r="N868" s="97"/>
      <c r="O868" s="97"/>
      <c r="P868" s="97"/>
      <c r="Q868" s="97"/>
      <c r="R868" s="97"/>
      <c r="S868" s="97"/>
      <c r="T868" s="97"/>
      <c r="U868" s="25"/>
      <c r="V868" s="25"/>
      <c r="W868" s="25"/>
      <c r="X868" s="25"/>
      <c r="Y868" s="25"/>
      <c r="Z868" s="25"/>
    </row>
    <row r="869" spans="1:26" x14ac:dyDescent="0.35">
      <c r="A869" s="97"/>
      <c r="B869" s="97"/>
      <c r="C869" s="97"/>
      <c r="D869" s="97"/>
      <c r="E869" s="97"/>
      <c r="F869" s="97"/>
      <c r="G869" s="97"/>
      <c r="H869" s="97"/>
      <c r="I869" s="97"/>
      <c r="J869" s="97"/>
      <c r="K869" s="97"/>
      <c r="L869" s="97"/>
      <c r="M869" s="97"/>
      <c r="N869" s="97"/>
      <c r="O869" s="97"/>
      <c r="P869" s="97"/>
      <c r="Q869" s="97"/>
      <c r="R869" s="97"/>
      <c r="S869" s="97"/>
      <c r="T869" s="97"/>
      <c r="U869" s="25"/>
      <c r="V869" s="25"/>
      <c r="W869" s="25"/>
      <c r="X869" s="25"/>
      <c r="Y869" s="25"/>
      <c r="Z869" s="25"/>
    </row>
    <row r="870" spans="1:26" x14ac:dyDescent="0.35">
      <c r="A870" s="97"/>
      <c r="B870" s="97"/>
      <c r="C870" s="97"/>
      <c r="D870" s="97"/>
      <c r="E870" s="97"/>
      <c r="F870" s="97"/>
      <c r="G870" s="97"/>
      <c r="H870" s="97"/>
      <c r="I870" s="97"/>
      <c r="J870" s="97"/>
      <c r="K870" s="97"/>
      <c r="L870" s="97"/>
      <c r="M870" s="97"/>
      <c r="N870" s="97"/>
      <c r="O870" s="97"/>
      <c r="P870" s="97"/>
      <c r="Q870" s="97"/>
      <c r="R870" s="97"/>
      <c r="S870" s="97"/>
      <c r="T870" s="97"/>
      <c r="U870" s="25"/>
      <c r="V870" s="25"/>
      <c r="W870" s="25"/>
      <c r="X870" s="25"/>
      <c r="Y870" s="25"/>
      <c r="Z870" s="25"/>
    </row>
    <row r="871" spans="1:26" x14ac:dyDescent="0.35">
      <c r="A871" s="97"/>
      <c r="B871" s="97"/>
      <c r="C871" s="97"/>
      <c r="D871" s="97"/>
      <c r="E871" s="97"/>
      <c r="F871" s="97"/>
      <c r="G871" s="97"/>
      <c r="H871" s="97"/>
      <c r="I871" s="97"/>
      <c r="J871" s="97"/>
      <c r="K871" s="97"/>
      <c r="L871" s="97"/>
      <c r="M871" s="97"/>
      <c r="N871" s="97"/>
      <c r="O871" s="97"/>
      <c r="P871" s="97"/>
      <c r="Q871" s="97"/>
      <c r="R871" s="97"/>
      <c r="S871" s="97"/>
      <c r="T871" s="97"/>
      <c r="U871" s="25"/>
      <c r="V871" s="25"/>
      <c r="W871" s="25"/>
      <c r="X871" s="25"/>
      <c r="Y871" s="25"/>
      <c r="Z871" s="25"/>
    </row>
    <row r="872" spans="1:26" x14ac:dyDescent="0.35">
      <c r="A872" s="97"/>
      <c r="B872" s="97"/>
      <c r="C872" s="97"/>
      <c r="D872" s="97"/>
      <c r="E872" s="97"/>
      <c r="F872" s="97"/>
      <c r="G872" s="97"/>
      <c r="H872" s="97"/>
      <c r="I872" s="97"/>
      <c r="J872" s="97"/>
      <c r="K872" s="97"/>
      <c r="L872" s="97"/>
      <c r="M872" s="97"/>
      <c r="N872" s="97"/>
      <c r="O872" s="97"/>
      <c r="P872" s="97"/>
      <c r="Q872" s="97"/>
      <c r="R872" s="97"/>
      <c r="S872" s="97"/>
      <c r="T872" s="97"/>
      <c r="U872" s="25"/>
      <c r="V872" s="25"/>
      <c r="W872" s="25"/>
      <c r="X872" s="25"/>
      <c r="Y872" s="25"/>
      <c r="Z872" s="25"/>
    </row>
    <row r="873" spans="1:26" x14ac:dyDescent="0.35">
      <c r="A873" s="97"/>
      <c r="B873" s="97"/>
      <c r="C873" s="97"/>
      <c r="D873" s="97"/>
      <c r="E873" s="97"/>
      <c r="F873" s="97"/>
      <c r="G873" s="97"/>
      <c r="H873" s="97"/>
      <c r="I873" s="97"/>
      <c r="J873" s="97"/>
      <c r="K873" s="97"/>
      <c r="L873" s="97"/>
      <c r="M873" s="97"/>
      <c r="N873" s="97"/>
      <c r="O873" s="97"/>
      <c r="P873" s="97"/>
      <c r="Q873" s="97"/>
      <c r="R873" s="97"/>
      <c r="S873" s="97"/>
      <c r="T873" s="97"/>
      <c r="U873" s="25"/>
      <c r="V873" s="25"/>
      <c r="W873" s="25"/>
      <c r="X873" s="25"/>
      <c r="Y873" s="25"/>
      <c r="Z873" s="25"/>
    </row>
    <row r="874" spans="1:26" x14ac:dyDescent="0.35">
      <c r="A874" s="97"/>
      <c r="B874" s="97"/>
      <c r="C874" s="97"/>
      <c r="D874" s="97"/>
      <c r="E874" s="97"/>
      <c r="F874" s="97"/>
      <c r="G874" s="97"/>
      <c r="H874" s="97"/>
      <c r="I874" s="97"/>
      <c r="J874" s="97"/>
      <c r="K874" s="97"/>
      <c r="L874" s="97"/>
      <c r="M874" s="97"/>
      <c r="N874" s="97"/>
      <c r="O874" s="97"/>
      <c r="P874" s="97"/>
      <c r="Q874" s="97"/>
      <c r="R874" s="97"/>
      <c r="S874" s="97"/>
      <c r="T874" s="97"/>
      <c r="U874" s="25"/>
      <c r="V874" s="25"/>
      <c r="W874" s="25"/>
      <c r="X874" s="25"/>
      <c r="Y874" s="25"/>
      <c r="Z874" s="25"/>
    </row>
    <row r="875" spans="1:26" x14ac:dyDescent="0.35">
      <c r="A875" s="97"/>
      <c r="B875" s="97"/>
      <c r="C875" s="97"/>
      <c r="D875" s="97"/>
      <c r="E875" s="97"/>
      <c r="F875" s="97"/>
      <c r="G875" s="97"/>
      <c r="H875" s="97"/>
      <c r="I875" s="97"/>
      <c r="J875" s="97"/>
      <c r="K875" s="97"/>
      <c r="L875" s="97"/>
      <c r="M875" s="97"/>
      <c r="N875" s="97"/>
      <c r="O875" s="97"/>
      <c r="P875" s="97"/>
      <c r="Q875" s="97"/>
      <c r="R875" s="97"/>
      <c r="S875" s="97"/>
      <c r="T875" s="97"/>
      <c r="U875" s="25"/>
      <c r="V875" s="25"/>
      <c r="W875" s="25"/>
      <c r="X875" s="25"/>
      <c r="Y875" s="25"/>
      <c r="Z875" s="25"/>
    </row>
    <row r="876" spans="1:26" x14ac:dyDescent="0.35">
      <c r="A876" s="97"/>
      <c r="B876" s="97"/>
      <c r="C876" s="97"/>
      <c r="D876" s="97"/>
      <c r="E876" s="97"/>
      <c r="F876" s="97"/>
      <c r="G876" s="97"/>
      <c r="H876" s="97"/>
      <c r="I876" s="97"/>
      <c r="J876" s="97"/>
      <c r="K876" s="97"/>
      <c r="L876" s="97"/>
      <c r="M876" s="97"/>
      <c r="N876" s="97"/>
      <c r="O876" s="97"/>
      <c r="P876" s="97"/>
      <c r="Q876" s="97"/>
      <c r="R876" s="97"/>
      <c r="S876" s="97"/>
      <c r="T876" s="97"/>
      <c r="U876" s="25"/>
      <c r="V876" s="25"/>
      <c r="W876" s="25"/>
      <c r="X876" s="25"/>
      <c r="Y876" s="25"/>
      <c r="Z876" s="25"/>
    </row>
    <row r="877" spans="1:26" x14ac:dyDescent="0.35">
      <c r="A877" s="97"/>
      <c r="B877" s="97"/>
      <c r="C877" s="97"/>
      <c r="D877" s="97"/>
      <c r="E877" s="97"/>
      <c r="F877" s="97"/>
      <c r="G877" s="97"/>
      <c r="H877" s="97"/>
      <c r="I877" s="97"/>
      <c r="J877" s="97"/>
      <c r="K877" s="97"/>
      <c r="L877" s="97"/>
      <c r="M877" s="97"/>
      <c r="N877" s="97"/>
      <c r="O877" s="97"/>
      <c r="P877" s="97"/>
      <c r="Q877" s="97"/>
      <c r="R877" s="97"/>
      <c r="S877" s="97"/>
      <c r="T877" s="97"/>
      <c r="U877" s="25"/>
      <c r="V877" s="25"/>
      <c r="W877" s="25"/>
      <c r="X877" s="25"/>
      <c r="Y877" s="25"/>
      <c r="Z877" s="25"/>
    </row>
    <row r="878" spans="1:26" x14ac:dyDescent="0.35">
      <c r="A878" s="97"/>
      <c r="B878" s="97"/>
      <c r="C878" s="97"/>
      <c r="D878" s="97"/>
      <c r="E878" s="97"/>
      <c r="F878" s="97"/>
      <c r="G878" s="97"/>
      <c r="H878" s="97"/>
      <c r="I878" s="97"/>
      <c r="J878" s="97"/>
      <c r="K878" s="97"/>
      <c r="L878" s="97"/>
      <c r="M878" s="97"/>
      <c r="N878" s="97"/>
      <c r="O878" s="97"/>
      <c r="P878" s="97"/>
      <c r="Q878" s="97"/>
      <c r="R878" s="97"/>
      <c r="S878" s="97"/>
      <c r="T878" s="97"/>
      <c r="U878" s="25"/>
      <c r="V878" s="25"/>
      <c r="W878" s="25"/>
      <c r="X878" s="25"/>
      <c r="Y878" s="25"/>
      <c r="Z878" s="25"/>
    </row>
    <row r="879" spans="1:26" x14ac:dyDescent="0.35">
      <c r="A879" s="97"/>
      <c r="B879" s="97"/>
      <c r="C879" s="97"/>
      <c r="D879" s="97"/>
      <c r="E879" s="97"/>
      <c r="F879" s="97"/>
      <c r="G879" s="97"/>
      <c r="H879" s="97"/>
      <c r="I879" s="97"/>
      <c r="J879" s="97"/>
      <c r="K879" s="97"/>
      <c r="L879" s="97"/>
      <c r="M879" s="97"/>
      <c r="N879" s="97"/>
      <c r="O879" s="97"/>
      <c r="P879" s="97"/>
      <c r="Q879" s="97"/>
      <c r="R879" s="97"/>
      <c r="S879" s="97"/>
      <c r="T879" s="97"/>
      <c r="U879" s="25"/>
      <c r="V879" s="25"/>
      <c r="W879" s="25"/>
      <c r="X879" s="25"/>
      <c r="Y879" s="25"/>
      <c r="Z879" s="25"/>
    </row>
    <row r="880" spans="1:26" x14ac:dyDescent="0.35">
      <c r="A880" s="97"/>
      <c r="B880" s="97"/>
      <c r="C880" s="97"/>
      <c r="D880" s="97"/>
      <c r="E880" s="97"/>
      <c r="F880" s="97"/>
      <c r="G880" s="97"/>
      <c r="H880" s="97"/>
      <c r="I880" s="97"/>
      <c r="J880" s="97"/>
      <c r="K880" s="97"/>
      <c r="L880" s="97"/>
      <c r="M880" s="97"/>
      <c r="N880" s="97"/>
      <c r="O880" s="97"/>
      <c r="P880" s="97"/>
      <c r="Q880" s="97"/>
      <c r="R880" s="97"/>
      <c r="S880" s="97"/>
      <c r="T880" s="97"/>
      <c r="U880" s="25"/>
      <c r="V880" s="25"/>
      <c r="W880" s="25"/>
      <c r="X880" s="25"/>
      <c r="Y880" s="25"/>
      <c r="Z880" s="25"/>
    </row>
    <row r="881" spans="1:26" x14ac:dyDescent="0.35">
      <c r="A881" s="97"/>
      <c r="B881" s="97"/>
      <c r="C881" s="97"/>
      <c r="D881" s="97"/>
      <c r="E881" s="97"/>
      <c r="F881" s="97"/>
      <c r="G881" s="97"/>
      <c r="H881" s="97"/>
      <c r="I881" s="97"/>
      <c r="J881" s="97"/>
      <c r="K881" s="97"/>
      <c r="L881" s="97"/>
      <c r="M881" s="97"/>
      <c r="N881" s="97"/>
      <c r="O881" s="97"/>
      <c r="P881" s="97"/>
      <c r="Q881" s="97"/>
      <c r="R881" s="97"/>
      <c r="S881" s="97"/>
      <c r="T881" s="97"/>
      <c r="U881" s="25"/>
      <c r="V881" s="25"/>
      <c r="W881" s="25"/>
      <c r="X881" s="25"/>
      <c r="Y881" s="25"/>
      <c r="Z881" s="25"/>
    </row>
    <row r="882" spans="1:26" x14ac:dyDescent="0.35">
      <c r="A882" s="97"/>
      <c r="B882" s="97"/>
      <c r="C882" s="97"/>
      <c r="D882" s="97"/>
      <c r="E882" s="97"/>
      <c r="F882" s="97"/>
      <c r="G882" s="97"/>
      <c r="H882" s="97"/>
      <c r="I882" s="97"/>
      <c r="J882" s="97"/>
      <c r="K882" s="97"/>
      <c r="L882" s="97"/>
      <c r="M882" s="97"/>
      <c r="N882" s="97"/>
      <c r="O882" s="97"/>
      <c r="P882" s="97"/>
      <c r="Q882" s="97"/>
      <c r="R882" s="97"/>
      <c r="S882" s="97"/>
      <c r="T882" s="97"/>
      <c r="U882" s="25"/>
      <c r="V882" s="25"/>
      <c r="W882" s="25"/>
      <c r="X882" s="25"/>
      <c r="Y882" s="25"/>
      <c r="Z882" s="25"/>
    </row>
    <row r="883" spans="1:26" x14ac:dyDescent="0.35">
      <c r="A883" s="97"/>
      <c r="B883" s="97"/>
      <c r="C883" s="97"/>
      <c r="D883" s="97"/>
      <c r="E883" s="97"/>
      <c r="F883" s="97"/>
      <c r="G883" s="97"/>
      <c r="H883" s="97"/>
      <c r="I883" s="97"/>
      <c r="J883" s="97"/>
      <c r="K883" s="97"/>
      <c r="L883" s="97"/>
      <c r="M883" s="97"/>
      <c r="N883" s="97"/>
      <c r="O883" s="97"/>
      <c r="P883" s="97"/>
      <c r="Q883" s="97"/>
      <c r="R883" s="97"/>
      <c r="S883" s="97"/>
      <c r="T883" s="97"/>
      <c r="U883" s="25"/>
      <c r="V883" s="25"/>
      <c r="W883" s="25"/>
      <c r="X883" s="25"/>
      <c r="Y883" s="25"/>
      <c r="Z883" s="25"/>
    </row>
    <row r="884" spans="1:26" x14ac:dyDescent="0.35">
      <c r="A884" s="97"/>
      <c r="B884" s="97"/>
      <c r="C884" s="97"/>
      <c r="D884" s="97"/>
      <c r="E884" s="97"/>
      <c r="F884" s="97"/>
      <c r="G884" s="97"/>
      <c r="H884" s="97"/>
      <c r="I884" s="97"/>
      <c r="J884" s="97"/>
      <c r="K884" s="97"/>
      <c r="L884" s="97"/>
      <c r="M884" s="97"/>
      <c r="N884" s="97"/>
      <c r="O884" s="97"/>
      <c r="P884" s="97"/>
      <c r="Q884" s="97"/>
      <c r="R884" s="97"/>
      <c r="S884" s="97"/>
      <c r="T884" s="97"/>
      <c r="U884" s="25"/>
      <c r="V884" s="25"/>
      <c r="W884" s="25"/>
      <c r="X884" s="25"/>
      <c r="Y884" s="25"/>
      <c r="Z884" s="25"/>
    </row>
    <row r="885" spans="1:26" x14ac:dyDescent="0.35">
      <c r="A885" s="97"/>
      <c r="B885" s="97"/>
      <c r="C885" s="97"/>
      <c r="D885" s="97"/>
      <c r="E885" s="97"/>
      <c r="F885" s="97"/>
      <c r="G885" s="97"/>
      <c r="H885" s="97"/>
      <c r="I885" s="97"/>
      <c r="J885" s="97"/>
      <c r="K885" s="97"/>
      <c r="L885" s="97"/>
      <c r="M885" s="97"/>
      <c r="N885" s="97"/>
      <c r="O885" s="97"/>
      <c r="P885" s="97"/>
      <c r="Q885" s="97"/>
      <c r="R885" s="97"/>
      <c r="S885" s="97"/>
      <c r="T885" s="97"/>
      <c r="U885" s="25"/>
      <c r="V885" s="25"/>
      <c r="W885" s="25"/>
      <c r="X885" s="25"/>
      <c r="Y885" s="25"/>
      <c r="Z885" s="25"/>
    </row>
    <row r="886" spans="1:26" x14ac:dyDescent="0.35">
      <c r="A886" s="97"/>
      <c r="B886" s="97"/>
      <c r="C886" s="97"/>
      <c r="D886" s="97"/>
      <c r="E886" s="97"/>
      <c r="F886" s="97"/>
      <c r="G886" s="97"/>
      <c r="H886" s="97"/>
      <c r="I886" s="97"/>
      <c r="J886" s="97"/>
      <c r="K886" s="97"/>
      <c r="L886" s="97"/>
      <c r="M886" s="97"/>
      <c r="N886" s="97"/>
      <c r="O886" s="97"/>
      <c r="P886" s="97"/>
      <c r="Q886" s="97"/>
      <c r="R886" s="97"/>
      <c r="S886" s="97"/>
      <c r="T886" s="97"/>
      <c r="U886" s="25"/>
      <c r="V886" s="25"/>
      <c r="W886" s="25"/>
      <c r="X886" s="25"/>
      <c r="Y886" s="25"/>
      <c r="Z886" s="25"/>
    </row>
    <row r="887" spans="1:26" x14ac:dyDescent="0.35">
      <c r="A887" s="97"/>
      <c r="B887" s="97"/>
      <c r="C887" s="97"/>
      <c r="D887" s="97"/>
      <c r="E887" s="97"/>
      <c r="F887" s="97"/>
      <c r="G887" s="97"/>
      <c r="H887" s="97"/>
      <c r="I887" s="97"/>
      <c r="J887" s="97"/>
      <c r="K887" s="97"/>
      <c r="L887" s="97"/>
      <c r="M887" s="97"/>
      <c r="N887" s="97"/>
      <c r="O887" s="97"/>
      <c r="P887" s="97"/>
      <c r="Q887" s="97"/>
      <c r="R887" s="97"/>
      <c r="S887" s="97"/>
      <c r="T887" s="97"/>
      <c r="U887" s="25"/>
      <c r="V887" s="25"/>
      <c r="W887" s="25"/>
      <c r="X887" s="25"/>
      <c r="Y887" s="25"/>
      <c r="Z887" s="25"/>
    </row>
    <row r="888" spans="1:26" x14ac:dyDescent="0.35">
      <c r="A888" s="97"/>
      <c r="B888" s="97"/>
      <c r="C888" s="97"/>
      <c r="D888" s="97"/>
      <c r="E888" s="97"/>
      <c r="F888" s="97"/>
      <c r="G888" s="97"/>
      <c r="H888" s="97"/>
      <c r="I888" s="97"/>
      <c r="J888" s="97"/>
      <c r="K888" s="97"/>
      <c r="L888" s="97"/>
      <c r="M888" s="97"/>
      <c r="N888" s="97"/>
      <c r="O888" s="97"/>
      <c r="P888" s="97"/>
      <c r="Q888" s="97"/>
      <c r="R888" s="97"/>
      <c r="S888" s="97"/>
      <c r="T888" s="97"/>
      <c r="U888" s="25"/>
      <c r="V888" s="25"/>
      <c r="W888" s="25"/>
      <c r="X888" s="25"/>
      <c r="Y888" s="25"/>
      <c r="Z888" s="25"/>
    </row>
    <row r="889" spans="1:26" x14ac:dyDescent="0.35">
      <c r="A889" s="97"/>
      <c r="B889" s="97"/>
      <c r="C889" s="97"/>
      <c r="D889" s="97"/>
      <c r="E889" s="97"/>
      <c r="F889" s="97"/>
      <c r="G889" s="97"/>
      <c r="H889" s="97"/>
      <c r="I889" s="97"/>
      <c r="J889" s="97"/>
      <c r="K889" s="97"/>
      <c r="L889" s="97"/>
      <c r="M889" s="97"/>
      <c r="N889" s="97"/>
      <c r="O889" s="97"/>
      <c r="P889" s="97"/>
      <c r="Q889" s="97"/>
      <c r="R889" s="97"/>
      <c r="S889" s="97"/>
      <c r="T889" s="97"/>
      <c r="U889" s="25"/>
      <c r="V889" s="25"/>
      <c r="W889" s="25"/>
      <c r="X889" s="25"/>
      <c r="Y889" s="25"/>
      <c r="Z889" s="25"/>
    </row>
    <row r="890" spans="1:26" x14ac:dyDescent="0.35">
      <c r="A890" s="97"/>
      <c r="B890" s="97"/>
      <c r="C890" s="97"/>
      <c r="D890" s="97"/>
      <c r="E890" s="97"/>
      <c r="F890" s="97"/>
      <c r="G890" s="97"/>
      <c r="H890" s="97"/>
      <c r="I890" s="97"/>
      <c r="J890" s="97"/>
      <c r="K890" s="97"/>
      <c r="L890" s="97"/>
      <c r="M890" s="97"/>
      <c r="N890" s="97"/>
      <c r="O890" s="97"/>
      <c r="P890" s="97"/>
      <c r="Q890" s="97"/>
      <c r="R890" s="97"/>
      <c r="S890" s="97"/>
      <c r="T890" s="97"/>
      <c r="U890" s="25"/>
      <c r="V890" s="25"/>
      <c r="W890" s="25"/>
      <c r="X890" s="25"/>
      <c r="Y890" s="25"/>
      <c r="Z890" s="25"/>
    </row>
    <row r="891" spans="1:26" x14ac:dyDescent="0.35">
      <c r="A891" s="97"/>
      <c r="B891" s="97"/>
      <c r="C891" s="97"/>
      <c r="D891" s="97"/>
      <c r="E891" s="97"/>
      <c r="F891" s="97"/>
      <c r="G891" s="97"/>
      <c r="H891" s="97"/>
      <c r="I891" s="97"/>
      <c r="J891" s="97"/>
      <c r="K891" s="97"/>
      <c r="L891" s="97"/>
      <c r="M891" s="97"/>
      <c r="N891" s="97"/>
      <c r="O891" s="97"/>
      <c r="P891" s="97"/>
      <c r="Q891" s="97"/>
      <c r="R891" s="97"/>
      <c r="S891" s="97"/>
      <c r="T891" s="97"/>
      <c r="U891" s="25"/>
      <c r="V891" s="25"/>
      <c r="W891" s="25"/>
      <c r="X891" s="25"/>
      <c r="Y891" s="25"/>
      <c r="Z891" s="25"/>
    </row>
    <row r="892" spans="1:26" x14ac:dyDescent="0.35">
      <c r="A892" s="97"/>
      <c r="B892" s="97"/>
      <c r="C892" s="97"/>
      <c r="D892" s="97"/>
      <c r="E892" s="97"/>
      <c r="F892" s="97"/>
      <c r="G892" s="97"/>
      <c r="H892" s="97"/>
      <c r="I892" s="97"/>
      <c r="J892" s="97"/>
      <c r="K892" s="97"/>
      <c r="L892" s="97"/>
      <c r="M892" s="97"/>
      <c r="N892" s="97"/>
      <c r="O892" s="97"/>
      <c r="P892" s="97"/>
      <c r="Q892" s="97"/>
      <c r="R892" s="97"/>
      <c r="S892" s="97"/>
      <c r="T892" s="97"/>
      <c r="U892" s="25"/>
      <c r="V892" s="25"/>
      <c r="W892" s="25"/>
      <c r="X892" s="25"/>
      <c r="Y892" s="25"/>
      <c r="Z892" s="25"/>
    </row>
    <row r="893" spans="1:26" x14ac:dyDescent="0.35">
      <c r="A893" s="97"/>
      <c r="B893" s="97"/>
      <c r="C893" s="97"/>
      <c r="D893" s="97"/>
      <c r="E893" s="97"/>
      <c r="F893" s="97"/>
      <c r="G893" s="97"/>
      <c r="H893" s="97"/>
      <c r="I893" s="97"/>
      <c r="J893" s="97"/>
      <c r="K893" s="97"/>
      <c r="L893" s="97"/>
      <c r="M893" s="97"/>
      <c r="N893" s="97"/>
      <c r="O893" s="97"/>
      <c r="P893" s="97"/>
      <c r="Q893" s="97"/>
      <c r="R893" s="97"/>
      <c r="S893" s="97"/>
      <c r="T893" s="97"/>
      <c r="U893" s="25"/>
      <c r="V893" s="25"/>
      <c r="W893" s="25"/>
      <c r="X893" s="25"/>
      <c r="Y893" s="25"/>
      <c r="Z893" s="25"/>
    </row>
    <row r="894" spans="1:26" x14ac:dyDescent="0.35">
      <c r="A894" s="97"/>
      <c r="B894" s="97"/>
      <c r="C894" s="97"/>
      <c r="D894" s="97"/>
      <c r="E894" s="97"/>
      <c r="F894" s="97"/>
      <c r="G894" s="97"/>
      <c r="H894" s="97"/>
      <c r="I894" s="97"/>
      <c r="J894" s="97"/>
      <c r="K894" s="97"/>
      <c r="L894" s="97"/>
      <c r="M894" s="97"/>
      <c r="N894" s="97"/>
      <c r="O894" s="97"/>
      <c r="P894" s="97"/>
      <c r="Q894" s="97"/>
      <c r="R894" s="97"/>
      <c r="S894" s="97"/>
      <c r="T894" s="97"/>
      <c r="U894" s="25"/>
      <c r="V894" s="25"/>
      <c r="W894" s="25"/>
      <c r="X894" s="25"/>
      <c r="Y894" s="25"/>
      <c r="Z894" s="25"/>
    </row>
    <row r="895" spans="1:26" x14ac:dyDescent="0.35">
      <c r="A895" s="97"/>
      <c r="B895" s="97"/>
      <c r="C895" s="97"/>
      <c r="D895" s="97"/>
      <c r="E895" s="97"/>
      <c r="F895" s="97"/>
      <c r="G895" s="97"/>
      <c r="H895" s="97"/>
      <c r="I895" s="97"/>
      <c r="J895" s="97"/>
      <c r="K895" s="97"/>
      <c r="L895" s="97"/>
      <c r="M895" s="97"/>
      <c r="N895" s="97"/>
      <c r="O895" s="97"/>
      <c r="P895" s="97"/>
      <c r="Q895" s="97"/>
      <c r="R895" s="97"/>
      <c r="S895" s="97"/>
      <c r="T895" s="97"/>
      <c r="U895" s="25"/>
      <c r="V895" s="25"/>
      <c r="W895" s="25"/>
      <c r="X895" s="25"/>
      <c r="Y895" s="25"/>
      <c r="Z895" s="25"/>
    </row>
    <row r="896" spans="1:26" x14ac:dyDescent="0.35">
      <c r="A896" s="97"/>
      <c r="B896" s="97"/>
      <c r="C896" s="97"/>
      <c r="D896" s="97"/>
      <c r="E896" s="97"/>
      <c r="F896" s="97"/>
      <c r="G896" s="97"/>
      <c r="H896" s="97"/>
      <c r="I896" s="97"/>
      <c r="J896" s="97"/>
      <c r="K896" s="97"/>
      <c r="L896" s="97"/>
      <c r="M896" s="97"/>
      <c r="N896" s="97"/>
      <c r="O896" s="97"/>
      <c r="P896" s="97"/>
      <c r="Q896" s="97"/>
      <c r="R896" s="97"/>
      <c r="S896" s="97"/>
      <c r="T896" s="97"/>
      <c r="U896" s="25"/>
      <c r="V896" s="25"/>
      <c r="W896" s="25"/>
      <c r="X896" s="25"/>
      <c r="Y896" s="25"/>
      <c r="Z896" s="25"/>
    </row>
    <row r="897" spans="1:26" x14ac:dyDescent="0.35">
      <c r="A897" s="97"/>
      <c r="B897" s="97"/>
      <c r="C897" s="97"/>
      <c r="D897" s="97"/>
      <c r="E897" s="97"/>
      <c r="F897" s="97"/>
      <c r="G897" s="97"/>
      <c r="H897" s="97"/>
      <c r="I897" s="97"/>
      <c r="J897" s="97"/>
      <c r="K897" s="97"/>
      <c r="L897" s="97"/>
      <c r="M897" s="97"/>
      <c r="N897" s="97"/>
      <c r="O897" s="97"/>
      <c r="P897" s="97"/>
      <c r="Q897" s="97"/>
      <c r="R897" s="97"/>
      <c r="S897" s="97"/>
      <c r="T897" s="97"/>
      <c r="U897" s="25"/>
      <c r="V897" s="25"/>
      <c r="W897" s="25"/>
      <c r="X897" s="25"/>
      <c r="Y897" s="25"/>
      <c r="Z897" s="25"/>
    </row>
    <row r="898" spans="1:26" x14ac:dyDescent="0.35">
      <c r="A898" s="97"/>
      <c r="B898" s="97"/>
      <c r="C898" s="97"/>
      <c r="D898" s="97"/>
      <c r="E898" s="97"/>
      <c r="F898" s="97"/>
      <c r="G898" s="97"/>
      <c r="H898" s="97"/>
      <c r="I898" s="97"/>
      <c r="J898" s="97"/>
      <c r="K898" s="97"/>
      <c r="L898" s="97"/>
      <c r="M898" s="97"/>
      <c r="N898" s="97"/>
      <c r="O898" s="97"/>
      <c r="P898" s="97"/>
      <c r="Q898" s="97"/>
      <c r="R898" s="97"/>
      <c r="S898" s="97"/>
      <c r="T898" s="97"/>
      <c r="U898" s="25"/>
      <c r="V898" s="25"/>
      <c r="W898" s="25"/>
      <c r="X898" s="25"/>
      <c r="Y898" s="25"/>
      <c r="Z898" s="25"/>
    </row>
    <row r="899" spans="1:26" x14ac:dyDescent="0.35">
      <c r="A899" s="97"/>
      <c r="B899" s="97"/>
      <c r="C899" s="97"/>
      <c r="D899" s="97"/>
      <c r="E899" s="97"/>
      <c r="F899" s="97"/>
      <c r="G899" s="97"/>
      <c r="H899" s="97"/>
      <c r="I899" s="97"/>
      <c r="J899" s="97"/>
      <c r="K899" s="97"/>
      <c r="L899" s="97"/>
      <c r="M899" s="97"/>
      <c r="N899" s="97"/>
      <c r="O899" s="97"/>
      <c r="P899" s="97"/>
      <c r="Q899" s="97"/>
      <c r="R899" s="97"/>
      <c r="S899" s="97"/>
      <c r="T899" s="97"/>
      <c r="U899" s="25"/>
      <c r="V899" s="25"/>
      <c r="W899" s="25"/>
      <c r="X899" s="25"/>
      <c r="Y899" s="25"/>
      <c r="Z899" s="25"/>
    </row>
    <row r="900" spans="1:26" x14ac:dyDescent="0.35">
      <c r="A900" s="97"/>
      <c r="B900" s="97"/>
      <c r="C900" s="97"/>
      <c r="D900" s="97"/>
      <c r="E900" s="97"/>
      <c r="F900" s="97"/>
      <c r="G900" s="97"/>
      <c r="H900" s="97"/>
      <c r="I900" s="97"/>
      <c r="J900" s="97"/>
      <c r="K900" s="97"/>
      <c r="L900" s="97"/>
      <c r="M900" s="97"/>
      <c r="N900" s="97"/>
      <c r="O900" s="97"/>
      <c r="P900" s="97"/>
      <c r="Q900" s="97"/>
      <c r="R900" s="97"/>
      <c r="S900" s="97"/>
      <c r="T900" s="97"/>
      <c r="U900" s="25"/>
      <c r="V900" s="25"/>
      <c r="W900" s="25"/>
      <c r="X900" s="25"/>
      <c r="Y900" s="25"/>
      <c r="Z900" s="25"/>
    </row>
    <row r="901" spans="1:26" x14ac:dyDescent="0.35">
      <c r="A901" s="97"/>
      <c r="B901" s="97"/>
      <c r="C901" s="97"/>
      <c r="D901" s="97"/>
      <c r="E901" s="97"/>
      <c r="F901" s="97"/>
      <c r="G901" s="97"/>
      <c r="H901" s="97"/>
      <c r="I901" s="97"/>
      <c r="J901" s="97"/>
      <c r="K901" s="97"/>
      <c r="L901" s="97"/>
      <c r="M901" s="97"/>
      <c r="N901" s="97"/>
      <c r="O901" s="97"/>
      <c r="P901" s="97"/>
      <c r="Q901" s="97"/>
      <c r="R901" s="97"/>
      <c r="S901" s="97"/>
      <c r="T901" s="97"/>
      <c r="U901" s="25"/>
      <c r="V901" s="25"/>
      <c r="W901" s="25"/>
      <c r="X901" s="25"/>
      <c r="Y901" s="25"/>
      <c r="Z901" s="25"/>
    </row>
    <row r="902" spans="1:26" x14ac:dyDescent="0.35">
      <c r="A902" s="97"/>
      <c r="B902" s="97"/>
      <c r="C902" s="97"/>
      <c r="D902" s="97"/>
      <c r="E902" s="97"/>
      <c r="F902" s="97"/>
      <c r="G902" s="97"/>
      <c r="H902" s="97"/>
      <c r="I902" s="97"/>
      <c r="J902" s="97"/>
      <c r="K902" s="97"/>
      <c r="L902" s="97"/>
      <c r="M902" s="97"/>
      <c r="N902" s="97"/>
      <c r="O902" s="97"/>
      <c r="P902" s="97"/>
      <c r="Q902" s="97"/>
      <c r="R902" s="97"/>
      <c r="S902" s="97"/>
      <c r="T902" s="97"/>
      <c r="U902" s="25"/>
      <c r="V902" s="25"/>
      <c r="W902" s="25"/>
      <c r="X902" s="25"/>
      <c r="Y902" s="25"/>
      <c r="Z902" s="25"/>
    </row>
    <row r="903" spans="1:26" x14ac:dyDescent="0.35">
      <c r="A903" s="97"/>
      <c r="B903" s="97"/>
      <c r="C903" s="97"/>
      <c r="D903" s="97"/>
      <c r="E903" s="97"/>
      <c r="F903" s="97"/>
      <c r="G903" s="97"/>
      <c r="H903" s="97"/>
      <c r="I903" s="97"/>
      <c r="J903" s="97"/>
      <c r="K903" s="97"/>
      <c r="L903" s="97"/>
      <c r="M903" s="97"/>
      <c r="N903" s="97"/>
      <c r="O903" s="97"/>
      <c r="P903" s="97"/>
      <c r="Q903" s="97"/>
      <c r="R903" s="97"/>
      <c r="S903" s="97"/>
      <c r="T903" s="97"/>
      <c r="U903" s="25"/>
      <c r="V903" s="25"/>
      <c r="W903" s="25"/>
      <c r="X903" s="25"/>
      <c r="Y903" s="25"/>
      <c r="Z903" s="25"/>
    </row>
    <row r="904" spans="1:26" x14ac:dyDescent="0.35">
      <c r="A904" s="97"/>
      <c r="B904" s="97"/>
      <c r="C904" s="97"/>
      <c r="D904" s="97"/>
      <c r="E904" s="97"/>
      <c r="F904" s="97"/>
      <c r="G904" s="97"/>
      <c r="H904" s="97"/>
      <c r="I904" s="97"/>
      <c r="J904" s="97"/>
      <c r="K904" s="97"/>
      <c r="L904" s="97"/>
      <c r="M904" s="97"/>
      <c r="N904" s="97"/>
      <c r="O904" s="97"/>
      <c r="P904" s="97"/>
      <c r="Q904" s="97"/>
      <c r="R904" s="97"/>
      <c r="S904" s="97"/>
      <c r="T904" s="97"/>
      <c r="U904" s="25"/>
      <c r="V904" s="25"/>
      <c r="W904" s="25"/>
      <c r="X904" s="25"/>
      <c r="Y904" s="25"/>
      <c r="Z904" s="25"/>
    </row>
    <row r="905" spans="1:26" x14ac:dyDescent="0.35">
      <c r="A905" s="97"/>
      <c r="B905" s="97"/>
      <c r="C905" s="97"/>
      <c r="D905" s="97"/>
      <c r="E905" s="97"/>
      <c r="F905" s="97"/>
      <c r="G905" s="97"/>
      <c r="H905" s="97"/>
      <c r="I905" s="97"/>
      <c r="J905" s="97"/>
      <c r="K905" s="97"/>
      <c r="L905" s="97"/>
      <c r="M905" s="97"/>
      <c r="N905" s="97"/>
      <c r="O905" s="97"/>
      <c r="P905" s="97"/>
      <c r="Q905" s="97"/>
      <c r="R905" s="97"/>
      <c r="S905" s="97"/>
      <c r="T905" s="97"/>
      <c r="U905" s="25"/>
      <c r="V905" s="25"/>
      <c r="W905" s="25"/>
      <c r="X905" s="25"/>
      <c r="Y905" s="25"/>
      <c r="Z905" s="25"/>
    </row>
    <row r="906" spans="1:26" x14ac:dyDescent="0.35">
      <c r="A906" s="97"/>
      <c r="B906" s="97"/>
      <c r="C906" s="97"/>
      <c r="D906" s="97"/>
      <c r="E906" s="97"/>
      <c r="F906" s="97"/>
      <c r="G906" s="97"/>
      <c r="H906" s="97"/>
      <c r="I906" s="97"/>
      <c r="J906" s="97"/>
      <c r="K906" s="97"/>
      <c r="L906" s="97"/>
      <c r="M906" s="97"/>
      <c r="N906" s="97"/>
      <c r="O906" s="97"/>
      <c r="P906" s="97"/>
      <c r="Q906" s="97"/>
      <c r="R906" s="97"/>
      <c r="S906" s="97"/>
      <c r="T906" s="97"/>
      <c r="U906" s="25"/>
      <c r="V906" s="25"/>
      <c r="W906" s="25"/>
      <c r="X906" s="25"/>
      <c r="Y906" s="25"/>
      <c r="Z906" s="25"/>
    </row>
    <row r="907" spans="1:26" x14ac:dyDescent="0.35">
      <c r="A907" s="97"/>
      <c r="B907" s="97"/>
      <c r="C907" s="97"/>
      <c r="D907" s="97"/>
      <c r="E907" s="97"/>
      <c r="F907" s="97"/>
      <c r="G907" s="97"/>
      <c r="H907" s="97"/>
      <c r="I907" s="97"/>
      <c r="J907" s="97"/>
      <c r="K907" s="97"/>
      <c r="L907" s="97"/>
      <c r="M907" s="97"/>
      <c r="N907" s="97"/>
      <c r="O907" s="97"/>
      <c r="P907" s="97"/>
      <c r="Q907" s="97"/>
      <c r="R907" s="97"/>
      <c r="S907" s="97"/>
      <c r="T907" s="97"/>
      <c r="U907" s="25"/>
      <c r="V907" s="25"/>
      <c r="W907" s="25"/>
      <c r="X907" s="25"/>
      <c r="Y907" s="25"/>
      <c r="Z907" s="25"/>
    </row>
    <row r="908" spans="1:26" x14ac:dyDescent="0.35">
      <c r="A908" s="97"/>
      <c r="B908" s="97"/>
      <c r="C908" s="97"/>
      <c r="D908" s="97"/>
      <c r="E908" s="97"/>
      <c r="F908" s="97"/>
      <c r="G908" s="97"/>
      <c r="H908" s="97"/>
      <c r="I908" s="97"/>
      <c r="J908" s="97"/>
      <c r="K908" s="97"/>
      <c r="L908" s="97"/>
      <c r="M908" s="97"/>
      <c r="N908" s="97"/>
      <c r="O908" s="97"/>
      <c r="P908" s="97"/>
      <c r="Q908" s="97"/>
      <c r="R908" s="97"/>
      <c r="S908" s="97"/>
      <c r="T908" s="97"/>
      <c r="U908" s="25"/>
      <c r="V908" s="25"/>
      <c r="W908" s="25"/>
      <c r="X908" s="25"/>
      <c r="Y908" s="25"/>
      <c r="Z908" s="25"/>
    </row>
    <row r="909" spans="1:26" x14ac:dyDescent="0.35">
      <c r="A909" s="97"/>
      <c r="B909" s="97"/>
      <c r="C909" s="97"/>
      <c r="D909" s="97"/>
      <c r="E909" s="97"/>
      <c r="F909" s="97"/>
      <c r="G909" s="97"/>
      <c r="H909" s="97"/>
      <c r="I909" s="97"/>
      <c r="J909" s="97"/>
      <c r="K909" s="97"/>
      <c r="L909" s="97"/>
      <c r="M909" s="97"/>
      <c r="N909" s="97"/>
      <c r="O909" s="97"/>
      <c r="P909" s="97"/>
      <c r="Q909" s="97"/>
      <c r="R909" s="97"/>
      <c r="S909" s="97"/>
      <c r="T909" s="97"/>
      <c r="U909" s="25"/>
      <c r="V909" s="25"/>
      <c r="W909" s="25"/>
      <c r="X909" s="25"/>
      <c r="Y909" s="25"/>
      <c r="Z909" s="25"/>
    </row>
    <row r="910" spans="1:26" x14ac:dyDescent="0.35">
      <c r="A910" s="97"/>
      <c r="B910" s="97"/>
      <c r="C910" s="97"/>
      <c r="D910" s="97"/>
      <c r="E910" s="97"/>
      <c r="F910" s="97"/>
      <c r="G910" s="97"/>
      <c r="H910" s="97"/>
      <c r="I910" s="97"/>
      <c r="J910" s="97"/>
      <c r="K910" s="97"/>
      <c r="L910" s="97"/>
      <c r="M910" s="97"/>
      <c r="N910" s="97"/>
      <c r="O910" s="97"/>
      <c r="P910" s="97"/>
      <c r="Q910" s="97"/>
      <c r="R910" s="97"/>
      <c r="S910" s="97"/>
      <c r="T910" s="97"/>
      <c r="U910" s="25"/>
      <c r="V910" s="25"/>
      <c r="W910" s="25"/>
      <c r="X910" s="25"/>
      <c r="Y910" s="25"/>
      <c r="Z910" s="25"/>
    </row>
    <row r="911" spans="1:26" x14ac:dyDescent="0.35">
      <c r="A911" s="97"/>
      <c r="B911" s="97"/>
      <c r="C911" s="97"/>
      <c r="D911" s="97"/>
      <c r="E911" s="97"/>
      <c r="F911" s="97"/>
      <c r="G911" s="97"/>
      <c r="H911" s="97"/>
      <c r="I911" s="97"/>
      <c r="J911" s="97"/>
      <c r="K911" s="97"/>
      <c r="L911" s="97"/>
      <c r="M911" s="97"/>
      <c r="N911" s="97"/>
      <c r="O911" s="97"/>
      <c r="P911" s="97"/>
      <c r="Q911" s="97"/>
      <c r="R911" s="97"/>
      <c r="S911" s="97"/>
      <c r="T911" s="97"/>
      <c r="U911" s="25"/>
      <c r="V911" s="25"/>
      <c r="W911" s="25"/>
      <c r="X911" s="25"/>
      <c r="Y911" s="25"/>
      <c r="Z911" s="25"/>
    </row>
    <row r="912" spans="1:26" x14ac:dyDescent="0.35">
      <c r="A912" s="97"/>
      <c r="B912" s="97"/>
      <c r="C912" s="97"/>
      <c r="D912" s="97"/>
      <c r="E912" s="97"/>
      <c r="F912" s="97"/>
      <c r="G912" s="97"/>
      <c r="H912" s="97"/>
      <c r="I912" s="97"/>
      <c r="J912" s="97"/>
      <c r="K912" s="97"/>
      <c r="L912" s="97"/>
      <c r="M912" s="97"/>
      <c r="N912" s="97"/>
      <c r="O912" s="97"/>
      <c r="P912" s="97"/>
      <c r="Q912" s="97"/>
      <c r="R912" s="97"/>
      <c r="S912" s="97"/>
      <c r="T912" s="97"/>
      <c r="U912" s="25"/>
      <c r="V912" s="25"/>
      <c r="W912" s="25"/>
      <c r="X912" s="25"/>
      <c r="Y912" s="25"/>
      <c r="Z912" s="25"/>
    </row>
    <row r="913" spans="1:26" x14ac:dyDescent="0.35">
      <c r="A913" s="97"/>
      <c r="B913" s="97"/>
      <c r="C913" s="97"/>
      <c r="D913" s="97"/>
      <c r="E913" s="97"/>
      <c r="F913" s="97"/>
      <c r="G913" s="97"/>
      <c r="H913" s="97"/>
      <c r="I913" s="97"/>
      <c r="J913" s="97"/>
      <c r="K913" s="97"/>
      <c r="L913" s="97"/>
      <c r="M913" s="97"/>
      <c r="N913" s="97"/>
      <c r="O913" s="97"/>
      <c r="P913" s="97"/>
      <c r="Q913" s="97"/>
      <c r="R913" s="97"/>
      <c r="S913" s="97"/>
      <c r="T913" s="97"/>
      <c r="U913" s="25"/>
      <c r="V913" s="25"/>
      <c r="W913" s="25"/>
      <c r="X913" s="25"/>
      <c r="Y913" s="25"/>
      <c r="Z913" s="25"/>
    </row>
    <row r="914" spans="1:26" x14ac:dyDescent="0.35">
      <c r="A914" s="97"/>
      <c r="B914" s="97"/>
      <c r="C914" s="97"/>
      <c r="D914" s="97"/>
      <c r="E914" s="97"/>
      <c r="F914" s="97"/>
      <c r="G914" s="97"/>
      <c r="H914" s="97"/>
      <c r="I914" s="97"/>
      <c r="J914" s="97"/>
      <c r="K914" s="97"/>
      <c r="L914" s="97"/>
      <c r="M914" s="97"/>
      <c r="N914" s="97"/>
      <c r="O914" s="97"/>
      <c r="P914" s="97"/>
      <c r="Q914" s="97"/>
      <c r="R914" s="97"/>
      <c r="S914" s="97"/>
      <c r="T914" s="97"/>
      <c r="U914" s="25"/>
      <c r="V914" s="25"/>
      <c r="W914" s="25"/>
      <c r="X914" s="25"/>
      <c r="Y914" s="25"/>
      <c r="Z914" s="25"/>
    </row>
    <row r="915" spans="1:26" x14ac:dyDescent="0.35">
      <c r="A915" s="97"/>
      <c r="B915" s="97"/>
      <c r="C915" s="97"/>
      <c r="D915" s="97"/>
      <c r="E915" s="97"/>
      <c r="F915" s="97"/>
      <c r="G915" s="97"/>
      <c r="H915" s="97"/>
      <c r="I915" s="97"/>
      <c r="J915" s="97"/>
      <c r="K915" s="97"/>
      <c r="L915" s="97"/>
      <c r="M915" s="97"/>
      <c r="N915" s="97"/>
      <c r="O915" s="97"/>
      <c r="P915" s="97"/>
      <c r="Q915" s="97"/>
      <c r="R915" s="97"/>
      <c r="S915" s="97"/>
      <c r="T915" s="97"/>
      <c r="U915" s="25"/>
      <c r="V915" s="25"/>
      <c r="W915" s="25"/>
      <c r="X915" s="25"/>
      <c r="Y915" s="25"/>
      <c r="Z915" s="25"/>
    </row>
    <row r="916" spans="1:26" x14ac:dyDescent="0.35">
      <c r="A916" s="97"/>
      <c r="B916" s="97"/>
      <c r="C916" s="97"/>
      <c r="D916" s="97"/>
      <c r="E916" s="97"/>
      <c r="F916" s="97"/>
      <c r="G916" s="97"/>
      <c r="H916" s="97"/>
      <c r="I916" s="97"/>
      <c r="J916" s="97"/>
      <c r="K916" s="97"/>
      <c r="L916" s="97"/>
      <c r="M916" s="97"/>
      <c r="N916" s="97"/>
      <c r="O916" s="97"/>
      <c r="P916" s="97"/>
      <c r="Q916" s="97"/>
      <c r="R916" s="97"/>
      <c r="S916" s="97"/>
      <c r="T916" s="97"/>
      <c r="U916" s="25"/>
      <c r="V916" s="25"/>
      <c r="W916" s="25"/>
      <c r="X916" s="25"/>
      <c r="Y916" s="25"/>
      <c r="Z916" s="25"/>
    </row>
    <row r="917" spans="1:26" x14ac:dyDescent="0.35">
      <c r="A917" s="97"/>
      <c r="B917" s="97"/>
      <c r="C917" s="97"/>
      <c r="D917" s="97"/>
      <c r="E917" s="97"/>
      <c r="F917" s="97"/>
      <c r="G917" s="97"/>
      <c r="H917" s="97"/>
      <c r="I917" s="97"/>
      <c r="J917" s="97"/>
      <c r="K917" s="97"/>
      <c r="L917" s="97"/>
      <c r="M917" s="97"/>
      <c r="N917" s="97"/>
      <c r="O917" s="97"/>
      <c r="P917" s="97"/>
      <c r="Q917" s="97"/>
      <c r="R917" s="97"/>
      <c r="S917" s="97"/>
      <c r="T917" s="97"/>
      <c r="U917" s="25"/>
      <c r="V917" s="25"/>
      <c r="W917" s="25"/>
      <c r="X917" s="25"/>
      <c r="Y917" s="25"/>
      <c r="Z917" s="25"/>
    </row>
    <row r="918" spans="1:26" x14ac:dyDescent="0.35">
      <c r="A918" s="97"/>
      <c r="B918" s="97"/>
      <c r="C918" s="97"/>
      <c r="D918" s="97"/>
      <c r="E918" s="97"/>
      <c r="F918" s="97"/>
      <c r="G918" s="97"/>
      <c r="H918" s="97"/>
      <c r="I918" s="97"/>
      <c r="J918" s="97"/>
      <c r="K918" s="97"/>
      <c r="L918" s="97"/>
      <c r="M918" s="97"/>
      <c r="N918" s="97"/>
      <c r="O918" s="97"/>
      <c r="P918" s="97"/>
      <c r="Q918" s="97"/>
      <c r="R918" s="97"/>
      <c r="S918" s="97"/>
      <c r="T918" s="97"/>
      <c r="U918" s="25"/>
      <c r="V918" s="25"/>
      <c r="W918" s="25"/>
      <c r="X918" s="25"/>
      <c r="Y918" s="25"/>
      <c r="Z918" s="25"/>
    </row>
    <row r="919" spans="1:26" x14ac:dyDescent="0.35">
      <c r="A919" s="97"/>
      <c r="B919" s="97"/>
      <c r="C919" s="97"/>
      <c r="D919" s="97"/>
      <c r="E919" s="97"/>
      <c r="F919" s="97"/>
      <c r="G919" s="97"/>
      <c r="H919" s="97"/>
      <c r="I919" s="97"/>
      <c r="J919" s="97"/>
      <c r="K919" s="97"/>
      <c r="L919" s="97"/>
      <c r="M919" s="97"/>
      <c r="N919" s="97"/>
      <c r="O919" s="97"/>
      <c r="P919" s="97"/>
      <c r="Q919" s="97"/>
      <c r="R919" s="97"/>
      <c r="S919" s="97"/>
      <c r="T919" s="97"/>
      <c r="U919" s="25"/>
      <c r="V919" s="25"/>
      <c r="W919" s="25"/>
      <c r="X919" s="25"/>
      <c r="Y919" s="25"/>
      <c r="Z919" s="25"/>
    </row>
    <row r="920" spans="1:26" x14ac:dyDescent="0.35">
      <c r="A920" s="97"/>
      <c r="B920" s="97"/>
      <c r="C920" s="97"/>
      <c r="D920" s="97"/>
      <c r="E920" s="97"/>
      <c r="F920" s="97"/>
      <c r="G920" s="97"/>
      <c r="H920" s="97"/>
      <c r="I920" s="97"/>
      <c r="J920" s="97"/>
      <c r="K920" s="97"/>
      <c r="L920" s="97"/>
      <c r="M920" s="97"/>
      <c r="N920" s="97"/>
      <c r="O920" s="97"/>
      <c r="P920" s="97"/>
      <c r="Q920" s="97"/>
      <c r="R920" s="97"/>
      <c r="S920" s="97"/>
      <c r="T920" s="97"/>
      <c r="U920" s="25"/>
      <c r="V920" s="25"/>
      <c r="W920" s="25"/>
      <c r="X920" s="25"/>
      <c r="Y920" s="25"/>
      <c r="Z920" s="25"/>
    </row>
    <row r="921" spans="1:26" x14ac:dyDescent="0.35">
      <c r="A921" s="97"/>
      <c r="B921" s="97"/>
      <c r="C921" s="97"/>
      <c r="D921" s="97"/>
      <c r="E921" s="97"/>
      <c r="F921" s="97"/>
      <c r="G921" s="97"/>
      <c r="H921" s="97"/>
      <c r="I921" s="97"/>
      <c r="J921" s="97"/>
      <c r="K921" s="97"/>
      <c r="L921" s="97"/>
      <c r="M921" s="97"/>
      <c r="N921" s="97"/>
      <c r="O921" s="97"/>
      <c r="P921" s="97"/>
      <c r="Q921" s="97"/>
      <c r="R921" s="97"/>
      <c r="S921" s="97"/>
      <c r="T921" s="97"/>
      <c r="U921" s="25"/>
      <c r="V921" s="25"/>
      <c r="W921" s="25"/>
      <c r="X921" s="25"/>
      <c r="Y921" s="25"/>
      <c r="Z921" s="25"/>
    </row>
    <row r="922" spans="1:26" x14ac:dyDescent="0.35">
      <c r="A922" s="97"/>
      <c r="B922" s="97"/>
      <c r="C922" s="97"/>
      <c r="D922" s="97"/>
      <c r="E922" s="97"/>
      <c r="F922" s="97"/>
      <c r="G922" s="97"/>
      <c r="H922" s="97"/>
      <c r="I922" s="97"/>
      <c r="J922" s="97"/>
      <c r="K922" s="97"/>
      <c r="L922" s="97"/>
      <c r="M922" s="97"/>
      <c r="N922" s="97"/>
      <c r="O922" s="97"/>
      <c r="P922" s="97"/>
      <c r="Q922" s="97"/>
      <c r="R922" s="97"/>
      <c r="S922" s="97"/>
      <c r="T922" s="97"/>
      <c r="U922" s="25"/>
      <c r="V922" s="25"/>
      <c r="W922" s="25"/>
      <c r="X922" s="25"/>
      <c r="Y922" s="25"/>
      <c r="Z922" s="25"/>
    </row>
    <row r="923" spans="1:26" x14ac:dyDescent="0.35">
      <c r="A923" s="97"/>
      <c r="B923" s="97"/>
      <c r="C923" s="97"/>
      <c r="D923" s="97"/>
      <c r="E923" s="97"/>
      <c r="F923" s="97"/>
      <c r="G923" s="97"/>
      <c r="H923" s="97"/>
      <c r="I923" s="97"/>
      <c r="J923" s="97"/>
      <c r="K923" s="97"/>
      <c r="L923" s="97"/>
      <c r="M923" s="97"/>
      <c r="N923" s="97"/>
      <c r="O923" s="97"/>
      <c r="P923" s="97"/>
      <c r="Q923" s="97"/>
      <c r="R923" s="97"/>
      <c r="S923" s="97"/>
      <c r="T923" s="97"/>
      <c r="U923" s="25"/>
      <c r="V923" s="25"/>
      <c r="W923" s="25"/>
      <c r="X923" s="25"/>
      <c r="Y923" s="25"/>
      <c r="Z923" s="25"/>
    </row>
    <row r="924" spans="1:26" x14ac:dyDescent="0.35">
      <c r="A924" s="97"/>
      <c r="B924" s="97"/>
      <c r="C924" s="97"/>
      <c r="D924" s="97"/>
      <c r="E924" s="97"/>
      <c r="F924" s="97"/>
      <c r="G924" s="97"/>
      <c r="H924" s="97"/>
      <c r="I924" s="97"/>
      <c r="J924" s="97"/>
      <c r="K924" s="97"/>
      <c r="L924" s="97"/>
      <c r="M924" s="97"/>
      <c r="N924" s="97"/>
      <c r="O924" s="97"/>
      <c r="P924" s="97"/>
      <c r="Q924" s="97"/>
      <c r="R924" s="97"/>
      <c r="S924" s="97"/>
      <c r="T924" s="97"/>
      <c r="U924" s="25"/>
      <c r="V924" s="25"/>
      <c r="W924" s="25"/>
      <c r="X924" s="25"/>
      <c r="Y924" s="25"/>
      <c r="Z924" s="25"/>
    </row>
    <row r="925" spans="1:26" x14ac:dyDescent="0.35">
      <c r="A925" s="97"/>
      <c r="B925" s="97"/>
      <c r="C925" s="97"/>
      <c r="D925" s="97"/>
      <c r="E925" s="97"/>
      <c r="F925" s="97"/>
      <c r="G925" s="97"/>
      <c r="H925" s="97"/>
      <c r="I925" s="97"/>
      <c r="J925" s="97"/>
      <c r="K925" s="97"/>
      <c r="L925" s="97"/>
      <c r="M925" s="97"/>
      <c r="N925" s="97"/>
      <c r="O925" s="97"/>
      <c r="P925" s="97"/>
      <c r="Q925" s="97"/>
      <c r="R925" s="97"/>
      <c r="S925" s="97"/>
      <c r="T925" s="97"/>
      <c r="U925" s="25"/>
      <c r="V925" s="25"/>
      <c r="W925" s="25"/>
      <c r="X925" s="25"/>
      <c r="Y925" s="25"/>
      <c r="Z925" s="25"/>
    </row>
    <row r="926" spans="1:26" x14ac:dyDescent="0.35">
      <c r="A926" s="97"/>
      <c r="B926" s="97"/>
      <c r="C926" s="97"/>
      <c r="D926" s="97"/>
      <c r="E926" s="97"/>
      <c r="F926" s="97"/>
      <c r="G926" s="97"/>
      <c r="H926" s="97"/>
      <c r="I926" s="97"/>
      <c r="J926" s="97"/>
      <c r="K926" s="97"/>
      <c r="L926" s="97"/>
      <c r="M926" s="97"/>
      <c r="N926" s="97"/>
      <c r="O926" s="97"/>
      <c r="P926" s="97"/>
      <c r="Q926" s="97"/>
      <c r="R926" s="97"/>
      <c r="S926" s="97"/>
      <c r="T926" s="97"/>
      <c r="U926" s="25"/>
      <c r="V926" s="25"/>
      <c r="W926" s="25"/>
      <c r="X926" s="25"/>
      <c r="Y926" s="25"/>
      <c r="Z926" s="25"/>
    </row>
    <row r="927" spans="1:26" x14ac:dyDescent="0.35">
      <c r="A927" s="97"/>
      <c r="B927" s="97"/>
      <c r="C927" s="97"/>
      <c r="D927" s="97"/>
      <c r="E927" s="97"/>
      <c r="F927" s="97"/>
      <c r="G927" s="97"/>
      <c r="H927" s="97"/>
      <c r="I927" s="97"/>
      <c r="J927" s="97"/>
      <c r="K927" s="97"/>
      <c r="L927" s="97"/>
      <c r="M927" s="97"/>
      <c r="N927" s="97"/>
      <c r="O927" s="97"/>
      <c r="P927" s="97"/>
      <c r="Q927" s="97"/>
      <c r="R927" s="97"/>
      <c r="S927" s="97"/>
      <c r="T927" s="97"/>
      <c r="U927" s="25"/>
      <c r="V927" s="25"/>
      <c r="W927" s="25"/>
      <c r="X927" s="25"/>
      <c r="Y927" s="25"/>
      <c r="Z927" s="25"/>
    </row>
    <row r="928" spans="1:26" x14ac:dyDescent="0.35">
      <c r="A928" s="97"/>
      <c r="B928" s="97"/>
      <c r="C928" s="97"/>
      <c r="D928" s="97"/>
      <c r="E928" s="97"/>
      <c r="F928" s="97"/>
      <c r="G928" s="97"/>
      <c r="H928" s="97"/>
      <c r="I928" s="97"/>
      <c r="J928" s="97"/>
      <c r="K928" s="97"/>
      <c r="L928" s="97"/>
      <c r="M928" s="97"/>
      <c r="N928" s="97"/>
      <c r="O928" s="97"/>
      <c r="P928" s="97"/>
      <c r="Q928" s="97"/>
      <c r="R928" s="97"/>
      <c r="S928" s="97"/>
      <c r="T928" s="97"/>
      <c r="U928" s="25"/>
      <c r="V928" s="25"/>
      <c r="W928" s="25"/>
      <c r="X928" s="25"/>
      <c r="Y928" s="25"/>
      <c r="Z928" s="25"/>
    </row>
    <row r="929" spans="1:26" x14ac:dyDescent="0.35">
      <c r="A929" s="97"/>
      <c r="B929" s="97"/>
      <c r="C929" s="97"/>
      <c r="D929" s="97"/>
      <c r="E929" s="97"/>
      <c r="F929" s="97"/>
      <c r="G929" s="97"/>
      <c r="H929" s="97"/>
      <c r="I929" s="97"/>
      <c r="J929" s="97"/>
      <c r="K929" s="97"/>
      <c r="L929" s="97"/>
      <c r="M929" s="97"/>
      <c r="N929" s="97"/>
      <c r="O929" s="97"/>
      <c r="P929" s="97"/>
      <c r="Q929" s="97"/>
      <c r="R929" s="97"/>
      <c r="S929" s="97"/>
      <c r="T929" s="97"/>
      <c r="U929" s="25"/>
      <c r="V929" s="25"/>
      <c r="W929" s="25"/>
      <c r="X929" s="25"/>
      <c r="Y929" s="25"/>
      <c r="Z929" s="25"/>
    </row>
    <row r="930" spans="1:26" x14ac:dyDescent="0.35">
      <c r="A930" s="97"/>
      <c r="B930" s="97"/>
      <c r="C930" s="97"/>
      <c r="D930" s="97"/>
      <c r="E930" s="97"/>
      <c r="F930" s="97"/>
      <c r="G930" s="97"/>
      <c r="H930" s="97"/>
      <c r="I930" s="97"/>
      <c r="J930" s="97"/>
      <c r="K930" s="97"/>
      <c r="L930" s="97"/>
      <c r="M930" s="97"/>
      <c r="N930" s="97"/>
      <c r="O930" s="97"/>
      <c r="P930" s="97"/>
      <c r="Q930" s="97"/>
      <c r="R930" s="97"/>
      <c r="S930" s="97"/>
      <c r="T930" s="97"/>
      <c r="U930" s="25"/>
      <c r="V930" s="25"/>
      <c r="W930" s="25"/>
      <c r="X930" s="25"/>
      <c r="Y930" s="25"/>
      <c r="Z930" s="25"/>
    </row>
    <row r="931" spans="1:26" x14ac:dyDescent="0.35">
      <c r="A931" s="97"/>
      <c r="B931" s="97"/>
      <c r="C931" s="97"/>
      <c r="D931" s="97"/>
      <c r="E931" s="97"/>
      <c r="F931" s="97"/>
      <c r="G931" s="97"/>
      <c r="H931" s="97"/>
      <c r="I931" s="97"/>
      <c r="J931" s="97"/>
      <c r="K931" s="97"/>
      <c r="L931" s="97"/>
      <c r="M931" s="97"/>
      <c r="N931" s="97"/>
      <c r="O931" s="97"/>
      <c r="P931" s="97"/>
      <c r="Q931" s="97"/>
      <c r="R931" s="97"/>
      <c r="S931" s="97"/>
      <c r="T931" s="97"/>
      <c r="U931" s="25"/>
      <c r="V931" s="25"/>
      <c r="W931" s="25"/>
      <c r="X931" s="25"/>
      <c r="Y931" s="25"/>
      <c r="Z931" s="25"/>
    </row>
    <row r="932" spans="1:26" x14ac:dyDescent="0.35">
      <c r="A932" s="97"/>
      <c r="B932" s="97"/>
      <c r="C932" s="97"/>
      <c r="D932" s="97"/>
      <c r="E932" s="97"/>
      <c r="F932" s="97"/>
      <c r="G932" s="97"/>
      <c r="H932" s="97"/>
      <c r="I932" s="97"/>
      <c r="J932" s="97"/>
      <c r="K932" s="97"/>
      <c r="L932" s="97"/>
      <c r="M932" s="97"/>
      <c r="N932" s="97"/>
      <c r="O932" s="97"/>
      <c r="P932" s="97"/>
      <c r="Q932" s="97"/>
      <c r="R932" s="97"/>
      <c r="S932" s="97"/>
      <c r="T932" s="97"/>
      <c r="U932" s="25"/>
      <c r="V932" s="25"/>
      <c r="W932" s="25"/>
      <c r="X932" s="25"/>
      <c r="Y932" s="25"/>
      <c r="Z932" s="25"/>
    </row>
    <row r="933" spans="1:26" x14ac:dyDescent="0.35">
      <c r="A933" s="97"/>
      <c r="B933" s="97"/>
      <c r="C933" s="97"/>
      <c r="D933" s="97"/>
      <c r="E933" s="97"/>
      <c r="F933" s="97"/>
      <c r="G933" s="97"/>
      <c r="H933" s="97"/>
      <c r="I933" s="97"/>
      <c r="J933" s="97"/>
      <c r="K933" s="97"/>
      <c r="L933" s="97"/>
      <c r="M933" s="97"/>
      <c r="N933" s="97"/>
      <c r="O933" s="97"/>
      <c r="P933" s="97"/>
      <c r="Q933" s="97"/>
      <c r="R933" s="97"/>
      <c r="S933" s="97"/>
      <c r="T933" s="97"/>
      <c r="U933" s="25"/>
      <c r="V933" s="25"/>
      <c r="W933" s="25"/>
      <c r="X933" s="25"/>
      <c r="Y933" s="25"/>
      <c r="Z933" s="25"/>
    </row>
    <row r="934" spans="1:26" x14ac:dyDescent="0.35">
      <c r="A934" s="97"/>
      <c r="B934" s="97"/>
      <c r="C934" s="97"/>
      <c r="D934" s="97"/>
      <c r="E934" s="97"/>
      <c r="F934" s="97"/>
      <c r="G934" s="97"/>
      <c r="H934" s="97"/>
      <c r="I934" s="97"/>
      <c r="J934" s="97"/>
      <c r="K934" s="97"/>
      <c r="L934" s="97"/>
      <c r="M934" s="97"/>
      <c r="N934" s="97"/>
      <c r="O934" s="97"/>
      <c r="P934" s="97"/>
      <c r="Q934" s="97"/>
      <c r="R934" s="97"/>
      <c r="S934" s="97"/>
      <c r="T934" s="97"/>
      <c r="U934" s="25"/>
      <c r="V934" s="25"/>
      <c r="W934" s="25"/>
      <c r="X934" s="25"/>
      <c r="Y934" s="25"/>
      <c r="Z934" s="25"/>
    </row>
    <row r="935" spans="1:26" x14ac:dyDescent="0.35">
      <c r="A935" s="97"/>
      <c r="B935" s="97"/>
      <c r="C935" s="97"/>
      <c r="D935" s="97"/>
      <c r="E935" s="97"/>
      <c r="F935" s="97"/>
      <c r="G935" s="97"/>
      <c r="H935" s="97"/>
      <c r="I935" s="97"/>
      <c r="J935" s="97"/>
      <c r="K935" s="97"/>
      <c r="L935" s="97"/>
      <c r="M935" s="97"/>
      <c r="N935" s="97"/>
      <c r="O935" s="97"/>
      <c r="P935" s="97"/>
      <c r="Q935" s="97"/>
      <c r="R935" s="97"/>
      <c r="S935" s="97"/>
      <c r="T935" s="97"/>
      <c r="U935" s="25"/>
      <c r="V935" s="25"/>
      <c r="W935" s="25"/>
      <c r="X935" s="25"/>
      <c r="Y935" s="25"/>
      <c r="Z935" s="25"/>
    </row>
    <row r="936" spans="1:26" x14ac:dyDescent="0.35">
      <c r="A936" s="97"/>
      <c r="B936" s="97"/>
      <c r="C936" s="97"/>
      <c r="D936" s="97"/>
      <c r="E936" s="97"/>
      <c r="F936" s="97"/>
      <c r="G936" s="97"/>
      <c r="H936" s="97"/>
      <c r="I936" s="97"/>
      <c r="J936" s="97"/>
      <c r="K936" s="97"/>
      <c r="L936" s="97"/>
      <c r="M936" s="97"/>
      <c r="N936" s="97"/>
      <c r="O936" s="97"/>
      <c r="P936" s="97"/>
      <c r="Q936" s="97"/>
      <c r="R936" s="97"/>
      <c r="S936" s="97"/>
      <c r="T936" s="97"/>
      <c r="U936" s="25"/>
      <c r="V936" s="25"/>
      <c r="W936" s="25"/>
      <c r="X936" s="25"/>
      <c r="Y936" s="25"/>
      <c r="Z936" s="25"/>
    </row>
    <row r="937" spans="1:26" x14ac:dyDescent="0.35">
      <c r="A937" s="97"/>
      <c r="B937" s="97"/>
      <c r="C937" s="97"/>
      <c r="D937" s="97"/>
      <c r="E937" s="97"/>
      <c r="F937" s="97"/>
      <c r="G937" s="97"/>
      <c r="H937" s="97"/>
      <c r="I937" s="97"/>
      <c r="J937" s="97"/>
      <c r="K937" s="97"/>
      <c r="L937" s="97"/>
      <c r="M937" s="97"/>
      <c r="N937" s="97"/>
      <c r="O937" s="97"/>
      <c r="P937" s="97"/>
      <c r="Q937" s="97"/>
      <c r="R937" s="97"/>
      <c r="S937" s="97"/>
      <c r="T937" s="97"/>
      <c r="U937" s="25"/>
      <c r="V937" s="25"/>
      <c r="W937" s="25"/>
      <c r="X937" s="25"/>
      <c r="Y937" s="25"/>
      <c r="Z937" s="25"/>
    </row>
    <row r="938" spans="1:26" x14ac:dyDescent="0.35">
      <c r="A938" s="97"/>
      <c r="B938" s="97"/>
      <c r="C938" s="97"/>
      <c r="D938" s="97"/>
      <c r="E938" s="97"/>
      <c r="F938" s="97"/>
      <c r="G938" s="97"/>
      <c r="H938" s="97"/>
      <c r="I938" s="97"/>
      <c r="J938" s="97"/>
      <c r="K938" s="97"/>
      <c r="L938" s="97"/>
      <c r="M938" s="97"/>
      <c r="N938" s="97"/>
      <c r="O938" s="97"/>
      <c r="P938" s="97"/>
      <c r="Q938" s="97"/>
      <c r="R938" s="97"/>
      <c r="S938" s="97"/>
      <c r="T938" s="97"/>
      <c r="U938" s="25"/>
      <c r="V938" s="25"/>
      <c r="W938" s="25"/>
      <c r="X938" s="25"/>
      <c r="Y938" s="25"/>
      <c r="Z938" s="25"/>
    </row>
    <row r="939" spans="1:26" x14ac:dyDescent="0.35">
      <c r="A939" s="97"/>
      <c r="B939" s="97"/>
      <c r="C939" s="97"/>
      <c r="D939" s="97"/>
      <c r="E939" s="97"/>
      <c r="F939" s="97"/>
      <c r="G939" s="97"/>
      <c r="H939" s="97"/>
      <c r="I939" s="97"/>
      <c r="J939" s="97"/>
      <c r="K939" s="97"/>
      <c r="L939" s="97"/>
      <c r="M939" s="97"/>
      <c r="N939" s="97"/>
      <c r="O939" s="97"/>
      <c r="P939" s="97"/>
      <c r="Q939" s="97"/>
      <c r="R939" s="97"/>
      <c r="S939" s="97"/>
      <c r="T939" s="97"/>
      <c r="U939" s="25"/>
      <c r="V939" s="25"/>
      <c r="W939" s="25"/>
      <c r="X939" s="25"/>
      <c r="Y939" s="25"/>
      <c r="Z939" s="25"/>
    </row>
    <row r="940" spans="1:26" x14ac:dyDescent="0.35">
      <c r="A940" s="97"/>
      <c r="B940" s="97"/>
      <c r="C940" s="97"/>
      <c r="D940" s="97"/>
      <c r="E940" s="97"/>
      <c r="F940" s="97"/>
      <c r="G940" s="97"/>
      <c r="H940" s="97"/>
      <c r="I940" s="97"/>
      <c r="J940" s="97"/>
      <c r="K940" s="97"/>
      <c r="L940" s="97"/>
      <c r="M940" s="97"/>
      <c r="N940" s="97"/>
      <c r="O940" s="97"/>
      <c r="P940" s="97"/>
      <c r="Q940" s="97"/>
      <c r="R940" s="97"/>
      <c r="S940" s="97"/>
      <c r="T940" s="97"/>
      <c r="U940" s="25"/>
      <c r="V940" s="25"/>
      <c r="W940" s="25"/>
      <c r="X940" s="25"/>
      <c r="Y940" s="25"/>
      <c r="Z940" s="25"/>
    </row>
    <row r="941" spans="1:26" x14ac:dyDescent="0.35">
      <c r="A941" s="97"/>
      <c r="B941" s="97"/>
      <c r="C941" s="97"/>
      <c r="D941" s="97"/>
      <c r="E941" s="97"/>
      <c r="F941" s="97"/>
      <c r="G941" s="97"/>
      <c r="H941" s="97"/>
      <c r="I941" s="97"/>
      <c r="J941" s="97"/>
      <c r="K941" s="97"/>
      <c r="L941" s="97"/>
      <c r="M941" s="97"/>
      <c r="N941" s="97"/>
      <c r="O941" s="97"/>
      <c r="P941" s="97"/>
      <c r="Q941" s="97"/>
      <c r="R941" s="97"/>
      <c r="S941" s="97"/>
      <c r="T941" s="97"/>
      <c r="U941" s="25"/>
      <c r="V941" s="25"/>
      <c r="W941" s="25"/>
      <c r="X941" s="25"/>
      <c r="Y941" s="25"/>
      <c r="Z941" s="25"/>
    </row>
    <row r="942" spans="1:26" x14ac:dyDescent="0.35">
      <c r="A942" s="97"/>
      <c r="B942" s="97"/>
      <c r="C942" s="97"/>
      <c r="D942" s="97"/>
      <c r="E942" s="97"/>
      <c r="F942" s="97"/>
      <c r="G942" s="97"/>
      <c r="H942" s="97"/>
      <c r="I942" s="97"/>
      <c r="J942" s="97"/>
      <c r="K942" s="97"/>
      <c r="L942" s="97"/>
      <c r="M942" s="97"/>
      <c r="N942" s="97"/>
      <c r="O942" s="97"/>
      <c r="P942" s="97"/>
      <c r="Q942" s="97"/>
      <c r="R942" s="97"/>
      <c r="S942" s="97"/>
      <c r="T942" s="97"/>
      <c r="U942" s="25"/>
      <c r="V942" s="25"/>
      <c r="W942" s="25"/>
      <c r="X942" s="25"/>
      <c r="Y942" s="25"/>
      <c r="Z942" s="25"/>
    </row>
    <row r="943" spans="1:26" x14ac:dyDescent="0.35">
      <c r="A943" s="97"/>
      <c r="B943" s="97"/>
      <c r="C943" s="97"/>
      <c r="D943" s="97"/>
      <c r="E943" s="97"/>
      <c r="F943" s="97"/>
      <c r="G943" s="97"/>
      <c r="H943" s="97"/>
      <c r="I943" s="97"/>
      <c r="J943" s="97"/>
      <c r="K943" s="97"/>
      <c r="L943" s="97"/>
      <c r="M943" s="97"/>
      <c r="N943" s="97"/>
      <c r="O943" s="97"/>
      <c r="P943" s="97"/>
      <c r="Q943" s="97"/>
      <c r="R943" s="97"/>
      <c r="S943" s="97"/>
      <c r="T943" s="97"/>
      <c r="U943" s="25"/>
      <c r="V943" s="25"/>
      <c r="W943" s="25"/>
      <c r="X943" s="25"/>
      <c r="Y943" s="25"/>
      <c r="Z943" s="25"/>
    </row>
    <row r="944" spans="1:26" x14ac:dyDescent="0.35">
      <c r="A944" s="97"/>
      <c r="B944" s="97"/>
      <c r="C944" s="97"/>
      <c r="D944" s="97"/>
      <c r="E944" s="97"/>
      <c r="F944" s="97"/>
      <c r="G944" s="97"/>
      <c r="H944" s="97"/>
      <c r="I944" s="97"/>
      <c r="J944" s="97"/>
      <c r="K944" s="97"/>
      <c r="L944" s="97"/>
      <c r="M944" s="97"/>
      <c r="N944" s="97"/>
      <c r="O944" s="97"/>
      <c r="P944" s="97"/>
      <c r="Q944" s="97"/>
      <c r="R944" s="97"/>
      <c r="S944" s="97"/>
      <c r="T944" s="97"/>
      <c r="U944" s="25"/>
      <c r="V944" s="25"/>
      <c r="W944" s="25"/>
      <c r="X944" s="25"/>
      <c r="Y944" s="25"/>
      <c r="Z944" s="25"/>
    </row>
    <row r="945" spans="1:26" x14ac:dyDescent="0.35">
      <c r="A945" s="97"/>
      <c r="B945" s="97"/>
      <c r="C945" s="97"/>
      <c r="D945" s="97"/>
      <c r="E945" s="97"/>
      <c r="F945" s="97"/>
      <c r="G945" s="97"/>
      <c r="H945" s="97"/>
      <c r="I945" s="97"/>
      <c r="J945" s="97"/>
      <c r="K945" s="97"/>
      <c r="L945" s="97"/>
      <c r="M945" s="97"/>
      <c r="N945" s="97"/>
      <c r="O945" s="97"/>
      <c r="P945" s="97"/>
      <c r="Q945" s="97"/>
      <c r="R945" s="97"/>
      <c r="S945" s="97"/>
      <c r="T945" s="97"/>
      <c r="U945" s="25"/>
      <c r="V945" s="25"/>
      <c r="W945" s="25"/>
      <c r="X945" s="25"/>
      <c r="Y945" s="25"/>
      <c r="Z945" s="25"/>
    </row>
    <row r="946" spans="1:26" x14ac:dyDescent="0.35">
      <c r="A946" s="97"/>
      <c r="B946" s="97"/>
      <c r="C946" s="97"/>
      <c r="D946" s="97"/>
      <c r="E946" s="97"/>
      <c r="F946" s="97"/>
      <c r="G946" s="97"/>
      <c r="H946" s="97"/>
      <c r="I946" s="97"/>
      <c r="J946" s="97"/>
      <c r="K946" s="97"/>
      <c r="L946" s="97"/>
      <c r="M946" s="97"/>
      <c r="N946" s="97"/>
      <c r="O946" s="97"/>
      <c r="P946" s="97"/>
      <c r="Q946" s="97"/>
      <c r="R946" s="97"/>
      <c r="S946" s="97"/>
      <c r="T946" s="97"/>
      <c r="U946" s="25"/>
      <c r="V946" s="25"/>
      <c r="W946" s="25"/>
      <c r="X946" s="25"/>
      <c r="Y946" s="25"/>
      <c r="Z946" s="25"/>
    </row>
    <row r="947" spans="1:26" x14ac:dyDescent="0.35">
      <c r="A947" s="97"/>
      <c r="B947" s="97"/>
      <c r="C947" s="97"/>
      <c r="D947" s="97"/>
      <c r="E947" s="97"/>
      <c r="F947" s="97"/>
      <c r="G947" s="97"/>
      <c r="H947" s="97"/>
      <c r="I947" s="97"/>
      <c r="J947" s="97"/>
      <c r="K947" s="97"/>
      <c r="L947" s="97"/>
      <c r="M947" s="97"/>
      <c r="N947" s="97"/>
      <c r="O947" s="97"/>
      <c r="P947" s="97"/>
      <c r="Q947" s="97"/>
      <c r="R947" s="97"/>
      <c r="S947" s="97"/>
      <c r="T947" s="97"/>
      <c r="U947" s="25"/>
      <c r="V947" s="25"/>
      <c r="W947" s="25"/>
      <c r="X947" s="25"/>
      <c r="Y947" s="25"/>
      <c r="Z947" s="25"/>
    </row>
    <row r="948" spans="1:26" x14ac:dyDescent="0.35">
      <c r="A948" s="97"/>
      <c r="B948" s="97"/>
      <c r="C948" s="97"/>
      <c r="D948" s="97"/>
      <c r="E948" s="97"/>
      <c r="F948" s="97"/>
      <c r="G948" s="97"/>
      <c r="H948" s="97"/>
      <c r="I948" s="97"/>
      <c r="J948" s="97"/>
      <c r="K948" s="97"/>
      <c r="L948" s="97"/>
      <c r="M948" s="97"/>
      <c r="N948" s="97"/>
      <c r="O948" s="97"/>
      <c r="P948" s="97"/>
      <c r="Q948" s="97"/>
      <c r="R948" s="97"/>
      <c r="S948" s="97"/>
      <c r="T948" s="97"/>
      <c r="U948" s="25"/>
      <c r="V948" s="25"/>
      <c r="W948" s="25"/>
      <c r="X948" s="25"/>
      <c r="Y948" s="25"/>
      <c r="Z948" s="25"/>
    </row>
    <row r="949" spans="1:26" x14ac:dyDescent="0.35">
      <c r="A949" s="97"/>
      <c r="B949" s="97"/>
      <c r="C949" s="97"/>
      <c r="D949" s="97"/>
      <c r="E949" s="97"/>
      <c r="F949" s="97"/>
      <c r="G949" s="97"/>
      <c r="H949" s="97"/>
      <c r="I949" s="97"/>
      <c r="J949" s="97"/>
      <c r="K949" s="97"/>
      <c r="L949" s="97"/>
      <c r="M949" s="97"/>
      <c r="N949" s="97"/>
      <c r="O949" s="97"/>
      <c r="P949" s="97"/>
      <c r="Q949" s="97"/>
      <c r="R949" s="97"/>
      <c r="S949" s="97"/>
      <c r="T949" s="97"/>
      <c r="U949" s="25"/>
      <c r="V949" s="25"/>
      <c r="W949" s="25"/>
      <c r="X949" s="25"/>
      <c r="Y949" s="25"/>
      <c r="Z949" s="25"/>
    </row>
    <row r="950" spans="1:26" x14ac:dyDescent="0.35">
      <c r="A950" s="97"/>
      <c r="B950" s="97"/>
      <c r="C950" s="97"/>
      <c r="D950" s="97"/>
      <c r="E950" s="97"/>
      <c r="F950" s="97"/>
      <c r="G950" s="97"/>
      <c r="H950" s="97"/>
      <c r="I950" s="97"/>
      <c r="J950" s="97"/>
      <c r="K950" s="97"/>
      <c r="L950" s="97"/>
      <c r="M950" s="97"/>
      <c r="N950" s="97"/>
      <c r="O950" s="97"/>
      <c r="P950" s="97"/>
      <c r="Q950" s="97"/>
      <c r="R950" s="97"/>
      <c r="S950" s="97"/>
      <c r="T950" s="97"/>
      <c r="U950" s="25"/>
      <c r="V950" s="25"/>
      <c r="W950" s="25"/>
      <c r="X950" s="25"/>
      <c r="Y950" s="25"/>
      <c r="Z950" s="25"/>
    </row>
    <row r="951" spans="1:26" x14ac:dyDescent="0.35">
      <c r="A951" s="97"/>
      <c r="B951" s="97"/>
      <c r="C951" s="97"/>
      <c r="D951" s="97"/>
      <c r="E951" s="97"/>
      <c r="F951" s="97"/>
      <c r="G951" s="97"/>
      <c r="H951" s="97"/>
      <c r="I951" s="97"/>
      <c r="J951" s="97"/>
      <c r="K951" s="97"/>
      <c r="L951" s="97"/>
      <c r="M951" s="97"/>
      <c r="N951" s="97"/>
      <c r="O951" s="97"/>
      <c r="P951" s="97"/>
      <c r="Q951" s="97"/>
      <c r="R951" s="97"/>
      <c r="S951" s="97"/>
      <c r="T951" s="97"/>
      <c r="U951" s="25"/>
      <c r="V951" s="25"/>
      <c r="W951" s="25"/>
      <c r="X951" s="25"/>
      <c r="Y951" s="25"/>
      <c r="Z951" s="25"/>
    </row>
    <row r="952" spans="1:26" x14ac:dyDescent="0.35">
      <c r="A952" s="97"/>
      <c r="B952" s="97"/>
      <c r="C952" s="97"/>
      <c r="D952" s="97"/>
      <c r="E952" s="97"/>
      <c r="F952" s="97"/>
      <c r="G952" s="97"/>
      <c r="H952" s="97"/>
      <c r="I952" s="97"/>
      <c r="J952" s="97"/>
      <c r="K952" s="97"/>
      <c r="L952" s="97"/>
      <c r="M952" s="97"/>
      <c r="N952" s="97"/>
      <c r="O952" s="97"/>
      <c r="P952" s="97"/>
      <c r="Q952" s="97"/>
      <c r="R952" s="97"/>
      <c r="S952" s="97"/>
      <c r="T952" s="97"/>
      <c r="U952" s="25"/>
      <c r="V952" s="25"/>
      <c r="W952" s="25"/>
      <c r="X952" s="25"/>
      <c r="Y952" s="25"/>
      <c r="Z952" s="25"/>
    </row>
    <row r="953" spans="1:26" x14ac:dyDescent="0.35">
      <c r="A953" s="97"/>
      <c r="B953" s="97"/>
      <c r="C953" s="97"/>
      <c r="D953" s="97"/>
      <c r="E953" s="97"/>
      <c r="F953" s="97"/>
      <c r="G953" s="97"/>
      <c r="H953" s="97"/>
      <c r="I953" s="97"/>
      <c r="J953" s="97"/>
      <c r="K953" s="97"/>
      <c r="L953" s="97"/>
      <c r="M953" s="97"/>
      <c r="N953" s="97"/>
      <c r="O953" s="97"/>
      <c r="P953" s="97"/>
      <c r="Q953" s="97"/>
      <c r="R953" s="97"/>
      <c r="S953" s="97"/>
      <c r="T953" s="97"/>
      <c r="U953" s="25"/>
      <c r="V953" s="25"/>
      <c r="W953" s="25"/>
      <c r="X953" s="25"/>
      <c r="Y953" s="25"/>
      <c r="Z953" s="25"/>
    </row>
    <row r="954" spans="1:26" x14ac:dyDescent="0.35">
      <c r="A954" s="97"/>
      <c r="B954" s="97"/>
      <c r="C954" s="97"/>
      <c r="D954" s="97"/>
      <c r="E954" s="97"/>
      <c r="F954" s="97"/>
      <c r="G954" s="97"/>
      <c r="H954" s="97"/>
      <c r="I954" s="97"/>
      <c r="J954" s="97"/>
      <c r="K954" s="97"/>
      <c r="L954" s="97"/>
      <c r="M954" s="97"/>
      <c r="N954" s="97"/>
      <c r="O954" s="97"/>
      <c r="P954" s="97"/>
      <c r="Q954" s="97"/>
      <c r="R954" s="97"/>
      <c r="S954" s="97"/>
      <c r="T954" s="97"/>
      <c r="U954" s="25"/>
      <c r="V954" s="25"/>
      <c r="W954" s="25"/>
      <c r="X954" s="25"/>
      <c r="Y954" s="25"/>
      <c r="Z954" s="25"/>
    </row>
    <row r="955" spans="1:26" x14ac:dyDescent="0.35">
      <c r="A955" s="97"/>
      <c r="B955" s="97"/>
      <c r="C955" s="97"/>
      <c r="D955" s="97"/>
      <c r="E955" s="97"/>
      <c r="F955" s="97"/>
      <c r="G955" s="97"/>
      <c r="H955" s="97"/>
      <c r="I955" s="97"/>
      <c r="J955" s="97"/>
      <c r="K955" s="97"/>
      <c r="L955" s="97"/>
      <c r="M955" s="97"/>
      <c r="N955" s="97"/>
      <c r="O955" s="97"/>
      <c r="P955" s="97"/>
      <c r="Q955" s="97"/>
      <c r="R955" s="97"/>
      <c r="S955" s="97"/>
      <c r="T955" s="97"/>
      <c r="U955" s="25"/>
      <c r="V955" s="25"/>
      <c r="W955" s="25"/>
      <c r="X955" s="25"/>
      <c r="Y955" s="25"/>
      <c r="Z955" s="25"/>
    </row>
    <row r="956" spans="1:26" x14ac:dyDescent="0.35">
      <c r="A956" s="97"/>
      <c r="B956" s="97"/>
      <c r="C956" s="97"/>
      <c r="D956" s="97"/>
      <c r="E956" s="97"/>
      <c r="F956" s="97"/>
      <c r="G956" s="97"/>
      <c r="H956" s="97"/>
      <c r="I956" s="97"/>
      <c r="J956" s="97"/>
      <c r="K956" s="97"/>
      <c r="L956" s="97"/>
      <c r="M956" s="97"/>
      <c r="N956" s="97"/>
      <c r="O956" s="97"/>
      <c r="P956" s="97"/>
      <c r="Q956" s="97"/>
      <c r="R956" s="97"/>
      <c r="S956" s="97"/>
      <c r="T956" s="97"/>
      <c r="U956" s="25"/>
      <c r="V956" s="25"/>
      <c r="W956" s="25"/>
      <c r="X956" s="25"/>
      <c r="Y956" s="25"/>
      <c r="Z956" s="25"/>
    </row>
    <row r="957" spans="1:26" x14ac:dyDescent="0.35">
      <c r="A957" s="97"/>
      <c r="B957" s="97"/>
      <c r="C957" s="97"/>
      <c r="D957" s="97"/>
      <c r="E957" s="97"/>
      <c r="F957" s="97"/>
      <c r="G957" s="97"/>
      <c r="H957" s="97"/>
      <c r="I957" s="97"/>
      <c r="J957" s="97"/>
      <c r="K957" s="97"/>
      <c r="L957" s="97"/>
      <c r="M957" s="97"/>
      <c r="N957" s="97"/>
      <c r="O957" s="97"/>
      <c r="P957" s="97"/>
      <c r="Q957" s="97"/>
      <c r="R957" s="97"/>
      <c r="S957" s="97"/>
      <c r="T957" s="97"/>
      <c r="U957" s="25"/>
      <c r="V957" s="25"/>
      <c r="W957" s="25"/>
      <c r="X957" s="25"/>
      <c r="Y957" s="25"/>
      <c r="Z957" s="25"/>
    </row>
    <row r="958" spans="1:26" x14ac:dyDescent="0.35">
      <c r="A958" s="97"/>
      <c r="B958" s="97"/>
      <c r="C958" s="97"/>
      <c r="D958" s="97"/>
      <c r="E958" s="97"/>
      <c r="F958" s="97"/>
      <c r="G958" s="97"/>
      <c r="H958" s="97"/>
      <c r="I958" s="97"/>
      <c r="J958" s="97"/>
      <c r="K958" s="97"/>
      <c r="L958" s="97"/>
      <c r="M958" s="97"/>
      <c r="N958" s="97"/>
      <c r="O958" s="97"/>
      <c r="P958" s="97"/>
      <c r="Q958" s="97"/>
      <c r="R958" s="97"/>
      <c r="S958" s="97"/>
      <c r="T958" s="97"/>
      <c r="U958" s="25"/>
      <c r="V958" s="25"/>
      <c r="W958" s="25"/>
      <c r="X958" s="25"/>
      <c r="Y958" s="25"/>
      <c r="Z958" s="25"/>
    </row>
    <row r="959" spans="1:26" x14ac:dyDescent="0.35">
      <c r="A959" s="97"/>
      <c r="B959" s="97"/>
      <c r="C959" s="97"/>
      <c r="D959" s="97"/>
      <c r="E959" s="97"/>
      <c r="F959" s="97"/>
      <c r="G959" s="97"/>
      <c r="H959" s="97"/>
      <c r="I959" s="97"/>
      <c r="J959" s="97"/>
      <c r="K959" s="97"/>
      <c r="L959" s="97"/>
      <c r="M959" s="97"/>
      <c r="N959" s="97"/>
      <c r="O959" s="97"/>
      <c r="P959" s="97"/>
      <c r="Q959" s="97"/>
      <c r="R959" s="97"/>
      <c r="S959" s="97"/>
      <c r="T959" s="97"/>
      <c r="U959" s="25"/>
      <c r="V959" s="25"/>
      <c r="W959" s="25"/>
      <c r="X959" s="25"/>
      <c r="Y959" s="25"/>
      <c r="Z959" s="25"/>
    </row>
    <row r="960" spans="1:26" x14ac:dyDescent="0.35">
      <c r="A960" s="97"/>
      <c r="B960" s="97"/>
      <c r="C960" s="97"/>
      <c r="D960" s="97"/>
      <c r="E960" s="97"/>
      <c r="F960" s="97"/>
      <c r="G960" s="97"/>
      <c r="H960" s="97"/>
      <c r="I960" s="97"/>
      <c r="J960" s="97"/>
      <c r="K960" s="97"/>
      <c r="L960" s="97"/>
      <c r="M960" s="97"/>
      <c r="N960" s="97"/>
      <c r="O960" s="97"/>
      <c r="P960" s="97"/>
      <c r="Q960" s="97"/>
      <c r="R960" s="97"/>
      <c r="S960" s="97"/>
      <c r="T960" s="97"/>
      <c r="U960" s="25"/>
      <c r="V960" s="25"/>
      <c r="W960" s="25"/>
      <c r="X960" s="25"/>
      <c r="Y960" s="25"/>
      <c r="Z960" s="25"/>
    </row>
    <row r="961" spans="1:26" x14ac:dyDescent="0.35">
      <c r="A961" s="97"/>
      <c r="B961" s="97"/>
      <c r="C961" s="97"/>
      <c r="D961" s="97"/>
      <c r="E961" s="97"/>
      <c r="F961" s="97"/>
      <c r="G961" s="97"/>
      <c r="H961" s="97"/>
      <c r="I961" s="97"/>
      <c r="J961" s="97"/>
      <c r="K961" s="97"/>
      <c r="L961" s="97"/>
      <c r="M961" s="97"/>
      <c r="N961" s="97"/>
      <c r="O961" s="97"/>
      <c r="P961" s="97"/>
      <c r="Q961" s="97"/>
      <c r="R961" s="97"/>
      <c r="S961" s="97"/>
      <c r="T961" s="97"/>
      <c r="U961" s="25"/>
      <c r="V961" s="25"/>
      <c r="W961" s="25"/>
      <c r="X961" s="25"/>
      <c r="Y961" s="25"/>
      <c r="Z961" s="25"/>
    </row>
    <row r="962" spans="1:26" x14ac:dyDescent="0.35">
      <c r="A962" s="97"/>
      <c r="B962" s="97"/>
      <c r="C962" s="97"/>
      <c r="D962" s="97"/>
      <c r="E962" s="97"/>
      <c r="F962" s="97"/>
      <c r="G962" s="97"/>
      <c r="H962" s="97"/>
      <c r="I962" s="97"/>
      <c r="J962" s="97"/>
      <c r="K962" s="97"/>
      <c r="L962" s="97"/>
      <c r="M962" s="97"/>
      <c r="N962" s="97"/>
      <c r="O962" s="97"/>
      <c r="P962" s="97"/>
      <c r="Q962" s="97"/>
      <c r="R962" s="97"/>
      <c r="S962" s="97"/>
      <c r="T962" s="97"/>
      <c r="U962" s="25"/>
      <c r="V962" s="25"/>
      <c r="W962" s="25"/>
      <c r="X962" s="25"/>
      <c r="Y962" s="25"/>
      <c r="Z962" s="25"/>
    </row>
    <row r="963" spans="1:26" x14ac:dyDescent="0.35">
      <c r="A963" s="97"/>
      <c r="B963" s="97"/>
      <c r="C963" s="97"/>
      <c r="D963" s="97"/>
      <c r="E963" s="97"/>
      <c r="F963" s="97"/>
      <c r="G963" s="97"/>
      <c r="H963" s="97"/>
      <c r="I963" s="97"/>
      <c r="J963" s="97"/>
      <c r="K963" s="97"/>
      <c r="L963" s="97"/>
      <c r="M963" s="97"/>
      <c r="N963" s="97"/>
      <c r="O963" s="97"/>
      <c r="P963" s="97"/>
      <c r="Q963" s="97"/>
      <c r="R963" s="97"/>
      <c r="S963" s="97"/>
      <c r="T963" s="97"/>
      <c r="U963" s="25"/>
      <c r="V963" s="25"/>
      <c r="W963" s="25"/>
      <c r="X963" s="25"/>
      <c r="Y963" s="25"/>
      <c r="Z963" s="25"/>
    </row>
    <row r="964" spans="1:26" x14ac:dyDescent="0.35">
      <c r="A964" s="97"/>
      <c r="B964" s="97"/>
      <c r="C964" s="97"/>
      <c r="D964" s="97"/>
      <c r="E964" s="97"/>
      <c r="F964" s="97"/>
      <c r="G964" s="97"/>
      <c r="H964" s="97"/>
      <c r="I964" s="97"/>
      <c r="J964" s="97"/>
      <c r="K964" s="97"/>
      <c r="L964" s="97"/>
      <c r="M964" s="97"/>
      <c r="N964" s="97"/>
      <c r="O964" s="97"/>
      <c r="P964" s="97"/>
      <c r="Q964" s="97"/>
      <c r="R964" s="97"/>
      <c r="S964" s="97"/>
      <c r="T964" s="97"/>
      <c r="U964" s="25"/>
      <c r="V964" s="25"/>
      <c r="W964" s="25"/>
      <c r="X964" s="25"/>
      <c r="Y964" s="25"/>
      <c r="Z964" s="25"/>
    </row>
    <row r="965" spans="1:26" x14ac:dyDescent="0.35">
      <c r="A965" s="97"/>
      <c r="B965" s="97"/>
      <c r="C965" s="97"/>
      <c r="D965" s="97"/>
      <c r="E965" s="97"/>
      <c r="F965" s="97"/>
      <c r="G965" s="97"/>
      <c r="H965" s="97"/>
      <c r="I965" s="97"/>
      <c r="J965" s="97"/>
      <c r="K965" s="97"/>
      <c r="L965" s="97"/>
      <c r="M965" s="97"/>
      <c r="N965" s="97"/>
      <c r="O965" s="97"/>
      <c r="P965" s="97"/>
      <c r="Q965" s="97"/>
      <c r="R965" s="97"/>
      <c r="S965" s="97"/>
      <c r="T965" s="97"/>
      <c r="U965" s="25"/>
      <c r="V965" s="25"/>
      <c r="W965" s="25"/>
      <c r="X965" s="25"/>
      <c r="Y965" s="25"/>
      <c r="Z965" s="25"/>
    </row>
    <row r="966" spans="1:26" x14ac:dyDescent="0.35">
      <c r="A966" s="97"/>
      <c r="B966" s="97"/>
      <c r="C966" s="97"/>
      <c r="D966" s="97"/>
      <c r="E966" s="97"/>
      <c r="F966" s="97"/>
      <c r="G966" s="97"/>
      <c r="H966" s="97"/>
      <c r="I966" s="97"/>
      <c r="J966" s="97"/>
      <c r="K966" s="97"/>
      <c r="L966" s="97"/>
      <c r="M966" s="97"/>
      <c r="N966" s="97"/>
      <c r="O966" s="97"/>
      <c r="P966" s="97"/>
      <c r="Q966" s="97"/>
      <c r="R966" s="97"/>
      <c r="S966" s="97"/>
      <c r="T966" s="97"/>
      <c r="U966" s="25"/>
      <c r="V966" s="25"/>
      <c r="W966" s="25"/>
      <c r="X966" s="25"/>
      <c r="Y966" s="25"/>
      <c r="Z966" s="25"/>
    </row>
    <row r="967" spans="1:26" x14ac:dyDescent="0.35">
      <c r="A967" s="97"/>
      <c r="B967" s="97"/>
      <c r="C967" s="97"/>
      <c r="D967" s="97"/>
      <c r="E967" s="97"/>
      <c r="F967" s="97"/>
      <c r="G967" s="97"/>
      <c r="H967" s="97"/>
      <c r="I967" s="97"/>
      <c r="J967" s="97"/>
      <c r="K967" s="97"/>
      <c r="L967" s="97"/>
      <c r="M967" s="97"/>
      <c r="N967" s="97"/>
      <c r="O967" s="97"/>
      <c r="P967" s="97"/>
      <c r="Q967" s="97"/>
      <c r="R967" s="97"/>
      <c r="S967" s="97"/>
      <c r="T967" s="97"/>
      <c r="U967" s="25"/>
      <c r="V967" s="25"/>
      <c r="W967" s="25"/>
      <c r="X967" s="25"/>
      <c r="Y967" s="25"/>
      <c r="Z967" s="25"/>
    </row>
    <row r="968" spans="1:26" x14ac:dyDescent="0.35">
      <c r="A968" s="97"/>
      <c r="B968" s="97"/>
      <c r="C968" s="97"/>
      <c r="D968" s="97"/>
      <c r="E968" s="97"/>
      <c r="F968" s="97"/>
      <c r="G968" s="97"/>
      <c r="H968" s="97"/>
      <c r="I968" s="97"/>
      <c r="J968" s="97"/>
      <c r="K968" s="97"/>
      <c r="L968" s="97"/>
      <c r="M968" s="97"/>
      <c r="N968" s="97"/>
      <c r="O968" s="97"/>
      <c r="P968" s="97"/>
      <c r="Q968" s="97"/>
      <c r="R968" s="97"/>
      <c r="S968" s="97"/>
      <c r="T968" s="97"/>
      <c r="U968" s="25"/>
      <c r="V968" s="25"/>
      <c r="W968" s="25"/>
      <c r="X968" s="25"/>
      <c r="Y968" s="25"/>
      <c r="Z968" s="25"/>
    </row>
    <row r="969" spans="1:26" x14ac:dyDescent="0.35">
      <c r="A969" s="97"/>
      <c r="B969" s="97"/>
      <c r="C969" s="97"/>
      <c r="D969" s="97"/>
      <c r="E969" s="97"/>
      <c r="F969" s="97"/>
      <c r="G969" s="97"/>
      <c r="H969" s="97"/>
      <c r="I969" s="97"/>
      <c r="J969" s="97"/>
      <c r="K969" s="97"/>
      <c r="L969" s="97"/>
      <c r="M969" s="97"/>
      <c r="N969" s="97"/>
      <c r="O969" s="97"/>
      <c r="P969" s="97"/>
      <c r="Q969" s="97"/>
      <c r="R969" s="97"/>
      <c r="S969" s="97"/>
      <c r="T969" s="97"/>
      <c r="U969" s="25"/>
      <c r="V969" s="25"/>
      <c r="W969" s="25"/>
      <c r="X969" s="25"/>
      <c r="Y969" s="25"/>
      <c r="Z969" s="25"/>
    </row>
    <row r="970" spans="1:26" x14ac:dyDescent="0.35">
      <c r="A970" s="97"/>
      <c r="B970" s="97"/>
      <c r="C970" s="97"/>
      <c r="D970" s="97"/>
      <c r="E970" s="97"/>
      <c r="F970" s="97"/>
      <c r="G970" s="97"/>
      <c r="H970" s="97"/>
      <c r="I970" s="97"/>
      <c r="J970" s="97"/>
      <c r="K970" s="97"/>
      <c r="L970" s="97"/>
      <c r="M970" s="97"/>
      <c r="N970" s="97"/>
      <c r="O970" s="97"/>
      <c r="P970" s="97"/>
      <c r="Q970" s="97"/>
      <c r="R970" s="97"/>
      <c r="S970" s="97"/>
      <c r="T970" s="97"/>
      <c r="U970" s="25"/>
      <c r="V970" s="25"/>
      <c r="W970" s="25"/>
      <c r="X970" s="25"/>
      <c r="Y970" s="25"/>
      <c r="Z970" s="25"/>
    </row>
    <row r="971" spans="1:26" x14ac:dyDescent="0.35">
      <c r="A971" s="97"/>
      <c r="B971" s="97"/>
      <c r="C971" s="97"/>
      <c r="D971" s="97"/>
      <c r="E971" s="97"/>
      <c r="F971" s="97"/>
      <c r="G971" s="97"/>
      <c r="H971" s="97"/>
      <c r="I971" s="97"/>
      <c r="J971" s="97"/>
      <c r="K971" s="97"/>
      <c r="L971" s="97"/>
      <c r="M971" s="97"/>
      <c r="N971" s="97"/>
      <c r="O971" s="97"/>
      <c r="P971" s="97"/>
      <c r="Q971" s="97"/>
      <c r="R971" s="97"/>
      <c r="S971" s="97"/>
      <c r="T971" s="97"/>
      <c r="U971" s="25"/>
      <c r="V971" s="25"/>
      <c r="W971" s="25"/>
      <c r="X971" s="25"/>
      <c r="Y971" s="25"/>
      <c r="Z971" s="25"/>
    </row>
    <row r="972" spans="1:26" x14ac:dyDescent="0.35">
      <c r="A972" s="97"/>
      <c r="B972" s="97"/>
      <c r="C972" s="97"/>
      <c r="D972" s="97"/>
      <c r="E972" s="97"/>
      <c r="F972" s="97"/>
      <c r="G972" s="97"/>
      <c r="H972" s="97"/>
      <c r="I972" s="97"/>
      <c r="J972" s="97"/>
      <c r="K972" s="97"/>
      <c r="L972" s="97"/>
      <c r="M972" s="97"/>
      <c r="N972" s="97"/>
      <c r="O972" s="97"/>
      <c r="P972" s="97"/>
      <c r="Q972" s="97"/>
      <c r="R972" s="97"/>
      <c r="S972" s="97"/>
      <c r="T972" s="97"/>
      <c r="U972" s="25"/>
      <c r="V972" s="25"/>
      <c r="W972" s="25"/>
      <c r="X972" s="25"/>
      <c r="Y972" s="25"/>
      <c r="Z972" s="25"/>
    </row>
    <row r="973" spans="1:26" x14ac:dyDescent="0.35">
      <c r="A973" s="97"/>
      <c r="B973" s="97"/>
      <c r="C973" s="97"/>
      <c r="D973" s="97"/>
      <c r="E973" s="97"/>
      <c r="F973" s="97"/>
      <c r="G973" s="97"/>
      <c r="H973" s="97"/>
      <c r="I973" s="97"/>
      <c r="J973" s="97"/>
      <c r="K973" s="97"/>
      <c r="L973" s="97"/>
      <c r="M973" s="97"/>
      <c r="N973" s="97"/>
      <c r="O973" s="97"/>
      <c r="P973" s="97"/>
      <c r="Q973" s="97"/>
      <c r="R973" s="97"/>
      <c r="S973" s="97"/>
      <c r="T973" s="97"/>
      <c r="U973" s="25"/>
      <c r="V973" s="25"/>
      <c r="W973" s="25"/>
      <c r="X973" s="25"/>
      <c r="Y973" s="25"/>
      <c r="Z973" s="25"/>
    </row>
    <row r="974" spans="1:26" x14ac:dyDescent="0.35">
      <c r="A974" s="97"/>
      <c r="B974" s="97"/>
      <c r="C974" s="97"/>
      <c r="D974" s="97"/>
      <c r="E974" s="97"/>
      <c r="F974" s="97"/>
      <c r="G974" s="97"/>
      <c r="H974" s="97"/>
      <c r="I974" s="97"/>
      <c r="J974" s="97"/>
      <c r="K974" s="97"/>
      <c r="L974" s="97"/>
      <c r="M974" s="97"/>
      <c r="N974" s="97"/>
      <c r="O974" s="97"/>
      <c r="P974" s="97"/>
      <c r="Q974" s="97"/>
      <c r="R974" s="97"/>
      <c r="S974" s="97"/>
      <c r="T974" s="97"/>
      <c r="U974" s="25"/>
      <c r="V974" s="25"/>
      <c r="W974" s="25"/>
      <c r="X974" s="25"/>
      <c r="Y974" s="25"/>
      <c r="Z974" s="25"/>
    </row>
    <row r="975" spans="1:26" x14ac:dyDescent="0.35">
      <c r="A975" s="97"/>
      <c r="B975" s="97"/>
      <c r="C975" s="97"/>
      <c r="D975" s="97"/>
      <c r="E975" s="97"/>
      <c r="F975" s="97"/>
      <c r="G975" s="97"/>
      <c r="H975" s="97"/>
      <c r="I975" s="97"/>
      <c r="J975" s="97"/>
      <c r="K975" s="97"/>
      <c r="L975" s="97"/>
      <c r="M975" s="97"/>
      <c r="N975" s="97"/>
      <c r="O975" s="97"/>
      <c r="P975" s="97"/>
      <c r="Q975" s="97"/>
      <c r="R975" s="97"/>
      <c r="S975" s="97"/>
      <c r="T975" s="97"/>
      <c r="U975" s="25"/>
      <c r="V975" s="25"/>
      <c r="W975" s="25"/>
      <c r="X975" s="25"/>
      <c r="Y975" s="25"/>
      <c r="Z975" s="25"/>
    </row>
    <row r="976" spans="1:26" x14ac:dyDescent="0.35">
      <c r="A976" s="97"/>
      <c r="B976" s="97"/>
      <c r="C976" s="97"/>
      <c r="D976" s="97"/>
      <c r="E976" s="97"/>
      <c r="F976" s="97"/>
      <c r="G976" s="97"/>
      <c r="H976" s="97"/>
      <c r="I976" s="97"/>
      <c r="J976" s="97"/>
      <c r="K976" s="97"/>
      <c r="L976" s="97"/>
      <c r="M976" s="97"/>
      <c r="N976" s="97"/>
      <c r="O976" s="97"/>
      <c r="P976" s="97"/>
      <c r="Q976" s="97"/>
      <c r="R976" s="97"/>
      <c r="S976" s="97"/>
      <c r="T976" s="97"/>
      <c r="U976" s="25"/>
      <c r="V976" s="25"/>
      <c r="W976" s="25"/>
      <c r="X976" s="25"/>
      <c r="Y976" s="25"/>
      <c r="Z976" s="25"/>
    </row>
    <row r="977" spans="1:26" x14ac:dyDescent="0.35">
      <c r="A977" s="97"/>
      <c r="B977" s="97"/>
      <c r="C977" s="97"/>
      <c r="D977" s="97"/>
      <c r="E977" s="97"/>
      <c r="F977" s="97"/>
      <c r="G977" s="97"/>
      <c r="H977" s="97"/>
      <c r="I977" s="97"/>
      <c r="J977" s="97"/>
      <c r="K977" s="97"/>
      <c r="L977" s="97"/>
      <c r="M977" s="97"/>
      <c r="N977" s="97"/>
      <c r="O977" s="97"/>
      <c r="P977" s="97"/>
      <c r="Q977" s="97"/>
      <c r="R977" s="97"/>
      <c r="S977" s="97"/>
      <c r="T977" s="97"/>
      <c r="U977" s="25"/>
      <c r="V977" s="25"/>
      <c r="W977" s="25"/>
      <c r="X977" s="25"/>
      <c r="Y977" s="25"/>
      <c r="Z977" s="25"/>
    </row>
    <row r="978" spans="1:26" x14ac:dyDescent="0.35">
      <c r="A978" s="97"/>
      <c r="B978" s="97"/>
      <c r="C978" s="97"/>
      <c r="D978" s="97"/>
      <c r="E978" s="97"/>
      <c r="F978" s="97"/>
      <c r="G978" s="97"/>
      <c r="H978" s="97"/>
      <c r="I978" s="97"/>
      <c r="J978" s="97"/>
      <c r="K978" s="97"/>
      <c r="L978" s="97"/>
      <c r="M978" s="97"/>
      <c r="N978" s="97"/>
      <c r="O978" s="97"/>
      <c r="P978" s="97"/>
      <c r="Q978" s="97"/>
      <c r="R978" s="97"/>
      <c r="S978" s="97"/>
      <c r="T978" s="97"/>
      <c r="U978" s="25"/>
      <c r="V978" s="25"/>
      <c r="W978" s="25"/>
      <c r="X978" s="25"/>
      <c r="Y978" s="25"/>
      <c r="Z978" s="25"/>
    </row>
    <row r="979" spans="1:26" x14ac:dyDescent="0.35">
      <c r="A979" s="97"/>
      <c r="B979" s="97"/>
      <c r="C979" s="97"/>
      <c r="D979" s="97"/>
      <c r="E979" s="97"/>
      <c r="F979" s="97"/>
      <c r="G979" s="97"/>
      <c r="H979" s="97"/>
      <c r="I979" s="97"/>
      <c r="J979" s="97"/>
      <c r="K979" s="97"/>
      <c r="L979" s="97"/>
      <c r="M979" s="97"/>
      <c r="N979" s="97"/>
      <c r="O979" s="97"/>
      <c r="P979" s="97"/>
      <c r="Q979" s="97"/>
      <c r="R979" s="97"/>
      <c r="S979" s="97"/>
      <c r="T979" s="97"/>
      <c r="U979" s="25"/>
      <c r="V979" s="25"/>
      <c r="W979" s="25"/>
      <c r="X979" s="25"/>
      <c r="Y979" s="25"/>
      <c r="Z979" s="25"/>
    </row>
    <row r="980" spans="1:26" x14ac:dyDescent="0.35">
      <c r="A980" s="97"/>
      <c r="B980" s="97"/>
      <c r="C980" s="97"/>
      <c r="D980" s="97"/>
      <c r="E980" s="97"/>
      <c r="F980" s="97"/>
      <c r="G980" s="97"/>
      <c r="H980" s="97"/>
      <c r="I980" s="97"/>
      <c r="J980" s="97"/>
      <c r="K980" s="97"/>
      <c r="L980" s="97"/>
      <c r="M980" s="97"/>
      <c r="N980" s="97"/>
      <c r="O980" s="97"/>
      <c r="P980" s="97"/>
      <c r="Q980" s="97"/>
      <c r="R980" s="97"/>
      <c r="S980" s="97"/>
      <c r="T980" s="97"/>
      <c r="U980" s="25"/>
      <c r="V980" s="25"/>
      <c r="W980" s="25"/>
      <c r="X980" s="25"/>
      <c r="Y980" s="25"/>
      <c r="Z980" s="25"/>
    </row>
    <row r="981" spans="1:26" x14ac:dyDescent="0.35">
      <c r="A981" s="97"/>
      <c r="B981" s="97"/>
      <c r="C981" s="97"/>
      <c r="D981" s="97"/>
      <c r="E981" s="97"/>
      <c r="F981" s="97"/>
      <c r="G981" s="97"/>
      <c r="H981" s="97"/>
      <c r="I981" s="97"/>
      <c r="J981" s="97"/>
      <c r="K981" s="97"/>
      <c r="L981" s="97"/>
      <c r="M981" s="97"/>
      <c r="N981" s="97"/>
      <c r="O981" s="97"/>
      <c r="P981" s="97"/>
      <c r="Q981" s="97"/>
      <c r="R981" s="97"/>
      <c r="S981" s="97"/>
      <c r="T981" s="97"/>
      <c r="U981" s="25"/>
      <c r="V981" s="25"/>
      <c r="W981" s="25"/>
      <c r="X981" s="25"/>
      <c r="Y981" s="25"/>
      <c r="Z981" s="25"/>
    </row>
    <row r="982" spans="1:26" x14ac:dyDescent="0.35">
      <c r="A982" s="97"/>
      <c r="B982" s="97"/>
      <c r="C982" s="97"/>
      <c r="D982" s="97"/>
      <c r="E982" s="97"/>
      <c r="F982" s="97"/>
      <c r="G982" s="97"/>
      <c r="H982" s="97"/>
      <c r="I982" s="97"/>
      <c r="J982" s="97"/>
      <c r="K982" s="97"/>
      <c r="L982" s="97"/>
      <c r="M982" s="97"/>
      <c r="N982" s="97"/>
      <c r="O982" s="97"/>
      <c r="P982" s="97"/>
      <c r="Q982" s="97"/>
      <c r="R982" s="97"/>
      <c r="S982" s="97"/>
      <c r="T982" s="97"/>
      <c r="U982" s="25"/>
      <c r="V982" s="25"/>
      <c r="W982" s="25"/>
      <c r="X982" s="25"/>
      <c r="Y982" s="25"/>
      <c r="Z982" s="25"/>
    </row>
    <row r="983" spans="1:26" x14ac:dyDescent="0.35">
      <c r="A983" s="97"/>
      <c r="B983" s="97"/>
      <c r="C983" s="97"/>
      <c r="D983" s="97"/>
      <c r="E983" s="97"/>
      <c r="F983" s="97"/>
      <c r="G983" s="97"/>
      <c r="H983" s="97"/>
      <c r="I983" s="97"/>
      <c r="J983" s="97"/>
      <c r="K983" s="97"/>
      <c r="L983" s="97"/>
      <c r="M983" s="97"/>
      <c r="N983" s="97"/>
      <c r="O983" s="97"/>
      <c r="P983" s="97"/>
      <c r="Q983" s="97"/>
      <c r="R983" s="97"/>
      <c r="S983" s="97"/>
      <c r="T983" s="97"/>
      <c r="U983" s="25"/>
      <c r="V983" s="25"/>
      <c r="W983" s="25"/>
      <c r="X983" s="25"/>
      <c r="Y983" s="25"/>
      <c r="Z983" s="25"/>
    </row>
    <row r="984" spans="1:26" x14ac:dyDescent="0.35">
      <c r="A984" s="97"/>
      <c r="B984" s="97"/>
      <c r="C984" s="97"/>
      <c r="D984" s="97"/>
      <c r="E984" s="97"/>
      <c r="F984" s="97"/>
      <c r="G984" s="97"/>
      <c r="H984" s="97"/>
      <c r="I984" s="97"/>
      <c r="J984" s="97"/>
      <c r="K984" s="97"/>
      <c r="L984" s="97"/>
      <c r="M984" s="97"/>
      <c r="N984" s="97"/>
      <c r="O984" s="97"/>
      <c r="P984" s="97"/>
      <c r="Q984" s="97"/>
      <c r="R984" s="97"/>
      <c r="S984" s="97"/>
      <c r="T984" s="97"/>
      <c r="U984" s="25"/>
      <c r="V984" s="25"/>
      <c r="W984" s="25"/>
      <c r="X984" s="25"/>
      <c r="Y984" s="25"/>
      <c r="Z984" s="25"/>
    </row>
    <row r="985" spans="1:26" x14ac:dyDescent="0.35">
      <c r="A985" s="97"/>
      <c r="B985" s="97"/>
      <c r="C985" s="97"/>
      <c r="D985" s="97"/>
      <c r="E985" s="97"/>
      <c r="F985" s="97"/>
      <c r="G985" s="97"/>
      <c r="H985" s="97"/>
      <c r="I985" s="97"/>
      <c r="J985" s="97"/>
      <c r="K985" s="97"/>
      <c r="L985" s="97"/>
      <c r="M985" s="97"/>
      <c r="N985" s="97"/>
      <c r="O985" s="97"/>
      <c r="P985" s="97"/>
      <c r="Q985" s="97"/>
      <c r="R985" s="97"/>
      <c r="S985" s="97"/>
      <c r="T985" s="97"/>
      <c r="U985" s="25"/>
      <c r="V985" s="25"/>
      <c r="W985" s="25"/>
      <c r="X985" s="25"/>
      <c r="Y985" s="25"/>
      <c r="Z985" s="25"/>
    </row>
    <row r="986" spans="1:26" x14ac:dyDescent="0.35">
      <c r="A986" s="97"/>
      <c r="B986" s="97"/>
      <c r="C986" s="97"/>
      <c r="D986" s="97"/>
      <c r="E986" s="97"/>
      <c r="F986" s="97"/>
      <c r="G986" s="97"/>
      <c r="H986" s="97"/>
      <c r="I986" s="97"/>
      <c r="J986" s="97"/>
      <c r="K986" s="97"/>
      <c r="L986" s="97"/>
      <c r="M986" s="97"/>
      <c r="N986" s="97"/>
      <c r="O986" s="97"/>
      <c r="P986" s="97"/>
      <c r="Q986" s="97"/>
      <c r="R986" s="97"/>
      <c r="S986" s="97"/>
      <c r="T986" s="97"/>
      <c r="U986" s="25"/>
      <c r="V986" s="25"/>
      <c r="W986" s="25"/>
      <c r="X986" s="25"/>
      <c r="Y986" s="25"/>
      <c r="Z986" s="25"/>
    </row>
    <row r="987" spans="1:26" x14ac:dyDescent="0.35">
      <c r="A987" s="97"/>
      <c r="B987" s="97"/>
      <c r="C987" s="97"/>
      <c r="D987" s="97"/>
      <c r="E987" s="97"/>
      <c r="F987" s="97"/>
      <c r="G987" s="97"/>
      <c r="H987" s="97"/>
      <c r="I987" s="97"/>
      <c r="J987" s="97"/>
      <c r="K987" s="97"/>
      <c r="L987" s="97"/>
      <c r="M987" s="97"/>
      <c r="N987" s="97"/>
      <c r="O987" s="97"/>
      <c r="P987" s="97"/>
      <c r="Q987" s="97"/>
      <c r="R987" s="97"/>
      <c r="S987" s="97"/>
      <c r="T987" s="97"/>
      <c r="U987" s="25"/>
      <c r="V987" s="25"/>
      <c r="W987" s="25"/>
      <c r="X987" s="25"/>
      <c r="Y987" s="25"/>
      <c r="Z987" s="25"/>
    </row>
    <row r="988" spans="1:26" x14ac:dyDescent="0.35">
      <c r="A988" s="97"/>
      <c r="B988" s="97"/>
      <c r="C988" s="97"/>
      <c r="D988" s="97"/>
      <c r="E988" s="97"/>
      <c r="F988" s="97"/>
      <c r="G988" s="97"/>
      <c r="H988" s="97"/>
      <c r="I988" s="97"/>
      <c r="J988" s="97"/>
      <c r="K988" s="97"/>
      <c r="L988" s="97"/>
      <c r="M988" s="97"/>
      <c r="N988" s="97"/>
      <c r="O988" s="97"/>
      <c r="P988" s="97"/>
      <c r="Q988" s="97"/>
      <c r="R988" s="97"/>
      <c r="S988" s="97"/>
      <c r="T988" s="97"/>
      <c r="U988" s="25"/>
      <c r="V988" s="25"/>
      <c r="W988" s="25"/>
      <c r="X988" s="25"/>
      <c r="Y988" s="25"/>
      <c r="Z988" s="25"/>
    </row>
    <row r="989" spans="1:26" x14ac:dyDescent="0.35">
      <c r="A989" s="97"/>
      <c r="B989" s="97"/>
      <c r="C989" s="97"/>
      <c r="D989" s="97"/>
      <c r="E989" s="97"/>
      <c r="F989" s="97"/>
      <c r="G989" s="97"/>
      <c r="H989" s="97"/>
      <c r="I989" s="97"/>
      <c r="J989" s="97"/>
      <c r="K989" s="97"/>
      <c r="L989" s="97"/>
      <c r="M989" s="97"/>
      <c r="N989" s="97"/>
      <c r="O989" s="97"/>
      <c r="P989" s="97"/>
      <c r="Q989" s="97"/>
      <c r="R989" s="97"/>
      <c r="S989" s="97"/>
      <c r="T989" s="97"/>
      <c r="U989" s="25"/>
      <c r="V989" s="25"/>
      <c r="W989" s="25"/>
      <c r="X989" s="25"/>
      <c r="Y989" s="25"/>
      <c r="Z989" s="25"/>
    </row>
    <row r="990" spans="1:26" x14ac:dyDescent="0.35">
      <c r="A990" s="97"/>
      <c r="B990" s="97"/>
      <c r="C990" s="97"/>
      <c r="D990" s="97"/>
      <c r="E990" s="97"/>
      <c r="F990" s="97"/>
      <c r="G990" s="97"/>
      <c r="H990" s="97"/>
      <c r="I990" s="97"/>
      <c r="J990" s="97"/>
      <c r="K990" s="97"/>
      <c r="L990" s="97"/>
      <c r="M990" s="97"/>
      <c r="N990" s="97"/>
      <c r="O990" s="97"/>
      <c r="P990" s="97"/>
      <c r="Q990" s="97"/>
      <c r="R990" s="97"/>
      <c r="S990" s="97"/>
      <c r="T990" s="97"/>
      <c r="U990" s="25"/>
      <c r="V990" s="25"/>
      <c r="W990" s="25"/>
      <c r="X990" s="25"/>
      <c r="Y990" s="25"/>
      <c r="Z990" s="25"/>
    </row>
    <row r="991" spans="1:26" x14ac:dyDescent="0.35">
      <c r="A991" s="97"/>
      <c r="B991" s="97"/>
      <c r="C991" s="97"/>
      <c r="D991" s="97"/>
      <c r="E991" s="97"/>
      <c r="F991" s="97"/>
      <c r="G991" s="97"/>
      <c r="H991" s="97"/>
      <c r="I991" s="97"/>
      <c r="J991" s="97"/>
      <c r="K991" s="97"/>
      <c r="L991" s="97"/>
      <c r="M991" s="97"/>
      <c r="N991" s="97"/>
      <c r="O991" s="97"/>
      <c r="P991" s="97"/>
      <c r="Q991" s="97"/>
      <c r="R991" s="97"/>
      <c r="S991" s="97"/>
      <c r="T991" s="97"/>
      <c r="U991" s="25"/>
      <c r="V991" s="25"/>
      <c r="W991" s="25"/>
      <c r="X991" s="25"/>
      <c r="Y991" s="25"/>
      <c r="Z991" s="25"/>
    </row>
    <row r="992" spans="1:26" x14ac:dyDescent="0.35">
      <c r="A992" s="97"/>
      <c r="B992" s="97"/>
      <c r="C992" s="97"/>
      <c r="D992" s="97"/>
      <c r="E992" s="97"/>
      <c r="F992" s="97"/>
      <c r="G992" s="97"/>
      <c r="H992" s="97"/>
      <c r="I992" s="97"/>
      <c r="J992" s="97"/>
      <c r="K992" s="97"/>
      <c r="L992" s="97"/>
      <c r="M992" s="97"/>
      <c r="N992" s="97"/>
      <c r="O992" s="97"/>
      <c r="P992" s="97"/>
      <c r="Q992" s="97"/>
      <c r="R992" s="97"/>
      <c r="S992" s="97"/>
      <c r="T992" s="97"/>
      <c r="U992" s="25"/>
      <c r="V992" s="25"/>
      <c r="W992" s="25"/>
      <c r="X992" s="25"/>
      <c r="Y992" s="25"/>
      <c r="Z992" s="25"/>
    </row>
    <row r="993" spans="1:26" x14ac:dyDescent="0.35">
      <c r="A993" s="97"/>
      <c r="B993" s="97"/>
      <c r="C993" s="97"/>
      <c r="D993" s="97"/>
      <c r="E993" s="97"/>
      <c r="F993" s="97"/>
      <c r="G993" s="97"/>
      <c r="H993" s="97"/>
      <c r="I993" s="97"/>
      <c r="J993" s="97"/>
      <c r="K993" s="97"/>
      <c r="L993" s="97"/>
      <c r="M993" s="97"/>
      <c r="N993" s="97"/>
      <c r="O993" s="97"/>
      <c r="P993" s="97"/>
      <c r="Q993" s="97"/>
      <c r="R993" s="97"/>
      <c r="S993" s="97"/>
      <c r="T993" s="97"/>
      <c r="U993" s="25"/>
      <c r="V993" s="25"/>
      <c r="W993" s="25"/>
      <c r="X993" s="25"/>
      <c r="Y993" s="25"/>
      <c r="Z993" s="25"/>
    </row>
    <row r="994" spans="1:26" x14ac:dyDescent="0.35">
      <c r="A994" s="97"/>
      <c r="B994" s="97"/>
      <c r="C994" s="97"/>
      <c r="D994" s="97"/>
      <c r="E994" s="97"/>
      <c r="F994" s="97"/>
      <c r="G994" s="97"/>
      <c r="H994" s="97"/>
      <c r="I994" s="97"/>
      <c r="J994" s="97"/>
      <c r="K994" s="97"/>
      <c r="L994" s="97"/>
      <c r="M994" s="97"/>
      <c r="N994" s="97"/>
      <c r="O994" s="97"/>
      <c r="P994" s="97"/>
      <c r="Q994" s="97"/>
      <c r="R994" s="97"/>
      <c r="S994" s="97"/>
      <c r="T994" s="97"/>
      <c r="U994" s="25"/>
      <c r="V994" s="25"/>
      <c r="W994" s="25"/>
      <c r="X994" s="25"/>
      <c r="Y994" s="25"/>
      <c r="Z994" s="25"/>
    </row>
    <row r="995" spans="1:26" x14ac:dyDescent="0.35">
      <c r="A995" s="97"/>
      <c r="B995" s="97"/>
      <c r="C995" s="97"/>
      <c r="D995" s="97"/>
      <c r="E995" s="97"/>
      <c r="F995" s="97"/>
      <c r="G995" s="97"/>
      <c r="H995" s="97"/>
      <c r="I995" s="97"/>
      <c r="J995" s="97"/>
      <c r="K995" s="97"/>
      <c r="L995" s="97"/>
      <c r="M995" s="97"/>
      <c r="N995" s="97"/>
      <c r="O995" s="97"/>
      <c r="P995" s="97"/>
      <c r="Q995" s="97"/>
      <c r="R995" s="97"/>
      <c r="S995" s="97"/>
      <c r="T995" s="97"/>
      <c r="U995" s="25"/>
      <c r="V995" s="25"/>
      <c r="W995" s="25"/>
      <c r="X995" s="25"/>
      <c r="Y995" s="25"/>
      <c r="Z995" s="25"/>
    </row>
    <row r="996" spans="1:26" x14ac:dyDescent="0.35">
      <c r="A996" s="97"/>
      <c r="B996" s="97"/>
      <c r="C996" s="97"/>
      <c r="D996" s="97"/>
      <c r="E996" s="97"/>
      <c r="F996" s="97"/>
      <c r="G996" s="97"/>
      <c r="H996" s="97"/>
      <c r="I996" s="97"/>
      <c r="J996" s="97"/>
      <c r="K996" s="97"/>
      <c r="L996" s="97"/>
      <c r="M996" s="97"/>
      <c r="N996" s="97"/>
      <c r="O996" s="97"/>
      <c r="P996" s="97"/>
      <c r="Q996" s="97"/>
      <c r="R996" s="97"/>
      <c r="S996" s="97"/>
      <c r="T996" s="97"/>
      <c r="U996" s="25"/>
      <c r="V996" s="25"/>
      <c r="W996" s="25"/>
      <c r="X996" s="25"/>
      <c r="Y996" s="25"/>
      <c r="Z996" s="25"/>
    </row>
    <row r="997" spans="1:26" x14ac:dyDescent="0.35">
      <c r="A997" s="97"/>
      <c r="B997" s="97"/>
      <c r="C997" s="97"/>
      <c r="D997" s="97"/>
      <c r="E997" s="97"/>
      <c r="F997" s="97"/>
      <c r="G997" s="97"/>
      <c r="H997" s="97"/>
      <c r="I997" s="97"/>
      <c r="J997" s="97"/>
      <c r="K997" s="97"/>
      <c r="L997" s="97"/>
      <c r="M997" s="97"/>
      <c r="N997" s="97"/>
      <c r="O997" s="97"/>
      <c r="P997" s="97"/>
      <c r="Q997" s="97"/>
      <c r="R997" s="97"/>
      <c r="S997" s="97"/>
      <c r="T997" s="97"/>
      <c r="U997" s="25"/>
      <c r="V997" s="25"/>
      <c r="W997" s="25"/>
      <c r="X997" s="25"/>
      <c r="Y997" s="25"/>
      <c r="Z997" s="25"/>
    </row>
    <row r="998" spans="1:26" x14ac:dyDescent="0.35">
      <c r="A998" s="97"/>
      <c r="B998" s="97"/>
      <c r="C998" s="97"/>
      <c r="D998" s="97"/>
      <c r="E998" s="97"/>
      <c r="F998" s="97"/>
      <c r="G998" s="97"/>
      <c r="H998" s="97"/>
      <c r="I998" s="97"/>
      <c r="J998" s="97"/>
      <c r="K998" s="97"/>
      <c r="L998" s="97"/>
      <c r="M998" s="97"/>
      <c r="N998" s="97"/>
      <c r="O998" s="97"/>
      <c r="P998" s="97"/>
      <c r="Q998" s="97"/>
      <c r="R998" s="97"/>
      <c r="S998" s="97"/>
      <c r="T998" s="97"/>
      <c r="U998" s="25"/>
      <c r="V998" s="25"/>
      <c r="W998" s="25"/>
      <c r="X998" s="25"/>
      <c r="Y998" s="25"/>
      <c r="Z998" s="25"/>
    </row>
    <row r="999" spans="1:26" x14ac:dyDescent="0.35">
      <c r="A999" s="97"/>
      <c r="B999" s="97"/>
      <c r="C999" s="97"/>
      <c r="D999" s="97"/>
      <c r="E999" s="97"/>
      <c r="F999" s="97"/>
      <c r="G999" s="97"/>
      <c r="H999" s="97"/>
      <c r="I999" s="97"/>
      <c r="J999" s="97"/>
      <c r="K999" s="97"/>
      <c r="L999" s="97"/>
      <c r="M999" s="97"/>
      <c r="N999" s="97"/>
      <c r="O999" s="97"/>
      <c r="P999" s="97"/>
      <c r="Q999" s="97"/>
      <c r="R999" s="97"/>
      <c r="S999" s="97"/>
      <c r="T999" s="97"/>
      <c r="U999" s="25"/>
      <c r="V999" s="25"/>
      <c r="W999" s="25"/>
      <c r="X999" s="25"/>
      <c r="Y999" s="25"/>
      <c r="Z999" s="25"/>
    </row>
    <row r="1000" spans="1:26" x14ac:dyDescent="0.35">
      <c r="A1000" s="97"/>
      <c r="B1000" s="97"/>
      <c r="C1000" s="97"/>
      <c r="D1000" s="97"/>
      <c r="E1000" s="97"/>
      <c r="F1000" s="97"/>
      <c r="G1000" s="97"/>
      <c r="H1000" s="97"/>
      <c r="I1000" s="97"/>
      <c r="J1000" s="97"/>
      <c r="K1000" s="97"/>
      <c r="L1000" s="97"/>
      <c r="M1000" s="97"/>
      <c r="N1000" s="97"/>
      <c r="O1000" s="97"/>
      <c r="P1000" s="97"/>
      <c r="Q1000" s="97"/>
      <c r="R1000" s="97"/>
      <c r="S1000" s="97"/>
      <c r="T1000" s="97"/>
      <c r="U1000" s="25"/>
      <c r="V1000" s="25"/>
      <c r="W1000" s="25"/>
      <c r="X1000" s="25"/>
      <c r="Y1000" s="25"/>
      <c r="Z1000" s="25"/>
    </row>
    <row r="1001" spans="1:26" x14ac:dyDescent="0.35">
      <c r="A1001" s="97"/>
      <c r="B1001" s="97"/>
      <c r="C1001" s="97"/>
      <c r="D1001" s="97"/>
      <c r="E1001" s="97"/>
      <c r="F1001" s="97"/>
      <c r="G1001" s="97"/>
      <c r="H1001" s="97"/>
      <c r="I1001" s="97"/>
      <c r="J1001" s="97"/>
      <c r="K1001" s="97"/>
      <c r="L1001" s="97"/>
      <c r="M1001" s="97"/>
      <c r="N1001" s="97"/>
      <c r="O1001" s="97"/>
      <c r="P1001" s="97"/>
      <c r="Q1001" s="97"/>
      <c r="R1001" s="97"/>
      <c r="S1001" s="97"/>
      <c r="T1001" s="97"/>
      <c r="U1001" s="25"/>
      <c r="V1001" s="25"/>
      <c r="W1001" s="25"/>
      <c r="X1001" s="25"/>
      <c r="Y1001" s="25"/>
      <c r="Z1001" s="25"/>
    </row>
    <row r="1002" spans="1:26" x14ac:dyDescent="0.35">
      <c r="A1002" s="97"/>
      <c r="B1002" s="97"/>
      <c r="C1002" s="97"/>
      <c r="D1002" s="97"/>
      <c r="E1002" s="97"/>
      <c r="F1002" s="97"/>
      <c r="G1002" s="97"/>
      <c r="H1002" s="97"/>
      <c r="I1002" s="97"/>
      <c r="J1002" s="97"/>
      <c r="K1002" s="97"/>
      <c r="L1002" s="97"/>
      <c r="M1002" s="97"/>
      <c r="N1002" s="97"/>
      <c r="O1002" s="97"/>
      <c r="P1002" s="97"/>
      <c r="Q1002" s="97"/>
      <c r="R1002" s="97"/>
      <c r="S1002" s="97"/>
      <c r="T1002" s="97"/>
      <c r="U1002" s="25"/>
      <c r="V1002" s="25"/>
      <c r="W1002" s="25"/>
      <c r="X1002" s="25"/>
      <c r="Y1002" s="25"/>
      <c r="Z1002" s="25"/>
    </row>
    <row r="1003" spans="1:26" x14ac:dyDescent="0.35">
      <c r="A1003" s="97"/>
      <c r="B1003" s="97"/>
      <c r="C1003" s="97"/>
      <c r="D1003" s="97"/>
      <c r="E1003" s="97"/>
      <c r="F1003" s="97"/>
      <c r="G1003" s="97"/>
      <c r="H1003" s="97"/>
      <c r="I1003" s="97"/>
      <c r="J1003" s="97"/>
      <c r="K1003" s="97"/>
      <c r="L1003" s="97"/>
      <c r="M1003" s="97"/>
      <c r="N1003" s="97"/>
      <c r="O1003" s="97"/>
      <c r="P1003" s="97"/>
      <c r="Q1003" s="97"/>
      <c r="R1003" s="97"/>
      <c r="S1003" s="97"/>
      <c r="T1003" s="97"/>
      <c r="U1003" s="25"/>
      <c r="V1003" s="25"/>
      <c r="W1003" s="25"/>
      <c r="X1003" s="25"/>
      <c r="Y1003" s="25"/>
      <c r="Z1003" s="25"/>
    </row>
    <row r="1004" spans="1:26" x14ac:dyDescent="0.35">
      <c r="A1004" s="97"/>
      <c r="B1004" s="97"/>
      <c r="C1004" s="97"/>
      <c r="D1004" s="97"/>
      <c r="E1004" s="97"/>
      <c r="F1004" s="97"/>
      <c r="G1004" s="97"/>
      <c r="H1004" s="97"/>
      <c r="I1004" s="97"/>
      <c r="J1004" s="97"/>
      <c r="K1004" s="97"/>
      <c r="L1004" s="97"/>
      <c r="M1004" s="97"/>
      <c r="N1004" s="97"/>
      <c r="O1004" s="97"/>
      <c r="P1004" s="97"/>
      <c r="Q1004" s="97"/>
      <c r="R1004" s="97"/>
      <c r="S1004" s="97"/>
      <c r="T1004" s="97"/>
      <c r="U1004" s="25"/>
      <c r="V1004" s="25"/>
      <c r="W1004" s="25"/>
      <c r="X1004" s="25"/>
      <c r="Y1004" s="25"/>
      <c r="Z1004" s="25"/>
    </row>
    <row r="1005" spans="1:26" x14ac:dyDescent="0.35">
      <c r="A1005" s="97"/>
      <c r="B1005" s="97"/>
      <c r="C1005" s="97"/>
      <c r="D1005" s="97"/>
      <c r="E1005" s="97"/>
      <c r="F1005" s="97"/>
      <c r="G1005" s="97"/>
      <c r="H1005" s="97"/>
      <c r="I1005" s="97"/>
      <c r="J1005" s="97"/>
      <c r="K1005" s="97"/>
      <c r="L1005" s="97"/>
      <c r="M1005" s="97"/>
      <c r="N1005" s="97"/>
      <c r="O1005" s="97"/>
      <c r="P1005" s="97"/>
      <c r="Q1005" s="97"/>
      <c r="R1005" s="97"/>
      <c r="S1005" s="97"/>
      <c r="T1005" s="97"/>
      <c r="U1005" s="25"/>
      <c r="V1005" s="25"/>
      <c r="W1005" s="25"/>
      <c r="X1005" s="25"/>
      <c r="Y1005" s="25"/>
      <c r="Z1005" s="25"/>
    </row>
    <row r="1006" spans="1:26" x14ac:dyDescent="0.35">
      <c r="A1006" s="97"/>
      <c r="B1006" s="97"/>
      <c r="C1006" s="97"/>
      <c r="D1006" s="97"/>
      <c r="E1006" s="97"/>
      <c r="F1006" s="97"/>
      <c r="G1006" s="97"/>
      <c r="H1006" s="97"/>
      <c r="I1006" s="97"/>
      <c r="J1006" s="97"/>
      <c r="K1006" s="97"/>
      <c r="L1006" s="97"/>
      <c r="M1006" s="97"/>
      <c r="N1006" s="97"/>
      <c r="O1006" s="97"/>
      <c r="P1006" s="97"/>
      <c r="Q1006" s="97"/>
      <c r="R1006" s="97"/>
      <c r="S1006" s="97"/>
      <c r="T1006" s="97"/>
      <c r="U1006" s="25"/>
      <c r="V1006" s="25"/>
      <c r="W1006" s="25"/>
      <c r="X1006" s="25"/>
      <c r="Y1006" s="25"/>
      <c r="Z1006" s="25"/>
    </row>
    <row r="1007" spans="1:26" x14ac:dyDescent="0.35">
      <c r="A1007" s="97"/>
      <c r="B1007" s="97"/>
      <c r="C1007" s="97"/>
      <c r="D1007" s="97"/>
      <c r="E1007" s="97"/>
      <c r="F1007" s="97"/>
      <c r="G1007" s="97"/>
      <c r="H1007" s="97"/>
      <c r="I1007" s="97"/>
      <c r="J1007" s="97"/>
      <c r="K1007" s="97"/>
      <c r="L1007" s="97"/>
      <c r="M1007" s="97"/>
      <c r="N1007" s="97"/>
      <c r="O1007" s="97"/>
      <c r="P1007" s="97"/>
      <c r="Q1007" s="97"/>
      <c r="R1007" s="97"/>
      <c r="S1007" s="97"/>
      <c r="T1007" s="97"/>
      <c r="U1007" s="25"/>
      <c r="V1007" s="25"/>
      <c r="W1007" s="25"/>
      <c r="X1007" s="25"/>
      <c r="Y1007" s="25"/>
      <c r="Z1007" s="25"/>
    </row>
    <row r="1008" spans="1:26" x14ac:dyDescent="0.35">
      <c r="A1008" s="97"/>
      <c r="B1008" s="97"/>
      <c r="C1008" s="97"/>
      <c r="D1008" s="97"/>
      <c r="E1008" s="97"/>
      <c r="F1008" s="97"/>
      <c r="G1008" s="97"/>
      <c r="H1008" s="97"/>
      <c r="I1008" s="97"/>
      <c r="J1008" s="97"/>
      <c r="K1008" s="97"/>
      <c r="L1008" s="97"/>
      <c r="M1008" s="97"/>
      <c r="N1008" s="97"/>
      <c r="O1008" s="97"/>
      <c r="P1008" s="97"/>
      <c r="Q1008" s="97"/>
      <c r="R1008" s="97"/>
      <c r="S1008" s="97"/>
      <c r="T1008" s="97"/>
      <c r="U1008" s="25"/>
      <c r="V1008" s="25"/>
      <c r="W1008" s="25"/>
      <c r="X1008" s="25"/>
      <c r="Y1008" s="25"/>
      <c r="Z1008" s="25"/>
    </row>
    <row r="1009" spans="1:26" x14ac:dyDescent="0.35">
      <c r="A1009" s="97"/>
      <c r="B1009" s="97"/>
      <c r="C1009" s="97"/>
      <c r="D1009" s="97"/>
      <c r="E1009" s="97"/>
      <c r="F1009" s="97"/>
      <c r="G1009" s="97"/>
      <c r="H1009" s="97"/>
      <c r="I1009" s="97"/>
      <c r="J1009" s="97"/>
      <c r="K1009" s="97"/>
      <c r="L1009" s="97"/>
      <c r="M1009" s="97"/>
      <c r="N1009" s="97"/>
      <c r="O1009" s="97"/>
      <c r="P1009" s="97"/>
      <c r="Q1009" s="97"/>
      <c r="R1009" s="97"/>
      <c r="S1009" s="97"/>
      <c r="T1009" s="97"/>
      <c r="U1009" s="25"/>
      <c r="V1009" s="25"/>
      <c r="W1009" s="25"/>
      <c r="X1009" s="25"/>
      <c r="Y1009" s="25"/>
      <c r="Z1009" s="25"/>
    </row>
    <row r="1010" spans="1:26" x14ac:dyDescent="0.35">
      <c r="A1010" s="97"/>
      <c r="B1010" s="97"/>
      <c r="C1010" s="97"/>
      <c r="D1010" s="97"/>
      <c r="E1010" s="97"/>
      <c r="F1010" s="97"/>
      <c r="G1010" s="97"/>
      <c r="H1010" s="97"/>
      <c r="I1010" s="97"/>
      <c r="J1010" s="97"/>
      <c r="K1010" s="97"/>
      <c r="L1010" s="97"/>
      <c r="M1010" s="97"/>
      <c r="N1010" s="97"/>
      <c r="O1010" s="97"/>
      <c r="P1010" s="97"/>
      <c r="Q1010" s="97"/>
      <c r="R1010" s="97"/>
      <c r="S1010" s="97"/>
      <c r="T1010" s="97"/>
      <c r="U1010" s="25"/>
      <c r="V1010" s="25"/>
      <c r="W1010" s="25"/>
      <c r="X1010" s="25"/>
      <c r="Y1010" s="25"/>
      <c r="Z1010" s="25"/>
    </row>
    <row r="1011" spans="1:26" x14ac:dyDescent="0.35">
      <c r="A1011" s="97"/>
      <c r="B1011" s="97"/>
      <c r="C1011" s="97"/>
      <c r="D1011" s="97"/>
      <c r="E1011" s="97"/>
      <c r="F1011" s="97"/>
      <c r="G1011" s="97"/>
      <c r="H1011" s="97"/>
      <c r="I1011" s="97"/>
      <c r="J1011" s="97"/>
      <c r="K1011" s="97"/>
      <c r="L1011" s="97"/>
      <c r="M1011" s="97"/>
      <c r="N1011" s="97"/>
      <c r="O1011" s="97"/>
      <c r="P1011" s="97"/>
      <c r="Q1011" s="97"/>
      <c r="R1011" s="97"/>
      <c r="S1011" s="97"/>
      <c r="T1011" s="97"/>
      <c r="U1011" s="25"/>
      <c r="V1011" s="25"/>
      <c r="W1011" s="25"/>
      <c r="X1011" s="25"/>
      <c r="Y1011" s="25"/>
      <c r="Z1011" s="25"/>
    </row>
    <row r="1012" spans="1:26" x14ac:dyDescent="0.35">
      <c r="A1012" s="97"/>
      <c r="B1012" s="97"/>
      <c r="C1012" s="97"/>
      <c r="D1012" s="97"/>
      <c r="E1012" s="97"/>
      <c r="F1012" s="97"/>
      <c r="G1012" s="97"/>
      <c r="H1012" s="97"/>
      <c r="I1012" s="97"/>
      <c r="J1012" s="97"/>
      <c r="K1012" s="97"/>
      <c r="L1012" s="97"/>
      <c r="M1012" s="97"/>
      <c r="N1012" s="97"/>
      <c r="O1012" s="97"/>
      <c r="P1012" s="97"/>
      <c r="Q1012" s="97"/>
      <c r="R1012" s="97"/>
      <c r="S1012" s="97"/>
      <c r="T1012" s="97"/>
      <c r="U1012" s="25"/>
      <c r="V1012" s="25"/>
      <c r="W1012" s="25"/>
      <c r="X1012" s="25"/>
      <c r="Y1012" s="25"/>
      <c r="Z1012" s="25"/>
    </row>
    <row r="1013" spans="1:26" x14ac:dyDescent="0.35">
      <c r="A1013" s="97"/>
      <c r="B1013" s="97"/>
      <c r="C1013" s="97"/>
      <c r="D1013" s="97"/>
      <c r="E1013" s="97"/>
      <c r="F1013" s="97"/>
      <c r="G1013" s="97"/>
      <c r="H1013" s="97"/>
      <c r="I1013" s="97"/>
      <c r="J1013" s="97"/>
      <c r="K1013" s="97"/>
      <c r="L1013" s="97"/>
      <c r="M1013" s="97"/>
      <c r="N1013" s="97"/>
      <c r="O1013" s="97"/>
      <c r="P1013" s="97"/>
      <c r="Q1013" s="97"/>
      <c r="R1013" s="97"/>
      <c r="S1013" s="97"/>
      <c r="T1013" s="97"/>
      <c r="U1013" s="25"/>
      <c r="V1013" s="25"/>
      <c r="W1013" s="25"/>
      <c r="X1013" s="25"/>
      <c r="Y1013" s="25"/>
      <c r="Z1013" s="25"/>
    </row>
    <row r="1014" spans="1:26" x14ac:dyDescent="0.35">
      <c r="A1014" s="97"/>
      <c r="B1014" s="97"/>
      <c r="C1014" s="97"/>
      <c r="D1014" s="97"/>
      <c r="E1014" s="97"/>
      <c r="F1014" s="97"/>
      <c r="G1014" s="97"/>
      <c r="H1014" s="97"/>
      <c r="I1014" s="97"/>
      <c r="J1014" s="97"/>
      <c r="K1014" s="97"/>
      <c r="L1014" s="97"/>
      <c r="M1014" s="97"/>
      <c r="N1014" s="97"/>
      <c r="O1014" s="97"/>
      <c r="P1014" s="97"/>
      <c r="Q1014" s="97"/>
      <c r="R1014" s="97"/>
      <c r="S1014" s="97"/>
      <c r="T1014" s="97"/>
      <c r="U1014" s="25"/>
      <c r="V1014" s="25"/>
      <c r="W1014" s="25"/>
      <c r="X1014" s="25"/>
      <c r="Y1014" s="25"/>
      <c r="Z1014" s="25"/>
    </row>
    <row r="1015" spans="1:26" x14ac:dyDescent="0.35">
      <c r="A1015" s="97"/>
      <c r="B1015" s="97"/>
      <c r="C1015" s="97"/>
      <c r="D1015" s="97"/>
      <c r="E1015" s="97"/>
      <c r="F1015" s="97"/>
      <c r="G1015" s="97"/>
      <c r="H1015" s="97"/>
      <c r="I1015" s="97"/>
      <c r="J1015" s="97"/>
      <c r="K1015" s="97"/>
      <c r="L1015" s="97"/>
      <c r="M1015" s="97"/>
      <c r="N1015" s="97"/>
      <c r="O1015" s="97"/>
      <c r="P1015" s="97"/>
      <c r="Q1015" s="97"/>
      <c r="R1015" s="97"/>
      <c r="S1015" s="97"/>
      <c r="T1015" s="97"/>
      <c r="U1015" s="25"/>
      <c r="V1015" s="25"/>
      <c r="W1015" s="25"/>
      <c r="X1015" s="25"/>
      <c r="Y1015" s="25"/>
      <c r="Z1015" s="25"/>
    </row>
    <row r="1016" spans="1:26" x14ac:dyDescent="0.35">
      <c r="A1016" s="97"/>
      <c r="B1016" s="97"/>
      <c r="C1016" s="97"/>
      <c r="D1016" s="97"/>
      <c r="E1016" s="97"/>
      <c r="F1016" s="97"/>
      <c r="G1016" s="97"/>
      <c r="H1016" s="97"/>
      <c r="I1016" s="97"/>
      <c r="J1016" s="97"/>
      <c r="K1016" s="97"/>
      <c r="L1016" s="97"/>
      <c r="M1016" s="97"/>
      <c r="N1016" s="97"/>
      <c r="O1016" s="97"/>
      <c r="P1016" s="97"/>
      <c r="Q1016" s="97"/>
      <c r="R1016" s="97"/>
      <c r="S1016" s="97"/>
      <c r="T1016" s="97"/>
      <c r="U1016" s="25"/>
      <c r="V1016" s="25"/>
      <c r="W1016" s="25"/>
      <c r="X1016" s="25"/>
      <c r="Y1016" s="25"/>
      <c r="Z1016" s="25"/>
    </row>
    <row r="1017" spans="1:26" x14ac:dyDescent="0.35">
      <c r="A1017" s="97"/>
      <c r="B1017" s="97"/>
      <c r="C1017" s="97"/>
      <c r="D1017" s="97"/>
      <c r="E1017" s="97"/>
      <c r="F1017" s="97"/>
      <c r="G1017" s="97"/>
      <c r="H1017" s="97"/>
      <c r="I1017" s="97"/>
      <c r="J1017" s="97"/>
      <c r="K1017" s="97"/>
      <c r="L1017" s="97"/>
      <c r="M1017" s="97"/>
      <c r="N1017" s="97"/>
      <c r="O1017" s="97"/>
      <c r="P1017" s="97"/>
      <c r="Q1017" s="97"/>
      <c r="R1017" s="97"/>
      <c r="S1017" s="97"/>
      <c r="T1017" s="97"/>
      <c r="U1017" s="25"/>
      <c r="V1017" s="25"/>
      <c r="W1017" s="25"/>
      <c r="X1017" s="25"/>
      <c r="Y1017" s="25"/>
      <c r="Z1017" s="25"/>
    </row>
    <row r="1018" spans="1:26" x14ac:dyDescent="0.35">
      <c r="A1018" s="97"/>
      <c r="B1018" s="97"/>
      <c r="C1018" s="97"/>
      <c r="D1018" s="97"/>
      <c r="E1018" s="97"/>
      <c r="F1018" s="97"/>
      <c r="G1018" s="97"/>
      <c r="H1018" s="97"/>
      <c r="I1018" s="97"/>
      <c r="J1018" s="97"/>
      <c r="K1018" s="97"/>
      <c r="L1018" s="97"/>
      <c r="M1018" s="97"/>
      <c r="N1018" s="97"/>
      <c r="O1018" s="97"/>
      <c r="P1018" s="97"/>
      <c r="Q1018" s="97"/>
      <c r="R1018" s="97"/>
      <c r="S1018" s="97"/>
      <c r="T1018" s="97"/>
      <c r="U1018" s="25"/>
      <c r="V1018" s="25"/>
      <c r="W1018" s="25"/>
      <c r="X1018" s="25"/>
      <c r="Y1018" s="25"/>
      <c r="Z1018" s="25"/>
    </row>
    <row r="1019" spans="1:26" x14ac:dyDescent="0.35">
      <c r="A1019" s="97"/>
      <c r="B1019" s="97"/>
      <c r="C1019" s="97"/>
      <c r="D1019" s="97"/>
      <c r="E1019" s="97"/>
      <c r="F1019" s="97"/>
      <c r="G1019" s="97"/>
      <c r="H1019" s="97"/>
      <c r="I1019" s="97"/>
      <c r="J1019" s="97"/>
      <c r="K1019" s="97"/>
      <c r="L1019" s="97"/>
      <c r="M1019" s="97"/>
      <c r="N1019" s="97"/>
      <c r="O1019" s="97"/>
      <c r="P1019" s="97"/>
      <c r="Q1019" s="97"/>
      <c r="R1019" s="97"/>
      <c r="S1019" s="97"/>
      <c r="T1019" s="97"/>
      <c r="U1019" s="25"/>
      <c r="V1019" s="25"/>
      <c r="W1019" s="25"/>
      <c r="X1019" s="25"/>
      <c r="Y1019" s="25"/>
      <c r="Z1019" s="25"/>
    </row>
    <row r="1020" spans="1:26" x14ac:dyDescent="0.35">
      <c r="A1020" s="97"/>
      <c r="B1020" s="97"/>
      <c r="C1020" s="97"/>
      <c r="D1020" s="97"/>
      <c r="E1020" s="97"/>
      <c r="F1020" s="97"/>
      <c r="G1020" s="97"/>
      <c r="H1020" s="97"/>
      <c r="I1020" s="97"/>
      <c r="J1020" s="97"/>
      <c r="K1020" s="97"/>
      <c r="L1020" s="97"/>
      <c r="M1020" s="97"/>
      <c r="N1020" s="97"/>
      <c r="O1020" s="97"/>
      <c r="P1020" s="97"/>
      <c r="Q1020" s="97"/>
      <c r="R1020" s="97"/>
      <c r="S1020" s="97"/>
      <c r="T1020" s="97"/>
      <c r="U1020" s="25"/>
      <c r="V1020" s="25"/>
      <c r="W1020" s="25"/>
      <c r="X1020" s="25"/>
      <c r="Y1020" s="25"/>
      <c r="Z1020" s="25"/>
    </row>
    <row r="1021" spans="1:26" x14ac:dyDescent="0.35">
      <c r="A1021" s="97"/>
      <c r="B1021" s="97"/>
      <c r="C1021" s="97"/>
      <c r="D1021" s="97"/>
      <c r="E1021" s="97"/>
      <c r="F1021" s="97"/>
      <c r="G1021" s="97"/>
      <c r="H1021" s="97"/>
      <c r="I1021" s="97"/>
      <c r="J1021" s="97"/>
      <c r="K1021" s="97"/>
      <c r="L1021" s="97"/>
      <c r="M1021" s="97"/>
      <c r="N1021" s="97"/>
      <c r="O1021" s="97"/>
      <c r="P1021" s="97"/>
      <c r="Q1021" s="97"/>
      <c r="R1021" s="97"/>
      <c r="S1021" s="97"/>
      <c r="T1021" s="97"/>
      <c r="U1021" s="25"/>
      <c r="V1021" s="25"/>
      <c r="W1021" s="25"/>
      <c r="X1021" s="25"/>
      <c r="Y1021" s="25"/>
      <c r="Z1021" s="25"/>
    </row>
    <row r="1022" spans="1:26" x14ac:dyDescent="0.35">
      <c r="A1022" s="97"/>
      <c r="B1022" s="97"/>
      <c r="C1022" s="97"/>
      <c r="D1022" s="97"/>
      <c r="E1022" s="97"/>
      <c r="F1022" s="97"/>
      <c r="G1022" s="97"/>
      <c r="H1022" s="97"/>
      <c r="I1022" s="97"/>
      <c r="J1022" s="97"/>
      <c r="K1022" s="97"/>
      <c r="L1022" s="97"/>
      <c r="M1022" s="97"/>
      <c r="N1022" s="97"/>
      <c r="O1022" s="97"/>
      <c r="P1022" s="97"/>
      <c r="Q1022" s="97"/>
      <c r="R1022" s="97"/>
      <c r="S1022" s="97"/>
      <c r="T1022" s="97"/>
      <c r="U1022" s="25"/>
      <c r="V1022" s="25"/>
      <c r="W1022" s="25"/>
      <c r="X1022" s="25"/>
      <c r="Y1022" s="25"/>
      <c r="Z1022" s="25"/>
    </row>
    <row r="1023" spans="1:26" x14ac:dyDescent="0.35">
      <c r="A1023" s="97"/>
      <c r="B1023" s="97"/>
      <c r="C1023" s="97"/>
      <c r="D1023" s="97"/>
      <c r="E1023" s="97"/>
      <c r="F1023" s="97"/>
      <c r="G1023" s="97"/>
      <c r="H1023" s="97"/>
      <c r="I1023" s="97"/>
      <c r="J1023" s="97"/>
      <c r="K1023" s="97"/>
      <c r="L1023" s="97"/>
      <c r="M1023" s="97"/>
      <c r="N1023" s="97"/>
      <c r="O1023" s="97"/>
      <c r="P1023" s="97"/>
      <c r="Q1023" s="97"/>
      <c r="R1023" s="97"/>
      <c r="S1023" s="97"/>
      <c r="T1023" s="97"/>
      <c r="U1023" s="25"/>
      <c r="V1023" s="25"/>
      <c r="W1023" s="25"/>
      <c r="X1023" s="25"/>
      <c r="Y1023" s="25"/>
      <c r="Z1023" s="25"/>
    </row>
    <row r="1024" spans="1:26" x14ac:dyDescent="0.35">
      <c r="A1024" s="97"/>
      <c r="B1024" s="97"/>
      <c r="C1024" s="97"/>
      <c r="D1024" s="97"/>
      <c r="E1024" s="97"/>
      <c r="F1024" s="97"/>
      <c r="G1024" s="97"/>
      <c r="H1024" s="97"/>
      <c r="I1024" s="97"/>
      <c r="J1024" s="97"/>
      <c r="K1024" s="97"/>
      <c r="L1024" s="97"/>
      <c r="M1024" s="97"/>
      <c r="N1024" s="97"/>
      <c r="O1024" s="97"/>
      <c r="P1024" s="97"/>
      <c r="Q1024" s="97"/>
      <c r="R1024" s="97"/>
      <c r="S1024" s="97"/>
      <c r="T1024" s="97"/>
      <c r="U1024" s="25"/>
      <c r="V1024" s="25"/>
      <c r="W1024" s="25"/>
      <c r="X1024" s="25"/>
      <c r="Y1024" s="25"/>
      <c r="Z1024" s="25"/>
    </row>
    <row r="1025" spans="1:26" x14ac:dyDescent="0.35">
      <c r="A1025" s="97"/>
      <c r="B1025" s="97"/>
      <c r="C1025" s="97"/>
      <c r="D1025" s="97"/>
      <c r="E1025" s="97"/>
      <c r="F1025" s="97"/>
      <c r="G1025" s="97"/>
      <c r="H1025" s="97"/>
      <c r="I1025" s="97"/>
      <c r="J1025" s="97"/>
      <c r="K1025" s="97"/>
      <c r="L1025" s="97"/>
      <c r="M1025" s="97"/>
      <c r="N1025" s="97"/>
      <c r="O1025" s="97"/>
      <c r="P1025" s="97"/>
      <c r="Q1025" s="97"/>
      <c r="R1025" s="97"/>
      <c r="S1025" s="97"/>
      <c r="T1025" s="97"/>
      <c r="U1025" s="25"/>
      <c r="V1025" s="25"/>
      <c r="W1025" s="25"/>
      <c r="X1025" s="25"/>
      <c r="Y1025" s="25"/>
      <c r="Z1025" s="25"/>
    </row>
    <row r="1026" spans="1:26" x14ac:dyDescent="0.35">
      <c r="A1026" s="97"/>
      <c r="B1026" s="97"/>
      <c r="C1026" s="97"/>
      <c r="D1026" s="97"/>
      <c r="E1026" s="97"/>
      <c r="F1026" s="97"/>
      <c r="G1026" s="97"/>
      <c r="H1026" s="97"/>
      <c r="I1026" s="97"/>
      <c r="J1026" s="97"/>
      <c r="K1026" s="97"/>
      <c r="L1026" s="97"/>
      <c r="M1026" s="97"/>
      <c r="N1026" s="97"/>
      <c r="O1026" s="97"/>
      <c r="P1026" s="97"/>
      <c r="Q1026" s="97"/>
      <c r="R1026" s="97"/>
      <c r="S1026" s="97"/>
      <c r="T1026" s="97"/>
      <c r="U1026" s="25"/>
      <c r="V1026" s="25"/>
      <c r="W1026" s="25"/>
      <c r="X1026" s="25"/>
      <c r="Y1026" s="25"/>
      <c r="Z1026" s="25"/>
    </row>
    <row r="1027" spans="1:26" x14ac:dyDescent="0.35">
      <c r="A1027" s="97"/>
      <c r="B1027" s="97"/>
      <c r="C1027" s="97"/>
      <c r="D1027" s="97"/>
      <c r="E1027" s="97"/>
      <c r="F1027" s="97"/>
      <c r="G1027" s="97"/>
      <c r="H1027" s="97"/>
      <c r="I1027" s="97"/>
      <c r="J1027" s="97"/>
      <c r="K1027" s="97"/>
      <c r="L1027" s="97"/>
      <c r="M1027" s="97"/>
      <c r="N1027" s="97"/>
      <c r="O1027" s="97"/>
      <c r="P1027" s="97"/>
      <c r="Q1027" s="97"/>
      <c r="R1027" s="97"/>
      <c r="S1027" s="97"/>
      <c r="T1027" s="97"/>
      <c r="U1027" s="25"/>
      <c r="V1027" s="25"/>
      <c r="W1027" s="25"/>
      <c r="X1027" s="25"/>
      <c r="Y1027" s="25"/>
      <c r="Z1027" s="25"/>
    </row>
    <row r="1028" spans="1:26" x14ac:dyDescent="0.35">
      <c r="A1028" s="97"/>
      <c r="B1028" s="97"/>
      <c r="C1028" s="97"/>
      <c r="D1028" s="97"/>
      <c r="E1028" s="97"/>
      <c r="F1028" s="97"/>
      <c r="G1028" s="97"/>
      <c r="H1028" s="97"/>
      <c r="I1028" s="97"/>
      <c r="J1028" s="97"/>
      <c r="K1028" s="97"/>
      <c r="L1028" s="97"/>
      <c r="M1028" s="97"/>
      <c r="N1028" s="97"/>
      <c r="O1028" s="97"/>
      <c r="P1028" s="97"/>
      <c r="Q1028" s="97"/>
      <c r="R1028" s="97"/>
      <c r="S1028" s="97"/>
      <c r="T1028" s="97"/>
      <c r="U1028" s="25"/>
      <c r="V1028" s="25"/>
      <c r="W1028" s="25"/>
      <c r="X1028" s="25"/>
      <c r="Y1028" s="25"/>
      <c r="Z1028" s="25"/>
    </row>
    <row r="1029" spans="1:26" x14ac:dyDescent="0.35">
      <c r="A1029" s="97"/>
      <c r="B1029" s="97"/>
      <c r="C1029" s="97"/>
      <c r="D1029" s="97"/>
      <c r="E1029" s="97"/>
      <c r="F1029" s="97"/>
      <c r="G1029" s="97"/>
      <c r="H1029" s="97"/>
      <c r="I1029" s="97"/>
      <c r="J1029" s="97"/>
      <c r="K1029" s="97"/>
      <c r="L1029" s="97"/>
      <c r="M1029" s="97"/>
      <c r="N1029" s="97"/>
      <c r="O1029" s="97"/>
      <c r="P1029" s="97"/>
      <c r="Q1029" s="97"/>
      <c r="R1029" s="97"/>
      <c r="S1029" s="97"/>
      <c r="T1029" s="97"/>
      <c r="U1029" s="25"/>
      <c r="V1029" s="25"/>
      <c r="W1029" s="25"/>
      <c r="X1029" s="25"/>
      <c r="Y1029" s="25"/>
      <c r="Z1029" s="25"/>
    </row>
    <row r="1030" spans="1:26" x14ac:dyDescent="0.35">
      <c r="A1030" s="97"/>
      <c r="B1030" s="97"/>
      <c r="C1030" s="97"/>
      <c r="D1030" s="97"/>
      <c r="E1030" s="97"/>
      <c r="F1030" s="97"/>
      <c r="G1030" s="97"/>
      <c r="H1030" s="97"/>
      <c r="I1030" s="97"/>
      <c r="J1030" s="97"/>
      <c r="K1030" s="97"/>
      <c r="L1030" s="97"/>
      <c r="M1030" s="97"/>
      <c r="N1030" s="97"/>
      <c r="O1030" s="97"/>
      <c r="P1030" s="97"/>
      <c r="Q1030" s="97"/>
      <c r="R1030" s="97"/>
      <c r="S1030" s="97"/>
      <c r="T1030" s="97"/>
      <c r="U1030" s="25"/>
      <c r="V1030" s="25"/>
      <c r="W1030" s="25"/>
      <c r="X1030" s="25"/>
      <c r="Y1030" s="25"/>
      <c r="Z1030" s="25"/>
    </row>
    <row r="1031" spans="1:26" x14ac:dyDescent="0.35">
      <c r="A1031" s="97"/>
      <c r="B1031" s="97"/>
      <c r="C1031" s="97"/>
      <c r="D1031" s="97"/>
      <c r="E1031" s="97"/>
      <c r="F1031" s="97"/>
      <c r="G1031" s="97"/>
      <c r="H1031" s="97"/>
      <c r="I1031" s="97"/>
      <c r="J1031" s="97"/>
      <c r="K1031" s="97"/>
      <c r="L1031" s="97"/>
      <c r="M1031" s="97"/>
      <c r="N1031" s="97"/>
      <c r="O1031" s="97"/>
      <c r="P1031" s="97"/>
      <c r="Q1031" s="97"/>
      <c r="R1031" s="97"/>
      <c r="S1031" s="97"/>
      <c r="T1031" s="97"/>
      <c r="U1031" s="25"/>
      <c r="V1031" s="25"/>
      <c r="W1031" s="25"/>
      <c r="X1031" s="25"/>
      <c r="Y1031" s="25"/>
      <c r="Z1031" s="25"/>
    </row>
    <row r="1032" spans="1:26" x14ac:dyDescent="0.35">
      <c r="A1032" s="97"/>
      <c r="B1032" s="97"/>
      <c r="C1032" s="97"/>
      <c r="D1032" s="97"/>
      <c r="E1032" s="97"/>
      <c r="F1032" s="97"/>
      <c r="G1032" s="97"/>
      <c r="H1032" s="97"/>
      <c r="I1032" s="97"/>
      <c r="J1032" s="97"/>
      <c r="K1032" s="97"/>
      <c r="L1032" s="97"/>
      <c r="M1032" s="97"/>
      <c r="N1032" s="97"/>
      <c r="O1032" s="97"/>
      <c r="P1032" s="97"/>
      <c r="Q1032" s="97"/>
      <c r="R1032" s="97"/>
      <c r="S1032" s="97"/>
      <c r="T1032" s="97"/>
      <c r="U1032" s="25"/>
      <c r="V1032" s="25"/>
      <c r="W1032" s="25"/>
      <c r="X1032" s="25"/>
      <c r="Y1032" s="25"/>
      <c r="Z1032" s="25"/>
    </row>
    <row r="1033" spans="1:26" x14ac:dyDescent="0.35">
      <c r="A1033" s="97"/>
      <c r="B1033" s="97"/>
      <c r="C1033" s="97"/>
      <c r="D1033" s="97"/>
      <c r="E1033" s="97"/>
      <c r="F1033" s="97"/>
      <c r="G1033" s="97"/>
      <c r="H1033" s="97"/>
      <c r="I1033" s="97"/>
      <c r="J1033" s="97"/>
      <c r="K1033" s="97"/>
      <c r="L1033" s="97"/>
      <c r="M1033" s="97"/>
      <c r="N1033" s="97"/>
      <c r="O1033" s="97"/>
      <c r="P1033" s="97"/>
      <c r="Q1033" s="97"/>
      <c r="R1033" s="97"/>
      <c r="S1033" s="97"/>
      <c r="T1033" s="97"/>
      <c r="U1033" s="25"/>
      <c r="V1033" s="25"/>
      <c r="W1033" s="25"/>
      <c r="X1033" s="25"/>
      <c r="Y1033" s="25"/>
      <c r="Z1033" s="25"/>
    </row>
    <row r="1034" spans="1:26" x14ac:dyDescent="0.35">
      <c r="A1034" s="97"/>
      <c r="B1034" s="97"/>
      <c r="C1034" s="97"/>
      <c r="D1034" s="97"/>
      <c r="E1034" s="97"/>
      <c r="F1034" s="97"/>
      <c r="G1034" s="97"/>
      <c r="H1034" s="97"/>
      <c r="I1034" s="97"/>
      <c r="J1034" s="97"/>
      <c r="K1034" s="97"/>
      <c r="L1034" s="97"/>
      <c r="M1034" s="97"/>
      <c r="N1034" s="97"/>
      <c r="O1034" s="97"/>
      <c r="P1034" s="97"/>
      <c r="Q1034" s="97"/>
      <c r="R1034" s="97"/>
      <c r="S1034" s="97"/>
      <c r="T1034" s="97"/>
      <c r="U1034" s="25"/>
      <c r="V1034" s="25"/>
      <c r="W1034" s="25"/>
      <c r="X1034" s="25"/>
      <c r="Y1034" s="25"/>
      <c r="Z1034" s="25"/>
    </row>
    <row r="1035" spans="1:26" x14ac:dyDescent="0.35">
      <c r="A1035" s="97"/>
      <c r="B1035" s="97"/>
      <c r="C1035" s="97"/>
      <c r="D1035" s="97"/>
      <c r="E1035" s="97"/>
      <c r="F1035" s="97"/>
      <c r="G1035" s="97"/>
      <c r="H1035" s="97"/>
      <c r="I1035" s="97"/>
      <c r="J1035" s="97"/>
      <c r="K1035" s="97"/>
      <c r="L1035" s="97"/>
      <c r="M1035" s="97"/>
      <c r="N1035" s="97"/>
      <c r="O1035" s="97"/>
      <c r="P1035" s="97"/>
      <c r="Q1035" s="97"/>
      <c r="R1035" s="97"/>
      <c r="S1035" s="97"/>
      <c r="T1035" s="97"/>
      <c r="U1035" s="25"/>
      <c r="V1035" s="25"/>
      <c r="W1035" s="25"/>
      <c r="X1035" s="25"/>
      <c r="Y1035" s="25"/>
      <c r="Z1035" s="25"/>
    </row>
    <row r="1036" spans="1:26" x14ac:dyDescent="0.35">
      <c r="A1036" s="97"/>
      <c r="B1036" s="97"/>
      <c r="C1036" s="97"/>
      <c r="D1036" s="97"/>
      <c r="E1036" s="97"/>
      <c r="F1036" s="97"/>
      <c r="G1036" s="97"/>
      <c r="H1036" s="97"/>
      <c r="I1036" s="97"/>
      <c r="J1036" s="97"/>
      <c r="K1036" s="97"/>
      <c r="L1036" s="97"/>
      <c r="M1036" s="97"/>
      <c r="N1036" s="97"/>
      <c r="O1036" s="97"/>
      <c r="P1036" s="97"/>
      <c r="Q1036" s="97"/>
      <c r="R1036" s="97"/>
      <c r="S1036" s="97"/>
      <c r="T1036" s="97"/>
      <c r="U1036" s="25"/>
      <c r="V1036" s="25"/>
      <c r="W1036" s="25"/>
      <c r="X1036" s="25"/>
      <c r="Y1036" s="25"/>
      <c r="Z1036" s="25"/>
    </row>
    <row r="1037" spans="1:26" x14ac:dyDescent="0.35">
      <c r="A1037" s="97"/>
      <c r="B1037" s="97"/>
      <c r="C1037" s="97"/>
      <c r="D1037" s="97"/>
      <c r="E1037" s="97"/>
      <c r="F1037" s="97"/>
      <c r="G1037" s="97"/>
      <c r="H1037" s="97"/>
      <c r="I1037" s="97"/>
      <c r="J1037" s="97"/>
      <c r="K1037" s="97"/>
      <c r="L1037" s="97"/>
      <c r="M1037" s="97"/>
      <c r="N1037" s="97"/>
      <c r="O1037" s="97"/>
      <c r="P1037" s="97"/>
      <c r="Q1037" s="97"/>
      <c r="R1037" s="97"/>
      <c r="S1037" s="97"/>
      <c r="T1037" s="97"/>
      <c r="U1037" s="25"/>
      <c r="V1037" s="25"/>
      <c r="W1037" s="25"/>
      <c r="X1037" s="25"/>
      <c r="Y1037" s="25"/>
      <c r="Z1037" s="25"/>
    </row>
    <row r="1038" spans="1:26" x14ac:dyDescent="0.35">
      <c r="A1038" s="97"/>
      <c r="B1038" s="97"/>
      <c r="C1038" s="97"/>
      <c r="D1038" s="97"/>
      <c r="E1038" s="97"/>
      <c r="F1038" s="97"/>
      <c r="G1038" s="97"/>
      <c r="H1038" s="97"/>
      <c r="I1038" s="97"/>
      <c r="J1038" s="97"/>
      <c r="K1038" s="97"/>
      <c r="L1038" s="97"/>
      <c r="M1038" s="97"/>
      <c r="N1038" s="97"/>
      <c r="O1038" s="97"/>
      <c r="P1038" s="97"/>
      <c r="Q1038" s="97"/>
      <c r="R1038" s="97"/>
      <c r="S1038" s="97"/>
      <c r="T1038" s="97"/>
      <c r="U1038" s="25"/>
      <c r="V1038" s="25"/>
      <c r="W1038" s="25"/>
      <c r="X1038" s="25"/>
      <c r="Y1038" s="25"/>
      <c r="Z1038" s="25"/>
    </row>
    <row r="1039" spans="1:26" x14ac:dyDescent="0.35">
      <c r="A1039" s="97"/>
      <c r="B1039" s="97"/>
      <c r="C1039" s="97"/>
      <c r="D1039" s="97"/>
      <c r="E1039" s="97"/>
      <c r="F1039" s="97"/>
      <c r="G1039" s="97"/>
      <c r="H1039" s="97"/>
      <c r="I1039" s="97"/>
      <c r="J1039" s="97"/>
      <c r="K1039" s="97"/>
      <c r="L1039" s="97"/>
      <c r="M1039" s="97"/>
      <c r="N1039" s="97"/>
      <c r="O1039" s="97"/>
      <c r="P1039" s="97"/>
      <c r="Q1039" s="97"/>
      <c r="R1039" s="97"/>
      <c r="S1039" s="97"/>
      <c r="T1039" s="97"/>
      <c r="U1039" s="25"/>
      <c r="V1039" s="25"/>
      <c r="W1039" s="25"/>
      <c r="X1039" s="25"/>
      <c r="Y1039" s="25"/>
      <c r="Z1039" s="25"/>
    </row>
    <row r="1040" spans="1:26" x14ac:dyDescent="0.35">
      <c r="A1040" s="97"/>
      <c r="B1040" s="97"/>
      <c r="C1040" s="97"/>
      <c r="D1040" s="97"/>
      <c r="E1040" s="97"/>
      <c r="F1040" s="97"/>
      <c r="G1040" s="97"/>
      <c r="H1040" s="97"/>
      <c r="I1040" s="97"/>
      <c r="J1040" s="97"/>
      <c r="K1040" s="97"/>
      <c r="L1040" s="97"/>
      <c r="M1040" s="97"/>
      <c r="N1040" s="97"/>
      <c r="O1040" s="97"/>
      <c r="P1040" s="97"/>
      <c r="Q1040" s="97"/>
      <c r="R1040" s="97"/>
      <c r="S1040" s="97"/>
      <c r="T1040" s="97"/>
      <c r="U1040" s="25"/>
      <c r="V1040" s="25"/>
      <c r="W1040" s="25"/>
      <c r="X1040" s="25"/>
      <c r="Y1040" s="25"/>
      <c r="Z1040" s="25"/>
    </row>
    <row r="1041" spans="1:26" x14ac:dyDescent="0.35">
      <c r="A1041" s="97"/>
      <c r="B1041" s="97"/>
      <c r="C1041" s="97"/>
      <c r="D1041" s="97"/>
      <c r="E1041" s="97"/>
      <c r="F1041" s="97"/>
      <c r="G1041" s="97"/>
      <c r="H1041" s="97"/>
      <c r="I1041" s="97"/>
      <c r="J1041" s="97"/>
      <c r="K1041" s="97"/>
      <c r="L1041" s="97"/>
      <c r="M1041" s="97"/>
      <c r="N1041" s="97"/>
      <c r="O1041" s="97"/>
      <c r="P1041" s="97"/>
      <c r="Q1041" s="97"/>
      <c r="R1041" s="97"/>
      <c r="S1041" s="97"/>
      <c r="T1041" s="97"/>
      <c r="U1041" s="25"/>
      <c r="V1041" s="25"/>
      <c r="W1041" s="25"/>
      <c r="X1041" s="25"/>
      <c r="Y1041" s="25"/>
      <c r="Z1041" s="25"/>
    </row>
    <row r="1042" spans="1:26" x14ac:dyDescent="0.35">
      <c r="A1042" s="97"/>
      <c r="B1042" s="97"/>
      <c r="C1042" s="97"/>
      <c r="D1042" s="97"/>
      <c r="E1042" s="97"/>
      <c r="F1042" s="97"/>
      <c r="G1042" s="97"/>
      <c r="H1042" s="97"/>
      <c r="I1042" s="97"/>
      <c r="J1042" s="97"/>
      <c r="K1042" s="97"/>
      <c r="L1042" s="97"/>
      <c r="M1042" s="97"/>
      <c r="N1042" s="97"/>
      <c r="O1042" s="97"/>
      <c r="P1042" s="97"/>
      <c r="Q1042" s="97"/>
      <c r="R1042" s="97"/>
      <c r="S1042" s="97"/>
      <c r="T1042" s="97"/>
      <c r="U1042" s="25"/>
      <c r="V1042" s="25"/>
      <c r="W1042" s="25"/>
      <c r="X1042" s="25"/>
      <c r="Y1042" s="25"/>
      <c r="Z1042" s="25"/>
    </row>
    <row r="1043" spans="1:26" x14ac:dyDescent="0.35">
      <c r="A1043" s="97"/>
      <c r="B1043" s="97"/>
      <c r="C1043" s="97"/>
      <c r="D1043" s="97"/>
      <c r="E1043" s="97"/>
      <c r="F1043" s="97"/>
      <c r="G1043" s="97"/>
      <c r="H1043" s="97"/>
      <c r="I1043" s="97"/>
      <c r="J1043" s="97"/>
      <c r="K1043" s="97"/>
      <c r="L1043" s="97"/>
      <c r="M1043" s="97"/>
      <c r="N1043" s="97"/>
      <c r="O1043" s="97"/>
      <c r="P1043" s="97"/>
      <c r="Q1043" s="97"/>
      <c r="R1043" s="97"/>
      <c r="S1043" s="97"/>
      <c r="T1043" s="97"/>
      <c r="U1043" s="25"/>
      <c r="V1043" s="25"/>
      <c r="W1043" s="25"/>
      <c r="X1043" s="25"/>
      <c r="Y1043" s="25"/>
      <c r="Z1043" s="25"/>
    </row>
    <row r="1044" spans="1:26" x14ac:dyDescent="0.35">
      <c r="A1044" s="97"/>
      <c r="B1044" s="97"/>
      <c r="C1044" s="97"/>
      <c r="D1044" s="97"/>
      <c r="E1044" s="97"/>
      <c r="F1044" s="97"/>
      <c r="G1044" s="97"/>
      <c r="H1044" s="97"/>
      <c r="I1044" s="97"/>
      <c r="J1044" s="97"/>
      <c r="K1044" s="97"/>
      <c r="L1044" s="97"/>
      <c r="M1044" s="97"/>
      <c r="N1044" s="97"/>
      <c r="O1044" s="97"/>
      <c r="P1044" s="97"/>
      <c r="Q1044" s="97"/>
      <c r="R1044" s="97"/>
      <c r="S1044" s="97"/>
      <c r="T1044" s="97"/>
      <c r="U1044" s="25"/>
      <c r="V1044" s="25"/>
      <c r="W1044" s="25"/>
      <c r="X1044" s="25"/>
      <c r="Y1044" s="25"/>
      <c r="Z1044" s="25"/>
    </row>
    <row r="1045" spans="1:26" x14ac:dyDescent="0.35">
      <c r="A1045" s="97"/>
      <c r="B1045" s="97"/>
      <c r="C1045" s="97"/>
      <c r="D1045" s="97"/>
      <c r="E1045" s="97"/>
      <c r="F1045" s="97"/>
      <c r="G1045" s="97"/>
      <c r="H1045" s="97"/>
      <c r="I1045" s="97"/>
      <c r="J1045" s="97"/>
      <c r="K1045" s="97"/>
      <c r="L1045" s="97"/>
      <c r="M1045" s="97"/>
      <c r="N1045" s="97"/>
      <c r="O1045" s="97"/>
      <c r="P1045" s="97"/>
      <c r="Q1045" s="97"/>
      <c r="R1045" s="97"/>
      <c r="S1045" s="97"/>
      <c r="T1045" s="97"/>
      <c r="U1045" s="25"/>
      <c r="V1045" s="25"/>
      <c r="W1045" s="25"/>
      <c r="X1045" s="25"/>
      <c r="Y1045" s="25"/>
      <c r="Z1045" s="25"/>
    </row>
    <row r="1046" spans="1:26" x14ac:dyDescent="0.35">
      <c r="A1046" s="97"/>
      <c r="B1046" s="97"/>
      <c r="C1046" s="97"/>
      <c r="D1046" s="97"/>
      <c r="E1046" s="97"/>
      <c r="F1046" s="97"/>
      <c r="G1046" s="97"/>
      <c r="H1046" s="97"/>
      <c r="I1046" s="97"/>
      <c r="J1046" s="97"/>
      <c r="K1046" s="97"/>
      <c r="L1046" s="97"/>
      <c r="M1046" s="97"/>
      <c r="N1046" s="97"/>
      <c r="O1046" s="97"/>
      <c r="P1046" s="97"/>
      <c r="Q1046" s="97"/>
      <c r="R1046" s="97"/>
      <c r="S1046" s="97"/>
      <c r="T1046" s="97"/>
      <c r="U1046" s="25"/>
      <c r="V1046" s="25"/>
      <c r="W1046" s="25"/>
      <c r="X1046" s="25"/>
      <c r="Y1046" s="25"/>
      <c r="Z1046" s="25"/>
    </row>
    <row r="1047" spans="1:26" x14ac:dyDescent="0.35">
      <c r="A1047" s="97"/>
      <c r="B1047" s="97"/>
      <c r="C1047" s="97"/>
      <c r="D1047" s="97"/>
      <c r="E1047" s="97"/>
      <c r="F1047" s="97"/>
      <c r="G1047" s="97"/>
      <c r="H1047" s="97"/>
      <c r="I1047" s="97"/>
      <c r="J1047" s="97"/>
      <c r="K1047" s="97"/>
      <c r="L1047" s="97"/>
      <c r="M1047" s="97"/>
      <c r="N1047" s="97"/>
      <c r="O1047" s="97"/>
      <c r="P1047" s="97"/>
      <c r="Q1047" s="97"/>
      <c r="R1047" s="97"/>
      <c r="S1047" s="97"/>
      <c r="T1047" s="97"/>
      <c r="U1047" s="25"/>
      <c r="V1047" s="25"/>
      <c r="W1047" s="25"/>
      <c r="X1047" s="25"/>
      <c r="Y1047" s="25"/>
      <c r="Z1047" s="25"/>
    </row>
    <row r="1048" spans="1:26" x14ac:dyDescent="0.35">
      <c r="A1048" s="97"/>
      <c r="B1048" s="97"/>
      <c r="C1048" s="97"/>
      <c r="D1048" s="97"/>
      <c r="E1048" s="97"/>
      <c r="F1048" s="97"/>
      <c r="G1048" s="97"/>
      <c r="H1048" s="97"/>
      <c r="I1048" s="97"/>
      <c r="J1048" s="97"/>
      <c r="K1048" s="97"/>
      <c r="L1048" s="97"/>
      <c r="M1048" s="97"/>
      <c r="N1048" s="97"/>
      <c r="O1048" s="97"/>
      <c r="P1048" s="97"/>
      <c r="Q1048" s="97"/>
      <c r="R1048" s="97"/>
      <c r="S1048" s="97"/>
      <c r="T1048" s="97"/>
      <c r="U1048" s="25"/>
      <c r="V1048" s="25"/>
      <c r="W1048" s="25"/>
      <c r="X1048" s="25"/>
      <c r="Y1048" s="25"/>
      <c r="Z1048" s="25"/>
    </row>
    <row r="1049" spans="1:26" x14ac:dyDescent="0.35">
      <c r="A1049" s="97"/>
      <c r="B1049" s="97"/>
      <c r="C1049" s="97"/>
      <c r="D1049" s="97"/>
      <c r="E1049" s="97"/>
      <c r="F1049" s="97"/>
      <c r="G1049" s="97"/>
      <c r="H1049" s="97"/>
      <c r="I1049" s="97"/>
      <c r="J1049" s="97"/>
      <c r="K1049" s="97"/>
      <c r="L1049" s="97"/>
      <c r="M1049" s="97"/>
      <c r="N1049" s="97"/>
      <c r="O1049" s="97"/>
      <c r="P1049" s="97"/>
      <c r="Q1049" s="97"/>
      <c r="R1049" s="97"/>
      <c r="S1049" s="97"/>
      <c r="T1049" s="97"/>
      <c r="U1049" s="25"/>
      <c r="V1049" s="25"/>
      <c r="W1049" s="25"/>
      <c r="X1049" s="25"/>
      <c r="Y1049" s="25"/>
      <c r="Z1049" s="25"/>
    </row>
    <row r="1050" spans="1:26" x14ac:dyDescent="0.35">
      <c r="A1050" s="97"/>
      <c r="B1050" s="97"/>
      <c r="C1050" s="97"/>
      <c r="D1050" s="97"/>
      <c r="E1050" s="97"/>
      <c r="F1050" s="97"/>
      <c r="G1050" s="97"/>
      <c r="H1050" s="97"/>
      <c r="I1050" s="97"/>
      <c r="J1050" s="97"/>
      <c r="K1050" s="97"/>
      <c r="L1050" s="97"/>
      <c r="M1050" s="97"/>
      <c r="N1050" s="97"/>
      <c r="O1050" s="97"/>
      <c r="P1050" s="97"/>
      <c r="Q1050" s="97"/>
      <c r="R1050" s="97"/>
      <c r="S1050" s="97"/>
      <c r="T1050" s="97"/>
      <c r="U1050" s="25"/>
      <c r="V1050" s="25"/>
      <c r="W1050" s="25"/>
      <c r="X1050" s="25"/>
      <c r="Y1050" s="25"/>
      <c r="Z1050" s="25"/>
    </row>
    <row r="1051" spans="1:26" x14ac:dyDescent="0.35">
      <c r="A1051" s="97"/>
      <c r="B1051" s="97"/>
      <c r="C1051" s="97"/>
      <c r="D1051" s="97"/>
      <c r="E1051" s="97"/>
      <c r="F1051" s="97"/>
      <c r="G1051" s="97"/>
      <c r="H1051" s="97"/>
      <c r="I1051" s="97"/>
      <c r="J1051" s="97"/>
      <c r="K1051" s="97"/>
      <c r="L1051" s="97"/>
      <c r="M1051" s="97"/>
      <c r="N1051" s="97"/>
      <c r="O1051" s="97"/>
      <c r="P1051" s="97"/>
      <c r="Q1051" s="97"/>
      <c r="R1051" s="97"/>
      <c r="S1051" s="97"/>
      <c r="T1051" s="97"/>
      <c r="U1051" s="25"/>
      <c r="V1051" s="25"/>
      <c r="W1051" s="25"/>
      <c r="X1051" s="25"/>
      <c r="Y1051" s="25"/>
      <c r="Z1051" s="25"/>
    </row>
    <row r="1052" spans="1:26" x14ac:dyDescent="0.35">
      <c r="A1052" s="97"/>
      <c r="B1052" s="97"/>
      <c r="C1052" s="97"/>
      <c r="D1052" s="97"/>
      <c r="E1052" s="97"/>
      <c r="F1052" s="97"/>
      <c r="G1052" s="97"/>
      <c r="H1052" s="97"/>
      <c r="I1052" s="97"/>
      <c r="J1052" s="97"/>
      <c r="K1052" s="97"/>
      <c r="L1052" s="97"/>
      <c r="M1052" s="97"/>
      <c r="N1052" s="97"/>
      <c r="O1052" s="97"/>
      <c r="P1052" s="97"/>
      <c r="Q1052" s="97"/>
      <c r="R1052" s="97"/>
      <c r="S1052" s="97"/>
      <c r="T1052" s="97"/>
      <c r="U1052" s="25"/>
      <c r="V1052" s="25"/>
      <c r="W1052" s="25"/>
      <c r="X1052" s="25"/>
      <c r="Y1052" s="25"/>
      <c r="Z1052" s="25"/>
    </row>
    <row r="1053" spans="1:26" x14ac:dyDescent="0.35">
      <c r="A1053" s="97"/>
      <c r="B1053" s="97"/>
      <c r="C1053" s="97"/>
      <c r="D1053" s="97"/>
      <c r="E1053" s="97"/>
      <c r="F1053" s="97"/>
      <c r="G1053" s="97"/>
      <c r="H1053" s="97"/>
      <c r="I1053" s="97"/>
      <c r="J1053" s="97"/>
      <c r="K1053" s="97"/>
      <c r="L1053" s="97"/>
      <c r="M1053" s="97"/>
      <c r="N1053" s="97"/>
      <c r="O1053" s="97"/>
      <c r="P1053" s="97"/>
      <c r="Q1053" s="97"/>
      <c r="R1053" s="97"/>
      <c r="S1053" s="97"/>
      <c r="T1053" s="97"/>
      <c r="U1053" s="25"/>
      <c r="V1053" s="25"/>
      <c r="W1053" s="25"/>
      <c r="X1053" s="25"/>
      <c r="Y1053" s="25"/>
      <c r="Z1053" s="25"/>
    </row>
    <row r="1054" spans="1:26" x14ac:dyDescent="0.35">
      <c r="A1054" s="97"/>
      <c r="B1054" s="97"/>
      <c r="C1054" s="97"/>
      <c r="D1054" s="97"/>
      <c r="E1054" s="97"/>
      <c r="F1054" s="97"/>
      <c r="G1054" s="97"/>
      <c r="H1054" s="97"/>
      <c r="I1054" s="97"/>
      <c r="J1054" s="97"/>
      <c r="K1054" s="97"/>
      <c r="L1054" s="97"/>
      <c r="M1054" s="97"/>
      <c r="N1054" s="97"/>
      <c r="O1054" s="97"/>
      <c r="P1054" s="97"/>
      <c r="Q1054" s="97"/>
      <c r="R1054" s="97"/>
      <c r="S1054" s="97"/>
      <c r="T1054" s="97"/>
      <c r="U1054" s="25"/>
      <c r="V1054" s="25"/>
      <c r="W1054" s="25"/>
      <c r="X1054" s="25"/>
      <c r="Y1054" s="25"/>
      <c r="Z1054" s="25"/>
    </row>
    <row r="1055" spans="1:26" x14ac:dyDescent="0.35">
      <c r="A1055" s="97"/>
      <c r="B1055" s="97"/>
      <c r="C1055" s="97"/>
      <c r="D1055" s="97"/>
      <c r="E1055" s="97"/>
      <c r="F1055" s="97"/>
      <c r="G1055" s="97"/>
      <c r="H1055" s="97"/>
      <c r="I1055" s="97"/>
      <c r="J1055" s="97"/>
      <c r="K1055" s="97"/>
      <c r="L1055" s="97"/>
      <c r="M1055" s="97"/>
      <c r="N1055" s="97"/>
      <c r="O1055" s="97"/>
      <c r="P1055" s="97"/>
      <c r="Q1055" s="97"/>
      <c r="R1055" s="97"/>
      <c r="S1055" s="97"/>
      <c r="T1055" s="97"/>
      <c r="U1055" s="25"/>
      <c r="V1055" s="25"/>
      <c r="W1055" s="25"/>
      <c r="X1055" s="25"/>
      <c r="Y1055" s="25"/>
      <c r="Z1055" s="25"/>
    </row>
    <row r="1056" spans="1:26" x14ac:dyDescent="0.35">
      <c r="A1056" s="97"/>
      <c r="B1056" s="97"/>
      <c r="C1056" s="97"/>
      <c r="D1056" s="97"/>
      <c r="E1056" s="97"/>
      <c r="F1056" s="97"/>
      <c r="G1056" s="97"/>
      <c r="H1056" s="97"/>
      <c r="I1056" s="97"/>
      <c r="J1056" s="97"/>
      <c r="K1056" s="97"/>
      <c r="L1056" s="97"/>
      <c r="M1056" s="97"/>
      <c r="N1056" s="97"/>
      <c r="O1056" s="97"/>
      <c r="P1056" s="97"/>
      <c r="Q1056" s="97"/>
      <c r="R1056" s="97"/>
      <c r="S1056" s="97"/>
      <c r="T1056" s="97"/>
      <c r="U1056" s="25"/>
      <c r="V1056" s="25"/>
      <c r="W1056" s="25"/>
      <c r="X1056" s="25"/>
      <c r="Y1056" s="25"/>
      <c r="Z1056" s="25"/>
    </row>
    <row r="1057" spans="1:26" x14ac:dyDescent="0.35">
      <c r="A1057" s="97"/>
      <c r="B1057" s="97"/>
      <c r="C1057" s="97"/>
      <c r="D1057" s="97"/>
      <c r="E1057" s="97"/>
      <c r="F1057" s="97"/>
      <c r="G1057" s="97"/>
      <c r="H1057" s="97"/>
      <c r="I1057" s="97"/>
      <c r="J1057" s="97"/>
      <c r="K1057" s="97"/>
      <c r="L1057" s="97"/>
      <c r="M1057" s="97"/>
      <c r="N1057" s="97"/>
      <c r="O1057" s="97"/>
      <c r="P1057" s="97"/>
      <c r="Q1057" s="97"/>
      <c r="R1057" s="97"/>
      <c r="S1057" s="97"/>
      <c r="T1057" s="97"/>
      <c r="U1057" s="25"/>
      <c r="V1057" s="25"/>
      <c r="W1057" s="25"/>
      <c r="X1057" s="25"/>
      <c r="Y1057" s="25"/>
      <c r="Z1057" s="25"/>
    </row>
    <row r="1058" spans="1:26" x14ac:dyDescent="0.35">
      <c r="A1058" s="97"/>
      <c r="B1058" s="97"/>
      <c r="C1058" s="97"/>
      <c r="D1058" s="97"/>
      <c r="E1058" s="97"/>
      <c r="F1058" s="97"/>
      <c r="G1058" s="97"/>
      <c r="H1058" s="97"/>
      <c r="I1058" s="97"/>
      <c r="J1058" s="97"/>
      <c r="K1058" s="97"/>
      <c r="L1058" s="97"/>
      <c r="M1058" s="97"/>
      <c r="N1058" s="97"/>
      <c r="O1058" s="97"/>
      <c r="P1058" s="97"/>
      <c r="Q1058" s="97"/>
      <c r="R1058" s="97"/>
      <c r="S1058" s="97"/>
      <c r="T1058" s="97"/>
      <c r="U1058" s="25"/>
      <c r="V1058" s="25"/>
      <c r="W1058" s="25"/>
      <c r="X1058" s="25"/>
      <c r="Y1058" s="25"/>
      <c r="Z1058" s="25"/>
    </row>
    <row r="1059" spans="1:26" x14ac:dyDescent="0.35">
      <c r="A1059" s="97"/>
      <c r="B1059" s="97"/>
      <c r="C1059" s="97"/>
      <c r="D1059" s="97"/>
      <c r="E1059" s="97"/>
      <c r="F1059" s="97"/>
      <c r="G1059" s="97"/>
      <c r="H1059" s="97"/>
      <c r="I1059" s="97"/>
      <c r="J1059" s="97"/>
      <c r="K1059" s="97"/>
      <c r="L1059" s="97"/>
      <c r="M1059" s="97"/>
      <c r="N1059" s="97"/>
      <c r="O1059" s="97"/>
      <c r="P1059" s="97"/>
      <c r="Q1059" s="97"/>
      <c r="R1059" s="97"/>
      <c r="S1059" s="97"/>
      <c r="T1059" s="97"/>
      <c r="U1059" s="25"/>
      <c r="V1059" s="25"/>
      <c r="W1059" s="25"/>
      <c r="X1059" s="25"/>
      <c r="Y1059" s="25"/>
      <c r="Z1059" s="25"/>
    </row>
    <row r="1060" spans="1:26" x14ac:dyDescent="0.35">
      <c r="A1060" s="97"/>
      <c r="B1060" s="97"/>
      <c r="C1060" s="97"/>
      <c r="D1060" s="97"/>
      <c r="E1060" s="97"/>
      <c r="F1060" s="97"/>
      <c r="G1060" s="97"/>
      <c r="H1060" s="97"/>
      <c r="I1060" s="97"/>
      <c r="J1060" s="97"/>
      <c r="K1060" s="97"/>
      <c r="L1060" s="97"/>
      <c r="M1060" s="97"/>
      <c r="N1060" s="97"/>
      <c r="O1060" s="97"/>
      <c r="P1060" s="97"/>
      <c r="Q1060" s="97"/>
      <c r="R1060" s="97"/>
      <c r="S1060" s="97"/>
      <c r="T1060" s="97"/>
      <c r="U1060" s="25"/>
      <c r="V1060" s="25"/>
      <c r="W1060" s="25"/>
      <c r="X1060" s="25"/>
      <c r="Y1060" s="25"/>
      <c r="Z1060" s="25"/>
    </row>
    <row r="1061" spans="1:26" x14ac:dyDescent="0.35">
      <c r="A1061" s="97"/>
      <c r="B1061" s="97"/>
      <c r="C1061" s="97"/>
      <c r="D1061" s="97"/>
      <c r="E1061" s="97"/>
      <c r="F1061" s="97"/>
      <c r="G1061" s="97"/>
      <c r="H1061" s="97"/>
      <c r="I1061" s="97"/>
      <c r="J1061" s="97"/>
      <c r="K1061" s="97"/>
      <c r="L1061" s="97"/>
      <c r="M1061" s="97"/>
      <c r="N1061" s="97"/>
      <c r="O1061" s="97"/>
      <c r="P1061" s="97"/>
      <c r="Q1061" s="97"/>
      <c r="R1061" s="97"/>
      <c r="S1061" s="97"/>
      <c r="T1061" s="97"/>
      <c r="U1061" s="25"/>
      <c r="V1061" s="25"/>
      <c r="W1061" s="25"/>
      <c r="X1061" s="25"/>
      <c r="Y1061" s="25"/>
      <c r="Z1061" s="25"/>
    </row>
    <row r="1062" spans="1:26" x14ac:dyDescent="0.35">
      <c r="A1062" s="97"/>
      <c r="B1062" s="97"/>
      <c r="C1062" s="97"/>
      <c r="D1062" s="97"/>
      <c r="E1062" s="97"/>
      <c r="F1062" s="97"/>
      <c r="G1062" s="97"/>
      <c r="H1062" s="97"/>
      <c r="I1062" s="97"/>
      <c r="J1062" s="97"/>
      <c r="K1062" s="97"/>
      <c r="L1062" s="97"/>
      <c r="M1062" s="97"/>
      <c r="N1062" s="97"/>
      <c r="O1062" s="97"/>
      <c r="P1062" s="97"/>
      <c r="Q1062" s="97"/>
      <c r="R1062" s="97"/>
      <c r="S1062" s="97"/>
      <c r="T1062" s="97"/>
      <c r="U1062" s="25"/>
      <c r="V1062" s="25"/>
      <c r="W1062" s="25"/>
      <c r="X1062" s="25"/>
      <c r="Y1062" s="25"/>
      <c r="Z1062" s="25"/>
    </row>
    <row r="1063" spans="1:26" x14ac:dyDescent="0.35">
      <c r="A1063" s="26"/>
      <c r="B1063" s="26"/>
      <c r="C1063" s="26"/>
      <c r="D1063" s="26"/>
      <c r="E1063" s="26"/>
      <c r="F1063" s="26"/>
      <c r="G1063" s="26"/>
      <c r="H1063" s="26"/>
      <c r="I1063" s="26"/>
      <c r="J1063" s="26"/>
      <c r="K1063" s="26"/>
      <c r="L1063" s="26"/>
      <c r="M1063" s="26"/>
      <c r="N1063" s="26"/>
      <c r="O1063" s="26"/>
      <c r="P1063" s="26"/>
      <c r="Q1063" s="26"/>
      <c r="R1063" s="26"/>
      <c r="S1063" s="97"/>
      <c r="T1063" s="97"/>
      <c r="U1063" s="25"/>
      <c r="V1063" s="25"/>
      <c r="W1063" s="25"/>
      <c r="X1063" s="25"/>
      <c r="Y1063" s="25"/>
      <c r="Z1063" s="25"/>
    </row>
    <row r="1064" spans="1:26" x14ac:dyDescent="0.35">
      <c r="A1064" s="26"/>
      <c r="B1064" s="26"/>
      <c r="C1064" s="26"/>
      <c r="D1064" s="26"/>
      <c r="E1064" s="26"/>
      <c r="F1064" s="26"/>
      <c r="G1064" s="26"/>
      <c r="H1064" s="26"/>
      <c r="I1064" s="26"/>
      <c r="J1064" s="26"/>
      <c r="K1064" s="26"/>
      <c r="L1064" s="26"/>
      <c r="M1064" s="26"/>
      <c r="N1064" s="26"/>
      <c r="O1064" s="26"/>
      <c r="P1064" s="26"/>
      <c r="Q1064" s="26"/>
      <c r="R1064" s="26"/>
      <c r="S1064" s="97"/>
      <c r="T1064" s="97"/>
      <c r="U1064" s="25"/>
      <c r="V1064" s="25"/>
      <c r="W1064" s="25"/>
      <c r="X1064" s="25"/>
      <c r="Y1064" s="25"/>
      <c r="Z1064" s="25"/>
    </row>
    <row r="1065" spans="1:26" x14ac:dyDescent="0.35">
      <c r="A1065" s="26"/>
      <c r="B1065" s="26"/>
      <c r="C1065" s="26"/>
      <c r="D1065" s="26"/>
      <c r="E1065" s="26"/>
      <c r="F1065" s="26"/>
      <c r="G1065" s="26"/>
      <c r="H1065" s="26"/>
      <c r="I1065" s="26"/>
      <c r="J1065" s="26"/>
      <c r="K1065" s="26"/>
      <c r="L1065" s="26"/>
      <c r="M1065" s="26"/>
      <c r="N1065" s="26"/>
      <c r="O1065" s="26"/>
      <c r="P1065" s="26"/>
      <c r="Q1065" s="26"/>
      <c r="R1065" s="26"/>
      <c r="S1065" s="97"/>
      <c r="T1065" s="97"/>
      <c r="U1065" s="25"/>
      <c r="V1065" s="25"/>
      <c r="W1065" s="25"/>
      <c r="X1065" s="25"/>
      <c r="Y1065" s="25"/>
      <c r="Z1065" s="25"/>
    </row>
    <row r="1066" spans="1:26" x14ac:dyDescent="0.35">
      <c r="A1066" s="26"/>
      <c r="B1066" s="26"/>
      <c r="C1066" s="26"/>
      <c r="D1066" s="26"/>
      <c r="E1066" s="26"/>
      <c r="F1066" s="26"/>
      <c r="G1066" s="26"/>
      <c r="H1066" s="26"/>
      <c r="I1066" s="26"/>
      <c r="J1066" s="26"/>
      <c r="K1066" s="26"/>
      <c r="L1066" s="26"/>
      <c r="M1066" s="26"/>
      <c r="N1066" s="26"/>
      <c r="O1066" s="26"/>
      <c r="P1066" s="26"/>
      <c r="Q1066" s="26"/>
      <c r="R1066" s="26"/>
      <c r="S1066" s="97"/>
      <c r="T1066" s="97"/>
      <c r="U1066" s="25"/>
      <c r="V1066" s="25"/>
      <c r="W1066" s="25"/>
      <c r="X1066" s="25"/>
      <c r="Y1066" s="25"/>
      <c r="Z1066" s="25"/>
    </row>
    <row r="1067" spans="1:26" x14ac:dyDescent="0.35">
      <c r="A1067" s="26"/>
      <c r="B1067" s="26"/>
      <c r="C1067" s="26"/>
      <c r="D1067" s="26"/>
      <c r="E1067" s="26"/>
      <c r="F1067" s="26"/>
      <c r="G1067" s="26"/>
      <c r="H1067" s="26"/>
      <c r="I1067" s="26"/>
      <c r="J1067" s="26"/>
      <c r="K1067" s="26"/>
      <c r="L1067" s="26"/>
      <c r="M1067" s="26"/>
      <c r="N1067" s="26"/>
      <c r="O1067" s="26"/>
      <c r="P1067" s="26"/>
      <c r="Q1067" s="26"/>
      <c r="R1067" s="26"/>
      <c r="S1067" s="97"/>
      <c r="T1067" s="97"/>
      <c r="U1067" s="25"/>
      <c r="V1067" s="25"/>
      <c r="W1067" s="25"/>
      <c r="X1067" s="25"/>
      <c r="Y1067" s="25"/>
      <c r="Z1067" s="25"/>
    </row>
    <row r="1068" spans="1:26" x14ac:dyDescent="0.35">
      <c r="A1068" s="26"/>
      <c r="B1068" s="26"/>
      <c r="C1068" s="26"/>
      <c r="D1068" s="26"/>
      <c r="E1068" s="26"/>
      <c r="F1068" s="26"/>
      <c r="G1068" s="26"/>
      <c r="H1068" s="26"/>
      <c r="I1068" s="26"/>
      <c r="J1068" s="26"/>
      <c r="K1068" s="26"/>
      <c r="L1068" s="26"/>
      <c r="M1068" s="26"/>
      <c r="N1068" s="26"/>
      <c r="O1068" s="26"/>
      <c r="P1068" s="26"/>
      <c r="Q1068" s="26"/>
      <c r="R1068" s="26"/>
      <c r="S1068" s="97"/>
      <c r="T1068" s="97"/>
      <c r="U1068" s="25"/>
      <c r="V1068" s="25"/>
      <c r="W1068" s="25"/>
      <c r="X1068" s="25"/>
      <c r="Y1068" s="25"/>
      <c r="Z1068" s="25"/>
    </row>
    <row r="1069" spans="1:26" x14ac:dyDescent="0.35">
      <c r="A1069" s="26"/>
      <c r="B1069" s="26"/>
      <c r="C1069" s="26"/>
      <c r="D1069" s="26"/>
      <c r="E1069" s="26"/>
      <c r="F1069" s="26"/>
      <c r="G1069" s="26"/>
      <c r="H1069" s="26"/>
      <c r="I1069" s="26"/>
      <c r="J1069" s="26"/>
      <c r="K1069" s="26"/>
      <c r="L1069" s="26"/>
      <c r="M1069" s="26"/>
      <c r="N1069" s="26"/>
      <c r="O1069" s="26"/>
      <c r="P1069" s="26"/>
      <c r="Q1069" s="26"/>
      <c r="R1069" s="26"/>
      <c r="S1069" s="97"/>
      <c r="T1069" s="97"/>
      <c r="U1069" s="25"/>
      <c r="V1069" s="25"/>
      <c r="W1069" s="25"/>
      <c r="X1069" s="25"/>
      <c r="Y1069" s="25"/>
      <c r="Z1069" s="25"/>
    </row>
    <row r="1070" spans="1:26" x14ac:dyDescent="0.35">
      <c r="A1070" s="26"/>
      <c r="B1070" s="26"/>
      <c r="C1070" s="26"/>
      <c r="D1070" s="26"/>
      <c r="E1070" s="26"/>
      <c r="F1070" s="26"/>
      <c r="G1070" s="26"/>
      <c r="H1070" s="26"/>
      <c r="I1070" s="26"/>
      <c r="J1070" s="26"/>
      <c r="K1070" s="26"/>
      <c r="L1070" s="26"/>
      <c r="M1070" s="26"/>
      <c r="N1070" s="26"/>
      <c r="O1070" s="26"/>
      <c r="P1070" s="26"/>
      <c r="Q1070" s="26"/>
      <c r="R1070" s="26"/>
      <c r="S1070" s="97"/>
      <c r="T1070" s="97"/>
      <c r="U1070" s="25"/>
      <c r="V1070" s="25"/>
      <c r="W1070" s="25"/>
      <c r="X1070" s="25"/>
      <c r="Y1070" s="25"/>
      <c r="Z1070" s="25"/>
    </row>
    <row r="1071" spans="1:26" x14ac:dyDescent="0.35">
      <c r="A1071" s="26"/>
      <c r="B1071" s="26"/>
      <c r="C1071" s="26"/>
      <c r="D1071" s="26"/>
      <c r="E1071" s="26"/>
      <c r="F1071" s="26"/>
      <c r="G1071" s="26"/>
      <c r="H1071" s="26"/>
      <c r="I1071" s="26"/>
      <c r="J1071" s="26"/>
      <c r="K1071" s="26"/>
      <c r="L1071" s="26"/>
      <c r="M1071" s="26"/>
      <c r="N1071" s="26"/>
      <c r="O1071" s="26"/>
      <c r="P1071" s="26"/>
      <c r="Q1071" s="26"/>
      <c r="R1071" s="26"/>
      <c r="S1071" s="97"/>
      <c r="T1071" s="97"/>
      <c r="U1071" s="25"/>
      <c r="V1071" s="25"/>
      <c r="W1071" s="25"/>
      <c r="X1071" s="25"/>
      <c r="Y1071" s="25"/>
      <c r="Z1071" s="25"/>
    </row>
    <row r="1072" spans="1:26" x14ac:dyDescent="0.35">
      <c r="A1072" s="26"/>
      <c r="B1072" s="26"/>
      <c r="C1072" s="26"/>
      <c r="D1072" s="26"/>
      <c r="E1072" s="26"/>
      <c r="F1072" s="26"/>
      <c r="G1072" s="26"/>
      <c r="H1072" s="26"/>
      <c r="I1072" s="26"/>
      <c r="J1072" s="26"/>
      <c r="K1072" s="26"/>
      <c r="L1072" s="26"/>
      <c r="M1072" s="26"/>
      <c r="N1072" s="26"/>
      <c r="O1072" s="26"/>
      <c r="P1072" s="26"/>
      <c r="Q1072" s="26"/>
      <c r="R1072" s="26"/>
      <c r="S1072" s="97"/>
      <c r="T1072" s="97"/>
      <c r="U1072" s="25"/>
      <c r="V1072" s="25"/>
      <c r="W1072" s="25"/>
      <c r="X1072" s="25"/>
      <c r="Y1072" s="25"/>
      <c r="Z1072" s="25"/>
    </row>
    <row r="1073" spans="1:26" x14ac:dyDescent="0.35">
      <c r="A1073" s="26"/>
      <c r="B1073" s="26"/>
      <c r="C1073" s="26"/>
      <c r="D1073" s="26"/>
      <c r="E1073" s="26"/>
      <c r="F1073" s="26"/>
      <c r="G1073" s="26"/>
      <c r="H1073" s="26"/>
      <c r="I1073" s="26"/>
      <c r="J1073" s="26"/>
      <c r="K1073" s="26"/>
      <c r="L1073" s="26"/>
      <c r="M1073" s="26"/>
      <c r="N1073" s="26"/>
      <c r="O1073" s="26"/>
      <c r="P1073" s="26"/>
      <c r="Q1073" s="26"/>
      <c r="R1073" s="26"/>
      <c r="S1073" s="97"/>
      <c r="T1073" s="97"/>
      <c r="U1073" s="25"/>
      <c r="V1073" s="25"/>
      <c r="W1073" s="25"/>
      <c r="X1073" s="25"/>
      <c r="Y1073" s="25"/>
      <c r="Z1073" s="25"/>
    </row>
    <row r="1074" spans="1:26" x14ac:dyDescent="0.35">
      <c r="A1074" s="26"/>
      <c r="B1074" s="26"/>
      <c r="C1074" s="26"/>
      <c r="D1074" s="26"/>
      <c r="E1074" s="26"/>
      <c r="F1074" s="26"/>
      <c r="G1074" s="26"/>
      <c r="H1074" s="26"/>
      <c r="I1074" s="26"/>
      <c r="J1074" s="26"/>
      <c r="K1074" s="26"/>
      <c r="L1074" s="26"/>
      <c r="M1074" s="26"/>
      <c r="N1074" s="26"/>
      <c r="O1074" s="26"/>
      <c r="P1074" s="26"/>
      <c r="Q1074" s="26"/>
      <c r="R1074" s="26"/>
      <c r="S1074" s="97"/>
      <c r="T1074" s="97"/>
      <c r="U1074" s="25"/>
      <c r="V1074" s="25"/>
      <c r="W1074" s="25"/>
      <c r="X1074" s="25"/>
      <c r="Y1074" s="25"/>
      <c r="Z1074" s="25"/>
    </row>
    <row r="1075" spans="1:26" x14ac:dyDescent="0.35">
      <c r="A1075" s="26"/>
      <c r="B1075" s="26"/>
      <c r="C1075" s="26"/>
      <c r="D1075" s="26"/>
      <c r="E1075" s="26"/>
      <c r="F1075" s="26"/>
      <c r="G1075" s="26"/>
      <c r="H1075" s="26"/>
      <c r="I1075" s="26"/>
      <c r="J1075" s="26"/>
      <c r="K1075" s="26"/>
      <c r="L1075" s="26"/>
      <c r="M1075" s="26"/>
      <c r="N1075" s="26"/>
      <c r="O1075" s="26"/>
      <c r="P1075" s="26"/>
      <c r="Q1075" s="26"/>
      <c r="R1075" s="26"/>
      <c r="S1075" s="97"/>
      <c r="T1075" s="97"/>
      <c r="U1075" s="25"/>
      <c r="V1075" s="25"/>
      <c r="W1075" s="25"/>
      <c r="X1075" s="25"/>
      <c r="Y1075" s="25"/>
      <c r="Z1075" s="25"/>
    </row>
    <row r="1076" spans="1:26" x14ac:dyDescent="0.35">
      <c r="A1076" s="26"/>
      <c r="B1076" s="26"/>
      <c r="C1076" s="26"/>
      <c r="D1076" s="26"/>
      <c r="E1076" s="26"/>
      <c r="F1076" s="26"/>
      <c r="G1076" s="26"/>
      <c r="H1076" s="26"/>
      <c r="I1076" s="26"/>
      <c r="J1076" s="26"/>
      <c r="K1076" s="26"/>
      <c r="L1076" s="26"/>
      <c r="M1076" s="26"/>
      <c r="N1076" s="26"/>
      <c r="O1076" s="26"/>
      <c r="P1076" s="26"/>
      <c r="Q1076" s="26"/>
      <c r="R1076" s="26"/>
      <c r="S1076" s="97"/>
      <c r="T1076" s="97"/>
      <c r="U1076" s="25"/>
      <c r="V1076" s="25"/>
      <c r="W1076" s="25"/>
      <c r="X1076" s="25"/>
      <c r="Y1076" s="25"/>
      <c r="Z1076" s="25"/>
    </row>
    <row r="1077" spans="1:26" x14ac:dyDescent="0.35">
      <c r="A1077" s="26"/>
      <c r="B1077" s="26"/>
      <c r="C1077" s="26"/>
      <c r="D1077" s="26"/>
      <c r="E1077" s="26"/>
      <c r="F1077" s="26"/>
      <c r="G1077" s="26"/>
      <c r="H1077" s="26"/>
      <c r="I1077" s="26"/>
      <c r="J1077" s="26"/>
      <c r="K1077" s="26"/>
      <c r="L1077" s="26"/>
      <c r="M1077" s="26"/>
      <c r="N1077" s="26"/>
      <c r="O1077" s="26"/>
      <c r="P1077" s="26"/>
      <c r="Q1077" s="26"/>
      <c r="R1077" s="26"/>
      <c r="S1077" s="97"/>
      <c r="T1077" s="97"/>
      <c r="U1077" s="25"/>
      <c r="V1077" s="25"/>
      <c r="W1077" s="25"/>
      <c r="X1077" s="25"/>
      <c r="Y1077" s="25"/>
      <c r="Z1077" s="25"/>
    </row>
    <row r="1078" spans="1:26" x14ac:dyDescent="0.35">
      <c r="A1078" s="26"/>
      <c r="B1078" s="26"/>
      <c r="C1078" s="26"/>
      <c r="D1078" s="26"/>
      <c r="E1078" s="26"/>
      <c r="F1078" s="26"/>
      <c r="G1078" s="26"/>
      <c r="H1078" s="26"/>
      <c r="I1078" s="26"/>
      <c r="J1078" s="26"/>
      <c r="K1078" s="26"/>
      <c r="L1078" s="26"/>
      <c r="M1078" s="26"/>
      <c r="N1078" s="26"/>
      <c r="O1078" s="26"/>
      <c r="P1078" s="26"/>
      <c r="Q1078" s="26"/>
      <c r="R1078" s="26"/>
      <c r="S1078" s="97"/>
      <c r="T1078" s="97"/>
      <c r="U1078" s="25"/>
      <c r="V1078" s="25"/>
      <c r="W1078" s="25"/>
      <c r="X1078" s="25"/>
      <c r="Y1078" s="25"/>
      <c r="Z1078" s="25"/>
    </row>
    <row r="1079" spans="1:26" x14ac:dyDescent="0.35">
      <c r="A1079" s="26"/>
      <c r="B1079" s="26"/>
      <c r="C1079" s="26"/>
      <c r="D1079" s="26"/>
      <c r="E1079" s="26"/>
      <c r="F1079" s="26"/>
      <c r="G1079" s="26"/>
      <c r="H1079" s="26"/>
      <c r="I1079" s="26"/>
      <c r="J1079" s="26"/>
      <c r="K1079" s="26"/>
      <c r="L1079" s="26"/>
      <c r="M1079" s="26"/>
      <c r="N1079" s="26"/>
      <c r="O1079" s="26"/>
      <c r="P1079" s="26"/>
      <c r="Q1079" s="26"/>
      <c r="R1079" s="26"/>
      <c r="S1079" s="97"/>
      <c r="T1079" s="97"/>
      <c r="U1079" s="25"/>
      <c r="V1079" s="25"/>
      <c r="W1079" s="25"/>
      <c r="X1079" s="25"/>
      <c r="Y1079" s="25"/>
      <c r="Z1079" s="25"/>
    </row>
    <row r="1080" spans="1:26" x14ac:dyDescent="0.35">
      <c r="A1080" s="26"/>
      <c r="B1080" s="26"/>
      <c r="C1080" s="26"/>
      <c r="D1080" s="26"/>
      <c r="E1080" s="26"/>
      <c r="F1080" s="26"/>
      <c r="G1080" s="26"/>
      <c r="H1080" s="26"/>
      <c r="I1080" s="26"/>
      <c r="J1080" s="26"/>
      <c r="K1080" s="26"/>
      <c r="L1080" s="26"/>
      <c r="M1080" s="26"/>
      <c r="N1080" s="26"/>
      <c r="O1080" s="26"/>
      <c r="P1080" s="26"/>
      <c r="Q1080" s="26"/>
      <c r="R1080" s="26"/>
      <c r="S1080" s="97"/>
      <c r="T1080" s="97"/>
      <c r="U1080" s="25"/>
      <c r="V1080" s="25"/>
      <c r="W1080" s="25"/>
      <c r="X1080" s="25"/>
      <c r="Y1080" s="25"/>
      <c r="Z1080" s="25"/>
    </row>
    <row r="1081" spans="1:26" x14ac:dyDescent="0.35">
      <c r="A1081" s="26"/>
      <c r="B1081" s="26"/>
      <c r="C1081" s="26"/>
      <c r="D1081" s="26"/>
      <c r="E1081" s="26"/>
      <c r="F1081" s="26"/>
      <c r="G1081" s="26"/>
      <c r="H1081" s="26"/>
      <c r="I1081" s="26"/>
      <c r="J1081" s="26"/>
      <c r="K1081" s="26"/>
      <c r="L1081" s="26"/>
      <c r="M1081" s="26"/>
      <c r="N1081" s="26"/>
      <c r="O1081" s="26"/>
      <c r="P1081" s="26"/>
      <c r="Q1081" s="26"/>
      <c r="R1081" s="26"/>
      <c r="S1081" s="97"/>
      <c r="T1081" s="97"/>
      <c r="U1081" s="25"/>
      <c r="V1081" s="25"/>
      <c r="W1081" s="25"/>
      <c r="X1081" s="25"/>
      <c r="Y1081" s="25"/>
      <c r="Z1081" s="25"/>
    </row>
    <row r="1082" spans="1:26" x14ac:dyDescent="0.35">
      <c r="A1082" s="26"/>
      <c r="B1082" s="26"/>
      <c r="C1082" s="26"/>
      <c r="D1082" s="26"/>
      <c r="E1082" s="26"/>
      <c r="F1082" s="26"/>
      <c r="G1082" s="26"/>
      <c r="H1082" s="26"/>
      <c r="I1082" s="26"/>
      <c r="J1082" s="26"/>
      <c r="K1082" s="26"/>
      <c r="L1082" s="26"/>
      <c r="M1082" s="26"/>
      <c r="N1082" s="26"/>
      <c r="O1082" s="26"/>
      <c r="P1082" s="26"/>
      <c r="Q1082" s="26"/>
      <c r="R1082" s="26"/>
      <c r="S1082" s="97"/>
      <c r="T1082" s="97"/>
      <c r="U1082" s="25"/>
      <c r="V1082" s="25"/>
      <c r="W1082" s="25"/>
      <c r="X1082" s="25"/>
      <c r="Y1082" s="25"/>
      <c r="Z1082" s="25"/>
    </row>
    <row r="1083" spans="1:26" x14ac:dyDescent="0.35">
      <c r="A1083" s="26"/>
      <c r="B1083" s="26"/>
      <c r="C1083" s="26"/>
      <c r="D1083" s="26"/>
      <c r="E1083" s="26"/>
      <c r="F1083" s="26"/>
      <c r="G1083" s="26"/>
      <c r="H1083" s="26"/>
      <c r="I1083" s="26"/>
      <c r="J1083" s="26"/>
      <c r="K1083" s="26"/>
      <c r="L1083" s="26"/>
      <c r="M1083" s="26"/>
      <c r="N1083" s="26"/>
      <c r="O1083" s="26"/>
      <c r="P1083" s="26"/>
      <c r="Q1083" s="26"/>
      <c r="R1083" s="26"/>
      <c r="S1083" s="97"/>
      <c r="T1083" s="97"/>
      <c r="U1083" s="25"/>
      <c r="V1083" s="25"/>
      <c r="W1083" s="25"/>
      <c r="X1083" s="25"/>
      <c r="Y1083" s="25"/>
      <c r="Z1083" s="25"/>
    </row>
    <row r="1084" spans="1:26" x14ac:dyDescent="0.35">
      <c r="A1084" s="26"/>
      <c r="B1084" s="26"/>
      <c r="C1084" s="26"/>
      <c r="D1084" s="26"/>
      <c r="E1084" s="26"/>
      <c r="F1084" s="26"/>
      <c r="G1084" s="26"/>
      <c r="H1084" s="26"/>
      <c r="I1084" s="26"/>
      <c r="J1084" s="26"/>
      <c r="K1084" s="26"/>
      <c r="L1084" s="26"/>
      <c r="M1084" s="26"/>
      <c r="N1084" s="26"/>
      <c r="O1084" s="26"/>
      <c r="P1084" s="26"/>
      <c r="Q1084" s="26"/>
      <c r="R1084" s="26"/>
      <c r="S1084" s="97"/>
      <c r="T1084" s="97"/>
      <c r="U1084" s="25"/>
      <c r="V1084" s="25"/>
      <c r="W1084" s="25"/>
      <c r="X1084" s="25"/>
      <c r="Y1084" s="25"/>
      <c r="Z1084" s="25"/>
    </row>
    <row r="1085" spans="1:26" x14ac:dyDescent="0.35">
      <c r="A1085" s="26"/>
      <c r="B1085" s="26"/>
      <c r="C1085" s="26"/>
      <c r="D1085" s="26"/>
      <c r="E1085" s="26"/>
      <c r="F1085" s="26"/>
      <c r="G1085" s="26"/>
      <c r="H1085" s="26"/>
      <c r="I1085" s="26"/>
      <c r="J1085" s="26"/>
      <c r="K1085" s="26"/>
      <c r="L1085" s="26"/>
      <c r="M1085" s="26"/>
      <c r="N1085" s="26"/>
      <c r="O1085" s="26"/>
      <c r="P1085" s="26"/>
      <c r="Q1085" s="26"/>
      <c r="R1085" s="26"/>
      <c r="S1085" s="97"/>
      <c r="T1085" s="97"/>
      <c r="U1085" s="25"/>
      <c r="V1085" s="25"/>
      <c r="W1085" s="25"/>
      <c r="X1085" s="25"/>
      <c r="Y1085" s="25"/>
      <c r="Z1085" s="25"/>
    </row>
    <row r="1086" spans="1:26" x14ac:dyDescent="0.35">
      <c r="A1086" s="26"/>
      <c r="B1086" s="26"/>
      <c r="C1086" s="26"/>
      <c r="D1086" s="26"/>
      <c r="E1086" s="26"/>
      <c r="F1086" s="26"/>
      <c r="G1086" s="26"/>
      <c r="H1086" s="26"/>
      <c r="I1086" s="26"/>
      <c r="J1086" s="26"/>
      <c r="K1086" s="26"/>
      <c r="L1086" s="26"/>
      <c r="M1086" s="26"/>
      <c r="N1086" s="26"/>
      <c r="O1086" s="26"/>
      <c r="P1086" s="26"/>
      <c r="Q1086" s="26"/>
      <c r="R1086" s="26"/>
      <c r="S1086" s="97"/>
      <c r="T1086" s="97"/>
      <c r="U1086" s="25"/>
      <c r="V1086" s="25"/>
      <c r="W1086" s="25"/>
      <c r="X1086" s="25"/>
      <c r="Y1086" s="25"/>
      <c r="Z1086" s="25"/>
    </row>
    <row r="1087" spans="1:26" x14ac:dyDescent="0.35">
      <c r="A1087" s="26"/>
      <c r="B1087" s="26"/>
      <c r="C1087" s="26"/>
      <c r="D1087" s="26"/>
      <c r="E1087" s="26"/>
      <c r="F1087" s="26"/>
      <c r="G1087" s="26"/>
      <c r="H1087" s="26"/>
      <c r="I1087" s="26"/>
      <c r="J1087" s="26"/>
      <c r="K1087" s="26"/>
      <c r="L1087" s="26"/>
      <c r="M1087" s="26"/>
      <c r="N1087" s="26"/>
      <c r="O1087" s="26"/>
      <c r="P1087" s="26"/>
      <c r="Q1087" s="26"/>
      <c r="R1087" s="26"/>
      <c r="S1087" s="97"/>
      <c r="T1087" s="97"/>
      <c r="U1087" s="25"/>
      <c r="V1087" s="25"/>
      <c r="W1087" s="25"/>
      <c r="X1087" s="25"/>
      <c r="Y1087" s="25"/>
      <c r="Z1087" s="25"/>
    </row>
    <row r="1088" spans="1:26" x14ac:dyDescent="0.35">
      <c r="A1088" s="26"/>
      <c r="B1088" s="26"/>
      <c r="C1088" s="26"/>
      <c r="D1088" s="26"/>
      <c r="E1088" s="26"/>
      <c r="F1088" s="26"/>
      <c r="G1088" s="26"/>
      <c r="H1088" s="26"/>
      <c r="I1088" s="26"/>
      <c r="J1088" s="26"/>
      <c r="K1088" s="26"/>
      <c r="L1088" s="26"/>
      <c r="M1088" s="26"/>
      <c r="N1088" s="26"/>
      <c r="O1088" s="26"/>
      <c r="P1088" s="26"/>
      <c r="Q1088" s="26"/>
      <c r="R1088" s="26"/>
      <c r="S1088" s="97"/>
      <c r="T1088" s="97"/>
      <c r="U1088" s="25"/>
      <c r="V1088" s="25"/>
      <c r="W1088" s="25"/>
      <c r="X1088" s="25"/>
      <c r="Y1088" s="25"/>
      <c r="Z1088" s="25"/>
    </row>
    <row r="1089" spans="1:26" x14ac:dyDescent="0.35">
      <c r="A1089" s="26"/>
      <c r="B1089" s="26"/>
      <c r="C1089" s="26"/>
      <c r="D1089" s="26"/>
      <c r="E1089" s="26"/>
      <c r="F1089" s="26"/>
      <c r="G1089" s="26"/>
      <c r="H1089" s="26"/>
      <c r="I1089" s="26"/>
      <c r="J1089" s="26"/>
      <c r="K1089" s="26"/>
      <c r="L1089" s="26"/>
      <c r="M1089" s="26"/>
      <c r="N1089" s="26"/>
      <c r="O1089" s="26"/>
      <c r="P1089" s="26"/>
      <c r="Q1089" s="26"/>
      <c r="R1089" s="26"/>
      <c r="S1089" s="97"/>
      <c r="T1089" s="97"/>
      <c r="U1089" s="25"/>
      <c r="V1089" s="25"/>
      <c r="W1089" s="25"/>
      <c r="X1089" s="25"/>
      <c r="Y1089" s="25"/>
      <c r="Z1089" s="25"/>
    </row>
    <row r="1090" spans="1:26" x14ac:dyDescent="0.35">
      <c r="A1090" s="26"/>
      <c r="B1090" s="26"/>
      <c r="C1090" s="26"/>
      <c r="D1090" s="26"/>
      <c r="E1090" s="26"/>
      <c r="F1090" s="26"/>
      <c r="G1090" s="26"/>
      <c r="H1090" s="26"/>
      <c r="I1090" s="26"/>
      <c r="J1090" s="26"/>
      <c r="K1090" s="26"/>
      <c r="L1090" s="26"/>
      <c r="M1090" s="26"/>
      <c r="N1090" s="26"/>
      <c r="O1090" s="26"/>
      <c r="P1090" s="26"/>
      <c r="Q1090" s="26"/>
      <c r="R1090" s="26"/>
      <c r="S1090" s="97"/>
      <c r="T1090" s="97"/>
      <c r="U1090" s="25"/>
      <c r="V1090" s="25"/>
      <c r="W1090" s="25"/>
      <c r="X1090" s="25"/>
      <c r="Y1090" s="25"/>
      <c r="Z1090" s="25"/>
    </row>
    <row r="1091" spans="1:26" x14ac:dyDescent="0.35">
      <c r="A1091" s="26"/>
      <c r="B1091" s="26"/>
      <c r="C1091" s="26"/>
      <c r="D1091" s="26"/>
      <c r="E1091" s="26"/>
      <c r="F1091" s="26"/>
      <c r="G1091" s="26"/>
      <c r="H1091" s="26"/>
      <c r="I1091" s="26"/>
      <c r="J1091" s="26"/>
      <c r="K1091" s="26"/>
      <c r="L1091" s="26"/>
      <c r="M1091" s="26"/>
      <c r="N1091" s="26"/>
      <c r="O1091" s="26"/>
      <c r="P1091" s="26"/>
      <c r="Q1091" s="26"/>
      <c r="R1091" s="26"/>
      <c r="S1091" s="97"/>
      <c r="T1091" s="97"/>
      <c r="U1091" s="25"/>
      <c r="V1091" s="25"/>
      <c r="W1091" s="25"/>
      <c r="X1091" s="25"/>
      <c r="Y1091" s="25"/>
      <c r="Z1091" s="25"/>
    </row>
    <row r="1092" spans="1:26" x14ac:dyDescent="0.35">
      <c r="A1092" s="26"/>
      <c r="B1092" s="26"/>
      <c r="C1092" s="26"/>
      <c r="D1092" s="26"/>
      <c r="E1092" s="26"/>
      <c r="F1092" s="26"/>
      <c r="G1092" s="26"/>
      <c r="H1092" s="26"/>
      <c r="I1092" s="26"/>
      <c r="J1092" s="26"/>
      <c r="K1092" s="26"/>
      <c r="L1092" s="26"/>
      <c r="M1092" s="26"/>
      <c r="N1092" s="26"/>
      <c r="O1092" s="26"/>
      <c r="P1092" s="26"/>
      <c r="Q1092" s="26"/>
      <c r="R1092" s="26"/>
      <c r="S1092" s="97"/>
      <c r="T1092" s="97"/>
      <c r="U1092" s="25"/>
      <c r="V1092" s="25"/>
      <c r="W1092" s="25"/>
      <c r="X1092" s="25"/>
      <c r="Y1092" s="25"/>
      <c r="Z1092" s="25"/>
    </row>
    <row r="1093" spans="1:26" x14ac:dyDescent="0.35">
      <c r="A1093" s="26"/>
      <c r="B1093" s="26"/>
      <c r="C1093" s="26"/>
      <c r="D1093" s="26"/>
      <c r="E1093" s="26"/>
      <c r="F1093" s="26"/>
      <c r="G1093" s="26"/>
      <c r="H1093" s="26"/>
      <c r="I1093" s="26"/>
      <c r="J1093" s="26"/>
      <c r="K1093" s="26"/>
      <c r="L1093" s="26"/>
      <c r="M1093" s="26"/>
      <c r="N1093" s="26"/>
      <c r="O1093" s="26"/>
      <c r="P1093" s="26"/>
      <c r="Q1093" s="26"/>
      <c r="R1093" s="26"/>
      <c r="S1093" s="97"/>
      <c r="T1093" s="97"/>
      <c r="U1093" s="25"/>
      <c r="V1093" s="25"/>
      <c r="W1093" s="25"/>
      <c r="X1093" s="25"/>
      <c r="Y1093" s="25"/>
      <c r="Z1093" s="25"/>
    </row>
    <row r="1094" spans="1:26" x14ac:dyDescent="0.35">
      <c r="A1094" s="26"/>
      <c r="B1094" s="26"/>
      <c r="C1094" s="26"/>
      <c r="D1094" s="26"/>
      <c r="E1094" s="26"/>
      <c r="F1094" s="26"/>
      <c r="G1094" s="26"/>
      <c r="H1094" s="26"/>
      <c r="I1094" s="26"/>
      <c r="J1094" s="26"/>
      <c r="K1094" s="26"/>
      <c r="L1094" s="26"/>
      <c r="M1094" s="26"/>
      <c r="N1094" s="26"/>
      <c r="O1094" s="26"/>
      <c r="P1094" s="26"/>
      <c r="Q1094" s="26"/>
      <c r="R1094" s="26"/>
      <c r="S1094" s="97"/>
      <c r="T1094" s="97"/>
      <c r="U1094" s="25"/>
      <c r="V1094" s="25"/>
      <c r="W1094" s="25"/>
      <c r="X1094" s="25"/>
      <c r="Y1094" s="25"/>
      <c r="Z1094" s="25"/>
    </row>
    <row r="1095" spans="1:26" x14ac:dyDescent="0.35">
      <c r="A1095" s="26"/>
      <c r="B1095" s="26"/>
      <c r="C1095" s="26"/>
      <c r="D1095" s="26"/>
      <c r="E1095" s="26"/>
      <c r="F1095" s="26"/>
      <c r="G1095" s="26"/>
      <c r="H1095" s="26"/>
      <c r="I1095" s="26"/>
      <c r="J1095" s="26"/>
      <c r="K1095" s="26"/>
      <c r="L1095" s="26"/>
      <c r="M1095" s="26"/>
      <c r="N1095" s="26"/>
      <c r="O1095" s="26"/>
      <c r="P1095" s="26"/>
      <c r="Q1095" s="26"/>
      <c r="R1095" s="26"/>
      <c r="S1095" s="97"/>
      <c r="T1095" s="97"/>
      <c r="U1095" s="25"/>
      <c r="V1095" s="25"/>
      <c r="W1095" s="25"/>
      <c r="X1095" s="25"/>
      <c r="Y1095" s="25"/>
      <c r="Z1095" s="25"/>
    </row>
    <row r="1096" spans="1:26" x14ac:dyDescent="0.35">
      <c r="A1096" s="26"/>
      <c r="B1096" s="26"/>
      <c r="C1096" s="26"/>
      <c r="D1096" s="26"/>
      <c r="E1096" s="26"/>
      <c r="F1096" s="26"/>
      <c r="G1096" s="26"/>
      <c r="H1096" s="26"/>
      <c r="I1096" s="26"/>
      <c r="J1096" s="26"/>
      <c r="K1096" s="26"/>
      <c r="L1096" s="26"/>
      <c r="M1096" s="26"/>
      <c r="N1096" s="26"/>
      <c r="O1096" s="26"/>
      <c r="P1096" s="26"/>
      <c r="Q1096" s="26"/>
      <c r="R1096" s="26"/>
      <c r="S1096" s="97"/>
      <c r="T1096" s="97"/>
      <c r="U1096" s="25"/>
      <c r="V1096" s="25"/>
      <c r="W1096" s="25"/>
      <c r="X1096" s="25"/>
      <c r="Y1096" s="25"/>
      <c r="Z1096" s="25"/>
    </row>
    <row r="1097" spans="1:26" x14ac:dyDescent="0.35">
      <c r="A1097" s="26"/>
      <c r="B1097" s="26"/>
      <c r="C1097" s="26"/>
      <c r="D1097" s="26"/>
      <c r="E1097" s="26"/>
      <c r="F1097" s="26"/>
      <c r="G1097" s="26"/>
      <c r="H1097" s="26"/>
      <c r="I1097" s="26"/>
      <c r="J1097" s="26"/>
      <c r="K1097" s="26"/>
      <c r="L1097" s="26"/>
      <c r="M1097" s="26"/>
      <c r="N1097" s="26"/>
      <c r="O1097" s="26"/>
      <c r="P1097" s="26"/>
      <c r="Q1097" s="26"/>
      <c r="R1097" s="26"/>
      <c r="S1097" s="97"/>
      <c r="T1097" s="97"/>
      <c r="U1097" s="25"/>
      <c r="V1097" s="25"/>
      <c r="W1097" s="25"/>
      <c r="X1097" s="25"/>
      <c r="Y1097" s="25"/>
      <c r="Z1097" s="25"/>
    </row>
    <row r="1098" spans="1:26" x14ac:dyDescent="0.35">
      <c r="A1098" s="26"/>
      <c r="B1098" s="26"/>
      <c r="C1098" s="26"/>
      <c r="D1098" s="26"/>
      <c r="E1098" s="26"/>
      <c r="F1098" s="26"/>
      <c r="G1098" s="26"/>
      <c r="H1098" s="26"/>
      <c r="I1098" s="26"/>
      <c r="J1098" s="26"/>
      <c r="K1098" s="26"/>
      <c r="L1098" s="26"/>
      <c r="M1098" s="26"/>
      <c r="N1098" s="26"/>
      <c r="O1098" s="26"/>
      <c r="P1098" s="26"/>
      <c r="Q1098" s="26"/>
      <c r="R1098" s="26"/>
      <c r="S1098" s="97"/>
      <c r="T1098" s="97"/>
      <c r="U1098" s="25"/>
      <c r="V1098" s="25"/>
      <c r="W1098" s="25"/>
      <c r="X1098" s="25"/>
      <c r="Y1098" s="25"/>
      <c r="Z1098" s="25"/>
    </row>
    <row r="1099" spans="1:26" x14ac:dyDescent="0.35">
      <c r="A1099" s="26"/>
      <c r="B1099" s="26"/>
      <c r="C1099" s="26"/>
      <c r="D1099" s="26"/>
      <c r="E1099" s="26"/>
      <c r="F1099" s="26"/>
      <c r="G1099" s="26"/>
      <c r="H1099" s="26"/>
      <c r="I1099" s="26"/>
      <c r="J1099" s="26"/>
      <c r="K1099" s="26"/>
      <c r="L1099" s="26"/>
      <c r="M1099" s="26"/>
      <c r="N1099" s="26"/>
      <c r="O1099" s="26"/>
      <c r="P1099" s="26"/>
      <c r="Q1099" s="26"/>
      <c r="R1099" s="26"/>
      <c r="S1099" s="97"/>
      <c r="T1099" s="97"/>
      <c r="U1099" s="25"/>
      <c r="V1099" s="25"/>
      <c r="W1099" s="25"/>
      <c r="X1099" s="25"/>
      <c r="Y1099" s="25"/>
      <c r="Z1099" s="25"/>
    </row>
    <row r="1100" spans="1:26" x14ac:dyDescent="0.35">
      <c r="A1100" s="26"/>
      <c r="B1100" s="26"/>
      <c r="C1100" s="26"/>
      <c r="D1100" s="26"/>
      <c r="E1100" s="26"/>
      <c r="F1100" s="26"/>
      <c r="G1100" s="26"/>
      <c r="H1100" s="26"/>
      <c r="I1100" s="26"/>
      <c r="J1100" s="26"/>
      <c r="K1100" s="26"/>
      <c r="L1100" s="26"/>
      <c r="M1100" s="26"/>
      <c r="N1100" s="26"/>
      <c r="O1100" s="26"/>
      <c r="P1100" s="26"/>
      <c r="Q1100" s="26"/>
      <c r="R1100" s="26"/>
      <c r="S1100" s="97"/>
      <c r="T1100" s="97"/>
      <c r="U1100" s="25"/>
      <c r="V1100" s="25"/>
      <c r="W1100" s="25"/>
      <c r="X1100" s="25"/>
      <c r="Y1100" s="25"/>
      <c r="Z1100" s="25"/>
    </row>
    <row r="1101" spans="1:26" x14ac:dyDescent="0.35">
      <c r="A1101" s="26"/>
      <c r="B1101" s="26"/>
      <c r="C1101" s="26"/>
      <c r="D1101" s="26"/>
      <c r="E1101" s="26"/>
      <c r="F1101" s="26"/>
      <c r="G1101" s="26"/>
      <c r="H1101" s="26"/>
      <c r="I1101" s="26"/>
      <c r="J1101" s="26"/>
      <c r="K1101" s="26"/>
      <c r="L1101" s="26"/>
      <c r="M1101" s="26"/>
      <c r="N1101" s="26"/>
      <c r="O1101" s="26"/>
      <c r="P1101" s="26"/>
      <c r="Q1101" s="26"/>
      <c r="R1101" s="26"/>
      <c r="S1101" s="97"/>
      <c r="T1101" s="97"/>
      <c r="U1101" s="25"/>
      <c r="V1101" s="25"/>
      <c r="W1101" s="25"/>
      <c r="X1101" s="25"/>
      <c r="Y1101" s="25"/>
      <c r="Z1101" s="25"/>
    </row>
    <row r="1102" spans="1:26" x14ac:dyDescent="0.35">
      <c r="A1102" s="26"/>
      <c r="B1102" s="26"/>
      <c r="C1102" s="26"/>
      <c r="D1102" s="26"/>
      <c r="E1102" s="26"/>
      <c r="F1102" s="26"/>
      <c r="G1102" s="26"/>
      <c r="H1102" s="26"/>
      <c r="I1102" s="26"/>
      <c r="J1102" s="26"/>
      <c r="K1102" s="26"/>
      <c r="L1102" s="26"/>
      <c r="M1102" s="26"/>
      <c r="N1102" s="26"/>
      <c r="O1102" s="26"/>
      <c r="P1102" s="26"/>
      <c r="Q1102" s="26"/>
      <c r="R1102" s="26"/>
      <c r="S1102" s="97"/>
      <c r="T1102" s="97"/>
      <c r="U1102" s="25"/>
      <c r="V1102" s="25"/>
      <c r="W1102" s="25"/>
      <c r="X1102" s="25"/>
      <c r="Y1102" s="25"/>
      <c r="Z1102" s="25"/>
    </row>
    <row r="1103" spans="1:26" x14ac:dyDescent="0.35">
      <c r="A1103" s="26"/>
      <c r="B1103" s="26"/>
      <c r="C1103" s="26"/>
      <c r="D1103" s="26"/>
      <c r="E1103" s="26"/>
      <c r="F1103" s="26"/>
      <c r="G1103" s="26"/>
      <c r="H1103" s="26"/>
      <c r="I1103" s="26"/>
      <c r="J1103" s="26"/>
      <c r="K1103" s="26"/>
      <c r="L1103" s="26"/>
      <c r="M1103" s="26"/>
      <c r="N1103" s="26"/>
      <c r="O1103" s="26"/>
      <c r="P1103" s="26"/>
      <c r="Q1103" s="26"/>
      <c r="R1103" s="26"/>
      <c r="S1103" s="97"/>
      <c r="T1103" s="97"/>
      <c r="U1103" s="25"/>
      <c r="V1103" s="25"/>
      <c r="W1103" s="25"/>
      <c r="X1103" s="25"/>
      <c r="Y1103" s="25"/>
      <c r="Z1103" s="25"/>
    </row>
    <row r="1104" spans="1:26" x14ac:dyDescent="0.35">
      <c r="A1104" s="26"/>
      <c r="B1104" s="26"/>
      <c r="C1104" s="26"/>
      <c r="D1104" s="26"/>
      <c r="E1104" s="26"/>
      <c r="F1104" s="26"/>
      <c r="G1104" s="26"/>
      <c r="H1104" s="26"/>
      <c r="I1104" s="26"/>
      <c r="J1104" s="26"/>
      <c r="K1104" s="26"/>
      <c r="L1104" s="26"/>
      <c r="M1104" s="26"/>
      <c r="N1104" s="26"/>
      <c r="O1104" s="26"/>
      <c r="P1104" s="26"/>
      <c r="Q1104" s="26"/>
      <c r="R1104" s="26"/>
      <c r="S1104" s="97"/>
      <c r="T1104" s="97"/>
      <c r="U1104" s="25"/>
      <c r="V1104" s="25"/>
      <c r="W1104" s="25"/>
      <c r="X1104" s="25"/>
      <c r="Y1104" s="25"/>
      <c r="Z1104" s="25"/>
    </row>
    <row r="1105" spans="1:26" x14ac:dyDescent="0.35">
      <c r="A1105" s="26"/>
      <c r="B1105" s="26"/>
      <c r="C1105" s="26"/>
      <c r="D1105" s="26"/>
      <c r="E1105" s="26"/>
      <c r="F1105" s="26"/>
      <c r="G1105" s="26"/>
      <c r="H1105" s="26"/>
      <c r="I1105" s="26"/>
      <c r="J1105" s="26"/>
      <c r="K1105" s="26"/>
      <c r="L1105" s="26"/>
      <c r="M1105" s="26"/>
      <c r="N1105" s="26"/>
      <c r="O1105" s="26"/>
      <c r="P1105" s="26"/>
      <c r="Q1105" s="26"/>
      <c r="R1105" s="26"/>
      <c r="S1105" s="97"/>
      <c r="T1105" s="97"/>
      <c r="U1105" s="25"/>
      <c r="V1105" s="25"/>
      <c r="W1105" s="25"/>
      <c r="X1105" s="25"/>
      <c r="Y1105" s="25"/>
      <c r="Z1105" s="25"/>
    </row>
    <row r="1106" spans="1:26" x14ac:dyDescent="0.35">
      <c r="A1106" s="26"/>
      <c r="B1106" s="26"/>
      <c r="C1106" s="26"/>
      <c r="D1106" s="26"/>
      <c r="E1106" s="26"/>
      <c r="F1106" s="26"/>
      <c r="G1106" s="26"/>
      <c r="H1106" s="26"/>
      <c r="I1106" s="26"/>
      <c r="J1106" s="26"/>
      <c r="K1106" s="26"/>
      <c r="L1106" s="26"/>
      <c r="M1106" s="26"/>
      <c r="N1106" s="26"/>
      <c r="O1106" s="26"/>
      <c r="P1106" s="26"/>
      <c r="Q1106" s="26"/>
      <c r="R1106" s="26"/>
      <c r="S1106" s="97"/>
      <c r="T1106" s="97"/>
      <c r="U1106" s="25"/>
      <c r="V1106" s="25"/>
      <c r="W1106" s="25"/>
      <c r="X1106" s="25"/>
      <c r="Y1106" s="25"/>
      <c r="Z1106" s="25"/>
    </row>
    <row r="1107" spans="1:26" x14ac:dyDescent="0.35">
      <c r="A1107" s="26"/>
      <c r="B1107" s="26"/>
      <c r="C1107" s="26"/>
      <c r="D1107" s="26"/>
      <c r="E1107" s="26"/>
      <c r="F1107" s="26"/>
      <c r="G1107" s="26"/>
      <c r="H1107" s="26"/>
      <c r="I1107" s="26"/>
      <c r="J1107" s="26"/>
      <c r="K1107" s="26"/>
      <c r="L1107" s="26"/>
      <c r="M1107" s="26"/>
      <c r="N1107" s="26"/>
      <c r="O1107" s="26"/>
      <c r="P1107" s="26"/>
      <c r="Q1107" s="26"/>
      <c r="R1107" s="26"/>
      <c r="S1107" s="97"/>
      <c r="T1107" s="97"/>
      <c r="U1107" s="25"/>
      <c r="V1107" s="25"/>
      <c r="W1107" s="25"/>
      <c r="X1107" s="25"/>
      <c r="Y1107" s="25"/>
      <c r="Z1107" s="25"/>
    </row>
    <row r="1108" spans="1:26" x14ac:dyDescent="0.35">
      <c r="A1108" s="26"/>
      <c r="B1108" s="26"/>
      <c r="C1108" s="26"/>
      <c r="D1108" s="26"/>
      <c r="E1108" s="26"/>
      <c r="F1108" s="26"/>
      <c r="G1108" s="26"/>
      <c r="H1108" s="26"/>
      <c r="I1108" s="26"/>
      <c r="J1108" s="26"/>
      <c r="K1108" s="26"/>
      <c r="L1108" s="26"/>
      <c r="M1108" s="26"/>
      <c r="N1108" s="26"/>
      <c r="O1108" s="26"/>
      <c r="P1108" s="26"/>
      <c r="Q1108" s="26"/>
      <c r="R1108" s="26"/>
      <c r="S1108" s="97"/>
      <c r="T1108" s="97"/>
      <c r="U1108" s="25"/>
      <c r="V1108" s="25"/>
      <c r="W1108" s="25"/>
      <c r="X1108" s="25"/>
      <c r="Y1108" s="25"/>
      <c r="Z1108" s="25"/>
    </row>
    <row r="1109" spans="1:26" x14ac:dyDescent="0.35">
      <c r="A1109" s="26"/>
      <c r="B1109" s="26"/>
      <c r="C1109" s="26"/>
      <c r="D1109" s="26"/>
      <c r="E1109" s="26"/>
      <c r="F1109" s="26"/>
      <c r="G1109" s="26"/>
      <c r="H1109" s="26"/>
      <c r="I1109" s="26"/>
      <c r="J1109" s="26"/>
      <c r="K1109" s="26"/>
      <c r="L1109" s="26"/>
      <c r="M1109" s="26"/>
      <c r="N1109" s="26"/>
      <c r="O1109" s="26"/>
      <c r="P1109" s="26"/>
      <c r="Q1109" s="26"/>
      <c r="R1109" s="26"/>
      <c r="S1109" s="97"/>
      <c r="T1109" s="97"/>
      <c r="U1109" s="25"/>
      <c r="V1109" s="25"/>
      <c r="W1109" s="25"/>
      <c r="X1109" s="25"/>
      <c r="Y1109" s="25"/>
      <c r="Z1109" s="25"/>
    </row>
    <row r="1110" spans="1:26" x14ac:dyDescent="0.35">
      <c r="S1110" s="97"/>
      <c r="T1110" s="97"/>
      <c r="U1110" s="25"/>
      <c r="V1110" s="25"/>
      <c r="W1110" s="25"/>
      <c r="X1110" s="25"/>
      <c r="Y1110" s="25"/>
      <c r="Z1110" s="25"/>
    </row>
    <row r="1111" spans="1:26" x14ac:dyDescent="0.35">
      <c r="S1111" s="97"/>
      <c r="T1111" s="97"/>
      <c r="U1111" s="25"/>
      <c r="V1111" s="25"/>
      <c r="W1111" s="25"/>
      <c r="X1111" s="25"/>
      <c r="Y1111" s="25"/>
      <c r="Z1111" s="25"/>
    </row>
    <row r="1112" spans="1:26" x14ac:dyDescent="0.35">
      <c r="S1112" s="97"/>
      <c r="T1112" s="97"/>
      <c r="U1112" s="25"/>
      <c r="V1112" s="25"/>
      <c r="W1112" s="25"/>
      <c r="X1112" s="25"/>
      <c r="Y1112" s="25"/>
      <c r="Z1112" s="25"/>
    </row>
    <row r="1113" spans="1:26" x14ac:dyDescent="0.35">
      <c r="S1113" s="97"/>
      <c r="T1113" s="97"/>
      <c r="U1113" s="25"/>
      <c r="V1113" s="25"/>
      <c r="W1113" s="25"/>
      <c r="X1113" s="25"/>
      <c r="Y1113" s="25"/>
      <c r="Z1113" s="25"/>
    </row>
    <row r="1114" spans="1:26" x14ac:dyDescent="0.35">
      <c r="S1114" s="97"/>
      <c r="T1114" s="97"/>
      <c r="U1114" s="25"/>
      <c r="V1114" s="25"/>
      <c r="W1114" s="25"/>
      <c r="X1114" s="25"/>
      <c r="Y1114" s="25"/>
      <c r="Z1114" s="25"/>
    </row>
    <row r="1115" spans="1:26" x14ac:dyDescent="0.35">
      <c r="S1115" s="97"/>
      <c r="T1115" s="97"/>
      <c r="U1115" s="25"/>
      <c r="V1115" s="25"/>
      <c r="W1115" s="25"/>
      <c r="X1115" s="25"/>
      <c r="Y1115" s="25"/>
      <c r="Z1115" s="25"/>
    </row>
    <row r="1116" spans="1:26" x14ac:dyDescent="0.35">
      <c r="S1116" s="97"/>
      <c r="T1116" s="97"/>
      <c r="U1116" s="25"/>
      <c r="V1116" s="25"/>
      <c r="W1116" s="25"/>
      <c r="X1116" s="25"/>
      <c r="Y1116" s="25"/>
      <c r="Z1116" s="25"/>
    </row>
    <row r="1117" spans="1:26" x14ac:dyDescent="0.35">
      <c r="S1117" s="97"/>
      <c r="T1117" s="97"/>
      <c r="U1117" s="25"/>
      <c r="V1117" s="25"/>
      <c r="W1117" s="25"/>
      <c r="X1117" s="25"/>
      <c r="Y1117" s="25"/>
      <c r="Z1117" s="25"/>
    </row>
    <row r="1118" spans="1:26" x14ac:dyDescent="0.35">
      <c r="S1118" s="97"/>
      <c r="T1118" s="97"/>
      <c r="U1118" s="25"/>
      <c r="V1118" s="25"/>
      <c r="W1118" s="25"/>
      <c r="X1118" s="25"/>
      <c r="Y1118" s="25"/>
      <c r="Z1118" s="25"/>
    </row>
    <row r="1119" spans="1:26" x14ac:dyDescent="0.35">
      <c r="S1119" s="97"/>
      <c r="T1119" s="97"/>
      <c r="U1119" s="25"/>
      <c r="V1119" s="25"/>
      <c r="W1119" s="25"/>
      <c r="X1119" s="25"/>
      <c r="Y1119" s="25"/>
      <c r="Z1119" s="25"/>
    </row>
    <row r="1120" spans="1:26" x14ac:dyDescent="0.35">
      <c r="S1120" s="97"/>
      <c r="T1120" s="97"/>
      <c r="U1120" s="25"/>
      <c r="V1120" s="25"/>
      <c r="W1120" s="25"/>
      <c r="X1120" s="25"/>
      <c r="Y1120" s="25"/>
      <c r="Z1120" s="25"/>
    </row>
    <row r="1121" spans="19:26" x14ac:dyDescent="0.35">
      <c r="S1121" s="97"/>
      <c r="T1121" s="97"/>
      <c r="U1121" s="25"/>
      <c r="V1121" s="25"/>
      <c r="W1121" s="25"/>
      <c r="X1121" s="25"/>
      <c r="Y1121" s="25"/>
      <c r="Z1121" s="25"/>
    </row>
    <row r="1122" spans="19:26" x14ac:dyDescent="0.35">
      <c r="S1122" s="97"/>
      <c r="T1122" s="97"/>
      <c r="U1122" s="25"/>
      <c r="V1122" s="25"/>
      <c r="W1122" s="25"/>
      <c r="X1122" s="25"/>
      <c r="Y1122" s="25"/>
      <c r="Z1122" s="25"/>
    </row>
    <row r="1123" spans="19:26" x14ac:dyDescent="0.35">
      <c r="S1123" s="97"/>
      <c r="T1123" s="97"/>
      <c r="U1123" s="25"/>
      <c r="V1123" s="25"/>
      <c r="W1123" s="25"/>
      <c r="X1123" s="25"/>
      <c r="Y1123" s="25"/>
      <c r="Z1123" s="25"/>
    </row>
    <row r="1124" spans="19:26" x14ac:dyDescent="0.35">
      <c r="S1124" s="97"/>
      <c r="T1124" s="97"/>
      <c r="U1124" s="25"/>
      <c r="V1124" s="25"/>
      <c r="W1124" s="25"/>
      <c r="X1124" s="25"/>
      <c r="Y1124" s="25"/>
      <c r="Z1124" s="25"/>
    </row>
    <row r="1125" spans="19:26" x14ac:dyDescent="0.35">
      <c r="S1125" s="97"/>
      <c r="T1125" s="97"/>
      <c r="U1125" s="25"/>
      <c r="V1125" s="25"/>
      <c r="W1125" s="25"/>
      <c r="X1125" s="25"/>
      <c r="Y1125" s="25"/>
      <c r="Z1125" s="25"/>
    </row>
    <row r="1126" spans="19:26" x14ac:dyDescent="0.35">
      <c r="S1126" s="97"/>
      <c r="T1126" s="97"/>
      <c r="U1126" s="25"/>
      <c r="V1126" s="25"/>
      <c r="W1126" s="25"/>
      <c r="X1126" s="25"/>
      <c r="Y1126" s="25"/>
      <c r="Z1126" s="25"/>
    </row>
    <row r="1127" spans="19:26" x14ac:dyDescent="0.35">
      <c r="S1127" s="97"/>
      <c r="T1127" s="97"/>
      <c r="U1127" s="25"/>
      <c r="V1127" s="25"/>
      <c r="W1127" s="25"/>
      <c r="X1127" s="25"/>
      <c r="Y1127" s="25"/>
      <c r="Z1127" s="25"/>
    </row>
    <row r="1128" spans="19:26" x14ac:dyDescent="0.35">
      <c r="S1128" s="97"/>
      <c r="T1128" s="97"/>
      <c r="U1128" s="25"/>
      <c r="V1128" s="25"/>
      <c r="W1128" s="25"/>
      <c r="X1128" s="25"/>
      <c r="Y1128" s="25"/>
      <c r="Z1128" s="25"/>
    </row>
    <row r="1129" spans="19:26" x14ac:dyDescent="0.35">
      <c r="S1129" s="97"/>
      <c r="T1129" s="97"/>
      <c r="U1129" s="25"/>
      <c r="V1129" s="25"/>
      <c r="W1129" s="25"/>
      <c r="X1129" s="25"/>
      <c r="Y1129" s="25"/>
      <c r="Z1129" s="25"/>
    </row>
    <row r="1130" spans="19:26" x14ac:dyDescent="0.35">
      <c r="S1130" s="97"/>
      <c r="T1130" s="97"/>
      <c r="U1130" s="25"/>
      <c r="V1130" s="25"/>
      <c r="W1130" s="25"/>
      <c r="X1130" s="25"/>
      <c r="Y1130" s="25"/>
      <c r="Z1130" s="25"/>
    </row>
    <row r="1131" spans="19:26" x14ac:dyDescent="0.35">
      <c r="S1131" s="97"/>
      <c r="T1131" s="97"/>
      <c r="U1131" s="25"/>
      <c r="V1131" s="25"/>
      <c r="W1131" s="25"/>
      <c r="X1131" s="25"/>
      <c r="Y1131" s="25"/>
      <c r="Z1131" s="25"/>
    </row>
    <row r="1132" spans="19:26" x14ac:dyDescent="0.35">
      <c r="S1132" s="97"/>
      <c r="T1132" s="97"/>
      <c r="U1132" s="25"/>
      <c r="V1132" s="25"/>
      <c r="W1132" s="25"/>
      <c r="X1132" s="25"/>
      <c r="Y1132" s="25"/>
      <c r="Z1132" s="25"/>
    </row>
    <row r="1133" spans="19:26" x14ac:dyDescent="0.35">
      <c r="S1133" s="97"/>
      <c r="T1133" s="97"/>
      <c r="U1133" s="25"/>
      <c r="V1133" s="25"/>
      <c r="W1133" s="25"/>
      <c r="X1133" s="25"/>
      <c r="Y1133" s="25"/>
      <c r="Z1133" s="25"/>
    </row>
    <row r="1134" spans="19:26" x14ac:dyDescent="0.35">
      <c r="S1134" s="97"/>
      <c r="T1134" s="97"/>
      <c r="U1134" s="25"/>
      <c r="V1134" s="25"/>
      <c r="W1134" s="25"/>
      <c r="X1134" s="25"/>
      <c r="Y1134" s="25"/>
      <c r="Z1134" s="25"/>
    </row>
    <row r="1135" spans="19:26" x14ac:dyDescent="0.35">
      <c r="S1135" s="97"/>
      <c r="T1135" s="97"/>
      <c r="U1135" s="25"/>
      <c r="V1135" s="25"/>
      <c r="W1135" s="25"/>
      <c r="X1135" s="25"/>
      <c r="Y1135" s="25"/>
      <c r="Z1135" s="25"/>
    </row>
    <row r="1136" spans="19:26" x14ac:dyDescent="0.35">
      <c r="S1136" s="97"/>
      <c r="T1136" s="97"/>
      <c r="U1136" s="25"/>
      <c r="V1136" s="25"/>
      <c r="W1136" s="25"/>
      <c r="X1136" s="25"/>
      <c r="Y1136" s="25"/>
      <c r="Z1136" s="25"/>
    </row>
    <row r="1137" spans="19:26" x14ac:dyDescent="0.35">
      <c r="S1137" s="97"/>
      <c r="T1137" s="97"/>
      <c r="U1137" s="25"/>
      <c r="V1137" s="25"/>
      <c r="W1137" s="25"/>
      <c r="X1137" s="25"/>
      <c r="Y1137" s="25"/>
      <c r="Z1137" s="25"/>
    </row>
    <row r="1138" spans="19:26" x14ac:dyDescent="0.35">
      <c r="S1138" s="97"/>
      <c r="T1138" s="97"/>
      <c r="U1138" s="25"/>
      <c r="V1138" s="25"/>
      <c r="W1138" s="25"/>
      <c r="X1138" s="25"/>
      <c r="Y1138" s="25"/>
      <c r="Z1138" s="25"/>
    </row>
    <row r="1139" spans="19:26" x14ac:dyDescent="0.35">
      <c r="S1139" s="97"/>
      <c r="T1139" s="97"/>
      <c r="U1139" s="25"/>
      <c r="V1139" s="25"/>
      <c r="W1139" s="25"/>
      <c r="X1139" s="25"/>
      <c r="Y1139" s="25"/>
      <c r="Z1139" s="25"/>
    </row>
    <row r="1140" spans="19:26" x14ac:dyDescent="0.35">
      <c r="S1140" s="97"/>
      <c r="T1140" s="97"/>
      <c r="U1140" s="25"/>
      <c r="V1140" s="25"/>
      <c r="W1140" s="25"/>
      <c r="X1140" s="25"/>
      <c r="Y1140" s="25"/>
      <c r="Z1140" s="25"/>
    </row>
    <row r="1141" spans="19:26" x14ac:dyDescent="0.35">
      <c r="S1141" s="97"/>
      <c r="T1141" s="97"/>
      <c r="U1141" s="25"/>
      <c r="V1141" s="25"/>
      <c r="W1141" s="25"/>
      <c r="X1141" s="25"/>
      <c r="Y1141" s="25"/>
      <c r="Z1141" s="25"/>
    </row>
    <row r="1142" spans="19:26" x14ac:dyDescent="0.35">
      <c r="S1142" s="97"/>
      <c r="T1142" s="97"/>
      <c r="U1142" s="25"/>
      <c r="V1142" s="25"/>
      <c r="W1142" s="25"/>
      <c r="X1142" s="25"/>
      <c r="Y1142" s="25"/>
      <c r="Z1142" s="25"/>
    </row>
    <row r="1143" spans="19:26" x14ac:dyDescent="0.35">
      <c r="S1143" s="97"/>
      <c r="T1143" s="97"/>
      <c r="U1143" s="25"/>
      <c r="V1143" s="25"/>
      <c r="W1143" s="25"/>
      <c r="X1143" s="25"/>
      <c r="Y1143" s="25"/>
      <c r="Z1143" s="25"/>
    </row>
    <row r="1144" spans="19:26" x14ac:dyDescent="0.35">
      <c r="S1144" s="97"/>
      <c r="T1144" s="97"/>
      <c r="U1144" s="25"/>
      <c r="V1144" s="25"/>
      <c r="W1144" s="25"/>
      <c r="X1144" s="25"/>
      <c r="Y1144" s="25"/>
      <c r="Z1144" s="25"/>
    </row>
    <row r="1145" spans="19:26" x14ac:dyDescent="0.35">
      <c r="S1145" s="97"/>
      <c r="T1145" s="97"/>
      <c r="U1145" s="25"/>
      <c r="V1145" s="25"/>
      <c r="W1145" s="25"/>
      <c r="X1145" s="25"/>
      <c r="Y1145" s="25"/>
      <c r="Z1145" s="25"/>
    </row>
    <row r="1146" spans="19:26" x14ac:dyDescent="0.35">
      <c r="S1146" s="97"/>
      <c r="T1146" s="97"/>
      <c r="U1146" s="25"/>
      <c r="V1146" s="25"/>
      <c r="W1146" s="25"/>
      <c r="X1146" s="25"/>
      <c r="Y1146" s="25"/>
      <c r="Z1146" s="25"/>
    </row>
    <row r="1147" spans="19:26" x14ac:dyDescent="0.35">
      <c r="S1147" s="97"/>
      <c r="T1147" s="97"/>
      <c r="U1147" s="25"/>
      <c r="V1147" s="25"/>
      <c r="W1147" s="25"/>
      <c r="X1147" s="25"/>
      <c r="Y1147" s="25"/>
      <c r="Z1147" s="25"/>
    </row>
    <row r="1148" spans="19:26" x14ac:dyDescent="0.35">
      <c r="S1148" s="97"/>
      <c r="T1148" s="97"/>
      <c r="U1148" s="25"/>
      <c r="V1148" s="25"/>
      <c r="W1148" s="25"/>
      <c r="X1148" s="25"/>
      <c r="Y1148" s="25"/>
      <c r="Z1148" s="25"/>
    </row>
    <row r="1149" spans="19:26" x14ac:dyDescent="0.35">
      <c r="S1149" s="97"/>
      <c r="T1149" s="97"/>
      <c r="U1149" s="25"/>
      <c r="V1149" s="25"/>
      <c r="W1149" s="25"/>
      <c r="X1149" s="25"/>
      <c r="Y1149" s="25"/>
      <c r="Z1149" s="25"/>
    </row>
    <row r="1150" spans="19:26" x14ac:dyDescent="0.35">
      <c r="S1150" s="97"/>
      <c r="T1150" s="97"/>
      <c r="U1150" s="25"/>
      <c r="V1150" s="25"/>
      <c r="W1150" s="25"/>
      <c r="X1150" s="25"/>
      <c r="Y1150" s="25"/>
      <c r="Z1150" s="25"/>
    </row>
    <row r="1151" spans="19:26" x14ac:dyDescent="0.35">
      <c r="S1151" s="97"/>
      <c r="T1151" s="97"/>
      <c r="U1151" s="25"/>
      <c r="V1151" s="25"/>
      <c r="W1151" s="25"/>
      <c r="X1151" s="25"/>
      <c r="Y1151" s="25"/>
      <c r="Z1151" s="25"/>
    </row>
    <row r="1152" spans="19:26" x14ac:dyDescent="0.35">
      <c r="S1152" s="97"/>
      <c r="T1152" s="97"/>
      <c r="U1152" s="25"/>
      <c r="V1152" s="25"/>
      <c r="W1152" s="25"/>
      <c r="X1152" s="25"/>
      <c r="Y1152" s="25"/>
      <c r="Z1152" s="25"/>
    </row>
    <row r="1153" spans="19:26" x14ac:dyDescent="0.35">
      <c r="S1153" s="97"/>
      <c r="T1153" s="97"/>
      <c r="U1153" s="25"/>
      <c r="V1153" s="25"/>
      <c r="W1153" s="25"/>
      <c r="X1153" s="25"/>
      <c r="Y1153" s="25"/>
      <c r="Z1153" s="25"/>
    </row>
    <row r="1154" spans="19:26" x14ac:dyDescent="0.35">
      <c r="S1154" s="97"/>
      <c r="T1154" s="97"/>
      <c r="U1154" s="25"/>
      <c r="V1154" s="25"/>
      <c r="W1154" s="25"/>
      <c r="X1154" s="25"/>
      <c r="Y1154" s="25"/>
      <c r="Z1154" s="25"/>
    </row>
    <row r="1155" spans="19:26" x14ac:dyDescent="0.35">
      <c r="S1155" s="97"/>
      <c r="T1155" s="97"/>
      <c r="U1155" s="25"/>
      <c r="V1155" s="25"/>
      <c r="W1155" s="25"/>
      <c r="X1155" s="25"/>
      <c r="Y1155" s="25"/>
      <c r="Z1155" s="25"/>
    </row>
    <row r="1156" spans="19:26" x14ac:dyDescent="0.35">
      <c r="S1156" s="97"/>
      <c r="T1156" s="97"/>
      <c r="U1156" s="25"/>
      <c r="V1156" s="25"/>
      <c r="W1156" s="25"/>
      <c r="X1156" s="25"/>
      <c r="Y1156" s="25"/>
      <c r="Z1156" s="25"/>
    </row>
    <row r="1157" spans="19:26" x14ac:dyDescent="0.35">
      <c r="S1157" s="97"/>
      <c r="T1157" s="97"/>
      <c r="U1157" s="25"/>
      <c r="V1157" s="25"/>
      <c r="W1157" s="25"/>
      <c r="X1157" s="25"/>
      <c r="Y1157" s="25"/>
      <c r="Z1157" s="25"/>
    </row>
    <row r="1158" spans="19:26" x14ac:dyDescent="0.35">
      <c r="S1158" s="97"/>
      <c r="T1158" s="97"/>
      <c r="U1158" s="25"/>
      <c r="V1158" s="25"/>
      <c r="W1158" s="25"/>
      <c r="X1158" s="25"/>
      <c r="Y1158" s="25"/>
      <c r="Z1158" s="25"/>
    </row>
    <row r="1159" spans="19:26" x14ac:dyDescent="0.35">
      <c r="S1159" s="97"/>
      <c r="T1159" s="97"/>
      <c r="U1159" s="25"/>
      <c r="V1159" s="25"/>
      <c r="W1159" s="25"/>
      <c r="X1159" s="25"/>
      <c r="Y1159" s="25"/>
      <c r="Z1159" s="25"/>
    </row>
    <row r="1160" spans="19:26" x14ac:dyDescent="0.35">
      <c r="S1160" s="97"/>
      <c r="T1160" s="97"/>
      <c r="U1160" s="25"/>
      <c r="V1160" s="25"/>
      <c r="W1160" s="25"/>
      <c r="X1160" s="25"/>
      <c r="Y1160" s="25"/>
      <c r="Z1160" s="25"/>
    </row>
    <row r="1161" spans="19:26" x14ac:dyDescent="0.35">
      <c r="S1161" s="97"/>
      <c r="T1161" s="97"/>
      <c r="U1161" s="25"/>
      <c r="V1161" s="25"/>
      <c r="W1161" s="25"/>
      <c r="X1161" s="25"/>
      <c r="Y1161" s="25"/>
      <c r="Z1161" s="25"/>
    </row>
    <row r="1162" spans="19:26" x14ac:dyDescent="0.35">
      <c r="S1162" s="97"/>
      <c r="T1162" s="97"/>
      <c r="U1162" s="25"/>
      <c r="V1162" s="25"/>
      <c r="W1162" s="25"/>
      <c r="X1162" s="25"/>
      <c r="Y1162" s="25"/>
      <c r="Z1162" s="25"/>
    </row>
    <row r="1163" spans="19:26" x14ac:dyDescent="0.35">
      <c r="S1163" s="97"/>
      <c r="T1163" s="97"/>
      <c r="U1163" s="25"/>
      <c r="V1163" s="25"/>
      <c r="W1163" s="25"/>
      <c r="X1163" s="25"/>
      <c r="Y1163" s="25"/>
      <c r="Z1163" s="25"/>
    </row>
    <row r="1164" spans="19:26" x14ac:dyDescent="0.35">
      <c r="S1164" s="97"/>
      <c r="T1164" s="97"/>
      <c r="U1164" s="25"/>
      <c r="V1164" s="25"/>
      <c r="W1164" s="25"/>
      <c r="X1164" s="25"/>
      <c r="Y1164" s="25"/>
      <c r="Z1164" s="25"/>
    </row>
    <row r="1165" spans="19:26" x14ac:dyDescent="0.35">
      <c r="S1165" s="97"/>
      <c r="T1165" s="97"/>
      <c r="U1165" s="25"/>
      <c r="V1165" s="25"/>
      <c r="W1165" s="25"/>
      <c r="X1165" s="25"/>
      <c r="Y1165" s="25"/>
      <c r="Z1165" s="25"/>
    </row>
    <row r="1166" spans="19:26" x14ac:dyDescent="0.35">
      <c r="S1166" s="97"/>
      <c r="T1166" s="97"/>
      <c r="U1166" s="25"/>
      <c r="V1166" s="25"/>
      <c r="W1166" s="25"/>
      <c r="X1166" s="25"/>
      <c r="Y1166" s="25"/>
      <c r="Z1166" s="25"/>
    </row>
    <row r="1167" spans="19:26" x14ac:dyDescent="0.35">
      <c r="S1167" s="97"/>
      <c r="T1167" s="97"/>
      <c r="U1167" s="25"/>
      <c r="V1167" s="25"/>
      <c r="W1167" s="25"/>
      <c r="X1167" s="25"/>
      <c r="Y1167" s="25"/>
      <c r="Z1167" s="25"/>
    </row>
    <row r="1168" spans="19:26" x14ac:dyDescent="0.35">
      <c r="S1168" s="97"/>
      <c r="T1168" s="97"/>
      <c r="U1168" s="25"/>
      <c r="V1168" s="25"/>
      <c r="W1168" s="25"/>
      <c r="X1168" s="25"/>
      <c r="Y1168" s="25"/>
      <c r="Z1168" s="25"/>
    </row>
    <row r="1169" spans="19:26" x14ac:dyDescent="0.35">
      <c r="S1169" s="97"/>
      <c r="T1169" s="97"/>
      <c r="U1169" s="25"/>
      <c r="V1169" s="25"/>
      <c r="W1169" s="25"/>
      <c r="X1169" s="25"/>
      <c r="Y1169" s="25"/>
      <c r="Z1169" s="25"/>
    </row>
    <row r="1170" spans="19:26" x14ac:dyDescent="0.35">
      <c r="S1170" s="97"/>
      <c r="T1170" s="97"/>
      <c r="U1170" s="25"/>
      <c r="V1170" s="25"/>
      <c r="W1170" s="25"/>
      <c r="X1170" s="25"/>
      <c r="Y1170" s="25"/>
      <c r="Z1170" s="25"/>
    </row>
    <row r="1171" spans="19:26" x14ac:dyDescent="0.35">
      <c r="S1171" s="97"/>
      <c r="T1171" s="97"/>
      <c r="U1171" s="25"/>
      <c r="V1171" s="25"/>
      <c r="W1171" s="25"/>
      <c r="X1171" s="25"/>
      <c r="Y1171" s="25"/>
      <c r="Z1171" s="25"/>
    </row>
    <row r="1172" spans="19:26" x14ac:dyDescent="0.35">
      <c r="S1172" s="97"/>
      <c r="T1172" s="97"/>
      <c r="U1172" s="25"/>
      <c r="V1172" s="25"/>
      <c r="W1172" s="25"/>
      <c r="X1172" s="25"/>
      <c r="Y1172" s="25"/>
      <c r="Z1172" s="25"/>
    </row>
    <row r="1173" spans="19:26" x14ac:dyDescent="0.35">
      <c r="S1173" s="97"/>
      <c r="T1173" s="97"/>
      <c r="U1173" s="25"/>
      <c r="V1173" s="25"/>
      <c r="W1173" s="25"/>
      <c r="X1173" s="25"/>
      <c r="Y1173" s="25"/>
      <c r="Z1173" s="25"/>
    </row>
    <row r="1174" spans="19:26" x14ac:dyDescent="0.35">
      <c r="S1174" s="97"/>
      <c r="T1174" s="97"/>
      <c r="U1174" s="25"/>
      <c r="V1174" s="25"/>
      <c r="W1174" s="25"/>
      <c r="X1174" s="25"/>
      <c r="Y1174" s="25"/>
      <c r="Z1174" s="25"/>
    </row>
    <row r="1175" spans="19:26" x14ac:dyDescent="0.35">
      <c r="S1175" s="97"/>
      <c r="T1175" s="97"/>
      <c r="U1175" s="25"/>
      <c r="V1175" s="25"/>
      <c r="W1175" s="25"/>
      <c r="X1175" s="25"/>
      <c r="Y1175" s="25"/>
      <c r="Z1175" s="25"/>
    </row>
    <row r="1176" spans="19:26" x14ac:dyDescent="0.35">
      <c r="S1176" s="97"/>
      <c r="T1176" s="97"/>
      <c r="U1176" s="25"/>
      <c r="V1176" s="25"/>
      <c r="W1176" s="25"/>
      <c r="X1176" s="25"/>
      <c r="Y1176" s="25"/>
      <c r="Z1176" s="25"/>
    </row>
    <row r="1177" spans="19:26" x14ac:dyDescent="0.35">
      <c r="S1177" s="97"/>
      <c r="T1177" s="97"/>
      <c r="U1177" s="25"/>
      <c r="V1177" s="25"/>
      <c r="W1177" s="25"/>
      <c r="X1177" s="25"/>
      <c r="Y1177" s="25"/>
      <c r="Z1177" s="25"/>
    </row>
    <row r="1178" spans="19:26" x14ac:dyDescent="0.35">
      <c r="S1178" s="97"/>
      <c r="T1178" s="97"/>
      <c r="U1178" s="25"/>
      <c r="V1178" s="25"/>
      <c r="W1178" s="25"/>
      <c r="X1178" s="25"/>
      <c r="Y1178" s="25"/>
      <c r="Z1178" s="25"/>
    </row>
    <row r="1179" spans="19:26" x14ac:dyDescent="0.35">
      <c r="S1179" s="97"/>
      <c r="T1179" s="97"/>
      <c r="U1179" s="25"/>
      <c r="V1179" s="25"/>
      <c r="W1179" s="25"/>
      <c r="X1179" s="25"/>
      <c r="Y1179" s="25"/>
      <c r="Z1179" s="25"/>
    </row>
    <row r="1180" spans="19:26" x14ac:dyDescent="0.35">
      <c r="S1180" s="97"/>
      <c r="T1180" s="97"/>
      <c r="U1180" s="25"/>
      <c r="V1180" s="25"/>
      <c r="W1180" s="25"/>
      <c r="X1180" s="25"/>
      <c r="Y1180" s="25"/>
      <c r="Z1180" s="25"/>
    </row>
    <row r="1181" spans="19:26" x14ac:dyDescent="0.35">
      <c r="S1181" s="97"/>
      <c r="T1181" s="97"/>
      <c r="U1181" s="25"/>
      <c r="V1181" s="25"/>
      <c r="W1181" s="25"/>
      <c r="X1181" s="25"/>
      <c r="Y1181" s="25"/>
      <c r="Z1181" s="25"/>
    </row>
    <row r="1182" spans="19:26" x14ac:dyDescent="0.35">
      <c r="S1182" s="97"/>
      <c r="T1182" s="97"/>
      <c r="U1182" s="25"/>
      <c r="V1182" s="25"/>
      <c r="W1182" s="25"/>
      <c r="X1182" s="25"/>
      <c r="Y1182" s="25"/>
      <c r="Z1182" s="25"/>
    </row>
    <row r="1183" spans="19:26" x14ac:dyDescent="0.35">
      <c r="S1183" s="97"/>
      <c r="T1183" s="97"/>
      <c r="U1183" s="25"/>
      <c r="V1183" s="25"/>
      <c r="W1183" s="25"/>
      <c r="X1183" s="25"/>
      <c r="Y1183" s="25"/>
      <c r="Z1183" s="25"/>
    </row>
    <row r="1184" spans="19:26" x14ac:dyDescent="0.35">
      <c r="S1184" s="97"/>
      <c r="T1184" s="97"/>
      <c r="U1184" s="25"/>
      <c r="V1184" s="25"/>
      <c r="W1184" s="25"/>
      <c r="X1184" s="25"/>
      <c r="Y1184" s="25"/>
      <c r="Z1184" s="25"/>
    </row>
    <row r="1185" spans="19:26" x14ac:dyDescent="0.35">
      <c r="S1185" s="97"/>
      <c r="T1185" s="97"/>
      <c r="U1185" s="25"/>
      <c r="V1185" s="25"/>
      <c r="W1185" s="25"/>
      <c r="X1185" s="25"/>
      <c r="Y1185" s="25"/>
      <c r="Z1185" s="25"/>
    </row>
    <row r="1186" spans="19:26" x14ac:dyDescent="0.35">
      <c r="S1186" s="97"/>
      <c r="T1186" s="97"/>
      <c r="U1186" s="25"/>
      <c r="V1186" s="25"/>
      <c r="W1186" s="25"/>
      <c r="X1186" s="25"/>
      <c r="Y1186" s="25"/>
      <c r="Z1186" s="25"/>
    </row>
    <row r="1187" spans="19:26" x14ac:dyDescent="0.35">
      <c r="S1187" s="97"/>
      <c r="T1187" s="97"/>
      <c r="U1187" s="25"/>
      <c r="V1187" s="25"/>
      <c r="W1187" s="25"/>
      <c r="X1187" s="25"/>
      <c r="Y1187" s="25"/>
      <c r="Z1187" s="25"/>
    </row>
    <row r="1188" spans="19:26" x14ac:dyDescent="0.35">
      <c r="S1188" s="97"/>
      <c r="T1188" s="97"/>
      <c r="U1188" s="25"/>
      <c r="V1188" s="25"/>
      <c r="W1188" s="25"/>
      <c r="X1188" s="25"/>
      <c r="Y1188" s="25"/>
      <c r="Z1188" s="25"/>
    </row>
    <row r="1189" spans="19:26" x14ac:dyDescent="0.35">
      <c r="S1189" s="97"/>
      <c r="T1189" s="97"/>
      <c r="U1189" s="25"/>
      <c r="V1189" s="25"/>
      <c r="W1189" s="25"/>
      <c r="X1189" s="25"/>
      <c r="Y1189" s="25"/>
      <c r="Z1189" s="25"/>
    </row>
    <row r="1190" spans="19:26" x14ac:dyDescent="0.35">
      <c r="S1190" s="97"/>
      <c r="T1190" s="97"/>
      <c r="U1190" s="25"/>
      <c r="V1190" s="25"/>
      <c r="W1190" s="25"/>
      <c r="X1190" s="25"/>
      <c r="Y1190" s="25"/>
      <c r="Z1190" s="25"/>
    </row>
    <row r="1191" spans="19:26" x14ac:dyDescent="0.35">
      <c r="S1191" s="97"/>
      <c r="T1191" s="97"/>
      <c r="U1191" s="25"/>
      <c r="V1191" s="25"/>
      <c r="W1191" s="25"/>
      <c r="X1191" s="25"/>
      <c r="Y1191" s="25"/>
      <c r="Z1191" s="25"/>
    </row>
    <row r="1192" spans="19:26" x14ac:dyDescent="0.35">
      <c r="S1192" s="97"/>
      <c r="T1192" s="97"/>
      <c r="U1192" s="25"/>
      <c r="V1192" s="25"/>
      <c r="W1192" s="25"/>
      <c r="X1192" s="25"/>
      <c r="Y1192" s="25"/>
      <c r="Z1192" s="25"/>
    </row>
    <row r="1193" spans="19:26" x14ac:dyDescent="0.35">
      <c r="S1193" s="97"/>
      <c r="T1193" s="97"/>
      <c r="U1193" s="25"/>
      <c r="V1193" s="25"/>
      <c r="W1193" s="25"/>
      <c r="X1193" s="25"/>
      <c r="Y1193" s="25"/>
      <c r="Z1193" s="25"/>
    </row>
    <row r="1194" spans="19:26" x14ac:dyDescent="0.35">
      <c r="S1194" s="97"/>
      <c r="T1194" s="97"/>
      <c r="U1194" s="25"/>
      <c r="V1194" s="25"/>
      <c r="W1194" s="25"/>
      <c r="X1194" s="25"/>
      <c r="Y1194" s="25"/>
      <c r="Z1194" s="25"/>
    </row>
    <row r="1195" spans="19:26" x14ac:dyDescent="0.35">
      <c r="S1195" s="97"/>
      <c r="T1195" s="97"/>
      <c r="U1195" s="25"/>
      <c r="V1195" s="25"/>
      <c r="W1195" s="25"/>
      <c r="X1195" s="25"/>
      <c r="Y1195" s="25"/>
      <c r="Z1195" s="25"/>
    </row>
    <row r="1196" spans="19:26" x14ac:dyDescent="0.35">
      <c r="S1196" s="97"/>
      <c r="T1196" s="97"/>
      <c r="U1196" s="25"/>
      <c r="V1196" s="25"/>
      <c r="W1196" s="25"/>
      <c r="X1196" s="25"/>
      <c r="Y1196" s="25"/>
      <c r="Z1196" s="25"/>
    </row>
    <row r="1197" spans="19:26" x14ac:dyDescent="0.35">
      <c r="S1197" s="97"/>
      <c r="T1197" s="97"/>
      <c r="U1197" s="25"/>
      <c r="V1197" s="25"/>
      <c r="W1197" s="25"/>
      <c r="X1197" s="25"/>
      <c r="Y1197" s="25"/>
      <c r="Z1197" s="25"/>
    </row>
    <row r="1198" spans="19:26" x14ac:dyDescent="0.35">
      <c r="S1198" s="97"/>
      <c r="T1198" s="97"/>
      <c r="U1198" s="25"/>
      <c r="V1198" s="25"/>
      <c r="W1198" s="25"/>
      <c r="X1198" s="25"/>
      <c r="Y1198" s="25"/>
      <c r="Z1198" s="25"/>
    </row>
    <row r="1199" spans="19:26" x14ac:dyDescent="0.35">
      <c r="S1199" s="97"/>
      <c r="T1199" s="97"/>
      <c r="U1199" s="25"/>
      <c r="V1199" s="25"/>
      <c r="W1199" s="25"/>
      <c r="X1199" s="25"/>
      <c r="Y1199" s="25"/>
      <c r="Z1199" s="25"/>
    </row>
    <row r="1200" spans="19:26" x14ac:dyDescent="0.35">
      <c r="S1200" s="97"/>
      <c r="T1200" s="97"/>
      <c r="U1200" s="25"/>
      <c r="V1200" s="25"/>
      <c r="W1200" s="25"/>
      <c r="X1200" s="25"/>
      <c r="Y1200" s="25"/>
      <c r="Z1200" s="25"/>
    </row>
    <row r="1201" spans="19:26" x14ac:dyDescent="0.35">
      <c r="S1201" s="97"/>
      <c r="T1201" s="97"/>
      <c r="U1201" s="25"/>
      <c r="V1201" s="25"/>
      <c r="W1201" s="25"/>
      <c r="X1201" s="25"/>
      <c r="Y1201" s="25"/>
      <c r="Z1201" s="25"/>
    </row>
    <row r="1202" spans="19:26" x14ac:dyDescent="0.35">
      <c r="S1202" s="97"/>
      <c r="T1202" s="97"/>
      <c r="U1202" s="25"/>
      <c r="V1202" s="25"/>
      <c r="W1202" s="25"/>
      <c r="X1202" s="25"/>
      <c r="Y1202" s="25"/>
      <c r="Z1202" s="25"/>
    </row>
    <row r="1203" spans="19:26" x14ac:dyDescent="0.35">
      <c r="S1203" s="97"/>
      <c r="T1203" s="97"/>
      <c r="U1203" s="25"/>
      <c r="V1203" s="25"/>
      <c r="W1203" s="25"/>
      <c r="X1203" s="25"/>
      <c r="Y1203" s="25"/>
      <c r="Z1203" s="25"/>
    </row>
    <row r="1204" spans="19:26" x14ac:dyDescent="0.35">
      <c r="S1204" s="97"/>
      <c r="T1204" s="97"/>
      <c r="U1204" s="25"/>
      <c r="V1204" s="25"/>
      <c r="W1204" s="25"/>
      <c r="X1204" s="25"/>
      <c r="Y1204" s="25"/>
      <c r="Z1204" s="25"/>
    </row>
    <row r="1205" spans="19:26" x14ac:dyDescent="0.35">
      <c r="S1205" s="97"/>
      <c r="T1205" s="97"/>
      <c r="U1205" s="25"/>
      <c r="V1205" s="25"/>
      <c r="W1205" s="25"/>
      <c r="X1205" s="25"/>
      <c r="Y1205" s="25"/>
      <c r="Z1205" s="25"/>
    </row>
    <row r="1206" spans="19:26" x14ac:dyDescent="0.35">
      <c r="S1206" s="97"/>
      <c r="T1206" s="97"/>
      <c r="U1206" s="25"/>
      <c r="V1206" s="25"/>
      <c r="W1206" s="25"/>
      <c r="X1206" s="25"/>
      <c r="Y1206" s="25"/>
      <c r="Z1206" s="25"/>
    </row>
    <row r="1207" spans="19:26" x14ac:dyDescent="0.35">
      <c r="S1207" s="97"/>
      <c r="T1207" s="97"/>
      <c r="U1207" s="25"/>
      <c r="V1207" s="25"/>
      <c r="W1207" s="25"/>
      <c r="X1207" s="25"/>
      <c r="Y1207" s="25"/>
      <c r="Z1207" s="25"/>
    </row>
    <row r="1208" spans="19:26" x14ac:dyDescent="0.35">
      <c r="S1208" s="97"/>
      <c r="T1208" s="97"/>
      <c r="U1208" s="25"/>
      <c r="V1208" s="25"/>
      <c r="W1208" s="25"/>
      <c r="X1208" s="25"/>
      <c r="Y1208" s="25"/>
      <c r="Z1208" s="25"/>
    </row>
    <row r="1209" spans="19:26" x14ac:dyDescent="0.35">
      <c r="S1209" s="97"/>
      <c r="T1209" s="97"/>
      <c r="U1209" s="25"/>
      <c r="V1209" s="25"/>
      <c r="W1209" s="25"/>
      <c r="X1209" s="25"/>
      <c r="Y1209" s="25"/>
      <c r="Z1209" s="25"/>
    </row>
    <row r="1210" spans="19:26" x14ac:dyDescent="0.35">
      <c r="S1210" s="97"/>
      <c r="T1210" s="97"/>
      <c r="U1210" s="25"/>
      <c r="V1210" s="25"/>
      <c r="W1210" s="25"/>
      <c r="X1210" s="25"/>
      <c r="Y1210" s="25"/>
      <c r="Z1210" s="25"/>
    </row>
    <row r="1211" spans="19:26" x14ac:dyDescent="0.35">
      <c r="S1211" s="97"/>
      <c r="T1211" s="97"/>
      <c r="U1211" s="25"/>
      <c r="V1211" s="25"/>
      <c r="W1211" s="25"/>
      <c r="X1211" s="25"/>
      <c r="Y1211" s="25"/>
      <c r="Z1211" s="25"/>
    </row>
    <row r="1212" spans="19:26" x14ac:dyDescent="0.35">
      <c r="S1212" s="97"/>
      <c r="T1212" s="97"/>
      <c r="U1212" s="25"/>
      <c r="V1212" s="25"/>
      <c r="W1212" s="25"/>
      <c r="X1212" s="25"/>
      <c r="Y1212" s="25"/>
      <c r="Z1212" s="25"/>
    </row>
    <row r="1213" spans="19:26" x14ac:dyDescent="0.35">
      <c r="S1213" s="97"/>
      <c r="T1213" s="97"/>
      <c r="U1213" s="25"/>
      <c r="V1213" s="25"/>
      <c r="W1213" s="25"/>
      <c r="X1213" s="25"/>
      <c r="Y1213" s="25"/>
      <c r="Z1213" s="25"/>
    </row>
    <row r="1214" spans="19:26" x14ac:dyDescent="0.35">
      <c r="S1214" s="97"/>
      <c r="T1214" s="97"/>
      <c r="U1214" s="25"/>
      <c r="V1214" s="25"/>
      <c r="W1214" s="25"/>
      <c r="X1214" s="25"/>
      <c r="Y1214" s="25"/>
      <c r="Z1214" s="25"/>
    </row>
    <row r="1215" spans="19:26" x14ac:dyDescent="0.35">
      <c r="S1215" s="97"/>
      <c r="T1215" s="97"/>
      <c r="U1215" s="25"/>
      <c r="V1215" s="25"/>
      <c r="W1215" s="25"/>
      <c r="X1215" s="25"/>
      <c r="Y1215" s="25"/>
      <c r="Z1215" s="25"/>
    </row>
    <row r="1216" spans="19:26" x14ac:dyDescent="0.35">
      <c r="S1216" s="97"/>
      <c r="T1216" s="97"/>
      <c r="U1216" s="25"/>
      <c r="V1216" s="25"/>
      <c r="W1216" s="25"/>
      <c r="X1216" s="25"/>
      <c r="Y1216" s="25"/>
      <c r="Z1216" s="25"/>
    </row>
    <row r="1217" spans="19:26" x14ac:dyDescent="0.35">
      <c r="S1217" s="97"/>
      <c r="T1217" s="97"/>
      <c r="U1217" s="25"/>
      <c r="V1217" s="25"/>
      <c r="W1217" s="25"/>
      <c r="X1217" s="25"/>
      <c r="Y1217" s="25"/>
      <c r="Z1217" s="25"/>
    </row>
    <row r="1218" spans="19:26" x14ac:dyDescent="0.35">
      <c r="S1218" s="97"/>
      <c r="T1218" s="97"/>
      <c r="U1218" s="25"/>
      <c r="V1218" s="25"/>
      <c r="W1218" s="25"/>
      <c r="X1218" s="25"/>
      <c r="Y1218" s="25"/>
      <c r="Z1218" s="25"/>
    </row>
    <row r="1219" spans="19:26" x14ac:dyDescent="0.35">
      <c r="S1219" s="97"/>
      <c r="T1219" s="97"/>
      <c r="U1219" s="25"/>
      <c r="V1219" s="25"/>
      <c r="W1219" s="25"/>
      <c r="X1219" s="25"/>
      <c r="Y1219" s="25"/>
      <c r="Z1219" s="25"/>
    </row>
    <row r="1220" spans="19:26" x14ac:dyDescent="0.35">
      <c r="S1220" s="97"/>
      <c r="T1220" s="97"/>
      <c r="U1220" s="25"/>
      <c r="V1220" s="25"/>
      <c r="W1220" s="25"/>
      <c r="X1220" s="25"/>
      <c r="Y1220" s="25"/>
      <c r="Z1220" s="25"/>
    </row>
    <row r="1221" spans="19:26" x14ac:dyDescent="0.35">
      <c r="S1221" s="97"/>
      <c r="T1221" s="97"/>
      <c r="U1221" s="25"/>
      <c r="V1221" s="25"/>
      <c r="W1221" s="25"/>
      <c r="X1221" s="25"/>
      <c r="Y1221" s="25"/>
      <c r="Z1221" s="25"/>
    </row>
    <row r="1222" spans="19:26" x14ac:dyDescent="0.35">
      <c r="S1222" s="97"/>
      <c r="T1222" s="97"/>
      <c r="U1222" s="25"/>
      <c r="V1222" s="25"/>
      <c r="W1222" s="25"/>
      <c r="X1222" s="25"/>
      <c r="Y1222" s="25"/>
      <c r="Z1222" s="25"/>
    </row>
    <row r="1223" spans="19:26" x14ac:dyDescent="0.35">
      <c r="S1223" s="97"/>
      <c r="T1223" s="97"/>
      <c r="U1223" s="25"/>
      <c r="V1223" s="25"/>
      <c r="W1223" s="25"/>
      <c r="X1223" s="25"/>
      <c r="Y1223" s="25"/>
      <c r="Z1223" s="25"/>
    </row>
    <row r="1224" spans="19:26" x14ac:dyDescent="0.35">
      <c r="S1224" s="97"/>
      <c r="T1224" s="97"/>
      <c r="U1224" s="25"/>
      <c r="V1224" s="25"/>
      <c r="W1224" s="25"/>
      <c r="X1224" s="25"/>
      <c r="Y1224" s="25"/>
      <c r="Z1224" s="25"/>
    </row>
    <row r="1225" spans="19:26" x14ac:dyDescent="0.35">
      <c r="S1225" s="97"/>
      <c r="T1225" s="97"/>
      <c r="U1225" s="25"/>
      <c r="V1225" s="25"/>
      <c r="W1225" s="25"/>
      <c r="X1225" s="25"/>
      <c r="Y1225" s="25"/>
      <c r="Z1225" s="25"/>
    </row>
    <row r="1226" spans="19:26" x14ac:dyDescent="0.35">
      <c r="S1226" s="97"/>
      <c r="T1226" s="97"/>
      <c r="U1226" s="25"/>
      <c r="V1226" s="25"/>
      <c r="W1226" s="25"/>
      <c r="X1226" s="25"/>
      <c r="Y1226" s="25"/>
      <c r="Z1226" s="25"/>
    </row>
    <row r="1227" spans="19:26" x14ac:dyDescent="0.35">
      <c r="S1227" s="97"/>
      <c r="T1227" s="97"/>
      <c r="U1227" s="25"/>
      <c r="V1227" s="25"/>
      <c r="W1227" s="25"/>
      <c r="X1227" s="25"/>
      <c r="Y1227" s="25"/>
      <c r="Z1227" s="25"/>
    </row>
    <row r="1228" spans="19:26" x14ac:dyDescent="0.35">
      <c r="S1228" s="97"/>
      <c r="T1228" s="97"/>
      <c r="U1228" s="25"/>
      <c r="V1228" s="25"/>
      <c r="W1228" s="25"/>
      <c r="X1228" s="25"/>
      <c r="Y1228" s="25"/>
      <c r="Z1228" s="25"/>
    </row>
    <row r="1229" spans="19:26" x14ac:dyDescent="0.35">
      <c r="S1229" s="97"/>
      <c r="T1229" s="97"/>
      <c r="U1229" s="25"/>
      <c r="V1229" s="25"/>
      <c r="W1229" s="25"/>
      <c r="X1229" s="25"/>
      <c r="Y1229" s="25"/>
      <c r="Z1229" s="25"/>
    </row>
    <row r="1230" spans="19:26" x14ac:dyDescent="0.35">
      <c r="S1230" s="97"/>
      <c r="T1230" s="97"/>
      <c r="U1230" s="25"/>
      <c r="V1230" s="25"/>
      <c r="W1230" s="25"/>
      <c r="X1230" s="25"/>
      <c r="Y1230" s="25"/>
      <c r="Z1230" s="25"/>
    </row>
    <row r="1231" spans="19:26" x14ac:dyDescent="0.35">
      <c r="S1231" s="97"/>
      <c r="T1231" s="97"/>
      <c r="U1231" s="25"/>
      <c r="V1231" s="25"/>
      <c r="W1231" s="25"/>
      <c r="X1231" s="25"/>
      <c r="Y1231" s="25"/>
      <c r="Z1231" s="25"/>
    </row>
    <row r="1232" spans="19:26" x14ac:dyDescent="0.35">
      <c r="S1232" s="97"/>
      <c r="T1232" s="97"/>
      <c r="U1232" s="25"/>
      <c r="V1232" s="25"/>
      <c r="W1232" s="25"/>
      <c r="X1232" s="25"/>
      <c r="Y1232" s="25"/>
      <c r="Z1232" s="25"/>
    </row>
    <row r="1233" spans="19:26" x14ac:dyDescent="0.35">
      <c r="S1233" s="97"/>
      <c r="T1233" s="97"/>
      <c r="U1233" s="25"/>
      <c r="V1233" s="25"/>
      <c r="W1233" s="25"/>
      <c r="X1233" s="25"/>
      <c r="Y1233" s="25"/>
      <c r="Z1233" s="25"/>
    </row>
    <row r="1234" spans="19:26" x14ac:dyDescent="0.35">
      <c r="S1234" s="97"/>
      <c r="T1234" s="97"/>
      <c r="U1234" s="25"/>
      <c r="V1234" s="25"/>
      <c r="W1234" s="25"/>
      <c r="X1234" s="25"/>
      <c r="Y1234" s="25"/>
      <c r="Z1234" s="25"/>
    </row>
    <row r="1235" spans="19:26" x14ac:dyDescent="0.35">
      <c r="S1235" s="97"/>
      <c r="T1235" s="97"/>
      <c r="U1235" s="25"/>
      <c r="V1235" s="25"/>
      <c r="W1235" s="25"/>
      <c r="X1235" s="25"/>
      <c r="Y1235" s="25"/>
      <c r="Z1235" s="25"/>
    </row>
    <row r="1236" spans="19:26" x14ac:dyDescent="0.35">
      <c r="S1236" s="97"/>
      <c r="T1236" s="97"/>
      <c r="U1236" s="25"/>
      <c r="V1236" s="25"/>
      <c r="W1236" s="25"/>
      <c r="X1236" s="25"/>
      <c r="Y1236" s="25"/>
      <c r="Z1236" s="25"/>
    </row>
    <row r="1237" spans="19:26" x14ac:dyDescent="0.35">
      <c r="S1237" s="97"/>
      <c r="T1237" s="97"/>
      <c r="U1237" s="25"/>
      <c r="V1237" s="25"/>
      <c r="W1237" s="25"/>
      <c r="X1237" s="25"/>
      <c r="Y1237" s="25"/>
      <c r="Z1237" s="25"/>
    </row>
    <row r="1238" spans="19:26" x14ac:dyDescent="0.35">
      <c r="S1238" s="97"/>
      <c r="T1238" s="97"/>
      <c r="U1238" s="25"/>
      <c r="V1238" s="25"/>
      <c r="W1238" s="25"/>
      <c r="X1238" s="25"/>
      <c r="Y1238" s="25"/>
      <c r="Z1238" s="25"/>
    </row>
    <row r="1239" spans="19:26" x14ac:dyDescent="0.35">
      <c r="S1239" s="97"/>
      <c r="T1239" s="97"/>
      <c r="U1239" s="25"/>
      <c r="V1239" s="25"/>
      <c r="W1239" s="25"/>
      <c r="X1239" s="25"/>
      <c r="Y1239" s="25"/>
      <c r="Z1239" s="25"/>
    </row>
    <row r="1240" spans="19:26" x14ac:dyDescent="0.35">
      <c r="S1240" s="97"/>
      <c r="T1240" s="97"/>
      <c r="U1240" s="25"/>
      <c r="V1240" s="25"/>
      <c r="W1240" s="25"/>
      <c r="X1240" s="25"/>
      <c r="Y1240" s="25"/>
      <c r="Z1240" s="25"/>
    </row>
    <row r="1241" spans="19:26" x14ac:dyDescent="0.35">
      <c r="S1241" s="97"/>
      <c r="T1241" s="97"/>
      <c r="U1241" s="25"/>
      <c r="V1241" s="25"/>
      <c r="W1241" s="25"/>
      <c r="X1241" s="25"/>
      <c r="Y1241" s="25"/>
      <c r="Z1241" s="25"/>
    </row>
    <row r="1242" spans="19:26" x14ac:dyDescent="0.35">
      <c r="S1242" s="97"/>
      <c r="T1242" s="97"/>
      <c r="U1242" s="25"/>
      <c r="V1242" s="25"/>
      <c r="W1242" s="25"/>
      <c r="X1242" s="25"/>
      <c r="Y1242" s="25"/>
      <c r="Z1242" s="25"/>
    </row>
    <row r="1243" spans="19:26" x14ac:dyDescent="0.35">
      <c r="S1243" s="97"/>
      <c r="T1243" s="97"/>
      <c r="U1243" s="25"/>
      <c r="V1243" s="25"/>
      <c r="W1243" s="25"/>
      <c r="X1243" s="25"/>
      <c r="Y1243" s="25"/>
      <c r="Z1243" s="25"/>
    </row>
    <row r="1244" spans="19:26" x14ac:dyDescent="0.35">
      <c r="S1244" s="97"/>
      <c r="T1244" s="97"/>
      <c r="U1244" s="25"/>
      <c r="V1244" s="25"/>
      <c r="W1244" s="25"/>
      <c r="X1244" s="25"/>
      <c r="Y1244" s="25"/>
      <c r="Z1244" s="25"/>
    </row>
    <row r="1245" spans="19:26" x14ac:dyDescent="0.35">
      <c r="S1245" s="97"/>
      <c r="T1245" s="97"/>
      <c r="U1245" s="25"/>
      <c r="V1245" s="25"/>
      <c r="W1245" s="25"/>
      <c r="X1245" s="25"/>
      <c r="Y1245" s="25"/>
      <c r="Z1245" s="25"/>
    </row>
    <row r="1246" spans="19:26" x14ac:dyDescent="0.35">
      <c r="S1246" s="97"/>
      <c r="T1246" s="97"/>
      <c r="U1246" s="25"/>
      <c r="V1246" s="25"/>
      <c r="W1246" s="25"/>
      <c r="X1246" s="25"/>
      <c r="Y1246" s="25"/>
      <c r="Z1246" s="25"/>
    </row>
    <row r="1247" spans="19:26" x14ac:dyDescent="0.35">
      <c r="S1247" s="97"/>
      <c r="T1247" s="97"/>
      <c r="U1247" s="25"/>
      <c r="V1247" s="25"/>
      <c r="W1247" s="25"/>
      <c r="X1247" s="25"/>
      <c r="Y1247" s="25"/>
      <c r="Z1247" s="25"/>
    </row>
    <row r="1248" spans="19:26" x14ac:dyDescent="0.35">
      <c r="S1248" s="97"/>
      <c r="T1248" s="97"/>
      <c r="U1248" s="25"/>
      <c r="V1248" s="25"/>
      <c r="W1248" s="25"/>
      <c r="X1248" s="25"/>
      <c r="Y1248" s="25"/>
      <c r="Z1248" s="25"/>
    </row>
    <row r="1249" spans="19:26" x14ac:dyDescent="0.35">
      <c r="S1249" s="97"/>
      <c r="T1249" s="97"/>
      <c r="U1249" s="25"/>
      <c r="V1249" s="25"/>
      <c r="W1249" s="25"/>
      <c r="X1249" s="25"/>
      <c r="Y1249" s="25"/>
      <c r="Z1249" s="25"/>
    </row>
    <row r="1250" spans="19:26" x14ac:dyDescent="0.35">
      <c r="S1250" s="97"/>
      <c r="T1250" s="97"/>
      <c r="U1250" s="25"/>
      <c r="V1250" s="25"/>
      <c r="W1250" s="25"/>
      <c r="X1250" s="25"/>
      <c r="Y1250" s="25"/>
      <c r="Z1250" s="25"/>
    </row>
    <row r="1251" spans="19:26" x14ac:dyDescent="0.35">
      <c r="S1251" s="97"/>
      <c r="T1251" s="97"/>
      <c r="U1251" s="25"/>
      <c r="V1251" s="25"/>
      <c r="W1251" s="25"/>
      <c r="X1251" s="25"/>
      <c r="Y1251" s="25"/>
      <c r="Z1251" s="25"/>
    </row>
    <row r="1252" spans="19:26" x14ac:dyDescent="0.35">
      <c r="S1252" s="97"/>
      <c r="T1252" s="97"/>
      <c r="U1252" s="25"/>
      <c r="V1252" s="25"/>
      <c r="W1252" s="25"/>
      <c r="X1252" s="25"/>
      <c r="Y1252" s="25"/>
      <c r="Z1252" s="25"/>
    </row>
    <row r="1253" spans="19:26" x14ac:dyDescent="0.35">
      <c r="S1253" s="97"/>
      <c r="T1253" s="97"/>
      <c r="U1253" s="25"/>
      <c r="V1253" s="25"/>
      <c r="W1253" s="25"/>
      <c r="X1253" s="25"/>
      <c r="Y1253" s="25"/>
      <c r="Z1253" s="25"/>
    </row>
    <row r="1254" spans="19:26" x14ac:dyDescent="0.35">
      <c r="S1254" s="97"/>
      <c r="T1254" s="97"/>
      <c r="U1254" s="25"/>
      <c r="V1254" s="25"/>
      <c r="W1254" s="25"/>
      <c r="X1254" s="25"/>
      <c r="Y1254" s="25"/>
      <c r="Z1254" s="25"/>
    </row>
    <row r="1255" spans="19:26" x14ac:dyDescent="0.35">
      <c r="S1255" s="97"/>
      <c r="T1255" s="97"/>
      <c r="U1255" s="25"/>
      <c r="V1255" s="25"/>
      <c r="W1255" s="25"/>
      <c r="X1255" s="25"/>
      <c r="Y1255" s="25"/>
      <c r="Z1255" s="25"/>
    </row>
    <row r="1256" spans="19:26" x14ac:dyDescent="0.35">
      <c r="S1256" s="97"/>
      <c r="T1256" s="97"/>
      <c r="U1256" s="25"/>
      <c r="V1256" s="25"/>
      <c r="W1256" s="25"/>
      <c r="X1256" s="25"/>
      <c r="Y1256" s="25"/>
      <c r="Z1256" s="25"/>
    </row>
    <row r="1257" spans="19:26" x14ac:dyDescent="0.35">
      <c r="S1257" s="97"/>
      <c r="T1257" s="97"/>
      <c r="U1257" s="25"/>
      <c r="V1257" s="25"/>
      <c r="W1257" s="25"/>
      <c r="X1257" s="25"/>
      <c r="Y1257" s="25"/>
      <c r="Z1257" s="25"/>
    </row>
    <row r="1258" spans="19:26" x14ac:dyDescent="0.35">
      <c r="S1258" s="97"/>
      <c r="T1258" s="97"/>
      <c r="U1258" s="25"/>
      <c r="V1258" s="25"/>
      <c r="W1258" s="25"/>
      <c r="X1258" s="25"/>
      <c r="Y1258" s="25"/>
      <c r="Z1258" s="25"/>
    </row>
    <row r="1259" spans="19:26" x14ac:dyDescent="0.35">
      <c r="S1259" s="97"/>
      <c r="T1259" s="97"/>
      <c r="U1259" s="25"/>
      <c r="V1259" s="25"/>
      <c r="W1259" s="25"/>
      <c r="X1259" s="25"/>
      <c r="Y1259" s="25"/>
      <c r="Z1259" s="25"/>
    </row>
    <row r="1260" spans="19:26" x14ac:dyDescent="0.35">
      <c r="S1260" s="97"/>
      <c r="T1260" s="97"/>
      <c r="U1260" s="25"/>
      <c r="V1260" s="25"/>
      <c r="W1260" s="25"/>
      <c r="X1260" s="25"/>
      <c r="Y1260" s="25"/>
      <c r="Z1260" s="25"/>
    </row>
    <row r="1261" spans="19:26" x14ac:dyDescent="0.35">
      <c r="S1261" s="97"/>
      <c r="T1261" s="97"/>
      <c r="U1261" s="25"/>
      <c r="V1261" s="25"/>
      <c r="W1261" s="25"/>
      <c r="X1261" s="25"/>
      <c r="Y1261" s="25"/>
      <c r="Z1261" s="25"/>
    </row>
    <row r="1262" spans="19:26" x14ac:dyDescent="0.35">
      <c r="S1262" s="97"/>
      <c r="T1262" s="97"/>
      <c r="U1262" s="25"/>
      <c r="V1262" s="25"/>
      <c r="W1262" s="25"/>
      <c r="X1262" s="25"/>
      <c r="Y1262" s="25"/>
      <c r="Z1262" s="25"/>
    </row>
    <row r="1263" spans="19:26" x14ac:dyDescent="0.35">
      <c r="S1263" s="97"/>
      <c r="T1263" s="97"/>
      <c r="U1263" s="25"/>
      <c r="V1263" s="25"/>
      <c r="W1263" s="25"/>
      <c r="X1263" s="25"/>
      <c r="Y1263" s="25"/>
      <c r="Z1263" s="25"/>
    </row>
    <row r="1264" spans="19:26" x14ac:dyDescent="0.35">
      <c r="S1264" s="97"/>
      <c r="T1264" s="97"/>
      <c r="U1264" s="25"/>
      <c r="V1264" s="25"/>
      <c r="W1264" s="25"/>
      <c r="X1264" s="25"/>
      <c r="Y1264" s="25"/>
      <c r="Z1264" s="25"/>
    </row>
    <row r="1265" spans="19:26" x14ac:dyDescent="0.35">
      <c r="S1265" s="97"/>
      <c r="T1265" s="97"/>
      <c r="U1265" s="25"/>
      <c r="V1265" s="25"/>
      <c r="W1265" s="25"/>
      <c r="X1265" s="25"/>
      <c r="Y1265" s="25"/>
      <c r="Z1265" s="25"/>
    </row>
    <row r="1266" spans="19:26" x14ac:dyDescent="0.35">
      <c r="S1266" s="97"/>
      <c r="T1266" s="97"/>
      <c r="U1266" s="25"/>
      <c r="V1266" s="25"/>
      <c r="W1266" s="25"/>
      <c r="X1266" s="25"/>
      <c r="Y1266" s="25"/>
      <c r="Z1266" s="25"/>
    </row>
    <row r="1267" spans="19:26" x14ac:dyDescent="0.35">
      <c r="S1267" s="97"/>
      <c r="T1267" s="97"/>
      <c r="U1267" s="25"/>
      <c r="V1267" s="25"/>
      <c r="W1267" s="25"/>
      <c r="X1267" s="25"/>
      <c r="Y1267" s="25"/>
      <c r="Z1267" s="25"/>
    </row>
    <row r="1268" spans="19:26" x14ac:dyDescent="0.35">
      <c r="S1268" s="97"/>
      <c r="T1268" s="97"/>
      <c r="U1268" s="25"/>
      <c r="V1268" s="25"/>
      <c r="W1268" s="25"/>
      <c r="X1268" s="25"/>
      <c r="Y1268" s="25"/>
      <c r="Z1268" s="25"/>
    </row>
    <row r="1269" spans="19:26" x14ac:dyDescent="0.35">
      <c r="S1269" s="97"/>
      <c r="T1269" s="97"/>
      <c r="U1269" s="25"/>
      <c r="V1269" s="25"/>
      <c r="W1269" s="25"/>
      <c r="X1269" s="25"/>
      <c r="Y1269" s="25"/>
      <c r="Z1269" s="25"/>
    </row>
    <row r="1270" spans="19:26" x14ac:dyDescent="0.35">
      <c r="S1270" s="97"/>
      <c r="T1270" s="97"/>
      <c r="U1270" s="25"/>
      <c r="V1270" s="25"/>
      <c r="W1270" s="25"/>
      <c r="X1270" s="25"/>
      <c r="Y1270" s="25"/>
      <c r="Z1270" s="25"/>
    </row>
    <row r="1271" spans="19:26" x14ac:dyDescent="0.35">
      <c r="S1271" s="97"/>
      <c r="T1271" s="97"/>
      <c r="U1271" s="25"/>
      <c r="V1271" s="25"/>
      <c r="W1271" s="25"/>
      <c r="X1271" s="25"/>
      <c r="Y1271" s="25"/>
      <c r="Z1271" s="25"/>
    </row>
    <row r="1272" spans="19:26" x14ac:dyDescent="0.35">
      <c r="S1272" s="97"/>
      <c r="T1272" s="97"/>
      <c r="U1272" s="25"/>
      <c r="V1272" s="25"/>
      <c r="W1272" s="25"/>
      <c r="X1272" s="25"/>
      <c r="Y1272" s="25"/>
      <c r="Z1272" s="25"/>
    </row>
    <row r="1273" spans="19:26" x14ac:dyDescent="0.35">
      <c r="S1273" s="97"/>
      <c r="T1273" s="97"/>
      <c r="U1273" s="25"/>
      <c r="V1273" s="25"/>
      <c r="W1273" s="25"/>
      <c r="X1273" s="25"/>
      <c r="Y1273" s="25"/>
      <c r="Z1273" s="25"/>
    </row>
    <row r="1274" spans="19:26" x14ac:dyDescent="0.35">
      <c r="S1274" s="97"/>
      <c r="T1274" s="97"/>
      <c r="U1274" s="25"/>
      <c r="V1274" s="25"/>
      <c r="W1274" s="25"/>
      <c r="X1274" s="25"/>
      <c r="Y1274" s="25"/>
      <c r="Z1274" s="25"/>
    </row>
    <row r="1275" spans="19:26" x14ac:dyDescent="0.35">
      <c r="S1275" s="97"/>
      <c r="T1275" s="97"/>
      <c r="U1275" s="25"/>
      <c r="V1275" s="25"/>
      <c r="W1275" s="25"/>
      <c r="X1275" s="25"/>
      <c r="Y1275" s="25"/>
      <c r="Z1275" s="25"/>
    </row>
    <row r="1276" spans="19:26" x14ac:dyDescent="0.35">
      <c r="S1276" s="97"/>
      <c r="T1276" s="97"/>
      <c r="U1276" s="25"/>
      <c r="V1276" s="25"/>
      <c r="W1276" s="25"/>
      <c r="X1276" s="25"/>
      <c r="Y1276" s="25"/>
      <c r="Z1276" s="25"/>
    </row>
    <row r="1277" spans="19:26" x14ac:dyDescent="0.35">
      <c r="S1277" s="97"/>
      <c r="T1277" s="97"/>
      <c r="U1277" s="25"/>
      <c r="V1277" s="25"/>
      <c r="W1277" s="25"/>
      <c r="X1277" s="25"/>
      <c r="Y1277" s="25"/>
      <c r="Z1277" s="25"/>
    </row>
    <row r="1278" spans="19:26" x14ac:dyDescent="0.35">
      <c r="S1278" s="97"/>
      <c r="T1278" s="97"/>
      <c r="U1278" s="25"/>
      <c r="V1278" s="25"/>
      <c r="W1278" s="25"/>
      <c r="X1278" s="25"/>
      <c r="Y1278" s="25"/>
      <c r="Z1278" s="25"/>
    </row>
    <row r="1279" spans="19:26" x14ac:dyDescent="0.35">
      <c r="S1279" s="97"/>
      <c r="T1279" s="97"/>
      <c r="U1279" s="25"/>
      <c r="V1279" s="25"/>
      <c r="W1279" s="25"/>
      <c r="X1279" s="25"/>
      <c r="Y1279" s="25"/>
      <c r="Z1279" s="25"/>
    </row>
    <row r="1280" spans="19:26" x14ac:dyDescent="0.35">
      <c r="S1280" s="97"/>
      <c r="T1280" s="97"/>
      <c r="U1280" s="25"/>
      <c r="V1280" s="25"/>
      <c r="W1280" s="25"/>
      <c r="X1280" s="25"/>
      <c r="Y1280" s="25"/>
      <c r="Z1280" s="25"/>
    </row>
    <row r="1281" spans="19:26" x14ac:dyDescent="0.35">
      <c r="S1281" s="97"/>
      <c r="T1281" s="97"/>
      <c r="U1281" s="25"/>
      <c r="V1281" s="25"/>
      <c r="W1281" s="25"/>
      <c r="X1281" s="25"/>
      <c r="Y1281" s="25"/>
      <c r="Z1281" s="25"/>
    </row>
    <row r="1282" spans="19:26" x14ac:dyDescent="0.35">
      <c r="S1282" s="97"/>
      <c r="T1282" s="97"/>
      <c r="U1282" s="25"/>
      <c r="V1282" s="25"/>
      <c r="W1282" s="25"/>
      <c r="X1282" s="25"/>
      <c r="Y1282" s="25"/>
      <c r="Z1282" s="25"/>
    </row>
    <row r="1283" spans="19:26" x14ac:dyDescent="0.35">
      <c r="S1283" s="97"/>
      <c r="T1283" s="97"/>
      <c r="U1283" s="25"/>
      <c r="V1283" s="25"/>
      <c r="W1283" s="25"/>
      <c r="X1283" s="25"/>
      <c r="Y1283" s="25"/>
      <c r="Z1283" s="25"/>
    </row>
    <row r="1284" spans="19:26" x14ac:dyDescent="0.35">
      <c r="S1284" s="97"/>
      <c r="T1284" s="97"/>
      <c r="U1284" s="25"/>
      <c r="V1284" s="25"/>
      <c r="W1284" s="25"/>
      <c r="X1284" s="25"/>
      <c r="Y1284" s="25"/>
      <c r="Z1284" s="25"/>
    </row>
    <row r="1285" spans="19:26" x14ac:dyDescent="0.35">
      <c r="S1285" s="97"/>
      <c r="T1285" s="97"/>
      <c r="U1285" s="25"/>
      <c r="V1285" s="25"/>
      <c r="W1285" s="25"/>
      <c r="X1285" s="25"/>
      <c r="Y1285" s="25"/>
      <c r="Z1285" s="25"/>
    </row>
    <row r="1286" spans="19:26" x14ac:dyDescent="0.35">
      <c r="S1286" s="97"/>
      <c r="T1286" s="97"/>
      <c r="U1286" s="25"/>
      <c r="V1286" s="25"/>
      <c r="W1286" s="25"/>
      <c r="X1286" s="25"/>
      <c r="Y1286" s="25"/>
      <c r="Z1286" s="25"/>
    </row>
    <row r="1287" spans="19:26" x14ac:dyDescent="0.35">
      <c r="S1287" s="97"/>
      <c r="T1287" s="97"/>
      <c r="U1287" s="25"/>
      <c r="V1287" s="25"/>
      <c r="W1287" s="25"/>
      <c r="X1287" s="25"/>
      <c r="Y1287" s="25"/>
      <c r="Z1287" s="25"/>
    </row>
    <row r="1288" spans="19:26" x14ac:dyDescent="0.35">
      <c r="S1288" s="97"/>
      <c r="T1288" s="97"/>
      <c r="U1288" s="25"/>
      <c r="V1288" s="25"/>
      <c r="W1288" s="25"/>
      <c r="X1288" s="25"/>
      <c r="Y1288" s="25"/>
      <c r="Z1288" s="25"/>
    </row>
    <row r="1289" spans="19:26" x14ac:dyDescent="0.35">
      <c r="S1289" s="97"/>
      <c r="T1289" s="97"/>
      <c r="U1289" s="25"/>
      <c r="V1289" s="25"/>
      <c r="W1289" s="25"/>
      <c r="X1289" s="25"/>
      <c r="Y1289" s="25"/>
      <c r="Z1289" s="25"/>
    </row>
    <row r="1290" spans="19:26" x14ac:dyDescent="0.35">
      <c r="S1290" s="97"/>
      <c r="T1290" s="97"/>
      <c r="U1290" s="25"/>
      <c r="V1290" s="25"/>
      <c r="W1290" s="25"/>
      <c r="X1290" s="25"/>
      <c r="Y1290" s="25"/>
      <c r="Z1290" s="25"/>
    </row>
    <row r="1291" spans="19:26" x14ac:dyDescent="0.35">
      <c r="S1291" s="97"/>
      <c r="T1291" s="97"/>
      <c r="U1291" s="25"/>
      <c r="V1291" s="25"/>
      <c r="W1291" s="25"/>
      <c r="X1291" s="25"/>
      <c r="Y1291" s="25"/>
      <c r="Z1291" s="25"/>
    </row>
    <row r="1292" spans="19:26" x14ac:dyDescent="0.35">
      <c r="S1292" s="97"/>
      <c r="T1292" s="97"/>
      <c r="U1292" s="25"/>
      <c r="V1292" s="25"/>
      <c r="W1292" s="25"/>
      <c r="X1292" s="25"/>
      <c r="Y1292" s="25"/>
      <c r="Z1292" s="25"/>
    </row>
    <row r="1293" spans="19:26" x14ac:dyDescent="0.35">
      <c r="S1293" s="97"/>
      <c r="T1293" s="97"/>
      <c r="U1293" s="25"/>
      <c r="V1293" s="25"/>
      <c r="W1293" s="25"/>
      <c r="X1293" s="25"/>
      <c r="Y1293" s="25"/>
      <c r="Z1293" s="25"/>
    </row>
    <row r="1294" spans="19:26" x14ac:dyDescent="0.35">
      <c r="S1294" s="97"/>
      <c r="T1294" s="97"/>
      <c r="U1294" s="25"/>
      <c r="V1294" s="25"/>
      <c r="W1294" s="25"/>
      <c r="X1294" s="25"/>
      <c r="Y1294" s="25"/>
      <c r="Z1294" s="25"/>
    </row>
    <row r="1295" spans="19:26" x14ac:dyDescent="0.35">
      <c r="S1295" s="97"/>
      <c r="T1295" s="97"/>
      <c r="U1295" s="25"/>
      <c r="V1295" s="25"/>
      <c r="W1295" s="25"/>
      <c r="X1295" s="25"/>
      <c r="Y1295" s="25"/>
      <c r="Z1295" s="25"/>
    </row>
    <row r="1296" spans="19:26" x14ac:dyDescent="0.35">
      <c r="S1296" s="97"/>
      <c r="T1296" s="97"/>
      <c r="U1296" s="25"/>
      <c r="V1296" s="25"/>
      <c r="W1296" s="25"/>
      <c r="X1296" s="25"/>
      <c r="Y1296" s="25"/>
      <c r="Z1296" s="25"/>
    </row>
    <row r="1297" spans="19:26" x14ac:dyDescent="0.35">
      <c r="S1297" s="97"/>
      <c r="T1297" s="97"/>
      <c r="U1297" s="25"/>
      <c r="V1297" s="25"/>
      <c r="W1297" s="25"/>
      <c r="X1297" s="25"/>
      <c r="Y1297" s="25"/>
      <c r="Z1297" s="25"/>
    </row>
    <row r="1298" spans="19:26" x14ac:dyDescent="0.35">
      <c r="S1298" s="97"/>
      <c r="T1298" s="97"/>
      <c r="U1298" s="25"/>
      <c r="V1298" s="25"/>
      <c r="W1298" s="25"/>
      <c r="X1298" s="25"/>
      <c r="Y1298" s="25"/>
      <c r="Z1298" s="25"/>
    </row>
    <row r="1299" spans="19:26" x14ac:dyDescent="0.35">
      <c r="S1299" s="97"/>
      <c r="T1299" s="97"/>
      <c r="U1299" s="25"/>
      <c r="V1299" s="25"/>
      <c r="W1299" s="25"/>
      <c r="X1299" s="25"/>
      <c r="Y1299" s="25"/>
      <c r="Z1299" s="25"/>
    </row>
    <row r="1300" spans="19:26" x14ac:dyDescent="0.35">
      <c r="S1300" s="97"/>
      <c r="T1300" s="97"/>
      <c r="U1300" s="25"/>
      <c r="V1300" s="25"/>
      <c r="W1300" s="25"/>
      <c r="X1300" s="25"/>
      <c r="Y1300" s="25"/>
      <c r="Z1300" s="25"/>
    </row>
    <row r="1301" spans="19:26" x14ac:dyDescent="0.35">
      <c r="S1301" s="97"/>
      <c r="T1301" s="97"/>
      <c r="U1301" s="25"/>
      <c r="V1301" s="25"/>
      <c r="W1301" s="25"/>
      <c r="X1301" s="25"/>
      <c r="Y1301" s="25"/>
      <c r="Z1301" s="25"/>
    </row>
    <row r="1302" spans="19:26" x14ac:dyDescent="0.35">
      <c r="S1302" s="97"/>
      <c r="T1302" s="97"/>
      <c r="U1302" s="25"/>
      <c r="V1302" s="25"/>
      <c r="W1302" s="25"/>
      <c r="X1302" s="25"/>
      <c r="Y1302" s="25"/>
      <c r="Z1302" s="25"/>
    </row>
    <row r="1303" spans="19:26" x14ac:dyDescent="0.35">
      <c r="S1303" s="97"/>
      <c r="T1303" s="97"/>
      <c r="U1303" s="25"/>
      <c r="V1303" s="25"/>
      <c r="W1303" s="25"/>
      <c r="X1303" s="25"/>
      <c r="Y1303" s="25"/>
      <c r="Z1303" s="25"/>
    </row>
    <row r="1304" spans="19:26" x14ac:dyDescent="0.35">
      <c r="S1304" s="97"/>
      <c r="T1304" s="97"/>
      <c r="U1304" s="25"/>
      <c r="V1304" s="25"/>
      <c r="W1304" s="25"/>
      <c r="X1304" s="25"/>
      <c r="Y1304" s="25"/>
      <c r="Z1304" s="25"/>
    </row>
    <row r="1305" spans="19:26" x14ac:dyDescent="0.35">
      <c r="S1305" s="97"/>
      <c r="T1305" s="97"/>
      <c r="U1305" s="25"/>
      <c r="V1305" s="25"/>
      <c r="W1305" s="25"/>
      <c r="X1305" s="25"/>
      <c r="Y1305" s="25"/>
      <c r="Z1305" s="25"/>
    </row>
    <row r="1306" spans="19:26" x14ac:dyDescent="0.35">
      <c r="S1306" s="97"/>
      <c r="T1306" s="97"/>
      <c r="U1306" s="25"/>
      <c r="V1306" s="25"/>
      <c r="W1306" s="25"/>
      <c r="X1306" s="25"/>
      <c r="Y1306" s="25"/>
      <c r="Z1306" s="25"/>
    </row>
    <row r="1307" spans="19:26" x14ac:dyDescent="0.35">
      <c r="S1307" s="97"/>
      <c r="T1307" s="97"/>
      <c r="U1307" s="25"/>
      <c r="V1307" s="25"/>
      <c r="W1307" s="25"/>
      <c r="X1307" s="25"/>
      <c r="Y1307" s="25"/>
      <c r="Z1307" s="25"/>
    </row>
    <row r="1308" spans="19:26" x14ac:dyDescent="0.35">
      <c r="S1308" s="97"/>
      <c r="T1308" s="97"/>
      <c r="U1308" s="25"/>
      <c r="V1308" s="25"/>
      <c r="W1308" s="25"/>
      <c r="X1308" s="25"/>
      <c r="Y1308" s="25"/>
      <c r="Z1308" s="25"/>
    </row>
    <row r="1309" spans="19:26" x14ac:dyDescent="0.35">
      <c r="S1309" s="97"/>
      <c r="T1309" s="97"/>
      <c r="U1309" s="25"/>
      <c r="V1309" s="25"/>
      <c r="W1309" s="25"/>
      <c r="X1309" s="25"/>
      <c r="Y1309" s="25"/>
      <c r="Z1309" s="25"/>
    </row>
    <row r="1310" spans="19:26" x14ac:dyDescent="0.35">
      <c r="S1310" s="97"/>
      <c r="T1310" s="97"/>
      <c r="U1310" s="25"/>
      <c r="V1310" s="25"/>
      <c r="W1310" s="25"/>
      <c r="X1310" s="25"/>
      <c r="Y1310" s="25"/>
      <c r="Z1310" s="25"/>
    </row>
    <row r="1311" spans="19:26" x14ac:dyDescent="0.35">
      <c r="S1311" s="97"/>
      <c r="T1311" s="97"/>
      <c r="U1311" s="25"/>
      <c r="V1311" s="25"/>
      <c r="W1311" s="25"/>
      <c r="X1311" s="25"/>
      <c r="Y1311" s="25"/>
      <c r="Z1311" s="25"/>
    </row>
    <row r="1312" spans="19:26" x14ac:dyDescent="0.35">
      <c r="S1312" s="97"/>
      <c r="T1312" s="97"/>
      <c r="U1312" s="25"/>
      <c r="V1312" s="25"/>
      <c r="W1312" s="25"/>
      <c r="X1312" s="25"/>
      <c r="Y1312" s="25"/>
      <c r="Z1312" s="25"/>
    </row>
    <row r="1313" spans="19:26" x14ac:dyDescent="0.35">
      <c r="S1313" s="97"/>
      <c r="T1313" s="97"/>
      <c r="U1313" s="25"/>
      <c r="V1313" s="25"/>
      <c r="W1313" s="25"/>
      <c r="X1313" s="25"/>
      <c r="Y1313" s="25"/>
      <c r="Z1313" s="25"/>
    </row>
    <row r="1314" spans="19:26" x14ac:dyDescent="0.35">
      <c r="S1314" s="97"/>
      <c r="T1314" s="97"/>
      <c r="U1314" s="25"/>
      <c r="V1314" s="25"/>
      <c r="W1314" s="25"/>
      <c r="X1314" s="25"/>
      <c r="Y1314" s="25"/>
      <c r="Z1314" s="25"/>
    </row>
    <row r="1315" spans="19:26" x14ac:dyDescent="0.35">
      <c r="S1315" s="97"/>
      <c r="T1315" s="97"/>
      <c r="U1315" s="25"/>
      <c r="V1315" s="25"/>
      <c r="W1315" s="25"/>
      <c r="X1315" s="25"/>
      <c r="Y1315" s="25"/>
      <c r="Z1315" s="25"/>
    </row>
    <row r="1316" spans="19:26" x14ac:dyDescent="0.35">
      <c r="S1316" s="97"/>
      <c r="T1316" s="97"/>
      <c r="U1316" s="25"/>
      <c r="V1316" s="25"/>
      <c r="W1316" s="25"/>
      <c r="X1316" s="25"/>
      <c r="Y1316" s="25"/>
      <c r="Z1316" s="25"/>
    </row>
    <row r="1317" spans="19:26" x14ac:dyDescent="0.35">
      <c r="S1317" s="97"/>
      <c r="T1317" s="97"/>
      <c r="U1317" s="25"/>
      <c r="V1317" s="25"/>
      <c r="W1317" s="25"/>
      <c r="X1317" s="25"/>
      <c r="Y1317" s="25"/>
      <c r="Z1317" s="25"/>
    </row>
    <row r="1318" spans="19:26" x14ac:dyDescent="0.35">
      <c r="S1318" s="97"/>
      <c r="T1318" s="97"/>
      <c r="U1318" s="25"/>
      <c r="V1318" s="25"/>
      <c r="W1318" s="25"/>
      <c r="X1318" s="25"/>
      <c r="Y1318" s="25"/>
      <c r="Z1318" s="25"/>
    </row>
    <row r="1319" spans="19:26" x14ac:dyDescent="0.35">
      <c r="S1319" s="97"/>
      <c r="T1319" s="97"/>
      <c r="U1319" s="25"/>
      <c r="V1319" s="25"/>
      <c r="W1319" s="25"/>
      <c r="X1319" s="25"/>
      <c r="Y1319" s="25"/>
      <c r="Z1319" s="25"/>
    </row>
    <row r="1320" spans="19:26" x14ac:dyDescent="0.35">
      <c r="S1320" s="97"/>
      <c r="T1320" s="97"/>
      <c r="U1320" s="25"/>
      <c r="V1320" s="25"/>
      <c r="W1320" s="25"/>
      <c r="X1320" s="25"/>
      <c r="Y1320" s="25"/>
      <c r="Z1320" s="25"/>
    </row>
    <row r="1321" spans="19:26" x14ac:dyDescent="0.35">
      <c r="S1321" s="97"/>
      <c r="T1321" s="97"/>
      <c r="U1321" s="25"/>
      <c r="V1321" s="25"/>
      <c r="W1321" s="25"/>
      <c r="X1321" s="25"/>
      <c r="Y1321" s="25"/>
      <c r="Z1321" s="25"/>
    </row>
    <row r="1322" spans="19:26" x14ac:dyDescent="0.35">
      <c r="S1322" s="97"/>
      <c r="T1322" s="97"/>
      <c r="U1322" s="25"/>
      <c r="V1322" s="25"/>
      <c r="W1322" s="25"/>
      <c r="X1322" s="25"/>
      <c r="Y1322" s="25"/>
      <c r="Z1322" s="25"/>
    </row>
    <row r="1323" spans="19:26" x14ac:dyDescent="0.35">
      <c r="S1323" s="97"/>
      <c r="T1323" s="97"/>
      <c r="U1323" s="25"/>
      <c r="V1323" s="25"/>
      <c r="W1323" s="25"/>
      <c r="X1323" s="25"/>
      <c r="Y1323" s="25"/>
      <c r="Z1323" s="25"/>
    </row>
    <row r="1324" spans="19:26" x14ac:dyDescent="0.35">
      <c r="S1324" s="97"/>
      <c r="T1324" s="97"/>
      <c r="U1324" s="25"/>
      <c r="V1324" s="25"/>
      <c r="W1324" s="25"/>
      <c r="X1324" s="25"/>
      <c r="Y1324" s="25"/>
      <c r="Z1324" s="25"/>
    </row>
    <row r="1325" spans="19:26" x14ac:dyDescent="0.35">
      <c r="S1325" s="97"/>
      <c r="T1325" s="97"/>
      <c r="U1325" s="25"/>
      <c r="V1325" s="25"/>
      <c r="W1325" s="25"/>
      <c r="X1325" s="25"/>
      <c r="Y1325" s="25"/>
      <c r="Z1325" s="25"/>
    </row>
    <row r="1326" spans="19:26" x14ac:dyDescent="0.35">
      <c r="S1326" s="97"/>
      <c r="T1326" s="97"/>
      <c r="U1326" s="25"/>
      <c r="V1326" s="25"/>
      <c r="W1326" s="25"/>
      <c r="X1326" s="25"/>
      <c r="Y1326" s="25"/>
      <c r="Z1326" s="25"/>
    </row>
    <row r="1327" spans="19:26" x14ac:dyDescent="0.35">
      <c r="S1327" s="97"/>
      <c r="T1327" s="97"/>
      <c r="U1327" s="25"/>
      <c r="V1327" s="25"/>
      <c r="W1327" s="25"/>
      <c r="X1327" s="25"/>
      <c r="Y1327" s="25"/>
      <c r="Z1327" s="25"/>
    </row>
    <row r="1328" spans="19:26" x14ac:dyDescent="0.35">
      <c r="S1328" s="97"/>
      <c r="T1328" s="97"/>
      <c r="U1328" s="25"/>
      <c r="V1328" s="25"/>
      <c r="W1328" s="25"/>
      <c r="X1328" s="25"/>
      <c r="Y1328" s="25"/>
      <c r="Z1328" s="25"/>
    </row>
    <row r="1329" spans="19:26" x14ac:dyDescent="0.35">
      <c r="S1329" s="97"/>
      <c r="T1329" s="97"/>
      <c r="U1329" s="25"/>
      <c r="V1329" s="25"/>
      <c r="W1329" s="25"/>
      <c r="X1329" s="25"/>
      <c r="Y1329" s="25"/>
      <c r="Z1329" s="25"/>
    </row>
    <row r="1330" spans="19:26" x14ac:dyDescent="0.35">
      <c r="S1330" s="97"/>
      <c r="T1330" s="97"/>
      <c r="U1330" s="25"/>
      <c r="V1330" s="25"/>
      <c r="W1330" s="25"/>
      <c r="X1330" s="25"/>
      <c r="Y1330" s="25"/>
      <c r="Z1330" s="25"/>
    </row>
    <row r="1331" spans="19:26" x14ac:dyDescent="0.35">
      <c r="S1331" s="97"/>
      <c r="T1331" s="97"/>
      <c r="U1331" s="25"/>
      <c r="V1331" s="25"/>
      <c r="W1331" s="25"/>
      <c r="X1331" s="25"/>
      <c r="Y1331" s="25"/>
      <c r="Z1331" s="25"/>
    </row>
    <row r="1332" spans="19:26" x14ac:dyDescent="0.35">
      <c r="S1332" s="97"/>
      <c r="T1332" s="97"/>
      <c r="U1332" s="25"/>
      <c r="V1332" s="25"/>
      <c r="W1332" s="25"/>
      <c r="X1332" s="25"/>
      <c r="Y1332" s="25"/>
      <c r="Z1332" s="25"/>
    </row>
    <row r="1333" spans="19:26" x14ac:dyDescent="0.35">
      <c r="S1333" s="97"/>
      <c r="T1333" s="97"/>
      <c r="U1333" s="25"/>
      <c r="V1333" s="25"/>
      <c r="W1333" s="25"/>
      <c r="X1333" s="25"/>
      <c r="Y1333" s="25"/>
      <c r="Z1333" s="25"/>
    </row>
    <row r="1334" spans="19:26" x14ac:dyDescent="0.35">
      <c r="S1334" s="97"/>
      <c r="T1334" s="97"/>
      <c r="U1334" s="25"/>
      <c r="V1334" s="25"/>
      <c r="W1334" s="25"/>
      <c r="X1334" s="25"/>
      <c r="Y1334" s="25"/>
      <c r="Z1334" s="25"/>
    </row>
    <row r="1335" spans="19:26" x14ac:dyDescent="0.35">
      <c r="S1335" s="97"/>
      <c r="T1335" s="97"/>
      <c r="U1335" s="25"/>
      <c r="V1335" s="25"/>
      <c r="W1335" s="25"/>
      <c r="X1335" s="25"/>
      <c r="Y1335" s="25"/>
      <c r="Z1335" s="25"/>
    </row>
    <row r="1336" spans="19:26" x14ac:dyDescent="0.35">
      <c r="S1336" s="97"/>
      <c r="T1336" s="97"/>
      <c r="U1336" s="25"/>
      <c r="V1336" s="25"/>
      <c r="W1336" s="25"/>
      <c r="X1336" s="25"/>
      <c r="Y1336" s="25"/>
      <c r="Z1336" s="25"/>
    </row>
    <row r="1337" spans="19:26" x14ac:dyDescent="0.35">
      <c r="S1337" s="97"/>
      <c r="T1337" s="97"/>
      <c r="U1337" s="25"/>
      <c r="V1337" s="25"/>
      <c r="W1337" s="25"/>
      <c r="X1337" s="25"/>
      <c r="Y1337" s="25"/>
      <c r="Z1337" s="25"/>
    </row>
    <row r="1338" spans="19:26" x14ac:dyDescent="0.35">
      <c r="S1338" s="97"/>
      <c r="T1338" s="97"/>
      <c r="U1338" s="25"/>
      <c r="V1338" s="25"/>
      <c r="W1338" s="25"/>
      <c r="X1338" s="25"/>
      <c r="Y1338" s="25"/>
      <c r="Z1338" s="25"/>
    </row>
    <row r="1339" spans="19:26" x14ac:dyDescent="0.35">
      <c r="S1339" s="97"/>
      <c r="T1339" s="97"/>
      <c r="U1339" s="25"/>
      <c r="V1339" s="25"/>
      <c r="W1339" s="25"/>
      <c r="X1339" s="25"/>
      <c r="Y1339" s="25"/>
      <c r="Z1339" s="25"/>
    </row>
    <row r="1340" spans="19:26" x14ac:dyDescent="0.35">
      <c r="S1340" s="97"/>
      <c r="T1340" s="97"/>
      <c r="U1340" s="25"/>
      <c r="V1340" s="25"/>
      <c r="W1340" s="25"/>
      <c r="X1340" s="25"/>
      <c r="Y1340" s="25"/>
      <c r="Z1340" s="25"/>
    </row>
    <row r="1341" spans="19:26" x14ac:dyDescent="0.35">
      <c r="S1341" s="97"/>
      <c r="T1341" s="97"/>
      <c r="U1341" s="25"/>
      <c r="V1341" s="25"/>
      <c r="W1341" s="25"/>
      <c r="X1341" s="25"/>
      <c r="Y1341" s="25"/>
      <c r="Z1341" s="25"/>
    </row>
    <row r="1342" spans="19:26" x14ac:dyDescent="0.35">
      <c r="S1342" s="97"/>
      <c r="T1342" s="97"/>
      <c r="U1342" s="25"/>
      <c r="V1342" s="25"/>
      <c r="W1342" s="25"/>
      <c r="X1342" s="25"/>
      <c r="Y1342" s="25"/>
      <c r="Z1342" s="25"/>
    </row>
    <row r="1343" spans="19:26" x14ac:dyDescent="0.35">
      <c r="S1343" s="97"/>
      <c r="T1343" s="97"/>
      <c r="U1343" s="25"/>
      <c r="V1343" s="25"/>
      <c r="W1343" s="25"/>
      <c r="X1343" s="25"/>
      <c r="Y1343" s="25"/>
      <c r="Z1343" s="25"/>
    </row>
    <row r="1344" spans="19:26" x14ac:dyDescent="0.35">
      <c r="S1344" s="97"/>
      <c r="T1344" s="97"/>
      <c r="U1344" s="25"/>
      <c r="V1344" s="25"/>
      <c r="W1344" s="25"/>
      <c r="X1344" s="25"/>
      <c r="Y1344" s="25"/>
      <c r="Z1344" s="25"/>
    </row>
    <row r="1345" spans="19:26" x14ac:dyDescent="0.35">
      <c r="S1345" s="97"/>
      <c r="T1345" s="97"/>
      <c r="U1345" s="25"/>
      <c r="V1345" s="25"/>
      <c r="W1345" s="25"/>
      <c r="X1345" s="25"/>
      <c r="Y1345" s="25"/>
      <c r="Z1345" s="25"/>
    </row>
    <row r="1346" spans="19:26" x14ac:dyDescent="0.35">
      <c r="S1346" s="97"/>
      <c r="T1346" s="97"/>
      <c r="U1346" s="25"/>
      <c r="V1346" s="25"/>
      <c r="W1346" s="25"/>
      <c r="X1346" s="25"/>
      <c r="Y1346" s="25"/>
      <c r="Z1346" s="25"/>
    </row>
    <row r="1347" spans="19:26" x14ac:dyDescent="0.35">
      <c r="S1347" s="97"/>
      <c r="T1347" s="97"/>
      <c r="U1347" s="25"/>
      <c r="V1347" s="25"/>
      <c r="W1347" s="25"/>
      <c r="X1347" s="25"/>
      <c r="Y1347" s="25"/>
      <c r="Z1347" s="25"/>
    </row>
    <row r="1348" spans="19:26" x14ac:dyDescent="0.35">
      <c r="S1348" s="97"/>
      <c r="T1348" s="97"/>
      <c r="U1348" s="25"/>
      <c r="V1348" s="25"/>
      <c r="W1348" s="25"/>
      <c r="X1348" s="25"/>
      <c r="Y1348" s="25"/>
      <c r="Z1348" s="25"/>
    </row>
    <row r="1349" spans="19:26" x14ac:dyDescent="0.35">
      <c r="S1349" s="97"/>
      <c r="T1349" s="97"/>
      <c r="U1349" s="25"/>
      <c r="V1349" s="25"/>
      <c r="W1349" s="25"/>
      <c r="X1349" s="25"/>
      <c r="Y1349" s="25"/>
      <c r="Z1349" s="25"/>
    </row>
    <row r="1350" spans="19:26" x14ac:dyDescent="0.35">
      <c r="S1350" s="97"/>
      <c r="T1350" s="97"/>
      <c r="U1350" s="25"/>
      <c r="V1350" s="25"/>
      <c r="W1350" s="25"/>
      <c r="X1350" s="25"/>
      <c r="Y1350" s="25"/>
      <c r="Z1350" s="25"/>
    </row>
    <row r="1351" spans="19:26" x14ac:dyDescent="0.35">
      <c r="S1351" s="97"/>
      <c r="T1351" s="97"/>
      <c r="U1351" s="25"/>
      <c r="V1351" s="25"/>
      <c r="W1351" s="25"/>
      <c r="X1351" s="25"/>
      <c r="Y1351" s="25"/>
      <c r="Z1351" s="25"/>
    </row>
    <row r="1352" spans="19:26" x14ac:dyDescent="0.35">
      <c r="S1352" s="97"/>
      <c r="T1352" s="97"/>
      <c r="U1352" s="25"/>
      <c r="V1352" s="25"/>
      <c r="W1352" s="25"/>
      <c r="X1352" s="25"/>
      <c r="Y1352" s="25"/>
      <c r="Z1352" s="25"/>
    </row>
    <row r="1353" spans="19:26" x14ac:dyDescent="0.35">
      <c r="S1353" s="97"/>
      <c r="T1353" s="97"/>
      <c r="U1353" s="25"/>
      <c r="V1353" s="25"/>
      <c r="W1353" s="25"/>
      <c r="X1353" s="25"/>
      <c r="Y1353" s="25"/>
      <c r="Z1353" s="25"/>
    </row>
    <row r="1354" spans="19:26" x14ac:dyDescent="0.35">
      <c r="S1354" s="97"/>
      <c r="T1354" s="97"/>
      <c r="U1354" s="25"/>
      <c r="V1354" s="25"/>
      <c r="W1354" s="25"/>
      <c r="X1354" s="25"/>
      <c r="Y1354" s="25"/>
      <c r="Z1354" s="25"/>
    </row>
    <row r="1355" spans="19:26" x14ac:dyDescent="0.35">
      <c r="S1355" s="97"/>
      <c r="T1355" s="97"/>
      <c r="U1355" s="25"/>
      <c r="V1355" s="25"/>
      <c r="W1355" s="25"/>
      <c r="X1355" s="25"/>
      <c r="Y1355" s="25"/>
      <c r="Z1355" s="25"/>
    </row>
    <row r="1356" spans="19:26" x14ac:dyDescent="0.35">
      <c r="S1356" s="97"/>
      <c r="T1356" s="97"/>
      <c r="U1356" s="25"/>
      <c r="V1356" s="25"/>
      <c r="W1356" s="25"/>
      <c r="X1356" s="25"/>
      <c r="Y1356" s="25"/>
      <c r="Z1356" s="25"/>
    </row>
    <row r="1357" spans="19:26" x14ac:dyDescent="0.35">
      <c r="S1357" s="97"/>
      <c r="T1357" s="97"/>
      <c r="U1357" s="25"/>
      <c r="V1357" s="25"/>
      <c r="W1357" s="25"/>
      <c r="X1357" s="25"/>
      <c r="Y1357" s="25"/>
      <c r="Z1357" s="25"/>
    </row>
    <row r="1358" spans="19:26" x14ac:dyDescent="0.35">
      <c r="S1358" s="97"/>
      <c r="T1358" s="97"/>
      <c r="U1358" s="25"/>
      <c r="V1358" s="25"/>
      <c r="W1358" s="25"/>
      <c r="X1358" s="25"/>
      <c r="Y1358" s="25"/>
      <c r="Z1358" s="25"/>
    </row>
    <row r="1359" spans="19:26" x14ac:dyDescent="0.35">
      <c r="S1359" s="97"/>
      <c r="T1359" s="97"/>
      <c r="U1359" s="25"/>
      <c r="V1359" s="25"/>
      <c r="W1359" s="25"/>
      <c r="X1359" s="25"/>
      <c r="Y1359" s="25"/>
      <c r="Z1359" s="25"/>
    </row>
    <row r="1360" spans="19:26" x14ac:dyDescent="0.35">
      <c r="S1360" s="97"/>
      <c r="T1360" s="97"/>
      <c r="U1360" s="25"/>
      <c r="V1360" s="25"/>
      <c r="W1360" s="25"/>
      <c r="X1360" s="25"/>
      <c r="Y1360" s="25"/>
      <c r="Z1360" s="25"/>
    </row>
    <row r="1361" spans="19:26" x14ac:dyDescent="0.35">
      <c r="S1361" s="97"/>
      <c r="T1361" s="97"/>
      <c r="U1361" s="25"/>
      <c r="V1361" s="25"/>
      <c r="W1361" s="25"/>
      <c r="X1361" s="25"/>
      <c r="Y1361" s="25"/>
      <c r="Z1361" s="25"/>
    </row>
    <row r="1362" spans="19:26" x14ac:dyDescent="0.35">
      <c r="S1362" s="97"/>
      <c r="T1362" s="97"/>
      <c r="U1362" s="25"/>
      <c r="V1362" s="25"/>
      <c r="W1362" s="25"/>
      <c r="X1362" s="25"/>
      <c r="Y1362" s="25"/>
      <c r="Z1362" s="25"/>
    </row>
    <row r="1363" spans="19:26" x14ac:dyDescent="0.35">
      <c r="S1363" s="97"/>
      <c r="T1363" s="97"/>
      <c r="U1363" s="25"/>
      <c r="V1363" s="25"/>
      <c r="W1363" s="25"/>
      <c r="X1363" s="25"/>
      <c r="Y1363" s="25"/>
      <c r="Z1363" s="25"/>
    </row>
    <row r="1364" spans="19:26" x14ac:dyDescent="0.35">
      <c r="S1364" s="97"/>
      <c r="T1364" s="97"/>
      <c r="U1364" s="25"/>
      <c r="V1364" s="25"/>
      <c r="W1364" s="25"/>
      <c r="X1364" s="25"/>
      <c r="Y1364" s="25"/>
      <c r="Z1364" s="25"/>
    </row>
    <row r="1365" spans="19:26" x14ac:dyDescent="0.35">
      <c r="S1365" s="97"/>
      <c r="T1365" s="97"/>
      <c r="U1365" s="25"/>
      <c r="V1365" s="25"/>
      <c r="W1365" s="25"/>
      <c r="X1365" s="25"/>
      <c r="Y1365" s="25"/>
      <c r="Z1365" s="25"/>
    </row>
    <row r="1366" spans="19:26" x14ac:dyDescent="0.35">
      <c r="S1366" s="97"/>
      <c r="T1366" s="97"/>
      <c r="U1366" s="25"/>
      <c r="V1366" s="25"/>
      <c r="W1366" s="25"/>
      <c r="X1366" s="25"/>
      <c r="Y1366" s="25"/>
      <c r="Z1366" s="25"/>
    </row>
    <row r="1367" spans="19:26" x14ac:dyDescent="0.35">
      <c r="S1367" s="97"/>
      <c r="T1367" s="97"/>
      <c r="U1367" s="25"/>
      <c r="V1367" s="25"/>
      <c r="W1367" s="25"/>
      <c r="X1367" s="25"/>
      <c r="Y1367" s="25"/>
      <c r="Z1367" s="25"/>
    </row>
    <row r="1368" spans="19:26" x14ac:dyDescent="0.35">
      <c r="S1368" s="97"/>
      <c r="T1368" s="97"/>
      <c r="U1368" s="25"/>
      <c r="V1368" s="25"/>
      <c r="W1368" s="25"/>
      <c r="X1368" s="25"/>
      <c r="Y1368" s="25"/>
      <c r="Z1368" s="25"/>
    </row>
    <row r="1369" spans="19:26" x14ac:dyDescent="0.35">
      <c r="S1369" s="97"/>
      <c r="T1369" s="97"/>
      <c r="U1369" s="25"/>
      <c r="V1369" s="25"/>
      <c r="W1369" s="25"/>
      <c r="X1369" s="25"/>
      <c r="Y1369" s="25"/>
      <c r="Z1369" s="25"/>
    </row>
    <row r="1370" spans="19:26" x14ac:dyDescent="0.35">
      <c r="S1370" s="97"/>
      <c r="T1370" s="97"/>
      <c r="U1370" s="25"/>
      <c r="V1370" s="25"/>
      <c r="W1370" s="25"/>
      <c r="X1370" s="25"/>
      <c r="Y1370" s="25"/>
      <c r="Z1370" s="25"/>
    </row>
    <row r="1371" spans="19:26" x14ac:dyDescent="0.35">
      <c r="S1371" s="97"/>
      <c r="T1371" s="97"/>
      <c r="U1371" s="25"/>
      <c r="V1371" s="25"/>
      <c r="W1371" s="25"/>
      <c r="X1371" s="25"/>
      <c r="Y1371" s="25"/>
      <c r="Z1371" s="25"/>
    </row>
    <row r="1372" spans="19:26" x14ac:dyDescent="0.35">
      <c r="S1372" s="97"/>
      <c r="T1372" s="97"/>
      <c r="U1372" s="25"/>
      <c r="V1372" s="25"/>
      <c r="W1372" s="25"/>
      <c r="X1372" s="25"/>
      <c r="Y1372" s="25"/>
      <c r="Z1372" s="25"/>
    </row>
    <row r="1373" spans="19:26" x14ac:dyDescent="0.35">
      <c r="S1373" s="97"/>
      <c r="T1373" s="97"/>
      <c r="U1373" s="25"/>
      <c r="V1373" s="25"/>
      <c r="W1373" s="25"/>
      <c r="X1373" s="25"/>
      <c r="Y1373" s="25"/>
      <c r="Z1373" s="25"/>
    </row>
    <row r="1374" spans="19:26" x14ac:dyDescent="0.35">
      <c r="S1374" s="97"/>
      <c r="T1374" s="97"/>
      <c r="U1374" s="25"/>
      <c r="V1374" s="25"/>
      <c r="W1374" s="25"/>
      <c r="X1374" s="25"/>
      <c r="Y1374" s="25"/>
      <c r="Z1374" s="25"/>
    </row>
    <row r="1375" spans="19:26" x14ac:dyDescent="0.35">
      <c r="S1375" s="97"/>
      <c r="T1375" s="97"/>
      <c r="U1375" s="25"/>
      <c r="V1375" s="25"/>
      <c r="W1375" s="25"/>
      <c r="X1375" s="25"/>
      <c r="Y1375" s="25"/>
      <c r="Z1375" s="25"/>
    </row>
    <row r="1376" spans="19:26" x14ac:dyDescent="0.35">
      <c r="S1376" s="97"/>
      <c r="T1376" s="97"/>
      <c r="U1376" s="25"/>
      <c r="V1376" s="25"/>
      <c r="W1376" s="25"/>
      <c r="X1376" s="25"/>
      <c r="Y1376" s="25"/>
      <c r="Z1376" s="25"/>
    </row>
    <row r="1377" spans="19:26" x14ac:dyDescent="0.35">
      <c r="S1377" s="97"/>
      <c r="T1377" s="97"/>
      <c r="U1377" s="25"/>
      <c r="V1377" s="25"/>
      <c r="W1377" s="25"/>
      <c r="X1377" s="25"/>
      <c r="Y1377" s="25"/>
      <c r="Z1377" s="25"/>
    </row>
    <row r="1378" spans="19:26" x14ac:dyDescent="0.35">
      <c r="S1378" s="97"/>
      <c r="T1378" s="97"/>
      <c r="U1378" s="25"/>
      <c r="V1378" s="25"/>
      <c r="W1378" s="25"/>
      <c r="X1378" s="25"/>
      <c r="Y1378" s="25"/>
      <c r="Z1378" s="25"/>
    </row>
    <row r="1379" spans="19:26" x14ac:dyDescent="0.35">
      <c r="S1379" s="97"/>
      <c r="T1379" s="97"/>
      <c r="U1379" s="25"/>
      <c r="V1379" s="25"/>
      <c r="W1379" s="25"/>
      <c r="X1379" s="25"/>
      <c r="Y1379" s="25"/>
      <c r="Z1379" s="25"/>
    </row>
    <row r="1380" spans="19:26" x14ac:dyDescent="0.35">
      <c r="S1380" s="97"/>
      <c r="T1380" s="97"/>
      <c r="U1380" s="25"/>
      <c r="V1380" s="25"/>
      <c r="W1380" s="25"/>
      <c r="X1380" s="25"/>
      <c r="Y1380" s="25"/>
      <c r="Z1380" s="25"/>
    </row>
    <row r="1381" spans="19:26" x14ac:dyDescent="0.35">
      <c r="S1381" s="97"/>
      <c r="T1381" s="97"/>
      <c r="U1381" s="25"/>
      <c r="V1381" s="25"/>
      <c r="W1381" s="25"/>
      <c r="X1381" s="25"/>
      <c r="Y1381" s="25"/>
      <c r="Z1381" s="25"/>
    </row>
    <row r="1382" spans="19:26" x14ac:dyDescent="0.35">
      <c r="S1382" s="97"/>
      <c r="T1382" s="97"/>
      <c r="U1382" s="25"/>
      <c r="V1382" s="25"/>
      <c r="W1382" s="25"/>
      <c r="X1382" s="25"/>
      <c r="Y1382" s="25"/>
      <c r="Z1382" s="25"/>
    </row>
    <row r="1383" spans="19:26" x14ac:dyDescent="0.35">
      <c r="S1383" s="97"/>
      <c r="T1383" s="97"/>
      <c r="U1383" s="25"/>
      <c r="V1383" s="25"/>
      <c r="W1383" s="25"/>
      <c r="X1383" s="25"/>
      <c r="Y1383" s="25"/>
      <c r="Z1383" s="25"/>
    </row>
    <row r="1384" spans="19:26" x14ac:dyDescent="0.35">
      <c r="S1384" s="97"/>
      <c r="T1384" s="97"/>
      <c r="U1384" s="25"/>
      <c r="V1384" s="25"/>
      <c r="W1384" s="25"/>
      <c r="X1384" s="25"/>
      <c r="Y1384" s="25"/>
      <c r="Z1384" s="25"/>
    </row>
    <row r="1385" spans="19:26" x14ac:dyDescent="0.35">
      <c r="S1385" s="97"/>
      <c r="T1385" s="97"/>
      <c r="U1385" s="25"/>
      <c r="V1385" s="25"/>
      <c r="W1385" s="25"/>
      <c r="X1385" s="25"/>
      <c r="Y1385" s="25"/>
      <c r="Z1385" s="25"/>
    </row>
    <row r="1386" spans="19:26" x14ac:dyDescent="0.35">
      <c r="S1386" s="97"/>
      <c r="T1386" s="97"/>
      <c r="U1386" s="25"/>
      <c r="V1386" s="25"/>
      <c r="W1386" s="25"/>
      <c r="X1386" s="25"/>
      <c r="Y1386" s="25"/>
      <c r="Z1386" s="25"/>
    </row>
    <row r="1387" spans="19:26" x14ac:dyDescent="0.35">
      <c r="S1387" s="97"/>
      <c r="T1387" s="97"/>
      <c r="U1387" s="25"/>
      <c r="V1387" s="25"/>
      <c r="W1387" s="25"/>
      <c r="X1387" s="25"/>
      <c r="Y1387" s="25"/>
      <c r="Z1387" s="25"/>
    </row>
    <row r="1388" spans="19:26" x14ac:dyDescent="0.35">
      <c r="S1388" s="97"/>
      <c r="T1388" s="97"/>
      <c r="U1388" s="25"/>
      <c r="V1388" s="25"/>
      <c r="W1388" s="25"/>
      <c r="X1388" s="25"/>
      <c r="Y1388" s="25"/>
      <c r="Z1388" s="25"/>
    </row>
    <row r="1389" spans="19:26" x14ac:dyDescent="0.35">
      <c r="S1389" s="97"/>
      <c r="T1389" s="97"/>
      <c r="U1389" s="25"/>
      <c r="V1389" s="25"/>
      <c r="W1389" s="25"/>
      <c r="X1389" s="25"/>
      <c r="Y1389" s="25"/>
      <c r="Z1389" s="25"/>
    </row>
    <row r="1390" spans="19:26" x14ac:dyDescent="0.35">
      <c r="S1390" s="97"/>
      <c r="T1390" s="97"/>
      <c r="U1390" s="25"/>
      <c r="V1390" s="25"/>
      <c r="W1390" s="25"/>
      <c r="X1390" s="25"/>
      <c r="Y1390" s="25"/>
      <c r="Z1390" s="25"/>
    </row>
    <row r="1391" spans="19:26" x14ac:dyDescent="0.35">
      <c r="S1391" s="97"/>
      <c r="T1391" s="97"/>
      <c r="U1391" s="25"/>
      <c r="V1391" s="25"/>
      <c r="W1391" s="25"/>
      <c r="X1391" s="25"/>
      <c r="Y1391" s="25"/>
      <c r="Z1391" s="25"/>
    </row>
    <row r="1392" spans="19:26" x14ac:dyDescent="0.35">
      <c r="S1392" s="97"/>
      <c r="T1392" s="97"/>
      <c r="U1392" s="25"/>
      <c r="V1392" s="25"/>
      <c r="W1392" s="25"/>
      <c r="X1392" s="25"/>
      <c r="Y1392" s="25"/>
      <c r="Z1392" s="25"/>
    </row>
    <row r="1393" spans="19:26" x14ac:dyDescent="0.35">
      <c r="S1393" s="97"/>
      <c r="T1393" s="97"/>
      <c r="U1393" s="25"/>
      <c r="V1393" s="25"/>
      <c r="W1393" s="25"/>
      <c r="X1393" s="25"/>
      <c r="Y1393" s="25"/>
      <c r="Z1393" s="25"/>
    </row>
    <row r="1394" spans="19:26" x14ac:dyDescent="0.35">
      <c r="S1394" s="97"/>
      <c r="T1394" s="97"/>
      <c r="U1394" s="25"/>
      <c r="V1394" s="25"/>
      <c r="W1394" s="25"/>
      <c r="X1394" s="25"/>
      <c r="Y1394" s="25"/>
      <c r="Z1394" s="25"/>
    </row>
    <row r="1395" spans="19:26" x14ac:dyDescent="0.35">
      <c r="S1395" s="97"/>
      <c r="T1395" s="97"/>
      <c r="U1395" s="25"/>
      <c r="V1395" s="25"/>
      <c r="W1395" s="25"/>
      <c r="X1395" s="25"/>
      <c r="Y1395" s="25"/>
      <c r="Z1395" s="25"/>
    </row>
    <row r="1396" spans="19:26" x14ac:dyDescent="0.35">
      <c r="S1396" s="97"/>
      <c r="T1396" s="97"/>
      <c r="U1396" s="25"/>
      <c r="V1396" s="25"/>
      <c r="W1396" s="25"/>
      <c r="X1396" s="25"/>
      <c r="Y1396" s="25"/>
      <c r="Z1396" s="25"/>
    </row>
    <row r="1397" spans="19:26" x14ac:dyDescent="0.35">
      <c r="S1397" s="97"/>
      <c r="T1397" s="97"/>
      <c r="U1397" s="25"/>
      <c r="V1397" s="25"/>
      <c r="W1397" s="25"/>
      <c r="X1397" s="25"/>
      <c r="Y1397" s="25"/>
      <c r="Z1397" s="25"/>
    </row>
    <row r="1398" spans="19:26" x14ac:dyDescent="0.35">
      <c r="S1398" s="97"/>
      <c r="T1398" s="97"/>
      <c r="U1398" s="25"/>
      <c r="V1398" s="25"/>
      <c r="W1398" s="25"/>
      <c r="X1398" s="25"/>
      <c r="Y1398" s="25"/>
      <c r="Z1398" s="25"/>
    </row>
    <row r="1399" spans="19:26" x14ac:dyDescent="0.35">
      <c r="S1399" s="97"/>
      <c r="T1399" s="97"/>
      <c r="U1399" s="25"/>
      <c r="V1399" s="25"/>
      <c r="W1399" s="25"/>
      <c r="X1399" s="25"/>
      <c r="Y1399" s="25"/>
      <c r="Z1399" s="25"/>
    </row>
    <row r="1400" spans="19:26" x14ac:dyDescent="0.35">
      <c r="S1400" s="97"/>
      <c r="T1400" s="97"/>
      <c r="U1400" s="25"/>
      <c r="V1400" s="25"/>
      <c r="W1400" s="25"/>
      <c r="X1400" s="25"/>
      <c r="Y1400" s="25"/>
      <c r="Z1400" s="25"/>
    </row>
    <row r="1401" spans="19:26" x14ac:dyDescent="0.35">
      <c r="S1401" s="97"/>
      <c r="T1401" s="97"/>
      <c r="U1401" s="25"/>
      <c r="V1401" s="25"/>
      <c r="W1401" s="25"/>
      <c r="X1401" s="25"/>
      <c r="Y1401" s="25"/>
      <c r="Z1401" s="25"/>
    </row>
    <row r="1402" spans="19:26" x14ac:dyDescent="0.35">
      <c r="S1402" s="97"/>
      <c r="T1402" s="97"/>
      <c r="U1402" s="25"/>
      <c r="V1402" s="25"/>
      <c r="W1402" s="25"/>
      <c r="X1402" s="25"/>
      <c r="Y1402" s="25"/>
      <c r="Z1402" s="25"/>
    </row>
    <row r="1403" spans="19:26" x14ac:dyDescent="0.35">
      <c r="S1403" s="97"/>
      <c r="T1403" s="97"/>
      <c r="U1403" s="25"/>
      <c r="V1403" s="25"/>
      <c r="W1403" s="25"/>
      <c r="X1403" s="25"/>
      <c r="Y1403" s="25"/>
      <c r="Z1403" s="25"/>
    </row>
    <row r="1404" spans="19:26" x14ac:dyDescent="0.35">
      <c r="S1404" s="97"/>
      <c r="T1404" s="97"/>
      <c r="U1404" s="25"/>
      <c r="V1404" s="25"/>
      <c r="W1404" s="25"/>
      <c r="X1404" s="25"/>
      <c r="Y1404" s="25"/>
      <c r="Z1404" s="25"/>
    </row>
    <row r="1405" spans="19:26" x14ac:dyDescent="0.35">
      <c r="S1405" s="97"/>
      <c r="T1405" s="97"/>
      <c r="U1405" s="25"/>
      <c r="V1405" s="25"/>
      <c r="W1405" s="25"/>
      <c r="X1405" s="25"/>
      <c r="Y1405" s="25"/>
      <c r="Z1405" s="25"/>
    </row>
    <row r="1406" spans="19:26" x14ac:dyDescent="0.35">
      <c r="S1406" s="97"/>
      <c r="T1406" s="97"/>
      <c r="U1406" s="25"/>
      <c r="V1406" s="25"/>
      <c r="W1406" s="25"/>
      <c r="X1406" s="25"/>
      <c r="Y1406" s="25"/>
      <c r="Z1406" s="25"/>
    </row>
    <row r="1407" spans="19:26" x14ac:dyDescent="0.35">
      <c r="S1407" s="97"/>
      <c r="T1407" s="97"/>
      <c r="U1407" s="25"/>
      <c r="V1407" s="25"/>
      <c r="W1407" s="25"/>
      <c r="X1407" s="25"/>
      <c r="Y1407" s="25"/>
      <c r="Z1407" s="25"/>
    </row>
    <row r="1408" spans="19:26" x14ac:dyDescent="0.35">
      <c r="S1408" s="97"/>
      <c r="T1408" s="97"/>
      <c r="U1408" s="25"/>
      <c r="V1408" s="25"/>
      <c r="W1408" s="25"/>
      <c r="X1408" s="25"/>
      <c r="Y1408" s="25"/>
      <c r="Z1408" s="25"/>
    </row>
    <row r="1409" spans="19:26" x14ac:dyDescent="0.35">
      <c r="S1409" s="97"/>
      <c r="T1409" s="97"/>
      <c r="U1409" s="25"/>
      <c r="V1409" s="25"/>
      <c r="W1409" s="25"/>
      <c r="X1409" s="25"/>
      <c r="Y1409" s="25"/>
      <c r="Z1409" s="25"/>
    </row>
    <row r="1410" spans="19:26" x14ac:dyDescent="0.35">
      <c r="S1410" s="97"/>
      <c r="T1410" s="97"/>
      <c r="U1410" s="25"/>
      <c r="V1410" s="25"/>
      <c r="W1410" s="25"/>
      <c r="X1410" s="25"/>
      <c r="Y1410" s="25"/>
      <c r="Z1410" s="25"/>
    </row>
    <row r="1411" spans="19:26" x14ac:dyDescent="0.35">
      <c r="S1411" s="97"/>
      <c r="T1411" s="97"/>
      <c r="U1411" s="25"/>
      <c r="V1411" s="25"/>
      <c r="W1411" s="25"/>
      <c r="X1411" s="25"/>
      <c r="Y1411" s="25"/>
      <c r="Z1411" s="25"/>
    </row>
    <row r="1412" spans="19:26" x14ac:dyDescent="0.35">
      <c r="S1412" s="97"/>
      <c r="T1412" s="97"/>
      <c r="U1412" s="25"/>
      <c r="V1412" s="25"/>
      <c r="W1412" s="25"/>
      <c r="X1412" s="25"/>
      <c r="Y1412" s="25"/>
      <c r="Z1412" s="25"/>
    </row>
    <row r="1413" spans="19:26" x14ac:dyDescent="0.35">
      <c r="S1413" s="97"/>
      <c r="T1413" s="97"/>
      <c r="U1413" s="25"/>
      <c r="V1413" s="25"/>
      <c r="W1413" s="25"/>
      <c r="X1413" s="25"/>
      <c r="Y1413" s="25"/>
      <c r="Z1413" s="25"/>
    </row>
    <row r="1414" spans="19:26" x14ac:dyDescent="0.35">
      <c r="S1414" s="97"/>
      <c r="T1414" s="97"/>
      <c r="U1414" s="25"/>
      <c r="V1414" s="25"/>
      <c r="W1414" s="25"/>
      <c r="X1414" s="25"/>
      <c r="Y1414" s="25"/>
      <c r="Z1414" s="25"/>
    </row>
    <row r="1415" spans="19:26" x14ac:dyDescent="0.35">
      <c r="S1415" s="97"/>
      <c r="T1415" s="97"/>
      <c r="U1415" s="25"/>
      <c r="V1415" s="25"/>
      <c r="W1415" s="25"/>
      <c r="X1415" s="25"/>
      <c r="Y1415" s="25"/>
      <c r="Z1415" s="25"/>
    </row>
    <row r="1416" spans="19:26" x14ac:dyDescent="0.35">
      <c r="S1416" s="97"/>
      <c r="T1416" s="97"/>
      <c r="U1416" s="25"/>
      <c r="V1416" s="25"/>
      <c r="W1416" s="25"/>
      <c r="X1416" s="25"/>
      <c r="Y1416" s="25"/>
      <c r="Z1416" s="25"/>
    </row>
    <row r="1417" spans="19:26" x14ac:dyDescent="0.35">
      <c r="S1417" s="97"/>
      <c r="T1417" s="97"/>
      <c r="U1417" s="25"/>
      <c r="V1417" s="25"/>
      <c r="W1417" s="25"/>
      <c r="X1417" s="25"/>
      <c r="Y1417" s="25"/>
      <c r="Z1417" s="25"/>
    </row>
    <row r="1418" spans="19:26" x14ac:dyDescent="0.35">
      <c r="S1418" s="97"/>
      <c r="T1418" s="97"/>
      <c r="U1418" s="25"/>
      <c r="V1418" s="25"/>
      <c r="W1418" s="25"/>
      <c r="X1418" s="25"/>
      <c r="Y1418" s="25"/>
      <c r="Z1418" s="25"/>
    </row>
    <row r="1419" spans="19:26" x14ac:dyDescent="0.35">
      <c r="S1419" s="97"/>
      <c r="T1419" s="97"/>
      <c r="U1419" s="25"/>
      <c r="V1419" s="25"/>
      <c r="W1419" s="25"/>
      <c r="X1419" s="25"/>
      <c r="Y1419" s="25"/>
      <c r="Z1419" s="25"/>
    </row>
    <row r="1420" spans="19:26" x14ac:dyDescent="0.35">
      <c r="S1420" s="97"/>
      <c r="T1420" s="97"/>
      <c r="U1420" s="25"/>
      <c r="V1420" s="25"/>
      <c r="W1420" s="25"/>
      <c r="X1420" s="25"/>
      <c r="Y1420" s="25"/>
      <c r="Z1420" s="25"/>
    </row>
    <row r="1421" spans="19:26" x14ac:dyDescent="0.35">
      <c r="S1421" s="97"/>
      <c r="T1421" s="97"/>
      <c r="U1421" s="25"/>
      <c r="V1421" s="25"/>
      <c r="W1421" s="25"/>
      <c r="X1421" s="25"/>
      <c r="Y1421" s="25"/>
      <c r="Z1421" s="25"/>
    </row>
    <row r="1422" spans="19:26" x14ac:dyDescent="0.35">
      <c r="S1422" s="97"/>
      <c r="T1422" s="97"/>
      <c r="U1422" s="25"/>
      <c r="V1422" s="25"/>
      <c r="W1422" s="25"/>
      <c r="X1422" s="25"/>
      <c r="Y1422" s="25"/>
      <c r="Z1422" s="25"/>
    </row>
    <row r="1423" spans="19:26" x14ac:dyDescent="0.35">
      <c r="S1423" s="97"/>
      <c r="T1423" s="97"/>
      <c r="U1423" s="25"/>
      <c r="V1423" s="25"/>
      <c r="W1423" s="25"/>
      <c r="X1423" s="25"/>
      <c r="Y1423" s="25"/>
      <c r="Z1423" s="25"/>
    </row>
    <row r="1424" spans="19:26" x14ac:dyDescent="0.35">
      <c r="S1424" s="97"/>
      <c r="T1424" s="97"/>
      <c r="U1424" s="25"/>
      <c r="V1424" s="25"/>
      <c r="W1424" s="25"/>
      <c r="X1424" s="25"/>
      <c r="Y1424" s="25"/>
      <c r="Z1424" s="25"/>
    </row>
    <row r="1425" spans="19:26" x14ac:dyDescent="0.35">
      <c r="S1425" s="97"/>
      <c r="T1425" s="97"/>
      <c r="U1425" s="25"/>
      <c r="V1425" s="25"/>
      <c r="W1425" s="25"/>
      <c r="X1425" s="25"/>
      <c r="Y1425" s="25"/>
      <c r="Z1425" s="25"/>
    </row>
    <row r="1426" spans="19:26" x14ac:dyDescent="0.35">
      <c r="S1426" s="97"/>
      <c r="T1426" s="97"/>
      <c r="U1426" s="25"/>
      <c r="V1426" s="25"/>
      <c r="W1426" s="25"/>
      <c r="X1426" s="25"/>
      <c r="Y1426" s="25"/>
      <c r="Z1426" s="25"/>
    </row>
    <row r="1427" spans="19:26" x14ac:dyDescent="0.35">
      <c r="S1427" s="97"/>
      <c r="T1427" s="97"/>
      <c r="U1427" s="25"/>
      <c r="V1427" s="25"/>
      <c r="W1427" s="25"/>
      <c r="X1427" s="25"/>
      <c r="Y1427" s="25"/>
      <c r="Z1427" s="25"/>
    </row>
    <row r="1428" spans="19:26" x14ac:dyDescent="0.35">
      <c r="S1428" s="97"/>
      <c r="T1428" s="97"/>
      <c r="U1428" s="25"/>
      <c r="V1428" s="25"/>
      <c r="W1428" s="25"/>
      <c r="X1428" s="25"/>
      <c r="Y1428" s="25"/>
      <c r="Z1428" s="25"/>
    </row>
    <row r="1429" spans="19:26" x14ac:dyDescent="0.35">
      <c r="S1429" s="97"/>
      <c r="T1429" s="97"/>
      <c r="U1429" s="25"/>
      <c r="V1429" s="25"/>
      <c r="W1429" s="25"/>
      <c r="X1429" s="25"/>
      <c r="Y1429" s="25"/>
      <c r="Z1429" s="25"/>
    </row>
    <row r="1430" spans="19:26" x14ac:dyDescent="0.35">
      <c r="S1430" s="97"/>
      <c r="T1430" s="97"/>
      <c r="U1430" s="25"/>
      <c r="V1430" s="25"/>
      <c r="W1430" s="25"/>
      <c r="X1430" s="25"/>
      <c r="Y1430" s="25"/>
      <c r="Z1430" s="25"/>
    </row>
    <row r="1431" spans="19:26" x14ac:dyDescent="0.35">
      <c r="S1431" s="97"/>
      <c r="T1431" s="97"/>
      <c r="U1431" s="25"/>
      <c r="V1431" s="25"/>
      <c r="W1431" s="25"/>
      <c r="X1431" s="25"/>
      <c r="Y1431" s="25"/>
      <c r="Z1431" s="25"/>
    </row>
    <row r="1432" spans="19:26" x14ac:dyDescent="0.35">
      <c r="S1432" s="97"/>
      <c r="T1432" s="97"/>
      <c r="U1432" s="25"/>
      <c r="V1432" s="25"/>
      <c r="W1432" s="25"/>
      <c r="X1432" s="25"/>
      <c r="Y1432" s="25"/>
      <c r="Z1432" s="25"/>
    </row>
    <row r="1433" spans="19:26" x14ac:dyDescent="0.35">
      <c r="S1433" s="97"/>
      <c r="T1433" s="97"/>
      <c r="U1433" s="25"/>
      <c r="V1433" s="25"/>
      <c r="W1433" s="25"/>
      <c r="X1433" s="25"/>
      <c r="Y1433" s="25"/>
      <c r="Z1433" s="25"/>
    </row>
    <row r="1434" spans="19:26" x14ac:dyDescent="0.35">
      <c r="S1434" s="97"/>
      <c r="T1434" s="97"/>
      <c r="U1434" s="25"/>
      <c r="V1434" s="25"/>
      <c r="W1434" s="25"/>
      <c r="X1434" s="25"/>
      <c r="Y1434" s="25"/>
      <c r="Z1434" s="25"/>
    </row>
    <row r="1435" spans="19:26" x14ac:dyDescent="0.35">
      <c r="S1435" s="97"/>
      <c r="T1435" s="97"/>
      <c r="U1435" s="25"/>
      <c r="V1435" s="25"/>
      <c r="W1435" s="25"/>
      <c r="X1435" s="25"/>
      <c r="Y1435" s="25"/>
      <c r="Z1435" s="25"/>
    </row>
    <row r="1436" spans="19:26" x14ac:dyDescent="0.35">
      <c r="S1436" s="97"/>
      <c r="T1436" s="97"/>
      <c r="U1436" s="25"/>
      <c r="V1436" s="25"/>
      <c r="W1436" s="25"/>
      <c r="X1436" s="25"/>
      <c r="Y1436" s="25"/>
      <c r="Z1436" s="25"/>
    </row>
    <row r="1437" spans="19:26" x14ac:dyDescent="0.35">
      <c r="S1437" s="97"/>
      <c r="T1437" s="97"/>
      <c r="U1437" s="25"/>
      <c r="V1437" s="25"/>
      <c r="W1437" s="25"/>
      <c r="X1437" s="25"/>
      <c r="Y1437" s="25"/>
      <c r="Z1437" s="25"/>
    </row>
    <row r="1438" spans="19:26" x14ac:dyDescent="0.35">
      <c r="S1438" s="97"/>
      <c r="T1438" s="97"/>
      <c r="U1438" s="25"/>
      <c r="V1438" s="25"/>
      <c r="W1438" s="25"/>
      <c r="X1438" s="25"/>
      <c r="Y1438" s="25"/>
      <c r="Z1438" s="25"/>
    </row>
    <row r="1439" spans="19:26" x14ac:dyDescent="0.35">
      <c r="S1439" s="97"/>
      <c r="T1439" s="97"/>
      <c r="U1439" s="25"/>
      <c r="V1439" s="25"/>
      <c r="W1439" s="25"/>
      <c r="X1439" s="25"/>
      <c r="Y1439" s="25"/>
      <c r="Z1439" s="25"/>
    </row>
    <row r="1440" spans="19:26" x14ac:dyDescent="0.35">
      <c r="S1440" s="97"/>
      <c r="T1440" s="97"/>
      <c r="U1440" s="25"/>
      <c r="V1440" s="25"/>
      <c r="W1440" s="25"/>
      <c r="X1440" s="25"/>
      <c r="Y1440" s="25"/>
      <c r="Z1440" s="25"/>
    </row>
    <row r="1441" spans="19:26" x14ac:dyDescent="0.35">
      <c r="S1441" s="97"/>
      <c r="T1441" s="97"/>
      <c r="U1441" s="25"/>
      <c r="V1441" s="25"/>
      <c r="W1441" s="25"/>
      <c r="X1441" s="25"/>
      <c r="Y1441" s="25"/>
      <c r="Z1441" s="25"/>
    </row>
    <row r="1442" spans="19:26" x14ac:dyDescent="0.35">
      <c r="S1442" s="97"/>
      <c r="T1442" s="97"/>
      <c r="U1442" s="25"/>
      <c r="V1442" s="25"/>
      <c r="W1442" s="25"/>
      <c r="X1442" s="25"/>
      <c r="Y1442" s="25"/>
      <c r="Z1442" s="25"/>
    </row>
    <row r="1443" spans="19:26" x14ac:dyDescent="0.35">
      <c r="S1443" s="97"/>
      <c r="T1443" s="97"/>
      <c r="U1443" s="25"/>
      <c r="V1443" s="25"/>
      <c r="W1443" s="25"/>
      <c r="X1443" s="25"/>
      <c r="Y1443" s="25"/>
      <c r="Z1443" s="25"/>
    </row>
    <row r="1444" spans="19:26" x14ac:dyDescent="0.35">
      <c r="S1444" s="97"/>
      <c r="T1444" s="97"/>
      <c r="U1444" s="25"/>
      <c r="V1444" s="25"/>
      <c r="W1444" s="25"/>
      <c r="X1444" s="25"/>
      <c r="Y1444" s="25"/>
      <c r="Z1444" s="25"/>
    </row>
    <row r="1445" spans="19:26" x14ac:dyDescent="0.35">
      <c r="S1445" s="97"/>
      <c r="T1445" s="97"/>
      <c r="U1445" s="25"/>
      <c r="V1445" s="25"/>
      <c r="W1445" s="25"/>
      <c r="X1445" s="25"/>
      <c r="Y1445" s="25"/>
      <c r="Z1445" s="25"/>
    </row>
    <row r="1446" spans="19:26" x14ac:dyDescent="0.35">
      <c r="S1446" s="97"/>
      <c r="T1446" s="97"/>
      <c r="U1446" s="25"/>
      <c r="V1446" s="25"/>
      <c r="W1446" s="25"/>
      <c r="X1446" s="25"/>
      <c r="Y1446" s="25"/>
      <c r="Z1446" s="25"/>
    </row>
    <row r="1447" spans="19:26" x14ac:dyDescent="0.35">
      <c r="S1447" s="97"/>
      <c r="T1447" s="97"/>
      <c r="U1447" s="25"/>
      <c r="V1447" s="25"/>
      <c r="W1447" s="25"/>
      <c r="X1447" s="25"/>
      <c r="Y1447" s="25"/>
      <c r="Z1447" s="25"/>
    </row>
    <row r="1448" spans="19:26" x14ac:dyDescent="0.35">
      <c r="S1448" s="97"/>
      <c r="T1448" s="97"/>
      <c r="U1448" s="25"/>
      <c r="V1448" s="25"/>
      <c r="W1448" s="25"/>
      <c r="X1448" s="25"/>
      <c r="Y1448" s="25"/>
      <c r="Z1448" s="25"/>
    </row>
    <row r="1449" spans="19:26" x14ac:dyDescent="0.35">
      <c r="S1449" s="97"/>
      <c r="T1449" s="97"/>
      <c r="U1449" s="25"/>
      <c r="V1449" s="25"/>
      <c r="W1449" s="25"/>
      <c r="X1449" s="25"/>
      <c r="Y1449" s="25"/>
      <c r="Z1449" s="25"/>
    </row>
    <row r="1450" spans="19:26" x14ac:dyDescent="0.35">
      <c r="S1450" s="97"/>
      <c r="T1450" s="97"/>
      <c r="U1450" s="25"/>
      <c r="V1450" s="25"/>
      <c r="W1450" s="25"/>
      <c r="X1450" s="25"/>
      <c r="Y1450" s="25"/>
      <c r="Z1450" s="25"/>
    </row>
    <row r="1451" spans="19:26" x14ac:dyDescent="0.35">
      <c r="S1451" s="97"/>
      <c r="T1451" s="97"/>
      <c r="U1451" s="25"/>
      <c r="V1451" s="25"/>
      <c r="W1451" s="25"/>
      <c r="X1451" s="25"/>
      <c r="Y1451" s="25"/>
      <c r="Z1451" s="25"/>
    </row>
    <row r="1452" spans="19:26" x14ac:dyDescent="0.35">
      <c r="S1452" s="97"/>
      <c r="T1452" s="97"/>
      <c r="U1452" s="25"/>
      <c r="V1452" s="25"/>
      <c r="W1452" s="25"/>
      <c r="X1452" s="25"/>
      <c r="Y1452" s="25"/>
      <c r="Z1452" s="25"/>
    </row>
    <row r="1453" spans="19:26" x14ac:dyDescent="0.35">
      <c r="S1453" s="97"/>
      <c r="T1453" s="97"/>
      <c r="U1453" s="25"/>
      <c r="V1453" s="25"/>
      <c r="W1453" s="25"/>
      <c r="X1453" s="25"/>
      <c r="Y1453" s="25"/>
      <c r="Z1453" s="25"/>
    </row>
    <row r="1454" spans="19:26" x14ac:dyDescent="0.35">
      <c r="S1454" s="97"/>
      <c r="T1454" s="97"/>
      <c r="U1454" s="25"/>
      <c r="V1454" s="25"/>
      <c r="W1454" s="25"/>
      <c r="X1454" s="25"/>
      <c r="Y1454" s="25"/>
      <c r="Z1454" s="25"/>
    </row>
    <row r="1455" spans="19:26" x14ac:dyDescent="0.35">
      <c r="S1455" s="97"/>
      <c r="T1455" s="97"/>
      <c r="U1455" s="25"/>
      <c r="V1455" s="25"/>
      <c r="W1455" s="25"/>
      <c r="X1455" s="25"/>
      <c r="Y1455" s="25"/>
      <c r="Z1455" s="25"/>
    </row>
    <row r="1456" spans="19:26" x14ac:dyDescent="0.35">
      <c r="S1456" s="97"/>
      <c r="T1456" s="97"/>
      <c r="U1456" s="25"/>
      <c r="V1456" s="25"/>
      <c r="W1456" s="25"/>
      <c r="X1456" s="25"/>
      <c r="Y1456" s="25"/>
      <c r="Z1456" s="25"/>
    </row>
    <row r="1457" spans="19:26" x14ac:dyDescent="0.35">
      <c r="S1457" s="97"/>
      <c r="T1457" s="97"/>
      <c r="U1457" s="25"/>
      <c r="V1457" s="25"/>
      <c r="W1457" s="25"/>
      <c r="X1457" s="25"/>
      <c r="Y1457" s="25"/>
      <c r="Z1457" s="25"/>
    </row>
    <row r="1458" spans="19:26" x14ac:dyDescent="0.35">
      <c r="S1458" s="97"/>
      <c r="T1458" s="97"/>
      <c r="U1458" s="25"/>
      <c r="V1458" s="25"/>
      <c r="W1458" s="25"/>
      <c r="X1458" s="25"/>
      <c r="Y1458" s="25"/>
      <c r="Z1458" s="25"/>
    </row>
    <row r="1459" spans="19:26" x14ac:dyDescent="0.35">
      <c r="S1459" s="97"/>
      <c r="T1459" s="97"/>
      <c r="U1459" s="25"/>
      <c r="V1459" s="25"/>
      <c r="W1459" s="25"/>
      <c r="X1459" s="25"/>
      <c r="Y1459" s="25"/>
      <c r="Z1459" s="25"/>
    </row>
    <row r="1460" spans="19:26" x14ac:dyDescent="0.35">
      <c r="S1460" s="97"/>
      <c r="T1460" s="97"/>
      <c r="U1460" s="25"/>
      <c r="V1460" s="25"/>
      <c r="W1460" s="25"/>
      <c r="X1460" s="25"/>
      <c r="Y1460" s="25"/>
      <c r="Z1460" s="25"/>
    </row>
    <row r="1461" spans="19:26" x14ac:dyDescent="0.35">
      <c r="S1461" s="97"/>
      <c r="T1461" s="97"/>
      <c r="U1461" s="25"/>
      <c r="V1461" s="25"/>
      <c r="W1461" s="25"/>
      <c r="X1461" s="25"/>
      <c r="Y1461" s="25"/>
      <c r="Z1461" s="25"/>
    </row>
    <row r="1462" spans="19:26" x14ac:dyDescent="0.35">
      <c r="S1462" s="97"/>
      <c r="T1462" s="97"/>
      <c r="U1462" s="25"/>
      <c r="V1462" s="25"/>
      <c r="W1462" s="25"/>
      <c r="X1462" s="25"/>
      <c r="Y1462" s="25"/>
      <c r="Z1462" s="25"/>
    </row>
    <row r="1463" spans="19:26" x14ac:dyDescent="0.35">
      <c r="S1463" s="97"/>
      <c r="T1463" s="97"/>
      <c r="U1463" s="25"/>
      <c r="V1463" s="25"/>
      <c r="W1463" s="25"/>
      <c r="X1463" s="25"/>
      <c r="Y1463" s="25"/>
      <c r="Z1463" s="25"/>
    </row>
    <row r="1464" spans="19:26" x14ac:dyDescent="0.35">
      <c r="S1464" s="97"/>
      <c r="T1464" s="97"/>
      <c r="U1464" s="25"/>
      <c r="V1464" s="25"/>
      <c r="W1464" s="25"/>
      <c r="X1464" s="25"/>
      <c r="Y1464" s="25"/>
      <c r="Z1464" s="25"/>
    </row>
    <row r="1465" spans="19:26" x14ac:dyDescent="0.35">
      <c r="S1465" s="97"/>
      <c r="T1465" s="97"/>
      <c r="U1465" s="25"/>
      <c r="V1465" s="25"/>
      <c r="W1465" s="25"/>
      <c r="X1465" s="25"/>
      <c r="Y1465" s="25"/>
      <c r="Z1465" s="25"/>
    </row>
    <row r="1466" spans="19:26" x14ac:dyDescent="0.35">
      <c r="S1466" s="97"/>
      <c r="T1466" s="97"/>
      <c r="U1466" s="25"/>
      <c r="V1466" s="25"/>
      <c r="W1466" s="25"/>
      <c r="X1466" s="25"/>
      <c r="Y1466" s="25"/>
      <c r="Z1466" s="25"/>
    </row>
    <row r="1467" spans="19:26" x14ac:dyDescent="0.35">
      <c r="S1467" s="97"/>
      <c r="T1467" s="97"/>
      <c r="U1467" s="25"/>
      <c r="V1467" s="25"/>
      <c r="W1467" s="25"/>
      <c r="X1467" s="25"/>
      <c r="Y1467" s="25"/>
      <c r="Z1467" s="25"/>
    </row>
    <row r="1468" spans="19:26" x14ac:dyDescent="0.35">
      <c r="S1468" s="97"/>
      <c r="T1468" s="97"/>
      <c r="U1468" s="25"/>
      <c r="V1468" s="25"/>
      <c r="W1468" s="25"/>
      <c r="X1468" s="25"/>
      <c r="Y1468" s="25"/>
      <c r="Z1468" s="25"/>
    </row>
    <row r="1469" spans="19:26" x14ac:dyDescent="0.35">
      <c r="S1469" s="97"/>
      <c r="T1469" s="97"/>
      <c r="U1469" s="25"/>
      <c r="V1469" s="25"/>
      <c r="W1469" s="25"/>
      <c r="X1469" s="25"/>
      <c r="Y1469" s="25"/>
      <c r="Z1469" s="25"/>
    </row>
    <row r="1470" spans="19:26" x14ac:dyDescent="0.35">
      <c r="S1470" s="97"/>
      <c r="T1470" s="97"/>
      <c r="U1470" s="25"/>
      <c r="V1470" s="25"/>
      <c r="W1470" s="25"/>
      <c r="X1470" s="25"/>
      <c r="Y1470" s="25"/>
      <c r="Z1470" s="25"/>
    </row>
    <row r="1471" spans="19:26" x14ac:dyDescent="0.35">
      <c r="S1471" s="97"/>
      <c r="T1471" s="97"/>
      <c r="U1471" s="25"/>
      <c r="V1471" s="25"/>
      <c r="W1471" s="25"/>
      <c r="X1471" s="25"/>
      <c r="Y1471" s="25"/>
      <c r="Z1471" s="25"/>
    </row>
    <row r="1472" spans="19:26" x14ac:dyDescent="0.35">
      <c r="S1472" s="97"/>
      <c r="T1472" s="97"/>
      <c r="U1472" s="25"/>
      <c r="V1472" s="25"/>
      <c r="W1472" s="25"/>
      <c r="X1472" s="25"/>
      <c r="Y1472" s="25"/>
      <c r="Z1472" s="25"/>
    </row>
    <row r="1473" spans="19:26" x14ac:dyDescent="0.35">
      <c r="S1473" s="97"/>
      <c r="T1473" s="97"/>
      <c r="U1473" s="25"/>
      <c r="V1473" s="25"/>
      <c r="W1473" s="25"/>
      <c r="X1473" s="25"/>
      <c r="Y1473" s="25"/>
      <c r="Z1473" s="25"/>
    </row>
    <row r="1474" spans="19:26" x14ac:dyDescent="0.35">
      <c r="S1474" s="97"/>
      <c r="T1474" s="97"/>
      <c r="U1474" s="25"/>
      <c r="V1474" s="25"/>
      <c r="W1474" s="25"/>
      <c r="X1474" s="25"/>
      <c r="Y1474" s="25"/>
      <c r="Z1474" s="25"/>
    </row>
    <row r="1475" spans="19:26" x14ac:dyDescent="0.35">
      <c r="S1475" s="97"/>
      <c r="T1475" s="97"/>
      <c r="U1475" s="25"/>
      <c r="V1475" s="25"/>
      <c r="W1475" s="25"/>
      <c r="X1475" s="25"/>
      <c r="Y1475" s="25"/>
      <c r="Z1475" s="25"/>
    </row>
    <row r="1476" spans="19:26" x14ac:dyDescent="0.35">
      <c r="S1476" s="97"/>
      <c r="T1476" s="97"/>
      <c r="U1476" s="25"/>
      <c r="V1476" s="25"/>
      <c r="W1476" s="25"/>
      <c r="X1476" s="25"/>
      <c r="Y1476" s="25"/>
      <c r="Z1476" s="25"/>
    </row>
    <row r="1477" spans="19:26" x14ac:dyDescent="0.35">
      <c r="S1477" s="97"/>
      <c r="T1477" s="97"/>
      <c r="U1477" s="25"/>
      <c r="V1477" s="25"/>
      <c r="W1477" s="25"/>
      <c r="X1477" s="25"/>
      <c r="Y1477" s="25"/>
      <c r="Z1477" s="25"/>
    </row>
    <row r="1478" spans="19:26" x14ac:dyDescent="0.35">
      <c r="S1478" s="97"/>
      <c r="T1478" s="97"/>
      <c r="U1478" s="25"/>
      <c r="V1478" s="25"/>
      <c r="W1478" s="25"/>
      <c r="X1478" s="25"/>
      <c r="Y1478" s="25"/>
      <c r="Z1478" s="25"/>
    </row>
    <row r="1479" spans="19:26" x14ac:dyDescent="0.35">
      <c r="S1479" s="97"/>
      <c r="T1479" s="97"/>
      <c r="U1479" s="25"/>
      <c r="V1479" s="25"/>
      <c r="W1479" s="25"/>
      <c r="X1479" s="25"/>
      <c r="Y1479" s="25"/>
      <c r="Z1479" s="25"/>
    </row>
    <row r="1480" spans="19:26" x14ac:dyDescent="0.35">
      <c r="S1480" s="97"/>
      <c r="T1480" s="97"/>
      <c r="U1480" s="25"/>
      <c r="V1480" s="25"/>
      <c r="W1480" s="25"/>
      <c r="X1480" s="25"/>
      <c r="Y1480" s="25"/>
      <c r="Z1480" s="25"/>
    </row>
    <row r="1481" spans="19:26" x14ac:dyDescent="0.35">
      <c r="S1481" s="97"/>
      <c r="T1481" s="97"/>
      <c r="U1481" s="25"/>
      <c r="V1481" s="25"/>
      <c r="W1481" s="25"/>
      <c r="X1481" s="25"/>
      <c r="Y1481" s="25"/>
      <c r="Z1481" s="25"/>
    </row>
    <row r="1482" spans="19:26" x14ac:dyDescent="0.35">
      <c r="S1482" s="97"/>
      <c r="T1482" s="97"/>
      <c r="U1482" s="25"/>
      <c r="V1482" s="25"/>
      <c r="W1482" s="25"/>
      <c r="X1482" s="25"/>
      <c r="Y1482" s="25"/>
      <c r="Z1482" s="25"/>
    </row>
    <row r="1483" spans="19:26" x14ac:dyDescent="0.35">
      <c r="S1483" s="97"/>
      <c r="T1483" s="97"/>
      <c r="U1483" s="25"/>
      <c r="V1483" s="25"/>
      <c r="W1483" s="25"/>
      <c r="X1483" s="25"/>
      <c r="Y1483" s="25"/>
      <c r="Z1483" s="25"/>
    </row>
    <row r="1484" spans="19:26" x14ac:dyDescent="0.35">
      <c r="S1484" s="97"/>
      <c r="T1484" s="97"/>
      <c r="U1484" s="25"/>
      <c r="V1484" s="25"/>
      <c r="W1484" s="25"/>
      <c r="X1484" s="25"/>
      <c r="Y1484" s="25"/>
      <c r="Z1484" s="25"/>
    </row>
    <row r="1485" spans="19:26" x14ac:dyDescent="0.35">
      <c r="S1485" s="97"/>
      <c r="T1485" s="97"/>
      <c r="U1485" s="25"/>
      <c r="V1485" s="25"/>
      <c r="W1485" s="25"/>
      <c r="X1485" s="25"/>
      <c r="Y1485" s="25"/>
      <c r="Z1485" s="25"/>
    </row>
    <row r="1486" spans="19:26" x14ac:dyDescent="0.35">
      <c r="S1486" s="97"/>
      <c r="T1486" s="97"/>
      <c r="U1486" s="25"/>
      <c r="V1486" s="25"/>
      <c r="W1486" s="25"/>
      <c r="X1486" s="25"/>
      <c r="Y1486" s="25"/>
      <c r="Z1486" s="25"/>
    </row>
    <row r="1487" spans="19:26" x14ac:dyDescent="0.35">
      <c r="S1487" s="97"/>
      <c r="T1487" s="97"/>
      <c r="U1487" s="25"/>
      <c r="V1487" s="25"/>
      <c r="W1487" s="25"/>
      <c r="X1487" s="25"/>
      <c r="Y1487" s="25"/>
      <c r="Z1487" s="25"/>
    </row>
    <row r="1488" spans="19:26" x14ac:dyDescent="0.35">
      <c r="S1488" s="97"/>
      <c r="T1488" s="97"/>
      <c r="U1488" s="25"/>
      <c r="V1488" s="25"/>
      <c r="W1488" s="25"/>
      <c r="X1488" s="25"/>
      <c r="Y1488" s="25"/>
      <c r="Z1488" s="25"/>
    </row>
    <row r="1489" spans="19:26" x14ac:dyDescent="0.35">
      <c r="S1489" s="97"/>
      <c r="T1489" s="97"/>
      <c r="U1489" s="25"/>
      <c r="V1489" s="25"/>
      <c r="W1489" s="25"/>
      <c r="X1489" s="25"/>
      <c r="Y1489" s="25"/>
      <c r="Z1489" s="25"/>
    </row>
    <row r="1490" spans="19:26" x14ac:dyDescent="0.35">
      <c r="S1490" s="97"/>
      <c r="T1490" s="97"/>
      <c r="U1490" s="25"/>
      <c r="V1490" s="25"/>
      <c r="W1490" s="25"/>
      <c r="X1490" s="25"/>
      <c r="Y1490" s="25"/>
      <c r="Z1490" s="25"/>
    </row>
    <row r="1491" spans="19:26" x14ac:dyDescent="0.35">
      <c r="S1491" s="97"/>
      <c r="T1491" s="97"/>
      <c r="U1491" s="25"/>
      <c r="V1491" s="25"/>
      <c r="W1491" s="25"/>
      <c r="X1491" s="25"/>
      <c r="Y1491" s="25"/>
      <c r="Z1491" s="25"/>
    </row>
    <row r="1492" spans="19:26" x14ac:dyDescent="0.35">
      <c r="S1492" s="97"/>
      <c r="T1492" s="97"/>
      <c r="U1492" s="25"/>
      <c r="V1492" s="25"/>
      <c r="W1492" s="25"/>
      <c r="X1492" s="25"/>
      <c r="Y1492" s="25"/>
      <c r="Z1492" s="25"/>
    </row>
    <row r="1493" spans="19:26" x14ac:dyDescent="0.35">
      <c r="S1493" s="97"/>
      <c r="T1493" s="97"/>
      <c r="U1493" s="25"/>
      <c r="V1493" s="25"/>
      <c r="W1493" s="25"/>
      <c r="X1493" s="25"/>
      <c r="Y1493" s="25"/>
      <c r="Z1493" s="25"/>
    </row>
    <row r="1494" spans="19:26" x14ac:dyDescent="0.35">
      <c r="S1494" s="97"/>
      <c r="T1494" s="97"/>
      <c r="U1494" s="25"/>
      <c r="V1494" s="25"/>
      <c r="W1494" s="25"/>
      <c r="X1494" s="25"/>
      <c r="Y1494" s="25"/>
      <c r="Z1494" s="25"/>
    </row>
    <row r="1495" spans="19:26" x14ac:dyDescent="0.35">
      <c r="S1495" s="97"/>
      <c r="T1495" s="97"/>
      <c r="U1495" s="25"/>
      <c r="V1495" s="25"/>
      <c r="W1495" s="25"/>
      <c r="X1495" s="25"/>
      <c r="Y1495" s="25"/>
      <c r="Z1495" s="25"/>
    </row>
    <row r="1496" spans="19:26" x14ac:dyDescent="0.35">
      <c r="S1496" s="97"/>
      <c r="T1496" s="97"/>
      <c r="U1496" s="25"/>
      <c r="V1496" s="25"/>
      <c r="W1496" s="25"/>
      <c r="X1496" s="25"/>
      <c r="Y1496" s="25"/>
      <c r="Z1496" s="25"/>
    </row>
    <row r="1497" spans="19:26" x14ac:dyDescent="0.35">
      <c r="S1497" s="97"/>
      <c r="T1497" s="97"/>
      <c r="U1497" s="25"/>
      <c r="V1497" s="25"/>
      <c r="W1497" s="25"/>
      <c r="X1497" s="25"/>
      <c r="Y1497" s="25"/>
      <c r="Z1497" s="25"/>
    </row>
    <row r="1498" spans="19:26" x14ac:dyDescent="0.35">
      <c r="S1498" s="97"/>
      <c r="T1498" s="97"/>
      <c r="U1498" s="25"/>
      <c r="V1498" s="25"/>
      <c r="W1498" s="25"/>
      <c r="X1498" s="25"/>
      <c r="Y1498" s="25"/>
      <c r="Z1498" s="25"/>
    </row>
    <row r="1499" spans="19:26" x14ac:dyDescent="0.35">
      <c r="S1499" s="97"/>
      <c r="T1499" s="97"/>
      <c r="U1499" s="25"/>
      <c r="V1499" s="25"/>
      <c r="W1499" s="25"/>
      <c r="X1499" s="25"/>
      <c r="Y1499" s="25"/>
      <c r="Z1499" s="25"/>
    </row>
    <row r="1500" spans="19:26" x14ac:dyDescent="0.35">
      <c r="S1500" s="97"/>
      <c r="T1500" s="97"/>
      <c r="U1500" s="25"/>
      <c r="V1500" s="25"/>
      <c r="W1500" s="25"/>
      <c r="X1500" s="25"/>
      <c r="Y1500" s="25"/>
      <c r="Z1500" s="25"/>
    </row>
    <row r="1501" spans="19:26" x14ac:dyDescent="0.35">
      <c r="S1501" s="97"/>
      <c r="T1501" s="97"/>
      <c r="U1501" s="25"/>
      <c r="V1501" s="25"/>
      <c r="W1501" s="25"/>
      <c r="X1501" s="25"/>
      <c r="Y1501" s="25"/>
      <c r="Z1501" s="25"/>
    </row>
    <row r="1502" spans="19:26" x14ac:dyDescent="0.35">
      <c r="S1502" s="97"/>
      <c r="T1502" s="97"/>
      <c r="U1502" s="25"/>
      <c r="V1502" s="25"/>
      <c r="W1502" s="25"/>
      <c r="X1502" s="25"/>
      <c r="Y1502" s="25"/>
      <c r="Z1502" s="25"/>
    </row>
    <row r="1503" spans="19:26" x14ac:dyDescent="0.35">
      <c r="S1503" s="97"/>
      <c r="T1503" s="97"/>
      <c r="U1503" s="25"/>
      <c r="V1503" s="25"/>
      <c r="W1503" s="25"/>
      <c r="X1503" s="25"/>
      <c r="Y1503" s="25"/>
      <c r="Z1503" s="25"/>
    </row>
    <row r="1504" spans="19:26" x14ac:dyDescent="0.35">
      <c r="S1504" s="97"/>
      <c r="T1504" s="97"/>
      <c r="U1504" s="25"/>
      <c r="V1504" s="25"/>
      <c r="W1504" s="25"/>
      <c r="X1504" s="25"/>
      <c r="Y1504" s="25"/>
      <c r="Z1504" s="25"/>
    </row>
    <row r="1505" spans="19:26" x14ac:dyDescent="0.35">
      <c r="S1505" s="97"/>
      <c r="T1505" s="97"/>
      <c r="U1505" s="25"/>
      <c r="V1505" s="25"/>
      <c r="W1505" s="25"/>
      <c r="X1505" s="25"/>
      <c r="Y1505" s="25"/>
      <c r="Z1505" s="25"/>
    </row>
    <row r="1506" spans="19:26" x14ac:dyDescent="0.35">
      <c r="S1506" s="97"/>
      <c r="T1506" s="97"/>
      <c r="U1506" s="25"/>
      <c r="V1506" s="25"/>
      <c r="W1506" s="25"/>
      <c r="X1506" s="25"/>
      <c r="Y1506" s="25"/>
      <c r="Z1506" s="25"/>
    </row>
    <row r="1507" spans="19:26" x14ac:dyDescent="0.35">
      <c r="S1507" s="97"/>
      <c r="T1507" s="97"/>
      <c r="U1507" s="25"/>
      <c r="V1507" s="25"/>
      <c r="W1507" s="25"/>
      <c r="X1507" s="25"/>
      <c r="Y1507" s="25"/>
      <c r="Z1507" s="25"/>
    </row>
    <row r="1508" spans="19:26" x14ac:dyDescent="0.35">
      <c r="S1508" s="97"/>
      <c r="T1508" s="97"/>
      <c r="U1508" s="25"/>
      <c r="V1508" s="25"/>
      <c r="W1508" s="25"/>
      <c r="X1508" s="25"/>
      <c r="Y1508" s="25"/>
      <c r="Z1508" s="25"/>
    </row>
    <row r="1509" spans="19:26" x14ac:dyDescent="0.35">
      <c r="S1509" s="97"/>
      <c r="T1509" s="97"/>
      <c r="U1509" s="25"/>
      <c r="V1509" s="25"/>
      <c r="W1509" s="25"/>
      <c r="X1509" s="25"/>
      <c r="Y1509" s="25"/>
      <c r="Z1509" s="25"/>
    </row>
    <row r="1510" spans="19:26" x14ac:dyDescent="0.35">
      <c r="S1510" s="97"/>
      <c r="T1510" s="97"/>
      <c r="U1510" s="25"/>
      <c r="V1510" s="25"/>
      <c r="W1510" s="25"/>
      <c r="X1510" s="25"/>
      <c r="Y1510" s="25"/>
      <c r="Z1510" s="25"/>
    </row>
    <row r="1511" spans="19:26" x14ac:dyDescent="0.35">
      <c r="S1511" s="97"/>
      <c r="T1511" s="97"/>
      <c r="U1511" s="25"/>
      <c r="V1511" s="25"/>
      <c r="W1511" s="25"/>
      <c r="X1511" s="25"/>
      <c r="Y1511" s="25"/>
      <c r="Z1511" s="25"/>
    </row>
    <row r="1512" spans="19:26" x14ac:dyDescent="0.35">
      <c r="S1512" s="97"/>
      <c r="T1512" s="97"/>
      <c r="U1512" s="25"/>
      <c r="V1512" s="25"/>
      <c r="W1512" s="25"/>
      <c r="X1512" s="25"/>
      <c r="Y1512" s="25"/>
      <c r="Z1512" s="25"/>
    </row>
    <row r="1513" spans="19:26" x14ac:dyDescent="0.35">
      <c r="S1513" s="97"/>
      <c r="T1513" s="97"/>
      <c r="U1513" s="25"/>
      <c r="V1513" s="25"/>
      <c r="W1513" s="25"/>
      <c r="X1513" s="25"/>
      <c r="Y1513" s="25"/>
      <c r="Z1513" s="25"/>
    </row>
    <row r="1514" spans="19:26" x14ac:dyDescent="0.35">
      <c r="S1514" s="97"/>
      <c r="T1514" s="97"/>
      <c r="U1514" s="25"/>
      <c r="V1514" s="25"/>
      <c r="W1514" s="25"/>
      <c r="X1514" s="25"/>
      <c r="Y1514" s="25"/>
      <c r="Z1514" s="25"/>
    </row>
    <row r="1515" spans="19:26" x14ac:dyDescent="0.35">
      <c r="S1515" s="97"/>
      <c r="T1515" s="97"/>
      <c r="U1515" s="25"/>
      <c r="V1515" s="25"/>
      <c r="W1515" s="25"/>
      <c r="X1515" s="25"/>
      <c r="Y1515" s="25"/>
      <c r="Z1515" s="25"/>
    </row>
    <row r="1516" spans="19:26" x14ac:dyDescent="0.35">
      <c r="S1516" s="97"/>
      <c r="T1516" s="97"/>
      <c r="U1516" s="25"/>
      <c r="V1516" s="25"/>
      <c r="W1516" s="25"/>
      <c r="X1516" s="25"/>
      <c r="Y1516" s="25"/>
      <c r="Z1516" s="25"/>
    </row>
    <row r="1517" spans="19:26" x14ac:dyDescent="0.35">
      <c r="S1517" s="97"/>
      <c r="T1517" s="97"/>
      <c r="U1517" s="25"/>
      <c r="V1517" s="25"/>
      <c r="W1517" s="25"/>
      <c r="X1517" s="25"/>
      <c r="Y1517" s="25"/>
      <c r="Z1517" s="25"/>
    </row>
    <row r="1518" spans="19:26" x14ac:dyDescent="0.35">
      <c r="S1518" s="97"/>
      <c r="T1518" s="97"/>
      <c r="U1518" s="25"/>
      <c r="V1518" s="25"/>
      <c r="W1518" s="25"/>
      <c r="X1518" s="25"/>
      <c r="Y1518" s="25"/>
      <c r="Z1518" s="25"/>
    </row>
    <row r="1519" spans="19:26" x14ac:dyDescent="0.35">
      <c r="S1519" s="97"/>
      <c r="T1519" s="97"/>
      <c r="U1519" s="25"/>
      <c r="V1519" s="25"/>
      <c r="W1519" s="25"/>
      <c r="X1519" s="25"/>
      <c r="Y1519" s="25"/>
      <c r="Z1519" s="25"/>
    </row>
    <row r="1520" spans="19:26" x14ac:dyDescent="0.35">
      <c r="S1520" s="97"/>
      <c r="T1520" s="97"/>
      <c r="U1520" s="25"/>
      <c r="V1520" s="25"/>
      <c r="W1520" s="25"/>
      <c r="X1520" s="25"/>
      <c r="Y1520" s="25"/>
      <c r="Z1520" s="25"/>
    </row>
    <row r="1521" spans="19:26" x14ac:dyDescent="0.35">
      <c r="S1521" s="97"/>
      <c r="T1521" s="97"/>
      <c r="U1521" s="25"/>
      <c r="V1521" s="25"/>
      <c r="W1521" s="25"/>
      <c r="X1521" s="25"/>
      <c r="Y1521" s="25"/>
      <c r="Z1521" s="25"/>
    </row>
    <row r="1522" spans="19:26" x14ac:dyDescent="0.35">
      <c r="S1522" s="97"/>
      <c r="T1522" s="97"/>
      <c r="U1522" s="25"/>
      <c r="V1522" s="25"/>
      <c r="W1522" s="25"/>
      <c r="X1522" s="25"/>
      <c r="Y1522" s="25"/>
      <c r="Z1522" s="25"/>
    </row>
    <row r="1523" spans="19:26" x14ac:dyDescent="0.35">
      <c r="S1523" s="97"/>
      <c r="T1523" s="97"/>
      <c r="U1523" s="25"/>
      <c r="V1523" s="25"/>
      <c r="W1523" s="25"/>
      <c r="X1523" s="25"/>
      <c r="Y1523" s="25"/>
      <c r="Z1523" s="25"/>
    </row>
    <row r="1524" spans="19:26" x14ac:dyDescent="0.35">
      <c r="S1524" s="97"/>
      <c r="T1524" s="97"/>
      <c r="U1524" s="25"/>
      <c r="V1524" s="25"/>
      <c r="W1524" s="25"/>
      <c r="X1524" s="25"/>
      <c r="Y1524" s="25"/>
      <c r="Z1524" s="25"/>
    </row>
    <row r="1525" spans="19:26" x14ac:dyDescent="0.35">
      <c r="S1525" s="97"/>
      <c r="T1525" s="97"/>
      <c r="U1525" s="25"/>
      <c r="V1525" s="25"/>
      <c r="W1525" s="25"/>
      <c r="X1525" s="25"/>
      <c r="Y1525" s="25"/>
      <c r="Z1525" s="25"/>
    </row>
    <row r="1526" spans="19:26" x14ac:dyDescent="0.35">
      <c r="S1526" s="97"/>
      <c r="T1526" s="97"/>
      <c r="U1526" s="25"/>
      <c r="V1526" s="25"/>
      <c r="W1526" s="25"/>
      <c r="X1526" s="25"/>
      <c r="Y1526" s="25"/>
      <c r="Z1526" s="25"/>
    </row>
    <row r="1527" spans="19:26" x14ac:dyDescent="0.35">
      <c r="S1527" s="97"/>
      <c r="T1527" s="97"/>
      <c r="U1527" s="25"/>
      <c r="V1527" s="25"/>
      <c r="W1527" s="25"/>
      <c r="X1527" s="25"/>
      <c r="Y1527" s="25"/>
      <c r="Z1527" s="25"/>
    </row>
    <row r="1528" spans="19:26" x14ac:dyDescent="0.35">
      <c r="S1528" s="97"/>
      <c r="T1528" s="97"/>
      <c r="U1528" s="25"/>
      <c r="V1528" s="25"/>
      <c r="W1528" s="25"/>
      <c r="X1528" s="25"/>
      <c r="Y1528" s="25"/>
      <c r="Z1528" s="25"/>
    </row>
    <row r="1529" spans="19:26" x14ac:dyDescent="0.35">
      <c r="S1529" s="97"/>
      <c r="T1529" s="97"/>
      <c r="U1529" s="25"/>
      <c r="V1529" s="25"/>
      <c r="W1529" s="25"/>
      <c r="X1529" s="25"/>
      <c r="Y1529" s="25"/>
      <c r="Z1529" s="25"/>
    </row>
    <row r="1530" spans="19:26" x14ac:dyDescent="0.35">
      <c r="S1530" s="97"/>
      <c r="T1530" s="97"/>
      <c r="U1530" s="25"/>
      <c r="V1530" s="25"/>
      <c r="W1530" s="25"/>
      <c r="X1530" s="25"/>
      <c r="Y1530" s="25"/>
      <c r="Z1530" s="25"/>
    </row>
    <row r="1531" spans="19:26" x14ac:dyDescent="0.35">
      <c r="S1531" s="97"/>
      <c r="T1531" s="97"/>
      <c r="U1531" s="25"/>
      <c r="V1531" s="25"/>
      <c r="W1531" s="25"/>
      <c r="X1531" s="25"/>
      <c r="Y1531" s="25"/>
      <c r="Z1531" s="25"/>
    </row>
    <row r="1532" spans="19:26" x14ac:dyDescent="0.35">
      <c r="S1532" s="97"/>
      <c r="T1532" s="97"/>
      <c r="U1532" s="25"/>
      <c r="V1532" s="25"/>
      <c r="W1532" s="25"/>
      <c r="X1532" s="25"/>
      <c r="Y1532" s="25"/>
      <c r="Z1532" s="25"/>
    </row>
    <row r="1533" spans="19:26" x14ac:dyDescent="0.35">
      <c r="S1533" s="97"/>
      <c r="T1533" s="97"/>
      <c r="U1533" s="25"/>
      <c r="V1533" s="25"/>
      <c r="W1533" s="25"/>
      <c r="X1533" s="25"/>
      <c r="Y1533" s="25"/>
      <c r="Z1533" s="25"/>
    </row>
    <row r="1534" spans="19:26" x14ac:dyDescent="0.35">
      <c r="S1534" s="97"/>
      <c r="T1534" s="97"/>
      <c r="U1534" s="25"/>
      <c r="V1534" s="25"/>
      <c r="W1534" s="25"/>
      <c r="X1534" s="25"/>
      <c r="Y1534" s="25"/>
      <c r="Z1534" s="25"/>
    </row>
    <row r="1535" spans="19:26" x14ac:dyDescent="0.35">
      <c r="S1535" s="97"/>
      <c r="T1535" s="97"/>
      <c r="U1535" s="25"/>
      <c r="V1535" s="25"/>
      <c r="W1535" s="25"/>
      <c r="X1535" s="25"/>
      <c r="Y1535" s="25"/>
      <c r="Z1535" s="25"/>
    </row>
    <row r="1536" spans="19:26" x14ac:dyDescent="0.35">
      <c r="S1536" s="97"/>
      <c r="T1536" s="97"/>
      <c r="U1536" s="25"/>
      <c r="V1536" s="25"/>
      <c r="W1536" s="25"/>
      <c r="X1536" s="25"/>
      <c r="Y1536" s="25"/>
      <c r="Z1536" s="25"/>
    </row>
    <row r="1537" spans="19:26" x14ac:dyDescent="0.35">
      <c r="S1537" s="97"/>
      <c r="T1537" s="97"/>
      <c r="U1537" s="25"/>
      <c r="V1537" s="25"/>
      <c r="W1537" s="25"/>
      <c r="X1537" s="25"/>
      <c r="Y1537" s="25"/>
      <c r="Z1537" s="25"/>
    </row>
    <row r="1538" spans="19:26" x14ac:dyDescent="0.35">
      <c r="S1538" s="97"/>
      <c r="T1538" s="97"/>
      <c r="U1538" s="25"/>
      <c r="V1538" s="25"/>
      <c r="W1538" s="25"/>
      <c r="X1538" s="25"/>
      <c r="Y1538" s="25"/>
      <c r="Z1538" s="25"/>
    </row>
    <row r="1539" spans="19:26" x14ac:dyDescent="0.35">
      <c r="S1539" s="97"/>
      <c r="T1539" s="97"/>
      <c r="U1539" s="25"/>
      <c r="V1539" s="25"/>
      <c r="W1539" s="25"/>
      <c r="X1539" s="25"/>
      <c r="Y1539" s="25"/>
      <c r="Z1539" s="25"/>
    </row>
    <row r="1540" spans="19:26" x14ac:dyDescent="0.35">
      <c r="S1540" s="97"/>
      <c r="T1540" s="97"/>
      <c r="U1540" s="25"/>
      <c r="V1540" s="25"/>
      <c r="W1540" s="25"/>
      <c r="X1540" s="25"/>
      <c r="Y1540" s="25"/>
      <c r="Z1540" s="25"/>
    </row>
    <row r="1541" spans="19:26" x14ac:dyDescent="0.35">
      <c r="S1541" s="97"/>
      <c r="T1541" s="97"/>
      <c r="U1541" s="25"/>
      <c r="V1541" s="25"/>
      <c r="W1541" s="25"/>
      <c r="X1541" s="25"/>
      <c r="Y1541" s="25"/>
      <c r="Z1541" s="25"/>
    </row>
    <row r="1542" spans="19:26" x14ac:dyDescent="0.35">
      <c r="S1542" s="97"/>
      <c r="T1542" s="97"/>
      <c r="U1542" s="25"/>
      <c r="V1542" s="25"/>
      <c r="W1542" s="25"/>
      <c r="X1542" s="25"/>
      <c r="Y1542" s="25"/>
      <c r="Z1542" s="25"/>
    </row>
    <row r="1543" spans="19:26" x14ac:dyDescent="0.35">
      <c r="S1543" s="97"/>
      <c r="T1543" s="97"/>
      <c r="U1543" s="25"/>
      <c r="V1543" s="25"/>
      <c r="W1543" s="25"/>
      <c r="X1543" s="25"/>
      <c r="Y1543" s="25"/>
      <c r="Z1543" s="25"/>
    </row>
    <row r="1544" spans="19:26" x14ac:dyDescent="0.35">
      <c r="S1544" s="97"/>
      <c r="T1544" s="97"/>
      <c r="U1544" s="25"/>
      <c r="V1544" s="25"/>
      <c r="W1544" s="25"/>
      <c r="X1544" s="25"/>
      <c r="Y1544" s="25"/>
      <c r="Z1544" s="25"/>
    </row>
    <row r="1545" spans="19:26" x14ac:dyDescent="0.35">
      <c r="S1545" s="97"/>
      <c r="T1545" s="97"/>
      <c r="U1545" s="25"/>
      <c r="V1545" s="25"/>
      <c r="W1545" s="25"/>
      <c r="X1545" s="25"/>
      <c r="Y1545" s="25"/>
      <c r="Z1545" s="25"/>
    </row>
    <row r="1546" spans="19:26" x14ac:dyDescent="0.35">
      <c r="S1546" s="97"/>
      <c r="T1546" s="97"/>
      <c r="U1546" s="25"/>
      <c r="V1546" s="25"/>
      <c r="W1546" s="25"/>
      <c r="X1546" s="25"/>
      <c r="Y1546" s="25"/>
      <c r="Z1546" s="25"/>
    </row>
    <row r="1547" spans="19:26" x14ac:dyDescent="0.35">
      <c r="S1547" s="97"/>
      <c r="T1547" s="97"/>
      <c r="U1547" s="25"/>
      <c r="V1547" s="25"/>
      <c r="W1547" s="25"/>
      <c r="X1547" s="25"/>
      <c r="Y1547" s="25"/>
      <c r="Z1547" s="25"/>
    </row>
    <row r="1548" spans="19:26" x14ac:dyDescent="0.35">
      <c r="S1548" s="97"/>
      <c r="T1548" s="97"/>
      <c r="U1548" s="25"/>
      <c r="V1548" s="25"/>
      <c r="W1548" s="25"/>
      <c r="X1548" s="25"/>
      <c r="Y1548" s="25"/>
      <c r="Z1548" s="25"/>
    </row>
    <row r="1549" spans="19:26" x14ac:dyDescent="0.35">
      <c r="S1549" s="97"/>
      <c r="T1549" s="97"/>
      <c r="U1549" s="25"/>
      <c r="V1549" s="25"/>
      <c r="W1549" s="25"/>
      <c r="X1549" s="25"/>
      <c r="Y1549" s="25"/>
      <c r="Z1549" s="25"/>
    </row>
    <row r="1550" spans="19:26" x14ac:dyDescent="0.35">
      <c r="S1550" s="97"/>
      <c r="T1550" s="97"/>
      <c r="U1550" s="25"/>
      <c r="V1550" s="25"/>
      <c r="W1550" s="25"/>
      <c r="X1550" s="25"/>
      <c r="Y1550" s="25"/>
      <c r="Z1550" s="25"/>
    </row>
    <row r="1551" spans="19:26" x14ac:dyDescent="0.35">
      <c r="S1551" s="97"/>
      <c r="T1551" s="97"/>
      <c r="U1551" s="25"/>
      <c r="V1551" s="25"/>
      <c r="W1551" s="25"/>
      <c r="X1551" s="25"/>
      <c r="Y1551" s="25"/>
      <c r="Z1551" s="25"/>
    </row>
    <row r="1552" spans="19:26" x14ac:dyDescent="0.35">
      <c r="S1552" s="97"/>
      <c r="T1552" s="97"/>
      <c r="U1552" s="25"/>
      <c r="V1552" s="25"/>
      <c r="W1552" s="25"/>
      <c r="X1552" s="25"/>
      <c r="Y1552" s="25"/>
      <c r="Z1552" s="25"/>
    </row>
    <row r="1553" spans="19:26" x14ac:dyDescent="0.35">
      <c r="S1553" s="97"/>
      <c r="T1553" s="97"/>
      <c r="U1553" s="25"/>
      <c r="V1553" s="25"/>
      <c r="W1553" s="25"/>
      <c r="X1553" s="25"/>
      <c r="Y1553" s="25"/>
      <c r="Z1553" s="25"/>
    </row>
    <row r="1554" spans="19:26" x14ac:dyDescent="0.35">
      <c r="S1554" s="97"/>
      <c r="T1554" s="97"/>
      <c r="U1554" s="25"/>
      <c r="V1554" s="25"/>
      <c r="W1554" s="25"/>
      <c r="X1554" s="25"/>
      <c r="Y1554" s="25"/>
      <c r="Z1554" s="25"/>
    </row>
    <row r="1555" spans="19:26" x14ac:dyDescent="0.35">
      <c r="S1555" s="97"/>
      <c r="T1555" s="97"/>
      <c r="U1555" s="25"/>
      <c r="V1555" s="25"/>
      <c r="W1555" s="25"/>
      <c r="X1555" s="25"/>
      <c r="Y1555" s="25"/>
      <c r="Z1555" s="25"/>
    </row>
    <row r="1556" spans="19:26" x14ac:dyDescent="0.35">
      <c r="S1556" s="97"/>
      <c r="T1556" s="97"/>
      <c r="U1556" s="25"/>
      <c r="V1556" s="25"/>
      <c r="W1556" s="25"/>
      <c r="X1556" s="25"/>
      <c r="Y1556" s="25"/>
      <c r="Z1556" s="25"/>
    </row>
    <row r="1557" spans="19:26" x14ac:dyDescent="0.35">
      <c r="S1557" s="97"/>
      <c r="T1557" s="97"/>
      <c r="U1557" s="25"/>
      <c r="V1557" s="25"/>
      <c r="W1557" s="25"/>
      <c r="X1557" s="25"/>
      <c r="Y1557" s="25"/>
      <c r="Z1557" s="25"/>
    </row>
    <row r="1558" spans="19:26" x14ac:dyDescent="0.35">
      <c r="S1558" s="97"/>
      <c r="T1558" s="97"/>
      <c r="U1558" s="25"/>
      <c r="V1558" s="25"/>
      <c r="W1558" s="25"/>
      <c r="X1558" s="25"/>
      <c r="Y1558" s="25"/>
      <c r="Z1558" s="25"/>
    </row>
    <row r="1559" spans="19:26" x14ac:dyDescent="0.35">
      <c r="S1559" s="97"/>
      <c r="T1559" s="97"/>
      <c r="U1559" s="25"/>
      <c r="V1559" s="25"/>
      <c r="W1559" s="25"/>
      <c r="X1559" s="25"/>
      <c r="Y1559" s="25"/>
      <c r="Z1559" s="25"/>
    </row>
    <row r="1560" spans="19:26" x14ac:dyDescent="0.35">
      <c r="S1560" s="97"/>
      <c r="T1560" s="97"/>
      <c r="U1560" s="25"/>
      <c r="V1560" s="25"/>
      <c r="W1560" s="25"/>
      <c r="X1560" s="25"/>
      <c r="Y1560" s="25"/>
      <c r="Z1560" s="25"/>
    </row>
    <row r="1561" spans="19:26" x14ac:dyDescent="0.35">
      <c r="S1561" s="97"/>
      <c r="T1561" s="97"/>
      <c r="U1561" s="25"/>
      <c r="V1561" s="25"/>
      <c r="W1561" s="25"/>
      <c r="X1561" s="25"/>
      <c r="Y1561" s="25"/>
      <c r="Z1561" s="25"/>
    </row>
    <row r="1562" spans="19:26" x14ac:dyDescent="0.35">
      <c r="S1562" s="97"/>
      <c r="T1562" s="97"/>
      <c r="U1562" s="25"/>
      <c r="V1562" s="25"/>
      <c r="W1562" s="25"/>
      <c r="X1562" s="25"/>
      <c r="Y1562" s="25"/>
      <c r="Z1562" s="25"/>
    </row>
    <row r="1563" spans="19:26" x14ac:dyDescent="0.35">
      <c r="S1563" s="97"/>
      <c r="T1563" s="97"/>
      <c r="U1563" s="25"/>
      <c r="V1563" s="25"/>
      <c r="W1563" s="25"/>
      <c r="X1563" s="25"/>
      <c r="Y1563" s="25"/>
      <c r="Z1563" s="25"/>
    </row>
    <row r="1564" spans="19:26" x14ac:dyDescent="0.35">
      <c r="S1564" s="97"/>
      <c r="T1564" s="97"/>
      <c r="U1564" s="25"/>
      <c r="V1564" s="25"/>
      <c r="W1564" s="25"/>
      <c r="X1564" s="25"/>
      <c r="Y1564" s="25"/>
      <c r="Z1564" s="25"/>
    </row>
    <row r="1565" spans="19:26" x14ac:dyDescent="0.35">
      <c r="S1565" s="97"/>
      <c r="T1565" s="97"/>
      <c r="U1565" s="25"/>
      <c r="V1565" s="25"/>
      <c r="W1565" s="25"/>
      <c r="X1565" s="25"/>
      <c r="Y1565" s="25"/>
      <c r="Z1565" s="25"/>
    </row>
    <row r="1566" spans="19:26" x14ac:dyDescent="0.35">
      <c r="S1566" s="97"/>
      <c r="T1566" s="97"/>
      <c r="U1566" s="25"/>
      <c r="V1566" s="25"/>
      <c r="W1566" s="25"/>
      <c r="X1566" s="25"/>
      <c r="Y1566" s="25"/>
      <c r="Z1566" s="25"/>
    </row>
    <row r="1567" spans="19:26" x14ac:dyDescent="0.35">
      <c r="S1567" s="97"/>
      <c r="T1567" s="97"/>
      <c r="U1567" s="25"/>
      <c r="V1567" s="25"/>
      <c r="W1567" s="25"/>
      <c r="X1567" s="25"/>
      <c r="Y1567" s="25"/>
      <c r="Z1567" s="25"/>
    </row>
    <row r="1568" spans="19:26" x14ac:dyDescent="0.35">
      <c r="S1568" s="97"/>
      <c r="T1568" s="97"/>
      <c r="U1568" s="25"/>
      <c r="V1568" s="25"/>
      <c r="W1568" s="25"/>
      <c r="X1568" s="25"/>
      <c r="Y1568" s="25"/>
      <c r="Z1568" s="25"/>
    </row>
    <row r="1569" spans="19:26" x14ac:dyDescent="0.35">
      <c r="S1569" s="97"/>
      <c r="T1569" s="97"/>
      <c r="U1569" s="25"/>
      <c r="V1569" s="25"/>
      <c r="W1569" s="25"/>
      <c r="X1569" s="25"/>
      <c r="Y1569" s="25"/>
      <c r="Z1569" s="25"/>
    </row>
    <row r="1570" spans="19:26" x14ac:dyDescent="0.35">
      <c r="S1570" s="97"/>
      <c r="T1570" s="97"/>
      <c r="U1570" s="25"/>
      <c r="V1570" s="25"/>
      <c r="W1570" s="25"/>
      <c r="X1570" s="25"/>
      <c r="Y1570" s="25"/>
      <c r="Z1570" s="25"/>
    </row>
    <row r="1571" spans="19:26" x14ac:dyDescent="0.35">
      <c r="S1571" s="97"/>
      <c r="T1571" s="97"/>
      <c r="U1571" s="25"/>
      <c r="V1571" s="25"/>
      <c r="W1571" s="25"/>
      <c r="X1571" s="25"/>
      <c r="Y1571" s="25"/>
      <c r="Z1571" s="25"/>
    </row>
    <row r="1572" spans="19:26" x14ac:dyDescent="0.35">
      <c r="S1572" s="97"/>
      <c r="T1572" s="97"/>
      <c r="U1572" s="25"/>
      <c r="V1572" s="25"/>
      <c r="W1572" s="25"/>
      <c r="X1572" s="25"/>
      <c r="Y1572" s="25"/>
      <c r="Z1572" s="25"/>
    </row>
    <row r="1573" spans="19:26" x14ac:dyDescent="0.35">
      <c r="S1573" s="97"/>
      <c r="T1573" s="97"/>
      <c r="U1573" s="25"/>
      <c r="V1573" s="25"/>
      <c r="W1573" s="25"/>
      <c r="X1573" s="25"/>
      <c r="Y1573" s="25"/>
      <c r="Z1573" s="25"/>
    </row>
    <row r="1574" spans="19:26" x14ac:dyDescent="0.35">
      <c r="S1574" s="97"/>
      <c r="T1574" s="97"/>
      <c r="U1574" s="25"/>
      <c r="V1574" s="25"/>
      <c r="W1574" s="25"/>
      <c r="X1574" s="25"/>
      <c r="Y1574" s="25"/>
      <c r="Z1574" s="25"/>
    </row>
    <row r="1575" spans="19:26" x14ac:dyDescent="0.35">
      <c r="S1575" s="97"/>
      <c r="T1575" s="97"/>
      <c r="U1575" s="25"/>
      <c r="V1575" s="25"/>
      <c r="W1575" s="25"/>
      <c r="X1575" s="25"/>
      <c r="Y1575" s="25"/>
      <c r="Z1575" s="25"/>
    </row>
    <row r="1576" spans="19:26" x14ac:dyDescent="0.35">
      <c r="S1576" s="97"/>
      <c r="T1576" s="97"/>
      <c r="U1576" s="25"/>
      <c r="V1576" s="25"/>
      <c r="W1576" s="25"/>
      <c r="X1576" s="25"/>
      <c r="Y1576" s="25"/>
      <c r="Z1576" s="25"/>
    </row>
    <row r="1577" spans="19:26" x14ac:dyDescent="0.35">
      <c r="S1577" s="97"/>
      <c r="T1577" s="97"/>
      <c r="U1577" s="25"/>
      <c r="V1577" s="25"/>
      <c r="W1577" s="25"/>
      <c r="X1577" s="25"/>
      <c r="Y1577" s="25"/>
      <c r="Z1577" s="25"/>
    </row>
    <row r="1578" spans="19:26" x14ac:dyDescent="0.35">
      <c r="S1578" s="97"/>
      <c r="T1578" s="97"/>
      <c r="U1578" s="25"/>
      <c r="V1578" s="25"/>
      <c r="W1578" s="25"/>
      <c r="X1578" s="25"/>
      <c r="Y1578" s="25"/>
      <c r="Z1578" s="25"/>
    </row>
    <row r="1579" spans="19:26" x14ac:dyDescent="0.35">
      <c r="S1579" s="97"/>
      <c r="T1579" s="97"/>
      <c r="U1579" s="25"/>
      <c r="V1579" s="25"/>
      <c r="W1579" s="25"/>
      <c r="X1579" s="25"/>
      <c r="Y1579" s="25"/>
      <c r="Z1579" s="25"/>
    </row>
    <row r="1580" spans="19:26" x14ac:dyDescent="0.35">
      <c r="S1580" s="97"/>
      <c r="T1580" s="97"/>
      <c r="U1580" s="25"/>
      <c r="V1580" s="25"/>
      <c r="W1580" s="25"/>
      <c r="X1580" s="25"/>
      <c r="Y1580" s="25"/>
      <c r="Z1580" s="25"/>
    </row>
    <row r="1581" spans="19:26" x14ac:dyDescent="0.35">
      <c r="S1581" s="97"/>
      <c r="T1581" s="97"/>
      <c r="U1581" s="25"/>
      <c r="V1581" s="25"/>
      <c r="W1581" s="25"/>
      <c r="X1581" s="25"/>
      <c r="Y1581" s="25"/>
      <c r="Z1581" s="25"/>
    </row>
    <row r="1582" spans="19:26" x14ac:dyDescent="0.35">
      <c r="S1582" s="97"/>
      <c r="T1582" s="97"/>
      <c r="U1582" s="25"/>
      <c r="V1582" s="25"/>
      <c r="W1582" s="25"/>
      <c r="X1582" s="25"/>
      <c r="Y1582" s="25"/>
      <c r="Z1582" s="25"/>
    </row>
    <row r="1583" spans="19:26" x14ac:dyDescent="0.35">
      <c r="S1583" s="97"/>
      <c r="T1583" s="97"/>
      <c r="U1583" s="25"/>
      <c r="V1583" s="25"/>
      <c r="W1583" s="25"/>
      <c r="X1583" s="25"/>
      <c r="Y1583" s="25"/>
      <c r="Z1583" s="25"/>
    </row>
    <row r="1584" spans="19:26" x14ac:dyDescent="0.35">
      <c r="S1584" s="97"/>
      <c r="T1584" s="97"/>
      <c r="U1584" s="25"/>
      <c r="V1584" s="25"/>
      <c r="W1584" s="25"/>
      <c r="X1584" s="25"/>
      <c r="Y1584" s="25"/>
      <c r="Z1584" s="25"/>
    </row>
    <row r="1585" spans="19:26" x14ac:dyDescent="0.35">
      <c r="S1585" s="97"/>
      <c r="T1585" s="97"/>
      <c r="U1585" s="25"/>
      <c r="V1585" s="25"/>
      <c r="W1585" s="25"/>
      <c r="X1585" s="25"/>
      <c r="Y1585" s="25"/>
      <c r="Z1585" s="25"/>
    </row>
    <row r="1586" spans="19:26" x14ac:dyDescent="0.35">
      <c r="S1586" s="97"/>
      <c r="T1586" s="97"/>
      <c r="U1586" s="25"/>
      <c r="V1586" s="25"/>
      <c r="W1586" s="25"/>
      <c r="X1586" s="25"/>
      <c r="Y1586" s="25"/>
      <c r="Z1586" s="25"/>
    </row>
    <row r="1587" spans="19:26" x14ac:dyDescent="0.35">
      <c r="S1587" s="97"/>
      <c r="T1587" s="97"/>
      <c r="U1587" s="25"/>
      <c r="V1587" s="25"/>
      <c r="W1587" s="25"/>
      <c r="X1587" s="25"/>
      <c r="Y1587" s="25"/>
      <c r="Z1587" s="25"/>
    </row>
    <row r="1588" spans="19:26" x14ac:dyDescent="0.35">
      <c r="S1588" s="97"/>
      <c r="T1588" s="97"/>
      <c r="U1588" s="25"/>
      <c r="V1588" s="25"/>
      <c r="W1588" s="25"/>
      <c r="X1588" s="25"/>
      <c r="Y1588" s="25"/>
      <c r="Z1588" s="25"/>
    </row>
    <row r="1589" spans="19:26" x14ac:dyDescent="0.35">
      <c r="S1589" s="97"/>
      <c r="T1589" s="97"/>
      <c r="U1589" s="25"/>
      <c r="V1589" s="25"/>
      <c r="W1589" s="25"/>
      <c r="X1589" s="25"/>
      <c r="Y1589" s="25"/>
      <c r="Z1589" s="25"/>
    </row>
    <row r="1590" spans="19:26" x14ac:dyDescent="0.35">
      <c r="S1590" s="97"/>
      <c r="T1590" s="97"/>
      <c r="U1590" s="25"/>
      <c r="V1590" s="25"/>
      <c r="W1590" s="25"/>
      <c r="X1590" s="25"/>
      <c r="Y1590" s="25"/>
      <c r="Z1590" s="25"/>
    </row>
    <row r="1591" spans="19:26" x14ac:dyDescent="0.35">
      <c r="S1591" s="97"/>
      <c r="T1591" s="97"/>
      <c r="U1591" s="25"/>
      <c r="V1591" s="25"/>
      <c r="W1591" s="25"/>
      <c r="X1591" s="25"/>
      <c r="Y1591" s="25"/>
      <c r="Z1591" s="25"/>
    </row>
    <row r="1592" spans="19:26" x14ac:dyDescent="0.35">
      <c r="S1592" s="97"/>
      <c r="T1592" s="97"/>
      <c r="U1592" s="25"/>
      <c r="V1592" s="25"/>
      <c r="W1592" s="25"/>
      <c r="X1592" s="25"/>
      <c r="Y1592" s="25"/>
      <c r="Z1592" s="25"/>
    </row>
    <row r="1593" spans="19:26" x14ac:dyDescent="0.35">
      <c r="S1593" s="97"/>
      <c r="T1593" s="97"/>
      <c r="U1593" s="25"/>
      <c r="V1593" s="25"/>
      <c r="W1593" s="25"/>
      <c r="X1593" s="25"/>
      <c r="Y1593" s="25"/>
      <c r="Z1593" s="25"/>
    </row>
    <row r="1594" spans="19:26" x14ac:dyDescent="0.35">
      <c r="S1594" s="97"/>
      <c r="T1594" s="97"/>
      <c r="U1594" s="25"/>
      <c r="V1594" s="25"/>
      <c r="W1594" s="25"/>
      <c r="X1594" s="25"/>
      <c r="Y1594" s="25"/>
      <c r="Z1594" s="25"/>
    </row>
    <row r="1595" spans="19:26" x14ac:dyDescent="0.35">
      <c r="S1595" s="97"/>
      <c r="T1595" s="97"/>
      <c r="U1595" s="25"/>
      <c r="V1595" s="25"/>
      <c r="W1595" s="25"/>
      <c r="X1595" s="25"/>
      <c r="Y1595" s="25"/>
      <c r="Z1595" s="25"/>
    </row>
    <row r="1596" spans="19:26" x14ac:dyDescent="0.35">
      <c r="S1596" s="97"/>
      <c r="T1596" s="97"/>
      <c r="U1596" s="25"/>
      <c r="V1596" s="25"/>
      <c r="W1596" s="25"/>
      <c r="X1596" s="25"/>
      <c r="Y1596" s="25"/>
      <c r="Z1596" s="25"/>
    </row>
    <row r="1597" spans="19:26" x14ac:dyDescent="0.35">
      <c r="S1597" s="97"/>
      <c r="T1597" s="97"/>
      <c r="U1597" s="25"/>
      <c r="V1597" s="25"/>
      <c r="W1597" s="25"/>
      <c r="X1597" s="25"/>
      <c r="Y1597" s="25"/>
      <c r="Z1597" s="25"/>
    </row>
    <row r="1598" spans="19:26" x14ac:dyDescent="0.35">
      <c r="S1598" s="97"/>
      <c r="T1598" s="97"/>
      <c r="U1598" s="25"/>
      <c r="V1598" s="25"/>
      <c r="W1598" s="25"/>
      <c r="X1598" s="25"/>
      <c r="Y1598" s="25"/>
      <c r="Z1598" s="25"/>
    </row>
    <row r="1599" spans="19:26" x14ac:dyDescent="0.35">
      <c r="S1599" s="97"/>
      <c r="T1599" s="97"/>
      <c r="U1599" s="25"/>
      <c r="V1599" s="25"/>
      <c r="W1599" s="25"/>
      <c r="X1599" s="25"/>
      <c r="Y1599" s="25"/>
      <c r="Z1599" s="25"/>
    </row>
    <row r="1600" spans="19:26" x14ac:dyDescent="0.35">
      <c r="S1600" s="97"/>
      <c r="T1600" s="97"/>
      <c r="U1600" s="25"/>
      <c r="V1600" s="25"/>
      <c r="W1600" s="25"/>
      <c r="X1600" s="25"/>
      <c r="Y1600" s="25"/>
      <c r="Z1600" s="25"/>
    </row>
    <row r="1601" spans="19:26" x14ac:dyDescent="0.35">
      <c r="S1601" s="97"/>
      <c r="T1601" s="97"/>
      <c r="U1601" s="25"/>
      <c r="V1601" s="25"/>
      <c r="W1601" s="25"/>
      <c r="X1601" s="25"/>
      <c r="Y1601" s="25"/>
      <c r="Z1601" s="25"/>
    </row>
    <row r="1602" spans="19:26" x14ac:dyDescent="0.35">
      <c r="S1602" s="97"/>
      <c r="T1602" s="97"/>
      <c r="U1602" s="25"/>
      <c r="V1602" s="25"/>
      <c r="W1602" s="25"/>
      <c r="X1602" s="25"/>
      <c r="Y1602" s="25"/>
      <c r="Z1602" s="25"/>
    </row>
    <row r="1603" spans="19:26" x14ac:dyDescent="0.35">
      <c r="S1603" s="97"/>
      <c r="T1603" s="97"/>
      <c r="U1603" s="25"/>
      <c r="V1603" s="25"/>
      <c r="W1603" s="25"/>
      <c r="X1603" s="25"/>
      <c r="Y1603" s="25"/>
      <c r="Z1603" s="25"/>
    </row>
    <row r="1604" spans="19:26" x14ac:dyDescent="0.35">
      <c r="S1604" s="97"/>
      <c r="T1604" s="97"/>
      <c r="U1604" s="25"/>
      <c r="V1604" s="25"/>
      <c r="W1604" s="25"/>
      <c r="X1604" s="25"/>
      <c r="Y1604" s="25"/>
      <c r="Z1604" s="25"/>
    </row>
    <row r="1605" spans="19:26" x14ac:dyDescent="0.35">
      <c r="S1605" s="97"/>
      <c r="T1605" s="97"/>
      <c r="U1605" s="25"/>
      <c r="V1605" s="25"/>
      <c r="W1605" s="25"/>
      <c r="X1605" s="25"/>
      <c r="Y1605" s="25"/>
      <c r="Z1605" s="25"/>
    </row>
    <row r="1606" spans="19:26" x14ac:dyDescent="0.35">
      <c r="S1606" s="97"/>
      <c r="T1606" s="97"/>
      <c r="U1606" s="25"/>
      <c r="V1606" s="25"/>
      <c r="W1606" s="25"/>
      <c r="X1606" s="25"/>
      <c r="Y1606" s="25"/>
      <c r="Z1606" s="25"/>
    </row>
    <row r="1607" spans="19:26" x14ac:dyDescent="0.35">
      <c r="S1607" s="97"/>
      <c r="T1607" s="97"/>
      <c r="U1607" s="25"/>
      <c r="V1607" s="25"/>
      <c r="W1607" s="25"/>
      <c r="X1607" s="25"/>
      <c r="Y1607" s="25"/>
      <c r="Z1607" s="25"/>
    </row>
    <row r="1608" spans="19:26" x14ac:dyDescent="0.35">
      <c r="S1608" s="97"/>
      <c r="T1608" s="97"/>
      <c r="U1608" s="25"/>
      <c r="V1608" s="25"/>
      <c r="W1608" s="25"/>
      <c r="X1608" s="25"/>
      <c r="Y1608" s="25"/>
      <c r="Z1608" s="25"/>
    </row>
    <row r="1609" spans="19:26" x14ac:dyDescent="0.35">
      <c r="S1609" s="97"/>
      <c r="T1609" s="97"/>
      <c r="U1609" s="25"/>
      <c r="V1609" s="25"/>
      <c r="W1609" s="25"/>
      <c r="X1609" s="25"/>
      <c r="Y1609" s="25"/>
      <c r="Z1609" s="25"/>
    </row>
    <row r="1610" spans="19:26" x14ac:dyDescent="0.35">
      <c r="S1610" s="97"/>
      <c r="T1610" s="97"/>
      <c r="U1610" s="25"/>
      <c r="V1610" s="25"/>
      <c r="W1610" s="25"/>
      <c r="X1610" s="25"/>
      <c r="Y1610" s="25"/>
      <c r="Z1610" s="25"/>
    </row>
    <row r="1611" spans="19:26" x14ac:dyDescent="0.35">
      <c r="S1611" s="97"/>
      <c r="T1611" s="97"/>
      <c r="U1611" s="25"/>
      <c r="V1611" s="25"/>
      <c r="W1611" s="25"/>
      <c r="X1611" s="25"/>
      <c r="Y1611" s="25"/>
      <c r="Z1611" s="25"/>
    </row>
    <row r="1612" spans="19:26" x14ac:dyDescent="0.35">
      <c r="S1612" s="97"/>
      <c r="T1612" s="97"/>
      <c r="U1612" s="25"/>
      <c r="V1612" s="25"/>
      <c r="W1612" s="25"/>
      <c r="X1612" s="25"/>
      <c r="Y1612" s="25"/>
      <c r="Z1612" s="25"/>
    </row>
    <row r="1613" spans="19:26" x14ac:dyDescent="0.35">
      <c r="S1613" s="97"/>
      <c r="T1613" s="97"/>
      <c r="U1613" s="25"/>
      <c r="V1613" s="25"/>
      <c r="W1613" s="25"/>
      <c r="X1613" s="25"/>
      <c r="Y1613" s="25"/>
      <c r="Z1613" s="25"/>
    </row>
    <row r="1614" spans="19:26" x14ac:dyDescent="0.35">
      <c r="S1614" s="97"/>
      <c r="T1614" s="97"/>
      <c r="U1614" s="25"/>
      <c r="V1614" s="25"/>
      <c r="W1614" s="25"/>
      <c r="X1614" s="25"/>
      <c r="Y1614" s="25"/>
      <c r="Z1614" s="25"/>
    </row>
    <row r="1615" spans="19:26" x14ac:dyDescent="0.35">
      <c r="S1615" s="97"/>
      <c r="T1615" s="97"/>
      <c r="U1615" s="25"/>
      <c r="V1615" s="25"/>
      <c r="W1615" s="25"/>
      <c r="X1615" s="25"/>
      <c r="Y1615" s="25"/>
      <c r="Z1615" s="25"/>
    </row>
    <row r="1616" spans="19:26" x14ac:dyDescent="0.35">
      <c r="S1616" s="97"/>
      <c r="T1616" s="97"/>
      <c r="U1616" s="25"/>
      <c r="V1616" s="25"/>
      <c r="W1616" s="25"/>
      <c r="X1616" s="25"/>
      <c r="Y1616" s="25"/>
      <c r="Z1616" s="25"/>
    </row>
    <row r="1617" spans="19:26" x14ac:dyDescent="0.35">
      <c r="S1617" s="97"/>
      <c r="T1617" s="97"/>
      <c r="U1617" s="25"/>
      <c r="V1617" s="25"/>
      <c r="W1617" s="25"/>
      <c r="X1617" s="25"/>
      <c r="Y1617" s="25"/>
      <c r="Z1617" s="25"/>
    </row>
    <row r="1618" spans="19:26" x14ac:dyDescent="0.35">
      <c r="S1618" s="97"/>
      <c r="T1618" s="97"/>
      <c r="U1618" s="25"/>
      <c r="V1618" s="25"/>
      <c r="W1618" s="25"/>
      <c r="X1618" s="25"/>
      <c r="Y1618" s="25"/>
      <c r="Z1618" s="25"/>
    </row>
    <row r="1619" spans="19:26" x14ac:dyDescent="0.35">
      <c r="S1619" s="97"/>
      <c r="T1619" s="97"/>
      <c r="U1619" s="25"/>
      <c r="V1619" s="25"/>
      <c r="W1619" s="25"/>
      <c r="X1619" s="25"/>
      <c r="Y1619" s="25"/>
      <c r="Z1619" s="25"/>
    </row>
    <row r="1620" spans="19:26" x14ac:dyDescent="0.35">
      <c r="S1620" s="97"/>
      <c r="T1620" s="97"/>
      <c r="U1620" s="25"/>
      <c r="V1620" s="25"/>
      <c r="W1620" s="25"/>
      <c r="X1620" s="25"/>
      <c r="Y1620" s="25"/>
      <c r="Z1620" s="25"/>
    </row>
    <row r="1621" spans="19:26" x14ac:dyDescent="0.35">
      <c r="S1621" s="97"/>
      <c r="T1621" s="97"/>
      <c r="U1621" s="25"/>
      <c r="V1621" s="25"/>
      <c r="W1621" s="25"/>
      <c r="X1621" s="25"/>
      <c r="Y1621" s="25"/>
      <c r="Z1621" s="25"/>
    </row>
    <row r="1622" spans="19:26" x14ac:dyDescent="0.35">
      <c r="S1622" s="97"/>
      <c r="T1622" s="97"/>
      <c r="U1622" s="25"/>
      <c r="V1622" s="25"/>
      <c r="W1622" s="25"/>
      <c r="X1622" s="25"/>
      <c r="Y1622" s="25"/>
      <c r="Z1622" s="25"/>
    </row>
    <row r="1623" spans="19:26" x14ac:dyDescent="0.35">
      <c r="S1623" s="97"/>
      <c r="T1623" s="97"/>
      <c r="U1623" s="25"/>
      <c r="V1623" s="25"/>
      <c r="W1623" s="25"/>
      <c r="X1623" s="25"/>
      <c r="Y1623" s="25"/>
      <c r="Z1623" s="25"/>
    </row>
    <row r="1624" spans="19:26" x14ac:dyDescent="0.35">
      <c r="S1624" s="97"/>
      <c r="T1624" s="97"/>
      <c r="U1624" s="25"/>
      <c r="V1624" s="25"/>
      <c r="W1624" s="25"/>
      <c r="X1624" s="25"/>
      <c r="Y1624" s="25"/>
      <c r="Z1624" s="25"/>
    </row>
    <row r="1625" spans="19:26" x14ac:dyDescent="0.35">
      <c r="S1625" s="97"/>
      <c r="T1625" s="97"/>
      <c r="U1625" s="25"/>
      <c r="V1625" s="25"/>
      <c r="W1625" s="25"/>
      <c r="X1625" s="25"/>
      <c r="Y1625" s="25"/>
      <c r="Z1625" s="25"/>
    </row>
    <row r="1626" spans="19:26" x14ac:dyDescent="0.35">
      <c r="S1626" s="97"/>
      <c r="T1626" s="97"/>
      <c r="U1626" s="25"/>
      <c r="V1626" s="25"/>
      <c r="W1626" s="25"/>
      <c r="X1626" s="25"/>
      <c r="Y1626" s="25"/>
      <c r="Z1626" s="25"/>
    </row>
    <row r="1627" spans="19:26" x14ac:dyDescent="0.35">
      <c r="S1627" s="97"/>
      <c r="T1627" s="97"/>
      <c r="U1627" s="25"/>
      <c r="V1627" s="25"/>
      <c r="W1627" s="25"/>
      <c r="X1627" s="25"/>
      <c r="Y1627" s="25"/>
      <c r="Z1627" s="25"/>
    </row>
    <row r="1628" spans="19:26" x14ac:dyDescent="0.35">
      <c r="S1628" s="97"/>
      <c r="T1628" s="97"/>
      <c r="U1628" s="25"/>
      <c r="V1628" s="25"/>
      <c r="W1628" s="25"/>
      <c r="X1628" s="25"/>
      <c r="Y1628" s="25"/>
      <c r="Z1628" s="25"/>
    </row>
    <row r="1629" spans="19:26" x14ac:dyDescent="0.35">
      <c r="S1629" s="97"/>
      <c r="T1629" s="97"/>
      <c r="U1629" s="25"/>
      <c r="V1629" s="25"/>
      <c r="W1629" s="25"/>
      <c r="X1629" s="25"/>
      <c r="Y1629" s="25"/>
      <c r="Z1629" s="25"/>
    </row>
    <row r="1630" spans="19:26" x14ac:dyDescent="0.35">
      <c r="S1630" s="97"/>
      <c r="T1630" s="97"/>
      <c r="U1630" s="25"/>
      <c r="V1630" s="25"/>
      <c r="W1630" s="25"/>
      <c r="X1630" s="25"/>
      <c r="Y1630" s="25"/>
      <c r="Z1630" s="25"/>
    </row>
    <row r="1631" spans="19:26" x14ac:dyDescent="0.35">
      <c r="S1631" s="97"/>
      <c r="T1631" s="97"/>
      <c r="U1631" s="25"/>
      <c r="V1631" s="25"/>
      <c r="W1631" s="25"/>
      <c r="X1631" s="25"/>
      <c r="Y1631" s="25"/>
      <c r="Z1631" s="25"/>
    </row>
    <row r="1632" spans="19:26" x14ac:dyDescent="0.35">
      <c r="S1632" s="97"/>
      <c r="T1632" s="97"/>
      <c r="U1632" s="25"/>
      <c r="V1632" s="25"/>
      <c r="W1632" s="25"/>
      <c r="X1632" s="25"/>
      <c r="Y1632" s="25"/>
      <c r="Z1632" s="25"/>
    </row>
    <row r="1633" spans="19:26" x14ac:dyDescent="0.35">
      <c r="S1633" s="97"/>
      <c r="T1633" s="97"/>
      <c r="U1633" s="25"/>
      <c r="V1633" s="25"/>
      <c r="W1633" s="25"/>
      <c r="X1633" s="25"/>
      <c r="Y1633" s="25"/>
      <c r="Z1633" s="25"/>
    </row>
    <row r="1634" spans="19:26" x14ac:dyDescent="0.35">
      <c r="S1634" s="97"/>
      <c r="T1634" s="97"/>
      <c r="U1634" s="25"/>
      <c r="V1634" s="25"/>
      <c r="W1634" s="25"/>
      <c r="X1634" s="25"/>
      <c r="Y1634" s="25"/>
      <c r="Z1634" s="25"/>
    </row>
    <row r="1635" spans="19:26" x14ac:dyDescent="0.35">
      <c r="S1635" s="97"/>
      <c r="T1635" s="97"/>
      <c r="U1635" s="25"/>
      <c r="V1635" s="25"/>
      <c r="W1635" s="25"/>
      <c r="X1635" s="25"/>
      <c r="Y1635" s="25"/>
      <c r="Z1635" s="25"/>
    </row>
    <row r="1636" spans="19:26" x14ac:dyDescent="0.35">
      <c r="S1636" s="97"/>
      <c r="T1636" s="97"/>
      <c r="U1636" s="25"/>
      <c r="V1636" s="25"/>
      <c r="W1636" s="25"/>
      <c r="X1636" s="25"/>
      <c r="Y1636" s="25"/>
      <c r="Z1636" s="25"/>
    </row>
    <row r="1637" spans="19:26" x14ac:dyDescent="0.35">
      <c r="S1637" s="97"/>
      <c r="T1637" s="97"/>
      <c r="U1637" s="25"/>
      <c r="V1637" s="25"/>
      <c r="W1637" s="25"/>
      <c r="X1637" s="25"/>
      <c r="Y1637" s="25"/>
      <c r="Z1637" s="25"/>
    </row>
    <row r="1638" spans="19:26" x14ac:dyDescent="0.35">
      <c r="S1638" s="97"/>
      <c r="T1638" s="97"/>
      <c r="U1638" s="25"/>
      <c r="V1638" s="25"/>
      <c r="W1638" s="25"/>
      <c r="X1638" s="25"/>
      <c r="Y1638" s="25"/>
      <c r="Z1638" s="25"/>
    </row>
    <row r="1639" spans="19:26" x14ac:dyDescent="0.35">
      <c r="S1639" s="97"/>
      <c r="T1639" s="97"/>
      <c r="U1639" s="25"/>
      <c r="V1639" s="25"/>
      <c r="W1639" s="25"/>
      <c r="X1639" s="25"/>
      <c r="Y1639" s="25"/>
      <c r="Z1639" s="25"/>
    </row>
    <row r="1640" spans="19:26" x14ac:dyDescent="0.35">
      <c r="S1640" s="97"/>
      <c r="T1640" s="97"/>
      <c r="U1640" s="25"/>
      <c r="V1640" s="25"/>
      <c r="W1640" s="25"/>
      <c r="X1640" s="25"/>
      <c r="Y1640" s="25"/>
      <c r="Z1640" s="25"/>
    </row>
    <row r="1641" spans="19:26" x14ac:dyDescent="0.35">
      <c r="S1641" s="97"/>
      <c r="T1641" s="97"/>
      <c r="U1641" s="25"/>
      <c r="V1641" s="25"/>
      <c r="W1641" s="25"/>
      <c r="X1641" s="25"/>
      <c r="Y1641" s="25"/>
      <c r="Z1641" s="25"/>
    </row>
    <row r="1642" spans="19:26" x14ac:dyDescent="0.35">
      <c r="S1642" s="97"/>
      <c r="T1642" s="97"/>
      <c r="U1642" s="25"/>
      <c r="V1642" s="25"/>
      <c r="W1642" s="25"/>
      <c r="X1642" s="25"/>
      <c r="Y1642" s="25"/>
      <c r="Z1642" s="25"/>
    </row>
    <row r="1643" spans="19:26" x14ac:dyDescent="0.35">
      <c r="S1643" s="97"/>
      <c r="T1643" s="97"/>
      <c r="U1643" s="25"/>
      <c r="V1643" s="25"/>
      <c r="W1643" s="25"/>
      <c r="X1643" s="25"/>
      <c r="Y1643" s="25"/>
      <c r="Z1643" s="25"/>
    </row>
    <row r="1644" spans="19:26" x14ac:dyDescent="0.35">
      <c r="S1644" s="97"/>
      <c r="T1644" s="97"/>
      <c r="U1644" s="25"/>
      <c r="V1644" s="25"/>
      <c r="W1644" s="25"/>
      <c r="X1644" s="25"/>
      <c r="Y1644" s="25"/>
      <c r="Z1644" s="25"/>
    </row>
    <row r="1645" spans="19:26" x14ac:dyDescent="0.35">
      <c r="S1645" s="97"/>
      <c r="T1645" s="97"/>
      <c r="U1645" s="25"/>
      <c r="V1645" s="25"/>
      <c r="W1645" s="25"/>
      <c r="X1645" s="25"/>
      <c r="Y1645" s="25"/>
      <c r="Z1645" s="25"/>
    </row>
    <row r="1646" spans="19:26" x14ac:dyDescent="0.35">
      <c r="S1646" s="97"/>
      <c r="T1646" s="97"/>
      <c r="U1646" s="25"/>
      <c r="V1646" s="25"/>
      <c r="W1646" s="25"/>
      <c r="X1646" s="25"/>
      <c r="Y1646" s="25"/>
      <c r="Z1646" s="25"/>
    </row>
    <row r="1647" spans="19:26" x14ac:dyDescent="0.35">
      <c r="S1647" s="97"/>
      <c r="T1647" s="97"/>
      <c r="U1647" s="25"/>
      <c r="V1647" s="25"/>
      <c r="W1647" s="25"/>
      <c r="X1647" s="25"/>
      <c r="Y1647" s="25"/>
      <c r="Z1647" s="25"/>
    </row>
    <row r="1648" spans="19:26" x14ac:dyDescent="0.35">
      <c r="S1648" s="97"/>
      <c r="T1648" s="97"/>
      <c r="U1648" s="25"/>
      <c r="V1648" s="25"/>
      <c r="W1648" s="25"/>
      <c r="X1648" s="25"/>
      <c r="Y1648" s="25"/>
      <c r="Z1648" s="25"/>
    </row>
    <row r="1649" spans="19:26" x14ac:dyDescent="0.35">
      <c r="S1649" s="97"/>
      <c r="T1649" s="97"/>
      <c r="U1649" s="25"/>
      <c r="V1649" s="25"/>
      <c r="W1649" s="25"/>
      <c r="X1649" s="25"/>
      <c r="Y1649" s="25"/>
      <c r="Z1649" s="25"/>
    </row>
    <row r="1650" spans="19:26" x14ac:dyDescent="0.35">
      <c r="S1650" s="97"/>
      <c r="T1650" s="97"/>
      <c r="U1650" s="25"/>
      <c r="V1650" s="25"/>
      <c r="W1650" s="25"/>
      <c r="X1650" s="25"/>
      <c r="Y1650" s="25"/>
      <c r="Z1650" s="25"/>
    </row>
    <row r="1651" spans="19:26" x14ac:dyDescent="0.35">
      <c r="S1651" s="97"/>
      <c r="T1651" s="97"/>
      <c r="U1651" s="25"/>
      <c r="V1651" s="25"/>
      <c r="W1651" s="25"/>
      <c r="X1651" s="25"/>
      <c r="Y1651" s="25"/>
      <c r="Z1651" s="25"/>
    </row>
    <row r="1652" spans="19:26" x14ac:dyDescent="0.35">
      <c r="S1652" s="97"/>
      <c r="T1652" s="97"/>
      <c r="U1652" s="25"/>
      <c r="V1652" s="25"/>
      <c r="W1652" s="25"/>
      <c r="X1652" s="25"/>
      <c r="Y1652" s="25"/>
      <c r="Z1652" s="25"/>
    </row>
    <row r="1653" spans="19:26" x14ac:dyDescent="0.35">
      <c r="S1653" s="97"/>
      <c r="T1653" s="97"/>
      <c r="U1653" s="25"/>
      <c r="V1653" s="25"/>
      <c r="W1653" s="25"/>
      <c r="X1653" s="25"/>
      <c r="Y1653" s="25"/>
      <c r="Z1653" s="25"/>
    </row>
    <row r="1654" spans="19:26" x14ac:dyDescent="0.35">
      <c r="S1654" s="97"/>
      <c r="T1654" s="97"/>
      <c r="U1654" s="25"/>
      <c r="V1654" s="25"/>
      <c r="W1654" s="25"/>
      <c r="X1654" s="25"/>
      <c r="Y1654" s="25"/>
      <c r="Z1654" s="25"/>
    </row>
    <row r="1655" spans="19:26" x14ac:dyDescent="0.35">
      <c r="S1655" s="97"/>
      <c r="T1655" s="97"/>
      <c r="U1655" s="25"/>
      <c r="V1655" s="25"/>
      <c r="W1655" s="25"/>
      <c r="X1655" s="25"/>
      <c r="Y1655" s="25"/>
      <c r="Z1655" s="25"/>
    </row>
    <row r="1656" spans="19:26" x14ac:dyDescent="0.35">
      <c r="S1656" s="97"/>
      <c r="T1656" s="97"/>
      <c r="U1656" s="25"/>
      <c r="V1656" s="25"/>
      <c r="W1656" s="25"/>
      <c r="X1656" s="25"/>
      <c r="Y1656" s="25"/>
      <c r="Z1656" s="25"/>
    </row>
    <row r="1657" spans="19:26" x14ac:dyDescent="0.35">
      <c r="S1657" s="97"/>
      <c r="T1657" s="97"/>
      <c r="U1657" s="25"/>
      <c r="V1657" s="25"/>
      <c r="W1657" s="25"/>
      <c r="X1657" s="25"/>
      <c r="Y1657" s="25"/>
      <c r="Z1657" s="25"/>
    </row>
    <row r="1658" spans="19:26" x14ac:dyDescent="0.35">
      <c r="S1658" s="97"/>
      <c r="T1658" s="97"/>
      <c r="U1658" s="25"/>
      <c r="V1658" s="25"/>
      <c r="W1658" s="25"/>
      <c r="X1658" s="25"/>
      <c r="Y1658" s="25"/>
      <c r="Z1658" s="25"/>
    </row>
    <row r="1659" spans="19:26" x14ac:dyDescent="0.35">
      <c r="S1659" s="97"/>
      <c r="T1659" s="97"/>
      <c r="U1659" s="25"/>
      <c r="V1659" s="25"/>
      <c r="W1659" s="25"/>
      <c r="X1659" s="25"/>
      <c r="Y1659" s="25"/>
      <c r="Z1659" s="25"/>
    </row>
    <row r="1660" spans="19:26" x14ac:dyDescent="0.35">
      <c r="S1660" s="97"/>
      <c r="T1660" s="97"/>
      <c r="U1660" s="25"/>
      <c r="V1660" s="25"/>
      <c r="W1660" s="25"/>
      <c r="X1660" s="25"/>
      <c r="Y1660" s="25"/>
      <c r="Z1660" s="25"/>
    </row>
    <row r="1661" spans="19:26" x14ac:dyDescent="0.35">
      <c r="S1661" s="97"/>
      <c r="T1661" s="97"/>
      <c r="U1661" s="25"/>
      <c r="V1661" s="25"/>
      <c r="W1661" s="25"/>
      <c r="X1661" s="25"/>
      <c r="Y1661" s="25"/>
      <c r="Z1661" s="25"/>
    </row>
    <row r="1662" spans="19:26" x14ac:dyDescent="0.35">
      <c r="S1662" s="97"/>
      <c r="T1662" s="97"/>
      <c r="U1662" s="25"/>
      <c r="V1662" s="25"/>
      <c r="W1662" s="25"/>
      <c r="X1662" s="25"/>
      <c r="Y1662" s="25"/>
      <c r="Z1662" s="25"/>
    </row>
    <row r="1663" spans="19:26" x14ac:dyDescent="0.35">
      <c r="S1663" s="97"/>
      <c r="T1663" s="97"/>
      <c r="U1663" s="25"/>
      <c r="V1663" s="25"/>
      <c r="W1663" s="25"/>
      <c r="X1663" s="25"/>
      <c r="Y1663" s="25"/>
      <c r="Z1663" s="25"/>
    </row>
    <row r="1664" spans="19:26" x14ac:dyDescent="0.35">
      <c r="S1664" s="97"/>
      <c r="T1664" s="97"/>
      <c r="U1664" s="25"/>
      <c r="V1664" s="25"/>
      <c r="W1664" s="25"/>
      <c r="X1664" s="25"/>
      <c r="Y1664" s="25"/>
      <c r="Z1664" s="25"/>
    </row>
    <row r="1665" spans="19:26" x14ac:dyDescent="0.35">
      <c r="S1665" s="97"/>
      <c r="T1665" s="97"/>
      <c r="U1665" s="25"/>
      <c r="V1665" s="25"/>
      <c r="W1665" s="25"/>
      <c r="X1665" s="25"/>
      <c r="Y1665" s="25"/>
      <c r="Z1665" s="25"/>
    </row>
    <row r="1666" spans="19:26" x14ac:dyDescent="0.35">
      <c r="S1666" s="97"/>
      <c r="T1666" s="97"/>
      <c r="U1666" s="25"/>
      <c r="V1666" s="25"/>
      <c r="W1666" s="25"/>
      <c r="X1666" s="25"/>
      <c r="Y1666" s="25"/>
      <c r="Z1666" s="25"/>
    </row>
    <row r="1667" spans="19:26" x14ac:dyDescent="0.35">
      <c r="S1667" s="97"/>
      <c r="T1667" s="97"/>
      <c r="U1667" s="25"/>
      <c r="V1667" s="25"/>
      <c r="W1667" s="25"/>
      <c r="X1667" s="25"/>
      <c r="Y1667" s="25"/>
      <c r="Z1667" s="25"/>
    </row>
    <row r="1668" spans="19:26" x14ac:dyDescent="0.35">
      <c r="S1668" s="97"/>
      <c r="T1668" s="97"/>
      <c r="U1668" s="25"/>
      <c r="V1668" s="25"/>
      <c r="W1668" s="25"/>
      <c r="X1668" s="25"/>
      <c r="Y1668" s="25"/>
      <c r="Z1668" s="25"/>
    </row>
    <row r="1669" spans="19:26" x14ac:dyDescent="0.35">
      <c r="S1669" s="97"/>
      <c r="T1669" s="97"/>
      <c r="U1669" s="25"/>
      <c r="V1669" s="25"/>
      <c r="W1669" s="25"/>
      <c r="X1669" s="25"/>
      <c r="Y1669" s="25"/>
      <c r="Z1669" s="25"/>
    </row>
    <row r="1670" spans="19:26" x14ac:dyDescent="0.35">
      <c r="S1670" s="97"/>
      <c r="T1670" s="97"/>
      <c r="U1670" s="25"/>
      <c r="V1670" s="25"/>
      <c r="W1670" s="25"/>
      <c r="X1670" s="25"/>
      <c r="Y1670" s="25"/>
      <c r="Z1670" s="25"/>
    </row>
    <row r="1671" spans="19:26" x14ac:dyDescent="0.35">
      <c r="S1671" s="97"/>
      <c r="T1671" s="97"/>
      <c r="U1671" s="25"/>
      <c r="V1671" s="25"/>
      <c r="W1671" s="25"/>
      <c r="X1671" s="25"/>
      <c r="Y1671" s="25"/>
      <c r="Z1671" s="25"/>
    </row>
    <row r="1672" spans="19:26" x14ac:dyDescent="0.35">
      <c r="S1672" s="97"/>
      <c r="T1672" s="97"/>
      <c r="U1672" s="25"/>
      <c r="V1672" s="25"/>
      <c r="W1672" s="25"/>
      <c r="X1672" s="25"/>
      <c r="Y1672" s="25"/>
      <c r="Z1672" s="25"/>
    </row>
    <row r="1673" spans="19:26" x14ac:dyDescent="0.35">
      <c r="S1673" s="97"/>
      <c r="T1673" s="97"/>
      <c r="U1673" s="25"/>
      <c r="V1673" s="25"/>
      <c r="W1673" s="25"/>
      <c r="X1673" s="25"/>
      <c r="Y1673" s="25"/>
      <c r="Z1673" s="25"/>
    </row>
    <row r="1674" spans="19:26" x14ac:dyDescent="0.35">
      <c r="S1674" s="97"/>
      <c r="T1674" s="97"/>
      <c r="U1674" s="25"/>
      <c r="V1674" s="25"/>
      <c r="W1674" s="25"/>
      <c r="X1674" s="25"/>
      <c r="Y1674" s="25"/>
      <c r="Z1674" s="25"/>
    </row>
    <row r="1675" spans="19:26" x14ac:dyDescent="0.35">
      <c r="S1675" s="97"/>
      <c r="T1675" s="97"/>
      <c r="U1675" s="25"/>
      <c r="V1675" s="25"/>
      <c r="W1675" s="25"/>
      <c r="X1675" s="25"/>
      <c r="Y1675" s="25"/>
      <c r="Z1675" s="25"/>
    </row>
    <row r="1676" spans="19:26" x14ac:dyDescent="0.35">
      <c r="S1676" s="97"/>
      <c r="T1676" s="97"/>
      <c r="U1676" s="25"/>
      <c r="V1676" s="25"/>
      <c r="W1676" s="25"/>
      <c r="X1676" s="25"/>
      <c r="Y1676" s="25"/>
      <c r="Z1676" s="25"/>
    </row>
    <row r="1677" spans="19:26" x14ac:dyDescent="0.35">
      <c r="S1677" s="97"/>
      <c r="T1677" s="97"/>
      <c r="U1677" s="25"/>
      <c r="V1677" s="25"/>
      <c r="W1677" s="25"/>
      <c r="X1677" s="25"/>
      <c r="Y1677" s="25"/>
      <c r="Z1677" s="25"/>
    </row>
    <row r="1678" spans="19:26" x14ac:dyDescent="0.35">
      <c r="S1678" s="97"/>
      <c r="T1678" s="97"/>
      <c r="U1678" s="25"/>
      <c r="V1678" s="25"/>
      <c r="W1678" s="25"/>
      <c r="X1678" s="25"/>
      <c r="Y1678" s="25"/>
      <c r="Z1678" s="25"/>
    </row>
    <row r="1679" spans="19:26" x14ac:dyDescent="0.35">
      <c r="S1679" s="97"/>
      <c r="T1679" s="97"/>
      <c r="U1679" s="25"/>
      <c r="V1679" s="25"/>
      <c r="W1679" s="25"/>
      <c r="X1679" s="25"/>
      <c r="Y1679" s="25"/>
      <c r="Z1679" s="25"/>
    </row>
    <row r="1680" spans="19:26" x14ac:dyDescent="0.35">
      <c r="S1680" s="97"/>
      <c r="T1680" s="97"/>
      <c r="U1680" s="25"/>
      <c r="V1680" s="25"/>
      <c r="W1680" s="25"/>
      <c r="X1680" s="25"/>
      <c r="Y1680" s="25"/>
      <c r="Z1680" s="25"/>
    </row>
    <row r="1681" spans="19:26" x14ac:dyDescent="0.35">
      <c r="S1681" s="97"/>
      <c r="T1681" s="97"/>
      <c r="U1681" s="25"/>
      <c r="V1681" s="25"/>
      <c r="W1681" s="25"/>
      <c r="X1681" s="25"/>
      <c r="Y1681" s="25"/>
      <c r="Z1681" s="25"/>
    </row>
    <row r="1682" spans="19:26" x14ac:dyDescent="0.35">
      <c r="S1682" s="97"/>
      <c r="T1682" s="97"/>
      <c r="U1682" s="25"/>
      <c r="V1682" s="25"/>
      <c r="W1682" s="25"/>
      <c r="X1682" s="25"/>
      <c r="Y1682" s="25"/>
      <c r="Z1682" s="25"/>
    </row>
    <row r="1683" spans="19:26" x14ac:dyDescent="0.35">
      <c r="S1683" s="97"/>
      <c r="T1683" s="97"/>
      <c r="U1683" s="25"/>
      <c r="V1683" s="25"/>
      <c r="W1683" s="25"/>
      <c r="X1683" s="25"/>
      <c r="Y1683" s="25"/>
      <c r="Z1683" s="25"/>
    </row>
    <row r="1684" spans="19:26" x14ac:dyDescent="0.35">
      <c r="S1684" s="97"/>
      <c r="T1684" s="97"/>
      <c r="U1684" s="25"/>
      <c r="V1684" s="25"/>
      <c r="W1684" s="25"/>
      <c r="X1684" s="25"/>
      <c r="Y1684" s="25"/>
      <c r="Z1684" s="25"/>
    </row>
    <row r="1685" spans="19:26" x14ac:dyDescent="0.35">
      <c r="S1685" s="97"/>
      <c r="T1685" s="97"/>
      <c r="U1685" s="25"/>
      <c r="V1685" s="25"/>
      <c r="W1685" s="25"/>
      <c r="X1685" s="25"/>
      <c r="Y1685" s="25"/>
      <c r="Z1685" s="25"/>
    </row>
    <row r="1686" spans="19:26" x14ac:dyDescent="0.35">
      <c r="S1686" s="97"/>
      <c r="T1686" s="97"/>
      <c r="U1686" s="25"/>
      <c r="V1686" s="25"/>
      <c r="W1686" s="25"/>
      <c r="X1686" s="25"/>
      <c r="Y1686" s="25"/>
      <c r="Z1686" s="25"/>
    </row>
    <row r="1687" spans="19:26" x14ac:dyDescent="0.35">
      <c r="S1687" s="97"/>
      <c r="T1687" s="97"/>
      <c r="U1687" s="25"/>
      <c r="V1687" s="25"/>
      <c r="W1687" s="25"/>
      <c r="X1687" s="25"/>
      <c r="Y1687" s="25"/>
      <c r="Z1687" s="25"/>
    </row>
    <row r="1688" spans="19:26" x14ac:dyDescent="0.35">
      <c r="S1688" s="97"/>
      <c r="T1688" s="97"/>
      <c r="U1688" s="25"/>
      <c r="V1688" s="25"/>
      <c r="W1688" s="25"/>
      <c r="X1688" s="25"/>
      <c r="Y1688" s="25"/>
      <c r="Z1688" s="25"/>
    </row>
    <row r="1689" spans="19:26" x14ac:dyDescent="0.35">
      <c r="S1689" s="97"/>
      <c r="T1689" s="97"/>
      <c r="U1689" s="25"/>
      <c r="V1689" s="25"/>
      <c r="W1689" s="25"/>
      <c r="X1689" s="25"/>
      <c r="Y1689" s="25"/>
      <c r="Z1689" s="25"/>
    </row>
    <row r="1690" spans="19:26" x14ac:dyDescent="0.35">
      <c r="S1690" s="97"/>
      <c r="T1690" s="97"/>
      <c r="U1690" s="25"/>
      <c r="V1690" s="25"/>
      <c r="W1690" s="25"/>
      <c r="X1690" s="25"/>
      <c r="Y1690" s="25"/>
      <c r="Z1690" s="25"/>
    </row>
    <row r="1691" spans="19:26" x14ac:dyDescent="0.35">
      <c r="S1691" s="97"/>
      <c r="T1691" s="97"/>
      <c r="U1691" s="25"/>
      <c r="V1691" s="25"/>
      <c r="W1691" s="25"/>
      <c r="X1691" s="25"/>
      <c r="Y1691" s="25"/>
      <c r="Z1691" s="25"/>
    </row>
    <row r="1692" spans="19:26" x14ac:dyDescent="0.35">
      <c r="S1692" s="97"/>
      <c r="T1692" s="97"/>
      <c r="U1692" s="25"/>
      <c r="V1692" s="25"/>
      <c r="W1692" s="25"/>
      <c r="X1692" s="25"/>
      <c r="Y1692" s="25"/>
      <c r="Z1692" s="25"/>
    </row>
    <row r="1693" spans="19:26" x14ac:dyDescent="0.35">
      <c r="S1693" s="97"/>
      <c r="T1693" s="97"/>
      <c r="U1693" s="25"/>
      <c r="V1693" s="25"/>
      <c r="W1693" s="25"/>
      <c r="X1693" s="25"/>
      <c r="Y1693" s="25"/>
      <c r="Z1693" s="25"/>
    </row>
    <row r="1694" spans="19:26" x14ac:dyDescent="0.35">
      <c r="S1694" s="97"/>
      <c r="T1694" s="97"/>
      <c r="U1694" s="25"/>
      <c r="V1694" s="25"/>
      <c r="W1694" s="25"/>
      <c r="X1694" s="25"/>
      <c r="Y1694" s="25"/>
      <c r="Z1694" s="25"/>
    </row>
    <row r="1695" spans="19:26" x14ac:dyDescent="0.35">
      <c r="S1695" s="97"/>
      <c r="T1695" s="97"/>
      <c r="U1695" s="25"/>
      <c r="V1695" s="25"/>
      <c r="W1695" s="25"/>
      <c r="X1695" s="25"/>
      <c r="Y1695" s="25"/>
      <c r="Z1695" s="25"/>
    </row>
    <row r="1696" spans="19:26" x14ac:dyDescent="0.35">
      <c r="S1696" s="97"/>
      <c r="T1696" s="97"/>
      <c r="U1696" s="25"/>
      <c r="V1696" s="25"/>
      <c r="W1696" s="25"/>
      <c r="X1696" s="25"/>
      <c r="Y1696" s="25"/>
      <c r="Z1696" s="25"/>
    </row>
    <row r="1697" spans="19:26" x14ac:dyDescent="0.35">
      <c r="S1697" s="97"/>
      <c r="T1697" s="97"/>
      <c r="U1697" s="25"/>
      <c r="V1697" s="25"/>
      <c r="W1697" s="25"/>
      <c r="X1697" s="25"/>
      <c r="Y1697" s="25"/>
      <c r="Z1697" s="25"/>
    </row>
    <row r="1698" spans="19:26" x14ac:dyDescent="0.35">
      <c r="S1698" s="97"/>
      <c r="T1698" s="97"/>
      <c r="U1698" s="25"/>
      <c r="V1698" s="25"/>
      <c r="W1698" s="25"/>
      <c r="X1698" s="25"/>
      <c r="Y1698" s="25"/>
      <c r="Z1698" s="25"/>
    </row>
    <row r="1699" spans="19:26" x14ac:dyDescent="0.35">
      <c r="S1699" s="97"/>
      <c r="T1699" s="97"/>
      <c r="U1699" s="25"/>
      <c r="V1699" s="25"/>
      <c r="W1699" s="25"/>
      <c r="X1699" s="25"/>
      <c r="Y1699" s="25"/>
      <c r="Z1699" s="25"/>
    </row>
    <row r="1700" spans="19:26" x14ac:dyDescent="0.35">
      <c r="S1700" s="97"/>
      <c r="T1700" s="97"/>
      <c r="U1700" s="25"/>
      <c r="V1700" s="25"/>
      <c r="W1700" s="25"/>
      <c r="X1700" s="25"/>
      <c r="Y1700" s="25"/>
      <c r="Z1700" s="25"/>
    </row>
    <row r="1701" spans="19:26" x14ac:dyDescent="0.35">
      <c r="S1701" s="97"/>
      <c r="T1701" s="97"/>
      <c r="U1701" s="25"/>
      <c r="V1701" s="25"/>
      <c r="W1701" s="25"/>
      <c r="X1701" s="25"/>
      <c r="Y1701" s="25"/>
      <c r="Z1701" s="25"/>
    </row>
    <row r="1702" spans="19:26" x14ac:dyDescent="0.35">
      <c r="S1702" s="97"/>
      <c r="T1702" s="97"/>
      <c r="U1702" s="25"/>
      <c r="V1702" s="25"/>
      <c r="W1702" s="25"/>
      <c r="X1702" s="25"/>
      <c r="Y1702" s="25"/>
      <c r="Z1702" s="25"/>
    </row>
    <row r="1703" spans="19:26" x14ac:dyDescent="0.35">
      <c r="S1703" s="97"/>
      <c r="T1703" s="97"/>
      <c r="U1703" s="25"/>
      <c r="V1703" s="25"/>
      <c r="W1703" s="25"/>
      <c r="X1703" s="25"/>
      <c r="Y1703" s="25"/>
      <c r="Z1703" s="25"/>
    </row>
    <row r="1704" spans="19:26" x14ac:dyDescent="0.35">
      <c r="S1704" s="97"/>
      <c r="T1704" s="97"/>
      <c r="U1704" s="25"/>
      <c r="V1704" s="25"/>
      <c r="W1704" s="25"/>
      <c r="X1704" s="25"/>
      <c r="Y1704" s="25"/>
      <c r="Z1704" s="25"/>
    </row>
    <row r="1705" spans="19:26" x14ac:dyDescent="0.35">
      <c r="S1705" s="97"/>
      <c r="T1705" s="97"/>
      <c r="U1705" s="25"/>
      <c r="V1705" s="25"/>
      <c r="W1705" s="25"/>
      <c r="X1705" s="25"/>
      <c r="Y1705" s="25"/>
      <c r="Z1705" s="25"/>
    </row>
    <row r="1706" spans="19:26" x14ac:dyDescent="0.35">
      <c r="S1706" s="97"/>
      <c r="T1706" s="97"/>
      <c r="U1706" s="25"/>
      <c r="V1706" s="25"/>
      <c r="W1706" s="25"/>
      <c r="X1706" s="25"/>
      <c r="Y1706" s="25"/>
      <c r="Z1706" s="25"/>
    </row>
    <row r="1707" spans="19:26" x14ac:dyDescent="0.35">
      <c r="S1707" s="97"/>
      <c r="T1707" s="97"/>
      <c r="U1707" s="25"/>
      <c r="V1707" s="25"/>
      <c r="W1707" s="25"/>
      <c r="X1707" s="25"/>
      <c r="Y1707" s="25"/>
      <c r="Z1707" s="25"/>
    </row>
    <row r="1708" spans="19:26" x14ac:dyDescent="0.35">
      <c r="S1708" s="97"/>
      <c r="T1708" s="97"/>
      <c r="U1708" s="25"/>
      <c r="V1708" s="25"/>
      <c r="W1708" s="25"/>
      <c r="X1708" s="25"/>
      <c r="Y1708" s="25"/>
      <c r="Z1708" s="25"/>
    </row>
    <row r="1709" spans="19:26" x14ac:dyDescent="0.35">
      <c r="S1709" s="97"/>
      <c r="T1709" s="97"/>
      <c r="U1709" s="25"/>
      <c r="V1709" s="25"/>
      <c r="W1709" s="25"/>
      <c r="X1709" s="25"/>
      <c r="Y1709" s="25"/>
      <c r="Z1709" s="25"/>
    </row>
    <row r="1710" spans="19:26" x14ac:dyDescent="0.35">
      <c r="S1710" s="97"/>
      <c r="T1710" s="97"/>
      <c r="U1710" s="25"/>
      <c r="V1710" s="25"/>
      <c r="W1710" s="25"/>
      <c r="X1710" s="25"/>
      <c r="Y1710" s="25"/>
      <c r="Z1710" s="25"/>
    </row>
    <row r="1711" spans="19:26" x14ac:dyDescent="0.35">
      <c r="S1711" s="97"/>
      <c r="T1711" s="97"/>
      <c r="U1711" s="25"/>
      <c r="V1711" s="25"/>
      <c r="W1711" s="25"/>
      <c r="X1711" s="25"/>
      <c r="Y1711" s="25"/>
      <c r="Z1711" s="25"/>
    </row>
    <row r="1712" spans="19:26" x14ac:dyDescent="0.35">
      <c r="S1712" s="97"/>
      <c r="T1712" s="97"/>
      <c r="U1712" s="25"/>
      <c r="V1712" s="25"/>
      <c r="W1712" s="25"/>
      <c r="X1712" s="25"/>
      <c r="Y1712" s="25"/>
      <c r="Z1712" s="25"/>
    </row>
    <row r="1713" spans="19:26" x14ac:dyDescent="0.35">
      <c r="S1713" s="97"/>
      <c r="T1713" s="97"/>
      <c r="U1713" s="25"/>
      <c r="V1713" s="25"/>
      <c r="W1713" s="25"/>
      <c r="X1713" s="25"/>
      <c r="Y1713" s="25"/>
      <c r="Z1713" s="25"/>
    </row>
    <row r="1714" spans="19:26" x14ac:dyDescent="0.35">
      <c r="S1714" s="97"/>
      <c r="T1714" s="97"/>
      <c r="U1714" s="25"/>
      <c r="V1714" s="25"/>
      <c r="W1714" s="25"/>
      <c r="X1714" s="25"/>
      <c r="Y1714" s="25"/>
      <c r="Z1714" s="25"/>
    </row>
    <row r="1715" spans="19:26" x14ac:dyDescent="0.35">
      <c r="S1715" s="97"/>
      <c r="T1715" s="97"/>
      <c r="U1715" s="25"/>
      <c r="V1715" s="25"/>
      <c r="W1715" s="25"/>
      <c r="X1715" s="25"/>
      <c r="Y1715" s="25"/>
      <c r="Z1715" s="25"/>
    </row>
    <row r="1716" spans="19:26" x14ac:dyDescent="0.35">
      <c r="S1716" s="97"/>
      <c r="T1716" s="97"/>
      <c r="U1716" s="25"/>
      <c r="V1716" s="25"/>
      <c r="W1716" s="25"/>
      <c r="X1716" s="25"/>
      <c r="Y1716" s="25"/>
      <c r="Z1716" s="25"/>
    </row>
    <row r="1717" spans="19:26" x14ac:dyDescent="0.35">
      <c r="S1717" s="97"/>
      <c r="T1717" s="97"/>
      <c r="U1717" s="25"/>
      <c r="V1717" s="25"/>
      <c r="W1717" s="25"/>
      <c r="X1717" s="25"/>
      <c r="Y1717" s="25"/>
      <c r="Z1717" s="25"/>
    </row>
    <row r="1718" spans="19:26" x14ac:dyDescent="0.35">
      <c r="S1718" s="97"/>
      <c r="T1718" s="97"/>
      <c r="U1718" s="25"/>
      <c r="V1718" s="25"/>
      <c r="W1718" s="25"/>
      <c r="X1718" s="25"/>
      <c r="Y1718" s="25"/>
      <c r="Z1718" s="25"/>
    </row>
    <row r="1719" spans="19:26" x14ac:dyDescent="0.35">
      <c r="S1719" s="97"/>
      <c r="T1719" s="97"/>
      <c r="U1719" s="25"/>
      <c r="V1719" s="25"/>
      <c r="W1719" s="25"/>
      <c r="X1719" s="25"/>
      <c r="Y1719" s="25"/>
      <c r="Z1719" s="25"/>
    </row>
    <row r="1720" spans="19:26" x14ac:dyDescent="0.35">
      <c r="S1720" s="97"/>
      <c r="T1720" s="97"/>
      <c r="U1720" s="25"/>
      <c r="V1720" s="25"/>
      <c r="W1720" s="25"/>
      <c r="X1720" s="25"/>
      <c r="Y1720" s="25"/>
      <c r="Z1720" s="25"/>
    </row>
    <row r="1721" spans="19:26" x14ac:dyDescent="0.35">
      <c r="S1721" s="97"/>
      <c r="T1721" s="97"/>
      <c r="U1721" s="25"/>
      <c r="V1721" s="25"/>
      <c r="W1721" s="25"/>
      <c r="X1721" s="25"/>
      <c r="Y1721" s="25"/>
      <c r="Z1721" s="25"/>
    </row>
    <row r="1722" spans="19:26" x14ac:dyDescent="0.35">
      <c r="S1722" s="97"/>
      <c r="T1722" s="97"/>
      <c r="U1722" s="25"/>
      <c r="V1722" s="25"/>
      <c r="W1722" s="25"/>
      <c r="X1722" s="25"/>
      <c r="Y1722" s="25"/>
      <c r="Z1722" s="25"/>
    </row>
    <row r="1723" spans="19:26" x14ac:dyDescent="0.35">
      <c r="S1723" s="97"/>
      <c r="T1723" s="97"/>
      <c r="U1723" s="25"/>
      <c r="V1723" s="25"/>
      <c r="W1723" s="25"/>
      <c r="X1723" s="25"/>
      <c r="Y1723" s="25"/>
      <c r="Z1723" s="25"/>
    </row>
    <row r="1724" spans="19:26" x14ac:dyDescent="0.35">
      <c r="S1724" s="97"/>
      <c r="T1724" s="97"/>
      <c r="U1724" s="25"/>
      <c r="V1724" s="25"/>
      <c r="W1724" s="25"/>
      <c r="X1724" s="25"/>
      <c r="Y1724" s="25"/>
      <c r="Z1724" s="25"/>
    </row>
    <row r="1725" spans="19:26" x14ac:dyDescent="0.35">
      <c r="S1725" s="97"/>
      <c r="T1725" s="97"/>
      <c r="U1725" s="25"/>
      <c r="V1725" s="25"/>
      <c r="W1725" s="25"/>
      <c r="X1725" s="25"/>
      <c r="Y1725" s="25"/>
      <c r="Z1725" s="25"/>
    </row>
    <row r="1726" spans="19:26" x14ac:dyDescent="0.35">
      <c r="S1726" s="97"/>
      <c r="T1726" s="97"/>
      <c r="U1726" s="25"/>
      <c r="V1726" s="25"/>
      <c r="W1726" s="25"/>
      <c r="X1726" s="25"/>
      <c r="Y1726" s="25"/>
      <c r="Z1726" s="25"/>
    </row>
    <row r="1727" spans="19:26" x14ac:dyDescent="0.35">
      <c r="S1727" s="97"/>
      <c r="T1727" s="97"/>
      <c r="U1727" s="25"/>
      <c r="V1727" s="25"/>
      <c r="W1727" s="25"/>
      <c r="X1727" s="25"/>
      <c r="Y1727" s="25"/>
      <c r="Z1727" s="25"/>
    </row>
    <row r="1728" spans="19:26" x14ac:dyDescent="0.35">
      <c r="S1728" s="97"/>
      <c r="T1728" s="97"/>
      <c r="U1728" s="25"/>
      <c r="V1728" s="25"/>
      <c r="W1728" s="25"/>
      <c r="X1728" s="25"/>
      <c r="Y1728" s="25"/>
      <c r="Z1728" s="25"/>
    </row>
    <row r="1729" spans="19:26" x14ac:dyDescent="0.35">
      <c r="S1729" s="97"/>
      <c r="T1729" s="97"/>
      <c r="U1729" s="25"/>
      <c r="V1729" s="25"/>
      <c r="W1729" s="25"/>
      <c r="X1729" s="25"/>
      <c r="Y1729" s="25"/>
      <c r="Z1729" s="25"/>
    </row>
    <row r="1730" spans="19:26" x14ac:dyDescent="0.35">
      <c r="S1730" s="97"/>
      <c r="T1730" s="97"/>
      <c r="U1730" s="25"/>
      <c r="V1730" s="25"/>
      <c r="W1730" s="25"/>
      <c r="X1730" s="25"/>
      <c r="Y1730" s="25"/>
      <c r="Z1730" s="25"/>
    </row>
    <row r="1731" spans="19:26" x14ac:dyDescent="0.35">
      <c r="S1731" s="97"/>
      <c r="T1731" s="97"/>
      <c r="U1731" s="25"/>
      <c r="V1731" s="25"/>
      <c r="W1731" s="25"/>
      <c r="X1731" s="25"/>
      <c r="Y1731" s="25"/>
      <c r="Z1731" s="25"/>
    </row>
    <row r="1732" spans="19:26" x14ac:dyDescent="0.35">
      <c r="S1732" s="97"/>
      <c r="T1732" s="97"/>
      <c r="U1732" s="25"/>
      <c r="V1732" s="25"/>
      <c r="W1732" s="25"/>
      <c r="X1732" s="25"/>
      <c r="Y1732" s="25"/>
      <c r="Z1732" s="25"/>
    </row>
    <row r="1733" spans="19:26" x14ac:dyDescent="0.35">
      <c r="S1733" s="97"/>
      <c r="T1733" s="97"/>
      <c r="U1733" s="25"/>
      <c r="V1733" s="25"/>
      <c r="W1733" s="25"/>
      <c r="X1733" s="25"/>
      <c r="Y1733" s="25"/>
      <c r="Z1733" s="25"/>
    </row>
    <row r="1734" spans="19:26" x14ac:dyDescent="0.35">
      <c r="S1734" s="97"/>
      <c r="T1734" s="97"/>
      <c r="U1734" s="25"/>
      <c r="V1734" s="25"/>
      <c r="W1734" s="25"/>
      <c r="X1734" s="25"/>
      <c r="Y1734" s="25"/>
      <c r="Z1734" s="25"/>
    </row>
    <row r="1735" spans="19:26" x14ac:dyDescent="0.35">
      <c r="S1735" s="97"/>
      <c r="T1735" s="97"/>
      <c r="U1735" s="25"/>
      <c r="V1735" s="25"/>
      <c r="W1735" s="25"/>
      <c r="X1735" s="25"/>
      <c r="Y1735" s="25"/>
      <c r="Z1735" s="25"/>
    </row>
    <row r="1736" spans="19:26" x14ac:dyDescent="0.35">
      <c r="S1736" s="97"/>
      <c r="T1736" s="97"/>
      <c r="U1736" s="25"/>
      <c r="V1736" s="25"/>
      <c r="W1736" s="25"/>
      <c r="X1736" s="25"/>
      <c r="Y1736" s="25"/>
      <c r="Z1736" s="25"/>
    </row>
    <row r="1737" spans="19:26" x14ac:dyDescent="0.35">
      <c r="S1737" s="97"/>
      <c r="T1737" s="97"/>
      <c r="U1737" s="25"/>
      <c r="V1737" s="25"/>
      <c r="W1737" s="25"/>
      <c r="X1737" s="25"/>
      <c r="Y1737" s="25"/>
      <c r="Z1737" s="25"/>
    </row>
    <row r="1738" spans="19:26" x14ac:dyDescent="0.35">
      <c r="S1738" s="97"/>
      <c r="T1738" s="97"/>
      <c r="U1738" s="25"/>
      <c r="V1738" s="25"/>
      <c r="W1738" s="25"/>
      <c r="X1738" s="25"/>
      <c r="Y1738" s="25"/>
      <c r="Z1738" s="25"/>
    </row>
    <row r="1739" spans="19:26" x14ac:dyDescent="0.35">
      <c r="S1739" s="97"/>
      <c r="T1739" s="97"/>
      <c r="U1739" s="25"/>
      <c r="V1739" s="25"/>
      <c r="W1739" s="25"/>
      <c r="X1739" s="25"/>
      <c r="Y1739" s="25"/>
      <c r="Z1739" s="25"/>
    </row>
    <row r="1740" spans="19:26" x14ac:dyDescent="0.35">
      <c r="S1740" s="97"/>
      <c r="T1740" s="97"/>
      <c r="U1740" s="25"/>
      <c r="V1740" s="25"/>
      <c r="W1740" s="25"/>
      <c r="X1740" s="25"/>
      <c r="Y1740" s="25"/>
      <c r="Z1740" s="25"/>
    </row>
    <row r="1741" spans="19:26" x14ac:dyDescent="0.35">
      <c r="S1741" s="97"/>
      <c r="T1741" s="97"/>
      <c r="U1741" s="25"/>
      <c r="V1741" s="25"/>
      <c r="W1741" s="25"/>
      <c r="X1741" s="25"/>
      <c r="Y1741" s="25"/>
      <c r="Z1741" s="25"/>
    </row>
    <row r="1742" spans="19:26" x14ac:dyDescent="0.35">
      <c r="S1742" s="97"/>
      <c r="T1742" s="97"/>
      <c r="U1742" s="25"/>
      <c r="V1742" s="25"/>
      <c r="W1742" s="25"/>
      <c r="X1742" s="25"/>
      <c r="Y1742" s="25"/>
      <c r="Z1742" s="25"/>
    </row>
    <row r="1743" spans="19:26" x14ac:dyDescent="0.35">
      <c r="S1743" s="97"/>
      <c r="T1743" s="97"/>
      <c r="U1743" s="25"/>
      <c r="V1743" s="25"/>
      <c r="W1743" s="25"/>
      <c r="X1743" s="25"/>
      <c r="Y1743" s="25"/>
      <c r="Z1743" s="25"/>
    </row>
    <row r="1744" spans="19:26" x14ac:dyDescent="0.35">
      <c r="S1744" s="97"/>
      <c r="T1744" s="97"/>
      <c r="U1744" s="25"/>
      <c r="V1744" s="25"/>
      <c r="W1744" s="25"/>
      <c r="X1744" s="25"/>
      <c r="Y1744" s="25"/>
      <c r="Z1744" s="25"/>
    </row>
    <row r="1745" spans="19:26" x14ac:dyDescent="0.35">
      <c r="S1745" s="97"/>
      <c r="T1745" s="97"/>
      <c r="U1745" s="25"/>
      <c r="V1745" s="25"/>
      <c r="W1745" s="25"/>
      <c r="X1745" s="25"/>
      <c r="Y1745" s="25"/>
      <c r="Z1745" s="25"/>
    </row>
    <row r="1746" spans="19:26" x14ac:dyDescent="0.35">
      <c r="S1746" s="97"/>
      <c r="T1746" s="97"/>
      <c r="U1746" s="25"/>
      <c r="V1746" s="25"/>
      <c r="W1746" s="25"/>
      <c r="X1746" s="25"/>
      <c r="Y1746" s="25"/>
      <c r="Z1746" s="25"/>
    </row>
    <row r="1747" spans="19:26" x14ac:dyDescent="0.35">
      <c r="S1747" s="97"/>
      <c r="T1747" s="97"/>
      <c r="U1747" s="25"/>
      <c r="V1747" s="25"/>
      <c r="W1747" s="25"/>
      <c r="X1747" s="25"/>
      <c r="Y1747" s="25"/>
      <c r="Z1747" s="25"/>
    </row>
    <row r="1748" spans="19:26" x14ac:dyDescent="0.35">
      <c r="S1748" s="97"/>
      <c r="T1748" s="97"/>
      <c r="U1748" s="25"/>
      <c r="V1748" s="25"/>
      <c r="W1748" s="25"/>
      <c r="X1748" s="25"/>
      <c r="Y1748" s="25"/>
      <c r="Z1748" s="25"/>
    </row>
    <row r="1749" spans="19:26" x14ac:dyDescent="0.35">
      <c r="S1749" s="97"/>
      <c r="T1749" s="97"/>
      <c r="U1749" s="25"/>
      <c r="V1749" s="25"/>
      <c r="W1749" s="25"/>
      <c r="X1749" s="25"/>
      <c r="Y1749" s="25"/>
      <c r="Z1749" s="25"/>
    </row>
    <row r="1750" spans="19:26" x14ac:dyDescent="0.35">
      <c r="S1750" s="97"/>
      <c r="T1750" s="97"/>
      <c r="U1750" s="25"/>
      <c r="V1750" s="25"/>
      <c r="W1750" s="25"/>
      <c r="X1750" s="25"/>
      <c r="Y1750" s="25"/>
      <c r="Z1750" s="25"/>
    </row>
    <row r="1751" spans="19:26" x14ac:dyDescent="0.35">
      <c r="S1751" s="97"/>
      <c r="T1751" s="97"/>
      <c r="U1751" s="25"/>
      <c r="V1751" s="25"/>
      <c r="W1751" s="25"/>
      <c r="X1751" s="25"/>
      <c r="Y1751" s="25"/>
      <c r="Z1751" s="25"/>
    </row>
    <row r="1752" spans="19:26" x14ac:dyDescent="0.35">
      <c r="S1752" s="97"/>
      <c r="T1752" s="97"/>
      <c r="U1752" s="25"/>
      <c r="V1752" s="25"/>
      <c r="W1752" s="25"/>
      <c r="X1752" s="25"/>
      <c r="Y1752" s="25"/>
      <c r="Z1752" s="25"/>
    </row>
    <row r="1753" spans="19:26" x14ac:dyDescent="0.35">
      <c r="S1753" s="97"/>
      <c r="T1753" s="97"/>
      <c r="U1753" s="25"/>
      <c r="V1753" s="25"/>
      <c r="W1753" s="25"/>
      <c r="X1753" s="25"/>
      <c r="Y1753" s="25"/>
      <c r="Z1753" s="25"/>
    </row>
    <row r="1754" spans="19:26" x14ac:dyDescent="0.35">
      <c r="S1754" s="97"/>
      <c r="T1754" s="97"/>
      <c r="U1754" s="25"/>
      <c r="V1754" s="25"/>
      <c r="W1754" s="25"/>
      <c r="X1754" s="25"/>
      <c r="Y1754" s="25"/>
      <c r="Z1754" s="25"/>
    </row>
    <row r="1755" spans="19:26" x14ac:dyDescent="0.35">
      <c r="S1755" s="97"/>
      <c r="T1755" s="97"/>
      <c r="U1755" s="25"/>
      <c r="V1755" s="25"/>
      <c r="W1755" s="25"/>
      <c r="X1755" s="25"/>
      <c r="Y1755" s="25"/>
      <c r="Z1755" s="25"/>
    </row>
    <row r="1756" spans="19:26" x14ac:dyDescent="0.35">
      <c r="S1756" s="97"/>
      <c r="T1756" s="97"/>
      <c r="U1756" s="25"/>
      <c r="V1756" s="25"/>
      <c r="W1756" s="25"/>
      <c r="X1756" s="25"/>
      <c r="Y1756" s="25"/>
      <c r="Z1756" s="25"/>
    </row>
    <row r="1757" spans="19:26" x14ac:dyDescent="0.35">
      <c r="S1757" s="97"/>
      <c r="T1757" s="97"/>
      <c r="U1757" s="25"/>
      <c r="V1757" s="25"/>
      <c r="W1757" s="25"/>
      <c r="X1757" s="25"/>
      <c r="Y1757" s="25"/>
      <c r="Z1757" s="25"/>
    </row>
    <row r="1758" spans="19:26" x14ac:dyDescent="0.35">
      <c r="S1758" s="97"/>
      <c r="T1758" s="97"/>
      <c r="U1758" s="25"/>
      <c r="V1758" s="25"/>
      <c r="W1758" s="25"/>
      <c r="X1758" s="25"/>
      <c r="Y1758" s="25"/>
      <c r="Z1758" s="25"/>
    </row>
    <row r="1759" spans="19:26" x14ac:dyDescent="0.35">
      <c r="S1759" s="97"/>
      <c r="T1759" s="97"/>
      <c r="U1759" s="25"/>
      <c r="V1759" s="25"/>
      <c r="W1759" s="25"/>
      <c r="X1759" s="25"/>
      <c r="Y1759" s="25"/>
      <c r="Z1759" s="25"/>
    </row>
    <row r="1760" spans="19:26" x14ac:dyDescent="0.35">
      <c r="S1760" s="97"/>
      <c r="T1760" s="97"/>
      <c r="U1760" s="25"/>
      <c r="V1760" s="25"/>
      <c r="W1760" s="25"/>
      <c r="X1760" s="25"/>
      <c r="Y1760" s="25"/>
      <c r="Z1760" s="25"/>
    </row>
    <row r="1761" spans="19:26" x14ac:dyDescent="0.35">
      <c r="S1761" s="97"/>
      <c r="T1761" s="97"/>
      <c r="U1761" s="25"/>
      <c r="V1761" s="25"/>
      <c r="W1761" s="25"/>
      <c r="X1761" s="25"/>
      <c r="Y1761" s="25"/>
      <c r="Z1761" s="25"/>
    </row>
    <row r="1762" spans="19:26" x14ac:dyDescent="0.35">
      <c r="S1762" s="97"/>
      <c r="T1762" s="97"/>
      <c r="U1762" s="25"/>
      <c r="V1762" s="25"/>
      <c r="W1762" s="25"/>
      <c r="X1762" s="25"/>
      <c r="Y1762" s="25"/>
      <c r="Z1762" s="25"/>
    </row>
    <row r="1763" spans="19:26" x14ac:dyDescent="0.35">
      <c r="S1763" s="97"/>
      <c r="T1763" s="97"/>
      <c r="U1763" s="25"/>
      <c r="V1763" s="25"/>
      <c r="W1763" s="25"/>
      <c r="X1763" s="25"/>
      <c r="Y1763" s="25"/>
      <c r="Z1763" s="25"/>
    </row>
    <row r="1764" spans="19:26" x14ac:dyDescent="0.35">
      <c r="S1764" s="97"/>
      <c r="T1764" s="97"/>
      <c r="U1764" s="25"/>
      <c r="V1764" s="25"/>
      <c r="W1764" s="25"/>
      <c r="X1764" s="25"/>
      <c r="Y1764" s="25"/>
      <c r="Z1764" s="25"/>
    </row>
    <row r="1765" spans="19:26" x14ac:dyDescent="0.35">
      <c r="S1765" s="97"/>
      <c r="T1765" s="97"/>
      <c r="U1765" s="25"/>
      <c r="V1765" s="25"/>
      <c r="W1765" s="25"/>
      <c r="X1765" s="25"/>
      <c r="Y1765" s="25"/>
      <c r="Z1765" s="25"/>
    </row>
    <row r="1766" spans="19:26" x14ac:dyDescent="0.35">
      <c r="S1766" s="97"/>
      <c r="T1766" s="97"/>
      <c r="U1766" s="25"/>
      <c r="V1766" s="25"/>
      <c r="W1766" s="25"/>
      <c r="X1766" s="25"/>
      <c r="Y1766" s="25"/>
      <c r="Z1766" s="25"/>
    </row>
    <row r="1767" spans="19:26" x14ac:dyDescent="0.35">
      <c r="S1767" s="97"/>
      <c r="T1767" s="97"/>
      <c r="U1767" s="25"/>
      <c r="V1767" s="25"/>
      <c r="W1767" s="25"/>
      <c r="X1767" s="25"/>
      <c r="Y1767" s="25"/>
      <c r="Z1767" s="25"/>
    </row>
    <row r="1768" spans="19:26" x14ac:dyDescent="0.35">
      <c r="S1768" s="97"/>
      <c r="T1768" s="97"/>
      <c r="U1768" s="25"/>
      <c r="V1768" s="25"/>
      <c r="W1768" s="25"/>
      <c r="X1768" s="25"/>
      <c r="Y1768" s="25"/>
      <c r="Z1768" s="25"/>
    </row>
    <row r="1769" spans="19:26" x14ac:dyDescent="0.35">
      <c r="S1769" s="97"/>
      <c r="T1769" s="97"/>
      <c r="U1769" s="25"/>
      <c r="V1769" s="25"/>
      <c r="W1769" s="25"/>
      <c r="X1769" s="25"/>
      <c r="Y1769" s="25"/>
      <c r="Z1769" s="25"/>
    </row>
    <row r="1770" spans="19:26" x14ac:dyDescent="0.35">
      <c r="S1770" s="97"/>
      <c r="T1770" s="97"/>
      <c r="U1770" s="25"/>
      <c r="V1770" s="25"/>
      <c r="W1770" s="25"/>
      <c r="X1770" s="25"/>
      <c r="Y1770" s="25"/>
      <c r="Z1770" s="25"/>
    </row>
    <row r="1771" spans="19:26" x14ac:dyDescent="0.35">
      <c r="S1771" s="97"/>
      <c r="T1771" s="97"/>
      <c r="U1771" s="25"/>
      <c r="V1771" s="25"/>
      <c r="W1771" s="25"/>
      <c r="X1771" s="25"/>
      <c r="Y1771" s="25"/>
      <c r="Z1771" s="25"/>
    </row>
    <row r="1772" spans="19:26" x14ac:dyDescent="0.35">
      <c r="S1772" s="97"/>
      <c r="T1772" s="97"/>
      <c r="U1772" s="25"/>
      <c r="V1772" s="25"/>
      <c r="W1772" s="25"/>
      <c r="X1772" s="25"/>
      <c r="Y1772" s="25"/>
      <c r="Z1772" s="25"/>
    </row>
    <row r="1773" spans="19:26" x14ac:dyDescent="0.35">
      <c r="S1773" s="97"/>
      <c r="T1773" s="97"/>
      <c r="U1773" s="25"/>
      <c r="V1773" s="25"/>
      <c r="W1773" s="25"/>
      <c r="X1773" s="25"/>
      <c r="Y1773" s="25"/>
      <c r="Z1773" s="25"/>
    </row>
    <row r="1774" spans="19:26" x14ac:dyDescent="0.35">
      <c r="S1774" s="97"/>
      <c r="T1774" s="97"/>
      <c r="U1774" s="25"/>
      <c r="V1774" s="25"/>
      <c r="W1774" s="25"/>
      <c r="X1774" s="25"/>
      <c r="Y1774" s="25"/>
      <c r="Z1774" s="25"/>
    </row>
    <row r="1775" spans="19:26" x14ac:dyDescent="0.35">
      <c r="S1775" s="97"/>
      <c r="T1775" s="97"/>
      <c r="U1775" s="25"/>
      <c r="V1775" s="25"/>
      <c r="W1775" s="25"/>
      <c r="X1775" s="25"/>
      <c r="Y1775" s="25"/>
      <c r="Z1775" s="25"/>
    </row>
    <row r="1776" spans="19:26" x14ac:dyDescent="0.35">
      <c r="S1776" s="97"/>
      <c r="T1776" s="97"/>
      <c r="U1776" s="25"/>
      <c r="V1776" s="25"/>
      <c r="W1776" s="25"/>
      <c r="X1776" s="25"/>
      <c r="Y1776" s="25"/>
      <c r="Z1776" s="25"/>
    </row>
    <row r="1777" spans="19:26" x14ac:dyDescent="0.35">
      <c r="S1777" s="97"/>
      <c r="T1777" s="97"/>
      <c r="U1777" s="25"/>
      <c r="V1777" s="25"/>
      <c r="W1777" s="25"/>
      <c r="X1777" s="25"/>
      <c r="Y1777" s="25"/>
      <c r="Z1777" s="25"/>
    </row>
    <row r="1778" spans="19:26" x14ac:dyDescent="0.35">
      <c r="S1778" s="97"/>
      <c r="T1778" s="97"/>
      <c r="U1778" s="25"/>
      <c r="V1778" s="25"/>
      <c r="W1778" s="25"/>
      <c r="X1778" s="25"/>
      <c r="Y1778" s="25"/>
      <c r="Z1778" s="25"/>
    </row>
    <row r="1779" spans="19:26" x14ac:dyDescent="0.35">
      <c r="S1779" s="97"/>
      <c r="T1779" s="97"/>
      <c r="U1779" s="25"/>
      <c r="V1779" s="25"/>
      <c r="W1779" s="25"/>
      <c r="X1779" s="25"/>
      <c r="Y1779" s="25"/>
      <c r="Z1779" s="25"/>
    </row>
    <row r="1780" spans="19:26" x14ac:dyDescent="0.35">
      <c r="S1780" s="97"/>
      <c r="T1780" s="97"/>
      <c r="U1780" s="25"/>
      <c r="V1780" s="25"/>
      <c r="W1780" s="25"/>
      <c r="X1780" s="25"/>
      <c r="Y1780" s="25"/>
      <c r="Z1780" s="25"/>
    </row>
    <row r="1781" spans="19:26" x14ac:dyDescent="0.35">
      <c r="S1781" s="97"/>
      <c r="T1781" s="97"/>
      <c r="U1781" s="25"/>
      <c r="V1781" s="25"/>
      <c r="W1781" s="25"/>
      <c r="X1781" s="25"/>
      <c r="Y1781" s="25"/>
      <c r="Z1781" s="25"/>
    </row>
    <row r="1782" spans="19:26" x14ac:dyDescent="0.35">
      <c r="S1782" s="97"/>
      <c r="T1782" s="97"/>
      <c r="U1782" s="25"/>
      <c r="V1782" s="25"/>
      <c r="W1782" s="25"/>
      <c r="X1782" s="25"/>
      <c r="Y1782" s="25"/>
      <c r="Z1782" s="25"/>
    </row>
    <row r="1783" spans="19:26" x14ac:dyDescent="0.35">
      <c r="S1783" s="97"/>
      <c r="T1783" s="97"/>
      <c r="U1783" s="25"/>
      <c r="V1783" s="25"/>
      <c r="W1783" s="25"/>
      <c r="X1783" s="25"/>
      <c r="Y1783" s="25"/>
      <c r="Z1783" s="25"/>
    </row>
    <row r="1784" spans="19:26" x14ac:dyDescent="0.35">
      <c r="S1784" s="97"/>
      <c r="T1784" s="97"/>
      <c r="U1784" s="25"/>
      <c r="V1784" s="25"/>
      <c r="W1784" s="25"/>
      <c r="X1784" s="25"/>
      <c r="Y1784" s="25"/>
      <c r="Z1784" s="25"/>
    </row>
    <row r="1785" spans="19:26" x14ac:dyDescent="0.35">
      <c r="S1785" s="97"/>
      <c r="T1785" s="97"/>
      <c r="U1785" s="25"/>
      <c r="V1785" s="25"/>
      <c r="W1785" s="25"/>
      <c r="X1785" s="25"/>
      <c r="Y1785" s="25"/>
      <c r="Z1785" s="25"/>
    </row>
    <row r="1786" spans="19:26" x14ac:dyDescent="0.35">
      <c r="S1786" s="97"/>
      <c r="T1786" s="97"/>
      <c r="U1786" s="25"/>
      <c r="V1786" s="25"/>
      <c r="W1786" s="25"/>
      <c r="X1786" s="25"/>
      <c r="Y1786" s="25"/>
      <c r="Z1786" s="25"/>
    </row>
    <row r="1787" spans="19:26" x14ac:dyDescent="0.35">
      <c r="S1787" s="97"/>
      <c r="T1787" s="97"/>
      <c r="U1787" s="25"/>
      <c r="V1787" s="25"/>
      <c r="W1787" s="25"/>
      <c r="X1787" s="25"/>
      <c r="Y1787" s="25"/>
      <c r="Z1787" s="25"/>
    </row>
    <row r="1788" spans="19:26" x14ac:dyDescent="0.35">
      <c r="S1788" s="97"/>
      <c r="T1788" s="97"/>
      <c r="U1788" s="25"/>
      <c r="V1788" s="25"/>
      <c r="W1788" s="25"/>
      <c r="X1788" s="25"/>
      <c r="Y1788" s="25"/>
      <c r="Z1788" s="25"/>
    </row>
    <row r="1789" spans="19:26" x14ac:dyDescent="0.35">
      <c r="S1789" s="97"/>
      <c r="T1789" s="97"/>
      <c r="U1789" s="25"/>
      <c r="V1789" s="25"/>
      <c r="W1789" s="25"/>
      <c r="X1789" s="25"/>
      <c r="Y1789" s="25"/>
      <c r="Z1789" s="25"/>
    </row>
    <row r="1790" spans="19:26" x14ac:dyDescent="0.35">
      <c r="S1790" s="97"/>
      <c r="T1790" s="97"/>
      <c r="U1790" s="25"/>
      <c r="V1790" s="25"/>
      <c r="W1790" s="25"/>
      <c r="X1790" s="25"/>
      <c r="Y1790" s="25"/>
      <c r="Z1790" s="25"/>
    </row>
    <row r="1791" spans="19:26" x14ac:dyDescent="0.35">
      <c r="S1791" s="97"/>
      <c r="T1791" s="97"/>
      <c r="U1791" s="25"/>
      <c r="V1791" s="25"/>
      <c r="W1791" s="25"/>
      <c r="X1791" s="25"/>
      <c r="Y1791" s="25"/>
      <c r="Z1791" s="25"/>
    </row>
    <row r="1792" spans="19:26" x14ac:dyDescent="0.35">
      <c r="S1792" s="97"/>
      <c r="T1792" s="97"/>
      <c r="U1792" s="25"/>
      <c r="V1792" s="25"/>
      <c r="W1792" s="25"/>
      <c r="X1792" s="25"/>
      <c r="Y1792" s="25"/>
      <c r="Z1792" s="25"/>
    </row>
    <row r="1793" spans="19:26" x14ac:dyDescent="0.35">
      <c r="S1793" s="97"/>
      <c r="T1793" s="97"/>
      <c r="U1793" s="25"/>
      <c r="V1793" s="25"/>
      <c r="W1793" s="25"/>
      <c r="X1793" s="25"/>
      <c r="Y1793" s="25"/>
      <c r="Z1793" s="25"/>
    </row>
    <row r="1794" spans="19:26" x14ac:dyDescent="0.35">
      <c r="S1794" s="97"/>
      <c r="T1794" s="97"/>
      <c r="U1794" s="25"/>
      <c r="V1794" s="25"/>
      <c r="W1794" s="25"/>
      <c r="X1794" s="25"/>
      <c r="Y1794" s="25"/>
      <c r="Z1794" s="25"/>
    </row>
    <row r="1795" spans="19:26" x14ac:dyDescent="0.35">
      <c r="S1795" s="97"/>
      <c r="T1795" s="97"/>
      <c r="U1795" s="25"/>
      <c r="V1795" s="25"/>
      <c r="W1795" s="25"/>
      <c r="X1795" s="25"/>
      <c r="Y1795" s="25"/>
      <c r="Z1795" s="25"/>
    </row>
    <row r="1796" spans="19:26" x14ac:dyDescent="0.35">
      <c r="S1796" s="97"/>
      <c r="T1796" s="97"/>
      <c r="U1796" s="25"/>
      <c r="V1796" s="25"/>
      <c r="W1796" s="25"/>
      <c r="X1796" s="25"/>
      <c r="Y1796" s="25"/>
      <c r="Z1796" s="25"/>
    </row>
    <row r="1797" spans="19:26" x14ac:dyDescent="0.35">
      <c r="S1797" s="97"/>
      <c r="T1797" s="97"/>
      <c r="U1797" s="25"/>
      <c r="V1797" s="25"/>
      <c r="W1797" s="25"/>
      <c r="X1797" s="25"/>
      <c r="Y1797" s="25"/>
      <c r="Z1797" s="25"/>
    </row>
    <row r="1798" spans="19:26" x14ac:dyDescent="0.35">
      <c r="S1798" s="97"/>
      <c r="T1798" s="97"/>
      <c r="U1798" s="25"/>
      <c r="V1798" s="25"/>
      <c r="W1798" s="25"/>
      <c r="X1798" s="25"/>
      <c r="Y1798" s="25"/>
      <c r="Z1798" s="25"/>
    </row>
    <row r="1799" spans="19:26" x14ac:dyDescent="0.35">
      <c r="S1799" s="97"/>
      <c r="T1799" s="97"/>
      <c r="U1799" s="25"/>
      <c r="V1799" s="25"/>
      <c r="W1799" s="25"/>
      <c r="X1799" s="25"/>
      <c r="Y1799" s="25"/>
      <c r="Z1799" s="25"/>
    </row>
    <row r="1800" spans="19:26" x14ac:dyDescent="0.35">
      <c r="S1800" s="97"/>
      <c r="T1800" s="97"/>
      <c r="U1800" s="25"/>
      <c r="V1800" s="25"/>
      <c r="W1800" s="25"/>
      <c r="X1800" s="25"/>
      <c r="Y1800" s="25"/>
      <c r="Z1800" s="25"/>
    </row>
    <row r="1801" spans="19:26" x14ac:dyDescent="0.35">
      <c r="S1801" s="97"/>
      <c r="T1801" s="97"/>
      <c r="U1801" s="25"/>
      <c r="V1801" s="25"/>
      <c r="W1801" s="25"/>
      <c r="X1801" s="25"/>
      <c r="Y1801" s="25"/>
      <c r="Z1801" s="25"/>
    </row>
    <row r="1802" spans="19:26" x14ac:dyDescent="0.35">
      <c r="S1802" s="97"/>
      <c r="T1802" s="97"/>
      <c r="U1802" s="25"/>
      <c r="V1802" s="25"/>
      <c r="W1802" s="25"/>
      <c r="X1802" s="25"/>
      <c r="Y1802" s="25"/>
      <c r="Z1802" s="25"/>
    </row>
    <row r="1803" spans="19:26" x14ac:dyDescent="0.35">
      <c r="S1803" s="97"/>
      <c r="T1803" s="97"/>
      <c r="U1803" s="25"/>
      <c r="V1803" s="25"/>
      <c r="W1803" s="25"/>
      <c r="X1803" s="25"/>
      <c r="Y1803" s="25"/>
      <c r="Z1803" s="25"/>
    </row>
    <row r="1804" spans="19:26" x14ac:dyDescent="0.35">
      <c r="S1804" s="97"/>
      <c r="T1804" s="97"/>
      <c r="U1804" s="25"/>
      <c r="V1804" s="25"/>
      <c r="W1804" s="25"/>
      <c r="X1804" s="25"/>
      <c r="Y1804" s="25"/>
      <c r="Z1804" s="25"/>
    </row>
    <row r="1805" spans="19:26" x14ac:dyDescent="0.35">
      <c r="S1805" s="97"/>
      <c r="T1805" s="97"/>
      <c r="U1805" s="25"/>
      <c r="V1805" s="25"/>
      <c r="W1805" s="25"/>
      <c r="X1805" s="25"/>
      <c r="Y1805" s="25"/>
      <c r="Z1805" s="25"/>
    </row>
    <row r="1806" spans="19:26" x14ac:dyDescent="0.35">
      <c r="S1806" s="97"/>
      <c r="T1806" s="97"/>
      <c r="U1806" s="25"/>
      <c r="V1806" s="25"/>
      <c r="W1806" s="25"/>
      <c r="X1806" s="25"/>
      <c r="Y1806" s="25"/>
      <c r="Z1806" s="25"/>
    </row>
    <row r="1807" spans="19:26" x14ac:dyDescent="0.35">
      <c r="S1807" s="97"/>
      <c r="T1807" s="97"/>
      <c r="U1807" s="25"/>
      <c r="V1807" s="25"/>
      <c r="W1807" s="25"/>
      <c r="X1807" s="25"/>
      <c r="Y1807" s="25"/>
      <c r="Z1807" s="25"/>
    </row>
    <row r="1808" spans="19:26" x14ac:dyDescent="0.35">
      <c r="S1808" s="97"/>
      <c r="T1808" s="97"/>
      <c r="U1808" s="25"/>
      <c r="V1808" s="25"/>
      <c r="W1808" s="25"/>
      <c r="X1808" s="25"/>
      <c r="Y1808" s="25"/>
      <c r="Z1808" s="25"/>
    </row>
    <row r="1809" spans="19:26" x14ac:dyDescent="0.35">
      <c r="S1809" s="97"/>
      <c r="T1809" s="97"/>
      <c r="U1809" s="25"/>
      <c r="V1809" s="25"/>
      <c r="W1809" s="25"/>
      <c r="X1809" s="25"/>
      <c r="Y1809" s="25"/>
      <c r="Z1809" s="25"/>
    </row>
    <row r="1810" spans="19:26" x14ac:dyDescent="0.35">
      <c r="S1810" s="97"/>
      <c r="T1810" s="97"/>
      <c r="U1810" s="25"/>
      <c r="V1810" s="25"/>
      <c r="W1810" s="25"/>
      <c r="X1810" s="25"/>
      <c r="Y1810" s="25"/>
      <c r="Z1810" s="25"/>
    </row>
    <row r="1811" spans="19:26" x14ac:dyDescent="0.35">
      <c r="S1811" s="97"/>
      <c r="T1811" s="97"/>
      <c r="U1811" s="25"/>
      <c r="V1811" s="25"/>
      <c r="W1811" s="25"/>
      <c r="X1811" s="25"/>
      <c r="Y1811" s="25"/>
      <c r="Z1811" s="25"/>
    </row>
    <row r="1812" spans="19:26" x14ac:dyDescent="0.35">
      <c r="S1812" s="97"/>
      <c r="T1812" s="97"/>
      <c r="U1812" s="25"/>
      <c r="V1812" s="25"/>
      <c r="W1812" s="25"/>
      <c r="X1812" s="25"/>
      <c r="Y1812" s="25"/>
      <c r="Z1812" s="25"/>
    </row>
    <row r="1813" spans="19:26" x14ac:dyDescent="0.35">
      <c r="S1813" s="97"/>
      <c r="T1813" s="97"/>
      <c r="U1813" s="25"/>
      <c r="V1813" s="25"/>
      <c r="W1813" s="25"/>
      <c r="X1813" s="25"/>
      <c r="Y1813" s="25"/>
      <c r="Z1813" s="25"/>
    </row>
    <row r="1814" spans="19:26" x14ac:dyDescent="0.35">
      <c r="S1814" s="97"/>
      <c r="T1814" s="97"/>
      <c r="U1814" s="25"/>
      <c r="V1814" s="25"/>
      <c r="W1814" s="25"/>
      <c r="X1814" s="25"/>
      <c r="Y1814" s="25"/>
      <c r="Z1814" s="25"/>
    </row>
    <row r="1815" spans="19:26" x14ac:dyDescent="0.35">
      <c r="S1815" s="97"/>
      <c r="T1815" s="97"/>
      <c r="U1815" s="25"/>
      <c r="V1815" s="25"/>
      <c r="W1815" s="25"/>
      <c r="X1815" s="25"/>
      <c r="Y1815" s="25"/>
      <c r="Z1815" s="25"/>
    </row>
    <row r="1816" spans="19:26" x14ac:dyDescent="0.35">
      <c r="S1816" s="97"/>
      <c r="T1816" s="97"/>
      <c r="U1816" s="25"/>
      <c r="V1816" s="25"/>
      <c r="W1816" s="25"/>
      <c r="X1816" s="25"/>
      <c r="Y1816" s="25"/>
      <c r="Z1816" s="25"/>
    </row>
    <row r="1817" spans="19:26" x14ac:dyDescent="0.35">
      <c r="S1817" s="97"/>
      <c r="T1817" s="97"/>
      <c r="U1817" s="25"/>
      <c r="V1817" s="25"/>
      <c r="W1817" s="25"/>
      <c r="X1817" s="25"/>
      <c r="Y1817" s="25"/>
      <c r="Z1817" s="25"/>
    </row>
    <row r="1818" spans="19:26" x14ac:dyDescent="0.35">
      <c r="S1818" s="97"/>
      <c r="T1818" s="97"/>
      <c r="U1818" s="25"/>
      <c r="V1818" s="25"/>
      <c r="W1818" s="25"/>
      <c r="X1818" s="25"/>
      <c r="Y1818" s="25"/>
      <c r="Z1818" s="25"/>
    </row>
    <row r="1819" spans="19:26" x14ac:dyDescent="0.35">
      <c r="S1819" s="97"/>
      <c r="T1819" s="97"/>
      <c r="U1819" s="25"/>
      <c r="V1819" s="25"/>
      <c r="W1819" s="25"/>
      <c r="X1819" s="25"/>
      <c r="Y1819" s="25"/>
      <c r="Z1819" s="25"/>
    </row>
    <row r="1820" spans="19:26" x14ac:dyDescent="0.35">
      <c r="S1820" s="97"/>
      <c r="T1820" s="97"/>
      <c r="U1820" s="25"/>
      <c r="V1820" s="25"/>
      <c r="W1820" s="25"/>
      <c r="X1820" s="25"/>
      <c r="Y1820" s="25"/>
      <c r="Z1820" s="25"/>
    </row>
    <row r="1821" spans="19:26" x14ac:dyDescent="0.35">
      <c r="S1821" s="97"/>
      <c r="T1821" s="97"/>
      <c r="U1821" s="25"/>
      <c r="V1821" s="25"/>
      <c r="W1821" s="25"/>
      <c r="X1821" s="25"/>
      <c r="Y1821" s="25"/>
      <c r="Z1821" s="25"/>
    </row>
    <row r="1822" spans="19:26" x14ac:dyDescent="0.35">
      <c r="S1822" s="97"/>
      <c r="T1822" s="97"/>
      <c r="U1822" s="25"/>
      <c r="V1822" s="25"/>
      <c r="W1822" s="25"/>
      <c r="X1822" s="25"/>
      <c r="Y1822" s="25"/>
      <c r="Z1822" s="25"/>
    </row>
    <row r="1823" spans="19:26" x14ac:dyDescent="0.35">
      <c r="S1823" s="97"/>
      <c r="T1823" s="97"/>
      <c r="U1823" s="25"/>
      <c r="V1823" s="25"/>
      <c r="W1823" s="25"/>
      <c r="X1823" s="25"/>
      <c r="Y1823" s="25"/>
      <c r="Z1823" s="25"/>
    </row>
    <row r="1824" spans="19:26" x14ac:dyDescent="0.35">
      <c r="S1824" s="97"/>
      <c r="T1824" s="97"/>
      <c r="U1824" s="25"/>
      <c r="V1824" s="25"/>
      <c r="W1824" s="25"/>
      <c r="X1824" s="25"/>
      <c r="Y1824" s="25"/>
      <c r="Z1824" s="25"/>
    </row>
    <row r="1825" spans="19:26" x14ac:dyDescent="0.35">
      <c r="S1825" s="97"/>
      <c r="T1825" s="97"/>
      <c r="U1825" s="25"/>
      <c r="V1825" s="25"/>
      <c r="W1825" s="25"/>
      <c r="X1825" s="25"/>
      <c r="Y1825" s="25"/>
      <c r="Z1825" s="25"/>
    </row>
    <row r="1826" spans="19:26" x14ac:dyDescent="0.35">
      <c r="S1826" s="97"/>
      <c r="T1826" s="97"/>
      <c r="U1826" s="25"/>
      <c r="V1826" s="25"/>
      <c r="W1826" s="25"/>
      <c r="X1826" s="25"/>
      <c r="Y1826" s="25"/>
      <c r="Z1826" s="25"/>
    </row>
    <row r="1827" spans="19:26" x14ac:dyDescent="0.35">
      <c r="S1827" s="97"/>
      <c r="T1827" s="97"/>
      <c r="U1827" s="25"/>
      <c r="V1827" s="25"/>
      <c r="W1827" s="25"/>
      <c r="X1827" s="25"/>
      <c r="Y1827" s="25"/>
      <c r="Z1827" s="25"/>
    </row>
    <row r="1828" spans="19:26" x14ac:dyDescent="0.35">
      <c r="S1828" s="97"/>
      <c r="T1828" s="97"/>
      <c r="U1828" s="25"/>
      <c r="V1828" s="25"/>
      <c r="W1828" s="25"/>
      <c r="X1828" s="25"/>
      <c r="Y1828" s="25"/>
      <c r="Z1828" s="25"/>
    </row>
    <row r="1829" spans="19:26" x14ac:dyDescent="0.35">
      <c r="S1829" s="97"/>
      <c r="T1829" s="97"/>
      <c r="U1829" s="25"/>
      <c r="V1829" s="25"/>
      <c r="W1829" s="25"/>
      <c r="X1829" s="25"/>
      <c r="Y1829" s="25"/>
      <c r="Z1829" s="25"/>
    </row>
    <row r="1830" spans="19:26" x14ac:dyDescent="0.35">
      <c r="S1830" s="97"/>
      <c r="T1830" s="97"/>
      <c r="U1830" s="25"/>
      <c r="V1830" s="25"/>
      <c r="W1830" s="25"/>
      <c r="X1830" s="25"/>
      <c r="Y1830" s="25"/>
      <c r="Z1830" s="25"/>
    </row>
    <row r="1831" spans="19:26" x14ac:dyDescent="0.35">
      <c r="S1831" s="97"/>
      <c r="T1831" s="97"/>
      <c r="U1831" s="25"/>
      <c r="V1831" s="25"/>
      <c r="W1831" s="25"/>
      <c r="X1831" s="25"/>
      <c r="Y1831" s="25"/>
      <c r="Z1831" s="25"/>
    </row>
    <row r="1832" spans="19:26" x14ac:dyDescent="0.35">
      <c r="S1832" s="97"/>
      <c r="T1832" s="97"/>
      <c r="U1832" s="25"/>
      <c r="V1832" s="25"/>
      <c r="W1832" s="25"/>
      <c r="X1832" s="25"/>
      <c r="Y1832" s="25"/>
      <c r="Z1832" s="25"/>
    </row>
    <row r="1833" spans="19:26" x14ac:dyDescent="0.35">
      <c r="S1833" s="97"/>
      <c r="T1833" s="97"/>
      <c r="U1833" s="25"/>
      <c r="V1833" s="25"/>
      <c r="W1833" s="25"/>
      <c r="X1833" s="25"/>
      <c r="Y1833" s="25"/>
      <c r="Z1833" s="25"/>
    </row>
    <row r="1834" spans="19:26" x14ac:dyDescent="0.35">
      <c r="S1834" s="97"/>
      <c r="T1834" s="97"/>
      <c r="U1834" s="25"/>
      <c r="V1834" s="25"/>
      <c r="W1834" s="25"/>
      <c r="X1834" s="25"/>
      <c r="Y1834" s="25"/>
      <c r="Z1834" s="25"/>
    </row>
    <row r="1835" spans="19:26" x14ac:dyDescent="0.35">
      <c r="S1835" s="97"/>
      <c r="T1835" s="97"/>
      <c r="U1835" s="25"/>
      <c r="V1835" s="25"/>
      <c r="W1835" s="25"/>
      <c r="X1835" s="25"/>
      <c r="Y1835" s="25"/>
      <c r="Z1835" s="25"/>
    </row>
    <row r="1836" spans="19:26" x14ac:dyDescent="0.35">
      <c r="S1836" s="97"/>
      <c r="T1836" s="97"/>
      <c r="U1836" s="25"/>
      <c r="V1836" s="25"/>
      <c r="W1836" s="25"/>
      <c r="X1836" s="25"/>
      <c r="Y1836" s="25"/>
      <c r="Z1836" s="25"/>
    </row>
    <row r="1837" spans="19:26" x14ac:dyDescent="0.35">
      <c r="S1837" s="97"/>
      <c r="T1837" s="97"/>
      <c r="U1837" s="25"/>
      <c r="V1837" s="25"/>
      <c r="W1837" s="25"/>
      <c r="X1837" s="25"/>
      <c r="Y1837" s="25"/>
      <c r="Z1837" s="25"/>
    </row>
    <row r="1838" spans="19:26" x14ac:dyDescent="0.35">
      <c r="S1838" s="97"/>
      <c r="T1838" s="97"/>
      <c r="U1838" s="25"/>
      <c r="V1838" s="25"/>
      <c r="W1838" s="25"/>
      <c r="X1838" s="25"/>
      <c r="Y1838" s="25"/>
      <c r="Z1838" s="25"/>
    </row>
    <row r="1839" spans="19:26" x14ac:dyDescent="0.35">
      <c r="S1839" s="97"/>
      <c r="T1839" s="97"/>
      <c r="U1839" s="25"/>
      <c r="V1839" s="25"/>
      <c r="W1839" s="25"/>
      <c r="X1839" s="25"/>
      <c r="Y1839" s="25"/>
      <c r="Z1839" s="25"/>
    </row>
    <row r="1840" spans="19:26" x14ac:dyDescent="0.35">
      <c r="S1840" s="97"/>
      <c r="T1840" s="97"/>
      <c r="U1840" s="25"/>
      <c r="V1840" s="25"/>
      <c r="W1840" s="25"/>
      <c r="X1840" s="25"/>
      <c r="Y1840" s="25"/>
      <c r="Z1840" s="25"/>
    </row>
    <row r="1841" spans="19:26" x14ac:dyDescent="0.35">
      <c r="S1841" s="97"/>
      <c r="T1841" s="97"/>
      <c r="U1841" s="25"/>
      <c r="V1841" s="25"/>
      <c r="W1841" s="25"/>
      <c r="X1841" s="25"/>
      <c r="Y1841" s="25"/>
      <c r="Z1841" s="25"/>
    </row>
    <row r="1842" spans="19:26" x14ac:dyDescent="0.35">
      <c r="S1842" s="97"/>
      <c r="T1842" s="97"/>
      <c r="U1842" s="25"/>
      <c r="V1842" s="25"/>
      <c r="W1842" s="25"/>
      <c r="X1842" s="25"/>
      <c r="Y1842" s="25"/>
      <c r="Z1842" s="25"/>
    </row>
    <row r="1843" spans="19:26" x14ac:dyDescent="0.35">
      <c r="S1843" s="97"/>
      <c r="T1843" s="97"/>
      <c r="U1843" s="25"/>
      <c r="V1843" s="25"/>
      <c r="W1843" s="25"/>
      <c r="X1843" s="25"/>
      <c r="Y1843" s="25"/>
      <c r="Z1843" s="25"/>
    </row>
    <row r="1844" spans="19:26" x14ac:dyDescent="0.35">
      <c r="S1844" s="97"/>
      <c r="T1844" s="97"/>
      <c r="U1844" s="25"/>
      <c r="V1844" s="25"/>
      <c r="W1844" s="25"/>
      <c r="X1844" s="25"/>
      <c r="Y1844" s="25"/>
      <c r="Z1844" s="25"/>
    </row>
    <row r="1845" spans="19:26" x14ac:dyDescent="0.35">
      <c r="S1845" s="97"/>
      <c r="T1845" s="97"/>
      <c r="U1845" s="25"/>
      <c r="V1845" s="25"/>
      <c r="W1845" s="25"/>
      <c r="X1845" s="25"/>
      <c r="Y1845" s="25"/>
      <c r="Z1845" s="25"/>
    </row>
    <row r="1846" spans="19:26" x14ac:dyDescent="0.35">
      <c r="S1846" s="97"/>
      <c r="T1846" s="97"/>
      <c r="U1846" s="25"/>
      <c r="V1846" s="25"/>
      <c r="W1846" s="25"/>
      <c r="X1846" s="25"/>
      <c r="Y1846" s="25"/>
      <c r="Z1846" s="25"/>
    </row>
    <row r="1847" spans="19:26" x14ac:dyDescent="0.35">
      <c r="S1847" s="97"/>
      <c r="T1847" s="97"/>
      <c r="U1847" s="25"/>
      <c r="V1847" s="25"/>
      <c r="W1847" s="25"/>
      <c r="X1847" s="25"/>
      <c r="Y1847" s="25"/>
      <c r="Z1847" s="25"/>
    </row>
    <row r="1848" spans="19:26" x14ac:dyDescent="0.35">
      <c r="S1848" s="97"/>
      <c r="T1848" s="97"/>
      <c r="U1848" s="25"/>
      <c r="V1848" s="25"/>
      <c r="W1848" s="25"/>
      <c r="X1848" s="25"/>
      <c r="Y1848" s="25"/>
      <c r="Z1848" s="25"/>
    </row>
    <row r="1849" spans="19:26" x14ac:dyDescent="0.35">
      <c r="S1849" s="97"/>
      <c r="T1849" s="97"/>
      <c r="U1849" s="25"/>
      <c r="V1849" s="25"/>
      <c r="W1849" s="25"/>
      <c r="X1849" s="25"/>
      <c r="Y1849" s="25"/>
      <c r="Z1849" s="25"/>
    </row>
    <row r="1850" spans="19:26" x14ac:dyDescent="0.35">
      <c r="S1850" s="97"/>
      <c r="T1850" s="97"/>
      <c r="U1850" s="25"/>
      <c r="V1850" s="25"/>
      <c r="W1850" s="25"/>
      <c r="X1850" s="25"/>
      <c r="Y1850" s="25"/>
      <c r="Z1850" s="25"/>
    </row>
    <row r="1851" spans="19:26" x14ac:dyDescent="0.35">
      <c r="S1851" s="97"/>
      <c r="T1851" s="97"/>
      <c r="U1851" s="25"/>
      <c r="V1851" s="25"/>
      <c r="W1851" s="25"/>
      <c r="X1851" s="25"/>
      <c r="Y1851" s="25"/>
      <c r="Z1851" s="25"/>
    </row>
    <row r="1852" spans="19:26" x14ac:dyDescent="0.35">
      <c r="S1852" s="97"/>
      <c r="T1852" s="97"/>
      <c r="U1852" s="25"/>
      <c r="V1852" s="25"/>
      <c r="W1852" s="25"/>
      <c r="X1852" s="25"/>
      <c r="Y1852" s="25"/>
      <c r="Z1852" s="25"/>
    </row>
    <row r="1853" spans="19:26" x14ac:dyDescent="0.35">
      <c r="S1853" s="97"/>
      <c r="T1853" s="97"/>
      <c r="U1853" s="25"/>
      <c r="V1853" s="25"/>
      <c r="W1853" s="25"/>
      <c r="X1853" s="25"/>
      <c r="Y1853" s="25"/>
      <c r="Z1853" s="25"/>
    </row>
    <row r="1854" spans="19:26" x14ac:dyDescent="0.35">
      <c r="S1854" s="97"/>
      <c r="T1854" s="97"/>
      <c r="U1854" s="25"/>
      <c r="V1854" s="25"/>
      <c r="W1854" s="25"/>
      <c r="X1854" s="25"/>
      <c r="Y1854" s="25"/>
      <c r="Z1854" s="25"/>
    </row>
    <row r="1855" spans="19:26" x14ac:dyDescent="0.35">
      <c r="S1855" s="97"/>
      <c r="T1855" s="97"/>
      <c r="U1855" s="25"/>
      <c r="V1855" s="25"/>
      <c r="W1855" s="25"/>
      <c r="X1855" s="25"/>
      <c r="Y1855" s="25"/>
      <c r="Z1855" s="25"/>
    </row>
    <row r="1856" spans="19:26" x14ac:dyDescent="0.35">
      <c r="S1856" s="97"/>
      <c r="T1856" s="97"/>
      <c r="U1856" s="25"/>
      <c r="V1856" s="25"/>
      <c r="W1856" s="25"/>
      <c r="X1856" s="25"/>
      <c r="Y1856" s="25"/>
      <c r="Z1856" s="25"/>
    </row>
    <row r="1857" spans="19:26" x14ac:dyDescent="0.35">
      <c r="S1857" s="97"/>
      <c r="T1857" s="97"/>
      <c r="U1857" s="25"/>
      <c r="V1857" s="25"/>
      <c r="W1857" s="25"/>
      <c r="X1857" s="25"/>
      <c r="Y1857" s="25"/>
      <c r="Z1857" s="25"/>
    </row>
    <row r="1858" spans="19:26" x14ac:dyDescent="0.35">
      <c r="S1858" s="97"/>
      <c r="T1858" s="97"/>
      <c r="U1858" s="25"/>
      <c r="V1858" s="25"/>
      <c r="W1858" s="25"/>
      <c r="X1858" s="25"/>
      <c r="Y1858" s="25"/>
      <c r="Z1858" s="25"/>
    </row>
    <row r="1859" spans="19:26" x14ac:dyDescent="0.35">
      <c r="S1859" s="97"/>
      <c r="T1859" s="97"/>
      <c r="U1859" s="25"/>
      <c r="V1859" s="25"/>
      <c r="W1859" s="25"/>
      <c r="X1859" s="25"/>
      <c r="Y1859" s="25"/>
      <c r="Z1859" s="25"/>
    </row>
    <row r="1860" spans="19:26" x14ac:dyDescent="0.35">
      <c r="S1860" s="97"/>
      <c r="T1860" s="97"/>
      <c r="U1860" s="25"/>
      <c r="V1860" s="25"/>
      <c r="W1860" s="25"/>
      <c r="X1860" s="25"/>
      <c r="Y1860" s="25"/>
      <c r="Z1860" s="25"/>
    </row>
    <row r="1861" spans="19:26" x14ac:dyDescent="0.35">
      <c r="S1861" s="97"/>
      <c r="T1861" s="97"/>
      <c r="U1861" s="25"/>
      <c r="V1861" s="25"/>
      <c r="W1861" s="25"/>
      <c r="X1861" s="25"/>
      <c r="Y1861" s="25"/>
      <c r="Z1861" s="25"/>
    </row>
    <row r="1862" spans="19:26" x14ac:dyDescent="0.35">
      <c r="S1862" s="97"/>
      <c r="T1862" s="97"/>
      <c r="U1862" s="25"/>
      <c r="V1862" s="25"/>
      <c r="W1862" s="25"/>
      <c r="X1862" s="25"/>
      <c r="Y1862" s="25"/>
      <c r="Z1862" s="25"/>
    </row>
    <row r="1863" spans="19:26" x14ac:dyDescent="0.35">
      <c r="S1863" s="97"/>
      <c r="T1863" s="97"/>
      <c r="U1863" s="25"/>
      <c r="V1863" s="25"/>
      <c r="W1863" s="25"/>
      <c r="X1863" s="25"/>
      <c r="Y1863" s="25"/>
      <c r="Z1863" s="25"/>
    </row>
    <row r="1864" spans="19:26" x14ac:dyDescent="0.35">
      <c r="S1864" s="97"/>
      <c r="T1864" s="97"/>
      <c r="U1864" s="25"/>
      <c r="V1864" s="25"/>
      <c r="W1864" s="25"/>
      <c r="X1864" s="25"/>
      <c r="Y1864" s="25"/>
      <c r="Z1864" s="25"/>
    </row>
    <row r="1865" spans="19:26" x14ac:dyDescent="0.35">
      <c r="S1865" s="97"/>
      <c r="T1865" s="97"/>
      <c r="U1865" s="25"/>
      <c r="V1865" s="25"/>
      <c r="W1865" s="25"/>
      <c r="X1865" s="25"/>
      <c r="Y1865" s="25"/>
      <c r="Z1865" s="25"/>
    </row>
    <row r="1866" spans="19:26" x14ac:dyDescent="0.35">
      <c r="S1866" s="97"/>
      <c r="T1866" s="97"/>
      <c r="U1866" s="25"/>
      <c r="V1866" s="25"/>
      <c r="W1866" s="25"/>
      <c r="X1866" s="25"/>
      <c r="Y1866" s="25"/>
      <c r="Z1866" s="25"/>
    </row>
    <row r="1867" spans="19:26" x14ac:dyDescent="0.35">
      <c r="S1867" s="97"/>
      <c r="T1867" s="97"/>
      <c r="U1867" s="25"/>
      <c r="V1867" s="25"/>
      <c r="W1867" s="25"/>
      <c r="X1867" s="25"/>
      <c r="Y1867" s="25"/>
      <c r="Z1867" s="25"/>
    </row>
    <row r="1868" spans="19:26" x14ac:dyDescent="0.35">
      <c r="S1868" s="97"/>
      <c r="T1868" s="97"/>
      <c r="U1868" s="25"/>
      <c r="V1868" s="25"/>
      <c r="W1868" s="25"/>
      <c r="X1868" s="25"/>
      <c r="Y1868" s="25"/>
      <c r="Z1868" s="25"/>
    </row>
    <row r="1869" spans="19:26" x14ac:dyDescent="0.35">
      <c r="S1869" s="97"/>
      <c r="T1869" s="97"/>
      <c r="U1869" s="25"/>
      <c r="V1869" s="25"/>
      <c r="W1869" s="25"/>
      <c r="X1869" s="25"/>
      <c r="Y1869" s="25"/>
      <c r="Z1869" s="25"/>
    </row>
    <row r="1870" spans="19:26" x14ac:dyDescent="0.35">
      <c r="S1870" s="97"/>
      <c r="T1870" s="97"/>
      <c r="U1870" s="25"/>
      <c r="V1870" s="25"/>
      <c r="W1870" s="25"/>
      <c r="X1870" s="25"/>
      <c r="Y1870" s="25"/>
      <c r="Z1870" s="25"/>
    </row>
    <row r="1871" spans="19:26" x14ac:dyDescent="0.35">
      <c r="S1871" s="97"/>
      <c r="T1871" s="97"/>
      <c r="U1871" s="25"/>
      <c r="V1871" s="25"/>
      <c r="W1871" s="25"/>
      <c r="X1871" s="25"/>
      <c r="Y1871" s="25"/>
      <c r="Z1871" s="25"/>
    </row>
    <row r="1872" spans="19:26" x14ac:dyDescent="0.35">
      <c r="S1872" s="97"/>
      <c r="T1872" s="97"/>
      <c r="U1872" s="25"/>
      <c r="V1872" s="25"/>
      <c r="W1872" s="25"/>
      <c r="X1872" s="25"/>
      <c r="Y1872" s="25"/>
      <c r="Z1872" s="25"/>
    </row>
    <row r="1873" spans="19:26" x14ac:dyDescent="0.35">
      <c r="S1873" s="97"/>
      <c r="T1873" s="97"/>
      <c r="U1873" s="25"/>
      <c r="V1873" s="25"/>
      <c r="W1873" s="25"/>
      <c r="X1873" s="25"/>
      <c r="Y1873" s="25"/>
      <c r="Z1873" s="25"/>
    </row>
    <row r="1874" spans="19:26" x14ac:dyDescent="0.35">
      <c r="S1874" s="97"/>
      <c r="T1874" s="97"/>
      <c r="U1874" s="25"/>
      <c r="V1874" s="25"/>
      <c r="W1874" s="25"/>
      <c r="X1874" s="25"/>
      <c r="Y1874" s="25"/>
      <c r="Z1874" s="25"/>
    </row>
    <row r="1875" spans="19:26" x14ac:dyDescent="0.35">
      <c r="S1875" s="97"/>
      <c r="T1875" s="97"/>
      <c r="U1875" s="25"/>
      <c r="V1875" s="25"/>
      <c r="W1875" s="25"/>
      <c r="X1875" s="25"/>
      <c r="Y1875" s="25"/>
      <c r="Z1875" s="25"/>
    </row>
    <row r="1876" spans="19:26" x14ac:dyDescent="0.35">
      <c r="S1876" s="97"/>
      <c r="T1876" s="97"/>
      <c r="U1876" s="25"/>
      <c r="V1876" s="25"/>
      <c r="W1876" s="25"/>
      <c r="X1876" s="25"/>
      <c r="Y1876" s="25"/>
      <c r="Z1876" s="25"/>
    </row>
    <row r="1877" spans="19:26" x14ac:dyDescent="0.35">
      <c r="S1877" s="97"/>
      <c r="T1877" s="97"/>
      <c r="U1877" s="25"/>
      <c r="V1877" s="25"/>
      <c r="W1877" s="25"/>
      <c r="X1877" s="25"/>
      <c r="Y1877" s="25"/>
      <c r="Z1877" s="25"/>
    </row>
    <row r="1878" spans="19:26" x14ac:dyDescent="0.35">
      <c r="S1878" s="97"/>
      <c r="T1878" s="97"/>
      <c r="U1878" s="25"/>
      <c r="V1878" s="25"/>
      <c r="W1878" s="25"/>
      <c r="X1878" s="25"/>
      <c r="Y1878" s="25"/>
      <c r="Z1878" s="25"/>
    </row>
    <row r="1879" spans="19:26" x14ac:dyDescent="0.35">
      <c r="S1879" s="97"/>
      <c r="T1879" s="97"/>
      <c r="U1879" s="25"/>
      <c r="V1879" s="25"/>
      <c r="W1879" s="25"/>
      <c r="X1879" s="25"/>
      <c r="Y1879" s="25"/>
      <c r="Z1879" s="25"/>
    </row>
    <row r="1880" spans="19:26" x14ac:dyDescent="0.35">
      <c r="S1880" s="97"/>
      <c r="T1880" s="97"/>
      <c r="U1880" s="25"/>
      <c r="V1880" s="25"/>
      <c r="W1880" s="25"/>
      <c r="X1880" s="25"/>
      <c r="Y1880" s="25"/>
      <c r="Z1880" s="25"/>
    </row>
    <row r="1881" spans="19:26" x14ac:dyDescent="0.35">
      <c r="S1881" s="97"/>
      <c r="T1881" s="97"/>
      <c r="U1881" s="25"/>
      <c r="V1881" s="25"/>
      <c r="W1881" s="25"/>
      <c r="X1881" s="25"/>
      <c r="Y1881" s="25"/>
      <c r="Z1881" s="25"/>
    </row>
    <row r="1882" spans="19:26" x14ac:dyDescent="0.35">
      <c r="S1882" s="97"/>
      <c r="T1882" s="97"/>
      <c r="U1882" s="25"/>
      <c r="V1882" s="25"/>
      <c r="W1882" s="25"/>
      <c r="X1882" s="25"/>
      <c r="Y1882" s="25"/>
      <c r="Z1882" s="25"/>
    </row>
    <row r="1883" spans="19:26" x14ac:dyDescent="0.35">
      <c r="S1883" s="97"/>
      <c r="T1883" s="97"/>
      <c r="U1883" s="25"/>
      <c r="V1883" s="25"/>
      <c r="W1883" s="25"/>
      <c r="X1883" s="25"/>
      <c r="Y1883" s="25"/>
      <c r="Z1883" s="25"/>
    </row>
    <row r="1884" spans="19:26" x14ac:dyDescent="0.35">
      <c r="S1884" s="97"/>
      <c r="T1884" s="97"/>
      <c r="U1884" s="25"/>
      <c r="V1884" s="25"/>
      <c r="W1884" s="25"/>
      <c r="X1884" s="25"/>
      <c r="Y1884" s="25"/>
      <c r="Z1884" s="25"/>
    </row>
    <row r="1885" spans="19:26" x14ac:dyDescent="0.35">
      <c r="S1885" s="97"/>
      <c r="T1885" s="97"/>
      <c r="U1885" s="25"/>
      <c r="V1885" s="25"/>
      <c r="W1885" s="25"/>
      <c r="X1885" s="25"/>
      <c r="Y1885" s="25"/>
      <c r="Z1885" s="25"/>
    </row>
    <row r="1886" spans="19:26" x14ac:dyDescent="0.35">
      <c r="S1886" s="97"/>
      <c r="T1886" s="97"/>
      <c r="U1886" s="25"/>
      <c r="V1886" s="25"/>
      <c r="W1886" s="25"/>
      <c r="X1886" s="25"/>
      <c r="Y1886" s="25"/>
      <c r="Z1886" s="25"/>
    </row>
    <row r="1887" spans="19:26" x14ac:dyDescent="0.35">
      <c r="S1887" s="97"/>
      <c r="T1887" s="97"/>
      <c r="U1887" s="25"/>
      <c r="V1887" s="25"/>
      <c r="W1887" s="25"/>
      <c r="X1887" s="25"/>
      <c r="Y1887" s="25"/>
      <c r="Z1887" s="25"/>
    </row>
    <row r="1888" spans="19:26" x14ac:dyDescent="0.35">
      <c r="S1888" s="97"/>
      <c r="T1888" s="97"/>
      <c r="U1888" s="25"/>
      <c r="V1888" s="25"/>
      <c r="W1888" s="25"/>
      <c r="X1888" s="25"/>
      <c r="Y1888" s="25"/>
      <c r="Z1888" s="25"/>
    </row>
    <row r="1889" spans="19:26" x14ac:dyDescent="0.35">
      <c r="S1889" s="97"/>
      <c r="T1889" s="97"/>
      <c r="U1889" s="25"/>
      <c r="V1889" s="25"/>
      <c r="W1889" s="25"/>
      <c r="X1889" s="25"/>
      <c r="Y1889" s="25"/>
      <c r="Z1889" s="25"/>
    </row>
    <row r="1890" spans="19:26" x14ac:dyDescent="0.35">
      <c r="S1890" s="97"/>
      <c r="T1890" s="97"/>
      <c r="U1890" s="25"/>
      <c r="V1890" s="25"/>
      <c r="W1890" s="25"/>
      <c r="X1890" s="25"/>
      <c r="Y1890" s="25"/>
      <c r="Z1890" s="25"/>
    </row>
    <row r="1891" spans="19:26" x14ac:dyDescent="0.35">
      <c r="S1891" s="97"/>
      <c r="T1891" s="97"/>
      <c r="U1891" s="25"/>
      <c r="V1891" s="25"/>
      <c r="W1891" s="25"/>
      <c r="X1891" s="25"/>
      <c r="Y1891" s="25"/>
      <c r="Z1891" s="25"/>
    </row>
    <row r="1892" spans="19:26" x14ac:dyDescent="0.35">
      <c r="S1892" s="97"/>
      <c r="T1892" s="97"/>
      <c r="U1892" s="25"/>
      <c r="V1892" s="25"/>
      <c r="W1892" s="25"/>
      <c r="X1892" s="25"/>
      <c r="Y1892" s="25"/>
      <c r="Z1892" s="25"/>
    </row>
    <row r="1893" spans="19:26" x14ac:dyDescent="0.35">
      <c r="S1893" s="97"/>
      <c r="T1893" s="97"/>
      <c r="U1893" s="25"/>
      <c r="V1893" s="25"/>
      <c r="W1893" s="25"/>
      <c r="X1893" s="25"/>
      <c r="Y1893" s="25"/>
      <c r="Z1893" s="25"/>
    </row>
    <row r="1894" spans="19:26" x14ac:dyDescent="0.35">
      <c r="S1894" s="97"/>
      <c r="T1894" s="97"/>
      <c r="U1894" s="25"/>
      <c r="V1894" s="25"/>
      <c r="W1894" s="25"/>
      <c r="X1894" s="25"/>
      <c r="Y1894" s="25"/>
      <c r="Z1894" s="25"/>
    </row>
    <row r="1895" spans="19:26" x14ac:dyDescent="0.35">
      <c r="S1895" s="97"/>
      <c r="T1895" s="97"/>
      <c r="U1895" s="25"/>
      <c r="V1895" s="25"/>
      <c r="W1895" s="25"/>
      <c r="X1895" s="25"/>
      <c r="Y1895" s="25"/>
      <c r="Z1895" s="25"/>
    </row>
    <row r="1896" spans="19:26" x14ac:dyDescent="0.35">
      <c r="S1896" s="97"/>
      <c r="T1896" s="97"/>
      <c r="U1896" s="25"/>
      <c r="V1896" s="25"/>
      <c r="W1896" s="25"/>
      <c r="X1896" s="25"/>
      <c r="Y1896" s="25"/>
      <c r="Z1896" s="25"/>
    </row>
    <row r="1897" spans="19:26" x14ac:dyDescent="0.35">
      <c r="S1897" s="97"/>
      <c r="T1897" s="97"/>
      <c r="U1897" s="25"/>
      <c r="V1897" s="25"/>
      <c r="W1897" s="25"/>
      <c r="X1897" s="25"/>
      <c r="Y1897" s="25"/>
      <c r="Z1897" s="25"/>
    </row>
    <row r="1898" spans="19:26" x14ac:dyDescent="0.35">
      <c r="S1898" s="97"/>
      <c r="T1898" s="97"/>
      <c r="U1898" s="25"/>
      <c r="V1898" s="25"/>
      <c r="W1898" s="25"/>
      <c r="X1898" s="25"/>
      <c r="Y1898" s="25"/>
      <c r="Z1898" s="25"/>
    </row>
    <row r="1899" spans="19:26" x14ac:dyDescent="0.35">
      <c r="S1899" s="97"/>
      <c r="T1899" s="97"/>
      <c r="U1899" s="25"/>
      <c r="V1899" s="25"/>
      <c r="W1899" s="25"/>
      <c r="X1899" s="25"/>
      <c r="Y1899" s="25"/>
      <c r="Z1899" s="25"/>
    </row>
    <row r="1900" spans="19:26" x14ac:dyDescent="0.35">
      <c r="S1900" s="97"/>
      <c r="T1900" s="97"/>
      <c r="U1900" s="25"/>
      <c r="V1900" s="25"/>
      <c r="W1900" s="25"/>
      <c r="X1900" s="25"/>
      <c r="Y1900" s="25"/>
      <c r="Z1900" s="25"/>
    </row>
    <row r="1901" spans="19:26" x14ac:dyDescent="0.35">
      <c r="S1901" s="97"/>
      <c r="T1901" s="97"/>
      <c r="U1901" s="25"/>
      <c r="V1901" s="25"/>
      <c r="W1901" s="25"/>
      <c r="X1901" s="25"/>
      <c r="Y1901" s="25"/>
      <c r="Z1901" s="25"/>
    </row>
    <row r="1902" spans="19:26" x14ac:dyDescent="0.35">
      <c r="S1902" s="97"/>
      <c r="T1902" s="97"/>
      <c r="U1902" s="25"/>
      <c r="V1902" s="25"/>
      <c r="W1902" s="25"/>
      <c r="X1902" s="25"/>
      <c r="Y1902" s="25"/>
      <c r="Z1902" s="25"/>
    </row>
    <row r="1903" spans="19:26" x14ac:dyDescent="0.35">
      <c r="S1903" s="97"/>
      <c r="T1903" s="97"/>
      <c r="U1903" s="25"/>
      <c r="V1903" s="25"/>
      <c r="W1903" s="25"/>
      <c r="X1903" s="25"/>
      <c r="Y1903" s="25"/>
      <c r="Z1903" s="25"/>
    </row>
    <row r="1904" spans="19:26" x14ac:dyDescent="0.35">
      <c r="S1904" s="97"/>
      <c r="T1904" s="97"/>
      <c r="U1904" s="25"/>
      <c r="V1904" s="25"/>
      <c r="W1904" s="25"/>
      <c r="X1904" s="25"/>
      <c r="Y1904" s="25"/>
      <c r="Z1904" s="25"/>
    </row>
    <row r="1905" spans="19:26" x14ac:dyDescent="0.35">
      <c r="S1905" s="97"/>
      <c r="T1905" s="97"/>
      <c r="U1905" s="25"/>
      <c r="V1905" s="25"/>
      <c r="W1905" s="25"/>
      <c r="X1905" s="25"/>
      <c r="Y1905" s="25"/>
      <c r="Z1905" s="25"/>
    </row>
    <row r="1906" spans="19:26" x14ac:dyDescent="0.35">
      <c r="S1906" s="97"/>
      <c r="T1906" s="97"/>
      <c r="U1906" s="25"/>
      <c r="V1906" s="25"/>
      <c r="W1906" s="25"/>
      <c r="X1906" s="25"/>
      <c r="Y1906" s="25"/>
      <c r="Z1906" s="25"/>
    </row>
    <row r="1907" spans="19:26" x14ac:dyDescent="0.35">
      <c r="S1907" s="97"/>
      <c r="T1907" s="97"/>
      <c r="U1907" s="25"/>
      <c r="V1907" s="25"/>
      <c r="W1907" s="25"/>
      <c r="X1907" s="25"/>
      <c r="Y1907" s="25"/>
      <c r="Z1907" s="25"/>
    </row>
    <row r="1908" spans="19:26" x14ac:dyDescent="0.35">
      <c r="S1908" s="97"/>
      <c r="T1908" s="97"/>
      <c r="U1908" s="25"/>
      <c r="V1908" s="25"/>
      <c r="W1908" s="25"/>
      <c r="X1908" s="25"/>
      <c r="Y1908" s="25"/>
      <c r="Z1908" s="25"/>
    </row>
    <row r="1909" spans="19:26" x14ac:dyDescent="0.35">
      <c r="S1909" s="97"/>
      <c r="T1909" s="97"/>
      <c r="U1909" s="25"/>
      <c r="V1909" s="25"/>
      <c r="W1909" s="25"/>
      <c r="X1909" s="25"/>
      <c r="Y1909" s="25"/>
      <c r="Z1909" s="25"/>
    </row>
    <row r="1910" spans="19:26" x14ac:dyDescent="0.35">
      <c r="S1910" s="97"/>
      <c r="T1910" s="97"/>
      <c r="U1910" s="25"/>
      <c r="V1910" s="25"/>
      <c r="W1910" s="25"/>
      <c r="X1910" s="25"/>
      <c r="Y1910" s="25"/>
      <c r="Z1910" s="25"/>
    </row>
    <row r="1911" spans="19:26" x14ac:dyDescent="0.35">
      <c r="S1911" s="97"/>
      <c r="T1911" s="97"/>
      <c r="U1911" s="25"/>
      <c r="V1911" s="25"/>
      <c r="W1911" s="25"/>
      <c r="X1911" s="25"/>
      <c r="Y1911" s="25"/>
      <c r="Z1911" s="25"/>
    </row>
    <row r="1912" spans="19:26" x14ac:dyDescent="0.35">
      <c r="S1912" s="97"/>
      <c r="T1912" s="97"/>
      <c r="U1912" s="25"/>
      <c r="V1912" s="25"/>
      <c r="W1912" s="25"/>
      <c r="X1912" s="25"/>
      <c r="Y1912" s="25"/>
      <c r="Z1912" s="25"/>
    </row>
    <row r="1913" spans="19:26" x14ac:dyDescent="0.35">
      <c r="S1913" s="97"/>
      <c r="T1913" s="97"/>
      <c r="U1913" s="25"/>
      <c r="V1913" s="25"/>
      <c r="W1913" s="25"/>
      <c r="X1913" s="25"/>
      <c r="Y1913" s="25"/>
      <c r="Z1913" s="25"/>
    </row>
    <row r="1914" spans="19:26" x14ac:dyDescent="0.35">
      <c r="S1914" s="97"/>
      <c r="T1914" s="97"/>
      <c r="U1914" s="25"/>
      <c r="V1914" s="25"/>
      <c r="W1914" s="25"/>
      <c r="X1914" s="25"/>
      <c r="Y1914" s="25"/>
      <c r="Z1914" s="25"/>
    </row>
    <row r="1915" spans="19:26" x14ac:dyDescent="0.35">
      <c r="S1915" s="97"/>
      <c r="T1915" s="97"/>
      <c r="U1915" s="25"/>
      <c r="V1915" s="25"/>
      <c r="W1915" s="25"/>
      <c r="X1915" s="25"/>
      <c r="Y1915" s="25"/>
      <c r="Z1915" s="25"/>
    </row>
    <row r="1916" spans="19:26" x14ac:dyDescent="0.35">
      <c r="S1916" s="97"/>
      <c r="T1916" s="97"/>
      <c r="U1916" s="25"/>
      <c r="V1916" s="25"/>
      <c r="W1916" s="25"/>
      <c r="X1916" s="25"/>
      <c r="Y1916" s="25"/>
      <c r="Z1916" s="25"/>
    </row>
    <row r="1917" spans="19:26" x14ac:dyDescent="0.35">
      <c r="S1917" s="97"/>
      <c r="T1917" s="97"/>
      <c r="U1917" s="25"/>
      <c r="V1917" s="25"/>
      <c r="W1917" s="25"/>
      <c r="X1917" s="25"/>
      <c r="Y1917" s="25"/>
      <c r="Z1917" s="25"/>
    </row>
    <row r="1918" spans="19:26" x14ac:dyDescent="0.35">
      <c r="S1918" s="97"/>
      <c r="T1918" s="97"/>
      <c r="U1918" s="25"/>
      <c r="V1918" s="25"/>
      <c r="W1918" s="25"/>
      <c r="X1918" s="25"/>
      <c r="Y1918" s="25"/>
      <c r="Z1918" s="25"/>
    </row>
    <row r="1919" spans="19:26" x14ac:dyDescent="0.35">
      <c r="S1919" s="97"/>
      <c r="T1919" s="97"/>
      <c r="U1919" s="25"/>
      <c r="V1919" s="25"/>
      <c r="W1919" s="25"/>
      <c r="X1919" s="25"/>
      <c r="Y1919" s="25"/>
      <c r="Z1919" s="25"/>
    </row>
    <row r="1920" spans="19:26" x14ac:dyDescent="0.35">
      <c r="S1920" s="97"/>
      <c r="T1920" s="97"/>
      <c r="U1920" s="25"/>
      <c r="V1920" s="25"/>
      <c r="W1920" s="25"/>
      <c r="X1920" s="25"/>
      <c r="Y1920" s="25"/>
      <c r="Z1920" s="25"/>
    </row>
    <row r="1921" spans="19:26" x14ac:dyDescent="0.35">
      <c r="S1921" s="97"/>
      <c r="T1921" s="97"/>
      <c r="U1921" s="25"/>
      <c r="V1921" s="25"/>
      <c r="W1921" s="25"/>
      <c r="X1921" s="25"/>
      <c r="Y1921" s="25"/>
      <c r="Z1921" s="25"/>
    </row>
    <row r="1922" spans="19:26" x14ac:dyDescent="0.35">
      <c r="S1922" s="97"/>
      <c r="T1922" s="97"/>
      <c r="U1922" s="25"/>
      <c r="V1922" s="25"/>
      <c r="W1922" s="25"/>
      <c r="X1922" s="25"/>
      <c r="Y1922" s="25"/>
      <c r="Z1922" s="25"/>
    </row>
    <row r="1923" spans="19:26" x14ac:dyDescent="0.35">
      <c r="S1923" s="97"/>
      <c r="T1923" s="97"/>
      <c r="U1923" s="25"/>
      <c r="V1923" s="25"/>
      <c r="W1923" s="25"/>
      <c r="X1923" s="25"/>
      <c r="Y1923" s="25"/>
      <c r="Z1923" s="25"/>
    </row>
    <row r="1924" spans="19:26" x14ac:dyDescent="0.35">
      <c r="S1924" s="97"/>
      <c r="T1924" s="97"/>
      <c r="U1924" s="25"/>
      <c r="V1924" s="25"/>
      <c r="W1924" s="25"/>
      <c r="X1924" s="25"/>
      <c r="Y1924" s="25"/>
      <c r="Z1924" s="25"/>
    </row>
    <row r="1925" spans="19:26" x14ac:dyDescent="0.35">
      <c r="S1925" s="97"/>
      <c r="T1925" s="97"/>
      <c r="U1925" s="25"/>
      <c r="V1925" s="25"/>
      <c r="W1925" s="25"/>
      <c r="X1925" s="25"/>
      <c r="Y1925" s="25"/>
      <c r="Z1925" s="25"/>
    </row>
    <row r="1926" spans="19:26" x14ac:dyDescent="0.35">
      <c r="S1926" s="97"/>
      <c r="T1926" s="97"/>
      <c r="U1926" s="25"/>
      <c r="V1926" s="25"/>
      <c r="W1926" s="25"/>
      <c r="X1926" s="25"/>
      <c r="Y1926" s="25"/>
      <c r="Z1926" s="25"/>
    </row>
    <row r="1927" spans="19:26" x14ac:dyDescent="0.35">
      <c r="S1927" s="97"/>
      <c r="T1927" s="97"/>
      <c r="U1927" s="25"/>
      <c r="V1927" s="25"/>
      <c r="W1927" s="25"/>
      <c r="X1927" s="25"/>
      <c r="Y1927" s="25"/>
      <c r="Z1927" s="25"/>
    </row>
    <row r="1928" spans="19:26" x14ac:dyDescent="0.35">
      <c r="S1928" s="97"/>
      <c r="T1928" s="97"/>
      <c r="U1928" s="25"/>
      <c r="V1928" s="25"/>
      <c r="W1928" s="25"/>
      <c r="X1928" s="25"/>
      <c r="Y1928" s="25"/>
      <c r="Z1928" s="25"/>
    </row>
    <row r="1929" spans="19:26" x14ac:dyDescent="0.35">
      <c r="S1929" s="97"/>
      <c r="T1929" s="97"/>
      <c r="U1929" s="25"/>
      <c r="V1929" s="25"/>
      <c r="W1929" s="25"/>
      <c r="X1929" s="25"/>
      <c r="Y1929" s="25"/>
      <c r="Z1929" s="25"/>
    </row>
    <row r="1930" spans="19:26" x14ac:dyDescent="0.35">
      <c r="S1930" s="97"/>
      <c r="T1930" s="97"/>
      <c r="U1930" s="25"/>
      <c r="V1930" s="25"/>
      <c r="W1930" s="25"/>
      <c r="X1930" s="25"/>
      <c r="Y1930" s="25"/>
      <c r="Z1930" s="25"/>
    </row>
    <row r="1931" spans="19:26" x14ac:dyDescent="0.35">
      <c r="S1931" s="97"/>
      <c r="T1931" s="97"/>
      <c r="U1931" s="25"/>
      <c r="V1931" s="25"/>
      <c r="W1931" s="25"/>
      <c r="X1931" s="25"/>
      <c r="Y1931" s="25"/>
      <c r="Z1931" s="25"/>
    </row>
    <row r="1932" spans="19:26" x14ac:dyDescent="0.35">
      <c r="S1932" s="97"/>
      <c r="T1932" s="97"/>
      <c r="U1932" s="25"/>
      <c r="V1932" s="25"/>
      <c r="W1932" s="25"/>
      <c r="X1932" s="25"/>
      <c r="Y1932" s="25"/>
      <c r="Z1932" s="25"/>
    </row>
    <row r="1933" spans="19:26" x14ac:dyDescent="0.35">
      <c r="S1933" s="97"/>
      <c r="T1933" s="97"/>
      <c r="U1933" s="25"/>
      <c r="V1933" s="25"/>
      <c r="W1933" s="25"/>
      <c r="X1933" s="25"/>
      <c r="Y1933" s="25"/>
      <c r="Z1933" s="25"/>
    </row>
    <row r="1934" spans="19:26" x14ac:dyDescent="0.35">
      <c r="S1934" s="97"/>
      <c r="T1934" s="97"/>
      <c r="U1934" s="25"/>
      <c r="V1934" s="25"/>
      <c r="W1934" s="25"/>
      <c r="X1934" s="25"/>
      <c r="Y1934" s="25"/>
      <c r="Z1934" s="25"/>
    </row>
    <row r="1935" spans="19:26" x14ac:dyDescent="0.35">
      <c r="S1935" s="97"/>
      <c r="T1935" s="97"/>
      <c r="U1935" s="25"/>
      <c r="V1935" s="25"/>
      <c r="W1935" s="25"/>
      <c r="X1935" s="25"/>
      <c r="Y1935" s="25"/>
      <c r="Z1935" s="25"/>
    </row>
    <row r="1936" spans="19:26" x14ac:dyDescent="0.35">
      <c r="S1936" s="97"/>
      <c r="T1936" s="97"/>
      <c r="U1936" s="25"/>
      <c r="V1936" s="25"/>
      <c r="W1936" s="25"/>
      <c r="X1936" s="25"/>
      <c r="Y1936" s="25"/>
      <c r="Z1936" s="25"/>
    </row>
    <row r="1937" spans="19:26" x14ac:dyDescent="0.35">
      <c r="S1937" s="97"/>
      <c r="T1937" s="97"/>
      <c r="U1937" s="25"/>
      <c r="V1937" s="25"/>
      <c r="W1937" s="25"/>
      <c r="X1937" s="25"/>
      <c r="Y1937" s="25"/>
      <c r="Z1937" s="25"/>
    </row>
    <row r="1938" spans="19:26" x14ac:dyDescent="0.35">
      <c r="S1938" s="97"/>
      <c r="T1938" s="97"/>
      <c r="U1938" s="25"/>
      <c r="V1938" s="25"/>
      <c r="W1938" s="25"/>
      <c r="X1938" s="25"/>
      <c r="Y1938" s="25"/>
      <c r="Z1938" s="25"/>
    </row>
    <row r="1939" spans="19:26" x14ac:dyDescent="0.35">
      <c r="S1939" s="97"/>
      <c r="T1939" s="97"/>
      <c r="U1939" s="25"/>
      <c r="V1939" s="25"/>
      <c r="W1939" s="25"/>
      <c r="X1939" s="25"/>
      <c r="Y1939" s="25"/>
      <c r="Z1939" s="25"/>
    </row>
    <row r="1940" spans="19:26" x14ac:dyDescent="0.35">
      <c r="S1940" s="97"/>
      <c r="T1940" s="97"/>
      <c r="U1940" s="25"/>
      <c r="V1940" s="25"/>
      <c r="W1940" s="25"/>
      <c r="X1940" s="25"/>
      <c r="Y1940" s="25"/>
      <c r="Z1940" s="25"/>
    </row>
    <row r="1941" spans="19:26" x14ac:dyDescent="0.35">
      <c r="S1941" s="97"/>
      <c r="T1941" s="97"/>
      <c r="U1941" s="25"/>
      <c r="V1941" s="25"/>
      <c r="W1941" s="25"/>
      <c r="X1941" s="25"/>
      <c r="Y1941" s="25"/>
      <c r="Z1941" s="25"/>
    </row>
    <row r="1942" spans="19:26" x14ac:dyDescent="0.35">
      <c r="S1942" s="97"/>
      <c r="T1942" s="97"/>
      <c r="U1942" s="25"/>
      <c r="V1942" s="25"/>
      <c r="W1942" s="25"/>
      <c r="X1942" s="25"/>
      <c r="Y1942" s="25"/>
      <c r="Z1942" s="25"/>
    </row>
    <row r="1943" spans="19:26" x14ac:dyDescent="0.35">
      <c r="S1943" s="97"/>
      <c r="T1943" s="97"/>
      <c r="U1943" s="25"/>
      <c r="V1943" s="25"/>
      <c r="W1943" s="25"/>
      <c r="X1943" s="25"/>
      <c r="Y1943" s="25"/>
      <c r="Z1943" s="25"/>
    </row>
    <row r="1944" spans="19:26" x14ac:dyDescent="0.35">
      <c r="S1944" s="97"/>
      <c r="T1944" s="97"/>
      <c r="U1944" s="25"/>
      <c r="V1944" s="25"/>
      <c r="W1944" s="25"/>
      <c r="X1944" s="25"/>
      <c r="Y1944" s="25"/>
      <c r="Z1944" s="25"/>
    </row>
    <row r="1945" spans="19:26" x14ac:dyDescent="0.35">
      <c r="S1945" s="97"/>
      <c r="T1945" s="97"/>
      <c r="U1945" s="25"/>
      <c r="V1945" s="25"/>
      <c r="W1945" s="25"/>
      <c r="X1945" s="25"/>
      <c r="Y1945" s="25"/>
      <c r="Z1945" s="25"/>
    </row>
    <row r="1946" spans="19:26" x14ac:dyDescent="0.35">
      <c r="S1946" s="97"/>
      <c r="T1946" s="97"/>
      <c r="U1946" s="25"/>
      <c r="V1946" s="25"/>
      <c r="W1946" s="25"/>
      <c r="X1946" s="25"/>
      <c r="Y1946" s="25"/>
      <c r="Z1946" s="25"/>
    </row>
    <row r="1947" spans="19:26" x14ac:dyDescent="0.35">
      <c r="S1947" s="97"/>
      <c r="T1947" s="97"/>
      <c r="U1947" s="25"/>
      <c r="V1947" s="25"/>
      <c r="W1947" s="25"/>
      <c r="X1947" s="25"/>
      <c r="Y1947" s="25"/>
      <c r="Z1947" s="25"/>
    </row>
    <row r="1948" spans="19:26" x14ac:dyDescent="0.35">
      <c r="S1948" s="97"/>
      <c r="T1948" s="97"/>
      <c r="U1948" s="25"/>
      <c r="V1948" s="25"/>
      <c r="W1948" s="25"/>
      <c r="X1948" s="25"/>
      <c r="Y1948" s="25"/>
      <c r="Z1948" s="25"/>
    </row>
    <row r="1949" spans="19:26" x14ac:dyDescent="0.35">
      <c r="S1949" s="97"/>
      <c r="T1949" s="97"/>
      <c r="U1949" s="25"/>
      <c r="V1949" s="25"/>
      <c r="W1949" s="25"/>
      <c r="X1949" s="25"/>
      <c r="Y1949" s="25"/>
      <c r="Z1949" s="25"/>
    </row>
    <row r="1950" spans="19:26" x14ac:dyDescent="0.35">
      <c r="S1950" s="97"/>
      <c r="T1950" s="97"/>
      <c r="U1950" s="25"/>
      <c r="V1950" s="25"/>
      <c r="W1950" s="25"/>
      <c r="X1950" s="25"/>
      <c r="Y1950" s="25"/>
      <c r="Z1950" s="25"/>
    </row>
    <row r="1951" spans="19:26" x14ac:dyDescent="0.35">
      <c r="S1951" s="97"/>
      <c r="T1951" s="97"/>
      <c r="U1951" s="25"/>
      <c r="V1951" s="25"/>
      <c r="W1951" s="25"/>
      <c r="X1951" s="25"/>
      <c r="Y1951" s="25"/>
      <c r="Z1951" s="25"/>
    </row>
    <row r="1952" spans="19:26" x14ac:dyDescent="0.35">
      <c r="S1952" s="97"/>
      <c r="T1952" s="97"/>
      <c r="U1952" s="25"/>
      <c r="V1952" s="25"/>
      <c r="W1952" s="25"/>
      <c r="X1952" s="25"/>
      <c r="Y1952" s="25"/>
      <c r="Z1952" s="25"/>
    </row>
    <row r="1953" spans="19:26" x14ac:dyDescent="0.35">
      <c r="S1953" s="97"/>
      <c r="T1953" s="97"/>
      <c r="U1953" s="25"/>
      <c r="V1953" s="25"/>
      <c r="W1953" s="25"/>
      <c r="X1953" s="25"/>
      <c r="Y1953" s="25"/>
      <c r="Z1953" s="25"/>
    </row>
    <row r="1954" spans="19:26" x14ac:dyDescent="0.35">
      <c r="S1954" s="97"/>
      <c r="T1954" s="97"/>
      <c r="U1954" s="25"/>
      <c r="V1954" s="25"/>
      <c r="W1954" s="25"/>
      <c r="X1954" s="25"/>
      <c r="Y1954" s="25"/>
      <c r="Z1954" s="25"/>
    </row>
    <row r="1955" spans="19:26" x14ac:dyDescent="0.35">
      <c r="S1955" s="97"/>
      <c r="T1955" s="97"/>
      <c r="U1955" s="25"/>
      <c r="V1955" s="25"/>
      <c r="W1955" s="25"/>
      <c r="X1955" s="25"/>
      <c r="Y1955" s="25"/>
      <c r="Z1955" s="25"/>
    </row>
    <row r="1956" spans="19:26" x14ac:dyDescent="0.35">
      <c r="S1956" s="97"/>
      <c r="T1956" s="97"/>
      <c r="U1956" s="25"/>
      <c r="V1956" s="25"/>
      <c r="W1956" s="25"/>
      <c r="X1956" s="25"/>
      <c r="Y1956" s="25"/>
      <c r="Z1956" s="25"/>
    </row>
    <row r="1957" spans="19:26" x14ac:dyDescent="0.35">
      <c r="S1957" s="97"/>
      <c r="T1957" s="97"/>
      <c r="U1957" s="25"/>
      <c r="V1957" s="25"/>
      <c r="W1957" s="25"/>
      <c r="X1957" s="25"/>
      <c r="Y1957" s="25"/>
      <c r="Z1957" s="25"/>
    </row>
    <row r="1958" spans="19:26" x14ac:dyDescent="0.35">
      <c r="S1958" s="97"/>
      <c r="T1958" s="97"/>
      <c r="U1958" s="25"/>
      <c r="V1958" s="25"/>
      <c r="W1958" s="25"/>
      <c r="X1958" s="25"/>
      <c r="Y1958" s="25"/>
      <c r="Z1958" s="25"/>
    </row>
    <row r="1959" spans="19:26" x14ac:dyDescent="0.35">
      <c r="S1959" s="97"/>
      <c r="T1959" s="97"/>
      <c r="U1959" s="25"/>
      <c r="V1959" s="25"/>
      <c r="W1959" s="25"/>
      <c r="X1959" s="25"/>
      <c r="Y1959" s="25"/>
      <c r="Z1959" s="25"/>
    </row>
    <row r="1960" spans="19:26" x14ac:dyDescent="0.35">
      <c r="S1960" s="97"/>
      <c r="T1960" s="97"/>
      <c r="U1960" s="25"/>
      <c r="V1960" s="25"/>
      <c r="W1960" s="25"/>
      <c r="X1960" s="25"/>
      <c r="Y1960" s="25"/>
      <c r="Z1960" s="25"/>
    </row>
    <row r="1961" spans="19:26" x14ac:dyDescent="0.35">
      <c r="S1961" s="97"/>
      <c r="T1961" s="97"/>
      <c r="U1961" s="25"/>
      <c r="V1961" s="25"/>
      <c r="W1961" s="25"/>
      <c r="X1961" s="25"/>
      <c r="Y1961" s="25"/>
      <c r="Z1961" s="25"/>
    </row>
    <row r="1962" spans="19:26" x14ac:dyDescent="0.35">
      <c r="S1962" s="97"/>
      <c r="T1962" s="97"/>
      <c r="U1962" s="25"/>
      <c r="V1962" s="25"/>
      <c r="W1962" s="25"/>
      <c r="X1962" s="25"/>
      <c r="Y1962" s="25"/>
      <c r="Z1962" s="25"/>
    </row>
    <row r="1963" spans="19:26" x14ac:dyDescent="0.35">
      <c r="S1963" s="97"/>
      <c r="T1963" s="97"/>
      <c r="U1963" s="25"/>
      <c r="V1963" s="25"/>
      <c r="W1963" s="25"/>
      <c r="X1963" s="25"/>
      <c r="Y1963" s="25"/>
      <c r="Z1963" s="25"/>
    </row>
    <row r="1964" spans="19:26" x14ac:dyDescent="0.35">
      <c r="S1964" s="97"/>
      <c r="T1964" s="97"/>
      <c r="U1964" s="25"/>
      <c r="V1964" s="25"/>
      <c r="W1964" s="25"/>
      <c r="X1964" s="25"/>
      <c r="Y1964" s="25"/>
      <c r="Z1964" s="25"/>
    </row>
    <row r="1965" spans="19:26" x14ac:dyDescent="0.35">
      <c r="S1965" s="97"/>
      <c r="T1965" s="97"/>
      <c r="U1965" s="25"/>
      <c r="V1965" s="25"/>
      <c r="W1965" s="25"/>
      <c r="X1965" s="25"/>
      <c r="Y1965" s="25"/>
      <c r="Z1965" s="25"/>
    </row>
    <row r="1966" spans="19:26" x14ac:dyDescent="0.35">
      <c r="S1966" s="97"/>
      <c r="T1966" s="97"/>
      <c r="U1966" s="25"/>
      <c r="V1966" s="25"/>
      <c r="W1966" s="25"/>
      <c r="X1966" s="25"/>
      <c r="Y1966" s="25"/>
      <c r="Z1966" s="25"/>
    </row>
    <row r="1967" spans="19:26" x14ac:dyDescent="0.35">
      <c r="S1967" s="97"/>
      <c r="T1967" s="97"/>
      <c r="U1967" s="25"/>
      <c r="V1967" s="25"/>
      <c r="W1967" s="25"/>
      <c r="X1967" s="25"/>
      <c r="Y1967" s="25"/>
      <c r="Z1967" s="25"/>
    </row>
    <row r="1968" spans="19:26" x14ac:dyDescent="0.35">
      <c r="S1968" s="97"/>
      <c r="T1968" s="97"/>
      <c r="U1968" s="25"/>
      <c r="V1968" s="25"/>
      <c r="W1968" s="25"/>
      <c r="X1968" s="25"/>
      <c r="Y1968" s="25"/>
      <c r="Z1968" s="25"/>
    </row>
    <row r="1969" spans="19:26" x14ac:dyDescent="0.35">
      <c r="S1969" s="97"/>
      <c r="T1969" s="97"/>
      <c r="U1969" s="25"/>
      <c r="V1969" s="25"/>
      <c r="W1969" s="25"/>
      <c r="X1969" s="25"/>
      <c r="Y1969" s="25"/>
      <c r="Z1969" s="25"/>
    </row>
    <row r="1970" spans="19:26" x14ac:dyDescent="0.35">
      <c r="S1970" s="97"/>
      <c r="T1970" s="97"/>
      <c r="U1970" s="25"/>
      <c r="V1970" s="25"/>
      <c r="W1970" s="25"/>
      <c r="X1970" s="25"/>
      <c r="Y1970" s="25"/>
      <c r="Z1970" s="25"/>
    </row>
    <row r="1971" spans="19:26" x14ac:dyDescent="0.35">
      <c r="S1971" s="97"/>
      <c r="T1971" s="97"/>
      <c r="U1971" s="25"/>
      <c r="V1971" s="25"/>
      <c r="W1971" s="25"/>
      <c r="X1971" s="25"/>
      <c r="Y1971" s="25"/>
      <c r="Z1971" s="25"/>
    </row>
    <row r="1972" spans="19:26" x14ac:dyDescent="0.35">
      <c r="S1972" s="97"/>
      <c r="T1972" s="97"/>
      <c r="U1972" s="25"/>
      <c r="V1972" s="25"/>
      <c r="W1972" s="25"/>
      <c r="X1972" s="25"/>
      <c r="Y1972" s="25"/>
      <c r="Z1972" s="25"/>
    </row>
    <row r="1973" spans="19:26" x14ac:dyDescent="0.35">
      <c r="S1973" s="97"/>
      <c r="T1973" s="97"/>
      <c r="U1973" s="25"/>
      <c r="V1973" s="25"/>
      <c r="W1973" s="25"/>
      <c r="X1973" s="25"/>
      <c r="Y1973" s="25"/>
      <c r="Z1973" s="25"/>
    </row>
    <row r="1974" spans="19:26" x14ac:dyDescent="0.35">
      <c r="S1974" s="97"/>
      <c r="T1974" s="97"/>
      <c r="U1974" s="25"/>
      <c r="V1974" s="25"/>
      <c r="W1974" s="25"/>
      <c r="X1974" s="25"/>
      <c r="Y1974" s="25"/>
      <c r="Z1974" s="25"/>
    </row>
    <row r="1975" spans="19:26" x14ac:dyDescent="0.35">
      <c r="S1975" s="97"/>
      <c r="T1975" s="97"/>
      <c r="U1975" s="25"/>
      <c r="V1975" s="25"/>
      <c r="W1975" s="25"/>
      <c r="X1975" s="25"/>
      <c r="Y1975" s="25"/>
      <c r="Z1975" s="25"/>
    </row>
    <row r="1976" spans="19:26" x14ac:dyDescent="0.35">
      <c r="S1976" s="97"/>
      <c r="T1976" s="97"/>
      <c r="U1976" s="25"/>
      <c r="V1976" s="25"/>
      <c r="W1976" s="25"/>
      <c r="X1976" s="25"/>
      <c r="Y1976" s="25"/>
      <c r="Z1976" s="25"/>
    </row>
    <row r="1977" spans="19:26" x14ac:dyDescent="0.35">
      <c r="S1977" s="97"/>
      <c r="T1977" s="97"/>
      <c r="U1977" s="25"/>
      <c r="V1977" s="25"/>
      <c r="W1977" s="25"/>
      <c r="X1977" s="25"/>
      <c r="Y1977" s="25"/>
      <c r="Z1977" s="25"/>
    </row>
    <row r="1978" spans="19:26" x14ac:dyDescent="0.35">
      <c r="S1978" s="97"/>
      <c r="T1978" s="97"/>
      <c r="U1978" s="25"/>
      <c r="V1978" s="25"/>
      <c r="W1978" s="25"/>
      <c r="X1978" s="25"/>
      <c r="Y1978" s="25"/>
      <c r="Z1978" s="25"/>
    </row>
    <row r="1979" spans="19:26" x14ac:dyDescent="0.35">
      <c r="S1979" s="97"/>
      <c r="T1979" s="97"/>
      <c r="U1979" s="25"/>
      <c r="V1979" s="25"/>
      <c r="W1979" s="25"/>
      <c r="X1979" s="25"/>
      <c r="Y1979" s="25"/>
      <c r="Z1979" s="25"/>
    </row>
    <row r="1980" spans="19:26" x14ac:dyDescent="0.35">
      <c r="S1980" s="97"/>
      <c r="T1980" s="97"/>
      <c r="U1980" s="25"/>
      <c r="V1980" s="25"/>
      <c r="W1980" s="25"/>
      <c r="X1980" s="25"/>
      <c r="Y1980" s="25"/>
      <c r="Z1980" s="25"/>
    </row>
    <row r="1981" spans="19:26" x14ac:dyDescent="0.35">
      <c r="S1981" s="97"/>
      <c r="T1981" s="97"/>
      <c r="U1981" s="25"/>
      <c r="V1981" s="25"/>
      <c r="W1981" s="25"/>
      <c r="X1981" s="25"/>
      <c r="Y1981" s="25"/>
      <c r="Z1981" s="25"/>
    </row>
    <row r="1982" spans="19:26" x14ac:dyDescent="0.35">
      <c r="S1982" s="97"/>
      <c r="T1982" s="97"/>
      <c r="U1982" s="25"/>
      <c r="V1982" s="25"/>
      <c r="W1982" s="25"/>
      <c r="X1982" s="25"/>
      <c r="Y1982" s="25"/>
      <c r="Z1982" s="25"/>
    </row>
    <row r="1983" spans="19:26" x14ac:dyDescent="0.35">
      <c r="S1983" s="97"/>
      <c r="T1983" s="97"/>
      <c r="U1983" s="25"/>
      <c r="V1983" s="25"/>
      <c r="W1983" s="25"/>
      <c r="X1983" s="25"/>
      <c r="Y1983" s="25"/>
      <c r="Z1983" s="25"/>
    </row>
    <row r="1984" spans="19:26" x14ac:dyDescent="0.35">
      <c r="S1984" s="97"/>
      <c r="T1984" s="97"/>
      <c r="U1984" s="25"/>
      <c r="V1984" s="25"/>
      <c r="W1984" s="25"/>
      <c r="X1984" s="25"/>
      <c r="Y1984" s="25"/>
      <c r="Z1984" s="25"/>
    </row>
    <row r="1985" spans="19:26" x14ac:dyDescent="0.35">
      <c r="S1985" s="97"/>
      <c r="T1985" s="97"/>
      <c r="U1985" s="25"/>
      <c r="V1985" s="25"/>
      <c r="W1985" s="25"/>
      <c r="X1985" s="25"/>
      <c r="Y1985" s="25"/>
      <c r="Z1985" s="25"/>
    </row>
    <row r="1986" spans="19:26" x14ac:dyDescent="0.35">
      <c r="S1986" s="97"/>
      <c r="T1986" s="97"/>
      <c r="U1986" s="25"/>
      <c r="V1986" s="25"/>
      <c r="W1986" s="25"/>
      <c r="X1986" s="25"/>
      <c r="Y1986" s="25"/>
      <c r="Z1986" s="25"/>
    </row>
    <row r="1987" spans="19:26" x14ac:dyDescent="0.35">
      <c r="S1987" s="97"/>
      <c r="T1987" s="97"/>
      <c r="U1987" s="25"/>
      <c r="V1987" s="25"/>
      <c r="W1987" s="25"/>
      <c r="X1987" s="25"/>
      <c r="Y1987" s="25"/>
      <c r="Z1987" s="25"/>
    </row>
    <row r="1988" spans="19:26" x14ac:dyDescent="0.35">
      <c r="S1988" s="97"/>
      <c r="T1988" s="97"/>
      <c r="U1988" s="25"/>
      <c r="V1988" s="25"/>
      <c r="W1988" s="25"/>
      <c r="X1988" s="25"/>
      <c r="Y1988" s="25"/>
      <c r="Z1988" s="25"/>
    </row>
    <row r="1989" spans="19:26" x14ac:dyDescent="0.35">
      <c r="S1989" s="97"/>
      <c r="T1989" s="97"/>
      <c r="U1989" s="25"/>
      <c r="V1989" s="25"/>
      <c r="W1989" s="25"/>
      <c r="X1989" s="25"/>
      <c r="Y1989" s="25"/>
      <c r="Z1989" s="25"/>
    </row>
    <row r="1990" spans="19:26" x14ac:dyDescent="0.35">
      <c r="S1990" s="97"/>
      <c r="T1990" s="97"/>
      <c r="U1990" s="25"/>
      <c r="V1990" s="25"/>
      <c r="W1990" s="25"/>
      <c r="X1990" s="25"/>
      <c r="Y1990" s="25"/>
      <c r="Z1990" s="25"/>
    </row>
    <row r="1991" spans="19:26" x14ac:dyDescent="0.35">
      <c r="S1991" s="97"/>
      <c r="T1991" s="97"/>
      <c r="U1991" s="25"/>
      <c r="V1991" s="25"/>
      <c r="W1991" s="25"/>
      <c r="X1991" s="25"/>
      <c r="Y1991" s="25"/>
      <c r="Z1991" s="25"/>
    </row>
    <row r="1992" spans="19:26" x14ac:dyDescent="0.35">
      <c r="S1992" s="97"/>
      <c r="T1992" s="97"/>
      <c r="U1992" s="25"/>
      <c r="V1992" s="25"/>
      <c r="W1992" s="25"/>
      <c r="X1992" s="25"/>
      <c r="Y1992" s="25"/>
      <c r="Z1992" s="25"/>
    </row>
    <row r="1993" spans="19:26" x14ac:dyDescent="0.35">
      <c r="S1993" s="97"/>
      <c r="T1993" s="97"/>
      <c r="U1993" s="25"/>
      <c r="V1993" s="25"/>
      <c r="W1993" s="25"/>
      <c r="X1993" s="25"/>
      <c r="Y1993" s="25"/>
      <c r="Z1993" s="25"/>
    </row>
    <row r="1994" spans="19:26" x14ac:dyDescent="0.35">
      <c r="S1994" s="97"/>
      <c r="T1994" s="97"/>
      <c r="U1994" s="25"/>
      <c r="V1994" s="25"/>
      <c r="W1994" s="25"/>
      <c r="X1994" s="25"/>
      <c r="Y1994" s="25"/>
      <c r="Z1994" s="25"/>
    </row>
    <row r="1995" spans="19:26" x14ac:dyDescent="0.35">
      <c r="S1995" s="97"/>
      <c r="T1995" s="97"/>
      <c r="U1995" s="25"/>
      <c r="V1995" s="25"/>
      <c r="W1995" s="25"/>
      <c r="X1995" s="25"/>
      <c r="Y1995" s="25"/>
      <c r="Z1995" s="25"/>
    </row>
    <row r="1996" spans="19:26" x14ac:dyDescent="0.35">
      <c r="S1996" s="97"/>
      <c r="T1996" s="97"/>
      <c r="U1996" s="25"/>
      <c r="V1996" s="25"/>
      <c r="W1996" s="25"/>
      <c r="X1996" s="25"/>
      <c r="Y1996" s="25"/>
      <c r="Z1996" s="25"/>
    </row>
    <row r="1997" spans="19:26" x14ac:dyDescent="0.35">
      <c r="S1997" s="97"/>
      <c r="T1997" s="97"/>
      <c r="U1997" s="25"/>
      <c r="V1997" s="25"/>
      <c r="W1997" s="25"/>
      <c r="X1997" s="25"/>
      <c r="Y1997" s="25"/>
      <c r="Z1997" s="25"/>
    </row>
    <row r="1998" spans="19:26" x14ac:dyDescent="0.35">
      <c r="S1998" s="97"/>
      <c r="T1998" s="97"/>
      <c r="U1998" s="25"/>
      <c r="V1998" s="25"/>
      <c r="W1998" s="25"/>
      <c r="X1998" s="25"/>
      <c r="Y1998" s="25"/>
      <c r="Z1998" s="25"/>
    </row>
    <row r="1999" spans="19:26" x14ac:dyDescent="0.35">
      <c r="S1999" s="97"/>
      <c r="T1999" s="97"/>
      <c r="U1999" s="25"/>
      <c r="V1999" s="25"/>
      <c r="W1999" s="25"/>
      <c r="X1999" s="25"/>
      <c r="Y1999" s="25"/>
      <c r="Z1999" s="25"/>
    </row>
    <row r="2000" spans="19:26" x14ac:dyDescent="0.35">
      <c r="S2000" s="97"/>
      <c r="T2000" s="97"/>
      <c r="U2000" s="25"/>
      <c r="V2000" s="25"/>
      <c r="W2000" s="25"/>
      <c r="X2000" s="25"/>
      <c r="Y2000" s="25"/>
      <c r="Z2000" s="25"/>
    </row>
    <row r="2001" spans="19:26" x14ac:dyDescent="0.35">
      <c r="S2001" s="97"/>
      <c r="T2001" s="97"/>
      <c r="U2001" s="25"/>
      <c r="V2001" s="25"/>
      <c r="W2001" s="25"/>
      <c r="X2001" s="25"/>
      <c r="Y2001" s="25"/>
      <c r="Z2001" s="25"/>
    </row>
    <row r="2002" spans="19:26" x14ac:dyDescent="0.35">
      <c r="S2002" s="97"/>
      <c r="T2002" s="97"/>
      <c r="U2002" s="25"/>
      <c r="V2002" s="25"/>
      <c r="W2002" s="25"/>
      <c r="X2002" s="25"/>
      <c r="Y2002" s="25"/>
      <c r="Z2002" s="25"/>
    </row>
    <row r="2003" spans="19:26" x14ac:dyDescent="0.35">
      <c r="S2003" s="97"/>
      <c r="T2003" s="97"/>
      <c r="U2003" s="25"/>
      <c r="V2003" s="25"/>
      <c r="W2003" s="25"/>
      <c r="X2003" s="25"/>
      <c r="Y2003" s="25"/>
      <c r="Z2003" s="25"/>
    </row>
    <row r="2004" spans="19:26" x14ac:dyDescent="0.35">
      <c r="S2004" s="97"/>
      <c r="T2004" s="97"/>
      <c r="U2004" s="25"/>
      <c r="V2004" s="25"/>
      <c r="W2004" s="25"/>
      <c r="X2004" s="25"/>
      <c r="Y2004" s="25"/>
      <c r="Z2004" s="25"/>
    </row>
    <row r="2005" spans="19:26" x14ac:dyDescent="0.35">
      <c r="S2005" s="97"/>
      <c r="T2005" s="97"/>
      <c r="U2005" s="25"/>
      <c r="V2005" s="25"/>
      <c r="W2005" s="25"/>
      <c r="X2005" s="25"/>
      <c r="Y2005" s="25"/>
      <c r="Z2005" s="25"/>
    </row>
    <row r="2006" spans="19:26" x14ac:dyDescent="0.35">
      <c r="S2006" s="97"/>
      <c r="T2006" s="97"/>
      <c r="U2006" s="25"/>
      <c r="V2006" s="25"/>
      <c r="W2006" s="25"/>
      <c r="X2006" s="25"/>
      <c r="Y2006" s="25"/>
      <c r="Z2006" s="25"/>
    </row>
    <row r="2007" spans="19:26" x14ac:dyDescent="0.35">
      <c r="S2007" s="97"/>
      <c r="T2007" s="97"/>
      <c r="U2007" s="25"/>
      <c r="V2007" s="25"/>
      <c r="W2007" s="25"/>
      <c r="X2007" s="25"/>
      <c r="Y2007" s="25"/>
      <c r="Z2007" s="25"/>
    </row>
    <row r="2008" spans="19:26" x14ac:dyDescent="0.35">
      <c r="S2008" s="97"/>
      <c r="T2008" s="97"/>
      <c r="U2008" s="25"/>
      <c r="V2008" s="25"/>
      <c r="W2008" s="25"/>
      <c r="X2008" s="25"/>
      <c r="Y2008" s="25"/>
      <c r="Z2008" s="25"/>
    </row>
    <row r="2009" spans="19:26" x14ac:dyDescent="0.35">
      <c r="S2009" s="97"/>
      <c r="T2009" s="97"/>
      <c r="U2009" s="25"/>
      <c r="V2009" s="25"/>
      <c r="W2009" s="25"/>
      <c r="X2009" s="25"/>
      <c r="Y2009" s="25"/>
      <c r="Z2009" s="25"/>
    </row>
    <row r="2010" spans="19:26" x14ac:dyDescent="0.35">
      <c r="S2010" s="97"/>
      <c r="T2010" s="97"/>
      <c r="U2010" s="25"/>
      <c r="V2010" s="25"/>
      <c r="W2010" s="25"/>
      <c r="X2010" s="25"/>
      <c r="Y2010" s="25"/>
      <c r="Z2010" s="25"/>
    </row>
    <row r="2011" spans="19:26" x14ac:dyDescent="0.35">
      <c r="S2011" s="97"/>
      <c r="T2011" s="97"/>
      <c r="U2011" s="25"/>
      <c r="V2011" s="25"/>
      <c r="W2011" s="25"/>
      <c r="X2011" s="25"/>
      <c r="Y2011" s="25"/>
      <c r="Z2011" s="25"/>
    </row>
    <row r="2012" spans="19:26" x14ac:dyDescent="0.35">
      <c r="S2012" s="97"/>
      <c r="T2012" s="97"/>
      <c r="U2012" s="25"/>
      <c r="V2012" s="25"/>
      <c r="W2012" s="25"/>
      <c r="X2012" s="25"/>
      <c r="Y2012" s="25"/>
      <c r="Z2012" s="25"/>
    </row>
    <row r="2013" spans="19:26" x14ac:dyDescent="0.35">
      <c r="S2013" s="97"/>
      <c r="T2013" s="97"/>
      <c r="U2013" s="25"/>
      <c r="V2013" s="25"/>
      <c r="W2013" s="25"/>
      <c r="X2013" s="25"/>
      <c r="Y2013" s="25"/>
      <c r="Z2013" s="25"/>
    </row>
    <row r="2014" spans="19:26" x14ac:dyDescent="0.35">
      <c r="S2014" s="97"/>
      <c r="T2014" s="97"/>
      <c r="U2014" s="25"/>
      <c r="V2014" s="25"/>
      <c r="W2014" s="25"/>
      <c r="X2014" s="25"/>
      <c r="Y2014" s="25"/>
      <c r="Z2014" s="25"/>
    </row>
    <row r="2015" spans="19:26" x14ac:dyDescent="0.35">
      <c r="S2015" s="97"/>
      <c r="T2015" s="97"/>
      <c r="U2015" s="25"/>
      <c r="V2015" s="25"/>
      <c r="W2015" s="25"/>
      <c r="X2015" s="25"/>
      <c r="Y2015" s="25"/>
      <c r="Z2015" s="25"/>
    </row>
    <row r="2016" spans="19:26" x14ac:dyDescent="0.35">
      <c r="S2016" s="97"/>
      <c r="T2016" s="97"/>
      <c r="U2016" s="25"/>
      <c r="V2016" s="25"/>
      <c r="W2016" s="25"/>
      <c r="X2016" s="25"/>
      <c r="Y2016" s="25"/>
      <c r="Z2016" s="25"/>
    </row>
    <row r="2017" spans="19:26" x14ac:dyDescent="0.35">
      <c r="S2017" s="97"/>
      <c r="T2017" s="97"/>
      <c r="U2017" s="25"/>
      <c r="V2017" s="25"/>
      <c r="W2017" s="25"/>
      <c r="X2017" s="25"/>
      <c r="Y2017" s="25"/>
      <c r="Z2017" s="25"/>
    </row>
    <row r="2018" spans="19:26" x14ac:dyDescent="0.35">
      <c r="S2018" s="97"/>
      <c r="T2018" s="97"/>
      <c r="U2018" s="25"/>
      <c r="V2018" s="25"/>
      <c r="W2018" s="25"/>
      <c r="X2018" s="25"/>
      <c r="Y2018" s="25"/>
      <c r="Z2018" s="25"/>
    </row>
    <row r="2019" spans="19:26" x14ac:dyDescent="0.35">
      <c r="S2019" s="97"/>
      <c r="T2019" s="97"/>
      <c r="U2019" s="25"/>
      <c r="V2019" s="25"/>
      <c r="W2019" s="25"/>
      <c r="X2019" s="25"/>
      <c r="Y2019" s="25"/>
      <c r="Z2019" s="25"/>
    </row>
    <row r="2020" spans="19:26" x14ac:dyDescent="0.35">
      <c r="S2020" s="97"/>
      <c r="T2020" s="97"/>
      <c r="U2020" s="25"/>
      <c r="V2020" s="25"/>
      <c r="W2020" s="25"/>
      <c r="X2020" s="25"/>
      <c r="Y2020" s="25"/>
      <c r="Z2020" s="25"/>
    </row>
    <row r="2021" spans="19:26" x14ac:dyDescent="0.35">
      <c r="S2021" s="97"/>
      <c r="T2021" s="97"/>
      <c r="U2021" s="25"/>
      <c r="V2021" s="25"/>
      <c r="W2021" s="25"/>
      <c r="X2021" s="25"/>
      <c r="Y2021" s="25"/>
      <c r="Z2021" s="25"/>
    </row>
    <row r="2022" spans="19:26" x14ac:dyDescent="0.35">
      <c r="S2022" s="97"/>
      <c r="T2022" s="97"/>
      <c r="U2022" s="25"/>
      <c r="V2022" s="25"/>
      <c r="W2022" s="25"/>
      <c r="X2022" s="25"/>
      <c r="Y2022" s="25"/>
      <c r="Z2022" s="25"/>
    </row>
    <row r="2023" spans="19:26" x14ac:dyDescent="0.35">
      <c r="S2023" s="97"/>
      <c r="T2023" s="97"/>
      <c r="U2023" s="25"/>
      <c r="V2023" s="25"/>
      <c r="W2023" s="25"/>
      <c r="X2023" s="25"/>
      <c r="Y2023" s="25"/>
      <c r="Z2023" s="25"/>
    </row>
    <row r="2024" spans="19:26" x14ac:dyDescent="0.35">
      <c r="S2024" s="97"/>
      <c r="T2024" s="97"/>
      <c r="U2024" s="25"/>
      <c r="V2024" s="25"/>
      <c r="W2024" s="25"/>
      <c r="X2024" s="25"/>
      <c r="Y2024" s="25"/>
      <c r="Z2024" s="25"/>
    </row>
    <row r="2025" spans="19:26" x14ac:dyDescent="0.35">
      <c r="S2025" s="97"/>
      <c r="T2025" s="97"/>
      <c r="U2025" s="25"/>
      <c r="V2025" s="25"/>
      <c r="W2025" s="25"/>
      <c r="X2025" s="25"/>
      <c r="Y2025" s="25"/>
      <c r="Z2025" s="25"/>
    </row>
    <row r="2026" spans="19:26" x14ac:dyDescent="0.35">
      <c r="S2026" s="97"/>
      <c r="T2026" s="97"/>
      <c r="U2026" s="25"/>
      <c r="V2026" s="25"/>
      <c r="W2026" s="25"/>
      <c r="X2026" s="25"/>
      <c r="Y2026" s="25"/>
      <c r="Z2026" s="25"/>
    </row>
    <row r="2027" spans="19:26" x14ac:dyDescent="0.35">
      <c r="S2027" s="97"/>
      <c r="T2027" s="97"/>
      <c r="U2027" s="25"/>
      <c r="V2027" s="25"/>
      <c r="W2027" s="25"/>
      <c r="X2027" s="25"/>
      <c r="Y2027" s="25"/>
      <c r="Z2027" s="25"/>
    </row>
    <row r="2028" spans="19:26" x14ac:dyDescent="0.35">
      <c r="S2028" s="97"/>
      <c r="T2028" s="97"/>
      <c r="U2028" s="25"/>
      <c r="V2028" s="25"/>
      <c r="W2028" s="25"/>
      <c r="X2028" s="25"/>
      <c r="Y2028" s="25"/>
      <c r="Z2028" s="25"/>
    </row>
    <row r="2029" spans="19:26" x14ac:dyDescent="0.35">
      <c r="S2029" s="97"/>
      <c r="T2029" s="97"/>
      <c r="U2029" s="25"/>
      <c r="V2029" s="25"/>
      <c r="W2029" s="25"/>
      <c r="X2029" s="25"/>
      <c r="Y2029" s="25"/>
      <c r="Z2029" s="25"/>
    </row>
    <row r="2030" spans="19:26" x14ac:dyDescent="0.35">
      <c r="S2030" s="97"/>
      <c r="T2030" s="97"/>
      <c r="U2030" s="25"/>
      <c r="V2030" s="25"/>
      <c r="W2030" s="25"/>
      <c r="X2030" s="25"/>
      <c r="Y2030" s="25"/>
      <c r="Z2030" s="25"/>
    </row>
    <row r="2031" spans="19:26" x14ac:dyDescent="0.35">
      <c r="S2031" s="97"/>
      <c r="T2031" s="97"/>
      <c r="U2031" s="25"/>
      <c r="V2031" s="25"/>
      <c r="W2031" s="25"/>
      <c r="X2031" s="25"/>
      <c r="Y2031" s="25"/>
      <c r="Z2031" s="25"/>
    </row>
    <row r="2032" spans="19:26" x14ac:dyDescent="0.35">
      <c r="S2032" s="97"/>
      <c r="T2032" s="97"/>
      <c r="U2032" s="25"/>
      <c r="V2032" s="25"/>
      <c r="W2032" s="25"/>
      <c r="X2032" s="25"/>
      <c r="Y2032" s="25"/>
      <c r="Z2032" s="25"/>
    </row>
    <row r="2033" spans="19:26" x14ac:dyDescent="0.35">
      <c r="S2033" s="97"/>
      <c r="T2033" s="97"/>
      <c r="U2033" s="25"/>
      <c r="V2033" s="25"/>
      <c r="W2033" s="25"/>
      <c r="X2033" s="25"/>
      <c r="Y2033" s="25"/>
      <c r="Z2033" s="25"/>
    </row>
    <row r="2034" spans="19:26" x14ac:dyDescent="0.35">
      <c r="S2034" s="97"/>
      <c r="T2034" s="97"/>
      <c r="U2034" s="25"/>
      <c r="V2034" s="25"/>
      <c r="W2034" s="25"/>
      <c r="X2034" s="25"/>
      <c r="Y2034" s="25"/>
      <c r="Z2034" s="25"/>
    </row>
    <row r="2035" spans="19:26" x14ac:dyDescent="0.35">
      <c r="S2035" s="97"/>
      <c r="T2035" s="97"/>
      <c r="U2035" s="25"/>
      <c r="V2035" s="25"/>
      <c r="W2035" s="25"/>
      <c r="X2035" s="25"/>
      <c r="Y2035" s="25"/>
      <c r="Z2035" s="25"/>
    </row>
    <row r="2036" spans="19:26" x14ac:dyDescent="0.35">
      <c r="S2036" s="97"/>
      <c r="T2036" s="97"/>
      <c r="U2036" s="25"/>
      <c r="V2036" s="25"/>
      <c r="W2036" s="25"/>
      <c r="X2036" s="25"/>
      <c r="Y2036" s="25"/>
      <c r="Z2036" s="25"/>
    </row>
    <row r="2037" spans="19:26" x14ac:dyDescent="0.35">
      <c r="S2037" s="97"/>
      <c r="T2037" s="97"/>
      <c r="U2037" s="25"/>
      <c r="V2037" s="25"/>
      <c r="W2037" s="25"/>
      <c r="X2037" s="25"/>
      <c r="Y2037" s="25"/>
      <c r="Z2037" s="25"/>
    </row>
    <row r="2038" spans="19:26" x14ac:dyDescent="0.35">
      <c r="S2038" s="97"/>
      <c r="T2038" s="97"/>
      <c r="U2038" s="25"/>
      <c r="V2038" s="25"/>
      <c r="W2038" s="25"/>
      <c r="X2038" s="25"/>
      <c r="Y2038" s="25"/>
      <c r="Z2038" s="25"/>
    </row>
    <row r="2039" spans="19:26" x14ac:dyDescent="0.35">
      <c r="S2039" s="97"/>
      <c r="T2039" s="97"/>
      <c r="U2039" s="25"/>
      <c r="V2039" s="25"/>
      <c r="W2039" s="25"/>
      <c r="X2039" s="25"/>
      <c r="Y2039" s="25"/>
      <c r="Z2039" s="25"/>
    </row>
    <row r="2040" spans="19:26" x14ac:dyDescent="0.35">
      <c r="S2040" s="97"/>
      <c r="T2040" s="97"/>
      <c r="U2040" s="25"/>
      <c r="V2040" s="25"/>
      <c r="W2040" s="25"/>
      <c r="X2040" s="25"/>
      <c r="Y2040" s="25"/>
      <c r="Z2040" s="25"/>
    </row>
    <row r="2041" spans="19:26" x14ac:dyDescent="0.35">
      <c r="S2041" s="97"/>
      <c r="T2041" s="97"/>
      <c r="U2041" s="25"/>
      <c r="V2041" s="25"/>
      <c r="W2041" s="25"/>
      <c r="X2041" s="25"/>
      <c r="Y2041" s="25"/>
      <c r="Z2041" s="25"/>
    </row>
    <row r="2042" spans="19:26" x14ac:dyDescent="0.35">
      <c r="S2042" s="97"/>
      <c r="T2042" s="97"/>
      <c r="U2042" s="25"/>
      <c r="V2042" s="25"/>
      <c r="W2042" s="25"/>
      <c r="X2042" s="25"/>
      <c r="Y2042" s="25"/>
      <c r="Z2042" s="25"/>
    </row>
    <row r="2043" spans="19:26" x14ac:dyDescent="0.35">
      <c r="S2043" s="97"/>
      <c r="T2043" s="97"/>
      <c r="U2043" s="25"/>
      <c r="V2043" s="25"/>
      <c r="W2043" s="25"/>
      <c r="X2043" s="25"/>
      <c r="Y2043" s="25"/>
      <c r="Z2043" s="25"/>
    </row>
    <row r="2044" spans="19:26" x14ac:dyDescent="0.35">
      <c r="S2044" s="97"/>
      <c r="T2044" s="97"/>
      <c r="U2044" s="25"/>
      <c r="V2044" s="25"/>
      <c r="W2044" s="25"/>
      <c r="X2044" s="25"/>
      <c r="Y2044" s="25"/>
      <c r="Z2044" s="25"/>
    </row>
    <row r="2045" spans="19:26" x14ac:dyDescent="0.35">
      <c r="S2045" s="97"/>
      <c r="T2045" s="97"/>
      <c r="U2045" s="25"/>
      <c r="V2045" s="25"/>
      <c r="W2045" s="25"/>
      <c r="X2045" s="25"/>
      <c r="Y2045" s="25"/>
      <c r="Z2045" s="25"/>
    </row>
    <row r="2046" spans="19:26" x14ac:dyDescent="0.35">
      <c r="S2046" s="97"/>
      <c r="T2046" s="97"/>
      <c r="U2046" s="25"/>
      <c r="V2046" s="25"/>
      <c r="W2046" s="25"/>
      <c r="X2046" s="25"/>
      <c r="Y2046" s="25"/>
      <c r="Z2046" s="25"/>
    </row>
    <row r="2047" spans="19:26" x14ac:dyDescent="0.35">
      <c r="S2047" s="97"/>
      <c r="T2047" s="97"/>
      <c r="U2047" s="25"/>
      <c r="V2047" s="25"/>
      <c r="W2047" s="25"/>
      <c r="X2047" s="25"/>
      <c r="Y2047" s="25"/>
      <c r="Z2047" s="25"/>
    </row>
    <row r="2048" spans="19:26" x14ac:dyDescent="0.35">
      <c r="S2048" s="97"/>
      <c r="T2048" s="97"/>
      <c r="U2048" s="25"/>
      <c r="V2048" s="25"/>
      <c r="W2048" s="25"/>
      <c r="X2048" s="25"/>
      <c r="Y2048" s="25"/>
      <c r="Z2048" s="25"/>
    </row>
    <row r="2049" spans="19:26" x14ac:dyDescent="0.35">
      <c r="S2049" s="97"/>
      <c r="T2049" s="97"/>
      <c r="U2049" s="25"/>
      <c r="V2049" s="25"/>
      <c r="W2049" s="25"/>
      <c r="X2049" s="25"/>
      <c r="Y2049" s="25"/>
      <c r="Z2049" s="25"/>
    </row>
    <row r="2050" spans="19:26" x14ac:dyDescent="0.35">
      <c r="S2050" s="97"/>
      <c r="T2050" s="97"/>
      <c r="U2050" s="25"/>
      <c r="V2050" s="25"/>
      <c r="W2050" s="25"/>
      <c r="X2050" s="25"/>
      <c r="Y2050" s="25"/>
      <c r="Z2050" s="25"/>
    </row>
    <row r="2051" spans="19:26" x14ac:dyDescent="0.35">
      <c r="S2051" s="97"/>
      <c r="T2051" s="97"/>
      <c r="U2051" s="25"/>
      <c r="V2051" s="25"/>
      <c r="W2051" s="25"/>
      <c r="X2051" s="25"/>
      <c r="Y2051" s="25"/>
      <c r="Z2051" s="25"/>
    </row>
    <row r="2052" spans="19:26" x14ac:dyDescent="0.35">
      <c r="S2052" s="97"/>
      <c r="T2052" s="97"/>
      <c r="U2052" s="25"/>
      <c r="V2052" s="25"/>
      <c r="W2052" s="25"/>
      <c r="X2052" s="25"/>
      <c r="Y2052" s="25"/>
      <c r="Z2052" s="25"/>
    </row>
    <row r="2053" spans="19:26" x14ac:dyDescent="0.35">
      <c r="S2053" s="97"/>
      <c r="T2053" s="97"/>
      <c r="U2053" s="25"/>
      <c r="V2053" s="25"/>
      <c r="W2053" s="25"/>
      <c r="X2053" s="25"/>
      <c r="Y2053" s="25"/>
      <c r="Z2053" s="25"/>
    </row>
    <row r="2054" spans="19:26" x14ac:dyDescent="0.35">
      <c r="S2054" s="97"/>
      <c r="T2054" s="97"/>
      <c r="U2054" s="25"/>
      <c r="V2054" s="25"/>
      <c r="W2054" s="25"/>
      <c r="X2054" s="25"/>
      <c r="Y2054" s="25"/>
      <c r="Z2054" s="25"/>
    </row>
    <row r="2055" spans="19:26" x14ac:dyDescent="0.35">
      <c r="S2055" s="97"/>
      <c r="T2055" s="97"/>
      <c r="U2055" s="25"/>
      <c r="V2055" s="25"/>
      <c r="W2055" s="25"/>
      <c r="X2055" s="25"/>
      <c r="Y2055" s="25"/>
      <c r="Z2055" s="25"/>
    </row>
    <row r="2056" spans="19:26" x14ac:dyDescent="0.35">
      <c r="S2056" s="97"/>
      <c r="T2056" s="97"/>
      <c r="U2056" s="25"/>
      <c r="V2056" s="25"/>
      <c r="W2056" s="25"/>
      <c r="X2056" s="25"/>
      <c r="Y2056" s="25"/>
      <c r="Z2056" s="25"/>
    </row>
    <row r="2057" spans="19:26" x14ac:dyDescent="0.35">
      <c r="S2057" s="97"/>
      <c r="T2057" s="97"/>
      <c r="U2057" s="25"/>
      <c r="V2057" s="25"/>
      <c r="W2057" s="25"/>
      <c r="X2057" s="25"/>
      <c r="Y2057" s="25"/>
      <c r="Z2057" s="25"/>
    </row>
    <row r="2058" spans="19:26" x14ac:dyDescent="0.35">
      <c r="S2058" s="97"/>
      <c r="T2058" s="97"/>
      <c r="U2058" s="25"/>
      <c r="V2058" s="25"/>
      <c r="W2058" s="25"/>
      <c r="X2058" s="25"/>
      <c r="Y2058" s="25"/>
      <c r="Z2058" s="25"/>
    </row>
    <row r="2059" spans="19:26" x14ac:dyDescent="0.35">
      <c r="S2059" s="97"/>
      <c r="T2059" s="97"/>
      <c r="U2059" s="25"/>
      <c r="V2059" s="25"/>
      <c r="W2059" s="25"/>
      <c r="X2059" s="25"/>
      <c r="Y2059" s="25"/>
      <c r="Z2059" s="25"/>
    </row>
    <row r="2060" spans="19:26" x14ac:dyDescent="0.35">
      <c r="S2060" s="97"/>
      <c r="T2060" s="97"/>
      <c r="U2060" s="25"/>
      <c r="V2060" s="25"/>
      <c r="W2060" s="25"/>
      <c r="X2060" s="25"/>
      <c r="Y2060" s="25"/>
      <c r="Z2060" s="25"/>
    </row>
    <row r="2061" spans="19:26" x14ac:dyDescent="0.35">
      <c r="S2061" s="97"/>
      <c r="T2061" s="97"/>
      <c r="U2061" s="25"/>
      <c r="V2061" s="25"/>
      <c r="W2061" s="25"/>
      <c r="X2061" s="25"/>
      <c r="Y2061" s="25"/>
      <c r="Z2061" s="25"/>
    </row>
    <row r="2062" spans="19:26" x14ac:dyDescent="0.35">
      <c r="S2062" s="97"/>
      <c r="T2062" s="97"/>
      <c r="U2062" s="25"/>
      <c r="V2062" s="25"/>
      <c r="W2062" s="25"/>
      <c r="X2062" s="25"/>
      <c r="Y2062" s="25"/>
      <c r="Z2062" s="25"/>
    </row>
    <row r="2063" spans="19:26" x14ac:dyDescent="0.35">
      <c r="S2063" s="97"/>
      <c r="T2063" s="97"/>
      <c r="U2063" s="25"/>
      <c r="V2063" s="25"/>
      <c r="W2063" s="25"/>
      <c r="X2063" s="25"/>
      <c r="Y2063" s="25"/>
      <c r="Z2063" s="25"/>
    </row>
    <row r="2064" spans="19:26" x14ac:dyDescent="0.35">
      <c r="S2064" s="97"/>
      <c r="T2064" s="97"/>
      <c r="U2064" s="25"/>
      <c r="V2064" s="25"/>
      <c r="W2064" s="25"/>
      <c r="X2064" s="25"/>
      <c r="Y2064" s="25"/>
      <c r="Z2064" s="25"/>
    </row>
    <row r="2065" spans="19:26" x14ac:dyDescent="0.35">
      <c r="S2065" s="97"/>
      <c r="T2065" s="97"/>
      <c r="U2065" s="25"/>
      <c r="V2065" s="25"/>
      <c r="W2065" s="25"/>
      <c r="X2065" s="25"/>
      <c r="Y2065" s="25"/>
      <c r="Z2065" s="25"/>
    </row>
    <row r="2066" spans="19:26" x14ac:dyDescent="0.35">
      <c r="S2066" s="97"/>
      <c r="T2066" s="97"/>
      <c r="U2066" s="25"/>
      <c r="V2066" s="25"/>
      <c r="W2066" s="25"/>
      <c r="X2066" s="25"/>
      <c r="Y2066" s="25"/>
      <c r="Z2066" s="25"/>
    </row>
    <row r="2067" spans="19:26" x14ac:dyDescent="0.35">
      <c r="S2067" s="97"/>
      <c r="T2067" s="97"/>
      <c r="U2067" s="25"/>
      <c r="V2067" s="25"/>
      <c r="W2067" s="25"/>
      <c r="X2067" s="25"/>
      <c r="Y2067" s="25"/>
      <c r="Z2067" s="25"/>
    </row>
    <row r="2068" spans="19:26" x14ac:dyDescent="0.35">
      <c r="S2068" s="97"/>
      <c r="T2068" s="97"/>
      <c r="U2068" s="25"/>
      <c r="V2068" s="25"/>
      <c r="W2068" s="25"/>
      <c r="X2068" s="25"/>
      <c r="Y2068" s="25"/>
      <c r="Z2068" s="25"/>
    </row>
    <row r="2069" spans="19:26" x14ac:dyDescent="0.35">
      <c r="S2069" s="97"/>
      <c r="T2069" s="97"/>
      <c r="U2069" s="25"/>
      <c r="V2069" s="25"/>
      <c r="W2069" s="25"/>
      <c r="X2069" s="25"/>
      <c r="Y2069" s="25"/>
      <c r="Z2069" s="25"/>
    </row>
    <row r="2070" spans="19:26" x14ac:dyDescent="0.35">
      <c r="S2070" s="97"/>
      <c r="T2070" s="97"/>
      <c r="U2070" s="25"/>
      <c r="V2070" s="25"/>
      <c r="W2070" s="25"/>
      <c r="X2070" s="25"/>
      <c r="Y2070" s="25"/>
      <c r="Z2070" s="25"/>
    </row>
    <row r="2071" spans="19:26" x14ac:dyDescent="0.35">
      <c r="S2071" s="97"/>
      <c r="T2071" s="97"/>
      <c r="U2071" s="25"/>
      <c r="V2071" s="25"/>
      <c r="W2071" s="25"/>
      <c r="X2071" s="25"/>
      <c r="Y2071" s="25"/>
      <c r="Z2071" s="25"/>
    </row>
    <row r="2072" spans="19:26" x14ac:dyDescent="0.35">
      <c r="S2072" s="97"/>
      <c r="T2072" s="97"/>
      <c r="U2072" s="25"/>
      <c r="V2072" s="25"/>
      <c r="W2072" s="25"/>
      <c r="X2072" s="25"/>
      <c r="Y2072" s="25"/>
      <c r="Z2072" s="25"/>
    </row>
    <row r="2073" spans="19:26" x14ac:dyDescent="0.35">
      <c r="S2073" s="97"/>
      <c r="T2073" s="97"/>
      <c r="U2073" s="25"/>
      <c r="V2073" s="25"/>
      <c r="W2073" s="25"/>
      <c r="X2073" s="25"/>
      <c r="Y2073" s="25"/>
      <c r="Z2073" s="25"/>
    </row>
    <row r="2074" spans="19:26" x14ac:dyDescent="0.35">
      <c r="S2074" s="97"/>
      <c r="T2074" s="97"/>
      <c r="U2074" s="25"/>
      <c r="V2074" s="25"/>
      <c r="W2074" s="25"/>
      <c r="X2074" s="25"/>
      <c r="Y2074" s="25"/>
      <c r="Z2074" s="25"/>
    </row>
    <row r="2075" spans="19:26" x14ac:dyDescent="0.35">
      <c r="S2075" s="97"/>
      <c r="T2075" s="97"/>
      <c r="U2075" s="25"/>
      <c r="V2075" s="25"/>
      <c r="W2075" s="25"/>
      <c r="X2075" s="25"/>
      <c r="Y2075" s="25"/>
      <c r="Z2075" s="25"/>
    </row>
    <row r="2076" spans="19:26" x14ac:dyDescent="0.35">
      <c r="S2076" s="97"/>
      <c r="T2076" s="97"/>
      <c r="U2076" s="25"/>
      <c r="V2076" s="25"/>
      <c r="W2076" s="25"/>
      <c r="X2076" s="25"/>
      <c r="Y2076" s="25"/>
      <c r="Z2076" s="25"/>
    </row>
    <row r="2077" spans="19:26" x14ac:dyDescent="0.35">
      <c r="S2077" s="97"/>
      <c r="T2077" s="97"/>
      <c r="U2077" s="25"/>
      <c r="V2077" s="25"/>
      <c r="W2077" s="25"/>
      <c r="X2077" s="25"/>
      <c r="Y2077" s="25"/>
      <c r="Z2077" s="25"/>
    </row>
    <row r="2078" spans="19:26" x14ac:dyDescent="0.35">
      <c r="S2078" s="97"/>
      <c r="T2078" s="97"/>
      <c r="U2078" s="25"/>
      <c r="V2078" s="25"/>
      <c r="W2078" s="25"/>
      <c r="X2078" s="25"/>
      <c r="Y2078" s="25"/>
      <c r="Z2078" s="25"/>
    </row>
    <row r="2079" spans="19:26" x14ac:dyDescent="0.35">
      <c r="S2079" s="97"/>
      <c r="T2079" s="97"/>
      <c r="U2079" s="25"/>
      <c r="V2079" s="25"/>
      <c r="W2079" s="25"/>
      <c r="X2079" s="25"/>
      <c r="Y2079" s="25"/>
      <c r="Z2079" s="25"/>
    </row>
    <row r="2080" spans="19:26" x14ac:dyDescent="0.35">
      <c r="S2080" s="97"/>
      <c r="T2080" s="97"/>
      <c r="U2080" s="25"/>
      <c r="V2080" s="25"/>
      <c r="W2080" s="25"/>
      <c r="X2080" s="25"/>
      <c r="Y2080" s="25"/>
      <c r="Z2080" s="25"/>
    </row>
    <row r="2081" spans="19:26" x14ac:dyDescent="0.35">
      <c r="S2081" s="97"/>
      <c r="T2081" s="97"/>
      <c r="U2081" s="25"/>
      <c r="V2081" s="25"/>
      <c r="W2081" s="25"/>
      <c r="X2081" s="25"/>
      <c r="Y2081" s="25"/>
      <c r="Z2081" s="25"/>
    </row>
    <row r="2082" spans="19:26" x14ac:dyDescent="0.35">
      <c r="S2082" s="97"/>
      <c r="T2082" s="97"/>
      <c r="U2082" s="25"/>
      <c r="V2082" s="25"/>
      <c r="W2082" s="25"/>
      <c r="X2082" s="25"/>
      <c r="Y2082" s="25"/>
      <c r="Z2082" s="25"/>
    </row>
    <row r="2083" spans="19:26" x14ac:dyDescent="0.35">
      <c r="S2083" s="97"/>
      <c r="T2083" s="97"/>
      <c r="U2083" s="25"/>
      <c r="V2083" s="25"/>
      <c r="W2083" s="25"/>
      <c r="X2083" s="25"/>
      <c r="Y2083" s="25"/>
      <c r="Z2083" s="25"/>
    </row>
    <row r="2084" spans="19:26" x14ac:dyDescent="0.35">
      <c r="S2084" s="97"/>
      <c r="T2084" s="97"/>
      <c r="U2084" s="25"/>
      <c r="V2084" s="25"/>
      <c r="W2084" s="25"/>
      <c r="X2084" s="25"/>
      <c r="Y2084" s="25"/>
      <c r="Z2084" s="25"/>
    </row>
    <row r="2085" spans="19:26" x14ac:dyDescent="0.35">
      <c r="S2085" s="97"/>
      <c r="T2085" s="97"/>
      <c r="U2085" s="25"/>
      <c r="V2085" s="25"/>
      <c r="W2085" s="25"/>
      <c r="X2085" s="25"/>
      <c r="Y2085" s="25"/>
      <c r="Z2085" s="25"/>
    </row>
    <row r="2086" spans="19:26" x14ac:dyDescent="0.35">
      <c r="S2086" s="97"/>
      <c r="T2086" s="97"/>
      <c r="U2086" s="25"/>
      <c r="V2086" s="25"/>
      <c r="W2086" s="25"/>
      <c r="X2086" s="25"/>
      <c r="Y2086" s="25"/>
      <c r="Z2086" s="25"/>
    </row>
    <row r="2087" spans="19:26" x14ac:dyDescent="0.35">
      <c r="S2087" s="97"/>
      <c r="T2087" s="97"/>
      <c r="U2087" s="25"/>
      <c r="V2087" s="25"/>
      <c r="W2087" s="25"/>
      <c r="X2087" s="25"/>
      <c r="Y2087" s="25"/>
      <c r="Z2087" s="25"/>
    </row>
    <row r="2088" spans="19:26" x14ac:dyDescent="0.35">
      <c r="S2088" s="97"/>
      <c r="T2088" s="97"/>
      <c r="U2088" s="25"/>
      <c r="V2088" s="25"/>
      <c r="W2088" s="25"/>
      <c r="X2088" s="25"/>
      <c r="Y2088" s="25"/>
      <c r="Z2088" s="25"/>
    </row>
    <row r="2089" spans="19:26" x14ac:dyDescent="0.35">
      <c r="S2089" s="97"/>
      <c r="T2089" s="97"/>
      <c r="U2089" s="25"/>
      <c r="V2089" s="25"/>
      <c r="W2089" s="25"/>
      <c r="X2089" s="25"/>
      <c r="Y2089" s="25"/>
      <c r="Z2089" s="25"/>
    </row>
    <row r="2090" spans="19:26" x14ac:dyDescent="0.35">
      <c r="S2090" s="97"/>
      <c r="T2090" s="97"/>
      <c r="U2090" s="25"/>
      <c r="V2090" s="25"/>
      <c r="W2090" s="25"/>
      <c r="X2090" s="25"/>
      <c r="Y2090" s="25"/>
      <c r="Z2090" s="25"/>
    </row>
    <row r="2091" spans="19:26" x14ac:dyDescent="0.35">
      <c r="S2091" s="97"/>
      <c r="T2091" s="97"/>
      <c r="U2091" s="25"/>
      <c r="V2091" s="25"/>
      <c r="W2091" s="25"/>
      <c r="X2091" s="25"/>
      <c r="Y2091" s="25"/>
      <c r="Z2091" s="25"/>
    </row>
    <row r="2092" spans="19:26" x14ac:dyDescent="0.35">
      <c r="S2092" s="97"/>
      <c r="T2092" s="97"/>
      <c r="U2092" s="25"/>
      <c r="V2092" s="25"/>
      <c r="W2092" s="25"/>
      <c r="X2092" s="25"/>
      <c r="Y2092" s="25"/>
      <c r="Z2092" s="25"/>
    </row>
    <row r="2093" spans="19:26" x14ac:dyDescent="0.35">
      <c r="S2093" s="97"/>
      <c r="T2093" s="97"/>
      <c r="U2093" s="25"/>
      <c r="V2093" s="25"/>
      <c r="W2093" s="25"/>
      <c r="X2093" s="25"/>
      <c r="Y2093" s="25"/>
      <c r="Z2093" s="25"/>
    </row>
    <row r="2094" spans="19:26" x14ac:dyDescent="0.35">
      <c r="S2094" s="97"/>
      <c r="T2094" s="97"/>
      <c r="U2094" s="25"/>
      <c r="V2094" s="25"/>
      <c r="W2094" s="25"/>
      <c r="X2094" s="25"/>
      <c r="Y2094" s="25"/>
      <c r="Z2094" s="25"/>
    </row>
    <row r="2095" spans="19:26" x14ac:dyDescent="0.35">
      <c r="S2095" s="97"/>
      <c r="T2095" s="97"/>
      <c r="U2095" s="25"/>
      <c r="V2095" s="25"/>
      <c r="W2095" s="25"/>
      <c r="X2095" s="25"/>
      <c r="Y2095" s="25"/>
      <c r="Z2095" s="25"/>
    </row>
    <row r="2096" spans="19:26" x14ac:dyDescent="0.35">
      <c r="S2096" s="97"/>
      <c r="T2096" s="97"/>
      <c r="U2096" s="25"/>
      <c r="V2096" s="25"/>
      <c r="W2096" s="25"/>
      <c r="X2096" s="25"/>
      <c r="Y2096" s="25"/>
      <c r="Z2096" s="25"/>
    </row>
    <row r="2097" spans="19:26" x14ac:dyDescent="0.35">
      <c r="S2097" s="97"/>
      <c r="T2097" s="97"/>
      <c r="U2097" s="25"/>
      <c r="V2097" s="25"/>
      <c r="W2097" s="25"/>
      <c r="X2097" s="25"/>
      <c r="Y2097" s="25"/>
      <c r="Z2097" s="25"/>
    </row>
    <row r="2098" spans="19:26" x14ac:dyDescent="0.35">
      <c r="S2098" s="97"/>
      <c r="T2098" s="97"/>
      <c r="U2098" s="25"/>
      <c r="V2098" s="25"/>
      <c r="W2098" s="25"/>
      <c r="X2098" s="25"/>
      <c r="Y2098" s="25"/>
      <c r="Z2098" s="25"/>
    </row>
    <row r="2099" spans="19:26" x14ac:dyDescent="0.35">
      <c r="S2099" s="97"/>
      <c r="T2099" s="97"/>
      <c r="U2099" s="25"/>
      <c r="V2099" s="25"/>
      <c r="W2099" s="25"/>
      <c r="X2099" s="25"/>
      <c r="Y2099" s="25"/>
      <c r="Z2099" s="25"/>
    </row>
    <row r="2100" spans="19:26" x14ac:dyDescent="0.35">
      <c r="S2100" s="97"/>
      <c r="T2100" s="97"/>
      <c r="U2100" s="25"/>
      <c r="V2100" s="25"/>
      <c r="W2100" s="25"/>
      <c r="X2100" s="25"/>
      <c r="Y2100" s="25"/>
      <c r="Z2100" s="25"/>
    </row>
    <row r="2101" spans="19:26" x14ac:dyDescent="0.35">
      <c r="S2101" s="97"/>
      <c r="T2101" s="97"/>
      <c r="U2101" s="25"/>
      <c r="V2101" s="25"/>
      <c r="W2101" s="25"/>
      <c r="X2101" s="25"/>
      <c r="Y2101" s="25"/>
      <c r="Z2101" s="25"/>
    </row>
    <row r="2102" spans="19:26" x14ac:dyDescent="0.35">
      <c r="S2102" s="97"/>
      <c r="T2102" s="97"/>
      <c r="U2102" s="25"/>
      <c r="V2102" s="25"/>
      <c r="W2102" s="25"/>
      <c r="X2102" s="25"/>
      <c r="Y2102" s="25"/>
      <c r="Z2102" s="25"/>
    </row>
    <row r="2103" spans="19:26" x14ac:dyDescent="0.35">
      <c r="S2103" s="97"/>
      <c r="T2103" s="97"/>
      <c r="U2103" s="25"/>
      <c r="V2103" s="25"/>
      <c r="W2103" s="25"/>
      <c r="X2103" s="25"/>
      <c r="Y2103" s="25"/>
      <c r="Z2103" s="25"/>
    </row>
    <row r="2104" spans="19:26" x14ac:dyDescent="0.35">
      <c r="S2104" s="97"/>
      <c r="T2104" s="97"/>
      <c r="U2104" s="25"/>
      <c r="V2104" s="25"/>
      <c r="W2104" s="25"/>
      <c r="X2104" s="25"/>
      <c r="Y2104" s="25"/>
      <c r="Z2104" s="25"/>
    </row>
    <row r="2105" spans="19:26" x14ac:dyDescent="0.35">
      <c r="S2105" s="97"/>
      <c r="T2105" s="97"/>
      <c r="U2105" s="25"/>
      <c r="V2105" s="25"/>
      <c r="W2105" s="25"/>
      <c r="X2105" s="25"/>
      <c r="Y2105" s="25"/>
      <c r="Z2105" s="25"/>
    </row>
    <row r="2106" spans="19:26" x14ac:dyDescent="0.35">
      <c r="S2106" s="97"/>
      <c r="T2106" s="97"/>
      <c r="U2106" s="25"/>
      <c r="V2106" s="25"/>
      <c r="W2106" s="25"/>
      <c r="X2106" s="25"/>
      <c r="Y2106" s="25"/>
      <c r="Z2106" s="25"/>
    </row>
    <row r="2107" spans="19:26" x14ac:dyDescent="0.35">
      <c r="S2107" s="97"/>
      <c r="T2107" s="97"/>
      <c r="U2107" s="25"/>
      <c r="V2107" s="25"/>
      <c r="W2107" s="25"/>
      <c r="X2107" s="25"/>
      <c r="Y2107" s="25"/>
      <c r="Z2107" s="25"/>
    </row>
    <row r="2108" spans="19:26" x14ac:dyDescent="0.35">
      <c r="S2108" s="97"/>
      <c r="T2108" s="97"/>
      <c r="U2108" s="25"/>
      <c r="V2108" s="25"/>
      <c r="W2108" s="25"/>
      <c r="X2108" s="25"/>
      <c r="Y2108" s="25"/>
      <c r="Z2108" s="25"/>
    </row>
    <row r="2109" spans="19:26" x14ac:dyDescent="0.35">
      <c r="S2109" s="97"/>
      <c r="T2109" s="97"/>
      <c r="U2109" s="25"/>
      <c r="V2109" s="25"/>
      <c r="W2109" s="25"/>
      <c r="X2109" s="25"/>
      <c r="Y2109" s="25"/>
      <c r="Z2109" s="25"/>
    </row>
    <row r="2110" spans="19:26" x14ac:dyDescent="0.35">
      <c r="S2110" s="97"/>
      <c r="T2110" s="97"/>
      <c r="U2110" s="25"/>
      <c r="V2110" s="25"/>
      <c r="W2110" s="25"/>
      <c r="X2110" s="25"/>
      <c r="Y2110" s="25"/>
      <c r="Z2110" s="25"/>
    </row>
    <row r="2111" spans="19:26" x14ac:dyDescent="0.35">
      <c r="S2111" s="97"/>
      <c r="T2111" s="97"/>
      <c r="U2111" s="25"/>
      <c r="V2111" s="25"/>
      <c r="W2111" s="25"/>
      <c r="X2111" s="25"/>
      <c r="Y2111" s="25"/>
      <c r="Z2111" s="25"/>
    </row>
    <row r="2112" spans="19:26" x14ac:dyDescent="0.35">
      <c r="S2112" s="97"/>
      <c r="T2112" s="97"/>
      <c r="U2112" s="25"/>
      <c r="V2112" s="25"/>
      <c r="W2112" s="25"/>
      <c r="X2112" s="25"/>
      <c r="Y2112" s="25"/>
      <c r="Z2112" s="25"/>
    </row>
    <row r="2113" spans="19:26" x14ac:dyDescent="0.35">
      <c r="S2113" s="97"/>
      <c r="T2113" s="97"/>
      <c r="U2113" s="25"/>
      <c r="V2113" s="25"/>
      <c r="W2113" s="25"/>
      <c r="X2113" s="25"/>
      <c r="Y2113" s="25"/>
      <c r="Z2113" s="25"/>
    </row>
    <row r="2114" spans="19:26" x14ac:dyDescent="0.35">
      <c r="S2114" s="97"/>
      <c r="T2114" s="97"/>
      <c r="U2114" s="25"/>
      <c r="V2114" s="25"/>
      <c r="W2114" s="25"/>
      <c r="X2114" s="25"/>
      <c r="Y2114" s="25"/>
      <c r="Z2114" s="25"/>
    </row>
    <row r="2115" spans="19:26" x14ac:dyDescent="0.35">
      <c r="S2115" s="97"/>
      <c r="T2115" s="97"/>
      <c r="U2115" s="25"/>
      <c r="V2115" s="25"/>
      <c r="W2115" s="25"/>
      <c r="X2115" s="25"/>
      <c r="Y2115" s="25"/>
      <c r="Z2115" s="25"/>
    </row>
    <row r="2116" spans="19:26" x14ac:dyDescent="0.35">
      <c r="S2116" s="97"/>
      <c r="T2116" s="97"/>
      <c r="U2116" s="25"/>
      <c r="V2116" s="25"/>
      <c r="W2116" s="25"/>
      <c r="X2116" s="25"/>
      <c r="Y2116" s="25"/>
      <c r="Z2116" s="25"/>
    </row>
    <row r="2117" spans="19:26" x14ac:dyDescent="0.35">
      <c r="S2117" s="97"/>
      <c r="T2117" s="97"/>
      <c r="U2117" s="25"/>
      <c r="V2117" s="25"/>
      <c r="W2117" s="25"/>
      <c r="X2117" s="25"/>
      <c r="Y2117" s="25"/>
      <c r="Z2117" s="25"/>
    </row>
    <row r="2118" spans="19:26" x14ac:dyDescent="0.35">
      <c r="S2118" s="97"/>
      <c r="T2118" s="97"/>
      <c r="U2118" s="25"/>
      <c r="V2118" s="25"/>
      <c r="W2118" s="25"/>
      <c r="X2118" s="25"/>
      <c r="Y2118" s="25"/>
      <c r="Z2118" s="25"/>
    </row>
    <row r="2119" spans="19:26" x14ac:dyDescent="0.35">
      <c r="S2119" s="97"/>
      <c r="T2119" s="97"/>
      <c r="U2119" s="25"/>
      <c r="V2119" s="25"/>
      <c r="W2119" s="25"/>
      <c r="X2119" s="25"/>
      <c r="Y2119" s="25"/>
      <c r="Z2119" s="25"/>
    </row>
    <row r="2120" spans="19:26" x14ac:dyDescent="0.35">
      <c r="S2120" s="97"/>
      <c r="T2120" s="97"/>
      <c r="U2120" s="25"/>
      <c r="V2120" s="25"/>
      <c r="W2120" s="25"/>
      <c r="X2120" s="25"/>
      <c r="Y2120" s="25"/>
      <c r="Z2120" s="25"/>
    </row>
    <row r="2121" spans="19:26" x14ac:dyDescent="0.35">
      <c r="S2121" s="97"/>
      <c r="T2121" s="97"/>
      <c r="U2121" s="25"/>
      <c r="V2121" s="25"/>
      <c r="W2121" s="25"/>
      <c r="X2121" s="25"/>
      <c r="Y2121" s="25"/>
      <c r="Z2121" s="25"/>
    </row>
    <row r="2122" spans="19:26" x14ac:dyDescent="0.35">
      <c r="S2122" s="97"/>
      <c r="T2122" s="97"/>
      <c r="U2122" s="25"/>
      <c r="V2122" s="25"/>
      <c r="W2122" s="25"/>
      <c r="X2122" s="25"/>
      <c r="Y2122" s="25"/>
      <c r="Z2122" s="25"/>
    </row>
    <row r="2123" spans="19:26" x14ac:dyDescent="0.35">
      <c r="S2123" s="97"/>
      <c r="T2123" s="97"/>
      <c r="U2123" s="25"/>
      <c r="V2123" s="25"/>
      <c r="W2123" s="25"/>
      <c r="X2123" s="25"/>
      <c r="Y2123" s="25"/>
      <c r="Z2123" s="25"/>
    </row>
    <row r="2124" spans="19:26" x14ac:dyDescent="0.35">
      <c r="S2124" s="97"/>
      <c r="T2124" s="97"/>
      <c r="U2124" s="25"/>
      <c r="V2124" s="25"/>
      <c r="W2124" s="25"/>
      <c r="X2124" s="25"/>
      <c r="Y2124" s="25"/>
      <c r="Z2124" s="25"/>
    </row>
    <row r="2125" spans="19:26" x14ac:dyDescent="0.35">
      <c r="S2125" s="97"/>
      <c r="T2125" s="97"/>
      <c r="U2125" s="25"/>
      <c r="V2125" s="25"/>
      <c r="W2125" s="25"/>
      <c r="X2125" s="25"/>
      <c r="Y2125" s="25"/>
      <c r="Z2125" s="25"/>
    </row>
    <row r="2126" spans="19:26" x14ac:dyDescent="0.35">
      <c r="S2126" s="97"/>
      <c r="T2126" s="97"/>
      <c r="U2126" s="25"/>
      <c r="V2126" s="25"/>
      <c r="W2126" s="25"/>
      <c r="X2126" s="25"/>
      <c r="Y2126" s="25"/>
      <c r="Z2126" s="25"/>
    </row>
    <row r="2127" spans="19:26" x14ac:dyDescent="0.35">
      <c r="S2127" s="97"/>
      <c r="T2127" s="97"/>
      <c r="U2127" s="25"/>
      <c r="V2127" s="25"/>
      <c r="W2127" s="25"/>
      <c r="X2127" s="25"/>
      <c r="Y2127" s="25"/>
      <c r="Z2127" s="25"/>
    </row>
    <row r="2128" spans="19:26" x14ac:dyDescent="0.35">
      <c r="S2128" s="97"/>
      <c r="T2128" s="97"/>
      <c r="U2128" s="25"/>
      <c r="V2128" s="25"/>
      <c r="W2128" s="25"/>
      <c r="X2128" s="25"/>
      <c r="Y2128" s="25"/>
      <c r="Z2128" s="25"/>
    </row>
    <row r="2129" spans="19:26" x14ac:dyDescent="0.35">
      <c r="S2129" s="97"/>
      <c r="T2129" s="97"/>
      <c r="U2129" s="25"/>
      <c r="V2129" s="25"/>
      <c r="W2129" s="25"/>
      <c r="X2129" s="25"/>
      <c r="Y2129" s="25"/>
      <c r="Z2129" s="25"/>
    </row>
    <row r="2130" spans="19:26" x14ac:dyDescent="0.35">
      <c r="S2130" s="97"/>
      <c r="T2130" s="97"/>
      <c r="U2130" s="25"/>
      <c r="V2130" s="25"/>
      <c r="W2130" s="25"/>
      <c r="X2130" s="25"/>
      <c r="Y2130" s="25"/>
      <c r="Z2130" s="25"/>
    </row>
    <row r="2131" spans="19:26" x14ac:dyDescent="0.35">
      <c r="S2131" s="97"/>
      <c r="T2131" s="97"/>
      <c r="U2131" s="25"/>
      <c r="V2131" s="25"/>
      <c r="W2131" s="25"/>
      <c r="X2131" s="25"/>
      <c r="Y2131" s="25"/>
      <c r="Z2131" s="25"/>
    </row>
    <row r="2132" spans="19:26" x14ac:dyDescent="0.35">
      <c r="S2132" s="97"/>
      <c r="T2132" s="97"/>
      <c r="U2132" s="25"/>
      <c r="V2132" s="25"/>
      <c r="W2132" s="25"/>
      <c r="X2132" s="25"/>
      <c r="Y2132" s="25"/>
      <c r="Z2132" s="25"/>
    </row>
    <row r="2133" spans="19:26" x14ac:dyDescent="0.35">
      <c r="S2133" s="97"/>
      <c r="T2133" s="97"/>
      <c r="U2133" s="25"/>
      <c r="V2133" s="25"/>
      <c r="W2133" s="25"/>
      <c r="X2133" s="25"/>
      <c r="Y2133" s="25"/>
      <c r="Z2133" s="25"/>
    </row>
    <row r="2134" spans="19:26" x14ac:dyDescent="0.35">
      <c r="S2134" s="97"/>
      <c r="T2134" s="97"/>
      <c r="U2134" s="25"/>
      <c r="V2134" s="25"/>
      <c r="W2134" s="25"/>
      <c r="X2134" s="25"/>
      <c r="Y2134" s="25"/>
      <c r="Z2134" s="25"/>
    </row>
    <row r="2135" spans="19:26" x14ac:dyDescent="0.35">
      <c r="S2135" s="97"/>
      <c r="T2135" s="97"/>
      <c r="U2135" s="25"/>
      <c r="V2135" s="25"/>
      <c r="W2135" s="25"/>
      <c r="X2135" s="25"/>
      <c r="Y2135" s="25"/>
      <c r="Z2135" s="25"/>
    </row>
    <row r="2136" spans="19:26" x14ac:dyDescent="0.35">
      <c r="S2136" s="97"/>
      <c r="T2136" s="97"/>
      <c r="U2136" s="25"/>
      <c r="V2136" s="25"/>
      <c r="W2136" s="25"/>
      <c r="X2136" s="25"/>
      <c r="Y2136" s="25"/>
      <c r="Z2136" s="25"/>
    </row>
    <row r="2137" spans="19:26" x14ac:dyDescent="0.35">
      <c r="S2137" s="97"/>
      <c r="T2137" s="97"/>
      <c r="U2137" s="25"/>
      <c r="V2137" s="25"/>
      <c r="W2137" s="25"/>
      <c r="X2137" s="25"/>
      <c r="Y2137" s="25"/>
      <c r="Z2137" s="25"/>
    </row>
    <row r="2138" spans="19:26" x14ac:dyDescent="0.35">
      <c r="S2138" s="97"/>
      <c r="T2138" s="97"/>
      <c r="U2138" s="25"/>
      <c r="V2138" s="25"/>
      <c r="W2138" s="25"/>
      <c r="X2138" s="25"/>
      <c r="Y2138" s="25"/>
      <c r="Z2138" s="25"/>
    </row>
    <row r="2139" spans="19:26" x14ac:dyDescent="0.35">
      <c r="S2139" s="97"/>
      <c r="T2139" s="97"/>
      <c r="U2139" s="25"/>
      <c r="V2139" s="25"/>
      <c r="W2139" s="25"/>
      <c r="X2139" s="25"/>
      <c r="Y2139" s="25"/>
      <c r="Z2139" s="25"/>
    </row>
    <row r="2140" spans="19:26" x14ac:dyDescent="0.35">
      <c r="S2140" s="97"/>
      <c r="T2140" s="97"/>
      <c r="U2140" s="25"/>
      <c r="V2140" s="25"/>
      <c r="W2140" s="25"/>
      <c r="X2140" s="25"/>
      <c r="Y2140" s="25"/>
      <c r="Z2140" s="25"/>
    </row>
    <row r="2141" spans="19:26" x14ac:dyDescent="0.35">
      <c r="S2141" s="97"/>
      <c r="T2141" s="97"/>
      <c r="U2141" s="25"/>
      <c r="V2141" s="25"/>
      <c r="W2141" s="25"/>
      <c r="X2141" s="25"/>
      <c r="Y2141" s="25"/>
      <c r="Z2141" s="25"/>
    </row>
    <row r="2142" spans="19:26" x14ac:dyDescent="0.35">
      <c r="S2142" s="97"/>
      <c r="T2142" s="97"/>
      <c r="U2142" s="25"/>
      <c r="V2142" s="25"/>
      <c r="W2142" s="25"/>
      <c r="X2142" s="25"/>
      <c r="Y2142" s="25"/>
      <c r="Z2142" s="25"/>
    </row>
    <row r="2143" spans="19:26" x14ac:dyDescent="0.35">
      <c r="S2143" s="97"/>
      <c r="T2143" s="97"/>
      <c r="U2143" s="25"/>
      <c r="V2143" s="25"/>
      <c r="W2143" s="25"/>
      <c r="X2143" s="25"/>
      <c r="Y2143" s="25"/>
      <c r="Z2143" s="25"/>
    </row>
    <row r="2144" spans="19:26" x14ac:dyDescent="0.35">
      <c r="S2144" s="97"/>
      <c r="T2144" s="97"/>
      <c r="U2144" s="25"/>
      <c r="V2144" s="25"/>
      <c r="W2144" s="25"/>
      <c r="X2144" s="25"/>
      <c r="Y2144" s="25"/>
      <c r="Z2144" s="25"/>
    </row>
    <row r="2145" spans="19:26" x14ac:dyDescent="0.35">
      <c r="S2145" s="97"/>
      <c r="T2145" s="97"/>
      <c r="U2145" s="25"/>
      <c r="V2145" s="25"/>
      <c r="W2145" s="25"/>
      <c r="X2145" s="25"/>
      <c r="Y2145" s="25"/>
      <c r="Z2145" s="25"/>
    </row>
    <row r="2146" spans="19:26" x14ac:dyDescent="0.35">
      <c r="S2146" s="97"/>
      <c r="T2146" s="97"/>
      <c r="U2146" s="25"/>
      <c r="V2146" s="25"/>
      <c r="W2146" s="25"/>
      <c r="X2146" s="25"/>
      <c r="Y2146" s="25"/>
      <c r="Z2146" s="25"/>
    </row>
    <row r="2147" spans="19:26" x14ac:dyDescent="0.35">
      <c r="S2147" s="97"/>
      <c r="T2147" s="97"/>
      <c r="U2147" s="25"/>
      <c r="V2147" s="25"/>
      <c r="W2147" s="25"/>
      <c r="X2147" s="25"/>
      <c r="Y2147" s="25"/>
      <c r="Z2147" s="25"/>
    </row>
    <row r="2148" spans="19:26" x14ac:dyDescent="0.35">
      <c r="S2148" s="97"/>
      <c r="T2148" s="97"/>
      <c r="U2148" s="25"/>
      <c r="V2148" s="25"/>
      <c r="W2148" s="25"/>
      <c r="X2148" s="25"/>
      <c r="Y2148" s="25"/>
      <c r="Z2148" s="25"/>
    </row>
    <row r="2149" spans="19:26" x14ac:dyDescent="0.35">
      <c r="S2149" s="97"/>
      <c r="T2149" s="97"/>
      <c r="U2149" s="25"/>
      <c r="V2149" s="25"/>
      <c r="W2149" s="25"/>
      <c r="X2149" s="25"/>
      <c r="Y2149" s="25"/>
      <c r="Z2149" s="25"/>
    </row>
    <row r="2150" spans="19:26" x14ac:dyDescent="0.35">
      <c r="S2150" s="97"/>
      <c r="T2150" s="97"/>
      <c r="U2150" s="25"/>
      <c r="V2150" s="25"/>
      <c r="W2150" s="25"/>
      <c r="X2150" s="25"/>
      <c r="Y2150" s="25"/>
      <c r="Z2150" s="25"/>
    </row>
    <row r="2151" spans="19:26" x14ac:dyDescent="0.35">
      <c r="S2151" s="97"/>
      <c r="T2151" s="97"/>
      <c r="U2151" s="25"/>
      <c r="V2151" s="25"/>
      <c r="W2151" s="25"/>
      <c r="X2151" s="25"/>
      <c r="Y2151" s="25"/>
      <c r="Z2151" s="25"/>
    </row>
    <row r="2152" spans="19:26" x14ac:dyDescent="0.35">
      <c r="S2152" s="97"/>
      <c r="T2152" s="97"/>
      <c r="U2152" s="25"/>
      <c r="V2152" s="25"/>
      <c r="W2152" s="25"/>
      <c r="X2152" s="25"/>
      <c r="Y2152" s="25"/>
      <c r="Z2152" s="25"/>
    </row>
    <row r="2153" spans="19:26" x14ac:dyDescent="0.35">
      <c r="S2153" s="97"/>
      <c r="T2153" s="97"/>
      <c r="U2153" s="25"/>
      <c r="V2153" s="25"/>
      <c r="W2153" s="25"/>
      <c r="X2153" s="25"/>
      <c r="Y2153" s="25"/>
      <c r="Z2153" s="25"/>
    </row>
    <row r="2154" spans="19:26" x14ac:dyDescent="0.35">
      <c r="S2154" s="97"/>
      <c r="T2154" s="97"/>
      <c r="U2154" s="25"/>
      <c r="V2154" s="25"/>
      <c r="W2154" s="25"/>
      <c r="X2154" s="25"/>
      <c r="Y2154" s="25"/>
      <c r="Z2154" s="25"/>
    </row>
    <row r="2155" spans="19:26" x14ac:dyDescent="0.35">
      <c r="S2155" s="97"/>
      <c r="T2155" s="97"/>
      <c r="U2155" s="25"/>
      <c r="V2155" s="25"/>
      <c r="W2155" s="25"/>
      <c r="X2155" s="25"/>
      <c r="Y2155" s="25"/>
      <c r="Z2155" s="25"/>
    </row>
    <row r="2156" spans="19:26" x14ac:dyDescent="0.35">
      <c r="S2156" s="97"/>
      <c r="T2156" s="97"/>
      <c r="U2156" s="25"/>
      <c r="V2156" s="25"/>
      <c r="W2156" s="25"/>
      <c r="X2156" s="25"/>
      <c r="Y2156" s="25"/>
      <c r="Z2156" s="25"/>
    </row>
    <row r="2157" spans="19:26" x14ac:dyDescent="0.35">
      <c r="S2157" s="97"/>
      <c r="T2157" s="97"/>
      <c r="U2157" s="25"/>
      <c r="V2157" s="25"/>
      <c r="W2157" s="25"/>
      <c r="X2157" s="25"/>
      <c r="Y2157" s="25"/>
      <c r="Z2157" s="25"/>
    </row>
    <row r="2158" spans="19:26" x14ac:dyDescent="0.35">
      <c r="S2158" s="97"/>
      <c r="T2158" s="97"/>
      <c r="U2158" s="25"/>
      <c r="V2158" s="25"/>
      <c r="W2158" s="25"/>
      <c r="X2158" s="25"/>
      <c r="Y2158" s="25"/>
      <c r="Z2158" s="25"/>
    </row>
    <row r="2159" spans="19:26" x14ac:dyDescent="0.35">
      <c r="S2159" s="97"/>
      <c r="T2159" s="97"/>
      <c r="U2159" s="25"/>
      <c r="V2159" s="25"/>
      <c r="W2159" s="25"/>
      <c r="X2159" s="25"/>
      <c r="Y2159" s="25"/>
      <c r="Z2159" s="25"/>
    </row>
    <row r="2160" spans="19:26" x14ac:dyDescent="0.35">
      <c r="S2160" s="97"/>
      <c r="T2160" s="97"/>
      <c r="U2160" s="25"/>
      <c r="V2160" s="25"/>
      <c r="W2160" s="25"/>
      <c r="X2160" s="25"/>
      <c r="Y2160" s="25"/>
      <c r="Z2160" s="25"/>
    </row>
    <row r="2161" spans="19:26" x14ac:dyDescent="0.35">
      <c r="S2161" s="97"/>
      <c r="T2161" s="97"/>
      <c r="U2161" s="25"/>
      <c r="V2161" s="25"/>
      <c r="W2161" s="25"/>
      <c r="X2161" s="25"/>
      <c r="Y2161" s="25"/>
      <c r="Z2161" s="25"/>
    </row>
    <row r="2162" spans="19:26" x14ac:dyDescent="0.35">
      <c r="S2162" s="97"/>
      <c r="T2162" s="97"/>
      <c r="U2162" s="25"/>
      <c r="V2162" s="25"/>
      <c r="W2162" s="25"/>
      <c r="X2162" s="25"/>
      <c r="Y2162" s="25"/>
      <c r="Z2162" s="25"/>
    </row>
    <row r="2163" spans="19:26" x14ac:dyDescent="0.35">
      <c r="S2163" s="97"/>
      <c r="T2163" s="97"/>
      <c r="U2163" s="25"/>
      <c r="V2163" s="25"/>
      <c r="W2163" s="25"/>
      <c r="X2163" s="25"/>
      <c r="Y2163" s="25"/>
      <c r="Z2163" s="25"/>
    </row>
    <row r="2164" spans="19:26" x14ac:dyDescent="0.35">
      <c r="S2164" s="97"/>
      <c r="T2164" s="97"/>
      <c r="U2164" s="25"/>
      <c r="V2164" s="25"/>
      <c r="W2164" s="25"/>
      <c r="X2164" s="25"/>
      <c r="Y2164" s="25"/>
      <c r="Z2164" s="25"/>
    </row>
    <row r="2165" spans="19:26" x14ac:dyDescent="0.35">
      <c r="S2165" s="97"/>
      <c r="T2165" s="97"/>
      <c r="U2165" s="25"/>
      <c r="V2165" s="25"/>
      <c r="W2165" s="25"/>
      <c r="X2165" s="25"/>
      <c r="Y2165" s="25"/>
      <c r="Z2165" s="25"/>
    </row>
    <row r="2166" spans="19:26" x14ac:dyDescent="0.35">
      <c r="S2166" s="97"/>
      <c r="T2166" s="97"/>
      <c r="U2166" s="25"/>
      <c r="V2166" s="25"/>
      <c r="W2166" s="25"/>
      <c r="X2166" s="25"/>
      <c r="Y2166" s="25"/>
      <c r="Z2166" s="25"/>
    </row>
    <row r="2167" spans="19:26" x14ac:dyDescent="0.35">
      <c r="S2167" s="97"/>
      <c r="T2167" s="97"/>
      <c r="U2167" s="25"/>
      <c r="V2167" s="25"/>
      <c r="W2167" s="25"/>
      <c r="X2167" s="25"/>
      <c r="Y2167" s="25"/>
      <c r="Z2167" s="25"/>
    </row>
    <row r="2168" spans="19:26" x14ac:dyDescent="0.35">
      <c r="S2168" s="97"/>
      <c r="T2168" s="97"/>
      <c r="U2168" s="25"/>
      <c r="V2168" s="25"/>
      <c r="W2168" s="25"/>
      <c r="X2168" s="25"/>
      <c r="Y2168" s="25"/>
      <c r="Z2168" s="25"/>
    </row>
    <row r="2169" spans="19:26" x14ac:dyDescent="0.35">
      <c r="S2169" s="97"/>
      <c r="T2169" s="97"/>
      <c r="U2169" s="25"/>
      <c r="V2169" s="25"/>
      <c r="W2169" s="25"/>
      <c r="X2169" s="25"/>
      <c r="Y2169" s="25"/>
      <c r="Z2169" s="25"/>
    </row>
    <row r="2170" spans="19:26" x14ac:dyDescent="0.35">
      <c r="S2170" s="97"/>
      <c r="T2170" s="97"/>
      <c r="U2170" s="25"/>
      <c r="V2170" s="25"/>
      <c r="W2170" s="25"/>
      <c r="X2170" s="25"/>
      <c r="Y2170" s="25"/>
      <c r="Z2170" s="25"/>
    </row>
    <row r="2171" spans="19:26" x14ac:dyDescent="0.35">
      <c r="S2171" s="97"/>
      <c r="T2171" s="97"/>
      <c r="U2171" s="25"/>
      <c r="V2171" s="25"/>
      <c r="W2171" s="25"/>
      <c r="X2171" s="25"/>
      <c r="Y2171" s="25"/>
      <c r="Z2171" s="25"/>
    </row>
    <row r="2172" spans="19:26" x14ac:dyDescent="0.35">
      <c r="S2172" s="97"/>
      <c r="T2172" s="97"/>
      <c r="U2172" s="25"/>
      <c r="V2172" s="25"/>
      <c r="W2172" s="25"/>
      <c r="X2172" s="25"/>
      <c r="Y2172" s="25"/>
      <c r="Z2172" s="25"/>
    </row>
    <row r="2173" spans="19:26" x14ac:dyDescent="0.35">
      <c r="S2173" s="97"/>
      <c r="T2173" s="97"/>
      <c r="U2173" s="25"/>
      <c r="V2173" s="25"/>
      <c r="W2173" s="25"/>
      <c r="X2173" s="25"/>
      <c r="Y2173" s="25"/>
      <c r="Z2173" s="25"/>
    </row>
    <row r="2174" spans="19:26" x14ac:dyDescent="0.35">
      <c r="S2174" s="97"/>
      <c r="T2174" s="97"/>
      <c r="U2174" s="25"/>
      <c r="V2174" s="25"/>
      <c r="W2174" s="25"/>
      <c r="X2174" s="25"/>
      <c r="Y2174" s="25"/>
      <c r="Z2174" s="25"/>
    </row>
    <row r="2175" spans="19:26" x14ac:dyDescent="0.35">
      <c r="S2175" s="97"/>
      <c r="T2175" s="97"/>
      <c r="U2175" s="25"/>
      <c r="V2175" s="25"/>
      <c r="W2175" s="25"/>
      <c r="X2175" s="25"/>
      <c r="Y2175" s="25"/>
      <c r="Z2175" s="25"/>
    </row>
    <row r="2176" spans="19:26" x14ac:dyDescent="0.35">
      <c r="S2176" s="97"/>
      <c r="T2176" s="97"/>
      <c r="U2176" s="25"/>
      <c r="V2176" s="25"/>
      <c r="W2176" s="25"/>
      <c r="X2176" s="25"/>
      <c r="Y2176" s="25"/>
      <c r="Z2176" s="25"/>
    </row>
    <row r="2177" spans="19:26" x14ac:dyDescent="0.35">
      <c r="S2177" s="97"/>
      <c r="T2177" s="97"/>
      <c r="U2177" s="25"/>
      <c r="V2177" s="25"/>
      <c r="W2177" s="25"/>
      <c r="X2177" s="25"/>
      <c r="Y2177" s="25"/>
      <c r="Z2177" s="25"/>
    </row>
    <row r="2178" spans="19:26" x14ac:dyDescent="0.35">
      <c r="S2178" s="97"/>
      <c r="T2178" s="97"/>
      <c r="U2178" s="25"/>
      <c r="V2178" s="25"/>
      <c r="W2178" s="25"/>
      <c r="X2178" s="25"/>
      <c r="Y2178" s="25"/>
      <c r="Z2178" s="25"/>
    </row>
    <row r="2179" spans="19:26" x14ac:dyDescent="0.35">
      <c r="S2179" s="97"/>
      <c r="T2179" s="97"/>
      <c r="U2179" s="25"/>
      <c r="V2179" s="25"/>
      <c r="W2179" s="25"/>
      <c r="X2179" s="25"/>
      <c r="Y2179" s="25"/>
      <c r="Z2179" s="25"/>
    </row>
    <row r="2180" spans="19:26" x14ac:dyDescent="0.35">
      <c r="S2180" s="97"/>
      <c r="T2180" s="97"/>
      <c r="U2180" s="25"/>
      <c r="V2180" s="25"/>
      <c r="W2180" s="25"/>
      <c r="X2180" s="25"/>
      <c r="Y2180" s="25"/>
      <c r="Z2180" s="25"/>
    </row>
    <row r="2181" spans="19:26" x14ac:dyDescent="0.35">
      <c r="S2181" s="97"/>
      <c r="T2181" s="97"/>
      <c r="U2181" s="25"/>
      <c r="V2181" s="25"/>
      <c r="W2181" s="25"/>
      <c r="X2181" s="25"/>
      <c r="Y2181" s="25"/>
      <c r="Z2181" s="25"/>
    </row>
    <row r="2182" spans="19:26" x14ac:dyDescent="0.35">
      <c r="S2182" s="97"/>
      <c r="T2182" s="97"/>
      <c r="U2182" s="25"/>
      <c r="V2182" s="25"/>
      <c r="W2182" s="25"/>
      <c r="X2182" s="25"/>
      <c r="Y2182" s="25"/>
      <c r="Z2182" s="25"/>
    </row>
    <row r="2183" spans="19:26" x14ac:dyDescent="0.35">
      <c r="S2183" s="97"/>
      <c r="T2183" s="97"/>
      <c r="U2183" s="25"/>
      <c r="V2183" s="25"/>
      <c r="W2183" s="25"/>
      <c r="X2183" s="25"/>
      <c r="Y2183" s="25"/>
      <c r="Z2183" s="25"/>
    </row>
    <row r="2184" spans="19:26" x14ac:dyDescent="0.35">
      <c r="S2184" s="97"/>
      <c r="T2184" s="97"/>
      <c r="U2184" s="25"/>
      <c r="V2184" s="25"/>
      <c r="W2184" s="25"/>
      <c r="X2184" s="25"/>
      <c r="Y2184" s="25"/>
      <c r="Z2184" s="25"/>
    </row>
    <row r="2185" spans="19:26" x14ac:dyDescent="0.35">
      <c r="S2185" s="97"/>
      <c r="T2185" s="97"/>
      <c r="U2185" s="25"/>
      <c r="V2185" s="25"/>
      <c r="W2185" s="25"/>
      <c r="X2185" s="25"/>
      <c r="Y2185" s="25"/>
      <c r="Z2185" s="25"/>
    </row>
    <row r="2186" spans="19:26" x14ac:dyDescent="0.35">
      <c r="S2186" s="97"/>
      <c r="T2186" s="97"/>
      <c r="U2186" s="25"/>
      <c r="V2186" s="25"/>
      <c r="W2186" s="25"/>
      <c r="X2186" s="25"/>
      <c r="Y2186" s="25"/>
      <c r="Z2186" s="25"/>
    </row>
    <row r="2187" spans="19:26" x14ac:dyDescent="0.35">
      <c r="S2187" s="97"/>
      <c r="T2187" s="97"/>
      <c r="U2187" s="25"/>
      <c r="V2187" s="25"/>
      <c r="W2187" s="25"/>
      <c r="X2187" s="25"/>
      <c r="Y2187" s="25"/>
      <c r="Z2187" s="25"/>
    </row>
    <row r="2188" spans="19:26" x14ac:dyDescent="0.35">
      <c r="S2188" s="97"/>
      <c r="T2188" s="97"/>
      <c r="U2188" s="25"/>
      <c r="V2188" s="25"/>
      <c r="W2188" s="25"/>
      <c r="X2188" s="25"/>
      <c r="Y2188" s="25"/>
      <c r="Z2188" s="25"/>
    </row>
    <row r="2189" spans="19:26" x14ac:dyDescent="0.35">
      <c r="S2189" s="97"/>
      <c r="T2189" s="97"/>
      <c r="U2189" s="25"/>
      <c r="V2189" s="25"/>
      <c r="W2189" s="25"/>
      <c r="X2189" s="25"/>
      <c r="Y2189" s="25"/>
      <c r="Z2189" s="25"/>
    </row>
    <row r="2190" spans="19:26" x14ac:dyDescent="0.35">
      <c r="S2190" s="97"/>
      <c r="T2190" s="97"/>
      <c r="U2190" s="25"/>
      <c r="V2190" s="25"/>
      <c r="W2190" s="25"/>
      <c r="X2190" s="25"/>
      <c r="Y2190" s="25"/>
      <c r="Z2190" s="25"/>
    </row>
    <row r="2191" spans="19:26" x14ac:dyDescent="0.35">
      <c r="S2191" s="97"/>
      <c r="T2191" s="97"/>
      <c r="U2191" s="25"/>
      <c r="V2191" s="25"/>
      <c r="W2191" s="25"/>
      <c r="X2191" s="25"/>
      <c r="Y2191" s="25"/>
      <c r="Z2191" s="25"/>
    </row>
    <row r="2192" spans="19:26" x14ac:dyDescent="0.35">
      <c r="S2192" s="97"/>
      <c r="T2192" s="97"/>
      <c r="U2192" s="25"/>
      <c r="V2192" s="25"/>
      <c r="W2192" s="25"/>
      <c r="X2192" s="25"/>
      <c r="Y2192" s="25"/>
      <c r="Z2192" s="25"/>
    </row>
    <row r="2193" spans="19:26" x14ac:dyDescent="0.35">
      <c r="S2193" s="97"/>
      <c r="T2193" s="97"/>
      <c r="U2193" s="25"/>
      <c r="V2193" s="25"/>
      <c r="W2193" s="25"/>
      <c r="X2193" s="25"/>
      <c r="Y2193" s="25"/>
      <c r="Z2193" s="25"/>
    </row>
    <row r="2194" spans="19:26" x14ac:dyDescent="0.35">
      <c r="S2194" s="97"/>
      <c r="T2194" s="97"/>
      <c r="U2194" s="25"/>
      <c r="V2194" s="25"/>
      <c r="W2194" s="25"/>
      <c r="X2194" s="25"/>
      <c r="Y2194" s="25"/>
      <c r="Z2194" s="25"/>
    </row>
    <row r="2195" spans="19:26" x14ac:dyDescent="0.35">
      <c r="S2195" s="97"/>
      <c r="T2195" s="97"/>
      <c r="U2195" s="25"/>
      <c r="V2195" s="25"/>
      <c r="W2195" s="25"/>
      <c r="X2195" s="25"/>
      <c r="Y2195" s="25"/>
      <c r="Z2195" s="25"/>
    </row>
    <row r="2196" spans="19:26" x14ac:dyDescent="0.35">
      <c r="S2196" s="97"/>
      <c r="T2196" s="97"/>
      <c r="U2196" s="25"/>
      <c r="V2196" s="25"/>
      <c r="W2196" s="25"/>
      <c r="X2196" s="25"/>
      <c r="Y2196" s="25"/>
      <c r="Z2196" s="25"/>
    </row>
    <row r="2197" spans="19:26" x14ac:dyDescent="0.35">
      <c r="S2197" s="97"/>
      <c r="T2197" s="97"/>
      <c r="U2197" s="25"/>
      <c r="V2197" s="25"/>
      <c r="W2197" s="25"/>
      <c r="X2197" s="25"/>
      <c r="Y2197" s="25"/>
      <c r="Z2197" s="25"/>
    </row>
    <row r="2198" spans="19:26" x14ac:dyDescent="0.35">
      <c r="S2198" s="97"/>
      <c r="T2198" s="97"/>
      <c r="U2198" s="25"/>
      <c r="V2198" s="25"/>
      <c r="W2198" s="25"/>
      <c r="X2198" s="25"/>
      <c r="Y2198" s="25"/>
      <c r="Z2198" s="25"/>
    </row>
    <row r="2199" spans="19:26" x14ac:dyDescent="0.35">
      <c r="S2199" s="97"/>
      <c r="T2199" s="97"/>
      <c r="U2199" s="25"/>
      <c r="V2199" s="25"/>
      <c r="W2199" s="25"/>
      <c r="X2199" s="25"/>
      <c r="Y2199" s="25"/>
      <c r="Z2199" s="25"/>
    </row>
    <row r="2200" spans="19:26" x14ac:dyDescent="0.35">
      <c r="S2200" s="97"/>
      <c r="T2200" s="97"/>
      <c r="U2200" s="25"/>
      <c r="V2200" s="25"/>
      <c r="W2200" s="25"/>
      <c r="X2200" s="25"/>
      <c r="Y2200" s="25"/>
      <c r="Z2200" s="25"/>
    </row>
    <row r="2201" spans="19:26" x14ac:dyDescent="0.35">
      <c r="S2201" s="97"/>
      <c r="T2201" s="97"/>
      <c r="U2201" s="25"/>
      <c r="V2201" s="25"/>
      <c r="W2201" s="25"/>
      <c r="X2201" s="25"/>
      <c r="Y2201" s="25"/>
      <c r="Z2201" s="25"/>
    </row>
    <row r="2202" spans="19:26" x14ac:dyDescent="0.35">
      <c r="S2202" s="97"/>
      <c r="T2202" s="97"/>
      <c r="U2202" s="25"/>
      <c r="V2202" s="25"/>
      <c r="W2202" s="25"/>
      <c r="X2202" s="25"/>
      <c r="Y2202" s="25"/>
      <c r="Z2202" s="25"/>
    </row>
    <row r="2203" spans="19:26" x14ac:dyDescent="0.35">
      <c r="S2203" s="97"/>
      <c r="T2203" s="97"/>
      <c r="U2203" s="25"/>
      <c r="V2203" s="25"/>
      <c r="W2203" s="25"/>
      <c r="X2203" s="25"/>
      <c r="Y2203" s="25"/>
      <c r="Z2203" s="25"/>
    </row>
    <row r="2204" spans="19:26" x14ac:dyDescent="0.35">
      <c r="S2204" s="97"/>
      <c r="T2204" s="97"/>
      <c r="U2204" s="25"/>
      <c r="V2204" s="25"/>
      <c r="W2204" s="25"/>
      <c r="X2204" s="25"/>
      <c r="Y2204" s="25"/>
      <c r="Z2204" s="25"/>
    </row>
    <row r="2205" spans="19:26" x14ac:dyDescent="0.35">
      <c r="S2205" s="97"/>
      <c r="T2205" s="97"/>
      <c r="U2205" s="25"/>
      <c r="V2205" s="25"/>
      <c r="W2205" s="25"/>
      <c r="X2205" s="25"/>
      <c r="Y2205" s="25"/>
      <c r="Z2205" s="25"/>
    </row>
    <row r="2206" spans="19:26" x14ac:dyDescent="0.35">
      <c r="S2206" s="97"/>
      <c r="T2206" s="97"/>
      <c r="U2206" s="25"/>
      <c r="V2206" s="25"/>
      <c r="W2206" s="25"/>
      <c r="X2206" s="25"/>
      <c r="Y2206" s="25"/>
      <c r="Z2206" s="25"/>
    </row>
    <row r="2207" spans="19:26" x14ac:dyDescent="0.35">
      <c r="S2207" s="97"/>
      <c r="T2207" s="97"/>
      <c r="U2207" s="25"/>
      <c r="V2207" s="25"/>
      <c r="W2207" s="25"/>
      <c r="X2207" s="25"/>
      <c r="Y2207" s="25"/>
      <c r="Z2207" s="25"/>
    </row>
    <row r="2208" spans="19:26" x14ac:dyDescent="0.35">
      <c r="S2208" s="97"/>
      <c r="T2208" s="97"/>
      <c r="U2208" s="25"/>
      <c r="V2208" s="25"/>
      <c r="W2208" s="25"/>
      <c r="X2208" s="25"/>
      <c r="Y2208" s="25"/>
      <c r="Z2208" s="25"/>
    </row>
    <row r="2209" spans="19:26" x14ac:dyDescent="0.35">
      <c r="S2209" s="97"/>
      <c r="T2209" s="97"/>
      <c r="U2209" s="25"/>
      <c r="V2209" s="25"/>
      <c r="W2209" s="25"/>
      <c r="X2209" s="25"/>
      <c r="Y2209" s="25"/>
      <c r="Z2209" s="25"/>
    </row>
    <row r="2210" spans="19:26" x14ac:dyDescent="0.35">
      <c r="S2210" s="97"/>
      <c r="T2210" s="97"/>
      <c r="U2210" s="25"/>
      <c r="V2210" s="25"/>
      <c r="W2210" s="25"/>
      <c r="X2210" s="25"/>
      <c r="Y2210" s="25"/>
      <c r="Z2210" s="25"/>
    </row>
    <row r="2211" spans="19:26" x14ac:dyDescent="0.35">
      <c r="S2211" s="97"/>
      <c r="T2211" s="97"/>
      <c r="U2211" s="25"/>
      <c r="V2211" s="25"/>
      <c r="W2211" s="25"/>
      <c r="X2211" s="25"/>
      <c r="Y2211" s="25"/>
      <c r="Z2211" s="25"/>
    </row>
    <row r="2212" spans="19:26" x14ac:dyDescent="0.35">
      <c r="S2212" s="97"/>
      <c r="T2212" s="97"/>
      <c r="U2212" s="25"/>
      <c r="V2212" s="25"/>
      <c r="W2212" s="25"/>
      <c r="X2212" s="25"/>
      <c r="Y2212" s="25"/>
      <c r="Z2212" s="25"/>
    </row>
    <row r="2213" spans="19:26" x14ac:dyDescent="0.35">
      <c r="S2213" s="97"/>
      <c r="T2213" s="97"/>
      <c r="U2213" s="25"/>
      <c r="V2213" s="25"/>
      <c r="W2213" s="25"/>
      <c r="X2213" s="25"/>
      <c r="Y2213" s="25"/>
      <c r="Z2213" s="25"/>
    </row>
    <row r="2214" spans="19:26" x14ac:dyDescent="0.35">
      <c r="S2214" s="97"/>
      <c r="T2214" s="97"/>
      <c r="U2214" s="25"/>
      <c r="V2214" s="25"/>
      <c r="W2214" s="25"/>
      <c r="X2214" s="25"/>
      <c r="Y2214" s="25"/>
      <c r="Z2214" s="25"/>
    </row>
    <row r="2215" spans="19:26" x14ac:dyDescent="0.35">
      <c r="S2215" s="97"/>
      <c r="T2215" s="97"/>
      <c r="U2215" s="25"/>
      <c r="V2215" s="25"/>
      <c r="W2215" s="25"/>
      <c r="X2215" s="25"/>
      <c r="Y2215" s="25"/>
      <c r="Z2215" s="25"/>
    </row>
    <row r="2216" spans="19:26" x14ac:dyDescent="0.35">
      <c r="S2216" s="97"/>
      <c r="T2216" s="97"/>
      <c r="U2216" s="25"/>
      <c r="V2216" s="25"/>
      <c r="W2216" s="25"/>
      <c r="X2216" s="25"/>
      <c r="Y2216" s="25"/>
      <c r="Z2216" s="25"/>
    </row>
    <row r="2217" spans="19:26" x14ac:dyDescent="0.35">
      <c r="S2217" s="97"/>
      <c r="T2217" s="97"/>
      <c r="U2217" s="25"/>
      <c r="V2217" s="25"/>
      <c r="W2217" s="25"/>
      <c r="X2217" s="25"/>
      <c r="Y2217" s="25"/>
      <c r="Z2217" s="25"/>
    </row>
    <row r="2218" spans="19:26" x14ac:dyDescent="0.35">
      <c r="S2218" s="97"/>
      <c r="T2218" s="97"/>
      <c r="U2218" s="25"/>
      <c r="V2218" s="25"/>
      <c r="W2218" s="25"/>
      <c r="X2218" s="25"/>
      <c r="Y2218" s="25"/>
      <c r="Z2218" s="25"/>
    </row>
    <row r="2219" spans="19:26" x14ac:dyDescent="0.35">
      <c r="S2219" s="97"/>
      <c r="T2219" s="97"/>
      <c r="U2219" s="25"/>
      <c r="V2219" s="25"/>
      <c r="W2219" s="25"/>
      <c r="X2219" s="25"/>
      <c r="Y2219" s="25"/>
      <c r="Z2219" s="25"/>
    </row>
    <row r="2220" spans="19:26" x14ac:dyDescent="0.35">
      <c r="S2220" s="97"/>
      <c r="T2220" s="97"/>
      <c r="U2220" s="25"/>
      <c r="V2220" s="25"/>
      <c r="W2220" s="25"/>
      <c r="X2220" s="25"/>
      <c r="Y2220" s="25"/>
      <c r="Z2220" s="25"/>
    </row>
    <row r="2221" spans="19:26" x14ac:dyDescent="0.35">
      <c r="S2221" s="97"/>
      <c r="T2221" s="97"/>
      <c r="U2221" s="25"/>
      <c r="V2221" s="25"/>
      <c r="W2221" s="25"/>
      <c r="X2221" s="25"/>
      <c r="Y2221" s="25"/>
      <c r="Z2221" s="25"/>
    </row>
    <row r="2222" spans="19:26" x14ac:dyDescent="0.35">
      <c r="S2222" s="97"/>
      <c r="T2222" s="97"/>
      <c r="U2222" s="25"/>
      <c r="V2222" s="25"/>
      <c r="W2222" s="25"/>
      <c r="X2222" s="25"/>
      <c r="Y2222" s="25"/>
      <c r="Z2222" s="25"/>
    </row>
    <row r="2223" spans="19:26" x14ac:dyDescent="0.35">
      <c r="S2223" s="97"/>
      <c r="T2223" s="97"/>
      <c r="U2223" s="25"/>
      <c r="V2223" s="25"/>
      <c r="W2223" s="25"/>
      <c r="X2223" s="25"/>
      <c r="Y2223" s="25"/>
      <c r="Z2223" s="25"/>
    </row>
    <row r="2224" spans="19:26" x14ac:dyDescent="0.35">
      <c r="S2224" s="97"/>
      <c r="T2224" s="97"/>
      <c r="U2224" s="25"/>
      <c r="V2224" s="25"/>
      <c r="W2224" s="25"/>
      <c r="X2224" s="25"/>
      <c r="Y2224" s="25"/>
      <c r="Z2224" s="25"/>
    </row>
    <row r="2225" spans="19:26" x14ac:dyDescent="0.35">
      <c r="S2225" s="97"/>
      <c r="T2225" s="97"/>
      <c r="U2225" s="25"/>
      <c r="V2225" s="25"/>
      <c r="W2225" s="25"/>
      <c r="X2225" s="25"/>
      <c r="Y2225" s="25"/>
      <c r="Z2225" s="25"/>
    </row>
    <row r="2226" spans="19:26" x14ac:dyDescent="0.35">
      <c r="S2226" s="97"/>
      <c r="T2226" s="97"/>
      <c r="U2226" s="25"/>
      <c r="V2226" s="25"/>
      <c r="W2226" s="25"/>
      <c r="X2226" s="25"/>
      <c r="Y2226" s="25"/>
      <c r="Z2226" s="25"/>
    </row>
    <row r="2227" spans="19:26" x14ac:dyDescent="0.35">
      <c r="S2227" s="97"/>
      <c r="T2227" s="97"/>
      <c r="U2227" s="25"/>
      <c r="V2227" s="25"/>
      <c r="W2227" s="25"/>
      <c r="X2227" s="25"/>
      <c r="Y2227" s="25"/>
      <c r="Z2227" s="25"/>
    </row>
    <row r="2228" spans="19:26" x14ac:dyDescent="0.35">
      <c r="S2228" s="97"/>
      <c r="T2228" s="97"/>
      <c r="U2228" s="25"/>
      <c r="V2228" s="25"/>
      <c r="W2228" s="25"/>
      <c r="X2228" s="25"/>
      <c r="Y2228" s="25"/>
      <c r="Z2228" s="25"/>
    </row>
    <row r="2229" spans="19:26" x14ac:dyDescent="0.35">
      <c r="S2229" s="97"/>
      <c r="T2229" s="97"/>
      <c r="U2229" s="25"/>
      <c r="V2229" s="25"/>
      <c r="W2229" s="25"/>
      <c r="X2229" s="25"/>
      <c r="Y2229" s="25"/>
      <c r="Z2229" s="25"/>
    </row>
    <row r="2230" spans="19:26" x14ac:dyDescent="0.35">
      <c r="S2230" s="97"/>
      <c r="T2230" s="97"/>
      <c r="U2230" s="25"/>
      <c r="V2230" s="25"/>
      <c r="W2230" s="25"/>
      <c r="X2230" s="25"/>
      <c r="Y2230" s="25"/>
      <c r="Z2230" s="25"/>
    </row>
    <row r="2231" spans="19:26" x14ac:dyDescent="0.35">
      <c r="S2231" s="97"/>
      <c r="T2231" s="97"/>
      <c r="U2231" s="25"/>
      <c r="V2231" s="25"/>
      <c r="W2231" s="25"/>
      <c r="X2231" s="25"/>
      <c r="Y2231" s="25"/>
      <c r="Z2231" s="25"/>
    </row>
    <row r="2232" spans="19:26" x14ac:dyDescent="0.35">
      <c r="S2232" s="97"/>
      <c r="T2232" s="97"/>
      <c r="U2232" s="25"/>
      <c r="V2232" s="25"/>
      <c r="W2232" s="25"/>
      <c r="X2232" s="25"/>
      <c r="Y2232" s="25"/>
      <c r="Z2232" s="25"/>
    </row>
    <row r="2233" spans="19:26" x14ac:dyDescent="0.35">
      <c r="S2233" s="97"/>
      <c r="T2233" s="97"/>
      <c r="U2233" s="25"/>
      <c r="V2233" s="25"/>
      <c r="W2233" s="25"/>
      <c r="X2233" s="25"/>
      <c r="Y2233" s="25"/>
      <c r="Z2233" s="25"/>
    </row>
    <row r="2234" spans="19:26" x14ac:dyDescent="0.35">
      <c r="S2234" s="97"/>
      <c r="T2234" s="97"/>
      <c r="U2234" s="25"/>
      <c r="V2234" s="25"/>
      <c r="W2234" s="25"/>
      <c r="X2234" s="25"/>
      <c r="Y2234" s="25"/>
      <c r="Z2234" s="25"/>
    </row>
    <row r="2235" spans="19:26" x14ac:dyDescent="0.35">
      <c r="S2235" s="97"/>
      <c r="T2235" s="97"/>
      <c r="U2235" s="25"/>
      <c r="V2235" s="25"/>
      <c r="W2235" s="25"/>
      <c r="X2235" s="25"/>
      <c r="Y2235" s="25"/>
      <c r="Z2235" s="25"/>
    </row>
    <row r="2236" spans="19:26" x14ac:dyDescent="0.35">
      <c r="S2236" s="97"/>
      <c r="T2236" s="97"/>
      <c r="U2236" s="25"/>
      <c r="V2236" s="25"/>
      <c r="W2236" s="25"/>
      <c r="X2236" s="25"/>
      <c r="Y2236" s="25"/>
      <c r="Z2236" s="25"/>
    </row>
    <row r="2237" spans="19:26" x14ac:dyDescent="0.35">
      <c r="S2237" s="97"/>
      <c r="T2237" s="97"/>
      <c r="U2237" s="25"/>
      <c r="V2237" s="25"/>
      <c r="W2237" s="25"/>
      <c r="X2237" s="25"/>
      <c r="Y2237" s="25"/>
      <c r="Z2237" s="25"/>
    </row>
    <row r="2238" spans="19:26" x14ac:dyDescent="0.35">
      <c r="S2238" s="97"/>
      <c r="T2238" s="97"/>
      <c r="U2238" s="25"/>
      <c r="V2238" s="25"/>
      <c r="W2238" s="25"/>
      <c r="X2238" s="25"/>
      <c r="Y2238" s="25"/>
      <c r="Z2238" s="25"/>
    </row>
    <row r="2239" spans="19:26" x14ac:dyDescent="0.35">
      <c r="S2239" s="97"/>
      <c r="T2239" s="97"/>
      <c r="U2239" s="25"/>
      <c r="V2239" s="25"/>
      <c r="W2239" s="25"/>
      <c r="X2239" s="25"/>
      <c r="Y2239" s="25"/>
      <c r="Z2239" s="25"/>
    </row>
    <row r="2240" spans="19:26" x14ac:dyDescent="0.35">
      <c r="S2240" s="97"/>
      <c r="T2240" s="97"/>
      <c r="U2240" s="25"/>
      <c r="V2240" s="25"/>
      <c r="W2240" s="25"/>
      <c r="X2240" s="25"/>
      <c r="Y2240" s="25"/>
      <c r="Z2240" s="25"/>
    </row>
    <row r="2241" spans="19:26" x14ac:dyDescent="0.35">
      <c r="S2241" s="97"/>
      <c r="T2241" s="97"/>
      <c r="U2241" s="25"/>
      <c r="V2241" s="25"/>
      <c r="W2241" s="25"/>
      <c r="X2241" s="25"/>
      <c r="Y2241" s="25"/>
      <c r="Z2241" s="25"/>
    </row>
    <row r="2242" spans="19:26" x14ac:dyDescent="0.35">
      <c r="S2242" s="97"/>
      <c r="T2242" s="97"/>
      <c r="U2242" s="25"/>
      <c r="V2242" s="25"/>
      <c r="W2242" s="25"/>
      <c r="X2242" s="25"/>
      <c r="Y2242" s="25"/>
      <c r="Z2242" s="25"/>
    </row>
    <row r="2243" spans="19:26" x14ac:dyDescent="0.35">
      <c r="S2243" s="97"/>
      <c r="T2243" s="97"/>
      <c r="U2243" s="25"/>
      <c r="V2243" s="25"/>
      <c r="W2243" s="25"/>
      <c r="X2243" s="25"/>
      <c r="Y2243" s="25"/>
      <c r="Z2243" s="25"/>
    </row>
    <row r="2244" spans="19:26" x14ac:dyDescent="0.35">
      <c r="S2244" s="97"/>
      <c r="T2244" s="97"/>
      <c r="U2244" s="25"/>
      <c r="V2244" s="25"/>
      <c r="W2244" s="25"/>
      <c r="X2244" s="25"/>
      <c r="Y2244" s="25"/>
      <c r="Z2244" s="25"/>
    </row>
    <row r="2245" spans="19:26" x14ac:dyDescent="0.35">
      <c r="S2245" s="97"/>
      <c r="T2245" s="97"/>
      <c r="U2245" s="25"/>
      <c r="V2245" s="25"/>
      <c r="W2245" s="25"/>
      <c r="X2245" s="25"/>
      <c r="Y2245" s="25"/>
      <c r="Z2245" s="25"/>
    </row>
    <row r="2246" spans="19:26" x14ac:dyDescent="0.35">
      <c r="S2246" s="97"/>
      <c r="T2246" s="97"/>
      <c r="U2246" s="25"/>
      <c r="V2246" s="25"/>
      <c r="W2246" s="25"/>
      <c r="X2246" s="25"/>
      <c r="Y2246" s="25"/>
      <c r="Z2246" s="25"/>
    </row>
    <row r="2247" spans="19:26" x14ac:dyDescent="0.35">
      <c r="S2247" s="97"/>
      <c r="T2247" s="97"/>
      <c r="U2247" s="25"/>
      <c r="V2247" s="25"/>
      <c r="W2247" s="25"/>
      <c r="X2247" s="25"/>
      <c r="Y2247" s="25"/>
      <c r="Z2247" s="25"/>
    </row>
    <row r="2248" spans="19:26" x14ac:dyDescent="0.35">
      <c r="S2248" s="97"/>
      <c r="T2248" s="97"/>
      <c r="U2248" s="25"/>
      <c r="V2248" s="25"/>
      <c r="W2248" s="25"/>
      <c r="X2248" s="25"/>
      <c r="Y2248" s="25"/>
      <c r="Z2248" s="25"/>
    </row>
    <row r="2249" spans="19:26" x14ac:dyDescent="0.35">
      <c r="S2249" s="97"/>
      <c r="T2249" s="97"/>
      <c r="U2249" s="25"/>
      <c r="V2249" s="25"/>
      <c r="W2249" s="25"/>
      <c r="X2249" s="25"/>
      <c r="Y2249" s="25"/>
      <c r="Z2249" s="25"/>
    </row>
    <row r="2250" spans="19:26" x14ac:dyDescent="0.35">
      <c r="S2250" s="97"/>
      <c r="T2250" s="97"/>
      <c r="U2250" s="25"/>
      <c r="V2250" s="25"/>
      <c r="W2250" s="25"/>
      <c r="X2250" s="25"/>
      <c r="Y2250" s="25"/>
      <c r="Z2250" s="25"/>
    </row>
    <row r="2251" spans="19:26" x14ac:dyDescent="0.35">
      <c r="S2251" s="97"/>
      <c r="T2251" s="97"/>
      <c r="U2251" s="25"/>
      <c r="V2251" s="25"/>
      <c r="W2251" s="25"/>
      <c r="X2251" s="25"/>
      <c r="Y2251" s="25"/>
      <c r="Z2251" s="25"/>
    </row>
    <row r="2252" spans="19:26" x14ac:dyDescent="0.35">
      <c r="S2252" s="97"/>
      <c r="T2252" s="97"/>
      <c r="U2252" s="25"/>
      <c r="V2252" s="25"/>
      <c r="W2252" s="25"/>
      <c r="X2252" s="25"/>
      <c r="Y2252" s="25"/>
      <c r="Z2252" s="25"/>
    </row>
    <row r="2253" spans="19:26" x14ac:dyDescent="0.35">
      <c r="S2253" s="97"/>
      <c r="T2253" s="97"/>
      <c r="U2253" s="25"/>
      <c r="V2253" s="25"/>
      <c r="W2253" s="25"/>
      <c r="X2253" s="25"/>
      <c r="Y2253" s="25"/>
      <c r="Z2253" s="25"/>
    </row>
    <row r="2254" spans="19:26" x14ac:dyDescent="0.35">
      <c r="S2254" s="97"/>
      <c r="T2254" s="97"/>
      <c r="U2254" s="25"/>
      <c r="V2254" s="25"/>
      <c r="W2254" s="25"/>
      <c r="X2254" s="25"/>
      <c r="Y2254" s="25"/>
      <c r="Z2254" s="25"/>
    </row>
    <row r="2255" spans="19:26" x14ac:dyDescent="0.35">
      <c r="S2255" s="97"/>
      <c r="T2255" s="97"/>
      <c r="U2255" s="25"/>
      <c r="V2255" s="25"/>
      <c r="W2255" s="25"/>
      <c r="X2255" s="25"/>
      <c r="Y2255" s="25"/>
      <c r="Z2255" s="25"/>
    </row>
    <row r="2256" spans="19:26" x14ac:dyDescent="0.35">
      <c r="S2256" s="97"/>
      <c r="T2256" s="97"/>
      <c r="U2256" s="25"/>
      <c r="V2256" s="25"/>
      <c r="W2256" s="25"/>
      <c r="X2256" s="25"/>
      <c r="Y2256" s="25"/>
      <c r="Z2256" s="25"/>
    </row>
    <row r="2257" spans="19:26" x14ac:dyDescent="0.35">
      <c r="S2257" s="97"/>
      <c r="T2257" s="97"/>
      <c r="U2257" s="25"/>
      <c r="V2257" s="25"/>
      <c r="W2257" s="25"/>
      <c r="X2257" s="25"/>
      <c r="Y2257" s="25"/>
      <c r="Z2257" s="25"/>
    </row>
    <row r="2258" spans="19:26" x14ac:dyDescent="0.35">
      <c r="S2258" s="97"/>
      <c r="T2258" s="97"/>
      <c r="U2258" s="25"/>
      <c r="V2258" s="25"/>
      <c r="W2258" s="25"/>
      <c r="X2258" s="25"/>
      <c r="Y2258" s="25"/>
      <c r="Z2258" s="25"/>
    </row>
    <row r="2259" spans="19:26" x14ac:dyDescent="0.35">
      <c r="S2259" s="97"/>
      <c r="T2259" s="97"/>
      <c r="U2259" s="25"/>
      <c r="V2259" s="25"/>
      <c r="W2259" s="25"/>
      <c r="X2259" s="25"/>
      <c r="Y2259" s="25"/>
      <c r="Z2259" s="25"/>
    </row>
    <row r="2260" spans="19:26" x14ac:dyDescent="0.35">
      <c r="S2260" s="97"/>
      <c r="T2260" s="97"/>
      <c r="U2260" s="25"/>
      <c r="V2260" s="25"/>
      <c r="W2260" s="25"/>
      <c r="X2260" s="25"/>
      <c r="Y2260" s="25"/>
      <c r="Z2260" s="25"/>
    </row>
    <row r="2261" spans="19:26" x14ac:dyDescent="0.35">
      <c r="S2261" s="97"/>
      <c r="T2261" s="97"/>
      <c r="U2261" s="25"/>
      <c r="V2261" s="25"/>
      <c r="W2261" s="25"/>
      <c r="X2261" s="25"/>
      <c r="Y2261" s="25"/>
      <c r="Z2261" s="25"/>
    </row>
    <row r="2262" spans="19:26" x14ac:dyDescent="0.35">
      <c r="S2262" s="97"/>
      <c r="T2262" s="97"/>
      <c r="U2262" s="25"/>
      <c r="V2262" s="25"/>
      <c r="W2262" s="25"/>
      <c r="X2262" s="25"/>
      <c r="Y2262" s="25"/>
      <c r="Z2262" s="25"/>
    </row>
    <row r="2263" spans="19:26" x14ac:dyDescent="0.35">
      <c r="S2263" s="97"/>
      <c r="T2263" s="97"/>
      <c r="U2263" s="25"/>
      <c r="V2263" s="25"/>
      <c r="W2263" s="25"/>
      <c r="X2263" s="25"/>
      <c r="Y2263" s="25"/>
      <c r="Z2263" s="25"/>
    </row>
    <row r="2264" spans="19:26" x14ac:dyDescent="0.35">
      <c r="S2264" s="97"/>
      <c r="T2264" s="97"/>
      <c r="U2264" s="25"/>
      <c r="V2264" s="25"/>
      <c r="W2264" s="25"/>
      <c r="X2264" s="25"/>
      <c r="Y2264" s="25"/>
      <c r="Z2264" s="25"/>
    </row>
    <row r="2265" spans="19:26" x14ac:dyDescent="0.35">
      <c r="S2265" s="97"/>
      <c r="T2265" s="97"/>
      <c r="U2265" s="25"/>
      <c r="V2265" s="25"/>
      <c r="W2265" s="25"/>
      <c r="X2265" s="25"/>
      <c r="Y2265" s="25"/>
      <c r="Z2265" s="25"/>
    </row>
    <row r="2266" spans="19:26" x14ac:dyDescent="0.35">
      <c r="S2266" s="97"/>
      <c r="T2266" s="97"/>
      <c r="U2266" s="25"/>
      <c r="V2266" s="25"/>
      <c r="W2266" s="25"/>
      <c r="X2266" s="25"/>
      <c r="Y2266" s="25"/>
      <c r="Z2266" s="25"/>
    </row>
    <row r="2267" spans="19:26" x14ac:dyDescent="0.35">
      <c r="S2267" s="97"/>
      <c r="T2267" s="97"/>
      <c r="U2267" s="25"/>
      <c r="V2267" s="25"/>
      <c r="W2267" s="25"/>
      <c r="X2267" s="25"/>
      <c r="Y2267" s="25"/>
      <c r="Z2267" s="25"/>
    </row>
    <row r="2268" spans="19:26" x14ac:dyDescent="0.35">
      <c r="S2268" s="97"/>
      <c r="T2268" s="97"/>
      <c r="U2268" s="25"/>
      <c r="V2268" s="25"/>
      <c r="W2268" s="25"/>
      <c r="X2268" s="25"/>
      <c r="Y2268" s="25"/>
      <c r="Z2268" s="25"/>
    </row>
    <row r="2269" spans="19:26" x14ac:dyDescent="0.35">
      <c r="S2269" s="97"/>
      <c r="T2269" s="97"/>
      <c r="U2269" s="25"/>
      <c r="V2269" s="25"/>
      <c r="W2269" s="25"/>
      <c r="X2269" s="25"/>
      <c r="Y2269" s="25"/>
      <c r="Z2269" s="25"/>
    </row>
    <row r="2270" spans="19:26" x14ac:dyDescent="0.35">
      <c r="S2270" s="97"/>
      <c r="T2270" s="97"/>
      <c r="U2270" s="25"/>
      <c r="V2270" s="25"/>
      <c r="W2270" s="25"/>
      <c r="X2270" s="25"/>
      <c r="Y2270" s="25"/>
      <c r="Z2270" s="25"/>
    </row>
    <row r="2271" spans="19:26" x14ac:dyDescent="0.35">
      <c r="S2271" s="97"/>
      <c r="T2271" s="97"/>
      <c r="U2271" s="25"/>
      <c r="V2271" s="25"/>
      <c r="W2271" s="25"/>
      <c r="X2271" s="25"/>
      <c r="Y2271" s="25"/>
      <c r="Z2271" s="25"/>
    </row>
    <row r="2272" spans="19:26" x14ac:dyDescent="0.35">
      <c r="S2272" s="97"/>
      <c r="T2272" s="97"/>
      <c r="U2272" s="25"/>
      <c r="V2272" s="25"/>
      <c r="W2272" s="25"/>
      <c r="X2272" s="25"/>
      <c r="Y2272" s="25"/>
      <c r="Z2272" s="25"/>
    </row>
    <row r="2273" spans="19:26" x14ac:dyDescent="0.35">
      <c r="S2273" s="97"/>
      <c r="T2273" s="97"/>
      <c r="U2273" s="25"/>
      <c r="V2273" s="25"/>
      <c r="W2273" s="25"/>
      <c r="X2273" s="25"/>
      <c r="Y2273" s="25"/>
      <c r="Z2273" s="25"/>
    </row>
    <row r="2274" spans="19:26" x14ac:dyDescent="0.35">
      <c r="S2274" s="97"/>
      <c r="T2274" s="97"/>
      <c r="U2274" s="25"/>
      <c r="V2274" s="25"/>
      <c r="W2274" s="25"/>
      <c r="X2274" s="25"/>
      <c r="Y2274" s="25"/>
      <c r="Z2274" s="25"/>
    </row>
    <row r="2275" spans="19:26" x14ac:dyDescent="0.35">
      <c r="S2275" s="97"/>
      <c r="T2275" s="97"/>
      <c r="U2275" s="25"/>
      <c r="V2275" s="25"/>
      <c r="W2275" s="25"/>
      <c r="X2275" s="25"/>
      <c r="Y2275" s="25"/>
      <c r="Z2275" s="25"/>
    </row>
    <row r="2276" spans="19:26" x14ac:dyDescent="0.35">
      <c r="S2276" s="97"/>
      <c r="T2276" s="97"/>
      <c r="U2276" s="25"/>
      <c r="V2276" s="25"/>
      <c r="W2276" s="25"/>
      <c r="X2276" s="25"/>
      <c r="Y2276" s="25"/>
      <c r="Z2276" s="25"/>
    </row>
    <row r="2277" spans="19:26" x14ac:dyDescent="0.35">
      <c r="S2277" s="97"/>
      <c r="T2277" s="97"/>
      <c r="U2277" s="25"/>
      <c r="V2277" s="25"/>
      <c r="W2277" s="25"/>
      <c r="X2277" s="25"/>
      <c r="Y2277" s="25"/>
      <c r="Z2277" s="25"/>
    </row>
    <row r="2278" spans="19:26" x14ac:dyDescent="0.35">
      <c r="S2278" s="97"/>
      <c r="T2278" s="97"/>
      <c r="U2278" s="25"/>
      <c r="V2278" s="25"/>
      <c r="W2278" s="25"/>
      <c r="X2278" s="25"/>
      <c r="Y2278" s="25"/>
      <c r="Z2278" s="25"/>
    </row>
    <row r="2279" spans="19:26" x14ac:dyDescent="0.35">
      <c r="S2279" s="97"/>
      <c r="T2279" s="97"/>
      <c r="U2279" s="25"/>
      <c r="V2279" s="25"/>
      <c r="W2279" s="25"/>
      <c r="X2279" s="25"/>
      <c r="Y2279" s="25"/>
      <c r="Z2279" s="25"/>
    </row>
    <row r="2280" spans="19:26" x14ac:dyDescent="0.35">
      <c r="S2280" s="97"/>
      <c r="T2280" s="97"/>
      <c r="U2280" s="25"/>
      <c r="V2280" s="25"/>
      <c r="W2280" s="25"/>
      <c r="X2280" s="25"/>
      <c r="Y2280" s="25"/>
      <c r="Z2280" s="25"/>
    </row>
    <row r="2281" spans="19:26" x14ac:dyDescent="0.35">
      <c r="S2281" s="97"/>
      <c r="T2281" s="97"/>
      <c r="U2281" s="25"/>
      <c r="V2281" s="25"/>
      <c r="W2281" s="25"/>
      <c r="X2281" s="25"/>
      <c r="Y2281" s="25"/>
      <c r="Z2281" s="25"/>
    </row>
    <row r="2282" spans="19:26" x14ac:dyDescent="0.35">
      <c r="S2282" s="97"/>
      <c r="T2282" s="97"/>
      <c r="U2282" s="25"/>
      <c r="V2282" s="25"/>
      <c r="W2282" s="25"/>
      <c r="X2282" s="25"/>
      <c r="Y2282" s="25"/>
      <c r="Z2282" s="25"/>
    </row>
    <row r="2283" spans="19:26" x14ac:dyDescent="0.35">
      <c r="S2283" s="97"/>
      <c r="T2283" s="97"/>
      <c r="U2283" s="25"/>
      <c r="V2283" s="25"/>
      <c r="W2283" s="25"/>
      <c r="X2283" s="25"/>
      <c r="Y2283" s="25"/>
      <c r="Z2283" s="25"/>
    </row>
    <row r="2284" spans="19:26" x14ac:dyDescent="0.35">
      <c r="S2284" s="97"/>
      <c r="T2284" s="97"/>
      <c r="U2284" s="25"/>
      <c r="V2284" s="25"/>
      <c r="W2284" s="25"/>
      <c r="X2284" s="25"/>
      <c r="Y2284" s="25"/>
      <c r="Z2284" s="25"/>
    </row>
    <row r="2285" spans="19:26" x14ac:dyDescent="0.35">
      <c r="S2285" s="97"/>
      <c r="T2285" s="97"/>
      <c r="U2285" s="25"/>
      <c r="V2285" s="25"/>
      <c r="W2285" s="25"/>
      <c r="X2285" s="25"/>
      <c r="Y2285" s="25"/>
      <c r="Z2285" s="25"/>
    </row>
    <row r="2286" spans="19:26" x14ac:dyDescent="0.35">
      <c r="S2286" s="97"/>
      <c r="T2286" s="97"/>
      <c r="U2286" s="25"/>
      <c r="V2286" s="25"/>
      <c r="W2286" s="25"/>
      <c r="X2286" s="25"/>
      <c r="Y2286" s="25"/>
      <c r="Z2286" s="25"/>
    </row>
    <row r="2287" spans="19:26" x14ac:dyDescent="0.35">
      <c r="S2287" s="97"/>
      <c r="T2287" s="97"/>
      <c r="U2287" s="25"/>
      <c r="V2287" s="25"/>
      <c r="W2287" s="25"/>
      <c r="X2287" s="25"/>
      <c r="Y2287" s="25"/>
      <c r="Z2287" s="25"/>
    </row>
    <row r="2288" spans="19:26" x14ac:dyDescent="0.35">
      <c r="S2288" s="97"/>
      <c r="T2288" s="97"/>
      <c r="U2288" s="25"/>
      <c r="V2288" s="25"/>
      <c r="W2288" s="25"/>
      <c r="X2288" s="25"/>
      <c r="Y2288" s="25"/>
      <c r="Z2288" s="25"/>
    </row>
    <row r="2289" spans="19:26" x14ac:dyDescent="0.35">
      <c r="S2289" s="97"/>
      <c r="T2289" s="97"/>
      <c r="U2289" s="25"/>
      <c r="V2289" s="25"/>
      <c r="W2289" s="25"/>
      <c r="X2289" s="25"/>
      <c r="Y2289" s="25"/>
      <c r="Z2289" s="25"/>
    </row>
    <row r="2290" spans="19:26" x14ac:dyDescent="0.35">
      <c r="S2290" s="97"/>
      <c r="T2290" s="97"/>
      <c r="U2290" s="25"/>
      <c r="V2290" s="25"/>
      <c r="W2290" s="25"/>
      <c r="X2290" s="25"/>
      <c r="Y2290" s="25"/>
      <c r="Z2290" s="25"/>
    </row>
    <row r="2291" spans="19:26" x14ac:dyDescent="0.35">
      <c r="S2291" s="97"/>
      <c r="T2291" s="97"/>
      <c r="U2291" s="25"/>
      <c r="V2291" s="25"/>
      <c r="W2291" s="25"/>
      <c r="X2291" s="25"/>
      <c r="Y2291" s="25"/>
      <c r="Z2291" s="25"/>
    </row>
    <row r="2292" spans="19:26" x14ac:dyDescent="0.35">
      <c r="S2292" s="97"/>
      <c r="T2292" s="97"/>
      <c r="U2292" s="25"/>
      <c r="V2292" s="25"/>
      <c r="W2292" s="25"/>
      <c r="X2292" s="25"/>
      <c r="Y2292" s="25"/>
      <c r="Z2292" s="25"/>
    </row>
    <row r="2293" spans="19:26" x14ac:dyDescent="0.35">
      <c r="S2293" s="97"/>
      <c r="T2293" s="97"/>
      <c r="U2293" s="25"/>
      <c r="V2293" s="25"/>
      <c r="W2293" s="25"/>
      <c r="X2293" s="25"/>
      <c r="Y2293" s="25"/>
      <c r="Z2293" s="25"/>
    </row>
    <row r="2294" spans="19:26" x14ac:dyDescent="0.35">
      <c r="S2294" s="97"/>
      <c r="T2294" s="97"/>
      <c r="U2294" s="25"/>
      <c r="V2294" s="25"/>
      <c r="W2294" s="25"/>
      <c r="X2294" s="25"/>
      <c r="Y2294" s="25"/>
      <c r="Z2294" s="25"/>
    </row>
    <row r="2295" spans="19:26" x14ac:dyDescent="0.35">
      <c r="S2295" s="97"/>
      <c r="T2295" s="97"/>
      <c r="U2295" s="25"/>
      <c r="V2295" s="25"/>
      <c r="W2295" s="25"/>
      <c r="X2295" s="25"/>
      <c r="Y2295" s="25"/>
      <c r="Z2295" s="25"/>
    </row>
    <row r="2296" spans="19:26" x14ac:dyDescent="0.35">
      <c r="S2296" s="97"/>
      <c r="T2296" s="97"/>
      <c r="U2296" s="25"/>
      <c r="V2296" s="25"/>
      <c r="W2296" s="25"/>
      <c r="X2296" s="25"/>
      <c r="Y2296" s="25"/>
      <c r="Z2296" s="25"/>
    </row>
    <row r="2297" spans="19:26" x14ac:dyDescent="0.35">
      <c r="S2297" s="97"/>
      <c r="T2297" s="97"/>
      <c r="U2297" s="25"/>
      <c r="V2297" s="25"/>
      <c r="W2297" s="25"/>
      <c r="X2297" s="25"/>
      <c r="Y2297" s="25"/>
      <c r="Z2297" s="25"/>
    </row>
    <row r="2298" spans="19:26" x14ac:dyDescent="0.35">
      <c r="S2298" s="97"/>
      <c r="T2298" s="97"/>
      <c r="U2298" s="25"/>
      <c r="V2298" s="25"/>
      <c r="W2298" s="25"/>
      <c r="X2298" s="25"/>
      <c r="Y2298" s="25"/>
      <c r="Z2298" s="25"/>
    </row>
    <row r="2299" spans="19:26" x14ac:dyDescent="0.35">
      <c r="S2299" s="97"/>
      <c r="T2299" s="97"/>
      <c r="U2299" s="25"/>
      <c r="V2299" s="25"/>
      <c r="W2299" s="25"/>
      <c r="X2299" s="25"/>
      <c r="Y2299" s="25"/>
      <c r="Z2299" s="25"/>
    </row>
    <row r="2300" spans="19:26" x14ac:dyDescent="0.35">
      <c r="S2300" s="97"/>
      <c r="T2300" s="97"/>
      <c r="U2300" s="25"/>
      <c r="V2300" s="25"/>
      <c r="W2300" s="25"/>
      <c r="X2300" s="25"/>
      <c r="Y2300" s="25"/>
      <c r="Z2300" s="25"/>
    </row>
    <row r="2301" spans="19:26" x14ac:dyDescent="0.35">
      <c r="S2301" s="97"/>
      <c r="T2301" s="97"/>
      <c r="U2301" s="25"/>
      <c r="V2301" s="25"/>
      <c r="W2301" s="25"/>
      <c r="X2301" s="25"/>
      <c r="Y2301" s="25"/>
      <c r="Z2301" s="25"/>
    </row>
    <row r="2302" spans="19:26" x14ac:dyDescent="0.35">
      <c r="S2302" s="97"/>
      <c r="T2302" s="97"/>
      <c r="U2302" s="25"/>
      <c r="V2302" s="25"/>
      <c r="W2302" s="25"/>
      <c r="X2302" s="25"/>
      <c r="Y2302" s="25"/>
      <c r="Z2302" s="25"/>
    </row>
    <row r="2303" spans="19:26" x14ac:dyDescent="0.35">
      <c r="S2303" s="97"/>
      <c r="T2303" s="97"/>
      <c r="U2303" s="25"/>
      <c r="V2303" s="25"/>
      <c r="W2303" s="25"/>
      <c r="X2303" s="25"/>
      <c r="Y2303" s="25"/>
      <c r="Z2303" s="25"/>
    </row>
    <row r="2304" spans="19:26" x14ac:dyDescent="0.35">
      <c r="S2304" s="97"/>
      <c r="T2304" s="97"/>
      <c r="U2304" s="25"/>
      <c r="V2304" s="25"/>
      <c r="W2304" s="25"/>
      <c r="X2304" s="25"/>
      <c r="Y2304" s="25"/>
      <c r="Z2304" s="25"/>
    </row>
    <row r="2305" spans="19:26" x14ac:dyDescent="0.35">
      <c r="S2305" s="97"/>
      <c r="T2305" s="97"/>
      <c r="U2305" s="25"/>
      <c r="V2305" s="25"/>
      <c r="W2305" s="25"/>
      <c r="X2305" s="25"/>
      <c r="Y2305" s="25"/>
      <c r="Z2305" s="25"/>
    </row>
    <row r="2306" spans="19:26" x14ac:dyDescent="0.35">
      <c r="S2306" s="97"/>
      <c r="T2306" s="97"/>
      <c r="U2306" s="25"/>
      <c r="V2306" s="25"/>
      <c r="W2306" s="25"/>
      <c r="X2306" s="25"/>
      <c r="Y2306" s="25"/>
      <c r="Z2306" s="25"/>
    </row>
    <row r="2307" spans="19:26" x14ac:dyDescent="0.35">
      <c r="S2307" s="97"/>
      <c r="T2307" s="97"/>
      <c r="U2307" s="25"/>
      <c r="V2307" s="25"/>
      <c r="W2307" s="25"/>
      <c r="X2307" s="25"/>
      <c r="Y2307" s="25"/>
      <c r="Z2307" s="25"/>
    </row>
    <row r="2308" spans="19:26" x14ac:dyDescent="0.35">
      <c r="S2308" s="97"/>
      <c r="T2308" s="97"/>
      <c r="U2308" s="25"/>
      <c r="V2308" s="25"/>
      <c r="W2308" s="25"/>
      <c r="X2308" s="25"/>
      <c r="Y2308" s="25"/>
      <c r="Z2308" s="25"/>
    </row>
    <row r="2309" spans="19:26" x14ac:dyDescent="0.35">
      <c r="S2309" s="97"/>
      <c r="T2309" s="97"/>
      <c r="U2309" s="25"/>
      <c r="V2309" s="25"/>
      <c r="W2309" s="25"/>
      <c r="X2309" s="25"/>
      <c r="Y2309" s="25"/>
      <c r="Z2309" s="25"/>
    </row>
    <row r="2310" spans="19:26" x14ac:dyDescent="0.35">
      <c r="S2310" s="97"/>
      <c r="T2310" s="97"/>
      <c r="U2310" s="25"/>
      <c r="V2310" s="25"/>
      <c r="W2310" s="25"/>
      <c r="X2310" s="25"/>
      <c r="Y2310" s="25"/>
      <c r="Z2310" s="25"/>
    </row>
    <row r="2311" spans="19:26" x14ac:dyDescent="0.35">
      <c r="S2311" s="97"/>
      <c r="T2311" s="97"/>
      <c r="U2311" s="25"/>
      <c r="V2311" s="25"/>
      <c r="W2311" s="25"/>
      <c r="X2311" s="25"/>
      <c r="Y2311" s="25"/>
      <c r="Z2311" s="25"/>
    </row>
    <row r="2312" spans="19:26" x14ac:dyDescent="0.35">
      <c r="S2312" s="97"/>
      <c r="T2312" s="97"/>
      <c r="U2312" s="25"/>
      <c r="V2312" s="25"/>
      <c r="W2312" s="25"/>
      <c r="X2312" s="25"/>
      <c r="Y2312" s="25"/>
      <c r="Z2312" s="25"/>
    </row>
    <row r="2313" spans="19:26" x14ac:dyDescent="0.35">
      <c r="S2313" s="97"/>
      <c r="T2313" s="97"/>
      <c r="U2313" s="25"/>
      <c r="V2313" s="25"/>
      <c r="W2313" s="25"/>
      <c r="X2313" s="25"/>
      <c r="Y2313" s="25"/>
      <c r="Z2313" s="25"/>
    </row>
    <row r="2314" spans="19:26" x14ac:dyDescent="0.35">
      <c r="S2314" s="97"/>
      <c r="T2314" s="97"/>
      <c r="U2314" s="25"/>
      <c r="V2314" s="25"/>
      <c r="W2314" s="25"/>
      <c r="X2314" s="25"/>
      <c r="Y2314" s="25"/>
      <c r="Z2314" s="25"/>
    </row>
    <row r="2315" spans="19:26" x14ac:dyDescent="0.35">
      <c r="S2315" s="97"/>
      <c r="T2315" s="97"/>
      <c r="U2315" s="25"/>
      <c r="V2315" s="25"/>
      <c r="W2315" s="25"/>
      <c r="X2315" s="25"/>
      <c r="Y2315" s="25"/>
      <c r="Z2315" s="25"/>
    </row>
    <row r="2316" spans="19:26" x14ac:dyDescent="0.35">
      <c r="S2316" s="97"/>
      <c r="T2316" s="97"/>
      <c r="U2316" s="25"/>
      <c r="V2316" s="25"/>
      <c r="W2316" s="25"/>
      <c r="X2316" s="25"/>
      <c r="Y2316" s="25"/>
      <c r="Z2316" s="25"/>
    </row>
    <row r="2317" spans="19:26" x14ac:dyDescent="0.35">
      <c r="S2317" s="97"/>
      <c r="T2317" s="97"/>
      <c r="U2317" s="25"/>
      <c r="V2317" s="25"/>
      <c r="W2317" s="25"/>
      <c r="X2317" s="25"/>
      <c r="Y2317" s="25"/>
      <c r="Z2317" s="25"/>
    </row>
    <row r="2318" spans="19:26" x14ac:dyDescent="0.35">
      <c r="S2318" s="97"/>
      <c r="T2318" s="97"/>
      <c r="U2318" s="25"/>
      <c r="V2318" s="25"/>
      <c r="W2318" s="25"/>
      <c r="X2318" s="25"/>
      <c r="Y2318" s="25"/>
      <c r="Z2318" s="25"/>
    </row>
    <row r="2319" spans="19:26" x14ac:dyDescent="0.35">
      <c r="S2319" s="97"/>
      <c r="T2319" s="97"/>
      <c r="U2319" s="25"/>
      <c r="V2319" s="25"/>
      <c r="W2319" s="25"/>
      <c r="X2319" s="25"/>
      <c r="Y2319" s="25"/>
      <c r="Z2319" s="25"/>
    </row>
    <row r="2320" spans="19:26" x14ac:dyDescent="0.35">
      <c r="S2320" s="97"/>
      <c r="T2320" s="97"/>
      <c r="U2320" s="25"/>
      <c r="V2320" s="25"/>
      <c r="W2320" s="25"/>
      <c r="X2320" s="25"/>
      <c r="Y2320" s="25"/>
      <c r="Z2320" s="25"/>
    </row>
    <row r="2321" spans="19:26" x14ac:dyDescent="0.35">
      <c r="S2321" s="97"/>
      <c r="T2321" s="97"/>
      <c r="U2321" s="25"/>
      <c r="V2321" s="25"/>
      <c r="W2321" s="25"/>
      <c r="X2321" s="25"/>
      <c r="Y2321" s="25"/>
      <c r="Z2321" s="25"/>
    </row>
    <row r="2322" spans="19:26" x14ac:dyDescent="0.35">
      <c r="S2322" s="97"/>
      <c r="T2322" s="97"/>
      <c r="U2322" s="25"/>
      <c r="V2322" s="25"/>
      <c r="W2322" s="25"/>
      <c r="X2322" s="25"/>
      <c r="Y2322" s="25"/>
      <c r="Z2322" s="25"/>
    </row>
    <row r="2323" spans="19:26" x14ac:dyDescent="0.35">
      <c r="S2323" s="97"/>
      <c r="T2323" s="97"/>
      <c r="U2323" s="25"/>
      <c r="V2323" s="25"/>
      <c r="W2323" s="25"/>
      <c r="X2323" s="25"/>
      <c r="Y2323" s="25"/>
      <c r="Z2323" s="25"/>
    </row>
    <row r="2324" spans="19:26" x14ac:dyDescent="0.35">
      <c r="S2324" s="97"/>
      <c r="T2324" s="97"/>
      <c r="U2324" s="25"/>
      <c r="V2324" s="25"/>
      <c r="W2324" s="25"/>
      <c r="X2324" s="25"/>
      <c r="Y2324" s="25"/>
      <c r="Z2324" s="25"/>
    </row>
    <row r="2325" spans="19:26" x14ac:dyDescent="0.35">
      <c r="S2325" s="97"/>
      <c r="T2325" s="97"/>
      <c r="U2325" s="25"/>
      <c r="V2325" s="25"/>
      <c r="W2325" s="25"/>
      <c r="X2325" s="25"/>
      <c r="Y2325" s="25"/>
      <c r="Z2325" s="25"/>
    </row>
    <row r="2326" spans="19:26" x14ac:dyDescent="0.35">
      <c r="S2326" s="97"/>
      <c r="T2326" s="97"/>
      <c r="U2326" s="25"/>
      <c r="V2326" s="25"/>
      <c r="W2326" s="25"/>
      <c r="X2326" s="25"/>
      <c r="Y2326" s="25"/>
      <c r="Z2326" s="25"/>
    </row>
    <row r="2327" spans="19:26" x14ac:dyDescent="0.35">
      <c r="S2327" s="97"/>
      <c r="T2327" s="97"/>
      <c r="U2327" s="25"/>
      <c r="V2327" s="25"/>
      <c r="W2327" s="25"/>
      <c r="X2327" s="25"/>
      <c r="Y2327" s="25"/>
      <c r="Z2327" s="25"/>
    </row>
    <row r="2328" spans="19:26" x14ac:dyDescent="0.35">
      <c r="S2328" s="97"/>
      <c r="T2328" s="97"/>
      <c r="U2328" s="25"/>
      <c r="V2328" s="25"/>
      <c r="W2328" s="25"/>
      <c r="X2328" s="25"/>
      <c r="Y2328" s="25"/>
      <c r="Z2328" s="25"/>
    </row>
    <row r="2329" spans="19:26" x14ac:dyDescent="0.35">
      <c r="S2329" s="97"/>
      <c r="T2329" s="97"/>
      <c r="U2329" s="25"/>
      <c r="V2329" s="25"/>
      <c r="W2329" s="25"/>
      <c r="X2329" s="25"/>
      <c r="Y2329" s="25"/>
      <c r="Z2329" s="25"/>
    </row>
    <row r="2330" spans="19:26" x14ac:dyDescent="0.35">
      <c r="S2330" s="97"/>
      <c r="T2330" s="97"/>
      <c r="U2330" s="25"/>
      <c r="V2330" s="25"/>
      <c r="W2330" s="25"/>
      <c r="X2330" s="25"/>
      <c r="Y2330" s="25"/>
      <c r="Z2330" s="25"/>
    </row>
    <row r="2331" spans="19:26" x14ac:dyDescent="0.35">
      <c r="S2331" s="97"/>
      <c r="T2331" s="97"/>
      <c r="U2331" s="25"/>
      <c r="V2331" s="25"/>
      <c r="W2331" s="25"/>
      <c r="X2331" s="25"/>
      <c r="Y2331" s="25"/>
      <c r="Z2331" s="25"/>
    </row>
    <row r="2332" spans="19:26" x14ac:dyDescent="0.35">
      <c r="S2332" s="97"/>
      <c r="T2332" s="97"/>
      <c r="U2332" s="25"/>
      <c r="V2332" s="25"/>
      <c r="W2332" s="25"/>
      <c r="X2332" s="25"/>
      <c r="Y2332" s="25"/>
      <c r="Z2332" s="25"/>
    </row>
    <row r="2333" spans="19:26" x14ac:dyDescent="0.35">
      <c r="S2333" s="97"/>
      <c r="T2333" s="97"/>
      <c r="U2333" s="25"/>
      <c r="V2333" s="25"/>
      <c r="W2333" s="25"/>
      <c r="X2333" s="25"/>
      <c r="Y2333" s="25"/>
      <c r="Z2333" s="25"/>
    </row>
    <row r="2334" spans="19:26" x14ac:dyDescent="0.35">
      <c r="S2334" s="97"/>
      <c r="T2334" s="97"/>
      <c r="U2334" s="25"/>
      <c r="V2334" s="25"/>
      <c r="W2334" s="25"/>
      <c r="X2334" s="25"/>
      <c r="Y2334" s="25"/>
      <c r="Z2334" s="25"/>
    </row>
    <row r="2335" spans="19:26" x14ac:dyDescent="0.35">
      <c r="S2335" s="97"/>
      <c r="T2335" s="97"/>
      <c r="U2335" s="25"/>
      <c r="V2335" s="25"/>
      <c r="W2335" s="25"/>
      <c r="X2335" s="25"/>
      <c r="Y2335" s="25"/>
      <c r="Z2335" s="25"/>
    </row>
    <row r="2336" spans="19:26" x14ac:dyDescent="0.35">
      <c r="S2336" s="97"/>
      <c r="T2336" s="97"/>
      <c r="U2336" s="25"/>
      <c r="V2336" s="25"/>
      <c r="W2336" s="25"/>
      <c r="X2336" s="25"/>
      <c r="Y2336" s="25"/>
      <c r="Z2336" s="25"/>
    </row>
    <row r="2337" spans="19:26" x14ac:dyDescent="0.35">
      <c r="S2337" s="97"/>
      <c r="T2337" s="97"/>
      <c r="U2337" s="25"/>
      <c r="V2337" s="25"/>
      <c r="W2337" s="25"/>
      <c r="X2337" s="25"/>
      <c r="Y2337" s="25"/>
      <c r="Z2337" s="25"/>
    </row>
    <row r="2338" spans="19:26" x14ac:dyDescent="0.35">
      <c r="S2338" s="97"/>
      <c r="T2338" s="97"/>
      <c r="U2338" s="25"/>
      <c r="V2338" s="25"/>
      <c r="W2338" s="25"/>
      <c r="X2338" s="25"/>
      <c r="Y2338" s="25"/>
      <c r="Z2338" s="25"/>
    </row>
    <row r="2339" spans="19:26" x14ac:dyDescent="0.35">
      <c r="S2339" s="97"/>
      <c r="T2339" s="97"/>
      <c r="U2339" s="25"/>
      <c r="V2339" s="25"/>
      <c r="W2339" s="25"/>
      <c r="X2339" s="25"/>
      <c r="Y2339" s="25"/>
      <c r="Z2339" s="25"/>
    </row>
    <row r="2340" spans="19:26" x14ac:dyDescent="0.35">
      <c r="S2340" s="97"/>
      <c r="T2340" s="97"/>
      <c r="U2340" s="25"/>
      <c r="V2340" s="25"/>
      <c r="W2340" s="25"/>
      <c r="X2340" s="25"/>
      <c r="Y2340" s="25"/>
      <c r="Z2340" s="25"/>
    </row>
    <row r="2341" spans="19:26" x14ac:dyDescent="0.35">
      <c r="S2341" s="97"/>
      <c r="T2341" s="97"/>
      <c r="U2341" s="25"/>
      <c r="V2341" s="25"/>
      <c r="W2341" s="25"/>
      <c r="X2341" s="25"/>
      <c r="Y2341" s="25"/>
      <c r="Z2341" s="25"/>
    </row>
    <row r="2342" spans="19:26" x14ac:dyDescent="0.35">
      <c r="S2342" s="97"/>
      <c r="T2342" s="97"/>
      <c r="U2342" s="25"/>
      <c r="V2342" s="25"/>
      <c r="W2342" s="25"/>
      <c r="X2342" s="25"/>
      <c r="Y2342" s="25"/>
      <c r="Z2342" s="25"/>
    </row>
    <row r="2343" spans="19:26" x14ac:dyDescent="0.35">
      <c r="S2343" s="97"/>
      <c r="T2343" s="97"/>
      <c r="U2343" s="25"/>
      <c r="V2343" s="25"/>
      <c r="W2343" s="25"/>
      <c r="X2343" s="25"/>
      <c r="Y2343" s="25"/>
      <c r="Z2343" s="25"/>
    </row>
    <row r="2344" spans="19:26" x14ac:dyDescent="0.35">
      <c r="S2344" s="97"/>
      <c r="T2344" s="97"/>
      <c r="U2344" s="25"/>
      <c r="V2344" s="25"/>
      <c r="W2344" s="25"/>
      <c r="X2344" s="25"/>
      <c r="Y2344" s="25"/>
      <c r="Z2344" s="25"/>
    </row>
    <row r="2345" spans="19:26" x14ac:dyDescent="0.35">
      <c r="S2345" s="97"/>
      <c r="T2345" s="97"/>
      <c r="U2345" s="25"/>
      <c r="V2345" s="25"/>
      <c r="W2345" s="25"/>
      <c r="X2345" s="25"/>
      <c r="Y2345" s="25"/>
      <c r="Z2345" s="25"/>
    </row>
    <row r="2346" spans="19:26" x14ac:dyDescent="0.35">
      <c r="S2346" s="97"/>
      <c r="T2346" s="97"/>
      <c r="U2346" s="25"/>
      <c r="V2346" s="25"/>
      <c r="W2346" s="25"/>
      <c r="X2346" s="25"/>
      <c r="Y2346" s="25"/>
      <c r="Z2346" s="25"/>
    </row>
    <row r="2347" spans="19:26" x14ac:dyDescent="0.35">
      <c r="S2347" s="97"/>
      <c r="T2347" s="97"/>
      <c r="U2347" s="25"/>
      <c r="V2347" s="25"/>
      <c r="W2347" s="25"/>
      <c r="X2347" s="25"/>
      <c r="Y2347" s="25"/>
      <c r="Z2347" s="25"/>
    </row>
    <row r="2348" spans="19:26" x14ac:dyDescent="0.35">
      <c r="S2348" s="97"/>
      <c r="T2348" s="97"/>
      <c r="U2348" s="25"/>
      <c r="V2348" s="25"/>
      <c r="W2348" s="25"/>
      <c r="X2348" s="25"/>
      <c r="Y2348" s="25"/>
      <c r="Z2348" s="25"/>
    </row>
    <row r="2349" spans="19:26" x14ac:dyDescent="0.35">
      <c r="S2349" s="97"/>
      <c r="T2349" s="97"/>
      <c r="U2349" s="25"/>
      <c r="V2349" s="25"/>
      <c r="W2349" s="25"/>
      <c r="X2349" s="25"/>
      <c r="Y2349" s="25"/>
      <c r="Z2349" s="25"/>
    </row>
    <row r="2350" spans="19:26" x14ac:dyDescent="0.35">
      <c r="S2350" s="97"/>
      <c r="T2350" s="97"/>
      <c r="U2350" s="25"/>
      <c r="V2350" s="25"/>
      <c r="W2350" s="25"/>
      <c r="X2350" s="25"/>
      <c r="Y2350" s="25"/>
      <c r="Z2350" s="25"/>
    </row>
    <row r="2351" spans="19:26" x14ac:dyDescent="0.35">
      <c r="S2351" s="97"/>
      <c r="T2351" s="97"/>
      <c r="U2351" s="25"/>
      <c r="V2351" s="25"/>
      <c r="W2351" s="25"/>
      <c r="X2351" s="25"/>
      <c r="Y2351" s="25"/>
      <c r="Z2351" s="25"/>
    </row>
    <row r="2352" spans="19:26" x14ac:dyDescent="0.35">
      <c r="S2352" s="97"/>
      <c r="T2352" s="97"/>
      <c r="U2352" s="25"/>
      <c r="V2352" s="25"/>
      <c r="W2352" s="25"/>
      <c r="X2352" s="25"/>
      <c r="Y2352" s="25"/>
      <c r="Z2352" s="25"/>
    </row>
    <row r="2353" spans="19:26" x14ac:dyDescent="0.35">
      <c r="S2353" s="97"/>
      <c r="T2353" s="97"/>
      <c r="U2353" s="25"/>
      <c r="V2353" s="25"/>
      <c r="W2353" s="25"/>
      <c r="X2353" s="25"/>
      <c r="Y2353" s="25"/>
      <c r="Z2353" s="25"/>
    </row>
    <row r="2354" spans="19:26" x14ac:dyDescent="0.35">
      <c r="S2354" s="97"/>
      <c r="T2354" s="97"/>
      <c r="U2354" s="25"/>
      <c r="V2354" s="25"/>
      <c r="W2354" s="25"/>
      <c r="X2354" s="25"/>
      <c r="Y2354" s="25"/>
      <c r="Z2354" s="25"/>
    </row>
    <row r="2355" spans="19:26" x14ac:dyDescent="0.35">
      <c r="S2355" s="97"/>
      <c r="T2355" s="97"/>
      <c r="U2355" s="25"/>
      <c r="V2355" s="25"/>
      <c r="W2355" s="25"/>
      <c r="X2355" s="25"/>
      <c r="Y2355" s="25"/>
      <c r="Z2355" s="25"/>
    </row>
    <row r="2356" spans="19:26" x14ac:dyDescent="0.35">
      <c r="S2356" s="97"/>
      <c r="T2356" s="97"/>
      <c r="U2356" s="25"/>
      <c r="V2356" s="25"/>
      <c r="W2356" s="25"/>
      <c r="X2356" s="25"/>
      <c r="Y2356" s="25"/>
      <c r="Z2356" s="25"/>
    </row>
    <row r="2357" spans="19:26" x14ac:dyDescent="0.35">
      <c r="S2357" s="97"/>
      <c r="T2357" s="97"/>
      <c r="U2357" s="25"/>
      <c r="V2357" s="25"/>
      <c r="W2357" s="25"/>
      <c r="X2357" s="25"/>
      <c r="Y2357" s="25"/>
      <c r="Z2357" s="25"/>
    </row>
    <row r="2358" spans="19:26" x14ac:dyDescent="0.35">
      <c r="S2358" s="97"/>
      <c r="T2358" s="97"/>
      <c r="U2358" s="25"/>
      <c r="V2358" s="25"/>
      <c r="W2358" s="25"/>
      <c r="X2358" s="25"/>
      <c r="Y2358" s="25"/>
      <c r="Z2358" s="25"/>
    </row>
    <row r="2359" spans="19:26" x14ac:dyDescent="0.35">
      <c r="S2359" s="97"/>
      <c r="T2359" s="97"/>
      <c r="U2359" s="25"/>
      <c r="V2359" s="25"/>
      <c r="W2359" s="25"/>
      <c r="X2359" s="25"/>
      <c r="Y2359" s="25"/>
      <c r="Z2359" s="25"/>
    </row>
    <row r="2360" spans="19:26" x14ac:dyDescent="0.35">
      <c r="S2360" s="97"/>
      <c r="T2360" s="97"/>
      <c r="U2360" s="25"/>
      <c r="V2360" s="25"/>
      <c r="W2360" s="25"/>
      <c r="X2360" s="25"/>
      <c r="Y2360" s="25"/>
      <c r="Z2360" s="25"/>
    </row>
    <row r="2361" spans="19:26" x14ac:dyDescent="0.35">
      <c r="S2361" s="97"/>
      <c r="T2361" s="97"/>
      <c r="U2361" s="25"/>
      <c r="V2361" s="25"/>
      <c r="W2361" s="25"/>
      <c r="X2361" s="25"/>
      <c r="Y2361" s="25"/>
      <c r="Z2361" s="25"/>
    </row>
    <row r="2362" spans="19:26" x14ac:dyDescent="0.35">
      <c r="S2362" s="97"/>
      <c r="T2362" s="97"/>
      <c r="U2362" s="25"/>
      <c r="V2362" s="25"/>
      <c r="W2362" s="25"/>
      <c r="X2362" s="25"/>
      <c r="Y2362" s="25"/>
      <c r="Z2362" s="25"/>
    </row>
    <row r="2363" spans="19:26" x14ac:dyDescent="0.35">
      <c r="S2363" s="97"/>
      <c r="T2363" s="97"/>
      <c r="U2363" s="25"/>
      <c r="V2363" s="25"/>
      <c r="W2363" s="25"/>
      <c r="X2363" s="25"/>
      <c r="Y2363" s="25"/>
      <c r="Z2363" s="25"/>
    </row>
    <row r="2364" spans="19:26" x14ac:dyDescent="0.35">
      <c r="S2364" s="97"/>
      <c r="T2364" s="97"/>
      <c r="U2364" s="25"/>
      <c r="V2364" s="25"/>
      <c r="W2364" s="25"/>
      <c r="X2364" s="25"/>
      <c r="Y2364" s="25"/>
      <c r="Z2364" s="25"/>
    </row>
    <row r="2365" spans="19:26" x14ac:dyDescent="0.35">
      <c r="S2365" s="97"/>
      <c r="T2365" s="97"/>
      <c r="U2365" s="25"/>
      <c r="V2365" s="25"/>
      <c r="W2365" s="25"/>
      <c r="X2365" s="25"/>
      <c r="Y2365" s="25"/>
      <c r="Z2365" s="25"/>
    </row>
    <row r="2366" spans="19:26" x14ac:dyDescent="0.35">
      <c r="S2366" s="97"/>
      <c r="T2366" s="97"/>
      <c r="U2366" s="25"/>
      <c r="V2366" s="25"/>
      <c r="W2366" s="25"/>
      <c r="X2366" s="25"/>
      <c r="Y2366" s="25"/>
      <c r="Z2366" s="25"/>
    </row>
    <row r="2367" spans="19:26" x14ac:dyDescent="0.35">
      <c r="S2367" s="97"/>
      <c r="T2367" s="97"/>
      <c r="U2367" s="25"/>
      <c r="V2367" s="25"/>
      <c r="W2367" s="25"/>
      <c r="X2367" s="25"/>
      <c r="Y2367" s="25"/>
      <c r="Z2367" s="25"/>
    </row>
    <row r="2368" spans="19:26" x14ac:dyDescent="0.35">
      <c r="S2368" s="97"/>
      <c r="T2368" s="97"/>
      <c r="U2368" s="25"/>
      <c r="V2368" s="25"/>
      <c r="W2368" s="25"/>
      <c r="X2368" s="25"/>
      <c r="Y2368" s="25"/>
      <c r="Z2368" s="25"/>
    </row>
    <row r="2369" spans="19:26" x14ac:dyDescent="0.35">
      <c r="S2369" s="97"/>
      <c r="T2369" s="97"/>
      <c r="U2369" s="25"/>
      <c r="V2369" s="25"/>
      <c r="W2369" s="25"/>
      <c r="X2369" s="25"/>
      <c r="Y2369" s="25"/>
      <c r="Z2369" s="25"/>
    </row>
    <row r="2370" spans="19:26" x14ac:dyDescent="0.35">
      <c r="S2370" s="97"/>
      <c r="T2370" s="97"/>
      <c r="U2370" s="25"/>
      <c r="V2370" s="25"/>
      <c r="W2370" s="25"/>
      <c r="X2370" s="25"/>
      <c r="Y2370" s="25"/>
      <c r="Z2370" s="25"/>
    </row>
    <row r="2371" spans="19:26" x14ac:dyDescent="0.35">
      <c r="S2371" s="97"/>
      <c r="T2371" s="97"/>
      <c r="U2371" s="25"/>
      <c r="V2371" s="25"/>
      <c r="W2371" s="25"/>
      <c r="X2371" s="25"/>
      <c r="Y2371" s="25"/>
      <c r="Z2371" s="25"/>
    </row>
    <row r="2372" spans="19:26" x14ac:dyDescent="0.35">
      <c r="S2372" s="97"/>
      <c r="T2372" s="97"/>
      <c r="U2372" s="25"/>
      <c r="V2372" s="25"/>
      <c r="W2372" s="25"/>
      <c r="X2372" s="25"/>
      <c r="Y2372" s="25"/>
      <c r="Z2372" s="25"/>
    </row>
    <row r="2373" spans="19:26" x14ac:dyDescent="0.35">
      <c r="S2373" s="97"/>
      <c r="T2373" s="97"/>
      <c r="U2373" s="25"/>
      <c r="V2373" s="25"/>
      <c r="W2373" s="25"/>
      <c r="X2373" s="25"/>
      <c r="Y2373" s="25"/>
      <c r="Z2373" s="25"/>
    </row>
    <row r="2374" spans="19:26" x14ac:dyDescent="0.35">
      <c r="S2374" s="97"/>
      <c r="T2374" s="97"/>
      <c r="U2374" s="25"/>
      <c r="V2374" s="25"/>
      <c r="W2374" s="25"/>
      <c r="X2374" s="25"/>
      <c r="Y2374" s="25"/>
      <c r="Z2374" s="25"/>
    </row>
    <row r="2375" spans="19:26" x14ac:dyDescent="0.35">
      <c r="S2375" s="97"/>
      <c r="T2375" s="97"/>
      <c r="U2375" s="25"/>
      <c r="V2375" s="25"/>
      <c r="W2375" s="25"/>
      <c r="X2375" s="25"/>
      <c r="Y2375" s="25"/>
      <c r="Z2375" s="25"/>
    </row>
    <row r="2376" spans="19:26" x14ac:dyDescent="0.35">
      <c r="S2376" s="97"/>
      <c r="T2376" s="97"/>
      <c r="U2376" s="25"/>
      <c r="V2376" s="25"/>
      <c r="W2376" s="25"/>
      <c r="X2376" s="25"/>
      <c r="Y2376" s="25"/>
      <c r="Z2376" s="25"/>
    </row>
    <row r="2377" spans="19:26" x14ac:dyDescent="0.35">
      <c r="S2377" s="97"/>
      <c r="T2377" s="97"/>
      <c r="U2377" s="25"/>
      <c r="V2377" s="25"/>
      <c r="W2377" s="25"/>
      <c r="X2377" s="25"/>
      <c r="Y2377" s="25"/>
      <c r="Z2377" s="25"/>
    </row>
    <row r="2378" spans="19:26" x14ac:dyDescent="0.35">
      <c r="S2378" s="97"/>
      <c r="T2378" s="97"/>
      <c r="U2378" s="25"/>
      <c r="V2378" s="25"/>
      <c r="W2378" s="25"/>
      <c r="X2378" s="25"/>
      <c r="Y2378" s="25"/>
      <c r="Z2378" s="25"/>
    </row>
    <row r="2379" spans="19:26" x14ac:dyDescent="0.35">
      <c r="S2379" s="97"/>
      <c r="T2379" s="97"/>
      <c r="U2379" s="25"/>
      <c r="V2379" s="25"/>
      <c r="W2379" s="25"/>
      <c r="X2379" s="25"/>
      <c r="Y2379" s="25"/>
      <c r="Z2379" s="25"/>
    </row>
    <row r="2380" spans="19:26" x14ac:dyDescent="0.35">
      <c r="S2380" s="97"/>
      <c r="T2380" s="97"/>
      <c r="U2380" s="25"/>
      <c r="V2380" s="25"/>
      <c r="W2380" s="25"/>
      <c r="X2380" s="25"/>
      <c r="Y2380" s="25"/>
      <c r="Z2380" s="25"/>
    </row>
    <row r="2381" spans="19:26" x14ac:dyDescent="0.35">
      <c r="S2381" s="97"/>
      <c r="T2381" s="97"/>
      <c r="U2381" s="25"/>
      <c r="V2381" s="25"/>
      <c r="W2381" s="25"/>
      <c r="X2381" s="25"/>
      <c r="Y2381" s="25"/>
      <c r="Z2381" s="25"/>
    </row>
    <row r="2382" spans="19:26" x14ac:dyDescent="0.35">
      <c r="S2382" s="97"/>
      <c r="T2382" s="97"/>
      <c r="U2382" s="25"/>
      <c r="V2382" s="25"/>
      <c r="W2382" s="25"/>
      <c r="X2382" s="25"/>
      <c r="Y2382" s="25"/>
      <c r="Z2382" s="25"/>
    </row>
    <row r="2383" spans="19:26" x14ac:dyDescent="0.35">
      <c r="S2383" s="97"/>
      <c r="T2383" s="97"/>
      <c r="U2383" s="25"/>
      <c r="V2383" s="25"/>
      <c r="W2383" s="25"/>
      <c r="X2383" s="25"/>
      <c r="Y2383" s="25"/>
      <c r="Z2383" s="25"/>
    </row>
    <row r="2384" spans="19:26" x14ac:dyDescent="0.35">
      <c r="S2384" s="97"/>
      <c r="T2384" s="97"/>
      <c r="U2384" s="25"/>
      <c r="V2384" s="25"/>
      <c r="W2384" s="25"/>
      <c r="X2384" s="25"/>
      <c r="Y2384" s="25"/>
      <c r="Z2384" s="25"/>
    </row>
    <row r="2385" spans="19:26" x14ac:dyDescent="0.35">
      <c r="S2385" s="97"/>
      <c r="T2385" s="97"/>
      <c r="U2385" s="25"/>
      <c r="V2385" s="25"/>
      <c r="W2385" s="25"/>
      <c r="X2385" s="25"/>
      <c r="Y2385" s="25"/>
      <c r="Z2385" s="25"/>
    </row>
    <row r="2386" spans="19:26" x14ac:dyDescent="0.35">
      <c r="S2386" s="97"/>
      <c r="T2386" s="97"/>
      <c r="U2386" s="25"/>
      <c r="V2386" s="25"/>
      <c r="W2386" s="25"/>
      <c r="X2386" s="25"/>
      <c r="Y2386" s="25"/>
      <c r="Z2386" s="25"/>
    </row>
    <row r="2387" spans="19:26" x14ac:dyDescent="0.35">
      <c r="S2387" s="97"/>
      <c r="T2387" s="97"/>
      <c r="U2387" s="25"/>
      <c r="V2387" s="25"/>
      <c r="W2387" s="25"/>
      <c r="X2387" s="25"/>
      <c r="Y2387" s="25"/>
      <c r="Z2387" s="25"/>
    </row>
    <row r="2388" spans="19:26" x14ac:dyDescent="0.35">
      <c r="S2388" s="97"/>
      <c r="T2388" s="97"/>
      <c r="U2388" s="25"/>
      <c r="V2388" s="25"/>
      <c r="W2388" s="25"/>
      <c r="X2388" s="25"/>
      <c r="Y2388" s="25"/>
      <c r="Z2388" s="25"/>
    </row>
    <row r="2389" spans="19:26" x14ac:dyDescent="0.35">
      <c r="S2389" s="97"/>
      <c r="T2389" s="97"/>
      <c r="U2389" s="25"/>
      <c r="V2389" s="25"/>
      <c r="W2389" s="25"/>
      <c r="X2389" s="25"/>
      <c r="Y2389" s="25"/>
      <c r="Z2389" s="25"/>
    </row>
    <row r="2390" spans="19:26" x14ac:dyDescent="0.35">
      <c r="S2390" s="97"/>
      <c r="T2390" s="97"/>
      <c r="U2390" s="25"/>
      <c r="V2390" s="25"/>
      <c r="W2390" s="25"/>
      <c r="X2390" s="25"/>
      <c r="Y2390" s="25"/>
      <c r="Z2390" s="25"/>
    </row>
    <row r="2391" spans="19:26" x14ac:dyDescent="0.35">
      <c r="S2391" s="97"/>
      <c r="T2391" s="97"/>
      <c r="U2391" s="25"/>
      <c r="V2391" s="25"/>
      <c r="W2391" s="25"/>
      <c r="X2391" s="25"/>
      <c r="Y2391" s="25"/>
      <c r="Z2391" s="25"/>
    </row>
    <row r="2392" spans="19:26" x14ac:dyDescent="0.35">
      <c r="S2392" s="97"/>
      <c r="T2392" s="97"/>
      <c r="U2392" s="25"/>
      <c r="V2392" s="25"/>
      <c r="W2392" s="25"/>
      <c r="X2392" s="25"/>
      <c r="Y2392" s="25"/>
      <c r="Z2392" s="25"/>
    </row>
    <row r="2393" spans="19:26" x14ac:dyDescent="0.35">
      <c r="S2393" s="97"/>
      <c r="T2393" s="97"/>
      <c r="U2393" s="25"/>
      <c r="V2393" s="25"/>
      <c r="W2393" s="25"/>
      <c r="X2393" s="25"/>
      <c r="Y2393" s="25"/>
      <c r="Z2393" s="25"/>
    </row>
    <row r="2394" spans="19:26" x14ac:dyDescent="0.35">
      <c r="S2394" s="97"/>
      <c r="T2394" s="97"/>
      <c r="U2394" s="25"/>
      <c r="V2394" s="25"/>
      <c r="W2394" s="25"/>
      <c r="X2394" s="25"/>
      <c r="Y2394" s="25"/>
      <c r="Z2394" s="25"/>
    </row>
    <row r="2395" spans="19:26" x14ac:dyDescent="0.35">
      <c r="S2395" s="97"/>
      <c r="T2395" s="97"/>
      <c r="U2395" s="25"/>
      <c r="V2395" s="25"/>
      <c r="W2395" s="25"/>
      <c r="X2395" s="25"/>
      <c r="Y2395" s="25"/>
      <c r="Z2395" s="25"/>
    </row>
    <row r="2396" spans="19:26" x14ac:dyDescent="0.35">
      <c r="S2396" s="97"/>
      <c r="T2396" s="97"/>
      <c r="U2396" s="25"/>
      <c r="V2396" s="25"/>
      <c r="W2396" s="25"/>
      <c r="X2396" s="25"/>
      <c r="Y2396" s="25"/>
      <c r="Z2396" s="25"/>
    </row>
    <row r="2397" spans="19:26" x14ac:dyDescent="0.35">
      <c r="S2397" s="97"/>
      <c r="T2397" s="97"/>
      <c r="U2397" s="25"/>
      <c r="V2397" s="25"/>
      <c r="W2397" s="25"/>
      <c r="X2397" s="25"/>
      <c r="Y2397" s="25"/>
      <c r="Z2397" s="25"/>
    </row>
    <row r="2398" spans="19:26" x14ac:dyDescent="0.35">
      <c r="S2398" s="97"/>
      <c r="T2398" s="97"/>
      <c r="U2398" s="25"/>
      <c r="V2398" s="25"/>
      <c r="W2398" s="25"/>
      <c r="X2398" s="25"/>
      <c r="Y2398" s="25"/>
      <c r="Z2398" s="25"/>
    </row>
    <row r="2399" spans="19:26" x14ac:dyDescent="0.35">
      <c r="S2399" s="97"/>
      <c r="T2399" s="97"/>
      <c r="U2399" s="25"/>
      <c r="V2399" s="25"/>
      <c r="W2399" s="25"/>
      <c r="X2399" s="25"/>
      <c r="Y2399" s="25"/>
      <c r="Z2399" s="25"/>
    </row>
    <row r="2400" spans="19:26" x14ac:dyDescent="0.35">
      <c r="S2400" s="97"/>
      <c r="T2400" s="97"/>
      <c r="U2400" s="25"/>
      <c r="V2400" s="25"/>
      <c r="W2400" s="25"/>
      <c r="X2400" s="25"/>
      <c r="Y2400" s="25"/>
      <c r="Z2400" s="25"/>
    </row>
    <row r="2401" spans="19:26" x14ac:dyDescent="0.35">
      <c r="S2401" s="97"/>
      <c r="T2401" s="97"/>
      <c r="U2401" s="25"/>
      <c r="V2401" s="25"/>
      <c r="W2401" s="25"/>
      <c r="X2401" s="25"/>
      <c r="Y2401" s="25"/>
      <c r="Z2401" s="25"/>
    </row>
    <row r="2402" spans="19:26" x14ac:dyDescent="0.35">
      <c r="S2402" s="97"/>
      <c r="T2402" s="97"/>
      <c r="U2402" s="25"/>
      <c r="V2402" s="25"/>
      <c r="W2402" s="25"/>
      <c r="X2402" s="25"/>
      <c r="Y2402" s="25"/>
      <c r="Z2402" s="25"/>
    </row>
    <row r="2403" spans="19:26" x14ac:dyDescent="0.35">
      <c r="S2403" s="97"/>
      <c r="T2403" s="97"/>
      <c r="U2403" s="25"/>
      <c r="V2403" s="25"/>
      <c r="W2403" s="25"/>
      <c r="X2403" s="25"/>
      <c r="Y2403" s="25"/>
      <c r="Z2403" s="25"/>
    </row>
    <row r="2404" spans="19:26" x14ac:dyDescent="0.35">
      <c r="S2404" s="97"/>
      <c r="T2404" s="97"/>
      <c r="U2404" s="25"/>
      <c r="V2404" s="25"/>
      <c r="W2404" s="25"/>
      <c r="X2404" s="25"/>
      <c r="Y2404" s="25"/>
      <c r="Z2404" s="25"/>
    </row>
    <row r="2405" spans="19:26" x14ac:dyDescent="0.35">
      <c r="S2405" s="97"/>
      <c r="T2405" s="97"/>
      <c r="U2405" s="25"/>
      <c r="V2405" s="25"/>
      <c r="W2405" s="25"/>
      <c r="X2405" s="25"/>
      <c r="Y2405" s="25"/>
      <c r="Z2405" s="25"/>
    </row>
    <row r="2406" spans="19:26" x14ac:dyDescent="0.35">
      <c r="S2406" s="97"/>
      <c r="T2406" s="97"/>
      <c r="U2406" s="25"/>
      <c r="V2406" s="25"/>
      <c r="W2406" s="25"/>
      <c r="X2406" s="25"/>
      <c r="Y2406" s="25"/>
      <c r="Z2406" s="25"/>
    </row>
    <row r="2407" spans="19:26" x14ac:dyDescent="0.35">
      <c r="S2407" s="97"/>
      <c r="T2407" s="97"/>
      <c r="U2407" s="25"/>
      <c r="V2407" s="25"/>
      <c r="W2407" s="25"/>
      <c r="X2407" s="25"/>
      <c r="Y2407" s="25"/>
      <c r="Z2407" s="25"/>
    </row>
    <row r="2408" spans="19:26" x14ac:dyDescent="0.35">
      <c r="S2408" s="97"/>
      <c r="T2408" s="97"/>
      <c r="U2408" s="25"/>
      <c r="V2408" s="25"/>
      <c r="W2408" s="25"/>
      <c r="X2408" s="25"/>
      <c r="Y2408" s="25"/>
      <c r="Z2408" s="25"/>
    </row>
    <row r="2409" spans="19:26" x14ac:dyDescent="0.35">
      <c r="S2409" s="97"/>
      <c r="T2409" s="97"/>
      <c r="U2409" s="25"/>
      <c r="V2409" s="25"/>
      <c r="W2409" s="25"/>
      <c r="X2409" s="25"/>
      <c r="Y2409" s="25"/>
      <c r="Z2409" s="25"/>
    </row>
    <row r="2410" spans="19:26" x14ac:dyDescent="0.35">
      <c r="S2410" s="97"/>
      <c r="T2410" s="97"/>
      <c r="U2410" s="25"/>
      <c r="V2410" s="25"/>
      <c r="W2410" s="25"/>
      <c r="X2410" s="25"/>
      <c r="Y2410" s="25"/>
      <c r="Z2410" s="25"/>
    </row>
    <row r="2411" spans="19:26" x14ac:dyDescent="0.35">
      <c r="S2411" s="97"/>
      <c r="T2411" s="97"/>
      <c r="U2411" s="25"/>
      <c r="V2411" s="25"/>
      <c r="W2411" s="25"/>
      <c r="X2411" s="25"/>
      <c r="Y2411" s="25"/>
      <c r="Z2411" s="25"/>
    </row>
    <row r="2412" spans="19:26" x14ac:dyDescent="0.35">
      <c r="S2412" s="97"/>
      <c r="T2412" s="97"/>
      <c r="U2412" s="25"/>
      <c r="V2412" s="25"/>
      <c r="W2412" s="25"/>
      <c r="X2412" s="25"/>
      <c r="Y2412" s="25"/>
      <c r="Z2412" s="25"/>
    </row>
    <row r="2413" spans="19:26" x14ac:dyDescent="0.35">
      <c r="S2413" s="97"/>
      <c r="T2413" s="97"/>
      <c r="U2413" s="25"/>
      <c r="V2413" s="25"/>
      <c r="W2413" s="25"/>
      <c r="X2413" s="25"/>
      <c r="Y2413" s="25"/>
      <c r="Z2413" s="25"/>
    </row>
    <row r="2414" spans="19:26" x14ac:dyDescent="0.35">
      <c r="S2414" s="97"/>
      <c r="T2414" s="97"/>
      <c r="U2414" s="25"/>
      <c r="V2414" s="25"/>
      <c r="W2414" s="25"/>
      <c r="X2414" s="25"/>
      <c r="Y2414" s="25"/>
      <c r="Z2414" s="25"/>
    </row>
    <row r="2415" spans="19:26" x14ac:dyDescent="0.35">
      <c r="S2415" s="97"/>
      <c r="T2415" s="97"/>
      <c r="U2415" s="25"/>
      <c r="V2415" s="25"/>
      <c r="W2415" s="25"/>
      <c r="X2415" s="25"/>
      <c r="Y2415" s="25"/>
      <c r="Z2415" s="25"/>
    </row>
    <row r="2416" spans="19:26" x14ac:dyDescent="0.35">
      <c r="S2416" s="97"/>
      <c r="T2416" s="97"/>
      <c r="U2416" s="25"/>
      <c r="V2416" s="25"/>
      <c r="W2416" s="25"/>
      <c r="X2416" s="25"/>
      <c r="Y2416" s="25"/>
      <c r="Z2416" s="25"/>
    </row>
    <row r="2417" spans="19:26" x14ac:dyDescent="0.35">
      <c r="S2417" s="97"/>
      <c r="T2417" s="97"/>
      <c r="U2417" s="25"/>
      <c r="V2417" s="25"/>
      <c r="W2417" s="25"/>
      <c r="X2417" s="25"/>
      <c r="Y2417" s="25"/>
      <c r="Z2417" s="25"/>
    </row>
    <row r="2418" spans="19:26" x14ac:dyDescent="0.35">
      <c r="S2418" s="97"/>
      <c r="T2418" s="97"/>
      <c r="U2418" s="25"/>
      <c r="V2418" s="25"/>
      <c r="W2418" s="25"/>
      <c r="X2418" s="25"/>
      <c r="Y2418" s="25"/>
      <c r="Z2418" s="25"/>
    </row>
    <row r="2419" spans="19:26" x14ac:dyDescent="0.35">
      <c r="S2419" s="97"/>
      <c r="T2419" s="97"/>
      <c r="U2419" s="25"/>
      <c r="V2419" s="25"/>
      <c r="W2419" s="25"/>
      <c r="X2419" s="25"/>
      <c r="Y2419" s="25"/>
      <c r="Z2419" s="25"/>
    </row>
    <row r="2420" spans="19:26" x14ac:dyDescent="0.35">
      <c r="S2420" s="97"/>
      <c r="T2420" s="97"/>
      <c r="U2420" s="25"/>
      <c r="V2420" s="25"/>
      <c r="W2420" s="25"/>
      <c r="X2420" s="25"/>
      <c r="Y2420" s="25"/>
      <c r="Z2420" s="25"/>
    </row>
    <row r="2421" spans="19:26" x14ac:dyDescent="0.35">
      <c r="S2421" s="97"/>
      <c r="T2421" s="97"/>
      <c r="U2421" s="25"/>
      <c r="V2421" s="25"/>
      <c r="W2421" s="25"/>
      <c r="X2421" s="25"/>
      <c r="Y2421" s="25"/>
      <c r="Z2421" s="25"/>
    </row>
    <row r="2422" spans="19:26" x14ac:dyDescent="0.35">
      <c r="S2422" s="97"/>
      <c r="T2422" s="97"/>
      <c r="U2422" s="25"/>
      <c r="V2422" s="25"/>
      <c r="W2422" s="25"/>
      <c r="X2422" s="25"/>
      <c r="Y2422" s="25"/>
      <c r="Z2422" s="25"/>
    </row>
    <row r="2423" spans="19:26" x14ac:dyDescent="0.35">
      <c r="S2423" s="97"/>
      <c r="T2423" s="97"/>
      <c r="U2423" s="25"/>
      <c r="V2423" s="25"/>
      <c r="W2423" s="25"/>
      <c r="X2423" s="25"/>
      <c r="Y2423" s="25"/>
      <c r="Z2423" s="25"/>
    </row>
    <row r="2424" spans="19:26" x14ac:dyDescent="0.35">
      <c r="S2424" s="97"/>
      <c r="T2424" s="97"/>
      <c r="U2424" s="25"/>
      <c r="V2424" s="25"/>
      <c r="W2424" s="25"/>
      <c r="X2424" s="25"/>
      <c r="Y2424" s="25"/>
      <c r="Z2424" s="25"/>
    </row>
    <row r="2425" spans="19:26" x14ac:dyDescent="0.35">
      <c r="S2425" s="97"/>
      <c r="T2425" s="97"/>
      <c r="U2425" s="25"/>
      <c r="V2425" s="25"/>
      <c r="W2425" s="25"/>
      <c r="X2425" s="25"/>
      <c r="Y2425" s="25"/>
      <c r="Z2425" s="25"/>
    </row>
    <row r="2426" spans="19:26" x14ac:dyDescent="0.35">
      <c r="S2426" s="97"/>
      <c r="T2426" s="97"/>
      <c r="U2426" s="25"/>
      <c r="V2426" s="25"/>
      <c r="W2426" s="25"/>
      <c r="X2426" s="25"/>
      <c r="Y2426" s="25"/>
      <c r="Z2426" s="25"/>
    </row>
    <row r="2427" spans="19:26" x14ac:dyDescent="0.35">
      <c r="S2427" s="97"/>
      <c r="T2427" s="97"/>
      <c r="U2427" s="25"/>
      <c r="V2427" s="25"/>
      <c r="W2427" s="25"/>
      <c r="X2427" s="25"/>
      <c r="Y2427" s="25"/>
      <c r="Z2427" s="25"/>
    </row>
    <row r="2428" spans="19:26" x14ac:dyDescent="0.35">
      <c r="S2428" s="97"/>
      <c r="T2428" s="97"/>
      <c r="U2428" s="25"/>
      <c r="V2428" s="25"/>
      <c r="W2428" s="25"/>
      <c r="X2428" s="25"/>
      <c r="Y2428" s="25"/>
      <c r="Z2428" s="25"/>
    </row>
    <row r="2429" spans="19:26" x14ac:dyDescent="0.35">
      <c r="S2429" s="97"/>
      <c r="T2429" s="97"/>
      <c r="U2429" s="25"/>
      <c r="V2429" s="25"/>
      <c r="W2429" s="25"/>
      <c r="X2429" s="25"/>
      <c r="Y2429" s="25"/>
      <c r="Z2429" s="25"/>
    </row>
    <row r="2430" spans="19:26" x14ac:dyDescent="0.35">
      <c r="S2430" s="97"/>
      <c r="T2430" s="97"/>
      <c r="U2430" s="25"/>
      <c r="V2430" s="25"/>
      <c r="W2430" s="25"/>
      <c r="X2430" s="25"/>
      <c r="Y2430" s="25"/>
      <c r="Z2430" s="25"/>
    </row>
    <row r="2431" spans="19:26" x14ac:dyDescent="0.35">
      <c r="S2431" s="97"/>
      <c r="T2431" s="97"/>
      <c r="U2431" s="25"/>
      <c r="V2431" s="25"/>
      <c r="W2431" s="25"/>
      <c r="X2431" s="25"/>
      <c r="Y2431" s="25"/>
      <c r="Z2431" s="25"/>
    </row>
    <row r="2432" spans="19:26" x14ac:dyDescent="0.35">
      <c r="S2432" s="97"/>
      <c r="T2432" s="97"/>
      <c r="U2432" s="25"/>
      <c r="V2432" s="25"/>
      <c r="W2432" s="25"/>
      <c r="X2432" s="25"/>
      <c r="Y2432" s="25"/>
      <c r="Z2432" s="25"/>
    </row>
    <row r="2433" spans="19:26" x14ac:dyDescent="0.35">
      <c r="S2433" s="97"/>
      <c r="T2433" s="97"/>
      <c r="U2433" s="25"/>
      <c r="V2433" s="25"/>
      <c r="W2433" s="25"/>
      <c r="X2433" s="25"/>
      <c r="Y2433" s="25"/>
      <c r="Z2433" s="25"/>
    </row>
    <row r="2434" spans="19:26" x14ac:dyDescent="0.35">
      <c r="S2434" s="97"/>
      <c r="T2434" s="97"/>
      <c r="U2434" s="25"/>
      <c r="V2434" s="25"/>
      <c r="W2434" s="25"/>
      <c r="X2434" s="25"/>
      <c r="Y2434" s="25"/>
      <c r="Z2434" s="25"/>
    </row>
    <row r="2435" spans="19:26" x14ac:dyDescent="0.35">
      <c r="S2435" s="97"/>
      <c r="T2435" s="97"/>
      <c r="U2435" s="25"/>
      <c r="V2435" s="25"/>
      <c r="W2435" s="25"/>
      <c r="X2435" s="25"/>
      <c r="Y2435" s="25"/>
      <c r="Z2435" s="25"/>
    </row>
    <row r="2436" spans="19:26" x14ac:dyDescent="0.35">
      <c r="S2436" s="97"/>
      <c r="T2436" s="97"/>
      <c r="U2436" s="25"/>
      <c r="V2436" s="25"/>
      <c r="W2436" s="25"/>
      <c r="X2436" s="25"/>
      <c r="Y2436" s="25"/>
      <c r="Z2436" s="25"/>
    </row>
    <row r="2437" spans="19:26" x14ac:dyDescent="0.35">
      <c r="S2437" s="97"/>
      <c r="T2437" s="97"/>
      <c r="U2437" s="25"/>
      <c r="V2437" s="25"/>
      <c r="W2437" s="25"/>
      <c r="X2437" s="25"/>
      <c r="Y2437" s="25"/>
      <c r="Z2437" s="25"/>
    </row>
    <row r="2438" spans="19:26" x14ac:dyDescent="0.35">
      <c r="S2438" s="97"/>
      <c r="T2438" s="97"/>
      <c r="U2438" s="25"/>
      <c r="V2438" s="25"/>
      <c r="W2438" s="25"/>
      <c r="X2438" s="25"/>
      <c r="Y2438" s="25"/>
      <c r="Z2438" s="25"/>
    </row>
    <row r="2439" spans="19:26" x14ac:dyDescent="0.35">
      <c r="S2439" s="97"/>
      <c r="T2439" s="97"/>
      <c r="U2439" s="25"/>
      <c r="V2439" s="25"/>
      <c r="W2439" s="25"/>
      <c r="X2439" s="25"/>
      <c r="Y2439" s="25"/>
      <c r="Z2439" s="25"/>
    </row>
    <row r="2440" spans="19:26" x14ac:dyDescent="0.35">
      <c r="S2440" s="97"/>
      <c r="T2440" s="97"/>
      <c r="U2440" s="25"/>
      <c r="V2440" s="25"/>
      <c r="W2440" s="25"/>
      <c r="X2440" s="25"/>
      <c r="Y2440" s="25"/>
      <c r="Z2440" s="25"/>
    </row>
    <row r="2441" spans="19:26" x14ac:dyDescent="0.35">
      <c r="S2441" s="97"/>
      <c r="T2441" s="97"/>
      <c r="U2441" s="25"/>
      <c r="V2441" s="25"/>
      <c r="W2441" s="25"/>
      <c r="X2441" s="25"/>
      <c r="Y2441" s="25"/>
      <c r="Z2441" s="25"/>
    </row>
    <row r="2442" spans="19:26" x14ac:dyDescent="0.35">
      <c r="S2442" s="97"/>
      <c r="T2442" s="97"/>
      <c r="U2442" s="25"/>
      <c r="V2442" s="25"/>
      <c r="W2442" s="25"/>
      <c r="X2442" s="25"/>
      <c r="Y2442" s="25"/>
      <c r="Z2442" s="25"/>
    </row>
    <row r="2443" spans="19:26" x14ac:dyDescent="0.35">
      <c r="S2443" s="97"/>
      <c r="T2443" s="97"/>
      <c r="U2443" s="25"/>
      <c r="V2443" s="25"/>
      <c r="W2443" s="25"/>
      <c r="X2443" s="25"/>
      <c r="Y2443" s="25"/>
      <c r="Z2443" s="25"/>
    </row>
    <row r="2444" spans="19:26" x14ac:dyDescent="0.35">
      <c r="S2444" s="97"/>
      <c r="T2444" s="97"/>
      <c r="U2444" s="25"/>
      <c r="V2444" s="25"/>
      <c r="W2444" s="25"/>
      <c r="X2444" s="25"/>
      <c r="Y2444" s="25"/>
      <c r="Z2444" s="25"/>
    </row>
    <row r="2445" spans="19:26" x14ac:dyDescent="0.35">
      <c r="S2445" s="97"/>
      <c r="T2445" s="97"/>
      <c r="U2445" s="25"/>
      <c r="V2445" s="25"/>
      <c r="W2445" s="25"/>
      <c r="X2445" s="25"/>
      <c r="Y2445" s="25"/>
      <c r="Z2445" s="25"/>
    </row>
    <row r="2446" spans="19:26" x14ac:dyDescent="0.35">
      <c r="S2446" s="97"/>
      <c r="T2446" s="97"/>
      <c r="U2446" s="25"/>
      <c r="V2446" s="25"/>
      <c r="W2446" s="25"/>
      <c r="X2446" s="25"/>
      <c r="Y2446" s="25"/>
      <c r="Z2446" s="25"/>
    </row>
    <row r="2447" spans="19:26" x14ac:dyDescent="0.35">
      <c r="S2447" s="97"/>
      <c r="T2447" s="97"/>
      <c r="U2447" s="25"/>
      <c r="V2447" s="25"/>
      <c r="W2447" s="25"/>
      <c r="X2447" s="25"/>
      <c r="Y2447" s="25"/>
      <c r="Z2447" s="25"/>
    </row>
    <row r="2448" spans="19:26" x14ac:dyDescent="0.35">
      <c r="S2448" s="97"/>
      <c r="T2448" s="97"/>
      <c r="U2448" s="25"/>
      <c r="V2448" s="25"/>
      <c r="W2448" s="25"/>
      <c r="X2448" s="25"/>
      <c r="Y2448" s="25"/>
      <c r="Z2448" s="25"/>
    </row>
    <row r="2449" spans="19:26" x14ac:dyDescent="0.35">
      <c r="S2449" s="97"/>
      <c r="T2449" s="97"/>
      <c r="U2449" s="25"/>
      <c r="V2449" s="25"/>
      <c r="W2449" s="25"/>
      <c r="X2449" s="25"/>
      <c r="Y2449" s="25"/>
      <c r="Z2449" s="25"/>
    </row>
    <row r="2450" spans="19:26" x14ac:dyDescent="0.35">
      <c r="S2450" s="97"/>
      <c r="T2450" s="97"/>
      <c r="U2450" s="25"/>
      <c r="V2450" s="25"/>
      <c r="W2450" s="25"/>
      <c r="X2450" s="25"/>
      <c r="Y2450" s="25"/>
      <c r="Z2450" s="25"/>
    </row>
    <row r="2451" spans="19:26" x14ac:dyDescent="0.35">
      <c r="S2451" s="97"/>
      <c r="T2451" s="97"/>
      <c r="U2451" s="25"/>
      <c r="V2451" s="25"/>
      <c r="W2451" s="25"/>
      <c r="X2451" s="25"/>
      <c r="Y2451" s="25"/>
      <c r="Z2451" s="25"/>
    </row>
    <row r="2452" spans="19:26" x14ac:dyDescent="0.35">
      <c r="S2452" s="97"/>
      <c r="T2452" s="97"/>
      <c r="U2452" s="25"/>
      <c r="V2452" s="25"/>
      <c r="W2452" s="25"/>
      <c r="X2452" s="25"/>
      <c r="Y2452" s="25"/>
      <c r="Z2452" s="25"/>
    </row>
    <row r="2453" spans="19:26" x14ac:dyDescent="0.35">
      <c r="S2453" s="97"/>
      <c r="T2453" s="97"/>
      <c r="U2453" s="25"/>
      <c r="V2453" s="25"/>
      <c r="W2453" s="25"/>
      <c r="X2453" s="25"/>
      <c r="Y2453" s="25"/>
      <c r="Z2453" s="25"/>
    </row>
    <row r="2454" spans="19:26" x14ac:dyDescent="0.35">
      <c r="S2454" s="97"/>
      <c r="T2454" s="97"/>
      <c r="U2454" s="25"/>
      <c r="V2454" s="25"/>
      <c r="W2454" s="25"/>
      <c r="X2454" s="25"/>
      <c r="Y2454" s="25"/>
      <c r="Z2454" s="25"/>
    </row>
    <row r="2455" spans="19:26" x14ac:dyDescent="0.35">
      <c r="S2455" s="97"/>
      <c r="T2455" s="97"/>
      <c r="U2455" s="25"/>
      <c r="V2455" s="25"/>
      <c r="W2455" s="25"/>
      <c r="X2455" s="25"/>
      <c r="Y2455" s="25"/>
      <c r="Z2455" s="25"/>
    </row>
    <row r="2456" spans="19:26" x14ac:dyDescent="0.35">
      <c r="S2456" s="97"/>
      <c r="T2456" s="97"/>
      <c r="U2456" s="25"/>
      <c r="V2456" s="25"/>
      <c r="W2456" s="25"/>
      <c r="X2456" s="25"/>
      <c r="Y2456" s="25"/>
      <c r="Z2456" s="25"/>
    </row>
    <row r="2457" spans="19:26" x14ac:dyDescent="0.35">
      <c r="S2457" s="97"/>
      <c r="T2457" s="97"/>
      <c r="U2457" s="25"/>
      <c r="V2457" s="25"/>
      <c r="W2457" s="25"/>
      <c r="X2457" s="25"/>
      <c r="Y2457" s="25"/>
      <c r="Z2457" s="25"/>
    </row>
    <row r="2458" spans="19:26" x14ac:dyDescent="0.35">
      <c r="S2458" s="97"/>
      <c r="T2458" s="97"/>
      <c r="U2458" s="25"/>
      <c r="V2458" s="25"/>
      <c r="W2458" s="25"/>
      <c r="X2458" s="25"/>
      <c r="Y2458" s="25"/>
      <c r="Z2458" s="25"/>
    </row>
    <row r="2459" spans="19:26" x14ac:dyDescent="0.35">
      <c r="S2459" s="97"/>
      <c r="T2459" s="97"/>
      <c r="U2459" s="25"/>
      <c r="V2459" s="25"/>
      <c r="W2459" s="25"/>
      <c r="X2459" s="25"/>
      <c r="Y2459" s="25"/>
      <c r="Z2459" s="25"/>
    </row>
    <row r="2460" spans="19:26" x14ac:dyDescent="0.35">
      <c r="S2460" s="97"/>
      <c r="T2460" s="97"/>
      <c r="U2460" s="25"/>
      <c r="V2460" s="25"/>
      <c r="W2460" s="25"/>
      <c r="X2460" s="25"/>
      <c r="Y2460" s="25"/>
      <c r="Z2460" s="25"/>
    </row>
    <row r="2461" spans="19:26" x14ac:dyDescent="0.35">
      <c r="S2461" s="97"/>
      <c r="T2461" s="97"/>
      <c r="U2461" s="25"/>
      <c r="V2461" s="25"/>
      <c r="W2461" s="25"/>
      <c r="X2461" s="25"/>
      <c r="Y2461" s="25"/>
      <c r="Z2461" s="25"/>
    </row>
    <row r="2462" spans="19:26" x14ac:dyDescent="0.35">
      <c r="S2462" s="97"/>
      <c r="T2462" s="97"/>
      <c r="U2462" s="25"/>
      <c r="V2462" s="25"/>
      <c r="W2462" s="25"/>
      <c r="X2462" s="25"/>
      <c r="Y2462" s="25"/>
      <c r="Z2462" s="25"/>
    </row>
    <row r="2463" spans="19:26" x14ac:dyDescent="0.35">
      <c r="S2463" s="97"/>
      <c r="T2463" s="97"/>
      <c r="U2463" s="25"/>
      <c r="V2463" s="25"/>
      <c r="W2463" s="25"/>
      <c r="X2463" s="25"/>
      <c r="Y2463" s="25"/>
      <c r="Z2463" s="25"/>
    </row>
    <row r="2464" spans="19:26" x14ac:dyDescent="0.35">
      <c r="S2464" s="97"/>
      <c r="T2464" s="97"/>
      <c r="U2464" s="25"/>
      <c r="V2464" s="25"/>
      <c r="W2464" s="25"/>
      <c r="X2464" s="25"/>
      <c r="Y2464" s="25"/>
      <c r="Z2464" s="25"/>
    </row>
    <row r="2465" spans="19:26" x14ac:dyDescent="0.35">
      <c r="S2465" s="97"/>
      <c r="T2465" s="97"/>
      <c r="U2465" s="25"/>
      <c r="V2465" s="25"/>
      <c r="W2465" s="25"/>
      <c r="X2465" s="25"/>
      <c r="Y2465" s="25"/>
      <c r="Z2465" s="25"/>
    </row>
    <row r="2466" spans="19:26" x14ac:dyDescent="0.35">
      <c r="S2466" s="97"/>
      <c r="T2466" s="97"/>
      <c r="U2466" s="25"/>
      <c r="V2466" s="25"/>
      <c r="W2466" s="25"/>
      <c r="X2466" s="25"/>
      <c r="Y2466" s="25"/>
      <c r="Z2466" s="25"/>
    </row>
    <row r="2467" spans="19:26" x14ac:dyDescent="0.35">
      <c r="S2467" s="97"/>
      <c r="T2467" s="97"/>
      <c r="U2467" s="25"/>
      <c r="V2467" s="25"/>
      <c r="W2467" s="25"/>
      <c r="X2467" s="25"/>
      <c r="Y2467" s="25"/>
      <c r="Z2467" s="25"/>
    </row>
    <row r="2468" spans="19:26" x14ac:dyDescent="0.35">
      <c r="S2468" s="97"/>
      <c r="T2468" s="97"/>
      <c r="U2468" s="25"/>
      <c r="V2468" s="25"/>
      <c r="W2468" s="25"/>
      <c r="X2468" s="25"/>
      <c r="Y2468" s="25"/>
      <c r="Z2468" s="25"/>
    </row>
    <row r="2469" spans="19:26" x14ac:dyDescent="0.35">
      <c r="S2469" s="97"/>
      <c r="T2469" s="97"/>
      <c r="U2469" s="25"/>
      <c r="V2469" s="25"/>
      <c r="W2469" s="25"/>
      <c r="X2469" s="25"/>
      <c r="Y2469" s="25"/>
      <c r="Z2469" s="25"/>
    </row>
    <row r="2470" spans="19:26" x14ac:dyDescent="0.35">
      <c r="S2470" s="97"/>
      <c r="T2470" s="97"/>
      <c r="U2470" s="25"/>
      <c r="V2470" s="25"/>
      <c r="W2470" s="25"/>
      <c r="X2470" s="25"/>
      <c r="Y2470" s="25"/>
      <c r="Z2470" s="25"/>
    </row>
    <row r="2471" spans="19:26" x14ac:dyDescent="0.35">
      <c r="S2471" s="97"/>
      <c r="T2471" s="97"/>
      <c r="U2471" s="25"/>
      <c r="V2471" s="25"/>
      <c r="W2471" s="25"/>
      <c r="X2471" s="25"/>
      <c r="Y2471" s="25"/>
      <c r="Z2471" s="25"/>
    </row>
    <row r="2472" spans="19:26" x14ac:dyDescent="0.35">
      <c r="S2472" s="97"/>
      <c r="T2472" s="97"/>
      <c r="U2472" s="25"/>
      <c r="V2472" s="25"/>
      <c r="W2472" s="25"/>
      <c r="X2472" s="25"/>
      <c r="Y2472" s="25"/>
      <c r="Z2472" s="25"/>
    </row>
    <row r="2473" spans="19:26" x14ac:dyDescent="0.35">
      <c r="S2473" s="97"/>
      <c r="T2473" s="97"/>
      <c r="U2473" s="25"/>
      <c r="V2473" s="25"/>
      <c r="W2473" s="25"/>
      <c r="X2473" s="25"/>
      <c r="Y2473" s="25"/>
      <c r="Z2473" s="25"/>
    </row>
    <row r="2474" spans="19:26" x14ac:dyDescent="0.35">
      <c r="S2474" s="97"/>
      <c r="T2474" s="97"/>
      <c r="U2474" s="25"/>
      <c r="V2474" s="25"/>
      <c r="W2474" s="25"/>
      <c r="X2474" s="25"/>
      <c r="Y2474" s="25"/>
      <c r="Z2474" s="25"/>
    </row>
    <row r="2475" spans="19:26" x14ac:dyDescent="0.35">
      <c r="S2475" s="97"/>
      <c r="T2475" s="97"/>
      <c r="U2475" s="25"/>
      <c r="V2475" s="25"/>
      <c r="W2475" s="25"/>
      <c r="X2475" s="25"/>
      <c r="Y2475" s="25"/>
      <c r="Z2475" s="25"/>
    </row>
    <row r="2476" spans="19:26" x14ac:dyDescent="0.35">
      <c r="S2476" s="97"/>
      <c r="T2476" s="97"/>
      <c r="U2476" s="25"/>
      <c r="V2476" s="25"/>
      <c r="W2476" s="25"/>
      <c r="X2476" s="25"/>
      <c r="Y2476" s="25"/>
      <c r="Z2476" s="25"/>
    </row>
    <row r="2477" spans="19:26" x14ac:dyDescent="0.35">
      <c r="S2477" s="97"/>
      <c r="T2477" s="97"/>
      <c r="U2477" s="25"/>
      <c r="V2477" s="25"/>
      <c r="W2477" s="25"/>
      <c r="X2477" s="25"/>
      <c r="Y2477" s="25"/>
      <c r="Z2477" s="25"/>
    </row>
    <row r="2478" spans="19:26" x14ac:dyDescent="0.35">
      <c r="S2478" s="97"/>
      <c r="T2478" s="97"/>
      <c r="U2478" s="25"/>
      <c r="V2478" s="25"/>
      <c r="W2478" s="25"/>
      <c r="X2478" s="25"/>
      <c r="Y2478" s="25"/>
      <c r="Z2478" s="25"/>
    </row>
    <row r="2479" spans="19:26" x14ac:dyDescent="0.35">
      <c r="S2479" s="97"/>
      <c r="T2479" s="97"/>
      <c r="U2479" s="25"/>
      <c r="V2479" s="25"/>
      <c r="W2479" s="25"/>
      <c r="X2479" s="25"/>
      <c r="Y2479" s="25"/>
      <c r="Z2479" s="25"/>
    </row>
    <row r="2480" spans="19:26" x14ac:dyDescent="0.35">
      <c r="S2480" s="97"/>
      <c r="T2480" s="97"/>
      <c r="U2480" s="25"/>
      <c r="V2480" s="25"/>
      <c r="W2480" s="25"/>
      <c r="X2480" s="25"/>
      <c r="Y2480" s="25"/>
      <c r="Z2480" s="25"/>
    </row>
    <row r="2481" spans="19:26" x14ac:dyDescent="0.35">
      <c r="S2481" s="97"/>
      <c r="T2481" s="97"/>
      <c r="U2481" s="25"/>
      <c r="V2481" s="25"/>
      <c r="W2481" s="25"/>
      <c r="X2481" s="25"/>
      <c r="Y2481" s="25"/>
      <c r="Z2481" s="25"/>
    </row>
    <row r="2482" spans="19:26" x14ac:dyDescent="0.35">
      <c r="S2482" s="97"/>
      <c r="T2482" s="97"/>
      <c r="U2482" s="25"/>
      <c r="V2482" s="25"/>
      <c r="W2482" s="25"/>
      <c r="X2482" s="25"/>
      <c r="Y2482" s="25"/>
      <c r="Z2482" s="25"/>
    </row>
    <row r="2483" spans="19:26" x14ac:dyDescent="0.35">
      <c r="S2483" s="97"/>
      <c r="T2483" s="97"/>
      <c r="U2483" s="25"/>
      <c r="V2483" s="25"/>
      <c r="W2483" s="25"/>
      <c r="X2483" s="25"/>
      <c r="Y2483" s="25"/>
      <c r="Z2483" s="25"/>
    </row>
    <row r="2484" spans="19:26" x14ac:dyDescent="0.35">
      <c r="S2484" s="97"/>
      <c r="T2484" s="97"/>
      <c r="U2484" s="25"/>
      <c r="V2484" s="25"/>
      <c r="W2484" s="25"/>
      <c r="X2484" s="25"/>
      <c r="Y2484" s="25"/>
      <c r="Z2484" s="25"/>
    </row>
    <row r="2485" spans="19:26" x14ac:dyDescent="0.35">
      <c r="S2485" s="97"/>
      <c r="T2485" s="97"/>
      <c r="U2485" s="25"/>
      <c r="V2485" s="25"/>
      <c r="W2485" s="25"/>
      <c r="X2485" s="25"/>
      <c r="Y2485" s="25"/>
      <c r="Z2485" s="25"/>
    </row>
    <row r="2486" spans="19:26" x14ac:dyDescent="0.35">
      <c r="S2486" s="97"/>
      <c r="T2486" s="97"/>
      <c r="U2486" s="25"/>
      <c r="V2486" s="25"/>
      <c r="W2486" s="25"/>
      <c r="X2486" s="25"/>
      <c r="Y2486" s="25"/>
      <c r="Z2486" s="25"/>
    </row>
    <row r="2487" spans="19:26" x14ac:dyDescent="0.35">
      <c r="S2487" s="97"/>
      <c r="T2487" s="97"/>
      <c r="U2487" s="25"/>
      <c r="V2487" s="25"/>
      <c r="W2487" s="25"/>
      <c r="X2487" s="25"/>
      <c r="Y2487" s="25"/>
      <c r="Z2487" s="25"/>
    </row>
    <row r="2488" spans="19:26" x14ac:dyDescent="0.35">
      <c r="S2488" s="97"/>
      <c r="T2488" s="97"/>
      <c r="U2488" s="25"/>
      <c r="V2488" s="25"/>
      <c r="W2488" s="25"/>
      <c r="X2488" s="25"/>
      <c r="Y2488" s="25"/>
      <c r="Z2488" s="25"/>
    </row>
    <row r="2489" spans="19:26" x14ac:dyDescent="0.35">
      <c r="S2489" s="97"/>
      <c r="T2489" s="97"/>
      <c r="U2489" s="25"/>
      <c r="V2489" s="25"/>
      <c r="W2489" s="25"/>
      <c r="X2489" s="25"/>
      <c r="Y2489" s="25"/>
      <c r="Z2489" s="25"/>
    </row>
    <row r="2490" spans="19:26" x14ac:dyDescent="0.35">
      <c r="S2490" s="97"/>
      <c r="T2490" s="97"/>
      <c r="U2490" s="25"/>
      <c r="V2490" s="25"/>
      <c r="W2490" s="25"/>
      <c r="X2490" s="25"/>
      <c r="Y2490" s="25"/>
      <c r="Z2490" s="25"/>
    </row>
    <row r="2491" spans="19:26" x14ac:dyDescent="0.35">
      <c r="S2491" s="97"/>
      <c r="T2491" s="97"/>
      <c r="U2491" s="25"/>
      <c r="V2491" s="25"/>
      <c r="W2491" s="25"/>
      <c r="X2491" s="25"/>
      <c r="Y2491" s="25"/>
      <c r="Z2491" s="25"/>
    </row>
    <row r="2492" spans="19:26" x14ac:dyDescent="0.35">
      <c r="S2492" s="97"/>
      <c r="T2492" s="97"/>
      <c r="U2492" s="25"/>
      <c r="V2492" s="25"/>
      <c r="W2492" s="25"/>
      <c r="X2492" s="25"/>
      <c r="Y2492" s="25"/>
      <c r="Z2492" s="25"/>
    </row>
    <row r="2493" spans="19:26" x14ac:dyDescent="0.35">
      <c r="S2493" s="97"/>
      <c r="T2493" s="97"/>
      <c r="U2493" s="25"/>
      <c r="V2493" s="25"/>
      <c r="W2493" s="25"/>
      <c r="X2493" s="25"/>
      <c r="Y2493" s="25"/>
      <c r="Z2493" s="25"/>
    </row>
    <row r="2494" spans="19:26" x14ac:dyDescent="0.35">
      <c r="S2494" s="97"/>
      <c r="T2494" s="97"/>
      <c r="U2494" s="25"/>
      <c r="V2494" s="25"/>
      <c r="W2494" s="25"/>
      <c r="X2494" s="25"/>
      <c r="Y2494" s="25"/>
      <c r="Z2494" s="25"/>
    </row>
    <row r="2495" spans="19:26" x14ac:dyDescent="0.35">
      <c r="S2495" s="97"/>
      <c r="T2495" s="97"/>
      <c r="U2495" s="25"/>
      <c r="V2495" s="25"/>
      <c r="W2495" s="25"/>
      <c r="X2495" s="25"/>
      <c r="Y2495" s="25"/>
      <c r="Z2495" s="25"/>
    </row>
    <row r="2496" spans="19:26" x14ac:dyDescent="0.35">
      <c r="S2496" s="97"/>
      <c r="T2496" s="97"/>
      <c r="U2496" s="25"/>
      <c r="V2496" s="25"/>
      <c r="W2496" s="25"/>
      <c r="X2496" s="25"/>
      <c r="Y2496" s="25"/>
      <c r="Z2496" s="25"/>
    </row>
    <row r="2497" spans="19:26" x14ac:dyDescent="0.35">
      <c r="S2497" s="97"/>
      <c r="T2497" s="97"/>
      <c r="U2497" s="25"/>
      <c r="V2497" s="25"/>
      <c r="W2497" s="25"/>
      <c r="X2497" s="25"/>
      <c r="Y2497" s="25"/>
      <c r="Z2497" s="25"/>
    </row>
    <row r="2498" spans="19:26" x14ac:dyDescent="0.35">
      <c r="S2498" s="97"/>
      <c r="T2498" s="97"/>
      <c r="U2498" s="25"/>
      <c r="V2498" s="25"/>
      <c r="W2498" s="25"/>
      <c r="X2498" s="25"/>
      <c r="Y2498" s="25"/>
      <c r="Z2498" s="25"/>
    </row>
    <row r="2499" spans="19:26" x14ac:dyDescent="0.35">
      <c r="S2499" s="97"/>
      <c r="T2499" s="97"/>
      <c r="U2499" s="25"/>
      <c r="V2499" s="25"/>
      <c r="W2499" s="25"/>
      <c r="X2499" s="25"/>
      <c r="Y2499" s="25"/>
      <c r="Z2499" s="25"/>
    </row>
    <row r="2500" spans="19:26" x14ac:dyDescent="0.35">
      <c r="S2500" s="97"/>
      <c r="T2500" s="97"/>
      <c r="U2500" s="25"/>
      <c r="V2500" s="25"/>
      <c r="W2500" s="25"/>
      <c r="X2500" s="25"/>
      <c r="Y2500" s="25"/>
      <c r="Z2500" s="25"/>
    </row>
    <row r="2501" spans="19:26" x14ac:dyDescent="0.35">
      <c r="S2501" s="97"/>
      <c r="T2501" s="97"/>
      <c r="U2501" s="25"/>
      <c r="V2501" s="25"/>
      <c r="W2501" s="25"/>
      <c r="X2501" s="25"/>
      <c r="Y2501" s="25"/>
      <c r="Z2501" s="25"/>
    </row>
    <row r="2502" spans="19:26" x14ac:dyDescent="0.35">
      <c r="S2502" s="97"/>
      <c r="T2502" s="97"/>
      <c r="U2502" s="25"/>
      <c r="V2502" s="25"/>
      <c r="W2502" s="25"/>
      <c r="X2502" s="25"/>
      <c r="Y2502" s="25"/>
      <c r="Z2502" s="25"/>
    </row>
    <row r="2503" spans="19:26" x14ac:dyDescent="0.35">
      <c r="S2503" s="97"/>
      <c r="T2503" s="97"/>
      <c r="U2503" s="25"/>
      <c r="V2503" s="25"/>
      <c r="W2503" s="25"/>
      <c r="X2503" s="25"/>
      <c r="Y2503" s="25"/>
      <c r="Z2503" s="25"/>
    </row>
    <row r="2504" spans="19:26" x14ac:dyDescent="0.35">
      <c r="S2504" s="97"/>
      <c r="T2504" s="97"/>
      <c r="U2504" s="25"/>
      <c r="V2504" s="25"/>
      <c r="W2504" s="25"/>
      <c r="X2504" s="25"/>
      <c r="Y2504" s="25"/>
      <c r="Z2504" s="25"/>
    </row>
    <row r="2505" spans="19:26" x14ac:dyDescent="0.35">
      <c r="S2505" s="97"/>
      <c r="T2505" s="97"/>
      <c r="U2505" s="25"/>
      <c r="V2505" s="25"/>
      <c r="W2505" s="25"/>
      <c r="X2505" s="25"/>
      <c r="Y2505" s="25"/>
      <c r="Z2505" s="25"/>
    </row>
    <row r="2506" spans="19:26" x14ac:dyDescent="0.35">
      <c r="S2506" s="97"/>
      <c r="T2506" s="97"/>
      <c r="U2506" s="25"/>
      <c r="V2506" s="25"/>
      <c r="W2506" s="25"/>
      <c r="X2506" s="25"/>
      <c r="Y2506" s="25"/>
      <c r="Z2506" s="25"/>
    </row>
    <row r="2507" spans="19:26" x14ac:dyDescent="0.35">
      <c r="S2507" s="97"/>
      <c r="T2507" s="97"/>
      <c r="U2507" s="25"/>
      <c r="V2507" s="25"/>
      <c r="W2507" s="25"/>
      <c r="X2507" s="25"/>
      <c r="Y2507" s="25"/>
      <c r="Z2507" s="25"/>
    </row>
    <row r="2508" spans="19:26" x14ac:dyDescent="0.35">
      <c r="S2508" s="97"/>
      <c r="T2508" s="97"/>
      <c r="U2508" s="25"/>
      <c r="V2508" s="25"/>
      <c r="W2508" s="25"/>
      <c r="X2508" s="25"/>
      <c r="Y2508" s="25"/>
      <c r="Z2508" s="25"/>
    </row>
    <row r="2509" spans="19:26" x14ac:dyDescent="0.35">
      <c r="S2509" s="97"/>
      <c r="T2509" s="97"/>
      <c r="U2509" s="25"/>
      <c r="V2509" s="25"/>
      <c r="W2509" s="25"/>
      <c r="X2509" s="25"/>
      <c r="Y2509" s="25"/>
      <c r="Z2509" s="25"/>
    </row>
    <row r="2510" spans="19:26" x14ac:dyDescent="0.35">
      <c r="S2510" s="97"/>
      <c r="T2510" s="97"/>
      <c r="U2510" s="25"/>
      <c r="V2510" s="25"/>
      <c r="W2510" s="25"/>
      <c r="X2510" s="25"/>
      <c r="Y2510" s="25"/>
      <c r="Z2510" s="25"/>
    </row>
    <row r="2511" spans="19:26" x14ac:dyDescent="0.35">
      <c r="S2511" s="97"/>
      <c r="T2511" s="97"/>
      <c r="U2511" s="25"/>
      <c r="V2511" s="25"/>
      <c r="W2511" s="25"/>
      <c r="X2511" s="25"/>
      <c r="Y2511" s="25"/>
      <c r="Z2511" s="25"/>
    </row>
    <row r="2512" spans="19:26" x14ac:dyDescent="0.35">
      <c r="S2512" s="97"/>
      <c r="T2512" s="97"/>
      <c r="U2512" s="25"/>
      <c r="V2512" s="25"/>
      <c r="W2512" s="25"/>
      <c r="X2512" s="25"/>
      <c r="Y2512" s="25"/>
      <c r="Z2512" s="25"/>
    </row>
    <row r="2513" spans="19:26" x14ac:dyDescent="0.35">
      <c r="S2513" s="97"/>
      <c r="T2513" s="97"/>
      <c r="U2513" s="25"/>
      <c r="V2513" s="25"/>
      <c r="W2513" s="25"/>
      <c r="X2513" s="25"/>
      <c r="Y2513" s="25"/>
      <c r="Z2513" s="25"/>
    </row>
    <row r="2514" spans="19:26" x14ac:dyDescent="0.35">
      <c r="S2514" s="97"/>
      <c r="T2514" s="97"/>
      <c r="U2514" s="25"/>
      <c r="V2514" s="25"/>
      <c r="W2514" s="25"/>
      <c r="X2514" s="25"/>
      <c r="Y2514" s="25"/>
      <c r="Z2514" s="25"/>
    </row>
    <row r="2515" spans="19:26" x14ac:dyDescent="0.35">
      <c r="S2515" s="97"/>
      <c r="T2515" s="97"/>
      <c r="U2515" s="25"/>
      <c r="V2515" s="25"/>
      <c r="W2515" s="25"/>
      <c r="X2515" s="25"/>
      <c r="Y2515" s="25"/>
      <c r="Z2515" s="25"/>
    </row>
    <row r="2516" spans="19:26" x14ac:dyDescent="0.35">
      <c r="S2516" s="97"/>
      <c r="T2516" s="97"/>
      <c r="U2516" s="25"/>
      <c r="V2516" s="25"/>
      <c r="W2516" s="25"/>
      <c r="X2516" s="25"/>
      <c r="Y2516" s="25"/>
      <c r="Z2516" s="25"/>
    </row>
    <row r="2517" spans="19:26" x14ac:dyDescent="0.35">
      <c r="S2517" s="97"/>
      <c r="T2517" s="97"/>
      <c r="U2517" s="25"/>
      <c r="V2517" s="25"/>
      <c r="W2517" s="25"/>
      <c r="X2517" s="25"/>
      <c r="Y2517" s="25"/>
      <c r="Z2517" s="25"/>
    </row>
    <row r="2518" spans="19:26" x14ac:dyDescent="0.35">
      <c r="S2518" s="97"/>
      <c r="T2518" s="97"/>
      <c r="U2518" s="25"/>
      <c r="V2518" s="25"/>
      <c r="W2518" s="25"/>
      <c r="X2518" s="25"/>
      <c r="Y2518" s="25"/>
      <c r="Z2518" s="25"/>
    </row>
    <row r="2519" spans="19:26" x14ac:dyDescent="0.35">
      <c r="S2519" s="97"/>
      <c r="T2519" s="97"/>
      <c r="U2519" s="25"/>
      <c r="V2519" s="25"/>
      <c r="W2519" s="25"/>
      <c r="X2519" s="25"/>
      <c r="Y2519" s="25"/>
      <c r="Z2519" s="25"/>
    </row>
    <row r="2520" spans="19:26" x14ac:dyDescent="0.35">
      <c r="S2520" s="97"/>
      <c r="T2520" s="97"/>
      <c r="U2520" s="25"/>
      <c r="V2520" s="25"/>
      <c r="W2520" s="25"/>
      <c r="X2520" s="25"/>
      <c r="Y2520" s="25"/>
      <c r="Z2520" s="25"/>
    </row>
    <row r="2521" spans="19:26" x14ac:dyDescent="0.35">
      <c r="S2521" s="97"/>
      <c r="T2521" s="97"/>
      <c r="U2521" s="25"/>
      <c r="V2521" s="25"/>
      <c r="W2521" s="25"/>
      <c r="X2521" s="25"/>
      <c r="Y2521" s="25"/>
      <c r="Z2521" s="25"/>
    </row>
    <row r="2522" spans="19:26" x14ac:dyDescent="0.35">
      <c r="S2522" s="97"/>
      <c r="T2522" s="97"/>
      <c r="U2522" s="25"/>
      <c r="V2522" s="25"/>
      <c r="W2522" s="25"/>
      <c r="X2522" s="25"/>
      <c r="Y2522" s="25"/>
      <c r="Z2522" s="25"/>
    </row>
    <row r="2523" spans="19:26" x14ac:dyDescent="0.35">
      <c r="S2523" s="97"/>
      <c r="T2523" s="97"/>
      <c r="U2523" s="25"/>
      <c r="V2523" s="25"/>
      <c r="W2523" s="25"/>
      <c r="X2523" s="25"/>
      <c r="Y2523" s="25"/>
      <c r="Z2523" s="25"/>
    </row>
    <row r="2524" spans="19:26" x14ac:dyDescent="0.35">
      <c r="S2524" s="97"/>
      <c r="T2524" s="97"/>
      <c r="U2524" s="25"/>
      <c r="V2524" s="25"/>
      <c r="W2524" s="25"/>
      <c r="X2524" s="25"/>
      <c r="Y2524" s="25"/>
      <c r="Z2524" s="25"/>
    </row>
    <row r="2525" spans="19:26" x14ac:dyDescent="0.35">
      <c r="S2525" s="97"/>
      <c r="T2525" s="97"/>
      <c r="U2525" s="25"/>
      <c r="V2525" s="25"/>
      <c r="W2525" s="25"/>
      <c r="X2525" s="25"/>
      <c r="Y2525" s="25"/>
      <c r="Z2525" s="25"/>
    </row>
    <row r="2526" spans="19:26" x14ac:dyDescent="0.35">
      <c r="S2526" s="97"/>
      <c r="T2526" s="97"/>
      <c r="U2526" s="25"/>
      <c r="V2526" s="25"/>
      <c r="W2526" s="25"/>
      <c r="X2526" s="25"/>
      <c r="Y2526" s="25"/>
      <c r="Z2526" s="25"/>
    </row>
    <row r="2527" spans="19:26" x14ac:dyDescent="0.35">
      <c r="S2527" s="97"/>
      <c r="T2527" s="97"/>
      <c r="U2527" s="25"/>
      <c r="V2527" s="25"/>
      <c r="W2527" s="25"/>
      <c r="X2527" s="25"/>
      <c r="Y2527" s="25"/>
      <c r="Z2527" s="25"/>
    </row>
    <row r="2528" spans="19:26" x14ac:dyDescent="0.35">
      <c r="S2528" s="97"/>
      <c r="T2528" s="97"/>
      <c r="U2528" s="25"/>
      <c r="V2528" s="25"/>
      <c r="W2528" s="25"/>
      <c r="X2528" s="25"/>
      <c r="Y2528" s="25"/>
      <c r="Z2528" s="25"/>
    </row>
    <row r="2529" spans="19:26" x14ac:dyDescent="0.35">
      <c r="S2529" s="97"/>
      <c r="T2529" s="97"/>
      <c r="U2529" s="25"/>
      <c r="V2529" s="25"/>
      <c r="W2529" s="25"/>
      <c r="X2529" s="25"/>
      <c r="Y2529" s="25"/>
      <c r="Z2529" s="25"/>
    </row>
    <row r="2530" spans="19:26" x14ac:dyDescent="0.35">
      <c r="S2530" s="97"/>
      <c r="T2530" s="97"/>
      <c r="U2530" s="25"/>
      <c r="V2530" s="25"/>
      <c r="W2530" s="25"/>
      <c r="X2530" s="25"/>
      <c r="Y2530" s="25"/>
      <c r="Z2530" s="25"/>
    </row>
    <row r="2531" spans="19:26" x14ac:dyDescent="0.35">
      <c r="S2531" s="97"/>
      <c r="T2531" s="97"/>
      <c r="U2531" s="25"/>
      <c r="V2531" s="25"/>
      <c r="W2531" s="25"/>
      <c r="X2531" s="25"/>
      <c r="Y2531" s="25"/>
      <c r="Z2531" s="25"/>
    </row>
    <row r="2532" spans="19:26" x14ac:dyDescent="0.35">
      <c r="S2532" s="97"/>
      <c r="T2532" s="97"/>
      <c r="U2532" s="25"/>
      <c r="V2532" s="25"/>
      <c r="W2532" s="25"/>
      <c r="X2532" s="25"/>
      <c r="Y2532" s="25"/>
      <c r="Z2532" s="25"/>
    </row>
    <row r="2533" spans="19:26" x14ac:dyDescent="0.35">
      <c r="S2533" s="97"/>
      <c r="T2533" s="97"/>
      <c r="U2533" s="25"/>
      <c r="V2533" s="25"/>
      <c r="W2533" s="25"/>
      <c r="X2533" s="25"/>
      <c r="Y2533" s="25"/>
      <c r="Z2533" s="25"/>
    </row>
    <row r="2534" spans="19:26" x14ac:dyDescent="0.35">
      <c r="S2534" s="97"/>
      <c r="T2534" s="97"/>
      <c r="U2534" s="25"/>
      <c r="V2534" s="25"/>
      <c r="W2534" s="25"/>
      <c r="X2534" s="25"/>
      <c r="Y2534" s="25"/>
      <c r="Z2534" s="25"/>
    </row>
    <row r="2535" spans="19:26" x14ac:dyDescent="0.35">
      <c r="S2535" s="97"/>
      <c r="T2535" s="97"/>
      <c r="U2535" s="25"/>
      <c r="V2535" s="25"/>
      <c r="W2535" s="25"/>
      <c r="X2535" s="25"/>
      <c r="Y2535" s="25"/>
      <c r="Z2535" s="25"/>
    </row>
    <row r="2536" spans="19:26" x14ac:dyDescent="0.35">
      <c r="S2536" s="97"/>
      <c r="T2536" s="97"/>
      <c r="U2536" s="25"/>
      <c r="V2536" s="25"/>
      <c r="W2536" s="25"/>
      <c r="X2536" s="25"/>
      <c r="Y2536" s="25"/>
      <c r="Z2536" s="25"/>
    </row>
    <row r="2537" spans="19:26" x14ac:dyDescent="0.35">
      <c r="S2537" s="97"/>
      <c r="T2537" s="97"/>
      <c r="U2537" s="25"/>
      <c r="V2537" s="25"/>
      <c r="W2537" s="25"/>
      <c r="X2537" s="25"/>
      <c r="Y2537" s="25"/>
      <c r="Z2537" s="25"/>
    </row>
    <row r="2538" spans="19:26" x14ac:dyDescent="0.35">
      <c r="S2538" s="97"/>
      <c r="T2538" s="97"/>
      <c r="U2538" s="25"/>
      <c r="V2538" s="25"/>
      <c r="W2538" s="25"/>
      <c r="X2538" s="25"/>
      <c r="Y2538" s="25"/>
      <c r="Z2538" s="25"/>
    </row>
    <row r="2539" spans="19:26" x14ac:dyDescent="0.35">
      <c r="S2539" s="97"/>
      <c r="T2539" s="97"/>
      <c r="U2539" s="25"/>
      <c r="V2539" s="25"/>
      <c r="W2539" s="25"/>
      <c r="X2539" s="25"/>
      <c r="Y2539" s="25"/>
      <c r="Z2539" s="25"/>
    </row>
    <row r="2540" spans="19:26" x14ac:dyDescent="0.35">
      <c r="S2540" s="97"/>
      <c r="T2540" s="97"/>
      <c r="U2540" s="25"/>
      <c r="V2540" s="25"/>
      <c r="W2540" s="25"/>
      <c r="X2540" s="25"/>
      <c r="Y2540" s="25"/>
      <c r="Z2540" s="25"/>
    </row>
    <row r="2541" spans="19:26" x14ac:dyDescent="0.35">
      <c r="S2541" s="97"/>
      <c r="T2541" s="97"/>
      <c r="U2541" s="25"/>
      <c r="V2541" s="25"/>
      <c r="W2541" s="25"/>
      <c r="X2541" s="25"/>
      <c r="Y2541" s="25"/>
      <c r="Z2541" s="25"/>
    </row>
    <row r="2542" spans="19:26" x14ac:dyDescent="0.35">
      <c r="S2542" s="97"/>
      <c r="T2542" s="97"/>
      <c r="U2542" s="25"/>
      <c r="V2542" s="25"/>
      <c r="W2542" s="25"/>
      <c r="X2542" s="25"/>
      <c r="Y2542" s="25"/>
      <c r="Z2542" s="25"/>
    </row>
    <row r="2543" spans="19:26" x14ac:dyDescent="0.35">
      <c r="S2543" s="97"/>
      <c r="T2543" s="97"/>
      <c r="U2543" s="25"/>
      <c r="V2543" s="25"/>
      <c r="W2543" s="25"/>
      <c r="X2543" s="25"/>
      <c r="Y2543" s="25"/>
      <c r="Z2543" s="25"/>
    </row>
    <row r="2544" spans="19:26" x14ac:dyDescent="0.35">
      <c r="S2544" s="97"/>
      <c r="T2544" s="97"/>
      <c r="U2544" s="25"/>
      <c r="V2544" s="25"/>
      <c r="W2544" s="25"/>
      <c r="X2544" s="25"/>
      <c r="Y2544" s="25"/>
      <c r="Z2544" s="25"/>
    </row>
    <row r="2545" spans="19:26" x14ac:dyDescent="0.35">
      <c r="S2545" s="97"/>
      <c r="T2545" s="97"/>
      <c r="U2545" s="25"/>
      <c r="V2545" s="25"/>
      <c r="W2545" s="25"/>
      <c r="X2545" s="25"/>
      <c r="Y2545" s="25"/>
      <c r="Z2545" s="25"/>
    </row>
    <row r="2546" spans="19:26" x14ac:dyDescent="0.35">
      <c r="S2546" s="97"/>
      <c r="T2546" s="97"/>
      <c r="U2546" s="25"/>
      <c r="V2546" s="25"/>
      <c r="W2546" s="25"/>
      <c r="X2546" s="25"/>
      <c r="Y2546" s="25"/>
      <c r="Z2546" s="25"/>
    </row>
    <row r="2547" spans="19:26" x14ac:dyDescent="0.35">
      <c r="S2547" s="97"/>
      <c r="T2547" s="97"/>
      <c r="U2547" s="25"/>
      <c r="V2547" s="25"/>
      <c r="W2547" s="25"/>
      <c r="X2547" s="25"/>
      <c r="Y2547" s="25"/>
      <c r="Z2547" s="25"/>
    </row>
    <row r="2548" spans="19:26" x14ac:dyDescent="0.35">
      <c r="S2548" s="97"/>
      <c r="T2548" s="97"/>
      <c r="U2548" s="25"/>
      <c r="V2548" s="25"/>
      <c r="W2548" s="25"/>
      <c r="X2548" s="25"/>
      <c r="Y2548" s="25"/>
      <c r="Z2548" s="25"/>
    </row>
    <row r="2549" spans="19:26" x14ac:dyDescent="0.35">
      <c r="S2549" s="97"/>
      <c r="T2549" s="97"/>
      <c r="U2549" s="25"/>
      <c r="V2549" s="25"/>
      <c r="W2549" s="25"/>
      <c r="X2549" s="25"/>
      <c r="Y2549" s="25"/>
      <c r="Z2549" s="25"/>
    </row>
    <row r="2550" spans="19:26" x14ac:dyDescent="0.35">
      <c r="S2550" s="97"/>
      <c r="T2550" s="97"/>
      <c r="U2550" s="25"/>
      <c r="V2550" s="25"/>
      <c r="W2550" s="25"/>
      <c r="X2550" s="25"/>
      <c r="Y2550" s="25"/>
      <c r="Z2550" s="25"/>
    </row>
    <row r="2551" spans="19:26" x14ac:dyDescent="0.35">
      <c r="S2551" s="97"/>
      <c r="T2551" s="97"/>
      <c r="U2551" s="25"/>
      <c r="V2551" s="25"/>
      <c r="W2551" s="25"/>
      <c r="X2551" s="25"/>
      <c r="Y2551" s="25"/>
      <c r="Z2551" s="25"/>
    </row>
    <row r="2552" spans="19:26" x14ac:dyDescent="0.35">
      <c r="S2552" s="97"/>
      <c r="T2552" s="97"/>
      <c r="U2552" s="25"/>
      <c r="V2552" s="25"/>
      <c r="W2552" s="25"/>
      <c r="X2552" s="25"/>
      <c r="Y2552" s="25"/>
      <c r="Z2552" s="25"/>
    </row>
    <row r="2553" spans="19:26" x14ac:dyDescent="0.35">
      <c r="S2553" s="97"/>
      <c r="T2553" s="97"/>
      <c r="U2553" s="25"/>
      <c r="V2553" s="25"/>
      <c r="W2553" s="25"/>
      <c r="X2553" s="25"/>
      <c r="Y2553" s="25"/>
      <c r="Z2553" s="25"/>
    </row>
    <row r="2554" spans="19:26" x14ac:dyDescent="0.35">
      <c r="S2554" s="97"/>
      <c r="T2554" s="97"/>
      <c r="U2554" s="25"/>
      <c r="V2554" s="25"/>
      <c r="W2554" s="25"/>
      <c r="X2554" s="25"/>
      <c r="Y2554" s="25"/>
      <c r="Z2554" s="25"/>
    </row>
    <row r="2555" spans="19:26" x14ac:dyDescent="0.35">
      <c r="S2555" s="97"/>
      <c r="T2555" s="97"/>
      <c r="U2555" s="25"/>
      <c r="V2555" s="25"/>
      <c r="W2555" s="25"/>
      <c r="X2555" s="25"/>
      <c r="Y2555" s="25"/>
      <c r="Z2555" s="25"/>
    </row>
    <row r="2556" spans="19:26" x14ac:dyDescent="0.35">
      <c r="S2556" s="97"/>
      <c r="T2556" s="97"/>
      <c r="U2556" s="25"/>
      <c r="V2556" s="25"/>
      <c r="W2556" s="25"/>
      <c r="X2556" s="25"/>
      <c r="Y2556" s="25"/>
      <c r="Z2556" s="25"/>
    </row>
    <row r="2557" spans="19:26" x14ac:dyDescent="0.35">
      <c r="S2557" s="97"/>
      <c r="T2557" s="97"/>
      <c r="U2557" s="25"/>
      <c r="V2557" s="25"/>
      <c r="W2557" s="25"/>
      <c r="X2557" s="25"/>
      <c r="Y2557" s="25"/>
      <c r="Z2557" s="25"/>
    </row>
    <row r="2558" spans="19:26" x14ac:dyDescent="0.35">
      <c r="S2558" s="97"/>
      <c r="T2558" s="97"/>
      <c r="U2558" s="25"/>
      <c r="V2558" s="25"/>
      <c r="W2558" s="25"/>
      <c r="X2558" s="25"/>
      <c r="Y2558" s="25"/>
      <c r="Z2558" s="25"/>
    </row>
    <row r="2559" spans="19:26" x14ac:dyDescent="0.35">
      <c r="S2559" s="97"/>
      <c r="T2559" s="97"/>
      <c r="U2559" s="25"/>
      <c r="V2559" s="25"/>
      <c r="W2559" s="25"/>
      <c r="X2559" s="25"/>
      <c r="Y2559" s="25"/>
      <c r="Z2559" s="25"/>
    </row>
    <row r="2560" spans="19:26" x14ac:dyDescent="0.35">
      <c r="S2560" s="97"/>
      <c r="T2560" s="97"/>
      <c r="U2560" s="25"/>
      <c r="V2560" s="25"/>
      <c r="W2560" s="25"/>
      <c r="X2560" s="25"/>
      <c r="Y2560" s="25"/>
      <c r="Z2560" s="25"/>
    </row>
    <row r="2561" spans="19:26" x14ac:dyDescent="0.35">
      <c r="S2561" s="97"/>
      <c r="T2561" s="97"/>
      <c r="U2561" s="25"/>
      <c r="V2561" s="25"/>
      <c r="W2561" s="25"/>
      <c r="X2561" s="25"/>
      <c r="Y2561" s="25"/>
      <c r="Z2561" s="25"/>
    </row>
    <row r="2562" spans="19:26" x14ac:dyDescent="0.35">
      <c r="S2562" s="97"/>
      <c r="T2562" s="97"/>
      <c r="U2562" s="25"/>
      <c r="V2562" s="25"/>
      <c r="W2562" s="25"/>
      <c r="X2562" s="25"/>
      <c r="Y2562" s="25"/>
      <c r="Z2562" s="25"/>
    </row>
    <row r="2563" spans="19:26" x14ac:dyDescent="0.35">
      <c r="S2563" s="97"/>
      <c r="T2563" s="97"/>
      <c r="U2563" s="25"/>
      <c r="V2563" s="25"/>
      <c r="W2563" s="25"/>
      <c r="X2563" s="25"/>
      <c r="Y2563" s="25"/>
      <c r="Z2563" s="25"/>
    </row>
    <row r="2564" spans="19:26" x14ac:dyDescent="0.35">
      <c r="S2564" s="97"/>
      <c r="T2564" s="97"/>
      <c r="U2564" s="25"/>
      <c r="V2564" s="25"/>
      <c r="W2564" s="25"/>
      <c r="X2564" s="25"/>
      <c r="Y2564" s="25"/>
      <c r="Z2564" s="25"/>
    </row>
    <row r="2565" spans="19:26" x14ac:dyDescent="0.35">
      <c r="S2565" s="97"/>
      <c r="T2565" s="97"/>
      <c r="U2565" s="25"/>
      <c r="V2565" s="25"/>
      <c r="W2565" s="25"/>
      <c r="X2565" s="25"/>
      <c r="Y2565" s="25"/>
      <c r="Z2565" s="25"/>
    </row>
    <row r="2566" spans="19:26" x14ac:dyDescent="0.35">
      <c r="S2566" s="97"/>
      <c r="T2566" s="97"/>
      <c r="U2566" s="25"/>
      <c r="V2566" s="25"/>
      <c r="W2566" s="25"/>
      <c r="X2566" s="25"/>
      <c r="Y2566" s="25"/>
      <c r="Z2566" s="25"/>
    </row>
    <row r="2567" spans="19:26" x14ac:dyDescent="0.35">
      <c r="S2567" s="97"/>
      <c r="T2567" s="97"/>
      <c r="U2567" s="25"/>
      <c r="V2567" s="25"/>
      <c r="W2567" s="25"/>
      <c r="X2567" s="25"/>
      <c r="Y2567" s="25"/>
      <c r="Z2567" s="25"/>
    </row>
    <row r="2568" spans="19:26" x14ac:dyDescent="0.35">
      <c r="S2568" s="97"/>
      <c r="T2568" s="97"/>
      <c r="U2568" s="25"/>
      <c r="V2568" s="25"/>
      <c r="W2568" s="25"/>
      <c r="X2568" s="25"/>
      <c r="Y2568" s="25"/>
      <c r="Z2568" s="25"/>
    </row>
    <row r="2569" spans="19:26" x14ac:dyDescent="0.35">
      <c r="S2569" s="97"/>
      <c r="T2569" s="97"/>
      <c r="U2569" s="25"/>
      <c r="V2569" s="25"/>
      <c r="W2569" s="25"/>
      <c r="X2569" s="25"/>
      <c r="Y2569" s="25"/>
      <c r="Z2569" s="25"/>
    </row>
    <row r="2570" spans="19:26" x14ac:dyDescent="0.35">
      <c r="S2570" s="97"/>
      <c r="T2570" s="97"/>
      <c r="U2570" s="25"/>
      <c r="V2570" s="25"/>
      <c r="W2570" s="25"/>
      <c r="X2570" s="25"/>
      <c r="Y2570" s="25"/>
      <c r="Z2570" s="25"/>
    </row>
    <row r="2571" spans="19:26" x14ac:dyDescent="0.35">
      <c r="S2571" s="97"/>
      <c r="T2571" s="97"/>
      <c r="U2571" s="25"/>
      <c r="V2571" s="25"/>
      <c r="W2571" s="25"/>
      <c r="X2571" s="25"/>
      <c r="Y2571" s="25"/>
      <c r="Z2571" s="25"/>
    </row>
    <row r="2572" spans="19:26" x14ac:dyDescent="0.35">
      <c r="S2572" s="97"/>
      <c r="T2572" s="97"/>
      <c r="U2572" s="25"/>
      <c r="V2572" s="25"/>
      <c r="W2572" s="25"/>
      <c r="X2572" s="25"/>
      <c r="Y2572" s="25"/>
      <c r="Z2572" s="25"/>
    </row>
    <row r="2573" spans="19:26" x14ac:dyDescent="0.35">
      <c r="S2573" s="97"/>
      <c r="T2573" s="97"/>
      <c r="U2573" s="25"/>
      <c r="V2573" s="25"/>
      <c r="W2573" s="25"/>
      <c r="X2573" s="25"/>
      <c r="Y2573" s="25"/>
      <c r="Z2573" s="25"/>
    </row>
    <row r="2574" spans="19:26" x14ac:dyDescent="0.35">
      <c r="S2574" s="97"/>
      <c r="T2574" s="97"/>
      <c r="U2574" s="25"/>
      <c r="V2574" s="25"/>
      <c r="W2574" s="25"/>
      <c r="X2574" s="25"/>
      <c r="Y2574" s="25"/>
      <c r="Z2574" s="25"/>
    </row>
    <row r="2575" spans="19:26" x14ac:dyDescent="0.35">
      <c r="S2575" s="97"/>
      <c r="T2575" s="97"/>
      <c r="U2575" s="25"/>
      <c r="V2575" s="25"/>
      <c r="W2575" s="25"/>
      <c r="X2575" s="25"/>
      <c r="Y2575" s="25"/>
      <c r="Z2575" s="25"/>
    </row>
    <row r="2576" spans="19:26" x14ac:dyDescent="0.35">
      <c r="S2576" s="97"/>
      <c r="T2576" s="97"/>
      <c r="U2576" s="25"/>
      <c r="V2576" s="25"/>
      <c r="W2576" s="25"/>
      <c r="X2576" s="25"/>
      <c r="Y2576" s="25"/>
      <c r="Z2576" s="25"/>
    </row>
    <row r="2577" spans="19:26" x14ac:dyDescent="0.35">
      <c r="S2577" s="97"/>
      <c r="T2577" s="97"/>
      <c r="U2577" s="25"/>
      <c r="V2577" s="25"/>
      <c r="W2577" s="25"/>
      <c r="X2577" s="25"/>
      <c r="Y2577" s="25"/>
      <c r="Z2577" s="25"/>
    </row>
    <row r="2578" spans="19:26" x14ac:dyDescent="0.35">
      <c r="S2578" s="97"/>
      <c r="T2578" s="97"/>
      <c r="U2578" s="25"/>
      <c r="V2578" s="25"/>
      <c r="W2578" s="25"/>
      <c r="X2578" s="25"/>
      <c r="Y2578" s="25"/>
      <c r="Z2578" s="25"/>
    </row>
    <row r="2579" spans="19:26" x14ac:dyDescent="0.35">
      <c r="S2579" s="97"/>
      <c r="T2579" s="97"/>
      <c r="U2579" s="25"/>
      <c r="V2579" s="25"/>
      <c r="W2579" s="25"/>
      <c r="X2579" s="25"/>
      <c r="Y2579" s="25"/>
      <c r="Z2579" s="25"/>
    </row>
    <row r="2580" spans="19:26" x14ac:dyDescent="0.35">
      <c r="S2580" s="97"/>
      <c r="T2580" s="97"/>
      <c r="U2580" s="25"/>
      <c r="V2580" s="25"/>
      <c r="W2580" s="25"/>
      <c r="X2580" s="25"/>
      <c r="Y2580" s="25"/>
      <c r="Z2580" s="25"/>
    </row>
    <row r="2581" spans="19:26" x14ac:dyDescent="0.35">
      <c r="S2581" s="97"/>
      <c r="T2581" s="97"/>
      <c r="U2581" s="25"/>
      <c r="V2581" s="25"/>
      <c r="W2581" s="25"/>
      <c r="X2581" s="25"/>
      <c r="Y2581" s="25"/>
      <c r="Z2581" s="25"/>
    </row>
    <row r="2582" spans="19:26" x14ac:dyDescent="0.35">
      <c r="S2582" s="97"/>
      <c r="T2582" s="97"/>
      <c r="U2582" s="25"/>
      <c r="V2582" s="25"/>
      <c r="W2582" s="25"/>
      <c r="X2582" s="25"/>
      <c r="Y2582" s="25"/>
      <c r="Z2582" s="25"/>
    </row>
    <row r="2583" spans="19:26" x14ac:dyDescent="0.35">
      <c r="S2583" s="97"/>
      <c r="T2583" s="97"/>
      <c r="U2583" s="25"/>
      <c r="V2583" s="25"/>
      <c r="W2583" s="25"/>
      <c r="X2583" s="25"/>
      <c r="Y2583" s="25"/>
      <c r="Z2583" s="25"/>
    </row>
    <row r="2584" spans="19:26" x14ac:dyDescent="0.35">
      <c r="S2584" s="97"/>
      <c r="T2584" s="97"/>
      <c r="U2584" s="25"/>
      <c r="V2584" s="25"/>
      <c r="W2584" s="25"/>
      <c r="X2584" s="25"/>
      <c r="Y2584" s="25"/>
      <c r="Z2584" s="25"/>
    </row>
    <row r="2585" spans="19:26" x14ac:dyDescent="0.35">
      <c r="S2585" s="97"/>
      <c r="T2585" s="97"/>
      <c r="U2585" s="25"/>
      <c r="V2585" s="25"/>
      <c r="W2585" s="25"/>
      <c r="X2585" s="25"/>
      <c r="Y2585" s="25"/>
      <c r="Z2585" s="25"/>
    </row>
    <row r="2586" spans="19:26" x14ac:dyDescent="0.35">
      <c r="S2586" s="97"/>
      <c r="T2586" s="97"/>
      <c r="U2586" s="25"/>
      <c r="V2586" s="25"/>
      <c r="W2586" s="25"/>
      <c r="X2586" s="25"/>
      <c r="Y2586" s="25"/>
      <c r="Z2586" s="25"/>
    </row>
    <row r="2587" spans="19:26" x14ac:dyDescent="0.35">
      <c r="S2587" s="97"/>
      <c r="T2587" s="97"/>
      <c r="U2587" s="25"/>
      <c r="V2587" s="25"/>
      <c r="W2587" s="25"/>
      <c r="X2587" s="25"/>
      <c r="Y2587" s="25"/>
      <c r="Z2587" s="25"/>
    </row>
    <row r="2588" spans="19:26" x14ac:dyDescent="0.35">
      <c r="S2588" s="97"/>
      <c r="T2588" s="97"/>
      <c r="U2588" s="25"/>
      <c r="V2588" s="25"/>
      <c r="W2588" s="25"/>
      <c r="X2588" s="25"/>
      <c r="Y2588" s="25"/>
      <c r="Z2588" s="25"/>
    </row>
    <row r="2589" spans="19:26" x14ac:dyDescent="0.35">
      <c r="S2589" s="97"/>
      <c r="T2589" s="97"/>
      <c r="U2589" s="25"/>
      <c r="V2589" s="25"/>
      <c r="W2589" s="25"/>
      <c r="X2589" s="25"/>
      <c r="Y2589" s="25"/>
      <c r="Z2589" s="25"/>
    </row>
    <row r="2590" spans="19:26" x14ac:dyDescent="0.35">
      <c r="S2590" s="97"/>
      <c r="T2590" s="97"/>
      <c r="U2590" s="25"/>
      <c r="V2590" s="25"/>
      <c r="W2590" s="25"/>
      <c r="X2590" s="25"/>
      <c r="Y2590" s="25"/>
      <c r="Z2590" s="25"/>
    </row>
    <row r="2591" spans="19:26" x14ac:dyDescent="0.35">
      <c r="S2591" s="97"/>
      <c r="T2591" s="97"/>
      <c r="U2591" s="25"/>
      <c r="V2591" s="25"/>
      <c r="W2591" s="25"/>
      <c r="X2591" s="25"/>
      <c r="Y2591" s="25"/>
      <c r="Z2591" s="25"/>
    </row>
    <row r="2592" spans="19:26" x14ac:dyDescent="0.35">
      <c r="S2592" s="97"/>
      <c r="T2592" s="97"/>
      <c r="U2592" s="25"/>
      <c r="V2592" s="25"/>
      <c r="W2592" s="25"/>
      <c r="X2592" s="25"/>
      <c r="Y2592" s="25"/>
      <c r="Z2592" s="25"/>
    </row>
    <row r="2593" spans="19:26" x14ac:dyDescent="0.35">
      <c r="S2593" s="97"/>
      <c r="T2593" s="97"/>
      <c r="U2593" s="25"/>
      <c r="V2593" s="25"/>
      <c r="W2593" s="25"/>
      <c r="X2593" s="25"/>
      <c r="Y2593" s="25"/>
      <c r="Z2593" s="25"/>
    </row>
    <row r="2594" spans="19:26" x14ac:dyDescent="0.35">
      <c r="S2594" s="97"/>
      <c r="T2594" s="97"/>
      <c r="U2594" s="25"/>
      <c r="V2594" s="25"/>
      <c r="W2594" s="25"/>
      <c r="X2594" s="25"/>
      <c r="Y2594" s="25"/>
      <c r="Z2594" s="25"/>
    </row>
    <row r="2595" spans="19:26" x14ac:dyDescent="0.35">
      <c r="S2595" s="97"/>
      <c r="T2595" s="97"/>
      <c r="U2595" s="25"/>
      <c r="V2595" s="25"/>
      <c r="W2595" s="25"/>
      <c r="X2595" s="25"/>
      <c r="Y2595" s="25"/>
      <c r="Z2595" s="25"/>
    </row>
    <row r="2596" spans="19:26" x14ac:dyDescent="0.35">
      <c r="S2596" s="97"/>
      <c r="T2596" s="97"/>
      <c r="U2596" s="25"/>
      <c r="V2596" s="25"/>
      <c r="W2596" s="25"/>
      <c r="X2596" s="25"/>
      <c r="Y2596" s="25"/>
      <c r="Z2596" s="25"/>
    </row>
    <row r="2597" spans="19:26" x14ac:dyDescent="0.35">
      <c r="S2597" s="97"/>
      <c r="T2597" s="97"/>
      <c r="U2597" s="25"/>
      <c r="V2597" s="25"/>
      <c r="W2597" s="25"/>
      <c r="X2597" s="25"/>
      <c r="Y2597" s="25"/>
      <c r="Z2597" s="25"/>
    </row>
    <row r="2598" spans="19:26" x14ac:dyDescent="0.35">
      <c r="S2598" s="97"/>
      <c r="T2598" s="97"/>
      <c r="U2598" s="25"/>
      <c r="V2598" s="25"/>
      <c r="W2598" s="25"/>
      <c r="X2598" s="25"/>
      <c r="Y2598" s="25"/>
      <c r="Z2598" s="25"/>
    </row>
    <row r="2599" spans="19:26" x14ac:dyDescent="0.35">
      <c r="S2599" s="97"/>
      <c r="T2599" s="97"/>
      <c r="U2599" s="25"/>
      <c r="V2599" s="25"/>
      <c r="W2599" s="25"/>
      <c r="X2599" s="25"/>
      <c r="Y2599" s="25"/>
      <c r="Z2599" s="25"/>
    </row>
    <row r="2600" spans="19:26" x14ac:dyDescent="0.35">
      <c r="S2600" s="97"/>
      <c r="T2600" s="97"/>
      <c r="U2600" s="25"/>
      <c r="V2600" s="25"/>
      <c r="W2600" s="25"/>
      <c r="X2600" s="25"/>
      <c r="Y2600" s="25"/>
      <c r="Z2600" s="25"/>
    </row>
    <row r="2601" spans="19:26" x14ac:dyDescent="0.35">
      <c r="S2601" s="97"/>
      <c r="T2601" s="97"/>
      <c r="U2601" s="25"/>
      <c r="V2601" s="25"/>
      <c r="W2601" s="25"/>
      <c r="X2601" s="25"/>
      <c r="Y2601" s="25"/>
      <c r="Z2601" s="25"/>
    </row>
    <row r="2602" spans="19:26" x14ac:dyDescent="0.35">
      <c r="S2602" s="97"/>
      <c r="T2602" s="97"/>
      <c r="U2602" s="25"/>
      <c r="V2602" s="25"/>
      <c r="W2602" s="25"/>
      <c r="X2602" s="25"/>
      <c r="Y2602" s="25"/>
      <c r="Z2602" s="25"/>
    </row>
    <row r="2603" spans="19:26" x14ac:dyDescent="0.35">
      <c r="S2603" s="97"/>
      <c r="T2603" s="97"/>
      <c r="U2603" s="25"/>
      <c r="V2603" s="25"/>
      <c r="W2603" s="25"/>
      <c r="X2603" s="25"/>
      <c r="Y2603" s="25"/>
      <c r="Z2603" s="25"/>
    </row>
    <row r="2604" spans="19:26" x14ac:dyDescent="0.35">
      <c r="S2604" s="97"/>
      <c r="T2604" s="97"/>
      <c r="U2604" s="25"/>
      <c r="V2604" s="25"/>
      <c r="W2604" s="25"/>
      <c r="X2604" s="25"/>
      <c r="Y2604" s="25"/>
      <c r="Z2604" s="25"/>
    </row>
    <row r="2605" spans="19:26" x14ac:dyDescent="0.35">
      <c r="S2605" s="97"/>
      <c r="T2605" s="97"/>
      <c r="U2605" s="25"/>
      <c r="V2605" s="25"/>
      <c r="W2605" s="25"/>
      <c r="X2605" s="25"/>
      <c r="Y2605" s="25"/>
      <c r="Z2605" s="25"/>
    </row>
    <row r="2606" spans="19:26" x14ac:dyDescent="0.35">
      <c r="S2606" s="97"/>
      <c r="T2606" s="97"/>
      <c r="U2606" s="25"/>
      <c r="V2606" s="25"/>
      <c r="W2606" s="25"/>
      <c r="X2606" s="25"/>
      <c r="Y2606" s="25"/>
      <c r="Z2606" s="25"/>
    </row>
    <row r="2607" spans="19:26" x14ac:dyDescent="0.35">
      <c r="S2607" s="97"/>
      <c r="T2607" s="97"/>
      <c r="U2607" s="25"/>
      <c r="V2607" s="25"/>
      <c r="W2607" s="25"/>
      <c r="X2607" s="25"/>
      <c r="Y2607" s="25"/>
      <c r="Z2607" s="25"/>
    </row>
    <row r="2608" spans="19:26" x14ac:dyDescent="0.35">
      <c r="S2608" s="97"/>
      <c r="T2608" s="97"/>
      <c r="U2608" s="25"/>
      <c r="V2608" s="25"/>
      <c r="W2608" s="25"/>
      <c r="X2608" s="25"/>
      <c r="Y2608" s="25"/>
      <c r="Z2608" s="25"/>
    </row>
    <row r="2609" spans="19:26" x14ac:dyDescent="0.35">
      <c r="S2609" s="97"/>
      <c r="T2609" s="97"/>
      <c r="U2609" s="25"/>
      <c r="V2609" s="25"/>
      <c r="W2609" s="25"/>
      <c r="X2609" s="25"/>
      <c r="Y2609" s="25"/>
      <c r="Z2609" s="25"/>
    </row>
    <row r="2610" spans="19:26" x14ac:dyDescent="0.35">
      <c r="S2610" s="97"/>
      <c r="T2610" s="97"/>
      <c r="U2610" s="25"/>
      <c r="V2610" s="25"/>
      <c r="W2610" s="25"/>
      <c r="X2610" s="25"/>
      <c r="Y2610" s="25"/>
      <c r="Z2610" s="25"/>
    </row>
    <row r="2611" spans="19:26" x14ac:dyDescent="0.35">
      <c r="S2611" s="97"/>
      <c r="T2611" s="97"/>
      <c r="U2611" s="25"/>
      <c r="V2611" s="25"/>
      <c r="W2611" s="25"/>
      <c r="X2611" s="25"/>
      <c r="Y2611" s="25"/>
      <c r="Z2611" s="25"/>
    </row>
    <row r="2612" spans="19:26" x14ac:dyDescent="0.35">
      <c r="S2612" s="97"/>
      <c r="T2612" s="97"/>
      <c r="U2612" s="25"/>
      <c r="V2612" s="25"/>
      <c r="W2612" s="25"/>
      <c r="X2612" s="25"/>
      <c r="Y2612" s="25"/>
      <c r="Z2612" s="25"/>
    </row>
    <row r="2613" spans="19:26" x14ac:dyDescent="0.35">
      <c r="S2613" s="97"/>
      <c r="T2613" s="97"/>
      <c r="U2613" s="25"/>
      <c r="V2613" s="25"/>
      <c r="W2613" s="25"/>
      <c r="X2613" s="25"/>
      <c r="Y2613" s="25"/>
      <c r="Z2613" s="25"/>
    </row>
    <row r="2614" spans="19:26" x14ac:dyDescent="0.35">
      <c r="S2614" s="97"/>
      <c r="T2614" s="97"/>
      <c r="U2614" s="25"/>
      <c r="V2614" s="25"/>
      <c r="W2614" s="25"/>
      <c r="X2614" s="25"/>
      <c r="Y2614" s="25"/>
      <c r="Z2614" s="25"/>
    </row>
    <row r="2615" spans="19:26" x14ac:dyDescent="0.35">
      <c r="S2615" s="97"/>
      <c r="T2615" s="97"/>
      <c r="U2615" s="25"/>
      <c r="V2615" s="25"/>
      <c r="W2615" s="25"/>
      <c r="X2615" s="25"/>
      <c r="Y2615" s="25"/>
      <c r="Z2615" s="25"/>
    </row>
    <row r="2616" spans="19:26" x14ac:dyDescent="0.35">
      <c r="S2616" s="97"/>
      <c r="T2616" s="97"/>
      <c r="U2616" s="25"/>
      <c r="V2616" s="25"/>
      <c r="W2616" s="25"/>
      <c r="X2616" s="25"/>
      <c r="Y2616" s="25"/>
      <c r="Z2616" s="25"/>
    </row>
    <row r="2617" spans="19:26" x14ac:dyDescent="0.35">
      <c r="S2617" s="97"/>
      <c r="T2617" s="97"/>
      <c r="U2617" s="25"/>
      <c r="V2617" s="25"/>
      <c r="W2617" s="25"/>
      <c r="X2617" s="25"/>
      <c r="Y2617" s="25"/>
      <c r="Z2617" s="25"/>
    </row>
    <row r="2618" spans="19:26" x14ac:dyDescent="0.35">
      <c r="S2618" s="97"/>
      <c r="T2618" s="97"/>
      <c r="U2618" s="25"/>
      <c r="V2618" s="25"/>
      <c r="W2618" s="25"/>
      <c r="X2618" s="25"/>
      <c r="Y2618" s="25"/>
      <c r="Z2618" s="25"/>
    </row>
    <row r="2619" spans="19:26" x14ac:dyDescent="0.35">
      <c r="S2619" s="97"/>
      <c r="T2619" s="97"/>
      <c r="U2619" s="25"/>
      <c r="V2619" s="25"/>
      <c r="W2619" s="25"/>
      <c r="X2619" s="25"/>
      <c r="Y2619" s="25"/>
      <c r="Z2619" s="25"/>
    </row>
    <row r="2620" spans="19:26" x14ac:dyDescent="0.35">
      <c r="S2620" s="97"/>
      <c r="T2620" s="97"/>
      <c r="U2620" s="25"/>
      <c r="V2620" s="25"/>
      <c r="W2620" s="25"/>
      <c r="X2620" s="25"/>
      <c r="Y2620" s="25"/>
      <c r="Z2620" s="25"/>
    </row>
    <row r="2621" spans="19:26" x14ac:dyDescent="0.35">
      <c r="S2621" s="97"/>
      <c r="T2621" s="97"/>
      <c r="U2621" s="25"/>
      <c r="V2621" s="25"/>
      <c r="W2621" s="25"/>
      <c r="X2621" s="25"/>
      <c r="Y2621" s="25"/>
      <c r="Z2621" s="25"/>
    </row>
    <row r="2622" spans="19:26" x14ac:dyDescent="0.35">
      <c r="S2622" s="97"/>
      <c r="T2622" s="97"/>
      <c r="U2622" s="25"/>
      <c r="V2622" s="25"/>
      <c r="W2622" s="25"/>
      <c r="X2622" s="25"/>
      <c r="Y2622" s="25"/>
      <c r="Z2622" s="25"/>
    </row>
    <row r="2623" spans="19:26" x14ac:dyDescent="0.35">
      <c r="S2623" s="97"/>
      <c r="T2623" s="97"/>
      <c r="U2623" s="25"/>
      <c r="V2623" s="25"/>
      <c r="W2623" s="25"/>
      <c r="X2623" s="25"/>
      <c r="Y2623" s="25"/>
      <c r="Z2623" s="25"/>
    </row>
    <row r="2624" spans="19:26" x14ac:dyDescent="0.35">
      <c r="S2624" s="97"/>
      <c r="T2624" s="97"/>
      <c r="U2624" s="25"/>
      <c r="V2624" s="25"/>
      <c r="W2624" s="25"/>
      <c r="X2624" s="25"/>
      <c r="Y2624" s="25"/>
      <c r="Z2624" s="25"/>
    </row>
    <row r="2625" spans="19:26" x14ac:dyDescent="0.35">
      <c r="S2625" s="97"/>
      <c r="T2625" s="97"/>
      <c r="U2625" s="25"/>
      <c r="V2625" s="25"/>
      <c r="W2625" s="25"/>
      <c r="X2625" s="25"/>
      <c r="Y2625" s="25"/>
      <c r="Z2625" s="25"/>
    </row>
    <row r="2626" spans="19:26" x14ac:dyDescent="0.35">
      <c r="S2626" s="97"/>
      <c r="T2626" s="97"/>
      <c r="U2626" s="25"/>
      <c r="V2626" s="25"/>
      <c r="W2626" s="25"/>
      <c r="X2626" s="25"/>
      <c r="Y2626" s="25"/>
      <c r="Z2626" s="25"/>
    </row>
    <row r="2627" spans="19:26" x14ac:dyDescent="0.35">
      <c r="S2627" s="97"/>
      <c r="T2627" s="97"/>
      <c r="U2627" s="25"/>
      <c r="V2627" s="25"/>
      <c r="W2627" s="25"/>
      <c r="X2627" s="25"/>
      <c r="Y2627" s="25"/>
      <c r="Z2627" s="25"/>
    </row>
    <row r="2628" spans="19:26" x14ac:dyDescent="0.35">
      <c r="S2628" s="97"/>
      <c r="T2628" s="97"/>
      <c r="U2628" s="25"/>
      <c r="V2628" s="25"/>
      <c r="W2628" s="25"/>
      <c r="X2628" s="25"/>
      <c r="Y2628" s="25"/>
      <c r="Z2628" s="25"/>
    </row>
    <row r="2629" spans="19:26" x14ac:dyDescent="0.35">
      <c r="S2629" s="97"/>
      <c r="T2629" s="97"/>
      <c r="U2629" s="25"/>
      <c r="V2629" s="25"/>
      <c r="W2629" s="25"/>
      <c r="X2629" s="25"/>
      <c r="Y2629" s="25"/>
      <c r="Z2629" s="25"/>
    </row>
    <row r="2630" spans="19:26" x14ac:dyDescent="0.35">
      <c r="S2630" s="97"/>
      <c r="T2630" s="97"/>
      <c r="U2630" s="25"/>
      <c r="V2630" s="25"/>
      <c r="W2630" s="25"/>
      <c r="X2630" s="25"/>
      <c r="Y2630" s="25"/>
      <c r="Z2630" s="25"/>
    </row>
    <row r="2631" spans="19:26" x14ac:dyDescent="0.35">
      <c r="S2631" s="97"/>
      <c r="T2631" s="97"/>
      <c r="U2631" s="25"/>
      <c r="V2631" s="25"/>
      <c r="W2631" s="25"/>
      <c r="X2631" s="25"/>
      <c r="Y2631" s="25"/>
      <c r="Z2631" s="25"/>
    </row>
    <row r="2632" spans="19:26" x14ac:dyDescent="0.35">
      <c r="S2632" s="97"/>
      <c r="T2632" s="97"/>
      <c r="U2632" s="25"/>
      <c r="V2632" s="25"/>
      <c r="W2632" s="25"/>
      <c r="X2632" s="25"/>
      <c r="Y2632" s="25"/>
      <c r="Z2632" s="25"/>
    </row>
    <row r="2633" spans="19:26" x14ac:dyDescent="0.35">
      <c r="S2633" s="97"/>
      <c r="T2633" s="97"/>
      <c r="U2633" s="25"/>
      <c r="V2633" s="25"/>
      <c r="W2633" s="25"/>
      <c r="X2633" s="25"/>
      <c r="Y2633" s="25"/>
      <c r="Z2633" s="25"/>
    </row>
    <row r="2634" spans="19:26" x14ac:dyDescent="0.35">
      <c r="S2634" s="97"/>
      <c r="T2634" s="97"/>
      <c r="U2634" s="25"/>
      <c r="V2634" s="25"/>
      <c r="W2634" s="25"/>
      <c r="X2634" s="25"/>
      <c r="Y2634" s="25"/>
      <c r="Z2634" s="25"/>
    </row>
    <row r="2635" spans="19:26" x14ac:dyDescent="0.35">
      <c r="S2635" s="97"/>
      <c r="T2635" s="97"/>
      <c r="U2635" s="25"/>
      <c r="V2635" s="25"/>
      <c r="W2635" s="25"/>
      <c r="X2635" s="25"/>
      <c r="Y2635" s="25"/>
      <c r="Z2635" s="25"/>
    </row>
    <row r="2636" spans="19:26" x14ac:dyDescent="0.35">
      <c r="S2636" s="97"/>
      <c r="T2636" s="97"/>
      <c r="U2636" s="25"/>
      <c r="V2636" s="25"/>
      <c r="W2636" s="25"/>
      <c r="X2636" s="25"/>
      <c r="Y2636" s="25"/>
      <c r="Z2636" s="25"/>
    </row>
    <row r="2637" spans="19:26" x14ac:dyDescent="0.35">
      <c r="S2637" s="97"/>
      <c r="T2637" s="97"/>
      <c r="U2637" s="25"/>
      <c r="V2637" s="25"/>
      <c r="W2637" s="25"/>
      <c r="X2637" s="25"/>
      <c r="Y2637" s="25"/>
      <c r="Z2637" s="25"/>
    </row>
    <row r="2638" spans="19:26" x14ac:dyDescent="0.35">
      <c r="S2638" s="97"/>
      <c r="T2638" s="97"/>
      <c r="U2638" s="25"/>
      <c r="V2638" s="25"/>
      <c r="W2638" s="25"/>
      <c r="X2638" s="25"/>
      <c r="Y2638" s="25"/>
      <c r="Z2638" s="25"/>
    </row>
    <row r="2639" spans="19:26" x14ac:dyDescent="0.35">
      <c r="S2639" s="97"/>
      <c r="T2639" s="97"/>
      <c r="U2639" s="25"/>
      <c r="V2639" s="25"/>
      <c r="W2639" s="25"/>
      <c r="X2639" s="25"/>
      <c r="Y2639" s="25"/>
      <c r="Z2639" s="25"/>
    </row>
    <row r="2640" spans="19:26" x14ac:dyDescent="0.35">
      <c r="S2640" s="97"/>
      <c r="T2640" s="97"/>
      <c r="U2640" s="25"/>
      <c r="V2640" s="25"/>
      <c r="W2640" s="25"/>
      <c r="X2640" s="25"/>
      <c r="Y2640" s="25"/>
      <c r="Z2640" s="25"/>
    </row>
    <row r="2641" spans="19:26" x14ac:dyDescent="0.35">
      <c r="S2641" s="97"/>
      <c r="T2641" s="97"/>
      <c r="U2641" s="25"/>
      <c r="V2641" s="25"/>
      <c r="W2641" s="25"/>
      <c r="X2641" s="25"/>
      <c r="Y2641" s="25"/>
      <c r="Z2641" s="25"/>
    </row>
    <row r="2642" spans="19:26" x14ac:dyDescent="0.35">
      <c r="S2642" s="97"/>
      <c r="T2642" s="97"/>
      <c r="U2642" s="25"/>
      <c r="V2642" s="25"/>
      <c r="W2642" s="25"/>
      <c r="X2642" s="25"/>
      <c r="Y2642" s="25"/>
      <c r="Z2642" s="25"/>
    </row>
    <row r="2643" spans="19:26" x14ac:dyDescent="0.35">
      <c r="S2643" s="97"/>
      <c r="T2643" s="97"/>
      <c r="U2643" s="25"/>
      <c r="V2643" s="25"/>
      <c r="W2643" s="25"/>
      <c r="X2643" s="25"/>
      <c r="Y2643" s="25"/>
      <c r="Z2643" s="25"/>
    </row>
    <row r="2644" spans="19:26" x14ac:dyDescent="0.35">
      <c r="S2644" s="97"/>
      <c r="T2644" s="97"/>
      <c r="U2644" s="25"/>
      <c r="V2644" s="25"/>
      <c r="W2644" s="25"/>
      <c r="X2644" s="25"/>
      <c r="Y2644" s="25"/>
      <c r="Z2644" s="25"/>
    </row>
    <row r="2645" spans="19:26" x14ac:dyDescent="0.35">
      <c r="S2645" s="97"/>
      <c r="T2645" s="97"/>
      <c r="U2645" s="25"/>
      <c r="V2645" s="25"/>
      <c r="W2645" s="25"/>
      <c r="X2645" s="25"/>
      <c r="Y2645" s="25"/>
      <c r="Z2645" s="25"/>
    </row>
    <row r="2646" spans="19:26" x14ac:dyDescent="0.35">
      <c r="S2646" s="97"/>
      <c r="T2646" s="97"/>
      <c r="U2646" s="25"/>
      <c r="V2646" s="25"/>
      <c r="W2646" s="25"/>
      <c r="X2646" s="25"/>
      <c r="Y2646" s="25"/>
      <c r="Z2646" s="25"/>
    </row>
    <row r="2647" spans="19:26" x14ac:dyDescent="0.35">
      <c r="S2647" s="97"/>
      <c r="T2647" s="97"/>
      <c r="U2647" s="25"/>
      <c r="V2647" s="25"/>
      <c r="W2647" s="25"/>
      <c r="X2647" s="25"/>
      <c r="Y2647" s="25"/>
      <c r="Z2647" s="25"/>
    </row>
    <row r="2648" spans="19:26" x14ac:dyDescent="0.35">
      <c r="S2648" s="97"/>
      <c r="T2648" s="97"/>
      <c r="U2648" s="25"/>
      <c r="V2648" s="25"/>
      <c r="W2648" s="25"/>
      <c r="X2648" s="25"/>
      <c r="Y2648" s="25"/>
      <c r="Z2648" s="25"/>
    </row>
    <row r="2649" spans="19:26" x14ac:dyDescent="0.35">
      <c r="S2649" s="97"/>
      <c r="T2649" s="97"/>
      <c r="U2649" s="25"/>
      <c r="V2649" s="25"/>
      <c r="W2649" s="25"/>
      <c r="X2649" s="25"/>
      <c r="Y2649" s="25"/>
      <c r="Z2649" s="25"/>
    </row>
    <row r="2650" spans="19:26" x14ac:dyDescent="0.35">
      <c r="S2650" s="97"/>
      <c r="T2650" s="97"/>
      <c r="U2650" s="25"/>
      <c r="V2650" s="25"/>
      <c r="W2650" s="25"/>
      <c r="X2650" s="25"/>
      <c r="Y2650" s="25"/>
      <c r="Z2650" s="25"/>
    </row>
    <row r="2651" spans="19:26" x14ac:dyDescent="0.35">
      <c r="S2651" s="97"/>
      <c r="T2651" s="97"/>
      <c r="U2651" s="25"/>
      <c r="V2651" s="25"/>
      <c r="W2651" s="25"/>
      <c r="X2651" s="25"/>
      <c r="Y2651" s="25"/>
      <c r="Z2651" s="25"/>
    </row>
    <row r="2652" spans="19:26" x14ac:dyDescent="0.35">
      <c r="S2652" s="97"/>
      <c r="T2652" s="97"/>
      <c r="U2652" s="25"/>
      <c r="V2652" s="25"/>
      <c r="W2652" s="25"/>
      <c r="X2652" s="25"/>
      <c r="Y2652" s="25"/>
      <c r="Z2652" s="25"/>
    </row>
    <row r="2653" spans="19:26" x14ac:dyDescent="0.35">
      <c r="S2653" s="97"/>
      <c r="T2653" s="97"/>
      <c r="U2653" s="25"/>
      <c r="V2653" s="25"/>
      <c r="W2653" s="25"/>
      <c r="X2653" s="25"/>
      <c r="Y2653" s="25"/>
      <c r="Z2653" s="25"/>
    </row>
    <row r="2654" spans="19:26" x14ac:dyDescent="0.35">
      <c r="S2654" s="97"/>
      <c r="T2654" s="97"/>
      <c r="U2654" s="25"/>
      <c r="V2654" s="25"/>
      <c r="W2654" s="25"/>
      <c r="X2654" s="25"/>
      <c r="Y2654" s="25"/>
      <c r="Z2654" s="25"/>
    </row>
    <row r="2655" spans="19:26" x14ac:dyDescent="0.35">
      <c r="S2655" s="97"/>
      <c r="T2655" s="97"/>
      <c r="U2655" s="25"/>
      <c r="V2655" s="25"/>
      <c r="W2655" s="25"/>
      <c r="X2655" s="25"/>
      <c r="Y2655" s="25"/>
      <c r="Z2655" s="25"/>
    </row>
    <row r="2656" spans="19:26" x14ac:dyDescent="0.35">
      <c r="S2656" s="97"/>
      <c r="T2656" s="97"/>
      <c r="U2656" s="25"/>
      <c r="V2656" s="25"/>
      <c r="W2656" s="25"/>
      <c r="X2656" s="25"/>
      <c r="Y2656" s="25"/>
      <c r="Z2656" s="25"/>
    </row>
    <row r="2657" spans="19:26" x14ac:dyDescent="0.35">
      <c r="S2657" s="97"/>
      <c r="T2657" s="97"/>
      <c r="U2657" s="25"/>
      <c r="V2657" s="25"/>
      <c r="W2657" s="25"/>
      <c r="X2657" s="25"/>
      <c r="Y2657" s="25"/>
      <c r="Z2657" s="25"/>
    </row>
    <row r="2658" spans="19:26" x14ac:dyDescent="0.35">
      <c r="S2658" s="97"/>
      <c r="T2658" s="97"/>
      <c r="U2658" s="25"/>
      <c r="V2658" s="25"/>
      <c r="W2658" s="25"/>
      <c r="X2658" s="25"/>
      <c r="Y2658" s="25"/>
      <c r="Z2658" s="25"/>
    </row>
    <row r="2659" spans="19:26" x14ac:dyDescent="0.35">
      <c r="S2659" s="97"/>
      <c r="T2659" s="97"/>
      <c r="U2659" s="25"/>
      <c r="V2659" s="25"/>
      <c r="W2659" s="25"/>
      <c r="X2659" s="25"/>
      <c r="Y2659" s="25"/>
      <c r="Z2659" s="25"/>
    </row>
    <row r="2660" spans="19:26" x14ac:dyDescent="0.35">
      <c r="S2660" s="97"/>
      <c r="T2660" s="97"/>
      <c r="U2660" s="25"/>
      <c r="V2660" s="25"/>
      <c r="W2660" s="25"/>
      <c r="X2660" s="25"/>
      <c r="Y2660" s="25"/>
      <c r="Z2660" s="25"/>
    </row>
    <row r="2661" spans="19:26" x14ac:dyDescent="0.35">
      <c r="S2661" s="97"/>
      <c r="T2661" s="97"/>
      <c r="U2661" s="25"/>
      <c r="V2661" s="25"/>
      <c r="W2661" s="25"/>
      <c r="X2661" s="25"/>
      <c r="Y2661" s="25"/>
      <c r="Z2661" s="25"/>
    </row>
    <row r="2662" spans="19:26" x14ac:dyDescent="0.35">
      <c r="S2662" s="97"/>
      <c r="T2662" s="97"/>
      <c r="U2662" s="25"/>
      <c r="V2662" s="25"/>
      <c r="W2662" s="25"/>
      <c r="X2662" s="25"/>
      <c r="Y2662" s="25"/>
      <c r="Z2662" s="25"/>
    </row>
    <row r="2663" spans="19:26" x14ac:dyDescent="0.35">
      <c r="S2663" s="97"/>
      <c r="T2663" s="97"/>
      <c r="U2663" s="25"/>
      <c r="V2663" s="25"/>
      <c r="W2663" s="25"/>
      <c r="X2663" s="25"/>
      <c r="Y2663" s="25"/>
      <c r="Z2663" s="25"/>
    </row>
    <row r="2664" spans="19:26" x14ac:dyDescent="0.35">
      <c r="S2664" s="97"/>
      <c r="T2664" s="97"/>
      <c r="U2664" s="25"/>
      <c r="V2664" s="25"/>
      <c r="W2664" s="25"/>
      <c r="X2664" s="25"/>
      <c r="Y2664" s="25"/>
      <c r="Z2664" s="25"/>
    </row>
    <row r="2665" spans="19:26" x14ac:dyDescent="0.35">
      <c r="S2665" s="97"/>
      <c r="T2665" s="97"/>
      <c r="U2665" s="25"/>
      <c r="V2665" s="25"/>
      <c r="W2665" s="25"/>
      <c r="X2665" s="25"/>
      <c r="Y2665" s="25"/>
      <c r="Z2665" s="25"/>
    </row>
    <row r="2666" spans="19:26" x14ac:dyDescent="0.35">
      <c r="S2666" s="97"/>
      <c r="T2666" s="97"/>
      <c r="U2666" s="25"/>
      <c r="V2666" s="25"/>
      <c r="W2666" s="25"/>
      <c r="X2666" s="25"/>
      <c r="Y2666" s="25"/>
      <c r="Z2666" s="25"/>
    </row>
    <row r="2667" spans="19:26" x14ac:dyDescent="0.35">
      <c r="S2667" s="97"/>
      <c r="T2667" s="97"/>
      <c r="U2667" s="25"/>
      <c r="V2667" s="25"/>
      <c r="W2667" s="25"/>
      <c r="X2667" s="25"/>
      <c r="Y2667" s="25"/>
      <c r="Z2667" s="25"/>
    </row>
    <row r="2668" spans="19:26" x14ac:dyDescent="0.35">
      <c r="S2668" s="97"/>
      <c r="T2668" s="97"/>
      <c r="U2668" s="25"/>
      <c r="V2668" s="25"/>
      <c r="W2668" s="25"/>
      <c r="X2668" s="25"/>
      <c r="Y2668" s="25"/>
      <c r="Z2668" s="25"/>
    </row>
    <row r="2669" spans="19:26" x14ac:dyDescent="0.35">
      <c r="S2669" s="97"/>
      <c r="T2669" s="97"/>
      <c r="U2669" s="25"/>
      <c r="V2669" s="25"/>
      <c r="W2669" s="25"/>
      <c r="X2669" s="25"/>
      <c r="Y2669" s="25"/>
      <c r="Z2669" s="25"/>
    </row>
    <row r="2670" spans="19:26" x14ac:dyDescent="0.35">
      <c r="S2670" s="97"/>
      <c r="T2670" s="97"/>
      <c r="U2670" s="25"/>
      <c r="V2670" s="25"/>
      <c r="W2670" s="25"/>
      <c r="X2670" s="25"/>
      <c r="Y2670" s="25"/>
      <c r="Z2670" s="25"/>
    </row>
    <row r="2671" spans="19:26" x14ac:dyDescent="0.35">
      <c r="S2671" s="97"/>
      <c r="T2671" s="97"/>
      <c r="U2671" s="25"/>
      <c r="V2671" s="25"/>
      <c r="W2671" s="25"/>
      <c r="X2671" s="25"/>
      <c r="Y2671" s="25"/>
      <c r="Z2671" s="25"/>
    </row>
    <row r="2672" spans="19:26" x14ac:dyDescent="0.35">
      <c r="S2672" s="97"/>
      <c r="T2672" s="97"/>
      <c r="U2672" s="25"/>
      <c r="V2672" s="25"/>
      <c r="W2672" s="25"/>
      <c r="X2672" s="25"/>
      <c r="Y2672" s="25"/>
      <c r="Z2672" s="25"/>
    </row>
    <row r="2673" spans="19:26" x14ac:dyDescent="0.35">
      <c r="S2673" s="97"/>
      <c r="T2673" s="97"/>
      <c r="U2673" s="25"/>
      <c r="V2673" s="25"/>
      <c r="W2673" s="25"/>
      <c r="X2673" s="25"/>
      <c r="Y2673" s="25"/>
      <c r="Z2673" s="25"/>
    </row>
    <row r="2674" spans="19:26" x14ac:dyDescent="0.35">
      <c r="S2674" s="97"/>
      <c r="T2674" s="97"/>
      <c r="U2674" s="25"/>
      <c r="V2674" s="25"/>
      <c r="W2674" s="25"/>
      <c r="X2674" s="25"/>
      <c r="Y2674" s="25"/>
      <c r="Z2674" s="25"/>
    </row>
    <row r="2675" spans="19:26" x14ac:dyDescent="0.35">
      <c r="S2675" s="97"/>
      <c r="T2675" s="97"/>
      <c r="U2675" s="25"/>
      <c r="V2675" s="25"/>
      <c r="W2675" s="25"/>
      <c r="X2675" s="25"/>
      <c r="Y2675" s="25"/>
      <c r="Z2675" s="25"/>
    </row>
    <row r="2676" spans="19:26" x14ac:dyDescent="0.35">
      <c r="S2676" s="97"/>
      <c r="T2676" s="97"/>
      <c r="U2676" s="25"/>
      <c r="V2676" s="25"/>
      <c r="W2676" s="25"/>
      <c r="X2676" s="25"/>
      <c r="Y2676" s="25"/>
      <c r="Z2676" s="25"/>
    </row>
    <row r="2677" spans="19:26" x14ac:dyDescent="0.35">
      <c r="S2677" s="97"/>
      <c r="T2677" s="97"/>
      <c r="U2677" s="25"/>
      <c r="V2677" s="25"/>
      <c r="W2677" s="25"/>
      <c r="X2677" s="25"/>
      <c r="Y2677" s="25"/>
      <c r="Z2677" s="25"/>
    </row>
    <row r="2678" spans="19:26" x14ac:dyDescent="0.35">
      <c r="S2678" s="97"/>
      <c r="T2678" s="97"/>
      <c r="U2678" s="25"/>
      <c r="V2678" s="25"/>
      <c r="W2678" s="25"/>
      <c r="X2678" s="25"/>
      <c r="Y2678" s="25"/>
      <c r="Z2678" s="25"/>
    </row>
    <row r="2679" spans="19:26" x14ac:dyDescent="0.35">
      <c r="S2679" s="97"/>
      <c r="T2679" s="97"/>
      <c r="U2679" s="25"/>
      <c r="V2679" s="25"/>
      <c r="W2679" s="25"/>
      <c r="X2679" s="25"/>
      <c r="Y2679" s="25"/>
      <c r="Z2679" s="25"/>
    </row>
    <row r="2680" spans="19:26" x14ac:dyDescent="0.35">
      <c r="S2680" s="97"/>
      <c r="T2680" s="97"/>
      <c r="U2680" s="25"/>
      <c r="V2680" s="25"/>
      <c r="W2680" s="25"/>
      <c r="X2680" s="25"/>
      <c r="Y2680" s="25"/>
      <c r="Z2680" s="25"/>
    </row>
    <row r="2681" spans="19:26" x14ac:dyDescent="0.35">
      <c r="S2681" s="97"/>
      <c r="T2681" s="97"/>
      <c r="U2681" s="25"/>
      <c r="V2681" s="25"/>
      <c r="W2681" s="25"/>
      <c r="X2681" s="25"/>
      <c r="Y2681" s="25"/>
      <c r="Z2681" s="25"/>
    </row>
    <row r="2682" spans="19:26" x14ac:dyDescent="0.35">
      <c r="S2682" s="97"/>
      <c r="T2682" s="97"/>
      <c r="U2682" s="25"/>
      <c r="V2682" s="25"/>
      <c r="W2682" s="25"/>
      <c r="X2682" s="25"/>
      <c r="Y2682" s="25"/>
      <c r="Z2682" s="25"/>
    </row>
    <row r="2683" spans="19:26" x14ac:dyDescent="0.35">
      <c r="S2683" s="97"/>
      <c r="T2683" s="97"/>
      <c r="U2683" s="25"/>
      <c r="V2683" s="25"/>
      <c r="W2683" s="25"/>
      <c r="X2683" s="25"/>
      <c r="Y2683" s="25"/>
      <c r="Z2683" s="25"/>
    </row>
    <row r="2684" spans="19:26" x14ac:dyDescent="0.35">
      <c r="S2684" s="97"/>
      <c r="T2684" s="97"/>
      <c r="U2684" s="25"/>
      <c r="V2684" s="25"/>
      <c r="W2684" s="25"/>
      <c r="X2684" s="25"/>
      <c r="Y2684" s="25"/>
      <c r="Z2684" s="25"/>
    </row>
    <row r="2685" spans="19:26" x14ac:dyDescent="0.35">
      <c r="S2685" s="97"/>
      <c r="T2685" s="97"/>
      <c r="U2685" s="25"/>
      <c r="V2685" s="25"/>
      <c r="W2685" s="25"/>
      <c r="X2685" s="25"/>
      <c r="Y2685" s="25"/>
      <c r="Z2685" s="25"/>
    </row>
    <row r="2686" spans="19:26" x14ac:dyDescent="0.35">
      <c r="S2686" s="97"/>
      <c r="T2686" s="97"/>
      <c r="U2686" s="25"/>
      <c r="V2686" s="25"/>
      <c r="W2686" s="25"/>
      <c r="X2686" s="25"/>
      <c r="Y2686" s="25"/>
      <c r="Z2686" s="25"/>
    </row>
    <row r="2687" spans="19:26" x14ac:dyDescent="0.35">
      <c r="S2687" s="97"/>
      <c r="T2687" s="97"/>
      <c r="U2687" s="25"/>
      <c r="V2687" s="25"/>
      <c r="W2687" s="25"/>
      <c r="X2687" s="25"/>
      <c r="Y2687" s="25"/>
      <c r="Z2687" s="25"/>
    </row>
    <row r="2688" spans="19:26" x14ac:dyDescent="0.35">
      <c r="S2688" s="97"/>
      <c r="T2688" s="97"/>
      <c r="U2688" s="25"/>
      <c r="V2688" s="25"/>
      <c r="W2688" s="25"/>
      <c r="X2688" s="25"/>
      <c r="Y2688" s="25"/>
      <c r="Z2688" s="25"/>
    </row>
    <row r="2689" spans="19:26" x14ac:dyDescent="0.35">
      <c r="S2689" s="97"/>
      <c r="T2689" s="97"/>
      <c r="U2689" s="25"/>
      <c r="V2689" s="25"/>
      <c r="W2689" s="25"/>
      <c r="X2689" s="25"/>
      <c r="Y2689" s="25"/>
      <c r="Z2689" s="25"/>
    </row>
    <row r="2690" spans="19:26" x14ac:dyDescent="0.35">
      <c r="S2690" s="97"/>
      <c r="T2690" s="97"/>
      <c r="U2690" s="25"/>
      <c r="V2690" s="25"/>
      <c r="W2690" s="25"/>
      <c r="X2690" s="25"/>
      <c r="Y2690" s="25"/>
      <c r="Z2690" s="25"/>
    </row>
    <row r="2691" spans="19:26" x14ac:dyDescent="0.35">
      <c r="S2691" s="97"/>
      <c r="T2691" s="97"/>
      <c r="U2691" s="25"/>
      <c r="V2691" s="25"/>
      <c r="W2691" s="25"/>
      <c r="X2691" s="25"/>
      <c r="Y2691" s="25"/>
      <c r="Z2691" s="25"/>
    </row>
    <row r="2692" spans="19:26" x14ac:dyDescent="0.35">
      <c r="S2692" s="97"/>
      <c r="T2692" s="97"/>
      <c r="U2692" s="25"/>
      <c r="V2692" s="25"/>
      <c r="W2692" s="25"/>
      <c r="X2692" s="25"/>
      <c r="Y2692" s="25"/>
      <c r="Z2692" s="25"/>
    </row>
    <row r="2693" spans="19:26" x14ac:dyDescent="0.35">
      <c r="S2693" s="97"/>
      <c r="T2693" s="97"/>
      <c r="U2693" s="25"/>
      <c r="V2693" s="25"/>
      <c r="W2693" s="25"/>
      <c r="X2693" s="25"/>
      <c r="Y2693" s="25"/>
      <c r="Z2693" s="25"/>
    </row>
    <row r="2694" spans="19:26" x14ac:dyDescent="0.35">
      <c r="S2694" s="97"/>
      <c r="T2694" s="97"/>
      <c r="U2694" s="25"/>
      <c r="V2694" s="25"/>
      <c r="W2694" s="25"/>
      <c r="X2694" s="25"/>
      <c r="Y2694" s="25"/>
      <c r="Z2694" s="25"/>
    </row>
    <row r="2695" spans="19:26" x14ac:dyDescent="0.35">
      <c r="S2695" s="97"/>
      <c r="T2695" s="97"/>
      <c r="U2695" s="25"/>
      <c r="V2695" s="25"/>
      <c r="W2695" s="25"/>
      <c r="X2695" s="25"/>
      <c r="Y2695" s="25"/>
      <c r="Z2695" s="25"/>
    </row>
    <row r="2696" spans="19:26" x14ac:dyDescent="0.35">
      <c r="S2696" s="97"/>
      <c r="T2696" s="97"/>
      <c r="U2696" s="25"/>
      <c r="V2696" s="25"/>
      <c r="W2696" s="25"/>
      <c r="X2696" s="25"/>
      <c r="Y2696" s="25"/>
      <c r="Z2696" s="25"/>
    </row>
    <row r="2697" spans="19:26" x14ac:dyDescent="0.35">
      <c r="S2697" s="97"/>
      <c r="T2697" s="97"/>
      <c r="U2697" s="25"/>
      <c r="V2697" s="25"/>
      <c r="W2697" s="25"/>
      <c r="X2697" s="25"/>
      <c r="Y2697" s="25"/>
      <c r="Z2697" s="25"/>
    </row>
    <row r="2698" spans="19:26" x14ac:dyDescent="0.35">
      <c r="S2698" s="97"/>
      <c r="T2698" s="97"/>
      <c r="U2698" s="25"/>
      <c r="V2698" s="25"/>
      <c r="W2698" s="25"/>
      <c r="X2698" s="25"/>
      <c r="Y2698" s="25"/>
      <c r="Z2698" s="25"/>
    </row>
    <row r="2699" spans="19:26" x14ac:dyDescent="0.35">
      <c r="S2699" s="97"/>
      <c r="T2699" s="97"/>
      <c r="U2699" s="25"/>
      <c r="V2699" s="25"/>
      <c r="W2699" s="25"/>
      <c r="X2699" s="25"/>
      <c r="Y2699" s="25"/>
      <c r="Z2699" s="25"/>
    </row>
    <row r="2700" spans="19:26" x14ac:dyDescent="0.35">
      <c r="S2700" s="97"/>
      <c r="T2700" s="97"/>
      <c r="U2700" s="25"/>
      <c r="V2700" s="25"/>
      <c r="W2700" s="25"/>
      <c r="X2700" s="25"/>
      <c r="Y2700" s="25"/>
      <c r="Z2700" s="25"/>
    </row>
    <row r="2701" spans="19:26" x14ac:dyDescent="0.35">
      <c r="S2701" s="97"/>
      <c r="T2701" s="97"/>
      <c r="U2701" s="25"/>
      <c r="V2701" s="25"/>
      <c r="W2701" s="25"/>
      <c r="X2701" s="25"/>
      <c r="Y2701" s="25"/>
      <c r="Z2701" s="25"/>
    </row>
    <row r="2702" spans="19:26" x14ac:dyDescent="0.35">
      <c r="S2702" s="97"/>
      <c r="T2702" s="97"/>
      <c r="U2702" s="25"/>
      <c r="V2702" s="25"/>
      <c r="W2702" s="25"/>
      <c r="X2702" s="25"/>
      <c r="Y2702" s="25"/>
      <c r="Z2702" s="25"/>
    </row>
    <row r="2703" spans="19:26" x14ac:dyDescent="0.35">
      <c r="S2703" s="97"/>
      <c r="T2703" s="97"/>
      <c r="U2703" s="25"/>
      <c r="V2703" s="25"/>
      <c r="W2703" s="25"/>
      <c r="X2703" s="25"/>
      <c r="Y2703" s="25"/>
      <c r="Z2703" s="25"/>
    </row>
    <row r="2704" spans="19:26" x14ac:dyDescent="0.35">
      <c r="S2704" s="97"/>
      <c r="T2704" s="97"/>
      <c r="U2704" s="25"/>
      <c r="V2704" s="25"/>
      <c r="W2704" s="25"/>
      <c r="X2704" s="25"/>
      <c r="Y2704" s="25"/>
      <c r="Z2704" s="25"/>
    </row>
    <row r="2705" spans="19:26" x14ac:dyDescent="0.35">
      <c r="S2705" s="97"/>
      <c r="T2705" s="97"/>
      <c r="U2705" s="25"/>
      <c r="V2705" s="25"/>
      <c r="W2705" s="25"/>
      <c r="X2705" s="25"/>
      <c r="Y2705" s="25"/>
      <c r="Z2705" s="25"/>
    </row>
    <row r="2706" spans="19:26" x14ac:dyDescent="0.35">
      <c r="S2706" s="97"/>
      <c r="T2706" s="97"/>
      <c r="U2706" s="25"/>
      <c r="V2706" s="25"/>
      <c r="W2706" s="25"/>
      <c r="X2706" s="25"/>
      <c r="Y2706" s="25"/>
      <c r="Z2706" s="25"/>
    </row>
    <row r="2707" spans="19:26" x14ac:dyDescent="0.35">
      <c r="S2707" s="97"/>
      <c r="T2707" s="97"/>
      <c r="U2707" s="25"/>
      <c r="V2707" s="25"/>
      <c r="W2707" s="25"/>
      <c r="X2707" s="25"/>
      <c r="Y2707" s="25"/>
      <c r="Z2707" s="25"/>
    </row>
    <row r="2708" spans="19:26" x14ac:dyDescent="0.35">
      <c r="S2708" s="97"/>
      <c r="T2708" s="97"/>
      <c r="U2708" s="25"/>
      <c r="V2708" s="25"/>
      <c r="W2708" s="25"/>
      <c r="X2708" s="25"/>
      <c r="Y2708" s="25"/>
      <c r="Z2708" s="25"/>
    </row>
    <row r="2709" spans="19:26" x14ac:dyDescent="0.35">
      <c r="S2709" s="97"/>
      <c r="T2709" s="97"/>
      <c r="U2709" s="25"/>
      <c r="V2709" s="25"/>
      <c r="W2709" s="25"/>
      <c r="X2709" s="25"/>
      <c r="Y2709" s="25"/>
      <c r="Z2709" s="25"/>
    </row>
    <row r="2710" spans="19:26" x14ac:dyDescent="0.35">
      <c r="S2710" s="97"/>
      <c r="T2710" s="97"/>
      <c r="U2710" s="25"/>
      <c r="V2710" s="25"/>
      <c r="W2710" s="25"/>
      <c r="X2710" s="25"/>
      <c r="Y2710" s="25"/>
      <c r="Z2710" s="25"/>
    </row>
    <row r="2711" spans="19:26" x14ac:dyDescent="0.35">
      <c r="S2711" s="97"/>
      <c r="T2711" s="97"/>
      <c r="U2711" s="25"/>
      <c r="V2711" s="25"/>
      <c r="W2711" s="25"/>
      <c r="X2711" s="25"/>
      <c r="Y2711" s="25"/>
      <c r="Z2711" s="25"/>
    </row>
    <row r="2712" spans="19:26" x14ac:dyDescent="0.35">
      <c r="S2712" s="97"/>
      <c r="T2712" s="97"/>
      <c r="U2712" s="25"/>
      <c r="V2712" s="25"/>
      <c r="W2712" s="25"/>
      <c r="X2712" s="25"/>
      <c r="Y2712" s="25"/>
      <c r="Z2712" s="25"/>
    </row>
    <row r="2713" spans="19:26" x14ac:dyDescent="0.35">
      <c r="S2713" s="97"/>
      <c r="T2713" s="97"/>
      <c r="U2713" s="25"/>
      <c r="V2713" s="25"/>
      <c r="W2713" s="25"/>
      <c r="X2713" s="25"/>
      <c r="Y2713" s="25"/>
      <c r="Z2713" s="25"/>
    </row>
    <row r="2714" spans="19:26" x14ac:dyDescent="0.35">
      <c r="S2714" s="97"/>
      <c r="T2714" s="97"/>
      <c r="U2714" s="25"/>
      <c r="V2714" s="25"/>
      <c r="W2714" s="25"/>
      <c r="X2714" s="25"/>
      <c r="Y2714" s="25"/>
      <c r="Z2714" s="25"/>
    </row>
    <row r="2715" spans="19:26" x14ac:dyDescent="0.35">
      <c r="S2715" s="97"/>
      <c r="T2715" s="97"/>
      <c r="U2715" s="25"/>
      <c r="V2715" s="25"/>
      <c r="W2715" s="25"/>
      <c r="X2715" s="25"/>
      <c r="Y2715" s="25"/>
      <c r="Z2715" s="25"/>
    </row>
    <row r="2716" spans="19:26" x14ac:dyDescent="0.35">
      <c r="S2716" s="97"/>
      <c r="T2716" s="97"/>
      <c r="U2716" s="25"/>
      <c r="V2716" s="25"/>
      <c r="W2716" s="25"/>
      <c r="X2716" s="25"/>
      <c r="Y2716" s="25"/>
      <c r="Z2716" s="25"/>
    </row>
    <row r="2717" spans="19:26" x14ac:dyDescent="0.35">
      <c r="S2717" s="97"/>
      <c r="T2717" s="97"/>
      <c r="U2717" s="25"/>
      <c r="V2717" s="25"/>
      <c r="W2717" s="25"/>
      <c r="X2717" s="25"/>
      <c r="Y2717" s="25"/>
      <c r="Z2717" s="25"/>
    </row>
    <row r="2718" spans="19:26" x14ac:dyDescent="0.35">
      <c r="S2718" s="97"/>
      <c r="T2718" s="97"/>
      <c r="U2718" s="25"/>
      <c r="V2718" s="25"/>
      <c r="W2718" s="25"/>
      <c r="X2718" s="25"/>
      <c r="Y2718" s="25"/>
      <c r="Z2718" s="25"/>
    </row>
    <row r="2719" spans="19:26" x14ac:dyDescent="0.35">
      <c r="S2719" s="97"/>
      <c r="T2719" s="97"/>
      <c r="U2719" s="25"/>
      <c r="V2719" s="25"/>
      <c r="W2719" s="25"/>
      <c r="X2719" s="25"/>
      <c r="Y2719" s="25"/>
      <c r="Z2719" s="25"/>
    </row>
    <row r="2720" spans="19:26" x14ac:dyDescent="0.35">
      <c r="S2720" s="97"/>
      <c r="T2720" s="97"/>
      <c r="U2720" s="25"/>
      <c r="V2720" s="25"/>
      <c r="W2720" s="25"/>
      <c r="X2720" s="25"/>
      <c r="Y2720" s="25"/>
      <c r="Z2720" s="25"/>
    </row>
    <row r="2721" spans="19:26" x14ac:dyDescent="0.35">
      <c r="S2721" s="97"/>
      <c r="T2721" s="97"/>
      <c r="U2721" s="25"/>
      <c r="V2721" s="25"/>
      <c r="W2721" s="25"/>
      <c r="X2721" s="25"/>
      <c r="Y2721" s="25"/>
      <c r="Z2721" s="25"/>
    </row>
    <row r="2722" spans="19:26" x14ac:dyDescent="0.35">
      <c r="S2722" s="97"/>
      <c r="T2722" s="97"/>
      <c r="U2722" s="25"/>
      <c r="V2722" s="25"/>
      <c r="W2722" s="25"/>
      <c r="X2722" s="25"/>
      <c r="Y2722" s="25"/>
      <c r="Z2722" s="25"/>
    </row>
    <row r="2723" spans="19:26" x14ac:dyDescent="0.35">
      <c r="S2723" s="97"/>
      <c r="T2723" s="97"/>
      <c r="U2723" s="25"/>
      <c r="V2723" s="25"/>
      <c r="W2723" s="25"/>
      <c r="X2723" s="25"/>
      <c r="Y2723" s="25"/>
      <c r="Z2723" s="25"/>
    </row>
    <row r="2724" spans="19:26" x14ac:dyDescent="0.35">
      <c r="S2724" s="97"/>
      <c r="T2724" s="97"/>
      <c r="U2724" s="25"/>
      <c r="V2724" s="25"/>
      <c r="W2724" s="25"/>
      <c r="X2724" s="25"/>
      <c r="Y2724" s="25"/>
      <c r="Z2724" s="25"/>
    </row>
    <row r="2725" spans="19:26" x14ac:dyDescent="0.35">
      <c r="S2725" s="97"/>
      <c r="T2725" s="97"/>
      <c r="U2725" s="25"/>
      <c r="V2725" s="25"/>
      <c r="W2725" s="25"/>
      <c r="X2725" s="25"/>
      <c r="Y2725" s="25"/>
      <c r="Z2725" s="25"/>
    </row>
    <row r="2726" spans="19:26" x14ac:dyDescent="0.35">
      <c r="S2726" s="97"/>
      <c r="T2726" s="97"/>
      <c r="U2726" s="25"/>
      <c r="V2726" s="25"/>
      <c r="W2726" s="25"/>
      <c r="X2726" s="25"/>
      <c r="Y2726" s="25"/>
      <c r="Z2726" s="25"/>
    </row>
    <row r="2727" spans="19:26" x14ac:dyDescent="0.35">
      <c r="S2727" s="97"/>
      <c r="T2727" s="97"/>
      <c r="U2727" s="25"/>
      <c r="V2727" s="25"/>
      <c r="W2727" s="25"/>
      <c r="X2727" s="25"/>
      <c r="Y2727" s="25"/>
      <c r="Z2727" s="25"/>
    </row>
    <row r="2728" spans="19:26" x14ac:dyDescent="0.35">
      <c r="S2728" s="97"/>
      <c r="T2728" s="97"/>
      <c r="U2728" s="25"/>
      <c r="V2728" s="25"/>
      <c r="W2728" s="25"/>
      <c r="X2728" s="25"/>
      <c r="Y2728" s="25"/>
      <c r="Z2728" s="25"/>
    </row>
    <row r="2729" spans="19:26" x14ac:dyDescent="0.35">
      <c r="S2729" s="97"/>
      <c r="T2729" s="97"/>
      <c r="U2729" s="25"/>
      <c r="V2729" s="25"/>
      <c r="W2729" s="25"/>
      <c r="X2729" s="25"/>
      <c r="Y2729" s="25"/>
      <c r="Z2729" s="25"/>
    </row>
    <row r="2730" spans="19:26" x14ac:dyDescent="0.35">
      <c r="S2730" s="97"/>
      <c r="T2730" s="97"/>
      <c r="U2730" s="25"/>
      <c r="V2730" s="25"/>
      <c r="W2730" s="25"/>
      <c r="X2730" s="25"/>
      <c r="Y2730" s="25"/>
      <c r="Z2730" s="25"/>
    </row>
    <row r="2731" spans="19:26" x14ac:dyDescent="0.35">
      <c r="S2731" s="97"/>
      <c r="T2731" s="97"/>
      <c r="U2731" s="25"/>
      <c r="V2731" s="25"/>
      <c r="W2731" s="25"/>
      <c r="X2731" s="25"/>
      <c r="Y2731" s="25"/>
      <c r="Z2731" s="25"/>
    </row>
    <row r="2732" spans="19:26" x14ac:dyDescent="0.35">
      <c r="S2732" s="97"/>
      <c r="T2732" s="97"/>
      <c r="U2732" s="25"/>
      <c r="V2732" s="25"/>
      <c r="W2732" s="25"/>
      <c r="X2732" s="25"/>
      <c r="Y2732" s="25"/>
      <c r="Z2732" s="25"/>
    </row>
    <row r="2733" spans="19:26" x14ac:dyDescent="0.35">
      <c r="S2733" s="97"/>
      <c r="T2733" s="97"/>
      <c r="U2733" s="25"/>
      <c r="V2733" s="25"/>
      <c r="W2733" s="25"/>
      <c r="X2733" s="25"/>
      <c r="Y2733" s="25"/>
      <c r="Z2733" s="25"/>
    </row>
    <row r="2734" spans="19:26" x14ac:dyDescent="0.35">
      <c r="S2734" s="97"/>
      <c r="T2734" s="97"/>
      <c r="U2734" s="25"/>
      <c r="V2734" s="25"/>
      <c r="W2734" s="25"/>
      <c r="X2734" s="25"/>
      <c r="Y2734" s="25"/>
      <c r="Z2734" s="25"/>
    </row>
    <row r="2735" spans="19:26" x14ac:dyDescent="0.35">
      <c r="S2735" s="97"/>
      <c r="T2735" s="97"/>
      <c r="U2735" s="25"/>
      <c r="V2735" s="25"/>
      <c r="W2735" s="25"/>
      <c r="X2735" s="25"/>
      <c r="Y2735" s="25"/>
      <c r="Z2735" s="25"/>
    </row>
    <row r="2736" spans="19:26" x14ac:dyDescent="0.35">
      <c r="S2736" s="97"/>
      <c r="T2736" s="97"/>
      <c r="U2736" s="25"/>
      <c r="V2736" s="25"/>
      <c r="W2736" s="25"/>
      <c r="X2736" s="25"/>
      <c r="Y2736" s="25"/>
      <c r="Z2736" s="25"/>
    </row>
    <row r="2737" spans="19:26" x14ac:dyDescent="0.35">
      <c r="S2737" s="97"/>
      <c r="T2737" s="97"/>
      <c r="U2737" s="25"/>
      <c r="V2737" s="25"/>
      <c r="W2737" s="25"/>
      <c r="X2737" s="25"/>
      <c r="Y2737" s="25"/>
      <c r="Z2737" s="25"/>
    </row>
    <row r="2738" spans="19:26" x14ac:dyDescent="0.35">
      <c r="S2738" s="97"/>
      <c r="T2738" s="97"/>
      <c r="U2738" s="25"/>
      <c r="V2738" s="25"/>
      <c r="W2738" s="25"/>
      <c r="X2738" s="25"/>
      <c r="Y2738" s="25"/>
      <c r="Z2738" s="25"/>
    </row>
    <row r="2739" spans="19:26" x14ac:dyDescent="0.35">
      <c r="S2739" s="97"/>
      <c r="T2739" s="97"/>
      <c r="U2739" s="25"/>
      <c r="V2739" s="25"/>
      <c r="W2739" s="25"/>
      <c r="X2739" s="25"/>
      <c r="Y2739" s="25"/>
      <c r="Z2739" s="25"/>
    </row>
    <row r="2740" spans="19:26" x14ac:dyDescent="0.35">
      <c r="S2740" s="97"/>
      <c r="T2740" s="97"/>
      <c r="U2740" s="25"/>
      <c r="V2740" s="25"/>
      <c r="W2740" s="25"/>
      <c r="X2740" s="25"/>
      <c r="Y2740" s="25"/>
      <c r="Z2740" s="25"/>
    </row>
    <row r="2741" spans="19:26" x14ac:dyDescent="0.35">
      <c r="S2741" s="97"/>
      <c r="T2741" s="97"/>
      <c r="U2741" s="25"/>
      <c r="V2741" s="25"/>
      <c r="W2741" s="25"/>
      <c r="X2741" s="25"/>
      <c r="Y2741" s="25"/>
      <c r="Z2741" s="25"/>
    </row>
    <row r="2742" spans="19:26" x14ac:dyDescent="0.35">
      <c r="S2742" s="97"/>
      <c r="T2742" s="97"/>
      <c r="U2742" s="25"/>
      <c r="V2742" s="25"/>
      <c r="W2742" s="25"/>
      <c r="X2742" s="25"/>
      <c r="Y2742" s="25"/>
      <c r="Z2742" s="25"/>
    </row>
    <row r="2743" spans="19:26" x14ac:dyDescent="0.35">
      <c r="S2743" s="97"/>
      <c r="T2743" s="97"/>
      <c r="U2743" s="25"/>
      <c r="V2743" s="25"/>
      <c r="W2743" s="25"/>
      <c r="X2743" s="25"/>
      <c r="Y2743" s="25"/>
      <c r="Z2743" s="25"/>
    </row>
    <row r="2744" spans="19:26" x14ac:dyDescent="0.35">
      <c r="S2744" s="97"/>
      <c r="T2744" s="97"/>
      <c r="U2744" s="25"/>
      <c r="V2744" s="25"/>
      <c r="W2744" s="25"/>
      <c r="X2744" s="25"/>
      <c r="Y2744" s="25"/>
      <c r="Z2744" s="25"/>
    </row>
    <row r="2745" spans="19:26" x14ac:dyDescent="0.35">
      <c r="S2745" s="97"/>
      <c r="T2745" s="97"/>
      <c r="U2745" s="25"/>
      <c r="V2745" s="25"/>
      <c r="W2745" s="25"/>
      <c r="X2745" s="25"/>
      <c r="Y2745" s="25"/>
      <c r="Z2745" s="25"/>
    </row>
    <row r="2746" spans="19:26" x14ac:dyDescent="0.35">
      <c r="S2746" s="97"/>
      <c r="T2746" s="97"/>
      <c r="U2746" s="25"/>
      <c r="V2746" s="25"/>
      <c r="W2746" s="25"/>
      <c r="X2746" s="25"/>
      <c r="Y2746" s="25"/>
      <c r="Z2746" s="25"/>
    </row>
    <row r="2747" spans="19:26" x14ac:dyDescent="0.35">
      <c r="S2747" s="97"/>
      <c r="T2747" s="97"/>
      <c r="U2747" s="25"/>
      <c r="V2747" s="25"/>
      <c r="W2747" s="25"/>
      <c r="X2747" s="25"/>
      <c r="Y2747" s="25"/>
      <c r="Z2747" s="25"/>
    </row>
    <row r="2748" spans="19:26" x14ac:dyDescent="0.35">
      <c r="S2748" s="97"/>
      <c r="T2748" s="97"/>
      <c r="U2748" s="25"/>
      <c r="V2748" s="25"/>
      <c r="W2748" s="25"/>
      <c r="X2748" s="25"/>
      <c r="Y2748" s="25"/>
      <c r="Z2748" s="25"/>
    </row>
    <row r="2749" spans="19:26" x14ac:dyDescent="0.35">
      <c r="S2749" s="97"/>
      <c r="T2749" s="97"/>
      <c r="U2749" s="25"/>
      <c r="V2749" s="25"/>
      <c r="W2749" s="25"/>
      <c r="X2749" s="25"/>
      <c r="Y2749" s="25"/>
      <c r="Z2749" s="25"/>
    </row>
    <row r="2750" spans="19:26" x14ac:dyDescent="0.35">
      <c r="S2750" s="97"/>
      <c r="T2750" s="97"/>
      <c r="U2750" s="25"/>
      <c r="V2750" s="25"/>
      <c r="W2750" s="25"/>
      <c r="X2750" s="25"/>
      <c r="Y2750" s="25"/>
      <c r="Z2750" s="25"/>
    </row>
    <row r="2751" spans="19:26" x14ac:dyDescent="0.35">
      <c r="S2751" s="97"/>
      <c r="T2751" s="97"/>
      <c r="U2751" s="25"/>
      <c r="V2751" s="25"/>
      <c r="W2751" s="25"/>
      <c r="X2751" s="25"/>
      <c r="Y2751" s="25"/>
      <c r="Z2751" s="25"/>
    </row>
    <row r="2752" spans="19:26" x14ac:dyDescent="0.35">
      <c r="S2752" s="97"/>
      <c r="T2752" s="97"/>
      <c r="U2752" s="25"/>
      <c r="V2752" s="25"/>
      <c r="W2752" s="25"/>
      <c r="X2752" s="25"/>
      <c r="Y2752" s="25"/>
      <c r="Z2752" s="25"/>
    </row>
    <row r="2753" spans="19:26" x14ac:dyDescent="0.35">
      <c r="S2753" s="97"/>
      <c r="T2753" s="97"/>
      <c r="U2753" s="25"/>
      <c r="V2753" s="25"/>
      <c r="W2753" s="25"/>
      <c r="X2753" s="25"/>
      <c r="Y2753" s="25"/>
      <c r="Z2753" s="25"/>
    </row>
    <row r="2754" spans="19:26" x14ac:dyDescent="0.35">
      <c r="S2754" s="97"/>
      <c r="T2754" s="97"/>
      <c r="U2754" s="25"/>
      <c r="V2754" s="25"/>
      <c r="W2754" s="25"/>
      <c r="X2754" s="25"/>
      <c r="Y2754" s="25"/>
      <c r="Z2754" s="25"/>
    </row>
    <row r="2755" spans="19:26" x14ac:dyDescent="0.35">
      <c r="S2755" s="97"/>
      <c r="T2755" s="97"/>
      <c r="U2755" s="25"/>
      <c r="V2755" s="25"/>
      <c r="W2755" s="25"/>
      <c r="X2755" s="25"/>
      <c r="Y2755" s="25"/>
      <c r="Z2755" s="25"/>
    </row>
    <row r="2756" spans="19:26" x14ac:dyDescent="0.35">
      <c r="S2756" s="97"/>
      <c r="T2756" s="97"/>
      <c r="U2756" s="25"/>
      <c r="V2756" s="25"/>
      <c r="W2756" s="25"/>
      <c r="X2756" s="25"/>
      <c r="Y2756" s="25"/>
      <c r="Z2756" s="25"/>
    </row>
    <row r="2757" spans="19:26" x14ac:dyDescent="0.35">
      <c r="S2757" s="97"/>
      <c r="T2757" s="97"/>
      <c r="U2757" s="25"/>
      <c r="V2757" s="25"/>
      <c r="W2757" s="25"/>
      <c r="X2757" s="25"/>
      <c r="Y2757" s="25"/>
      <c r="Z2757" s="25"/>
    </row>
    <row r="2758" spans="19:26" x14ac:dyDescent="0.35">
      <c r="S2758" s="97"/>
      <c r="T2758" s="97"/>
      <c r="U2758" s="25"/>
      <c r="V2758" s="25"/>
      <c r="W2758" s="25"/>
      <c r="X2758" s="25"/>
      <c r="Y2758" s="25"/>
      <c r="Z2758" s="25"/>
    </row>
    <row r="2759" spans="19:26" x14ac:dyDescent="0.35">
      <c r="S2759" s="97"/>
      <c r="T2759" s="97"/>
      <c r="U2759" s="25"/>
      <c r="V2759" s="25"/>
      <c r="W2759" s="25"/>
      <c r="X2759" s="25"/>
      <c r="Y2759" s="25"/>
      <c r="Z2759" s="25"/>
    </row>
    <row r="2760" spans="19:26" x14ac:dyDescent="0.35">
      <c r="S2760" s="97"/>
      <c r="T2760" s="97"/>
      <c r="U2760" s="25"/>
      <c r="V2760" s="25"/>
      <c r="W2760" s="25"/>
      <c r="X2760" s="25"/>
      <c r="Y2760" s="25"/>
      <c r="Z2760" s="25"/>
    </row>
    <row r="2761" spans="19:26" x14ac:dyDescent="0.35">
      <c r="S2761" s="97"/>
      <c r="T2761" s="97"/>
      <c r="U2761" s="25"/>
      <c r="V2761" s="25"/>
      <c r="W2761" s="25"/>
      <c r="X2761" s="25"/>
      <c r="Y2761" s="25"/>
      <c r="Z2761" s="25"/>
    </row>
    <row r="2762" spans="19:26" x14ac:dyDescent="0.35">
      <c r="S2762" s="97"/>
      <c r="T2762" s="97"/>
      <c r="U2762" s="25"/>
      <c r="V2762" s="25"/>
      <c r="W2762" s="25"/>
      <c r="X2762" s="25"/>
      <c r="Y2762" s="25"/>
      <c r="Z2762" s="25"/>
    </row>
    <row r="2763" spans="19:26" x14ac:dyDescent="0.35">
      <c r="S2763" s="97"/>
      <c r="T2763" s="97"/>
      <c r="U2763" s="25"/>
      <c r="V2763" s="25"/>
      <c r="W2763" s="25"/>
      <c r="X2763" s="25"/>
      <c r="Y2763" s="25"/>
      <c r="Z2763" s="25"/>
    </row>
    <row r="2764" spans="19:26" x14ac:dyDescent="0.35">
      <c r="S2764" s="97"/>
      <c r="T2764" s="97"/>
      <c r="U2764" s="25"/>
      <c r="V2764" s="25"/>
      <c r="W2764" s="25"/>
      <c r="X2764" s="25"/>
      <c r="Y2764" s="25"/>
      <c r="Z2764" s="25"/>
    </row>
    <row r="2765" spans="19:26" x14ac:dyDescent="0.35">
      <c r="S2765" s="97"/>
      <c r="T2765" s="97"/>
      <c r="U2765" s="25"/>
      <c r="V2765" s="25"/>
      <c r="W2765" s="25"/>
      <c r="X2765" s="25"/>
      <c r="Y2765" s="25"/>
      <c r="Z2765" s="25"/>
    </row>
    <row r="2766" spans="19:26" x14ac:dyDescent="0.35">
      <c r="S2766" s="97"/>
      <c r="T2766" s="97"/>
      <c r="U2766" s="25"/>
      <c r="V2766" s="25"/>
      <c r="W2766" s="25"/>
      <c r="X2766" s="25"/>
      <c r="Y2766" s="25"/>
      <c r="Z2766" s="25"/>
    </row>
    <row r="2767" spans="19:26" x14ac:dyDescent="0.35">
      <c r="S2767" s="97"/>
      <c r="T2767" s="97"/>
      <c r="U2767" s="25"/>
      <c r="V2767" s="25"/>
      <c r="W2767" s="25"/>
      <c r="X2767" s="25"/>
      <c r="Y2767" s="25"/>
      <c r="Z2767" s="25"/>
    </row>
    <row r="2768" spans="19:26" x14ac:dyDescent="0.35">
      <c r="S2768" s="97"/>
      <c r="T2768" s="97"/>
      <c r="U2768" s="25"/>
      <c r="V2768" s="25"/>
      <c r="W2768" s="25"/>
      <c r="X2768" s="25"/>
      <c r="Y2768" s="25"/>
      <c r="Z2768" s="25"/>
    </row>
    <row r="2769" spans="19:26" x14ac:dyDescent="0.35">
      <c r="S2769" s="97"/>
      <c r="T2769" s="97"/>
      <c r="U2769" s="25"/>
      <c r="V2769" s="25"/>
      <c r="W2769" s="25"/>
      <c r="X2769" s="25"/>
      <c r="Y2769" s="25"/>
      <c r="Z2769" s="25"/>
    </row>
  </sheetData>
  <mergeCells count="11">
    <mergeCell ref="B1:G1"/>
    <mergeCell ref="B9:G11"/>
    <mergeCell ref="I11:K11"/>
    <mergeCell ref="M11:O11"/>
    <mergeCell ref="Q11:S11"/>
    <mergeCell ref="I1:K1"/>
    <mergeCell ref="M1:O1"/>
    <mergeCell ref="Q1:S1"/>
    <mergeCell ref="I2:K2"/>
    <mergeCell ref="M2:O2"/>
    <mergeCell ref="Q2:S2"/>
  </mergeCell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L37"/>
  <sheetViews>
    <sheetView workbookViewId="0">
      <selection sqref="A1:C37"/>
    </sheetView>
  </sheetViews>
  <sheetFormatPr defaultRowHeight="14.5" x14ac:dyDescent="0.35"/>
  <cols>
    <col min="1" max="1" width="10.81640625" bestFit="1" customWidth="1"/>
  </cols>
  <sheetData>
    <row r="1" spans="1:12" x14ac:dyDescent="0.35">
      <c r="A1" t="s">
        <v>56</v>
      </c>
      <c r="B1" t="s">
        <v>15</v>
      </c>
      <c r="C1" t="s">
        <v>534</v>
      </c>
      <c r="L1" s="1" t="s">
        <v>535</v>
      </c>
    </row>
    <row r="2" spans="1:12" x14ac:dyDescent="0.35">
      <c r="A2" s="5">
        <v>43576</v>
      </c>
      <c r="B2">
        <v>0</v>
      </c>
      <c r="C2">
        <v>50</v>
      </c>
    </row>
    <row r="3" spans="1:12" x14ac:dyDescent="0.35">
      <c r="A3" s="5">
        <v>43583</v>
      </c>
      <c r="B3">
        <v>0</v>
      </c>
      <c r="C3">
        <v>0</v>
      </c>
    </row>
    <row r="4" spans="1:12" x14ac:dyDescent="0.35">
      <c r="A4" s="5">
        <v>43590</v>
      </c>
      <c r="B4">
        <v>49</v>
      </c>
      <c r="C4">
        <v>0</v>
      </c>
    </row>
    <row r="5" spans="1:12" x14ac:dyDescent="0.35">
      <c r="A5" s="5">
        <v>43597</v>
      </c>
      <c r="B5">
        <v>0</v>
      </c>
      <c r="C5">
        <v>49</v>
      </c>
    </row>
    <row r="6" spans="1:12" x14ac:dyDescent="0.35">
      <c r="A6" s="5">
        <v>43604</v>
      </c>
      <c r="B6">
        <v>0</v>
      </c>
      <c r="C6">
        <v>0</v>
      </c>
    </row>
    <row r="7" spans="1:12" x14ac:dyDescent="0.35">
      <c r="A7" s="5">
        <v>43611</v>
      </c>
      <c r="B7">
        <v>48</v>
      </c>
      <c r="C7">
        <v>48</v>
      </c>
    </row>
    <row r="8" spans="1:12" x14ac:dyDescent="0.35">
      <c r="A8" s="5">
        <v>43618</v>
      </c>
      <c r="B8">
        <v>49</v>
      </c>
      <c r="C8">
        <v>0</v>
      </c>
    </row>
    <row r="9" spans="1:12" x14ac:dyDescent="0.35">
      <c r="A9" s="5">
        <v>43625</v>
      </c>
      <c r="B9">
        <v>0</v>
      </c>
      <c r="C9">
        <v>0</v>
      </c>
    </row>
    <row r="10" spans="1:12" x14ac:dyDescent="0.35">
      <c r="A10" s="5">
        <v>43632</v>
      </c>
      <c r="B10">
        <v>100</v>
      </c>
      <c r="C10">
        <v>0</v>
      </c>
    </row>
    <row r="11" spans="1:12" x14ac:dyDescent="0.35">
      <c r="A11" s="5">
        <v>43639</v>
      </c>
      <c r="B11">
        <v>0</v>
      </c>
      <c r="C11">
        <v>0</v>
      </c>
    </row>
    <row r="12" spans="1:12" x14ac:dyDescent="0.35">
      <c r="A12" s="5">
        <v>43646</v>
      </c>
      <c r="B12">
        <v>0</v>
      </c>
      <c r="C12">
        <v>0</v>
      </c>
    </row>
    <row r="13" spans="1:12" x14ac:dyDescent="0.35">
      <c r="A13" s="5">
        <v>43653</v>
      </c>
      <c r="B13">
        <v>48</v>
      </c>
      <c r="C13">
        <v>0</v>
      </c>
    </row>
    <row r="14" spans="1:12" x14ac:dyDescent="0.35">
      <c r="A14" s="5">
        <v>43660</v>
      </c>
      <c r="B14">
        <v>0</v>
      </c>
      <c r="C14">
        <v>0</v>
      </c>
    </row>
    <row r="15" spans="1:12" x14ac:dyDescent="0.35">
      <c r="A15" s="5">
        <v>43667</v>
      </c>
      <c r="B15">
        <v>45</v>
      </c>
      <c r="C15">
        <v>0</v>
      </c>
    </row>
    <row r="16" spans="1:12" x14ac:dyDescent="0.35">
      <c r="A16" s="5">
        <v>43674</v>
      </c>
      <c r="B16">
        <v>0</v>
      </c>
      <c r="C16">
        <v>0</v>
      </c>
    </row>
    <row r="17" spans="1:11" x14ac:dyDescent="0.35">
      <c r="A17" s="5">
        <v>43681</v>
      </c>
      <c r="B17">
        <v>0</v>
      </c>
      <c r="C17">
        <v>0</v>
      </c>
    </row>
    <row r="18" spans="1:11" x14ac:dyDescent="0.35">
      <c r="A18" s="5">
        <v>43688</v>
      </c>
      <c r="B18">
        <v>0</v>
      </c>
      <c r="C18">
        <v>30</v>
      </c>
    </row>
    <row r="19" spans="1:11" x14ac:dyDescent="0.35">
      <c r="A19" s="5">
        <v>43695</v>
      </c>
      <c r="B19">
        <v>0</v>
      </c>
      <c r="C19">
        <v>0</v>
      </c>
    </row>
    <row r="20" spans="1:11" x14ac:dyDescent="0.35">
      <c r="A20" s="5">
        <v>43702</v>
      </c>
      <c r="B20">
        <v>80</v>
      </c>
      <c r="C20">
        <v>0</v>
      </c>
      <c r="K20" s="1" t="s">
        <v>22</v>
      </c>
    </row>
    <row r="21" spans="1:11" x14ac:dyDescent="0.35">
      <c r="A21" s="5">
        <v>43709</v>
      </c>
      <c r="B21">
        <v>40</v>
      </c>
      <c r="C21">
        <v>40</v>
      </c>
    </row>
    <row r="22" spans="1:11" x14ac:dyDescent="0.35">
      <c r="A22" s="5">
        <v>43716</v>
      </c>
      <c r="B22">
        <v>41</v>
      </c>
      <c r="C22">
        <v>0</v>
      </c>
    </row>
    <row r="23" spans="1:11" x14ac:dyDescent="0.35">
      <c r="A23" s="5">
        <v>43723</v>
      </c>
      <c r="B23">
        <v>39</v>
      </c>
      <c r="C23">
        <v>40</v>
      </c>
    </row>
    <row r="24" spans="1:11" x14ac:dyDescent="0.35">
      <c r="A24" s="5">
        <v>43730</v>
      </c>
      <c r="B24">
        <v>76</v>
      </c>
      <c r="C24">
        <v>0</v>
      </c>
    </row>
    <row r="25" spans="1:11" x14ac:dyDescent="0.35">
      <c r="A25" s="5">
        <v>43737</v>
      </c>
      <c r="B25">
        <v>73</v>
      </c>
      <c r="C25">
        <v>0</v>
      </c>
    </row>
    <row r="26" spans="1:11" x14ac:dyDescent="0.35">
      <c r="A26" s="5">
        <v>43744</v>
      </c>
      <c r="B26">
        <v>0</v>
      </c>
      <c r="C26">
        <v>40</v>
      </c>
    </row>
    <row r="27" spans="1:11" x14ac:dyDescent="0.35">
      <c r="A27" s="5">
        <v>43751</v>
      </c>
      <c r="B27">
        <v>0</v>
      </c>
      <c r="C27">
        <v>0</v>
      </c>
    </row>
    <row r="28" spans="1:11" x14ac:dyDescent="0.35">
      <c r="A28" s="5">
        <v>43758</v>
      </c>
      <c r="B28">
        <v>40</v>
      </c>
      <c r="C28">
        <v>40</v>
      </c>
    </row>
    <row r="29" spans="1:11" x14ac:dyDescent="0.35">
      <c r="A29" s="5">
        <v>43765</v>
      </c>
      <c r="B29">
        <v>0</v>
      </c>
      <c r="C29">
        <v>0</v>
      </c>
    </row>
    <row r="30" spans="1:11" x14ac:dyDescent="0.35">
      <c r="A30" s="5">
        <v>43772</v>
      </c>
      <c r="B30">
        <v>40</v>
      </c>
      <c r="C30">
        <v>0</v>
      </c>
    </row>
    <row r="31" spans="1:11" x14ac:dyDescent="0.35">
      <c r="A31" s="5">
        <v>43779</v>
      </c>
      <c r="B31">
        <v>0</v>
      </c>
      <c r="C31">
        <v>40</v>
      </c>
    </row>
    <row r="32" spans="1:11" x14ac:dyDescent="0.35">
      <c r="A32" s="5">
        <v>43786</v>
      </c>
      <c r="B32">
        <v>0</v>
      </c>
      <c r="C32">
        <v>0</v>
      </c>
    </row>
    <row r="33" spans="1:3" x14ac:dyDescent="0.35">
      <c r="A33" s="5">
        <v>43793</v>
      </c>
      <c r="B33">
        <v>0</v>
      </c>
      <c r="C33">
        <v>0</v>
      </c>
    </row>
    <row r="34" spans="1:3" x14ac:dyDescent="0.35">
      <c r="A34" s="5">
        <v>43800</v>
      </c>
      <c r="B34">
        <v>0</v>
      </c>
      <c r="C34">
        <v>0</v>
      </c>
    </row>
    <row r="35" spans="1:3" x14ac:dyDescent="0.35">
      <c r="A35" s="5">
        <v>43807</v>
      </c>
      <c r="B35">
        <v>0</v>
      </c>
      <c r="C35">
        <v>0</v>
      </c>
    </row>
    <row r="36" spans="1:3" x14ac:dyDescent="0.35">
      <c r="A36" s="5">
        <v>43814</v>
      </c>
      <c r="B36">
        <v>0</v>
      </c>
      <c r="C36">
        <v>80</v>
      </c>
    </row>
    <row r="37" spans="1:3" x14ac:dyDescent="0.35">
      <c r="A37" s="5">
        <v>43821</v>
      </c>
      <c r="B37">
        <v>35</v>
      </c>
      <c r="C37">
        <v>35</v>
      </c>
    </row>
  </sheetData>
  <hyperlinks>
    <hyperlink ref="L1" r:id="rId1" xr:uid="{507D8F5E-8D35-4316-98FB-0C7C44FC11B7}"/>
    <hyperlink ref="K20" r:id="rId2" xr:uid="{5BF9B2E7-693C-4DA8-AEDC-16934B8783F2}"/>
  </hyperlinks>
  <pageMargins left="0.7" right="0.7" top="0.75" bottom="0.75" header="0.3" footer="0.3"/>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147F9-CEF2-423B-A99B-A59316BE81B8}">
  <sheetPr codeName="Sheet6"/>
  <dimension ref="A1:AC22"/>
  <sheetViews>
    <sheetView workbookViewId="0">
      <selection activeCell="D13" sqref="D13"/>
    </sheetView>
  </sheetViews>
  <sheetFormatPr defaultRowHeight="14.5" x14ac:dyDescent="0.35"/>
  <cols>
    <col min="25" max="29" width="9.1796875" customWidth="1"/>
  </cols>
  <sheetData>
    <row r="1" spans="1:29" x14ac:dyDescent="0.35">
      <c r="A1" s="195" t="s">
        <v>15</v>
      </c>
      <c r="B1" s="195"/>
      <c r="D1" s="195" t="s">
        <v>534</v>
      </c>
      <c r="E1" s="195"/>
    </row>
    <row r="2" spans="1:29" x14ac:dyDescent="0.35">
      <c r="A2" t="s">
        <v>536</v>
      </c>
      <c r="B2" t="s">
        <v>537</v>
      </c>
      <c r="D2" t="s">
        <v>538</v>
      </c>
      <c r="E2" t="s">
        <v>538</v>
      </c>
    </row>
    <row r="3" spans="1:29" x14ac:dyDescent="0.35">
      <c r="A3" t="s">
        <v>539</v>
      </c>
      <c r="B3">
        <v>8.7200000000000006</v>
      </c>
      <c r="D3" t="s">
        <v>540</v>
      </c>
      <c r="E3" s="2">
        <v>36.799999999999997</v>
      </c>
    </row>
    <row r="4" spans="1:29" x14ac:dyDescent="0.35">
      <c r="A4" t="s">
        <v>541</v>
      </c>
      <c r="B4">
        <v>5.99</v>
      </c>
      <c r="D4" t="s">
        <v>542</v>
      </c>
      <c r="E4" s="2">
        <v>30.97</v>
      </c>
      <c r="W4" s="3"/>
      <c r="X4" s="3"/>
      <c r="Y4" s="3"/>
      <c r="Z4" s="3"/>
      <c r="AA4" s="3"/>
      <c r="AB4" s="3"/>
      <c r="AC4" s="3"/>
    </row>
    <row r="5" spans="1:29" x14ac:dyDescent="0.35">
      <c r="A5" t="s">
        <v>543</v>
      </c>
      <c r="B5">
        <v>4.47</v>
      </c>
      <c r="D5" t="s">
        <v>544</v>
      </c>
      <c r="E5" s="2">
        <v>20</v>
      </c>
      <c r="W5" s="3"/>
      <c r="X5" s="3"/>
      <c r="Y5" s="3"/>
      <c r="Z5" s="3"/>
      <c r="AA5" s="3"/>
      <c r="AB5" s="3"/>
      <c r="AC5" s="3"/>
    </row>
    <row r="6" spans="1:29" x14ac:dyDescent="0.35">
      <c r="A6" t="s">
        <v>545</v>
      </c>
      <c r="B6">
        <v>4.2300000000000004</v>
      </c>
      <c r="D6" t="s">
        <v>546</v>
      </c>
      <c r="E6" s="2">
        <v>10.23</v>
      </c>
      <c r="W6" s="3"/>
      <c r="X6" s="3"/>
      <c r="Y6" s="3"/>
      <c r="Z6" s="196"/>
      <c r="AA6" s="196"/>
      <c r="AB6" s="3"/>
      <c r="AC6" s="3"/>
    </row>
    <row r="7" spans="1:29" x14ac:dyDescent="0.35">
      <c r="A7" t="s">
        <v>547</v>
      </c>
      <c r="B7">
        <v>4.22</v>
      </c>
      <c r="D7" t="s">
        <v>548</v>
      </c>
      <c r="E7" s="2">
        <v>2</v>
      </c>
      <c r="W7" s="3"/>
      <c r="X7" s="3"/>
      <c r="Y7" s="3"/>
      <c r="Z7" s="3"/>
      <c r="AA7" s="3"/>
      <c r="AB7" s="3"/>
      <c r="AC7" s="3"/>
    </row>
    <row r="8" spans="1:29" x14ac:dyDescent="0.35">
      <c r="A8" t="s">
        <v>549</v>
      </c>
      <c r="B8">
        <v>3.71</v>
      </c>
      <c r="W8" s="3"/>
      <c r="X8" s="3"/>
      <c r="Y8" s="3"/>
      <c r="Z8" s="3"/>
      <c r="AA8" s="3"/>
      <c r="AB8" s="3"/>
      <c r="AC8" s="3"/>
    </row>
    <row r="9" spans="1:29" x14ac:dyDescent="0.35">
      <c r="A9" t="s">
        <v>550</v>
      </c>
      <c r="B9">
        <v>3.09</v>
      </c>
      <c r="E9" s="2">
        <f>SUM(E3:E7)</f>
        <v>100</v>
      </c>
      <c r="W9" s="3"/>
      <c r="X9" s="3"/>
      <c r="Y9" s="3"/>
      <c r="Z9" s="3"/>
      <c r="AA9" s="3"/>
      <c r="AB9" s="3"/>
      <c r="AC9" s="3"/>
    </row>
    <row r="10" spans="1:29" x14ac:dyDescent="0.35">
      <c r="A10" t="s">
        <v>551</v>
      </c>
      <c r="B10">
        <v>2.63</v>
      </c>
      <c r="W10" s="3"/>
      <c r="X10" s="3"/>
      <c r="Y10" s="3"/>
      <c r="Z10" s="3"/>
      <c r="AA10" s="3"/>
      <c r="AB10" s="3"/>
      <c r="AC10" s="3"/>
    </row>
    <row r="11" spans="1:29" x14ac:dyDescent="0.35">
      <c r="A11" t="s">
        <v>552</v>
      </c>
      <c r="B11">
        <v>2.52</v>
      </c>
      <c r="W11" s="3"/>
      <c r="X11" s="3"/>
      <c r="Y11" s="3"/>
      <c r="Z11" s="3"/>
      <c r="AA11" s="3"/>
      <c r="AB11" s="3"/>
      <c r="AC11" s="3"/>
    </row>
    <row r="12" spans="1:29" x14ac:dyDescent="0.35">
      <c r="A12" t="s">
        <v>553</v>
      </c>
      <c r="B12">
        <v>2.39</v>
      </c>
      <c r="W12" s="3"/>
      <c r="X12" s="3"/>
      <c r="Y12" s="3"/>
      <c r="Z12" s="3"/>
      <c r="AA12" s="3"/>
      <c r="AB12" s="3"/>
      <c r="AC12" s="3"/>
    </row>
    <row r="13" spans="1:29" x14ac:dyDescent="0.35">
      <c r="A13" t="s">
        <v>554</v>
      </c>
      <c r="B13">
        <f>100-SUM(B3:B12)</f>
        <v>58.029999999999994</v>
      </c>
      <c r="W13" s="3"/>
      <c r="X13" s="3"/>
      <c r="Y13" s="3"/>
      <c r="Z13" s="3"/>
      <c r="AA13" s="3"/>
      <c r="AB13" s="3"/>
      <c r="AC13" s="3"/>
    </row>
    <row r="14" spans="1:29" x14ac:dyDescent="0.35">
      <c r="W14" s="3"/>
      <c r="X14" s="3"/>
      <c r="Y14" s="3"/>
      <c r="Z14" s="3"/>
      <c r="AA14" s="3"/>
      <c r="AB14" s="3"/>
      <c r="AC14" s="3"/>
    </row>
    <row r="15" spans="1:29" x14ac:dyDescent="0.35">
      <c r="W15" s="3"/>
      <c r="X15" s="3"/>
      <c r="Y15" s="3"/>
      <c r="Z15" s="3"/>
      <c r="AA15" s="3"/>
      <c r="AB15" s="3"/>
      <c r="AC15" s="3"/>
    </row>
    <row r="16" spans="1:29" x14ac:dyDescent="0.35">
      <c r="W16" s="3"/>
      <c r="X16" s="3"/>
      <c r="Y16" s="3"/>
      <c r="Z16" s="3"/>
      <c r="AA16" s="3"/>
      <c r="AB16" s="3"/>
      <c r="AC16" s="3"/>
    </row>
    <row r="21" spans="3:3" x14ac:dyDescent="0.35">
      <c r="C21" s="1" t="s">
        <v>20</v>
      </c>
    </row>
    <row r="22" spans="3:3" x14ac:dyDescent="0.35">
      <c r="C22" s="1" t="s">
        <v>21</v>
      </c>
    </row>
  </sheetData>
  <mergeCells count="3">
    <mergeCell ref="A1:B1"/>
    <mergeCell ref="D1:E1"/>
    <mergeCell ref="Z6:AA6"/>
  </mergeCells>
  <hyperlinks>
    <hyperlink ref="C21" r:id="rId1" display="https://app.companiesoffice.govt.nz/companies/app/ui/pages/companies/6842293?backurl=H4sIAAAAAAAAAC3KQQrCQAyF4dvMticI4spNF4Je4DEJtmCTOMkovb1D6e79j29yvCSmaptD17FC0Opy2YyFIqGMxiV3FxLNNQcpH4rlZ%2BYF%2FIVW4TtU3pStSznQ%2Fhw%2B6DrPZz8S2ePWrPtx%2FwEsagvvdgAAAA%3D%3D" xr:uid="{4E7FB13E-1EBE-4FA8-A5B1-CA94E959D481}"/>
    <hyperlink ref="C22" r:id="rId2" xr:uid="{2716927B-E7AB-4F17-AA73-D34B049CE670}"/>
  </hyperlinks>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37962-480A-46AD-8350-222773A30AE4}">
  <sheetPr codeName="Sheet7"/>
  <dimension ref="A1:D27"/>
  <sheetViews>
    <sheetView workbookViewId="0">
      <selection activeCell="Q17" sqref="Q17"/>
    </sheetView>
  </sheetViews>
  <sheetFormatPr defaultRowHeight="14.5" x14ac:dyDescent="0.35"/>
  <cols>
    <col min="1" max="1" width="11.54296875" customWidth="1"/>
  </cols>
  <sheetData>
    <row r="1" spans="1:4" x14ac:dyDescent="0.35">
      <c r="B1" s="195" t="s">
        <v>555</v>
      </c>
      <c r="C1" s="195"/>
      <c r="D1" s="195"/>
    </row>
    <row r="2" spans="1:4" x14ac:dyDescent="0.35">
      <c r="A2" t="s">
        <v>56</v>
      </c>
      <c r="B2" t="s">
        <v>556</v>
      </c>
      <c r="C2" t="s">
        <v>534</v>
      </c>
    </row>
    <row r="3" spans="1:4" x14ac:dyDescent="0.35">
      <c r="A3" s="5">
        <v>43831</v>
      </c>
      <c r="B3">
        <v>1</v>
      </c>
      <c r="C3">
        <v>1</v>
      </c>
    </row>
    <row r="4" spans="1:4" x14ac:dyDescent="0.35">
      <c r="A4" s="5">
        <v>43832</v>
      </c>
      <c r="B4">
        <v>1</v>
      </c>
      <c r="C4">
        <v>1</v>
      </c>
    </row>
    <row r="5" spans="1:4" x14ac:dyDescent="0.35">
      <c r="A5" s="5">
        <v>43833</v>
      </c>
      <c r="B5">
        <v>2</v>
      </c>
      <c r="C5">
        <v>1</v>
      </c>
    </row>
    <row r="6" spans="1:4" x14ac:dyDescent="0.35">
      <c r="A6" s="5">
        <v>43834</v>
      </c>
      <c r="B6">
        <v>3</v>
      </c>
      <c r="C6">
        <v>2</v>
      </c>
    </row>
    <row r="7" spans="1:4" x14ac:dyDescent="0.35">
      <c r="A7" s="5">
        <v>43835</v>
      </c>
      <c r="B7">
        <v>5</v>
      </c>
      <c r="C7">
        <v>2</v>
      </c>
    </row>
    <row r="8" spans="1:4" x14ac:dyDescent="0.35">
      <c r="A8" s="5">
        <v>43836</v>
      </c>
      <c r="B8">
        <v>9</v>
      </c>
      <c r="C8">
        <v>3</v>
      </c>
    </row>
    <row r="9" spans="1:4" x14ac:dyDescent="0.35">
      <c r="A9" s="5">
        <v>43837</v>
      </c>
      <c r="B9">
        <v>12</v>
      </c>
      <c r="C9">
        <v>4</v>
      </c>
    </row>
    <row r="10" spans="1:4" x14ac:dyDescent="0.35">
      <c r="A10" s="5">
        <v>43838</v>
      </c>
      <c r="B10">
        <v>21</v>
      </c>
      <c r="C10">
        <v>5</v>
      </c>
    </row>
    <row r="11" spans="1:4" x14ac:dyDescent="0.35">
      <c r="A11" s="5">
        <v>43839</v>
      </c>
      <c r="B11">
        <v>21</v>
      </c>
      <c r="C11">
        <v>7</v>
      </c>
    </row>
    <row r="12" spans="1:4" x14ac:dyDescent="0.35">
      <c r="A12" s="5">
        <v>43840</v>
      </c>
      <c r="B12">
        <v>26</v>
      </c>
      <c r="C12">
        <v>8</v>
      </c>
    </row>
    <row r="13" spans="1:4" x14ac:dyDescent="0.35">
      <c r="A13" s="5">
        <v>43841</v>
      </c>
      <c r="B13">
        <v>30</v>
      </c>
      <c r="C13">
        <v>10</v>
      </c>
    </row>
    <row r="14" spans="1:4" x14ac:dyDescent="0.35">
      <c r="A14" s="5">
        <v>43842</v>
      </c>
      <c r="B14">
        <v>37</v>
      </c>
      <c r="C14">
        <v>15</v>
      </c>
    </row>
    <row r="15" spans="1:4" x14ac:dyDescent="0.35">
      <c r="A15" s="5">
        <v>43843</v>
      </c>
      <c r="B15">
        <v>45</v>
      </c>
      <c r="C15">
        <v>20</v>
      </c>
    </row>
    <row r="16" spans="1:4" x14ac:dyDescent="0.35">
      <c r="A16" s="5">
        <v>43844</v>
      </c>
      <c r="B16">
        <v>60</v>
      </c>
      <c r="C16">
        <v>30</v>
      </c>
    </row>
    <row r="17" spans="1:3" x14ac:dyDescent="0.35">
      <c r="A17" s="5">
        <v>43845</v>
      </c>
      <c r="B17">
        <v>80</v>
      </c>
      <c r="C17">
        <v>45</v>
      </c>
    </row>
    <row r="18" spans="1:3" x14ac:dyDescent="0.35">
      <c r="A18" s="5">
        <v>43846</v>
      </c>
      <c r="B18">
        <v>100</v>
      </c>
      <c r="C18">
        <v>55</v>
      </c>
    </row>
    <row r="19" spans="1:3" x14ac:dyDescent="0.35">
      <c r="A19" s="5">
        <v>43847</v>
      </c>
      <c r="B19">
        <v>110</v>
      </c>
      <c r="C19">
        <v>60</v>
      </c>
    </row>
    <row r="20" spans="1:3" x14ac:dyDescent="0.35">
      <c r="A20" s="5">
        <v>43848</v>
      </c>
      <c r="B20">
        <v>115</v>
      </c>
      <c r="C20">
        <v>65</v>
      </c>
    </row>
    <row r="21" spans="1:3" x14ac:dyDescent="0.35">
      <c r="A21" s="5">
        <v>43849</v>
      </c>
      <c r="B21">
        <v>120</v>
      </c>
      <c r="C21">
        <v>68</v>
      </c>
    </row>
    <row r="22" spans="1:3" x14ac:dyDescent="0.35">
      <c r="A22" s="5">
        <v>43850</v>
      </c>
      <c r="B22">
        <v>127</v>
      </c>
      <c r="C22">
        <v>69</v>
      </c>
    </row>
    <row r="23" spans="1:3" x14ac:dyDescent="0.35">
      <c r="A23" s="5">
        <v>43851</v>
      </c>
      <c r="B23">
        <v>135</v>
      </c>
      <c r="C23">
        <v>70</v>
      </c>
    </row>
    <row r="24" spans="1:3" x14ac:dyDescent="0.35">
      <c r="A24" s="5">
        <v>43852</v>
      </c>
      <c r="B24">
        <v>145</v>
      </c>
      <c r="C24">
        <v>70</v>
      </c>
    </row>
    <row r="25" spans="1:3" x14ac:dyDescent="0.35">
      <c r="A25" s="5">
        <v>43853</v>
      </c>
      <c r="B25">
        <v>155</v>
      </c>
      <c r="C25">
        <v>71</v>
      </c>
    </row>
    <row r="26" spans="1:3" x14ac:dyDescent="0.35">
      <c r="A26" s="5">
        <v>43854</v>
      </c>
      <c r="B26">
        <v>170</v>
      </c>
      <c r="C26">
        <v>73</v>
      </c>
    </row>
    <row r="27" spans="1:3" x14ac:dyDescent="0.35">
      <c r="A27" s="5">
        <v>43855</v>
      </c>
      <c r="B27">
        <v>180</v>
      </c>
      <c r="C27">
        <v>73</v>
      </c>
    </row>
  </sheetData>
  <mergeCells count="1">
    <mergeCell ref="B1:D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8AABD37C4F4F4B9BD5ED447557DCBD" ma:contentTypeVersion="2" ma:contentTypeDescription="Create a new document." ma:contentTypeScope="" ma:versionID="a8e472e12948cf8bcf122f6b003ad2f5">
  <xsd:schema xmlns:xsd="http://www.w3.org/2001/XMLSchema" xmlns:xs="http://www.w3.org/2001/XMLSchema" xmlns:p="http://schemas.microsoft.com/office/2006/metadata/properties" xmlns:ns3="4f9881ca-1ad9-4daa-9030-2a1fa34cb895" targetNamespace="http://schemas.microsoft.com/office/2006/metadata/properties" ma:root="true" ma:fieldsID="59930499d2e1bd3a1a804464effe7a5b" ns3:_="">
    <xsd:import namespace="4f9881ca-1ad9-4daa-9030-2a1fa34cb895"/>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9881ca-1ad9-4daa-9030-2a1fa34cb8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C2F1C52-5D18-4A3C-B1F5-8C80F8F66B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9881ca-1ad9-4daa-9030-2a1fa34cb8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0FCAD0-C8EC-46A0-9693-1E6C15CB1BA1}">
  <ds:schemaRefs>
    <ds:schemaRef ds:uri="http://schemas.microsoft.com/sharepoint/v3/contenttype/forms"/>
  </ds:schemaRefs>
</ds:datastoreItem>
</file>

<file path=customXml/itemProps3.xml><?xml version="1.0" encoding="utf-8"?>
<ds:datastoreItem xmlns:ds="http://schemas.openxmlformats.org/officeDocument/2006/customXml" ds:itemID="{D29BB048-91CE-45B9-8EB2-96268C93EA2F}">
  <ds:schemaRefs>
    <ds:schemaRef ds:uri="http://purl.org/dc/dcmitype/"/>
    <ds:schemaRef ds:uri="http://www.w3.org/XML/1998/namespace"/>
    <ds:schemaRef ds:uri="http://purl.org/dc/terms/"/>
    <ds:schemaRef ds:uri="http://schemas.openxmlformats.org/package/2006/metadata/core-properties"/>
    <ds:schemaRef ds:uri="http://purl.org/dc/elements/1.1/"/>
    <ds:schemaRef ds:uri="http://schemas.microsoft.com/office/2006/documentManagement/types"/>
    <ds:schemaRef ds:uri="http://schemas.microsoft.com/office/infopath/2007/PartnerControls"/>
    <ds:schemaRef ds:uri="4f9881ca-1ad9-4daa-9030-2a1fa34cb895"/>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Summary</vt:lpstr>
      <vt:lpstr>APItest</vt:lpstr>
      <vt:lpstr>Google trends template</vt:lpstr>
      <vt:lpstr>Linkedin</vt:lpstr>
      <vt:lpstr>Finance</vt:lpstr>
      <vt:lpstr>House</vt:lpstr>
      <vt:lpstr>Trends</vt:lpstr>
      <vt:lpstr>Google trends</vt:lpstr>
      <vt:lpstr>Companies house</vt:lpstr>
      <vt:lpstr>Twitter</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Etienne</cp:lastModifiedBy>
  <cp:revision/>
  <dcterms:created xsi:type="dcterms:W3CDTF">2020-04-21T00:13:43Z</dcterms:created>
  <dcterms:modified xsi:type="dcterms:W3CDTF">2020-04-27T15:43:10Z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0x010100E58AABD37C4F4F4B9BD5ED447557DCBD</vt:lpwstr>
  </property>
</Properties>
</file>