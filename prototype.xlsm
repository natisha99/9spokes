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Etienne\Documents\9spokes\"/>
    </mc:Choice>
  </mc:AlternateContent>
  <xr:revisionPtr revIDLastSave="0" documentId="13_ncr:1_{45578991-7CB1-4D8C-B17C-60F1C81B5488}" xr6:coauthVersionLast="44" xr6:coauthVersionMax="45" xr10:uidLastSave="{00000000-0000-0000-0000-000000000000}"/>
  <bookViews>
    <workbookView xWindow="17835" yWindow="-345" windowWidth="21600" windowHeight="11055" tabRatio="479" firstSheet="4" activeTab="4" xr2:uid="{00000000-000D-0000-FFFF-FFFF00000000}"/>
  </bookViews>
  <sheets>
    <sheet name="Summary" sheetId="7" r:id="rId1"/>
    <sheet name="APItest" sheetId="9" state="hidden" r:id="rId2"/>
    <sheet name="Google trends template" sheetId="11" state="hidden" r:id="rId3"/>
    <sheet name="Linkedin" sheetId="13" r:id="rId4"/>
    <sheet name="House" sheetId="10" r:id="rId5"/>
    <sheet name="Google trends" sheetId="1" state="hidden" r:id="rId6"/>
    <sheet name="Companies house" sheetId="5" state="hidden" r:id="rId7"/>
    <sheet name="Twitter" sheetId="4" state="hidden" r:id="rId8"/>
    <sheet name="google finance " sheetId="3" state="hidden" r:id="rId9"/>
    <sheet name="Xero (imported)" sheetId="6" state="hidden" r:id="rId10"/>
  </sheets>
  <calcPr calcId="191028"/>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68" i="7" l="1"/>
  <c r="O69" i="7"/>
  <c r="P68" i="7"/>
  <c r="M70" i="7"/>
  <c r="O70" i="7"/>
  <c r="P70" i="7"/>
  <c r="M71" i="7"/>
  <c r="N71" i="7"/>
  <c r="O71" i="7"/>
  <c r="P71" i="7"/>
  <c r="Q71" i="7"/>
  <c r="M72" i="7"/>
  <c r="N72" i="7"/>
  <c r="O72" i="7"/>
  <c r="P72" i="7"/>
  <c r="Q72" i="7"/>
  <c r="M73" i="7"/>
  <c r="N73" i="7"/>
  <c r="O73" i="7"/>
  <c r="P73" i="7"/>
  <c r="Q73" i="7"/>
  <c r="M74" i="7"/>
  <c r="N74" i="7"/>
  <c r="O74" i="7"/>
  <c r="P74" i="7"/>
  <c r="Q74" i="7"/>
  <c r="M75" i="7"/>
  <c r="N75" i="7"/>
  <c r="O75" i="7"/>
  <c r="P75" i="7"/>
  <c r="Q75" i="7"/>
  <c r="O76" i="7"/>
  <c r="O77" i="7"/>
  <c r="O78" i="7"/>
  <c r="M79" i="7"/>
  <c r="N79" i="7"/>
  <c r="O79" i="7"/>
  <c r="P79" i="7"/>
  <c r="Q79" i="7"/>
  <c r="M80" i="7"/>
  <c r="O80" i="7"/>
  <c r="P80" i="7"/>
  <c r="M81" i="7"/>
  <c r="O81" i="7"/>
  <c r="P81" i="7"/>
  <c r="O82" i="7"/>
  <c r="O83" i="7"/>
  <c r="O84" i="7"/>
  <c r="O85" i="7"/>
  <c r="O86" i="7"/>
  <c r="O87" i="7"/>
  <c r="O88" i="7"/>
  <c r="O89" i="7"/>
  <c r="O90" i="7"/>
  <c r="O91" i="7"/>
  <c r="O92" i="7"/>
  <c r="O93" i="7"/>
  <c r="O94" i="7"/>
  <c r="O95" i="7"/>
  <c r="O96" i="7"/>
  <c r="O97" i="7"/>
  <c r="O98" i="7"/>
  <c r="O99" i="7"/>
  <c r="O100" i="7"/>
  <c r="M35" i="7"/>
  <c r="O36" i="7"/>
  <c r="P35" i="7"/>
  <c r="M37" i="7"/>
  <c r="O37" i="7"/>
  <c r="P37" i="7"/>
  <c r="M38" i="7"/>
  <c r="N38" i="7"/>
  <c r="O38" i="7"/>
  <c r="P38" i="7"/>
  <c r="Q38" i="7"/>
  <c r="M39" i="7"/>
  <c r="N39" i="7"/>
  <c r="O39" i="7"/>
  <c r="P39" i="7"/>
  <c r="Q39" i="7"/>
  <c r="M40" i="7"/>
  <c r="N40" i="7"/>
  <c r="O40" i="7"/>
  <c r="P40" i="7"/>
  <c r="Q40" i="7"/>
  <c r="M41" i="7"/>
  <c r="N41" i="7"/>
  <c r="O41" i="7"/>
  <c r="P41" i="7"/>
  <c r="Q41" i="7"/>
  <c r="M42" i="7"/>
  <c r="N42" i="7"/>
  <c r="O42" i="7"/>
  <c r="P42" i="7"/>
  <c r="Q42" i="7"/>
  <c r="O43" i="7"/>
  <c r="O44" i="7"/>
  <c r="O45" i="7"/>
  <c r="M46" i="7"/>
  <c r="N46" i="7"/>
  <c r="O46" i="7"/>
  <c r="P46" i="7"/>
  <c r="Q46" i="7"/>
  <c r="M47" i="7"/>
  <c r="O47" i="7"/>
  <c r="P47" i="7"/>
  <c r="M48" i="7"/>
  <c r="O48" i="7"/>
  <c r="P48" i="7"/>
  <c r="O49" i="7"/>
  <c r="O50" i="7"/>
  <c r="O51" i="7"/>
  <c r="O52" i="7"/>
  <c r="O53" i="7"/>
  <c r="O54" i="7"/>
  <c r="O55" i="7"/>
  <c r="O56" i="7"/>
  <c r="O57" i="7"/>
  <c r="O58" i="7"/>
  <c r="O59" i="7"/>
  <c r="O60" i="7"/>
  <c r="O61" i="7"/>
  <c r="O62" i="7"/>
  <c r="O63" i="7"/>
  <c r="O64" i="7"/>
  <c r="O65" i="7"/>
  <c r="O66" i="7"/>
  <c r="O67" i="7"/>
  <c r="M5" i="7"/>
  <c r="M6" i="7"/>
  <c r="M7" i="7"/>
  <c r="M8" i="7"/>
  <c r="M9" i="7"/>
  <c r="M13" i="7"/>
  <c r="M3" i="7"/>
  <c r="M4" i="7"/>
  <c r="N5" i="7"/>
  <c r="N6" i="7"/>
  <c r="N7" i="7"/>
  <c r="N8" i="7"/>
  <c r="N9" i="7"/>
  <c r="N13" i="7"/>
  <c r="M14" i="7"/>
  <c r="M15" i="7"/>
  <c r="P3" i="7"/>
  <c r="P4" i="7"/>
  <c r="P5" i="7"/>
  <c r="Q5" i="7"/>
  <c r="P6" i="7"/>
  <c r="Q6" i="7"/>
  <c r="P7" i="7"/>
  <c r="Q7" i="7"/>
  <c r="P8" i="7"/>
  <c r="Q8" i="7"/>
  <c r="P9" i="7"/>
  <c r="Q9" i="7"/>
  <c r="P13" i="7"/>
  <c r="Q13" i="7"/>
  <c r="P14" i="7"/>
  <c r="P15" i="7"/>
  <c r="D133" i="7" l="1"/>
  <c r="D132" i="7"/>
  <c r="D131" i="7"/>
  <c r="D130" i="7"/>
  <c r="D129" i="7"/>
  <c r="D128" i="7"/>
  <c r="D127" i="7"/>
  <c r="D73" i="7"/>
  <c r="D72" i="7"/>
  <c r="D71" i="7"/>
  <c r="D70" i="7"/>
  <c r="D69" i="7"/>
  <c r="D68" i="7"/>
  <c r="D67" i="7"/>
  <c r="B150" i="7"/>
  <c r="B149" i="7"/>
  <c r="B148" i="7"/>
  <c r="B147" i="7"/>
  <c r="B146" i="7"/>
  <c r="D143" i="7"/>
  <c r="D142" i="7"/>
  <c r="D141" i="7"/>
  <c r="D140" i="7"/>
  <c r="D139" i="7"/>
  <c r="D138" i="7"/>
  <c r="D137" i="7"/>
  <c r="D136" i="7"/>
  <c r="B120" i="7"/>
  <c r="B119" i="7"/>
  <c r="B118" i="7"/>
  <c r="B117" i="7"/>
  <c r="B116" i="7"/>
  <c r="D113" i="7"/>
  <c r="D112" i="7"/>
  <c r="D111" i="7"/>
  <c r="D110" i="7"/>
  <c r="D109" i="7"/>
  <c r="D108" i="7"/>
  <c r="D107" i="7"/>
  <c r="D106" i="7"/>
  <c r="D103" i="7"/>
  <c r="D102" i="7"/>
  <c r="D101" i="7"/>
  <c r="D100" i="7"/>
  <c r="D99" i="7"/>
  <c r="D98" i="7"/>
  <c r="D97" i="7"/>
  <c r="B90" i="7"/>
  <c r="B89" i="7"/>
  <c r="B88" i="7"/>
  <c r="B87" i="7"/>
  <c r="B86" i="7"/>
  <c r="D83" i="7"/>
  <c r="D82" i="7"/>
  <c r="D81" i="7"/>
  <c r="D80" i="7"/>
  <c r="D79" i="7"/>
  <c r="D78" i="7"/>
  <c r="D77" i="7"/>
  <c r="D76" i="7"/>
  <c r="B60" i="7"/>
  <c r="B59" i="7"/>
  <c r="B58" i="7"/>
  <c r="B57" i="7"/>
  <c r="B56" i="7"/>
  <c r="D53" i="7"/>
  <c r="D52" i="7"/>
  <c r="D51" i="7"/>
  <c r="D50" i="7"/>
  <c r="D49" i="7"/>
  <c r="D48" i="7"/>
  <c r="D47" i="7"/>
  <c r="D46" i="7"/>
  <c r="D43" i="7"/>
  <c r="D42" i="7"/>
  <c r="D41" i="7"/>
  <c r="D40" i="7"/>
  <c r="D39" i="7"/>
  <c r="D38" i="7"/>
  <c r="D37" i="7"/>
  <c r="D30" i="7" l="1"/>
  <c r="B30" i="7"/>
  <c r="D29" i="7"/>
  <c r="B29" i="7"/>
  <c r="D28" i="7"/>
  <c r="B28" i="7"/>
  <c r="D27" i="7"/>
  <c r="B27" i="7"/>
  <c r="B26" i="7"/>
  <c r="D26" i="7"/>
  <c r="D17" i="7"/>
  <c r="D16" i="7"/>
  <c r="D18" i="7"/>
  <c r="B33" i="7"/>
  <c r="D23" i="7"/>
  <c r="D22" i="7"/>
  <c r="D21" i="7"/>
  <c r="D20" i="7"/>
  <c r="D19" i="7"/>
  <c r="D7" i="7"/>
  <c r="D8" i="7"/>
  <c r="D9" i="7"/>
  <c r="D10" i="7"/>
  <c r="D11" i="7"/>
  <c r="D12" i="7"/>
  <c r="D13" i="7"/>
  <c r="B123" i="7"/>
  <c r="B93" i="7"/>
  <c r="B63" i="7"/>
  <c r="B3" i="7"/>
  <c r="C10" i="3" l="1"/>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9"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10" i="3"/>
  <c r="B9" i="3"/>
  <c r="B13" i="5" l="1"/>
  <c r="E9" i="5" l="1"/>
</calcChain>
</file>

<file path=xl/sharedStrings.xml><?xml version="1.0" encoding="utf-8"?>
<sst xmlns="http://schemas.openxmlformats.org/spreadsheetml/2006/main" count="1136" uniqueCount="608">
  <si>
    <t>9 Spokes Summary</t>
  </si>
  <si>
    <t>Companies Office</t>
  </si>
  <si>
    <t>Google Finance</t>
  </si>
  <si>
    <t>Summary</t>
  </si>
  <si>
    <t>Company number</t>
  </si>
  <si>
    <t>NZBN</t>
  </si>
  <si>
    <t>Incorporation Date</t>
  </si>
  <si>
    <t>Company Status</t>
  </si>
  <si>
    <t>5.47B</t>
  </si>
  <si>
    <t>87.44 B</t>
  </si>
  <si>
    <t>Entity type</t>
  </si>
  <si>
    <t>586.97M</t>
  </si>
  <si>
    <t>3.27 B</t>
  </si>
  <si>
    <t>Constitution filed</t>
  </si>
  <si>
    <t>AR filing month</t>
  </si>
  <si>
    <t>GST Number</t>
  </si>
  <si>
    <t>Website</t>
  </si>
  <si>
    <t>Phone number</t>
  </si>
  <si>
    <t>Email address</t>
  </si>
  <si>
    <t>Trading name</t>
  </si>
  <si>
    <t>9 Spokes</t>
  </si>
  <si>
    <t>Trading area</t>
  </si>
  <si>
    <t>Industry classification</t>
  </si>
  <si>
    <t>ABN</t>
  </si>
  <si>
    <t>Directors</t>
  </si>
  <si>
    <t>https://app.companiesoffice.govt.nz/companies/app/ui/pages/companies/6842293?backurl=H4sIAAAAAAAAAC3KQQrCQAyF4dvMticI4spNF4Je4DEJtmCTOMkovb1D6e79j29yvCSmaptD17FC0Opy2YyFIqGMxiV3FxLNNQcpH4rlZ%2BYF%2FIVW4TtU3pStSznQ%2Fhw%2B6DrPZz8S2ePWrPtx%2FwEsagvvdgAAAA%3D%3D</t>
  </si>
  <si>
    <t>https://app.companiesoffice.govt.nz/companies/app/ui/pages/companies/3538758</t>
  </si>
  <si>
    <t>https://trends.google.com/trends/explore?geo=US&amp;q=shwoop,9 spokes</t>
  </si>
  <si>
    <t>rates.CAD</t>
  </si>
  <si>
    <t>rates.HKD</t>
  </si>
  <si>
    <t>rates.ISK</t>
  </si>
  <si>
    <t>rates.PHP</t>
  </si>
  <si>
    <t>rates.DKK</t>
  </si>
  <si>
    <t>rates.HUF</t>
  </si>
  <si>
    <t>rates.CZK</t>
  </si>
  <si>
    <t>rates.AUD</t>
  </si>
  <si>
    <t>rates.RON</t>
  </si>
  <si>
    <t>rates.SEK</t>
  </si>
  <si>
    <t>rates.IDR</t>
  </si>
  <si>
    <t>rates.INR</t>
  </si>
  <si>
    <t>rates.BRL</t>
  </si>
  <si>
    <t>rates.RUB</t>
  </si>
  <si>
    <t>rates.HRK</t>
  </si>
  <si>
    <t>rates.JPY</t>
  </si>
  <si>
    <t>rates.THB</t>
  </si>
  <si>
    <t>rates.CHF</t>
  </si>
  <si>
    <t>rates.SGD</t>
  </si>
  <si>
    <t>rates.PLN</t>
  </si>
  <si>
    <t>rates.BGN</t>
  </si>
  <si>
    <t>rates.TRY</t>
  </si>
  <si>
    <t>rates.CNY</t>
  </si>
  <si>
    <t>rates.NOK</t>
  </si>
  <si>
    <t>rates.NZD</t>
  </si>
  <si>
    <t>rates.ZAR</t>
  </si>
  <si>
    <t>rates.USD</t>
  </si>
  <si>
    <t>rates.MXN</t>
  </si>
  <si>
    <t>rates.ILS</t>
  </si>
  <si>
    <t>rates.GBP</t>
  </si>
  <si>
    <t>rates.KRW</t>
  </si>
  <si>
    <t>rates.MYR</t>
  </si>
  <si>
    <t>base</t>
  </si>
  <si>
    <t>date</t>
  </si>
  <si>
    <t>EUR</t>
  </si>
  <si>
    <t>relinkd api</t>
  </si>
  <si>
    <t>^</t>
  </si>
  <si>
    <t>{</t>
  </si>
  <si>
    <t xml:space="preserve">    "status": "success",</t>
  </si>
  <si>
    <t xml:space="preserve">    "data": {</t>
  </si>
  <si>
    <t xml:space="preserve">        "stats": {</t>
  </si>
  <si>
    <t xml:space="preserve">            "volume": 53079842955.05171,</t>
  </si>
  <si>
    <t xml:space="preserve">            "total": 55061,</t>
  </si>
  <si>
    <t xml:space="preserve">            "limit": 50,</t>
  </si>
  <si>
    <t xml:space="preserve">            "offset": 0</t>
  </si>
  <si>
    <t xml:space="preserve">        },</t>
  </si>
  <si>
    <t xml:space="preserve">        "currencies": [</t>
  </si>
  <si>
    <t xml:space="preserve">            {</t>
  </si>
  <si>
    <t xml:space="preserve">                "id": 1509,</t>
  </si>
  <si>
    <t xml:space="preserve">                "uuid": "yhjMzLPhuIDl",</t>
  </si>
  <si>
    <t xml:space="preserve">                "type": "fiat",</t>
  </si>
  <si>
    <t xml:space="preserve">                "iconUrl": "https://cdn.coinranking.com/OjL-P17sq/usd.svg",</t>
  </si>
  <si>
    <t xml:space="preserve">                "name": "US dollar",</t>
  </si>
  <si>
    <t xml:space="preserve">                "symbol": "USD",</t>
  </si>
  <si>
    <t xml:space="preserve">                "sign": "$"</t>
  </si>
  <si>
    <t xml:space="preserve">            }</t>
  </si>
  <si>
    <t xml:space="preserve">        ],</t>
  </si>
  <si>
    <t xml:space="preserve">        "markets": [</t>
  </si>
  <si>
    <t xml:space="preserve">                "id": 27390993,</t>
  </si>
  <si>
    <t xml:space="preserve">                "rank": 1,</t>
  </si>
  <si>
    <t xml:space="preserve">                "baseSymbol": "BTC",</t>
  </si>
  <si>
    <t xml:space="preserve">                "quoteSymbol": "USDT",</t>
  </si>
  <si>
    <t xml:space="preserve">                "sourceName": "VinDAX",</t>
  </si>
  <si>
    <t xml:space="preserve">                "sourceIconUrl": "https://cdn.coinranking.com/DJFs4gAgf/vindax.svg",</t>
  </si>
  <si>
    <t xml:space="preserve">                "tickerCreatedAt": 1587601458000,</t>
  </si>
  <si>
    <t xml:space="preserve">                "tickerClose": 7104.45,</t>
  </si>
  <si>
    <t xml:space="preserve">                "tickerBaseVolume": 205464.39951,</t>
  </si>
  <si>
    <t xml:space="preserve">                "tickerQuoteVolume": 1437280306.657,</t>
  </si>
  <si>
    <t xml:space="preserve">                "marketShare": 2.699268275354571,</t>
  </si>
  <si>
    <t xml:space="preserve">                "price": 7104.701866776636,</t>
  </si>
  <si>
    <t xml:space="preserve">                "volume": 1432767361.4937391</t>
  </si>
  <si>
    <t xml:space="preserve">            },</t>
  </si>
  <si>
    <t xml:space="preserve">                "id": 27392268,</t>
  </si>
  <si>
    <t xml:space="preserve">                "rank": 2,</t>
  </si>
  <si>
    <t xml:space="preserve">                "sourceName": "Coinsbit",</t>
  </si>
  <si>
    <t xml:space="preserve">                "sourceIconUrl": "https://cdn.coinranking.com/Xx7PRnP31/coinsbit.svg",</t>
  </si>
  <si>
    <t xml:space="preserve">                "tickerCreatedAt": 1587601326000,</t>
  </si>
  <si>
    <t xml:space="preserve">                "tickerClose": 7104.07,</t>
  </si>
  <si>
    <t xml:space="preserve">                "tickerBaseVolume": 164201.61688258,</t>
  </si>
  <si>
    <t xml:space="preserve">                "tickerQuoteVolume": null,</t>
  </si>
  <si>
    <t xml:space="preserve">                "marketShare": 2.197026738544554,</t>
  </si>
  <si>
    <t xml:space="preserve">                "price": 7104.321853304887,</t>
  </si>
  <si>
    <t xml:space="preserve">                "volume": 1166178342.499944</t>
  </si>
  <si>
    <t xml:space="preserve">                "id": 27396485,</t>
  </si>
  <si>
    <t xml:space="preserve">                "rank": 3,</t>
  </si>
  <si>
    <t xml:space="preserve">                "sourceName": "BKEX",</t>
  </si>
  <si>
    <t xml:space="preserve">                "sourceIconUrl": "https://cdn.coinranking.com/uNp-AXDRf/BKEX.svg",</t>
  </si>
  <si>
    <t xml:space="preserve">                "tickerCreatedAt": 1587601493000,</t>
  </si>
  <si>
    <t xml:space="preserve">                "tickerClose": 7109.6755,</t>
  </si>
  <si>
    <t xml:space="preserve">                "tickerBaseVolume": 154167.4612,</t>
  </si>
  <si>
    <t xml:space="preserve">                "tickerQuoteVolume": 1082322041.5486,</t>
  </si>
  <si>
    <t xml:space="preserve">                "marketShare": 2.049619189208717,</t>
  </si>
  <si>
    <t xml:space="preserve">                "price": 7109.927552030927,</t>
  </si>
  <si>
    <t xml:space="preserve">                "volume": 1087934646.8085911</t>
  </si>
  <si>
    <t xml:space="preserve">                "id": 60007,</t>
  </si>
  <si>
    <t xml:space="preserve">                "rank": 4,</t>
  </si>
  <si>
    <t xml:space="preserve">                "sourceName": "HOTBIT",</t>
  </si>
  <si>
    <t xml:space="preserve">                "sourceIconUrl": "https://cdn.coinranking.com/lQYXlA0LJ/hotbit.svg",</t>
  </si>
  <si>
    <t xml:space="preserve">                "tickerCreatedAt": 1587601296000,</t>
  </si>
  <si>
    <t xml:space="preserve">                "tickerClose": 7098.79,</t>
  </si>
  <si>
    <t xml:space="preserve">                "tickerBaseVolume": 151167.984781,</t>
  </si>
  <si>
    <t xml:space="preserve">                "marketShare": 2.0226360183362333,</t>
  </si>
  <si>
    <t xml:space="preserve">                "price": 7099.041666118464,</t>
  </si>
  <si>
    <t xml:space="preserve">                "volume": 1073612022.0851835</t>
  </si>
  <si>
    <t xml:space="preserve">                "id": 234979,</t>
  </si>
  <si>
    <t xml:space="preserve">                "rank": 5,</t>
  </si>
  <si>
    <t xml:space="preserve">                "sourceName": "EXX",</t>
  </si>
  <si>
    <t xml:space="preserve">                "sourceIconUrl": "https://cdn.coinranking.com/DPEj4c9ez/exx.svg",</t>
  </si>
  <si>
    <t xml:space="preserve">                "tickerCreatedAt": 1587601319000,</t>
  </si>
  <si>
    <t xml:space="preserve">                "tickerClose": 7104.5,</t>
  </si>
  <si>
    <t xml:space="preserve">                "tickerBaseVolume": 129444.1274,</t>
  </si>
  <si>
    <t xml:space="preserve">                "marketShare": 1.7319696020334296,</t>
  </si>
  <si>
    <t xml:space="preserve">                "price": 7104.751868549235,</t>
  </si>
  <si>
    <t xml:space="preserve">                "volume": 919326744.7885785</t>
  </si>
  <si>
    <t xml:space="preserve">                "id": 232307,</t>
  </si>
  <si>
    <t xml:space="preserve">                "rank": 6,</t>
  </si>
  <si>
    <t xml:space="preserve">                "sourceName": "LBank",</t>
  </si>
  <si>
    <t xml:space="preserve">                "sourceIconUrl": "https://cdn.coinranking.com/9BtVBP7RO/lbank.svg",</t>
  </si>
  <si>
    <t xml:space="preserve">                "tickerCreatedAt": 1587601307000,</t>
  </si>
  <si>
    <t xml:space="preserve">                "tickerClose": 7102.99,</t>
  </si>
  <si>
    <t xml:space="preserve">                "tickerBaseVolume": 110007.5831,</t>
  </si>
  <si>
    <t xml:space="preserve">                "marketShare": 1.4719075615814026,</t>
  </si>
  <si>
    <t xml:space="preserve">                "price": 7103.241815016755,</t>
  </si>
  <si>
    <t xml:space="preserve">                "volume": 781286222.1309396</t>
  </si>
  <si>
    <t xml:space="preserve">                "id": 27396486,</t>
  </si>
  <si>
    <t xml:space="preserve">                "rank": 7,</t>
  </si>
  <si>
    <t xml:space="preserve">                "baseSymbol": "ETH",</t>
  </si>
  <si>
    <t xml:space="preserve">                "tickerClose": 181.82,</t>
  </si>
  <si>
    <t xml:space="preserve">                "tickerBaseVolume": 4347462.1185,</t>
  </si>
  <si>
    <t xml:space="preserve">                "tickerQuoteVolume": 774971593.6267,</t>
  </si>
  <si>
    <t xml:space="preserve">                "marketShare": 1.4605339095482626,</t>
  </si>
  <si>
    <t xml:space="preserve">                "price": 181.82644587791145,</t>
  </si>
  <si>
    <t xml:space="preserve">                "volume": 775249105.4934947</t>
  </si>
  <si>
    <t xml:space="preserve">                "id": 27386223,</t>
  </si>
  <si>
    <t xml:space="preserve">                "rank": 8,</t>
  </si>
  <si>
    <t xml:space="preserve">                "sourceName": "BitOffer",</t>
  </si>
  <si>
    <t xml:space="preserve">                "sourceIconUrl": "https://cdn.coinranking.com/M431SHDbi/bitoffer.svg",</t>
  </si>
  <si>
    <t xml:space="preserve">                "tickerCreatedAt": 1587601443000,</t>
  </si>
  <si>
    <t xml:space="preserve">                "tickerClose": 7110.16,</t>
  </si>
  <si>
    <t xml:space="preserve">                "tickerBaseVolume": 108328.436982,</t>
  </si>
  <si>
    <t xml:space="preserve">                "marketShare": 1.4494404934172238,</t>
  </si>
  <si>
    <t xml:space="preserve">                "price": 7110.4120692074075,</t>
  </si>
  <si>
    <t xml:space="preserve">                "volume": 769360737.632789</t>
  </si>
  <si>
    <t xml:space="preserve">                "id": 271182,</t>
  </si>
  <si>
    <t xml:space="preserve">                "rank": 9,</t>
  </si>
  <si>
    <t xml:space="preserve">                "sourceName": "P2PB2B",</t>
  </si>
  <si>
    <t xml:space="preserve">                "sourceIconUrl": "https://cdn.coinranking.com/oMYGUH2Ok/p2pb2b.svg",</t>
  </si>
  <si>
    <t xml:space="preserve">                "tickerCreatedAt": 1587601316000,</t>
  </si>
  <si>
    <t xml:space="preserve">                "tickerClose": 7101.99,</t>
  </si>
  <si>
    <t xml:space="preserve">                "tickerBaseVolume": 102612.154016,</t>
  </si>
  <si>
    <t xml:space="preserve">                "marketShare": 1.3729563103755333,</t>
  </si>
  <si>
    <t xml:space="preserve">                "price": 7102.241779564781,</t>
  </si>
  <si>
    <t xml:space="preserve">                "volume": 728763053.3888055</t>
  </si>
  <si>
    <t xml:space="preserve">                "id": 234708,</t>
  </si>
  <si>
    <t xml:space="preserve">                "rank": 10,</t>
  </si>
  <si>
    <t xml:space="preserve">                "quoteSymbol": "USD",</t>
  </si>
  <si>
    <t xml:space="preserve">                "tickerClose": 7088.99,</t>
  </si>
  <si>
    <t xml:space="preserve">                "tickerBaseVolume": 102386.474687,</t>
  </si>
  <si>
    <t xml:space="preserve">                "marketShare": 1.36993670844004,</t>
  </si>
  <si>
    <t xml:space="preserve">                "price": 7088.99,</t>
  </si>
  <si>
    <t xml:space="preserve">                "volume": 727160253.4235778</t>
  </si>
  <si>
    <t xml:space="preserve">                "id": 67647,</t>
  </si>
  <si>
    <t xml:space="preserve">                "rank": 11,</t>
  </si>
  <si>
    <t xml:space="preserve">                "sourceName": "Coineal",</t>
  </si>
  <si>
    <t xml:space="preserve">                "sourceIconUrl": "https://cdn.coinranking.com/YS6yzhqGd/coineal.svg",</t>
  </si>
  <si>
    <t xml:space="preserve">                "tickerCreatedAt": 1587601299000,</t>
  </si>
  <si>
    <t xml:space="preserve">                "tickerBaseVolume": 100194.89873,</t>
  </si>
  <si>
    <t xml:space="preserve">                "marketShare": 1.340613300616818,</t>
  </si>
  <si>
    <t xml:space="preserve">                "volume": 711595434.6019422</t>
  </si>
  <si>
    <t xml:space="preserve">                "id": 27386229,</t>
  </si>
  <si>
    <t xml:space="preserve">                "rank": 12,</t>
  </si>
  <si>
    <t xml:space="preserve">                "tickerClose": 181.93,</t>
  </si>
  <si>
    <t xml:space="preserve">                "tickerBaseVolume": 3338943.6398,</t>
  </si>
  <si>
    <t xml:space="preserve">                "marketShare": 1.1416904449438485,</t>
  </si>
  <si>
    <t xml:space="preserve">                "price": 181.93644977762858,</t>
  </si>
  <si>
    <t xml:space="preserve">                "volume": 606007495.2090259</t>
  </si>
  <si>
    <t xml:space="preserve">                "id": 236535,</t>
  </si>
  <si>
    <t xml:space="preserve">                "rank": 13,</t>
  </si>
  <si>
    <t xml:space="preserve">                "tickerClose": 7037.82512561,</t>
  </si>
  <si>
    <t xml:space="preserve">                "tickerBaseVolume": 79688.23333524,</t>
  </si>
  <si>
    <t xml:space="preserve">                "marketShare": 1.066232980580799,</t>
  </si>
  <si>
    <t xml:space="preserve">                "price": 7037.82512561,</t>
  </si>
  <si>
    <t xml:space="preserve">                "volume": 565954791.6272552</t>
  </si>
  <si>
    <t xml:space="preserve">                "id": 27394333,</t>
  </si>
  <si>
    <t xml:space="preserve">                "rank": 14,</t>
  </si>
  <si>
    <t xml:space="preserve">                "sourceName": "BiKi",</t>
  </si>
  <si>
    <t xml:space="preserve">                "sourceIconUrl": "https://cdn.coinranking.com/QxrKrB3zG/BiKi.svg",</t>
  </si>
  <si>
    <t xml:space="preserve">                "tickerCreatedAt": 1587601463000,</t>
  </si>
  <si>
    <t xml:space="preserve">                "tickerClose": 181.84,</t>
  </si>
  <si>
    <t xml:space="preserve">                "tickerBaseVolume": 2997250.51904677,</t>
  </si>
  <si>
    <t xml:space="preserve">                "marketShare": 1.0248061783759692,</t>
  </si>
  <si>
    <t xml:space="preserve">                "price": 181.84644658695092,</t>
  </si>
  <si>
    <t xml:space="preserve">                "volume": 543965510.0756315</t>
  </si>
  <si>
    <t xml:space="preserve">                "id": 232308,</t>
  </si>
  <si>
    <t xml:space="preserve">                "rank": 15,</t>
  </si>
  <si>
    <t xml:space="preserve">                "tickerClose": 181.6,</t>
  </si>
  <si>
    <t xml:space="preserve">                "tickerBaseVolume": 2884670.4357,</t>
  </si>
  <si>
    <t xml:space="preserve">                "marketShare": 0.9863600672960056,</t>
  </si>
  <si>
    <t xml:space="preserve">                "price": 181.60643807847717,</t>
  </si>
  <si>
    <t xml:space="preserve">                "volume": 523558374.69206214</t>
  </si>
  <si>
    <t xml:space="preserve">                "id": 47926,</t>
  </si>
  <si>
    <t xml:space="preserve">                "rank": 16,</t>
  </si>
  <si>
    <t xml:space="preserve">                "sourceName": "LATOKEN",</t>
  </si>
  <si>
    <t xml:space="preserve">                "sourceIconUrl": "https://cdn.coinranking.com/k6o_Wi3jY/latoken.svg",</t>
  </si>
  <si>
    <t xml:space="preserve">                "tickerCreatedAt": 1587601286000,</t>
  </si>
  <si>
    <t xml:space="preserve">                "tickerClose": 7110.66,</t>
  </si>
  <si>
    <t xml:space="preserve">                "tickerBaseVolume": 69317.39762458013,</t>
  </si>
  <si>
    <t xml:space="preserve">                "tickerQuoteVolume": 492892446.593197,</t>
  </si>
  <si>
    <t xml:space="preserve">                "marketShare": 0.9286197794910469,</t>
  </si>
  <si>
    <t xml:space="preserve">                "price": 7110.912086933396,</t>
  </si>
  <si>
    <t xml:space="preserve">                "volume": 492909920.6033951</t>
  </si>
  <si>
    <t xml:space="preserve">                "id": 100668,</t>
  </si>
  <si>
    <t xml:space="preserve">                "rank": 17,</t>
  </si>
  <si>
    <t xml:space="preserve">                "baseSymbol": "TUSD",</t>
  </si>
  <si>
    <t xml:space="preserve">                "sourceName": "Bit-Z",</t>
  </si>
  <si>
    <t xml:space="preserve">                "sourceIconUrl": "https://cdn.coinranking.com/0Q5yBsqRp/Bit-Z.svg",</t>
  </si>
  <si>
    <t xml:space="preserve">                "tickerClose": 0.9974,</t>
  </si>
  <si>
    <t xml:space="preserve">                "tickerBaseVolume": 488136337.22,</t>
  </si>
  <si>
    <t xml:space="preserve">                "tickerQuoteVolume": 487144394.51,</t>
  </si>
  <si>
    <t xml:space="preserve">                "marketShare": 0.9177903279648665,</t>
  </si>
  <si>
    <t xml:space="preserve">                "price": 0.9974353597988626,</t>
  </si>
  <si>
    <t xml:space="preserve">                "volume": 487161664.74040514</t>
  </si>
  <si>
    <t xml:space="preserve">                "id": 15365467,</t>
  </si>
  <si>
    <t xml:space="preserve">                "rank": 18,</t>
  </si>
  <si>
    <t xml:space="preserve">                "sourceName": "MXC",</t>
  </si>
  <si>
    <t xml:space="preserve">                "sourceIconUrl": "https://cdn.coinranking.com/5H4rM81Pj/mxc.svg",</t>
  </si>
  <si>
    <t xml:space="preserve">                "tickerCreatedAt": 1587601431000,</t>
  </si>
  <si>
    <t xml:space="preserve">                "tickerClose": 7110.88,</t>
  </si>
  <si>
    <t xml:space="preserve">                "tickerBaseVolume": 68135.934669,</t>
  </si>
  <si>
    <t xml:space="preserve">                "marketShare": 0.9116625838743432,</t>
  </si>
  <si>
    <t xml:space="preserve">                "price": 7111.132094732829,</t>
  </si>
  <si>
    <t xml:space="preserve">                "volume": 483909067.80046797</t>
  </si>
  <si>
    <t xml:space="preserve">                "id": 27394331,</t>
  </si>
  <si>
    <t xml:space="preserve">                "rank": 19,</t>
  </si>
  <si>
    <t xml:space="preserve">                "tickerClose": 7108.14,</t>
  </si>
  <si>
    <t xml:space="preserve">                "tickerBaseVolume": 68021.01691031,</t>
  </si>
  <si>
    <t xml:space="preserve">                "marketShare": 0.9103439706902919,</t>
  </si>
  <si>
    <t xml:space="preserve">                "price": 7108.391997594421,</t>
  </si>
  <si>
    <t xml:space="preserve">                "volume": 483209149.993189</t>
  </si>
  <si>
    <t xml:space="preserve">                "id": 47453,</t>
  </si>
  <si>
    <t xml:space="preserve">                "rank": 20,</t>
  </si>
  <si>
    <t xml:space="preserve">                "baseSymbol": "ETC",</t>
  </si>
  <si>
    <t xml:space="preserve">                "sourceName": "CoinBene",</t>
  </si>
  <si>
    <t xml:space="preserve">                "sourceIconUrl": "https://cdn.coinranking.com/fWL5Jugm_/coinbene.svg",</t>
  </si>
  <si>
    <t xml:space="preserve">                "tickerCreatedAt": 1587601283000,</t>
  </si>
  <si>
    <t xml:space="preserve">                "tickerClose": 5.3604,</t>
  </si>
  <si>
    <t xml:space="preserve">                "tickerBaseVolume": 83397389.68,</t>
  </si>
  <si>
    <t xml:space="preserve">                "marketShare": 0.8426255195355475,</t>
  </si>
  <si>
    <t xml:space="preserve">                "price": 5.360590036761395,</t>
  </si>
  <si>
    <t xml:space="preserve">                "volume": 447264302.4686572</t>
  </si>
  <si>
    <t xml:space="preserve">                "id": 15365489,</t>
  </si>
  <si>
    <t xml:space="preserve">                "rank": 21,</t>
  </si>
  <si>
    <t xml:space="preserve">                "tickerClose": 181.89,</t>
  </si>
  <si>
    <t xml:space="preserve">                "tickerBaseVolume": 2460343.36899,</t>
  </si>
  <si>
    <t xml:space="preserve">                "marketShare": 0.8412692212513938,</t>
  </si>
  <si>
    <t xml:space="preserve">                "price": 181.89644835954962,</t>
  </si>
  <si>
    <t xml:space="preserve">                "volume": 446544381.46942633</t>
  </si>
  <si>
    <t xml:space="preserve">                "id": 60021,</t>
  </si>
  <si>
    <t xml:space="preserve">                "rank": 22,</t>
  </si>
  <si>
    <t xml:space="preserve">                "tickerClose": 181.47,</t>
  </si>
  <si>
    <t xml:space="preserve">                "tickerBaseVolume": 2399002.13671,</t>
  </si>
  <si>
    <t xml:space="preserve">                "marketShare": 0.8202947136435469,</t>
  </si>
  <si>
    <t xml:space="preserve">                "price": 181.47643346972055,</t>
  </si>
  <si>
    <t xml:space="preserve">                "volume": 435411145.77058583</t>
  </si>
  <si>
    <t xml:space="preserve">                "id": 45499,</t>
  </si>
  <si>
    <t xml:space="preserve">                "rank": 23,</t>
  </si>
  <si>
    <t xml:space="preserve">                "sourceName": "Binance",</t>
  </si>
  <si>
    <t xml:space="preserve">                "sourceIconUrl": "https://cdn.coinranking.com/mDTK5qrmq/binance.svg",</t>
  </si>
  <si>
    <t xml:space="preserve">                "tickerCreatedAt": 1587601365000,</t>
  </si>
  <si>
    <t xml:space="preserve">                "tickerClose": 7102.87,</t>
  </si>
  <si>
    <t xml:space="preserve">                "tickerBaseVolume": 61631.568566,</t>
  </si>
  <si>
    <t xml:space="preserve">                "tickerQuoteVolume": 432564603.6398222,</t>
  </si>
  <si>
    <t xml:space="preserve">                "marketShare": 0.8149608492157971,</t>
  </si>
  <si>
    <t xml:space="preserve">                "price": 7103.121810762518,</t>
  </si>
  <si>
    <t xml:space="preserve">                "volume": 432579938.90890086</t>
  </si>
  <si>
    <t xml:space="preserve">                "id": 49057,</t>
  </si>
  <si>
    <t xml:space="preserve">                "rank": 24,</t>
  </si>
  <si>
    <t xml:space="preserve">                "sourceName": "ZB",</t>
  </si>
  <si>
    <t xml:space="preserve">                "sourceIconUrl": "https://cdn.coinranking.com/VhtrNhSv7/ZB.svg",</t>
  </si>
  <si>
    <t xml:space="preserve">                "tickerCreatedAt": 1587601288000,</t>
  </si>
  <si>
    <t xml:space="preserve">                "tickerClose": 7103.02,</t>
  </si>
  <si>
    <t xml:space="preserve">                "tickerBaseVolume": 58885.7176,</t>
  </si>
  <si>
    <t xml:space="preserve">                "marketShare": 0.7878941665848407,</t>
  </si>
  <si>
    <t xml:space="preserve">                "price": 7103.271816080313,</t>
  </si>
  <si>
    <t xml:space="preserve">                "volume": 418212986.27524686</t>
  </si>
  <si>
    <t xml:space="preserve">                "id": 27397948,</t>
  </si>
  <si>
    <t xml:space="preserve">                "rank": 25,</t>
  </si>
  <si>
    <t xml:space="preserve">                "sourceName": "Hoo.com",</t>
  </si>
  <si>
    <t xml:space="preserve">                "sourceIconUrl": "https://cdn.coinranking.com/1IajEbLut/hoo-com.svg",</t>
  </si>
  <si>
    <t xml:space="preserve">                "tickerCreatedAt": 1587601201000,</t>
  </si>
  <si>
    <t xml:space="preserve">                "tickerClose": 181.73,</t>
  </si>
  <si>
    <t xml:space="preserve">                "tickerBaseVolume": 2168995.61525999,</t>
  </si>
  <si>
    <t xml:space="preserve">                "marketShare": 0.7416482085980235,</t>
  </si>
  <si>
    <t xml:space="preserve">                "price": 181.73644268723382,</t>
  </si>
  <si>
    <t xml:space="preserve">                "volume": 393665704.4027852</t>
  </si>
  <si>
    <t xml:space="preserve">                "id": 27394846,</t>
  </si>
  <si>
    <t xml:space="preserve">                "rank": 26,</t>
  </si>
  <si>
    <t xml:space="preserve">                "sourceName": "TOKOK",</t>
  </si>
  <si>
    <t xml:space="preserve">                "sourceIconUrl": "https://cdn.coinranking.com/45ULOuMmM/TOKOK.svg",</t>
  </si>
  <si>
    <t xml:space="preserve">                "tickerCreatedAt": 1587601470000,</t>
  </si>
  <si>
    <t xml:space="preserve">                "tickerClose": 181.83,</t>
  </si>
  <si>
    <t xml:space="preserve">                "tickerBaseVolume": 2152299.70759552,</t>
  </si>
  <si>
    <t xml:space="preserve">                "marketShare": 0.7360891079579815,</t>
  </si>
  <si>
    <t xml:space="preserve">                "price": 181.8364462324312,</t>
  </si>
  <si>
    <t xml:space="preserve">                "volume": 390714942.5133377</t>
  </si>
  <si>
    <t xml:space="preserve">                "id": 100545,</t>
  </si>
  <si>
    <t xml:space="preserve">                "rank": 27,</t>
  </si>
  <si>
    <t xml:space="preserve">                "tickerClose": 7096.78,</t>
  </si>
  <si>
    <t xml:space="preserve">                "tickerBaseVolume": 55428.77,</t>
  </si>
  <si>
    <t xml:space="preserve">                "tickerQuoteVolume": 388905021.06,</t>
  </si>
  <si>
    <t xml:space="preserve">                "marketShare": 0.732705273525453,</t>
  </si>
  <si>
    <t xml:space="preserve">                "price": 7097.031594859996,</t>
  </si>
  <si>
    <t xml:space="preserve">                "volume": 388918808.5106925</t>
  </si>
  <si>
    <t xml:space="preserve">                "id": 233840,</t>
  </si>
  <si>
    <t xml:space="preserve">                "rank": 28,</t>
  </si>
  <si>
    <t xml:space="preserve">                "baseSymbol": "LTC",</t>
  </si>
  <si>
    <t xml:space="preserve">                "sourceName": "Bitforex",</t>
  </si>
  <si>
    <t xml:space="preserve">                "sourceIconUrl": "https://cdn.coinranking.com/tG3ps5jPI/bitforex.svg",</t>
  </si>
  <si>
    <t xml:space="preserve">                "tickerCreatedAt": 1587601308000,</t>
  </si>
  <si>
    <t xml:space="preserve">                "tickerClose": 41.57,</t>
  </si>
  <si>
    <t xml:space="preserve">                "tickerBaseVolume": 9308673.8754,</t>
  </si>
  <si>
    <t xml:space="preserve">                "tickerQuoteVolume": 386240594.17,</t>
  </si>
  <si>
    <t xml:space="preserve">                "marketShare": 0.7276854369908023,</t>
  </si>
  <si>
    <t xml:space="preserve">                "price": 41.5714737385589,</t>
  </si>
  <si>
    <t xml:space="preserve">                "volume": 386254287.1614997</t>
  </si>
  <si>
    <t xml:space="preserve">                "id": 27394841,</t>
  </si>
  <si>
    <t xml:space="preserve">                "rank": 29,</t>
  </si>
  <si>
    <t xml:space="preserve">                "quoteSymbol": "BTC",</t>
  </si>
  <si>
    <t xml:space="preserve">                "tickerClose": 0.025584,</t>
  </si>
  <si>
    <t xml:space="preserve">                "tickerBaseVolume": 2107171.1867296,</t>
  </si>
  <si>
    <t xml:space="preserve">                "marketShare": 0.7207575011475136,</t>
  </si>
  <si>
    <t xml:space="preserve">                "price": 181.7004441305461,</t>
  </si>
  <si>
    <t xml:space="preserve">                "volume": 382576949.6958552</t>
  </si>
  <si>
    <t xml:space="preserve">                "id": 232427,</t>
  </si>
  <si>
    <t xml:space="preserve">                "rank": 30,</t>
  </si>
  <si>
    <t xml:space="preserve">                "sourceName": "Bibox",</t>
  </si>
  <si>
    <t xml:space="preserve">                "sourceIconUrl": "https://cdn.coinranking.com/iAb5fjrVQ/bix.svg",</t>
  </si>
  <si>
    <t xml:space="preserve">                "tickerCreatedAt": 1587601304000,</t>
  </si>
  <si>
    <t xml:space="preserve">                "tickerClose": 7102.82,</t>
  </si>
  <si>
    <t xml:space="preserve">                "tickerBaseVolume": 53415,</t>
  </si>
  <si>
    <t xml:space="preserve">                "tickerQuoteVolume": 373602967.87,</t>
  </si>
  <si>
    <t xml:space="preserve">                "marketShare": 0.7038758821292689,</t>
  </si>
  <si>
    <t xml:space="preserve">                "price": 7103.071808989918,</t>
  </si>
  <si>
    <t xml:space="preserve">                "volume": 373616212.8327008</t>
  </si>
  <si>
    <t xml:space="preserve">                "id": 27394847,</t>
  </si>
  <si>
    <t xml:space="preserve">                "rank": 31,</t>
  </si>
  <si>
    <t xml:space="preserve">                "tickerClose": 7108.99,</t>
  </si>
  <si>
    <t xml:space="preserve">                "tickerBaseVolume": 51810.32884056,</t>
  </si>
  <si>
    <t xml:space="preserve">                "marketShare": 0.6932162574959618,</t>
  </si>
  <si>
    <t xml:space="preserve">                "price": 7109.242027728599,</t>
  </si>
  <si>
    <t xml:space="preserve">                "volume": 367958100.8177434</t>
  </si>
  <si>
    <t xml:space="preserve">                "id": 233797,</t>
  </si>
  <si>
    <t xml:space="preserve">                "rank": 32,</t>
  </si>
  <si>
    <t xml:space="preserve">                "tickerClose": 7102.14,</t>
  </si>
  <si>
    <t xml:space="preserve">                "tickerBaseVolume": 50426.3278,</t>
  </si>
  <si>
    <t xml:space="preserve">                "tickerQuoteVolume": 352934547.03,</t>
  </si>
  <si>
    <t xml:space="preserve">                "marketShare": 0.6649361407403939,</t>
  </si>
  <si>
    <t xml:space="preserve">                "price": 7102.391784882577,</t>
  </si>
  <si>
    <t xml:space="preserve">                "volume": 352947059.25638264</t>
  </si>
  <si>
    <t xml:space="preserve">                "id": 27395742,</t>
  </si>
  <si>
    <t xml:space="preserve">                "rank": 33,</t>
  </si>
  <si>
    <t xml:space="preserve">                "sourceName": "dcoin",</t>
  </si>
  <si>
    <t xml:space="preserve">                "sourceIconUrl": "https://cdn.coinranking.com/bqNxLB8Tx/dcoin.svg",</t>
  </si>
  <si>
    <t xml:space="preserve">                "tickerCreatedAt": 1587601480000,</t>
  </si>
  <si>
    <t xml:space="preserve">                "tickerClose": 181.8196,</t>
  </si>
  <si>
    <t xml:space="preserve">                "tickerBaseVolume": 1747026,</t>
  </si>
  <si>
    <t xml:space="preserve">                "marketShare": 0.5972177868981249,</t>
  </si>
  <si>
    <t xml:space="preserve">                "price": 181.82604586373066,</t>
  </si>
  <si>
    <t xml:space="preserve">                "volume": 317002263.38516</t>
  </si>
  <si>
    <t xml:space="preserve">                "id": 45915,</t>
  </si>
  <si>
    <t xml:space="preserve">                "rank": 34,</t>
  </si>
  <si>
    <t xml:space="preserve">                "sourceName": "OKEx",</t>
  </si>
  <si>
    <t xml:space="preserve">                "sourceIconUrl": "https://cdn.coinranking.com/tBA4j321g/Okex.svg",</t>
  </si>
  <si>
    <t xml:space="preserve">                "tickerCreatedAt": 1587601366000,</t>
  </si>
  <si>
    <t xml:space="preserve">                "tickerClose": 7104.3,</t>
  </si>
  <si>
    <t xml:space="preserve">                "tickerBaseVolume": 43284.59207706,</t>
  </si>
  <si>
    <t xml:space="preserve">                "tickerQuoteVolume": 302553747.86031264,</t>
  </si>
  <si>
    <t xml:space="preserve">                "marketShare": 0.5700176510396359,</t>
  </si>
  <si>
    <t xml:space="preserve">                "price": 7104.55186145884,</t>
  </si>
  <si>
    <t xml:space="preserve">                "volume": 302564473.98791337</t>
  </si>
  <si>
    <t xml:space="preserve">                "id": 47417,</t>
  </si>
  <si>
    <t xml:space="preserve">                "rank": 35,</t>
  </si>
  <si>
    <t xml:space="preserve">                "tickerClose": 7102.62,</t>
  </si>
  <si>
    <t xml:space="preserve">                "tickerBaseVolume": 42003.6725,</t>
  </si>
  <si>
    <t xml:space="preserve">                "marketShare": 0.5620114670707534,</t>
  </si>
  <si>
    <t xml:space="preserve">                "price": 7102.871801899524,</t>
  </si>
  <si>
    <t xml:space="preserve">                "volume": 298314804.11053807</t>
  </si>
  <si>
    <t xml:space="preserve">                "id": 267708,</t>
  </si>
  <si>
    <t xml:space="preserve">                "rank": 36,</t>
  </si>
  <si>
    <t xml:space="preserve">                "tickerClose": 181.52,</t>
  </si>
  <si>
    <t xml:space="preserve">                "tickerBaseVolume": 1642649.51582,</t>
  </si>
  <si>
    <t xml:space="preserve">                "marketShare": 0.5616738282877,</t>
  </si>
  <si>
    <t xml:space="preserve">                "price": 181.52643524231925,</t>
  </si>
  <si>
    <t xml:space="preserve">                "volume": 298135585.97473794</t>
  </si>
  <si>
    <t xml:space="preserve">                "id": 234920,</t>
  </si>
  <si>
    <t xml:space="preserve">                "rank": 37,</t>
  </si>
  <si>
    <t xml:space="preserve">                "tickerClose": 181.54,</t>
  </si>
  <si>
    <t xml:space="preserve">                "tickerBaseVolume": 1638382.34486,</t>
  </si>
  <si>
    <t xml:space="preserve">                "marketShare": 0.5602147475611186,</t>
  </si>
  <si>
    <t xml:space="preserve">                "price": 181.54000000000002,</t>
  </si>
  <si>
    <t xml:space="preserve">                "volume": 297361108.2164811</t>
  </si>
  <si>
    <t xml:space="preserve">                "id": 232428,</t>
  </si>
  <si>
    <t xml:space="preserve">                "rank": 38,</t>
  </si>
  <si>
    <t xml:space="preserve">                "tickerClose": 181.5251,</t>
  </si>
  <si>
    <t xml:space="preserve">                "tickerBaseVolume": 1673294,</t>
  </si>
  <si>
    <t xml:space="preserve">                "tickerQuoteVolume": 297122539.95,</t>
  </si>
  <si>
    <t xml:space="preserve">                "marketShare": 0.5597851406270605,</t>
  </si>
  <si>
    <t xml:space="preserve">                "price": 181.53153542312432,</t>
  </si>
  <si>
    <t xml:space="preserve">                "volume": 297133073.5305591</t>
  </si>
  <si>
    <t xml:space="preserve">                "id": 47455,</t>
  </si>
  <si>
    <t xml:space="preserve">                "rank": 39,</t>
  </si>
  <si>
    <t xml:space="preserve">                "tickerClose": 181.55,</t>
  </si>
  <si>
    <t xml:space="preserve">                "tickerBaseVolume": 1635171.139,</t>
  </si>
  <si>
    <t xml:space="preserve">                "marketShare": 0.5591167347035761,</t>
  </si>
  <si>
    <t xml:space="preserve">                "price": 181.55643630587846,</t>
  </si>
  <si>
    <t xml:space="preserve">                "volume": 296778284.7160713</t>
  </si>
  <si>
    <t xml:space="preserve">                "id": 48676,</t>
  </si>
  <si>
    <t xml:space="preserve">                "rank": 40,</t>
  </si>
  <si>
    <t xml:space="preserve">                "sourceName": "BitMart",</t>
  </si>
  <si>
    <t xml:space="preserve">                "sourceIconUrl": "https://cdn.coinranking.com/0KoAUbthl/bitmart.svg",</t>
  </si>
  <si>
    <t xml:space="preserve">                "tickerCreatedAt": 1587601287000,</t>
  </si>
  <si>
    <t xml:space="preserve">                "tickerBaseVolume": 1664078.5152,</t>
  </si>
  <si>
    <t xml:space="preserve">                "tickerQuoteVolume": 295645277.65326,</t>
  </si>
  <si>
    <t xml:space="preserve">                "marketShare": 0.5570019472595603,</t>
  </si>
  <si>
    <t xml:space="preserve">                "price": 181.54643595135875,</t>
  </si>
  <si>
    <t xml:space="preserve">                "volume": 295655758.86195457</t>
  </si>
  <si>
    <t xml:space="preserve">                "id": 48674,</t>
  </si>
  <si>
    <t xml:space="preserve">                "rank": 41,</t>
  </si>
  <si>
    <t xml:space="preserve">                "tickerClose": 7102,</t>
  </si>
  <si>
    <t xml:space="preserve">                "tickerBaseVolume": 41555.77638,</t>
  </si>
  <si>
    <t xml:space="preserve">                "tickerQuoteVolume": 291950832.30424,</t>
  </si>
  <si>
    <t xml:space="preserve">                "marketShare": 0.5500415341936644,</t>
  </si>
  <si>
    <t xml:space="preserve">                "price": 7102.251779919301,</t>
  </si>
  <si>
    <t xml:space="preserve">                "volume": 291961182.53755414</t>
  </si>
  <si>
    <t xml:space="preserve">                "id": 27386900,</t>
  </si>
  <si>
    <t xml:space="preserve">                "rank": 42,</t>
  </si>
  <si>
    <t xml:space="preserve">                "baseSymbol": "ZEC",</t>
  </si>
  <si>
    <t xml:space="preserve">                "quoteSymbol": "ETH",</t>
  </si>
  <si>
    <t xml:space="preserve">                "tickerClose": 0.24846538,</t>
  </si>
  <si>
    <t xml:space="preserve">                "tickerBaseVolume": 6449527.6285,</t>
  </si>
  <si>
    <t xml:space="preserve">                "tickerQuoteVolume": 1597596.81,</t>
  </si>
  <si>
    <t xml:space="preserve">                "marketShare": 0.5462688831007123,</t>
  </si>
  <si>
    <t xml:space="preserve">                "price": 45.09566462432948,</t>
  </si>
  <si>
    <t xml:space="preserve">                "volume": 289958665.2621731</t>
  </si>
  <si>
    <t xml:space="preserve">                "id": 15365394,</t>
  </si>
  <si>
    <t xml:space="preserve">                "rank": 43,</t>
  </si>
  <si>
    <t xml:space="preserve">                "baseSymbol": "BCH",</t>
  </si>
  <si>
    <t xml:space="preserve">                "tickerClose": 231.786,</t>
  </si>
  <si>
    <t xml:space="preserve">                "tickerBaseVolume": 1205011.37575,</t>
  </si>
  <si>
    <t xml:space="preserve">                "marketShare": 0.5255051929703698,</t>
  </si>
  <si>
    <t xml:space="preserve">                "price": 231.794217271244,</t>
  </si>
  <si>
    <t xml:space="preserve">                "volume": 278937331.1493137</t>
  </si>
  <si>
    <t xml:space="preserve">                "id": 235084,</t>
  </si>
  <si>
    <t xml:space="preserve">                "rank": 44,</t>
  </si>
  <si>
    <t xml:space="preserve">                "tickerClose": 181.63,</t>
  </si>
  <si>
    <t xml:space="preserve">                "tickerBaseVolume": 1527078.318,</t>
  </si>
  <si>
    <t xml:space="preserve">                "marketShare": 0.5221563801076783,</t>
  </si>
  <si>
    <t xml:space="preserve">                "price": 181.6364391420364,</t>
  </si>
  <si>
    <t xml:space="preserve">                "volume": 277159786.54093856</t>
  </si>
  <si>
    <t xml:space="preserve">                "id": 27392532,</t>
  </si>
  <si>
    <t xml:space="preserve">                "rank": 45,</t>
  </si>
  <si>
    <t xml:space="preserve">                "tickerClose": 231.32,</t>
  </si>
  <si>
    <t xml:space="preserve">                "tickerBaseVolume": 1191203.1376,</t>
  </si>
  <si>
    <t xml:space="preserve">                "marketShare": 0.5194834233841032,</t>
  </si>
  <si>
    <t xml:space="preserve">                "price": 231.32820075062412,</t>
  </si>
  <si>
    <t xml:space="preserve">                "volume": 275740985.3098084</t>
  </si>
  <si>
    <t xml:space="preserve">                "id": 67665,</t>
  </si>
  <si>
    <t xml:space="preserve">                "rank": 46,</t>
  </si>
  <si>
    <t xml:space="preserve">                "tickerBaseVolume": 1504223.9892,</t>
  </si>
  <si>
    <t xml:space="preserve">                "marketShare": 0.5143417621831518,</t>
  </si>
  <si>
    <t xml:space="preserve">                "volume": 273011799.6190625</t>
  </si>
  <si>
    <t xml:space="preserve">                "id": 240157,</t>
  </si>
  <si>
    <t xml:space="preserve">                "rank": 48,</t>
  </si>
  <si>
    <t xml:space="preserve">                "sourceName": "Coinegg",</t>
  </si>
  <si>
    <t xml:space="preserve">                "sourceIconUrl": "https://cdn.coinranking.com/qRnW_QF9B/coinegg.svg",</t>
  </si>
  <si>
    <t xml:space="preserve">                "tickerCreatedAt": 1587601387000,</t>
  </si>
  <si>
    <t xml:space="preserve">                "tickerClose": 0.005908,</t>
  </si>
  <si>
    <t xml:space="preserve">                "tickerBaseVolume": 6358590.225,</t>
  </si>
  <si>
    <t xml:space="preserve">                "tickerQuoteVolume": 37521.89603386,</t>
  </si>
  <si>
    <t xml:space="preserve">                "marketShare": 0.5020450494481392,</t>
  </si>
  <si>
    <t xml:space="preserve">                "price": 41.95928017211016,</t>
  </si>
  <si>
    <t xml:space="preserve">                "volume": 266484723.81068397</t>
  </si>
  <si>
    <t xml:space="preserve">                "id": 27397947,</t>
  </si>
  <si>
    <t xml:space="preserve">                "rank": 47,</t>
  </si>
  <si>
    <t xml:space="preserve">                "tickerClose": 7104.41,</t>
  </si>
  <si>
    <t xml:space="preserve">                "tickerBaseVolume": 37521.527698,</t>
  </si>
  <si>
    <t xml:space="preserve">                "marketShare": 0.5020401210939088,</t>
  </si>
  <si>
    <t xml:space="preserve">                "price": 7104.661865358557,</t>
  </si>
  <si>
    <t xml:space="preserve">                "volume": 266482107.84799823</t>
  </si>
  <si>
    <t xml:space="preserve">                "id": 100665,</t>
  </si>
  <si>
    <t xml:space="preserve">                "rank": 49,</t>
  </si>
  <si>
    <t xml:space="preserve">                "baseSymbol": "PAX",</t>
  </si>
  <si>
    <t xml:space="preserve">                "tickerClose": 0.9991,</t>
  </si>
  <si>
    <t xml:space="preserve">                "tickerBaseVolume": 265344062.95,</t>
  </si>
  <si>
    <t xml:space="preserve">                "tickerQuoteVolume": 265252107.74,</t>
  </si>
  <si>
    <t xml:space="preserve">                "marketShare": 0.499740573225603,</t>
  </si>
  <si>
    <t xml:space="preserve">                "price": 0.9991354200672135,</t>
  </si>
  <si>
    <t xml:space="preserve">                "volume": 265261511.45082524</t>
  </si>
  <si>
    <t xml:space="preserve">                "id": 100546,</t>
  </si>
  <si>
    <t xml:space="preserve">                "rank": 50,</t>
  </si>
  <si>
    <t xml:space="preserve">                "tickerClose": 181.38,</t>
  </si>
  <si>
    <t xml:space="preserve">                "tickerBaseVolume": 1471951.01,</t>
  </si>
  <si>
    <t xml:space="preserve">                "tickerQuoteVolume": 262216158.28,</t>
  </si>
  <si>
    <t xml:space="preserve">                "marketShare": 0.49402078032234914,</t>
  </si>
  <si>
    <t xml:space="preserve">                "price": 181.3864302790429,</t>
  </si>
  <si>
    <t xml:space="preserve">                "volume": 262225454.36042395</t>
  </si>
  <si>
    <t xml:space="preserve">        ]</t>
  </si>
  <si>
    <t xml:space="preserve">    }</t>
  </si>
  <si>
    <t>}</t>
  </si>
  <si>
    <t>Share holders</t>
  </si>
  <si>
    <t>Date</t>
  </si>
  <si>
    <t>Competitor</t>
  </si>
  <si>
    <t>https://towardsdatascience.com/google-trends-api-for-python-a84bc25db88f</t>
  </si>
  <si>
    <t>holder</t>
  </si>
  <si>
    <t>%</t>
  </si>
  <si>
    <t xml:space="preserve"> </t>
  </si>
  <si>
    <t>CS Third Nominees Pty Limited, HSBC Cust Nom Au Ltd</t>
  </si>
  <si>
    <t>Jamie</t>
  </si>
  <si>
    <t>HARROGATE TRUSTEE LIMITED</t>
  </si>
  <si>
    <t>Adrian</t>
  </si>
  <si>
    <t>HSBC Custody Nominees (Australia) Limited A/C 2</t>
  </si>
  <si>
    <t>Hayden</t>
  </si>
  <si>
    <t>M &amp; M NO.2 LIMITED</t>
  </si>
  <si>
    <t>Jin</t>
  </si>
  <si>
    <t>AJ TRUSTEE SERVICES LIMITED</t>
  </si>
  <si>
    <t>Siyu</t>
  </si>
  <si>
    <t>Citicorp Nominees Pty Ltd</t>
  </si>
  <si>
    <t>G &amp; S CAPITAL LIMITED</t>
  </si>
  <si>
    <t>SEKOTS GROUP LIMITED</t>
  </si>
  <si>
    <t>FRANC HOLDINGS LIMITED</t>
  </si>
  <si>
    <t>OPTIMUM HOLDINGS LIMITED</t>
  </si>
  <si>
    <t>other</t>
  </si>
  <si>
    <t>#</t>
  </si>
  <si>
    <t>9Spokes</t>
  </si>
  <si>
    <t>netflix</t>
  </si>
  <si>
    <t>amazon</t>
  </si>
  <si>
    <t>revenue</t>
  </si>
  <si>
    <t>net income</t>
  </si>
  <si>
    <t>net profit margin</t>
  </si>
  <si>
    <t>share value</t>
  </si>
  <si>
    <t>Stock values</t>
  </si>
  <si>
    <t>3 months</t>
  </si>
  <si>
    <t>Competitor 1</t>
  </si>
  <si>
    <t>Competitor 2</t>
  </si>
  <si>
    <t>https://www.google.com/search?q=netflix&amp;tbm=fin#scso=_MJ2fXpK1KvLB3LUPwuOfqAQ1:0</t>
  </si>
  <si>
    <t>NO PASSWORD JUST FOR ACCEDENTAL EDITS, API calls hould be to the other sheets</t>
  </si>
  <si>
    <t>Etienne Naude</t>
  </si>
  <si>
    <t>Creative techologist</t>
  </si>
  <si>
    <t>Position</t>
  </si>
  <si>
    <t>Employer</t>
  </si>
  <si>
    <t>The University of Auckland</t>
  </si>
  <si>
    <t>www.etinaude.tk</t>
  </si>
  <si>
    <t>About</t>
  </si>
  <si>
    <t>Industries</t>
  </si>
  <si>
    <t>Size</t>
  </si>
  <si>
    <t>Founded</t>
  </si>
  <si>
    <t>http://www.auckland.ac.nz/</t>
  </si>
  <si>
    <t>Higher Education</t>
  </si>
  <si>
    <t xml:space="preserve">1001-5000 </t>
  </si>
  <si>
    <t>The University of Auckland is ranked in the top 100* worldwide and New Zealand’s highest-ranked university. 
Since its founding in 1883, the University of Auckland has grown to become New Zealand's flagship, research-led university, known for the excellence of its teaching, its research, and its service to local, national and international communities.
Our main campus is located in the heart of Auckland city, New Zealand’s economic and cultural hub, and we have four specialist campuses.
*https://www.topuniversities.com/university-rankings/world-university-rankings/2018</t>
  </si>
  <si>
    <t>Auckland uni</t>
  </si>
  <si>
    <t>Education</t>
  </si>
  <si>
    <t>BadvSci(hons) Computer Sciece</t>
  </si>
  <si>
    <t>link</t>
  </si>
  <si>
    <t>Skilled in Creative Design, Linux, CAD, 3D Printing, Laser Cutting, Electronics and Programming.
Currently studying towards BadvSci (Hons) focused on Computer Science from The University of Auckland with a stream in science scholars.</t>
  </si>
  <si>
    <t xml:space="preserve">https://www.linkedin.com/school/the-university-of-auckland/?trk=public_profile_topcard_school </t>
  </si>
  <si>
    <t xml:space="preserve">https://www.linkedin.com/in/etienne-naude-880b51198/ </t>
  </si>
  <si>
    <t>Hooker</t>
  </si>
  <si>
    <t>big mama</t>
  </si>
  <si>
    <t>XXX.XXX</t>
  </si>
  <si>
    <t>PhD AuT</t>
  </si>
  <si>
    <t>Alfred</t>
  </si>
  <si>
    <t>test</t>
  </si>
  <si>
    <t>Linked In</t>
  </si>
  <si>
    <t>great sample response:</t>
  </si>
  <si>
    <t>2012</t>
  </si>
  <si>
    <t>active</t>
  </si>
  <si>
    <t>big one</t>
  </si>
  <si>
    <t>yep</t>
  </si>
  <si>
    <t>feb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</si>
</sst>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d/mm/yy;@"/>
    <numFmt numFmtId="166" formatCode="dd/mm/yy;@"/>
  </numFmts>
  <fonts count="17" x14ac:knownFonts="1">
    <font>
      <sz val="11"/>
      <color theme="1"/>
      <name val="Calibri"/>
      <family val="2"/>
      <scheme val="minor"/>
    </font>
    <font>
      <u/>
      <sz val="11"/>
      <color theme="10"/>
      <name val="Calibri"/>
      <family val="2"/>
      <scheme val="minor"/>
    </font>
    <font>
      <b/>
      <sz val="15"/>
      <color theme="3"/>
      <name val="Calibri"/>
      <scheme val="minor"/>
    </font>
    <font>
      <b/>
      <sz val="13"/>
      <color theme="3"/>
      <name val="Calibri"/>
      <scheme val="minor"/>
    </font>
    <font>
      <b/>
      <sz val="11"/>
      <color theme="3"/>
      <name val="Calibri"/>
      <scheme val="minor"/>
    </font>
    <font>
      <b/>
      <sz val="11"/>
      <color theme="1"/>
      <name val="Calibri"/>
      <family val="2"/>
      <scheme val="minor"/>
    </font>
    <font>
      <b/>
      <sz val="24"/>
      <color theme="1"/>
      <name val="Calibri"/>
      <family val="2"/>
      <scheme val="minor"/>
    </font>
    <font>
      <sz val="8"/>
      <name val="Calibri"/>
      <family val="2"/>
      <scheme val="minor"/>
    </font>
    <font>
      <sz val="11"/>
      <color theme="0"/>
      <name val="Calibri"/>
      <family val="2"/>
      <scheme val="minor"/>
    </font>
    <font>
      <b/>
      <sz val="28"/>
      <color theme="3"/>
      <name val="Calibri"/>
      <family val="2"/>
      <scheme val="minor"/>
    </font>
    <font>
      <sz val="11"/>
      <color rgb="FF000000"/>
      <name val="Calibri"/>
      <family val="2"/>
    </font>
    <font>
      <b/>
      <sz val="36"/>
      <color theme="1"/>
      <name val="Calibri"/>
      <family val="2"/>
      <scheme val="minor"/>
    </font>
    <font>
      <b/>
      <sz val="11"/>
      <color theme="3"/>
      <name val="Calibri"/>
      <family val="2"/>
      <scheme val="minor"/>
    </font>
    <font>
      <b/>
      <sz val="48"/>
      <color theme="3"/>
      <name val="Calibri"/>
      <family val="2"/>
      <scheme val="minor"/>
    </font>
    <font>
      <sz val="11"/>
      <color theme="6" tint="0.79998168889431442"/>
      <name val="Calibri"/>
      <family val="2"/>
      <scheme val="minor"/>
    </font>
    <font>
      <b/>
      <sz val="13"/>
      <color theme="3"/>
      <name val="Calibri"/>
      <family val="2"/>
      <scheme val="minor"/>
    </font>
    <font>
      <b/>
      <sz val="48"/>
      <color theme="1"/>
      <name val="Calibri"/>
      <family val="2"/>
      <scheme val="minor"/>
    </font>
  </fonts>
  <fills count="14">
    <fill>
      <patternFill patternType="none"/>
    </fill>
    <fill>
      <patternFill patternType="gray125"/>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6" tint="0.79998168889431442"/>
        <bgColor indexed="65"/>
      </patternFill>
    </fill>
    <fill>
      <patternFill patternType="solid">
        <fgColor rgb="FF70AD47"/>
        <bgColor indexed="64"/>
      </patternFill>
    </fill>
    <fill>
      <patternFill patternType="solid">
        <fgColor rgb="FFFF0000"/>
        <bgColor indexed="64"/>
      </patternFill>
    </fill>
    <fill>
      <patternFill patternType="solid">
        <fgColor rgb="FFD0CECE"/>
        <bgColor indexed="64"/>
      </patternFill>
    </fill>
    <fill>
      <patternFill patternType="solid">
        <fgColor rgb="FFFFFFFF"/>
        <bgColor indexed="64"/>
      </patternFill>
    </fill>
    <fill>
      <patternFill patternType="solid">
        <fgColor theme="6"/>
      </patternFill>
    </fill>
    <fill>
      <patternFill patternType="solid">
        <fgColor rgb="FFFFFF00"/>
        <bgColor indexed="64"/>
      </patternFill>
    </fill>
    <fill>
      <patternFill patternType="solid">
        <fgColor theme="0"/>
        <bgColor indexed="64"/>
      </patternFill>
    </fill>
    <fill>
      <patternFill patternType="solid">
        <fgColor theme="0"/>
        <bgColor theme="8" tint="0.59999389629810485"/>
      </patternFill>
    </fill>
    <fill>
      <patternFill patternType="solid">
        <fgColor theme="7" tint="0.59999389629810485"/>
        <bgColor indexed="64"/>
      </patternFill>
    </fill>
  </fills>
  <borders count="5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medium">
        <color rgb="FF000000"/>
      </bottom>
      <diagonal/>
    </border>
    <border>
      <left/>
      <right style="thin">
        <color rgb="FF000000"/>
      </right>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diagonal/>
    </border>
    <border>
      <left style="thin">
        <color rgb="FF000000"/>
      </left>
      <right/>
      <top/>
      <bottom style="thin">
        <color rgb="FF000000"/>
      </bottom>
      <diagonal/>
    </border>
    <border>
      <left/>
      <right style="thin">
        <color rgb="FF000000"/>
      </right>
      <top/>
      <bottom style="thin">
        <color rgb="FF000000"/>
      </bottom>
      <diagonal/>
    </border>
    <border>
      <left/>
      <right/>
      <top/>
      <bottom style="thin">
        <color rgb="FF000000"/>
      </bottom>
      <diagonal/>
    </border>
    <border>
      <left/>
      <right style="thin">
        <color theme="0"/>
      </right>
      <top/>
      <bottom/>
      <diagonal/>
    </border>
    <border>
      <left style="thin">
        <color theme="0"/>
      </left>
      <right/>
      <top/>
      <bottom/>
      <diagonal/>
    </border>
    <border>
      <left/>
      <right style="thin">
        <color theme="0"/>
      </right>
      <top style="thin">
        <color rgb="FF000000"/>
      </top>
      <bottom/>
      <diagonal/>
    </border>
    <border>
      <left style="thin">
        <color theme="0"/>
      </left>
      <right/>
      <top style="thin">
        <color rgb="FF000000"/>
      </top>
      <bottom/>
      <diagonal/>
    </border>
    <border>
      <left/>
      <right style="thin">
        <color theme="0"/>
      </right>
      <top/>
      <bottom style="thin">
        <color rgb="FF000000"/>
      </bottom>
      <diagonal/>
    </border>
    <border>
      <left style="thin">
        <color theme="0"/>
      </left>
      <right/>
      <top/>
      <bottom style="thin">
        <color rgb="FF000000"/>
      </bottom>
      <diagonal/>
    </border>
    <border>
      <left/>
      <right/>
      <top style="thin">
        <color rgb="FF000000"/>
      </top>
      <bottom style="medium">
        <color theme="4" tint="0.39997558519241921"/>
      </bottom>
      <diagonal/>
    </border>
    <border>
      <left/>
      <right style="thin">
        <color rgb="FF000000"/>
      </right>
      <top style="thin">
        <color rgb="FF000000"/>
      </top>
      <bottom style="medium">
        <color theme="4" tint="0.39997558519241921"/>
      </bottom>
      <diagonal/>
    </border>
    <border>
      <left style="thin">
        <color rgb="FF000000"/>
      </left>
      <right/>
      <top style="thin">
        <color rgb="FF000000"/>
      </top>
      <bottom style="medium">
        <color theme="4" tint="0.39997558519241921"/>
      </bottom>
      <diagonal/>
    </border>
    <border>
      <left/>
      <right style="medium">
        <color rgb="FF000000"/>
      </right>
      <top/>
      <bottom style="thick">
        <color theme="4" tint="0.499984740745262"/>
      </bottom>
      <diagonal/>
    </border>
    <border>
      <left/>
      <right style="medium">
        <color rgb="FF000000"/>
      </right>
      <top/>
      <bottom style="thick">
        <color theme="4"/>
      </bottom>
      <diagonal/>
    </border>
    <border>
      <left/>
      <right/>
      <top style="thick">
        <color theme="4"/>
      </top>
      <bottom style="thick">
        <color theme="4" tint="0.499984740745262"/>
      </bottom>
      <diagonal/>
    </border>
    <border>
      <left/>
      <right style="medium">
        <color rgb="FF000000"/>
      </right>
      <top style="thick">
        <color theme="4"/>
      </top>
      <bottom style="thick">
        <color theme="4" tint="0.499984740745262"/>
      </bottom>
      <diagonal/>
    </border>
    <border>
      <left style="thin">
        <color theme="0"/>
      </left>
      <right style="thin">
        <color rgb="FF000000"/>
      </right>
      <top style="thin">
        <color rgb="FF000000"/>
      </top>
      <bottom/>
      <diagonal/>
    </border>
    <border>
      <left style="thin">
        <color theme="0"/>
      </left>
      <right style="thin">
        <color rgb="FF000000"/>
      </right>
      <top/>
      <bottom/>
      <diagonal/>
    </border>
    <border>
      <left style="thin">
        <color theme="0"/>
      </left>
      <right style="thin">
        <color rgb="FF000000"/>
      </right>
      <top/>
      <bottom style="thin">
        <color rgb="FF000000"/>
      </bottom>
      <diagonal/>
    </border>
    <border>
      <left style="thin">
        <color rgb="FF000000"/>
      </left>
      <right/>
      <top style="medium">
        <color theme="4" tint="0.39997558519241921"/>
      </top>
      <bottom/>
      <diagonal/>
    </border>
    <border>
      <left/>
      <right style="thin">
        <color rgb="FF000000"/>
      </right>
      <top style="medium">
        <color theme="4" tint="0.39997558519241921"/>
      </top>
      <bottom/>
      <diagonal/>
    </border>
    <border>
      <left style="thin">
        <color rgb="FFFFFFFF"/>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ck">
        <color theme="4" tint="0.499984740745262"/>
      </top>
      <bottom/>
      <diagonal/>
    </border>
    <border>
      <left/>
      <right/>
      <top/>
      <bottom style="medium">
        <color indexed="64"/>
      </bottom>
      <diagonal/>
    </border>
    <border>
      <left/>
      <right/>
      <top style="medium">
        <color indexed="64"/>
      </top>
      <bottom/>
      <diagonal/>
    </border>
    <border>
      <left/>
      <right style="medium">
        <color indexed="64"/>
      </right>
      <top/>
      <bottom/>
      <diagonal/>
    </border>
    <border>
      <left style="thin">
        <color theme="0"/>
      </left>
      <right/>
      <top style="medium">
        <color theme="4" tint="0.39997558519241921"/>
      </top>
      <bottom/>
      <diagonal/>
    </border>
    <border>
      <left/>
      <right/>
      <top style="medium">
        <color theme="4" tint="0.39997558519241921"/>
      </top>
      <bottom/>
      <diagonal/>
    </border>
    <border>
      <left style="thin">
        <color theme="0"/>
      </left>
      <right style="thin">
        <color rgb="FF000000"/>
      </right>
      <top/>
      <bottom style="thin">
        <color indexed="64"/>
      </bottom>
      <diagonal/>
    </border>
    <border>
      <left/>
      <right/>
      <top/>
      <bottom style="thin">
        <color indexed="64"/>
      </bottom>
      <diagonal/>
    </border>
    <border>
      <left style="thin">
        <color indexed="64"/>
      </left>
      <right/>
      <top style="medium">
        <color theme="4" tint="0.39997558519241921"/>
      </top>
      <bottom/>
      <diagonal/>
    </border>
    <border>
      <left style="thin">
        <color indexed="64"/>
      </left>
      <right/>
      <top/>
      <bottom/>
      <diagonal/>
    </border>
    <border>
      <left style="thin">
        <color indexed="64"/>
      </left>
      <right/>
      <top/>
      <bottom style="thin">
        <color indexed="64"/>
      </bottom>
      <diagonal/>
    </border>
    <border>
      <left/>
      <right style="thin">
        <color indexed="64"/>
      </right>
      <top style="medium">
        <color theme="4" tint="0.39997558519241921"/>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rgb="FF000000"/>
      </left>
      <right style="thin">
        <color theme="0"/>
      </right>
      <top/>
      <bottom/>
      <diagonal/>
    </border>
    <border>
      <left style="thin">
        <color rgb="FF000000"/>
      </left>
      <right style="thin">
        <color theme="0"/>
      </right>
      <top/>
      <bottom style="thin">
        <color indexed="64"/>
      </bottom>
      <diagonal/>
    </border>
    <border>
      <left/>
      <right/>
      <top style="thin">
        <color rgb="FF000000"/>
      </top>
      <bottom/>
      <diagonal/>
    </border>
    <border>
      <left/>
      <right style="thin">
        <color theme="0"/>
      </right>
      <top/>
      <bottom style="thin">
        <color indexed="64"/>
      </bottom>
      <diagonal/>
    </border>
  </borders>
  <cellStyleXfs count="9">
    <xf numFmtId="0" fontId="0" fillId="0" borderId="0"/>
    <xf numFmtId="0" fontId="1" fillId="0" borderId="0" applyNumberFormat="0" applyFill="0" applyBorder="0" applyAlignment="0" applyProtection="0"/>
    <xf numFmtId="0" fontId="2" fillId="0" borderId="1" applyNumberFormat="0" applyFill="0" applyAlignment="0" applyProtection="0"/>
    <xf numFmtId="0" fontId="3" fillId="0" borderId="2" applyNumberFormat="0" applyFill="0" applyAlignment="0" applyProtection="0"/>
    <xf numFmtId="0" fontId="4" fillId="0" borderId="3" applyNumberFormat="0" applyFill="0" applyAlignment="0" applyProtection="0"/>
    <xf numFmtId="0" fontId="14" fillId="4" borderId="0" applyNumberFormat="0" applyBorder="0" applyAlignment="0" applyProtection="0"/>
    <xf numFmtId="0" fontId="8" fillId="9" borderId="0" applyNumberFormat="0" applyBorder="0" applyAlignment="0" applyProtection="0"/>
    <xf numFmtId="0" fontId="14" fillId="4" borderId="0"/>
    <xf numFmtId="0" fontId="8" fillId="9" borderId="0"/>
  </cellStyleXfs>
  <cellXfs count="177">
    <xf numFmtId="0" fontId="0" fillId="0" borderId="0" xfId="0"/>
    <xf numFmtId="0" fontId="1" fillId="0" borderId="0" xfId="1"/>
    <xf numFmtId="2" fontId="0" fillId="0" borderId="0" xfId="0" applyNumberFormat="1"/>
    <xf numFmtId="0" fontId="0" fillId="0" borderId="0" xfId="0" applyAlignment="1"/>
    <xf numFmtId="0" fontId="0" fillId="0" borderId="0" xfId="0" applyFill="1"/>
    <xf numFmtId="0" fontId="14" fillId="4" borderId="0" xfId="5"/>
    <xf numFmtId="0" fontId="14" fillId="4" borderId="4" xfId="5" applyBorder="1"/>
    <xf numFmtId="10" fontId="0" fillId="0" borderId="0" xfId="0" applyNumberFormat="1"/>
    <xf numFmtId="10" fontId="0" fillId="5" borderId="0" xfId="0" applyNumberFormat="1" applyFill="1"/>
    <xf numFmtId="10" fontId="0" fillId="6" borderId="0" xfId="0" applyNumberFormat="1" applyFill="1"/>
    <xf numFmtId="0" fontId="0" fillId="0" borderId="0" xfId="0" applyAlignment="1">
      <alignment horizontal="right"/>
    </xf>
    <xf numFmtId="10" fontId="0" fillId="0" borderId="0" xfId="0" applyNumberFormat="1" applyAlignment="1">
      <alignment horizontal="right"/>
    </xf>
    <xf numFmtId="165" fontId="0" fillId="0" borderId="0" xfId="0" applyNumberFormat="1"/>
    <xf numFmtId="164" fontId="0" fillId="0" borderId="0" xfId="0" applyNumberFormat="1" applyAlignment="1"/>
    <xf numFmtId="0" fontId="14" fillId="4" borderId="0" xfId="5" applyAlignment="1"/>
    <xf numFmtId="14" fontId="0" fillId="0" borderId="0" xfId="0" applyNumberFormat="1"/>
    <xf numFmtId="0" fontId="0" fillId="0" borderId="0" xfId="0" applyAlignment="1">
      <alignment horizontal="center"/>
    </xf>
    <xf numFmtId="49" fontId="0" fillId="3" borderId="13" xfId="0" applyNumberFormat="1" applyFont="1" applyFill="1" applyBorder="1" applyAlignment="1"/>
    <xf numFmtId="49" fontId="0" fillId="2" borderId="13" xfId="0" applyNumberFormat="1" applyFont="1" applyFill="1" applyBorder="1" applyAlignment="1"/>
    <xf numFmtId="49" fontId="0" fillId="3" borderId="13" xfId="0" applyNumberFormat="1" applyFont="1" applyFill="1" applyBorder="1" applyAlignment="1"/>
    <xf numFmtId="49" fontId="0" fillId="2" borderId="13" xfId="0" applyNumberFormat="1" applyFont="1" applyFill="1" applyBorder="1" applyAlignment="1"/>
    <xf numFmtId="0" fontId="0" fillId="7" borderId="0" xfId="0" applyFill="1" applyAlignment="1"/>
    <xf numFmtId="49" fontId="0" fillId="2" borderId="15" xfId="0" applyNumberFormat="1" applyFont="1" applyFill="1" applyBorder="1" applyAlignment="1"/>
    <xf numFmtId="49" fontId="0" fillId="2" borderId="25" xfId="0" applyNumberFormat="1" applyFont="1" applyFill="1" applyBorder="1" applyAlignment="1"/>
    <xf numFmtId="49" fontId="0" fillId="3" borderId="26" xfId="0" applyNumberFormat="1" applyFont="1" applyFill="1" applyBorder="1" applyAlignment="1"/>
    <xf numFmtId="49" fontId="0" fillId="2" borderId="26" xfId="0" applyNumberFormat="1" applyFont="1" applyFill="1" applyBorder="1" applyAlignment="1"/>
    <xf numFmtId="49" fontId="5" fillId="2" borderId="6" xfId="0" applyNumberFormat="1" applyFont="1" applyFill="1" applyBorder="1" applyAlignment="1">
      <alignment horizontal="right"/>
    </xf>
    <xf numFmtId="49" fontId="5" fillId="3" borderId="8" xfId="0" applyNumberFormat="1" applyFont="1" applyFill="1" applyBorder="1" applyAlignment="1">
      <alignment horizontal="right"/>
    </xf>
    <xf numFmtId="49" fontId="5" fillId="2" borderId="8" xfId="0" applyNumberFormat="1" applyFont="1" applyFill="1" applyBorder="1" applyAlignment="1">
      <alignment horizontal="right"/>
    </xf>
    <xf numFmtId="49" fontId="5" fillId="2" borderId="9" xfId="0" applyNumberFormat="1" applyFont="1" applyFill="1" applyBorder="1" applyAlignment="1">
      <alignment horizontal="right"/>
    </xf>
    <xf numFmtId="49" fontId="5" fillId="3" borderId="9" xfId="0" applyNumberFormat="1" applyFont="1" applyFill="1" applyBorder="1" applyAlignment="1">
      <alignment horizontal="right"/>
    </xf>
    <xf numFmtId="0" fontId="0" fillId="8" borderId="0" xfId="0" applyFill="1" applyAlignment="1"/>
    <xf numFmtId="49" fontId="0" fillId="2" borderId="25" xfId="0" applyNumberFormat="1" applyFont="1" applyFill="1" applyBorder="1" applyAlignment="1">
      <alignment horizontal="left"/>
    </xf>
    <xf numFmtId="49" fontId="0" fillId="3" borderId="26" xfId="0" applyNumberFormat="1" applyFont="1" applyFill="1" applyBorder="1" applyAlignment="1">
      <alignment horizontal="left"/>
    </xf>
    <xf numFmtId="49" fontId="0" fillId="2" borderId="26" xfId="0" applyNumberFormat="1" applyFont="1" applyFill="1" applyBorder="1" applyAlignment="1">
      <alignment horizontal="left"/>
    </xf>
    <xf numFmtId="0" fontId="0" fillId="3" borderId="26" xfId="0" applyFont="1" applyFill="1" applyBorder="1" applyAlignment="1">
      <alignment horizontal="left"/>
    </xf>
    <xf numFmtId="49" fontId="0" fillId="2" borderId="27" xfId="0" applyNumberFormat="1" applyFont="1" applyFill="1" applyBorder="1" applyAlignment="1">
      <alignment horizontal="left"/>
    </xf>
    <xf numFmtId="0" fontId="0" fillId="8" borderId="0" xfId="0" applyFill="1" applyAlignment="1">
      <alignment horizontal="left"/>
    </xf>
    <xf numFmtId="0" fontId="0" fillId="3" borderId="27" xfId="0" applyFont="1" applyFill="1" applyBorder="1" applyAlignment="1">
      <alignment horizontal="left"/>
    </xf>
    <xf numFmtId="10" fontId="0" fillId="2" borderId="25" xfId="0" applyNumberFormat="1" applyFont="1" applyFill="1" applyBorder="1" applyAlignment="1">
      <alignment horizontal="left"/>
    </xf>
    <xf numFmtId="10" fontId="0" fillId="3" borderId="30" xfId="0" applyNumberFormat="1" applyFont="1" applyFill="1" applyBorder="1" applyAlignment="1">
      <alignment horizontal="left"/>
    </xf>
    <xf numFmtId="10" fontId="0" fillId="2" borderId="30" xfId="0" applyNumberFormat="1" applyFont="1" applyFill="1" applyBorder="1" applyAlignment="1">
      <alignment horizontal="left"/>
    </xf>
    <xf numFmtId="0" fontId="0" fillId="0" borderId="0" xfId="0" applyAlignment="1">
      <alignment horizontal="left"/>
    </xf>
    <xf numFmtId="49" fontId="4" fillId="0" borderId="31" xfId="4" applyNumberFormat="1" applyFill="1" applyBorder="1" applyAlignment="1">
      <alignment horizontal="center" vertical="center"/>
    </xf>
    <xf numFmtId="49" fontId="4" fillId="0" borderId="32" xfId="4" applyNumberFormat="1" applyFill="1" applyBorder="1" applyAlignment="1">
      <alignment horizontal="center" vertical="center"/>
    </xf>
    <xf numFmtId="49" fontId="4" fillId="0" borderId="33" xfId="4" applyNumberFormat="1" applyFill="1" applyBorder="1" applyAlignment="1">
      <alignment horizontal="center" vertical="center"/>
    </xf>
    <xf numFmtId="49" fontId="0" fillId="3" borderId="17" xfId="0" applyNumberFormat="1" applyFont="1" applyFill="1" applyBorder="1" applyAlignment="1"/>
    <xf numFmtId="49" fontId="0" fillId="3" borderId="27" xfId="0" applyNumberFormat="1" applyFont="1" applyFill="1" applyBorder="1" applyAlignment="1"/>
    <xf numFmtId="166" fontId="5" fillId="2" borderId="6" xfId="0" applyNumberFormat="1" applyFont="1" applyFill="1" applyBorder="1" applyAlignment="1">
      <alignment horizontal="right"/>
    </xf>
    <xf numFmtId="166" fontId="5" fillId="3" borderId="8" xfId="0" applyNumberFormat="1" applyFont="1" applyFill="1" applyBorder="1" applyAlignment="1"/>
    <xf numFmtId="166" fontId="5" fillId="2" borderId="8" xfId="0" applyNumberFormat="1" applyFont="1" applyFill="1" applyBorder="1" applyAlignment="1"/>
    <xf numFmtId="166" fontId="5" fillId="3" borderId="9" xfId="0" applyNumberFormat="1" applyFont="1" applyFill="1" applyBorder="1" applyAlignment="1"/>
    <xf numFmtId="166" fontId="0" fillId="0" borderId="0" xfId="0" applyNumberFormat="1"/>
    <xf numFmtId="49" fontId="14" fillId="4" borderId="0" xfId="5" applyNumberFormat="1" applyAlignment="1"/>
    <xf numFmtId="0" fontId="3" fillId="0" borderId="0" xfId="3" applyFill="1" applyBorder="1" applyAlignment="1">
      <alignment horizontal="center"/>
    </xf>
    <xf numFmtId="0" fontId="14" fillId="4" borderId="35" xfId="5" applyBorder="1"/>
    <xf numFmtId="0" fontId="8" fillId="9" borderId="37" xfId="6" applyBorder="1"/>
    <xf numFmtId="49" fontId="5" fillId="2" borderId="8" xfId="0" applyNumberFormat="1" applyFont="1" applyFill="1" applyBorder="1" applyAlignment="1">
      <alignment horizontal="right"/>
    </xf>
    <xf numFmtId="49" fontId="5" fillId="3" borderId="8" xfId="0" applyNumberFormat="1" applyFont="1" applyFill="1" applyBorder="1" applyAlignment="1">
      <alignment horizontal="right"/>
    </xf>
    <xf numFmtId="49" fontId="5" fillId="2" borderId="6" xfId="0" applyNumberFormat="1" applyFont="1" applyFill="1" applyBorder="1" applyAlignment="1">
      <alignment horizontal="right"/>
    </xf>
    <xf numFmtId="49" fontId="14" fillId="4" borderId="0" xfId="5" applyNumberFormat="1" applyAlignment="1">
      <alignment horizontal="left"/>
    </xf>
    <xf numFmtId="49" fontId="14" fillId="4" borderId="35" xfId="5" applyNumberFormat="1" applyBorder="1" applyAlignment="1">
      <alignment horizontal="left"/>
    </xf>
    <xf numFmtId="49" fontId="14" fillId="4" borderId="4" xfId="5" applyNumberFormat="1" applyBorder="1" applyAlignment="1">
      <alignment horizontal="left"/>
    </xf>
    <xf numFmtId="49" fontId="1" fillId="2" borderId="26" xfId="1" applyNumberFormat="1" applyFill="1" applyBorder="1" applyAlignment="1">
      <alignment horizontal="left"/>
    </xf>
    <xf numFmtId="0" fontId="0" fillId="11" borderId="0" xfId="0" applyFill="1" applyBorder="1" applyAlignment="1"/>
    <xf numFmtId="0" fontId="0" fillId="11" borderId="0" xfId="0" applyFill="1" applyBorder="1" applyAlignment="1">
      <alignment horizontal="left"/>
    </xf>
    <xf numFmtId="49" fontId="5" fillId="12" borderId="0" xfId="0" applyNumberFormat="1" applyFont="1" applyFill="1" applyBorder="1" applyAlignment="1">
      <alignment horizontal="right"/>
    </xf>
    <xf numFmtId="10" fontId="0" fillId="12" borderId="0" xfId="0" applyNumberFormat="1" applyFont="1" applyFill="1" applyBorder="1" applyAlignment="1">
      <alignment horizontal="left"/>
    </xf>
    <xf numFmtId="0" fontId="0" fillId="0" borderId="0" xfId="0" applyBorder="1" applyAlignment="1"/>
    <xf numFmtId="0" fontId="0" fillId="0" borderId="0" xfId="0" applyBorder="1" applyAlignment="1">
      <alignment horizontal="left"/>
    </xf>
    <xf numFmtId="0" fontId="14" fillId="4" borderId="0" xfId="5" applyAlignment="1">
      <alignment horizontal="left"/>
    </xf>
    <xf numFmtId="0" fontId="14" fillId="4" borderId="0" xfId="5" applyBorder="1"/>
    <xf numFmtId="0" fontId="8" fillId="9" borderId="0" xfId="6" applyBorder="1" applyAlignment="1">
      <alignment horizontal="center"/>
    </xf>
    <xf numFmtId="0" fontId="8" fillId="9" borderId="0" xfId="6" applyAlignment="1"/>
    <xf numFmtId="0" fontId="8" fillId="9" borderId="0" xfId="6"/>
    <xf numFmtId="0" fontId="3" fillId="11" borderId="23" xfId="3" applyFill="1" applyBorder="1" applyAlignment="1"/>
    <xf numFmtId="0" fontId="3" fillId="11" borderId="24" xfId="3" applyFill="1" applyBorder="1" applyAlignment="1"/>
    <xf numFmtId="49" fontId="5" fillId="2" borderId="51" xfId="0" applyNumberFormat="1" applyFont="1" applyFill="1" applyBorder="1" applyAlignment="1">
      <alignment horizontal="right"/>
    </xf>
    <xf numFmtId="49" fontId="5" fillId="3" borderId="0" xfId="0" applyNumberFormat="1" applyFont="1" applyFill="1" applyBorder="1" applyAlignment="1">
      <alignment horizontal="right"/>
    </xf>
    <xf numFmtId="49" fontId="5" fillId="2" borderId="0" xfId="0" applyNumberFormat="1" applyFont="1" applyFill="1" applyBorder="1" applyAlignment="1">
      <alignment horizontal="right"/>
    </xf>
    <xf numFmtId="0" fontId="8" fillId="9" borderId="0" xfId="6" applyBorder="1"/>
    <xf numFmtId="0" fontId="5" fillId="3" borderId="8" xfId="0" applyFont="1" applyFill="1" applyBorder="1" applyAlignment="1">
      <alignment horizontal="right"/>
    </xf>
    <xf numFmtId="0" fontId="5" fillId="3" borderId="12" xfId="0" applyFont="1" applyFill="1" applyBorder="1" applyAlignment="1">
      <alignment horizontal="right"/>
    </xf>
    <xf numFmtId="0" fontId="5" fillId="2" borderId="9" xfId="0" applyFont="1" applyFill="1" applyBorder="1" applyAlignment="1">
      <alignment horizontal="right"/>
    </xf>
    <xf numFmtId="0" fontId="5" fillId="2" borderId="16" xfId="0" applyFont="1" applyFill="1" applyBorder="1" applyAlignment="1">
      <alignment horizontal="right"/>
    </xf>
    <xf numFmtId="49" fontId="0" fillId="2" borderId="13" xfId="0" applyNumberFormat="1" applyFont="1" applyFill="1" applyBorder="1" applyAlignment="1">
      <alignment horizontal="left"/>
    </xf>
    <xf numFmtId="49" fontId="0" fillId="2" borderId="5" xfId="0" applyNumberFormat="1" applyFont="1" applyFill="1" applyBorder="1" applyAlignment="1">
      <alignment horizontal="left"/>
    </xf>
    <xf numFmtId="49" fontId="0" fillId="3" borderId="13" xfId="0" applyNumberFormat="1" applyFont="1" applyFill="1" applyBorder="1" applyAlignment="1">
      <alignment horizontal="left"/>
    </xf>
    <xf numFmtId="49" fontId="0" fillId="3" borderId="5" xfId="0" applyNumberFormat="1" applyFont="1" applyFill="1" applyBorder="1" applyAlignment="1">
      <alignment horizontal="left"/>
    </xf>
    <xf numFmtId="49" fontId="0" fillId="2" borderId="17" xfId="0" applyNumberFormat="1" applyFont="1" applyFill="1" applyBorder="1" applyAlignment="1">
      <alignment horizontal="left"/>
    </xf>
    <xf numFmtId="49" fontId="0" fillId="2" borderId="10" xfId="0" applyNumberFormat="1" applyFont="1" applyFill="1" applyBorder="1" applyAlignment="1">
      <alignment horizontal="left"/>
    </xf>
    <xf numFmtId="49" fontId="4" fillId="0" borderId="20" xfId="4" applyNumberFormat="1" applyFill="1" applyBorder="1" applyAlignment="1">
      <alignment horizontal="center"/>
    </xf>
    <xf numFmtId="49" fontId="4" fillId="0" borderId="18" xfId="4" applyNumberFormat="1" applyFill="1" applyBorder="1" applyAlignment="1">
      <alignment horizontal="center"/>
    </xf>
    <xf numFmtId="49" fontId="4" fillId="0" borderId="19" xfId="4" applyNumberFormat="1" applyFill="1" applyBorder="1" applyAlignment="1">
      <alignment horizontal="center"/>
    </xf>
    <xf numFmtId="49" fontId="5" fillId="2" borderId="8" xfId="0" applyNumberFormat="1" applyFont="1" applyFill="1" applyBorder="1" applyAlignment="1">
      <alignment horizontal="right"/>
    </xf>
    <xf numFmtId="49" fontId="5" fillId="2" borderId="12" xfId="0" applyNumberFormat="1" applyFont="1" applyFill="1" applyBorder="1" applyAlignment="1">
      <alignment horizontal="right"/>
    </xf>
    <xf numFmtId="49" fontId="5" fillId="3" borderId="8" xfId="0" applyNumberFormat="1" applyFont="1" applyFill="1" applyBorder="1" applyAlignment="1">
      <alignment horizontal="right"/>
    </xf>
    <xf numFmtId="49" fontId="5" fillId="3" borderId="12" xfId="0" applyNumberFormat="1" applyFont="1" applyFill="1" applyBorder="1" applyAlignment="1">
      <alignment horizontal="right"/>
    </xf>
    <xf numFmtId="0" fontId="5" fillId="2" borderId="8" xfId="0" applyFont="1" applyFill="1" applyBorder="1" applyAlignment="1">
      <alignment horizontal="right"/>
    </xf>
    <xf numFmtId="0" fontId="5" fillId="2" borderId="12" xfId="0" applyFont="1" applyFill="1" applyBorder="1" applyAlignment="1">
      <alignment horizontal="right"/>
    </xf>
    <xf numFmtId="49" fontId="5" fillId="2" borderId="9" xfId="0" applyNumberFormat="1" applyFont="1" applyFill="1" applyBorder="1" applyAlignment="1">
      <alignment horizontal="right"/>
    </xf>
    <xf numFmtId="49" fontId="5" fillId="2" borderId="16" xfId="0" applyNumberFormat="1" applyFont="1" applyFill="1" applyBorder="1" applyAlignment="1">
      <alignment horizontal="right"/>
    </xf>
    <xf numFmtId="49" fontId="0" fillId="2" borderId="38" xfId="0" applyNumberFormat="1" applyFont="1" applyFill="1" applyBorder="1" applyAlignment="1">
      <alignment horizontal="left"/>
    </xf>
    <xf numFmtId="49" fontId="0" fillId="2" borderId="29" xfId="0" applyNumberFormat="1" applyFont="1" applyFill="1" applyBorder="1" applyAlignment="1">
      <alignment horizontal="left"/>
    </xf>
    <xf numFmtId="0" fontId="9" fillId="0" borderId="36" xfId="3" applyFont="1" applyFill="1" applyBorder="1" applyAlignment="1">
      <alignment horizontal="center"/>
    </xf>
    <xf numFmtId="0" fontId="9" fillId="0" borderId="0" xfId="3" applyFont="1" applyFill="1" applyBorder="1" applyAlignment="1">
      <alignment horizontal="center"/>
    </xf>
    <xf numFmtId="49" fontId="0" fillId="2" borderId="9" xfId="0" applyNumberFormat="1" applyFont="1" applyFill="1" applyBorder="1" applyAlignment="1">
      <alignment horizontal="center"/>
    </xf>
    <xf numFmtId="49" fontId="0" fillId="2" borderId="11" xfId="0" applyNumberFormat="1" applyFont="1" applyFill="1" applyBorder="1" applyAlignment="1">
      <alignment horizontal="center"/>
    </xf>
    <xf numFmtId="49" fontId="0" fillId="2" borderId="10" xfId="0" applyNumberFormat="1" applyFont="1" applyFill="1" applyBorder="1" applyAlignment="1">
      <alignment horizontal="center"/>
    </xf>
    <xf numFmtId="49" fontId="0" fillId="3" borderId="8" xfId="0" applyNumberFormat="1" applyFont="1" applyFill="1" applyBorder="1" applyAlignment="1">
      <alignment horizontal="center"/>
    </xf>
    <xf numFmtId="49" fontId="0" fillId="3" borderId="0" xfId="0" applyNumberFormat="1" applyFont="1" applyFill="1" applyBorder="1" applyAlignment="1">
      <alignment horizontal="center"/>
    </xf>
    <xf numFmtId="49" fontId="0" fillId="3" borderId="5" xfId="0" applyNumberFormat="1" applyFont="1" applyFill="1" applyBorder="1" applyAlignment="1">
      <alignment horizontal="center"/>
    </xf>
    <xf numFmtId="0" fontId="4" fillId="0" borderId="20" xfId="4" applyFill="1" applyBorder="1" applyAlignment="1">
      <alignment horizontal="center"/>
    </xf>
    <xf numFmtId="0" fontId="4" fillId="0" borderId="18" xfId="4" applyFill="1" applyBorder="1" applyAlignment="1">
      <alignment horizontal="center"/>
    </xf>
    <xf numFmtId="0" fontId="4" fillId="0" borderId="19" xfId="4" applyFill="1" applyBorder="1" applyAlignment="1">
      <alignment horizontal="center"/>
    </xf>
    <xf numFmtId="49" fontId="0" fillId="2" borderId="8" xfId="0" applyNumberFormat="1" applyFont="1" applyFill="1" applyBorder="1" applyAlignment="1">
      <alignment horizontal="center"/>
    </xf>
    <xf numFmtId="49" fontId="0" fillId="2" borderId="0" xfId="0" applyNumberFormat="1" applyFont="1" applyFill="1" applyBorder="1" applyAlignment="1">
      <alignment horizontal="center"/>
    </xf>
    <xf numFmtId="49" fontId="0" fillId="2" borderId="5" xfId="0" applyNumberFormat="1" applyFont="1" applyFill="1" applyBorder="1" applyAlignment="1">
      <alignment horizontal="center"/>
    </xf>
    <xf numFmtId="49" fontId="0" fillId="3" borderId="38" xfId="0" applyNumberFormat="1" applyFont="1" applyFill="1" applyBorder="1" applyAlignment="1">
      <alignment horizontal="left"/>
    </xf>
    <xf numFmtId="49" fontId="0" fillId="3" borderId="29" xfId="0" applyNumberFormat="1" applyFont="1" applyFill="1" applyBorder="1" applyAlignment="1">
      <alignment horizontal="left"/>
    </xf>
    <xf numFmtId="0" fontId="6" fillId="8" borderId="11" xfId="0" applyFont="1" applyFill="1" applyBorder="1" applyAlignment="1">
      <alignment horizontal="center" vertical="center"/>
    </xf>
    <xf numFmtId="49" fontId="5" fillId="2" borderId="12" xfId="0" applyNumberFormat="1" applyFont="1" applyFill="1" applyBorder="1" applyAlignment="1">
      <alignment horizontal="right" vertical="center"/>
    </xf>
    <xf numFmtId="49" fontId="5" fillId="2" borderId="52" xfId="0" applyNumberFormat="1" applyFont="1" applyFill="1" applyBorder="1" applyAlignment="1">
      <alignment horizontal="right" vertical="center"/>
    </xf>
    <xf numFmtId="49" fontId="1" fillId="2" borderId="26" xfId="1" applyNumberFormat="1" applyFill="1" applyBorder="1" applyAlignment="1">
      <alignment horizontal="left" wrapText="1"/>
    </xf>
    <xf numFmtId="49" fontId="1" fillId="2" borderId="40" xfId="1" applyNumberFormat="1" applyFill="1" applyBorder="1" applyAlignment="1">
      <alignment horizontal="left" wrapText="1"/>
    </xf>
    <xf numFmtId="49" fontId="5" fillId="2" borderId="49" xfId="0" applyNumberFormat="1" applyFont="1" applyFill="1" applyBorder="1" applyAlignment="1">
      <alignment horizontal="right" vertical="center"/>
    </xf>
    <xf numFmtId="49" fontId="5" fillId="2" borderId="50" xfId="0" applyNumberFormat="1" applyFont="1" applyFill="1" applyBorder="1" applyAlignment="1">
      <alignment horizontal="right" vertical="center"/>
    </xf>
    <xf numFmtId="0" fontId="13" fillId="0" borderId="1" xfId="2" applyFont="1" applyFill="1" applyBorder="1" applyAlignment="1">
      <alignment horizontal="center"/>
    </xf>
    <xf numFmtId="0" fontId="13" fillId="0" borderId="0" xfId="2" applyFont="1" applyFill="1" applyBorder="1" applyAlignment="1">
      <alignment horizontal="center"/>
    </xf>
    <xf numFmtId="0" fontId="13" fillId="0" borderId="22" xfId="2" applyFont="1" applyFill="1" applyBorder="1" applyAlignment="1">
      <alignment horizontal="center"/>
    </xf>
    <xf numFmtId="0" fontId="3" fillId="11" borderId="2" xfId="3" applyFill="1" applyBorder="1" applyAlignment="1">
      <alignment horizontal="center"/>
    </xf>
    <xf numFmtId="0" fontId="3" fillId="11" borderId="21" xfId="3" applyFill="1" applyBorder="1" applyAlignment="1">
      <alignment horizontal="center"/>
    </xf>
    <xf numFmtId="49" fontId="5" fillId="2" borderId="6" xfId="0" applyNumberFormat="1" applyFont="1" applyFill="1" applyBorder="1" applyAlignment="1">
      <alignment horizontal="right"/>
    </xf>
    <xf numFmtId="49" fontId="5" fillId="2" borderId="14" xfId="0" applyNumberFormat="1" applyFont="1" applyFill="1" applyBorder="1" applyAlignment="1">
      <alignment horizontal="right"/>
    </xf>
    <xf numFmtId="0" fontId="9" fillId="0" borderId="34" xfId="3" applyFont="1" applyFill="1" applyBorder="1" applyAlignment="1">
      <alignment horizontal="center"/>
    </xf>
    <xf numFmtId="0" fontId="3" fillId="0" borderId="23" xfId="3" applyFill="1" applyBorder="1" applyAlignment="1">
      <alignment horizontal="center"/>
    </xf>
    <xf numFmtId="0" fontId="0" fillId="3" borderId="5" xfId="0" applyNumberFormat="1" applyFont="1" applyFill="1" applyBorder="1" applyAlignment="1">
      <alignment horizontal="left"/>
    </xf>
    <xf numFmtId="0" fontId="0" fillId="2" borderId="5" xfId="0" applyNumberFormat="1" applyFont="1" applyFill="1" applyBorder="1" applyAlignment="1">
      <alignment horizontal="left"/>
    </xf>
    <xf numFmtId="0" fontId="0" fillId="3" borderId="13" xfId="0" applyNumberFormat="1" applyFont="1" applyFill="1" applyBorder="1" applyAlignment="1">
      <alignment horizontal="left"/>
    </xf>
    <xf numFmtId="0" fontId="0" fillId="2" borderId="10" xfId="0" applyNumberFormat="1" applyFont="1" applyFill="1" applyBorder="1" applyAlignment="1">
      <alignment horizontal="left"/>
    </xf>
    <xf numFmtId="49" fontId="0" fillId="2" borderId="15" xfId="0" applyNumberFormat="1" applyFont="1" applyFill="1" applyBorder="1" applyAlignment="1">
      <alignment horizontal="left"/>
    </xf>
    <xf numFmtId="0" fontId="0" fillId="2" borderId="7" xfId="0" applyNumberFormat="1" applyFont="1" applyFill="1" applyBorder="1" applyAlignment="1">
      <alignment horizontal="left"/>
    </xf>
    <xf numFmtId="0" fontId="0" fillId="3" borderId="29" xfId="0" applyNumberFormat="1" applyFont="1" applyFill="1" applyBorder="1" applyAlignment="1">
      <alignment horizontal="left"/>
    </xf>
    <xf numFmtId="0" fontId="0" fillId="2" borderId="8" xfId="0" applyFont="1" applyFill="1" applyBorder="1" applyAlignment="1">
      <alignment horizontal="center"/>
    </xf>
    <xf numFmtId="0" fontId="0" fillId="2" borderId="0" xfId="0" applyFont="1" applyFill="1" applyBorder="1" applyAlignment="1">
      <alignment horizontal="center"/>
    </xf>
    <xf numFmtId="0" fontId="0" fillId="2" borderId="5" xfId="0" applyFont="1" applyFill="1" applyBorder="1" applyAlignment="1">
      <alignment horizontal="center"/>
    </xf>
    <xf numFmtId="0" fontId="0" fillId="3" borderId="8" xfId="0" applyFont="1" applyFill="1" applyBorder="1" applyAlignment="1">
      <alignment horizontal="center"/>
    </xf>
    <xf numFmtId="0" fontId="0" fillId="3" borderId="0" xfId="0" applyFont="1" applyFill="1" applyBorder="1" applyAlignment="1">
      <alignment horizontal="center"/>
    </xf>
    <xf numFmtId="0" fontId="0" fillId="3" borderId="5" xfId="0" applyFont="1" applyFill="1" applyBorder="1" applyAlignment="1">
      <alignment horizontal="center"/>
    </xf>
    <xf numFmtId="0" fontId="0" fillId="2" borderId="9" xfId="0" applyFont="1" applyFill="1" applyBorder="1" applyAlignment="1">
      <alignment horizontal="center"/>
    </xf>
    <xf numFmtId="0" fontId="0" fillId="2" borderId="11" xfId="0" applyFont="1" applyFill="1" applyBorder="1" applyAlignment="1">
      <alignment horizontal="center"/>
    </xf>
    <xf numFmtId="0" fontId="0" fillId="2" borderId="10" xfId="0" applyFont="1" applyFill="1" applyBorder="1" applyAlignment="1">
      <alignment horizontal="center"/>
    </xf>
    <xf numFmtId="0" fontId="0" fillId="2" borderId="13" xfId="0" applyNumberFormat="1" applyFont="1" applyFill="1" applyBorder="1" applyAlignment="1">
      <alignment horizontal="left"/>
    </xf>
    <xf numFmtId="0" fontId="0" fillId="2" borderId="17" xfId="0" applyNumberFormat="1" applyFont="1" applyFill="1" applyBorder="1" applyAlignment="1">
      <alignment horizontal="left"/>
    </xf>
    <xf numFmtId="0" fontId="15" fillId="11" borderId="23" xfId="3" applyFont="1" applyFill="1" applyBorder="1" applyAlignment="1">
      <alignment horizontal="center"/>
    </xf>
    <xf numFmtId="0" fontId="3" fillId="11" borderId="23" xfId="3" applyFill="1" applyBorder="1" applyAlignment="1">
      <alignment horizontal="center"/>
    </xf>
    <xf numFmtId="0" fontId="11" fillId="10" borderId="0" xfId="5" applyFont="1" applyFill="1" applyAlignment="1">
      <alignment horizontal="center" wrapText="1"/>
    </xf>
    <xf numFmtId="0" fontId="12" fillId="0" borderId="18" xfId="4" applyFont="1" applyFill="1" applyBorder="1" applyAlignment="1">
      <alignment horizontal="center"/>
    </xf>
    <xf numFmtId="0" fontId="12" fillId="0" borderId="20" xfId="4" applyFont="1" applyFill="1" applyBorder="1" applyAlignment="1">
      <alignment horizontal="center"/>
    </xf>
    <xf numFmtId="49" fontId="0" fillId="2" borderId="39" xfId="0" applyNumberFormat="1" applyFont="1" applyFill="1" applyBorder="1" applyAlignment="1">
      <alignment horizontal="left" vertical="top" wrapText="1"/>
    </xf>
    <xf numFmtId="49" fontId="0" fillId="2" borderId="45" xfId="0" applyNumberFormat="1" applyFont="1" applyFill="1" applyBorder="1" applyAlignment="1">
      <alignment horizontal="left" vertical="top" wrapText="1"/>
    </xf>
    <xf numFmtId="49" fontId="0" fillId="2" borderId="0" xfId="0" applyNumberFormat="1" applyFont="1" applyFill="1" applyBorder="1" applyAlignment="1">
      <alignment horizontal="left" vertical="top" wrapText="1"/>
    </xf>
    <xf numFmtId="49" fontId="0" fillId="2" borderId="46" xfId="0" applyNumberFormat="1" applyFont="1" applyFill="1" applyBorder="1" applyAlignment="1">
      <alignment horizontal="left" vertical="top" wrapText="1"/>
    </xf>
    <xf numFmtId="49" fontId="0" fillId="2" borderId="41" xfId="0" applyNumberFormat="1" applyFont="1" applyFill="1" applyBorder="1" applyAlignment="1">
      <alignment horizontal="left" vertical="top" wrapText="1"/>
    </xf>
    <xf numFmtId="49" fontId="0" fillId="2" borderId="47" xfId="0" applyNumberFormat="1" applyFont="1" applyFill="1" applyBorder="1" applyAlignment="1">
      <alignment horizontal="left" vertical="top" wrapText="1"/>
    </xf>
    <xf numFmtId="49" fontId="0" fillId="2" borderId="42" xfId="0" applyNumberFormat="1" applyFont="1" applyFill="1" applyBorder="1" applyAlignment="1">
      <alignment horizontal="left" vertical="top" wrapText="1"/>
    </xf>
    <xf numFmtId="49" fontId="0" fillId="2" borderId="43" xfId="0" applyNumberFormat="1" applyFont="1" applyFill="1" applyBorder="1" applyAlignment="1">
      <alignment horizontal="left" vertical="top" wrapText="1"/>
    </xf>
    <xf numFmtId="49" fontId="0" fillId="2" borderId="44" xfId="0" applyNumberFormat="1" applyFont="1" applyFill="1" applyBorder="1" applyAlignment="1">
      <alignment horizontal="left" vertical="top" wrapText="1"/>
    </xf>
    <xf numFmtId="0" fontId="6" fillId="8" borderId="48" xfId="0" applyFont="1" applyFill="1" applyBorder="1" applyAlignment="1">
      <alignment horizontal="center" vertical="center"/>
    </xf>
    <xf numFmtId="0" fontId="0" fillId="0" borderId="11" xfId="0" applyBorder="1" applyAlignment="1">
      <alignment horizontal="center" vertical="center"/>
    </xf>
    <xf numFmtId="0" fontId="16" fillId="13" borderId="8" xfId="0" applyFont="1" applyFill="1" applyBorder="1" applyAlignment="1">
      <alignment horizontal="center"/>
    </xf>
    <xf numFmtId="0" fontId="0" fillId="3" borderId="9" xfId="0" applyFont="1" applyFill="1" applyBorder="1" applyAlignment="1">
      <alignment horizontal="center"/>
    </xf>
    <xf numFmtId="0" fontId="0" fillId="3" borderId="10" xfId="0" applyFont="1" applyFill="1" applyBorder="1" applyAlignment="1">
      <alignment horizontal="center"/>
    </xf>
    <xf numFmtId="0" fontId="0" fillId="2" borderId="28" xfId="0" applyFont="1" applyFill="1" applyBorder="1" applyAlignment="1">
      <alignment horizontal="center"/>
    </xf>
    <xf numFmtId="0" fontId="0" fillId="2" borderId="29" xfId="0" applyFont="1" applyFill="1" applyBorder="1" applyAlignment="1">
      <alignment horizontal="center"/>
    </xf>
    <xf numFmtId="0" fontId="0" fillId="0" borderId="0" xfId="0" applyAlignment="1">
      <alignment horizontal="center"/>
    </xf>
    <xf numFmtId="0" fontId="0" fillId="0" borderId="0" xfId="0" applyFill="1" applyAlignment="1"/>
  </cellXfs>
  <cellStyles count="9">
    <cellStyle name="20% - Accent3" xfId="5" builtinId="38" customBuiltin="1"/>
    <cellStyle name="Accent3" xfId="6" builtinId="37"/>
    <cellStyle name="Background" xfId="7" xr:uid="{A5926AD2-1697-4418-ABBB-543978235BB5}"/>
    <cellStyle name="Border" xfId="8" xr:uid="{F4DEAB84-B90B-4DCB-8C85-324C12695355}"/>
    <cellStyle name="Heading 1" xfId="2" builtinId="16"/>
    <cellStyle name="Heading 2" xfId="3" builtinId="17"/>
    <cellStyle name="Heading 3" xfId="4" builtinId="18"/>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House!$B$34:$B$41</c:f>
              <c:strCache>
                <c:ptCount val="8"/>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321-4628-B9A1-10DB1CC3AC9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321-4628-B9A1-10DB1CC3AC9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321-4628-B9A1-10DB1CC3AC9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321-4628-B9A1-10DB1CC3AC9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321-4628-B9A1-10DB1CC3AC9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321-4628-B9A1-10DB1CC3AC9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321-4628-B9A1-10DB1CC3AC9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4321-4628-B9A1-10DB1CC3AC9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4321-4628-B9A1-10DB1CC3AC9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4321-4628-B9A1-10DB1CC3AC9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4321-4628-B9A1-10DB1CC3AC9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4321-4628-B9A1-10DB1CC3AC9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4321-4628-B9A1-10DB1CC3AC9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4321-4628-B9A1-10DB1CC3AC9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4321-4628-B9A1-10DB1CC3AC91}"/>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4321-4628-B9A1-10DB1CC3AC91}"/>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4321-4628-B9A1-10DB1CC3AC91}"/>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4321-4628-B9A1-10DB1CC3AC91}"/>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4321-4628-B9A1-10DB1CC3AC91}"/>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4321-4628-B9A1-10DB1CC3AC91}"/>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4321-4628-B9A1-10DB1CC3AC91}"/>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4321-4628-B9A1-10DB1CC3AC91}"/>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4321-4628-B9A1-10DB1CC3AC91}"/>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4321-4628-B9A1-10DB1CC3AC91}"/>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4321-4628-B9A1-10DB1CC3AC91}"/>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4321-4628-B9A1-10DB1CC3AC91}"/>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4321-4628-B9A1-10DB1CC3AC91}"/>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7-4321-4628-B9A1-10DB1CC3AC91}"/>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9-4321-4628-B9A1-10DB1CC3AC91}"/>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B-4321-4628-B9A1-10DB1CC3AC91}"/>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3D-4321-4628-B9A1-10DB1CC3AC91}"/>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3F-4321-4628-B9A1-10DB1CC3AC91}"/>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1-4321-4628-B9A1-10DB1CC3AC91}"/>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3-4321-4628-B9A1-10DB1CC3AC91}"/>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5-4321-4628-B9A1-10DB1CC3AC91}"/>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7-4321-4628-B9A1-10DB1CC3AC91}"/>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9-4321-4628-B9A1-10DB1CC3AC91}"/>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B-4321-4628-B9A1-10DB1CC3AC91}"/>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4D-4321-4628-B9A1-10DB1CC3AC91}"/>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4F-4321-4628-B9A1-10DB1CC3AC91}"/>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1-4321-4628-B9A1-10DB1CC3AC91}"/>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3-4321-4628-B9A1-10DB1CC3AC91}"/>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5-4321-4628-B9A1-10DB1CC3AC91}"/>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57-4321-4628-B9A1-10DB1CC3AC91}"/>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59-4321-4628-B9A1-10DB1CC3AC91}"/>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5B-4321-4628-B9A1-10DB1CC3AC91}"/>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5D-4321-4628-B9A1-10DB1CC3AC91}"/>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5F-4321-4628-B9A1-10DB1CC3AC91}"/>
              </c:ext>
            </c:extLst>
          </c:dPt>
          <c:dPt>
            <c:idx val="4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1-4321-4628-B9A1-10DB1CC3AC91}"/>
              </c:ext>
            </c:extLst>
          </c:dPt>
          <c:dPt>
            <c:idx val="49"/>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63-4321-4628-B9A1-10DB1CC3AC91}"/>
              </c:ext>
            </c:extLst>
          </c:dPt>
          <c:dPt>
            <c:idx val="5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5-4321-4628-B9A1-10DB1CC3AC91}"/>
              </c:ext>
            </c:extLst>
          </c:dPt>
          <c:dPt>
            <c:idx val="51"/>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67-4321-4628-B9A1-10DB1CC3AC91}"/>
              </c:ext>
            </c:extLst>
          </c:dPt>
          <c:dPt>
            <c:idx val="5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9-4321-4628-B9A1-10DB1CC3AC91}"/>
              </c:ext>
            </c:extLst>
          </c:dPt>
          <c:dPt>
            <c:idx val="53"/>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6B-4321-4628-B9A1-10DB1CC3AC91}"/>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6D-4321-4628-B9A1-10DB1CC3AC91}"/>
              </c:ext>
            </c:extLst>
          </c:dPt>
          <c:dPt>
            <c:idx val="55"/>
            <c:bubble3D val="0"/>
            <c:spPr>
              <a:solidFill>
                <a:schemeClr val="accent2"/>
              </a:solidFill>
              <a:ln w="19050">
                <a:solidFill>
                  <a:schemeClr val="lt1"/>
                </a:solidFill>
              </a:ln>
              <a:effectLst/>
            </c:spPr>
            <c:extLst>
              <c:ext xmlns:c16="http://schemas.microsoft.com/office/drawing/2014/chart" uri="{C3380CC4-5D6E-409C-BE32-E72D297353CC}">
                <c16:uniqueId val="{0000006F-4321-4628-B9A1-10DB1CC3AC91}"/>
              </c:ext>
            </c:extLst>
          </c:dPt>
          <c:dPt>
            <c:idx val="56"/>
            <c:bubble3D val="0"/>
            <c:spPr>
              <a:solidFill>
                <a:schemeClr val="accent3"/>
              </a:solidFill>
              <a:ln w="19050">
                <a:solidFill>
                  <a:schemeClr val="lt1"/>
                </a:solidFill>
              </a:ln>
              <a:effectLst/>
            </c:spPr>
            <c:extLst>
              <c:ext xmlns:c16="http://schemas.microsoft.com/office/drawing/2014/chart" uri="{C3380CC4-5D6E-409C-BE32-E72D297353CC}">
                <c16:uniqueId val="{00000071-4321-4628-B9A1-10DB1CC3AC91}"/>
              </c:ext>
            </c:extLst>
          </c:dPt>
          <c:dPt>
            <c:idx val="57"/>
            <c:bubble3D val="0"/>
            <c:spPr>
              <a:solidFill>
                <a:schemeClr val="accent4"/>
              </a:solidFill>
              <a:ln w="19050">
                <a:solidFill>
                  <a:schemeClr val="lt1"/>
                </a:solidFill>
              </a:ln>
              <a:effectLst/>
            </c:spPr>
            <c:extLst>
              <c:ext xmlns:c16="http://schemas.microsoft.com/office/drawing/2014/chart" uri="{C3380CC4-5D6E-409C-BE32-E72D297353CC}">
                <c16:uniqueId val="{00000073-4321-4628-B9A1-10DB1CC3AC91}"/>
              </c:ext>
            </c:extLst>
          </c:dPt>
          <c:dPt>
            <c:idx val="58"/>
            <c:bubble3D val="0"/>
            <c:spPr>
              <a:solidFill>
                <a:schemeClr val="accent5"/>
              </a:solidFill>
              <a:ln w="19050">
                <a:solidFill>
                  <a:schemeClr val="lt1"/>
                </a:solidFill>
              </a:ln>
              <a:effectLst/>
            </c:spPr>
            <c:extLst>
              <c:ext xmlns:c16="http://schemas.microsoft.com/office/drawing/2014/chart" uri="{C3380CC4-5D6E-409C-BE32-E72D297353CC}">
                <c16:uniqueId val="{00000075-4321-4628-B9A1-10DB1CC3AC91}"/>
              </c:ext>
            </c:extLst>
          </c:dPt>
          <c:dPt>
            <c:idx val="59"/>
            <c:bubble3D val="0"/>
            <c:spPr>
              <a:solidFill>
                <a:schemeClr val="accent6"/>
              </a:solidFill>
              <a:ln w="19050">
                <a:solidFill>
                  <a:schemeClr val="lt1"/>
                </a:solidFill>
              </a:ln>
              <a:effectLst/>
            </c:spPr>
            <c:extLst>
              <c:ext xmlns:c16="http://schemas.microsoft.com/office/drawing/2014/chart" uri="{C3380CC4-5D6E-409C-BE32-E72D297353CC}">
                <c16:uniqueId val="{00000077-4321-4628-B9A1-10DB1CC3AC91}"/>
              </c:ext>
            </c:extLst>
          </c:dPt>
          <c:dPt>
            <c:idx val="6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9-4321-4628-B9A1-10DB1CC3AC91}"/>
              </c:ext>
            </c:extLst>
          </c:dPt>
          <c:dPt>
            <c:idx val="61"/>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7B-4321-4628-B9A1-10DB1CC3AC91}"/>
              </c:ext>
            </c:extLst>
          </c:dPt>
          <c:dPt>
            <c:idx val="6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7D-4321-4628-B9A1-10DB1CC3AC91}"/>
              </c:ext>
            </c:extLst>
          </c:dPt>
          <c:dPt>
            <c:idx val="63"/>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7F-4321-4628-B9A1-10DB1CC3AC91}"/>
              </c:ext>
            </c:extLst>
          </c:dPt>
          <c:dPt>
            <c:idx val="6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81-4321-4628-B9A1-10DB1CC3AC91}"/>
              </c:ext>
            </c:extLst>
          </c:dPt>
          <c:dPt>
            <c:idx val="6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83-4321-4628-B9A1-10DB1CC3AC91}"/>
              </c:ext>
            </c:extLst>
          </c:dPt>
          <c:dPt>
            <c:idx val="6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85-4321-4628-B9A1-10DB1CC3AC91}"/>
              </c:ext>
            </c:extLst>
          </c:dPt>
          <c:dPt>
            <c:idx val="67"/>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87-4321-4628-B9A1-10DB1CC3AC91}"/>
              </c:ext>
            </c:extLst>
          </c:dPt>
          <c:dPt>
            <c:idx val="6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89-4321-4628-B9A1-10DB1CC3AC91}"/>
              </c:ext>
            </c:extLst>
          </c:dPt>
          <c:dPt>
            <c:idx val="69"/>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8B-4321-4628-B9A1-10DB1CC3AC91}"/>
              </c:ext>
            </c:extLst>
          </c:dPt>
          <c:dPt>
            <c:idx val="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8D-4321-4628-B9A1-10DB1CC3AC91}"/>
              </c:ext>
            </c:extLst>
          </c:dPt>
          <c:dPt>
            <c:idx val="71"/>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8F-4321-4628-B9A1-10DB1CC3AC91}"/>
              </c:ext>
            </c:extLst>
          </c:dPt>
          <c:dPt>
            <c:idx val="7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91-4321-4628-B9A1-10DB1CC3AC91}"/>
              </c:ext>
            </c:extLst>
          </c:dPt>
          <c:dPt>
            <c:idx val="73"/>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93-4321-4628-B9A1-10DB1CC3AC91}"/>
              </c:ext>
            </c:extLst>
          </c:dPt>
          <c:dPt>
            <c:idx val="7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95-4321-4628-B9A1-10DB1CC3AC91}"/>
              </c:ext>
            </c:extLst>
          </c:dPt>
          <c:dPt>
            <c:idx val="75"/>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97-4321-4628-B9A1-10DB1CC3AC91}"/>
              </c:ext>
            </c:extLst>
          </c:dPt>
          <c:dPt>
            <c:idx val="7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99-4321-4628-B9A1-10DB1CC3AC91}"/>
              </c:ext>
            </c:extLst>
          </c:dPt>
          <c:dPt>
            <c:idx val="77"/>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9B-4321-4628-B9A1-10DB1CC3AC91}"/>
              </c:ext>
            </c:extLst>
          </c:dPt>
          <c:dPt>
            <c:idx val="7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9D-4321-4628-B9A1-10DB1CC3AC91}"/>
              </c:ext>
            </c:extLst>
          </c:dPt>
          <c:dPt>
            <c:idx val="7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9F-4321-4628-B9A1-10DB1CC3AC91}"/>
              </c:ext>
            </c:extLst>
          </c:dPt>
          <c:dPt>
            <c:idx val="8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A1-4321-4628-B9A1-10DB1CC3AC91}"/>
              </c:ext>
            </c:extLst>
          </c:dPt>
          <c:dPt>
            <c:idx val="8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A3-4321-4628-B9A1-10DB1CC3AC91}"/>
              </c:ext>
            </c:extLst>
          </c:dPt>
          <c:dPt>
            <c:idx val="8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A5-4321-4628-B9A1-10DB1CC3AC91}"/>
              </c:ext>
            </c:extLst>
          </c:dPt>
          <c:dPt>
            <c:idx val="8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A7-4321-4628-B9A1-10DB1CC3AC91}"/>
              </c:ext>
            </c:extLst>
          </c:dPt>
          <c:dPt>
            <c:idx val="8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A9-4321-4628-B9A1-10DB1CC3AC91}"/>
              </c:ext>
            </c:extLst>
          </c:dPt>
          <c:dPt>
            <c:idx val="8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AB-4321-4628-B9A1-10DB1CC3AC91}"/>
              </c:ext>
            </c:extLst>
          </c:dPt>
          <c:dPt>
            <c:idx val="8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AD-4321-4628-B9A1-10DB1CC3AC91}"/>
              </c:ext>
            </c:extLst>
          </c:dPt>
          <c:dPt>
            <c:idx val="87"/>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AF-4321-4628-B9A1-10DB1CC3AC91}"/>
              </c:ext>
            </c:extLst>
          </c:dPt>
          <c:dPt>
            <c:idx val="8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B1-4321-4628-B9A1-10DB1CC3AC91}"/>
              </c:ext>
            </c:extLst>
          </c:dPt>
          <c:dPt>
            <c:idx val="89"/>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B3-4321-4628-B9A1-10DB1CC3AC91}"/>
              </c:ext>
            </c:extLst>
          </c:dPt>
          <c:dPt>
            <c:idx val="9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B5-4321-4628-B9A1-10DB1CC3AC91}"/>
              </c:ext>
            </c:extLst>
          </c:dPt>
          <c:dPt>
            <c:idx val="91"/>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B7-4321-4628-B9A1-10DB1CC3AC91}"/>
              </c:ext>
            </c:extLst>
          </c:dPt>
          <c:dPt>
            <c:idx val="9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B9-4321-4628-B9A1-10DB1CC3AC91}"/>
              </c:ext>
            </c:extLst>
          </c:dPt>
          <c:dPt>
            <c:idx val="93"/>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BB-4321-4628-B9A1-10DB1CC3AC91}"/>
              </c:ext>
            </c:extLst>
          </c:dPt>
          <c:dPt>
            <c:idx val="9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BD-4321-4628-B9A1-10DB1CC3AC91}"/>
              </c:ext>
            </c:extLst>
          </c:dPt>
          <c:dPt>
            <c:idx val="95"/>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BF-4321-4628-B9A1-10DB1CC3AC91}"/>
              </c:ext>
            </c:extLst>
          </c:dPt>
          <c:dPt>
            <c:idx val="9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C1-4321-4628-B9A1-10DB1CC3AC91}"/>
              </c:ext>
            </c:extLst>
          </c:dPt>
          <c:dPt>
            <c:idx val="97"/>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C3-4321-4628-B9A1-10DB1CC3AC91}"/>
              </c:ext>
            </c:extLst>
          </c:dPt>
          <c:dPt>
            <c:idx val="9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C5-4321-4628-B9A1-10DB1CC3AC91}"/>
              </c:ext>
            </c:extLst>
          </c:dPt>
          <c:dPt>
            <c:idx val="99"/>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C7-4321-4628-B9A1-10DB1CC3AC91}"/>
              </c:ext>
            </c:extLst>
          </c:dPt>
          <c:dPt>
            <c:idx val="100"/>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C9-4321-4628-B9A1-10DB1CC3AC91}"/>
              </c:ext>
            </c:extLst>
          </c:dPt>
          <c:dPt>
            <c:idx val="101"/>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CB-4321-4628-B9A1-10DB1CC3AC91}"/>
              </c:ext>
            </c:extLst>
          </c:dPt>
          <c:dPt>
            <c:idx val="102"/>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CD-4321-4628-B9A1-10DB1CC3AC91}"/>
              </c:ext>
            </c:extLst>
          </c:dPt>
          <c:dPt>
            <c:idx val="103"/>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CF-4321-4628-B9A1-10DB1CC3AC91}"/>
              </c:ext>
            </c:extLst>
          </c:dPt>
          <c:dPt>
            <c:idx val="104"/>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D1-4321-4628-B9A1-10DB1CC3AC91}"/>
              </c:ext>
            </c:extLst>
          </c:dPt>
          <c:dPt>
            <c:idx val="105"/>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D3-4321-4628-B9A1-10DB1CC3AC91}"/>
              </c:ext>
            </c:extLst>
          </c:dPt>
          <c:dPt>
            <c:idx val="106"/>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D5-4321-4628-B9A1-10DB1CC3AC91}"/>
              </c:ext>
            </c:extLst>
          </c:dPt>
          <c:dPt>
            <c:idx val="107"/>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D7-4321-4628-B9A1-10DB1CC3AC91}"/>
              </c:ext>
            </c:extLst>
          </c:dPt>
          <c:dPt>
            <c:idx val="108"/>
            <c:bubble3D val="0"/>
            <c:spPr>
              <a:solidFill>
                <a:schemeClr val="accent1"/>
              </a:solidFill>
              <a:ln w="19050">
                <a:solidFill>
                  <a:schemeClr val="lt1"/>
                </a:solidFill>
              </a:ln>
              <a:effectLst/>
            </c:spPr>
            <c:extLst>
              <c:ext xmlns:c16="http://schemas.microsoft.com/office/drawing/2014/chart" uri="{C3380CC4-5D6E-409C-BE32-E72D297353CC}">
                <c16:uniqueId val="{000000D9-4321-4628-B9A1-10DB1CC3AC91}"/>
              </c:ext>
            </c:extLst>
          </c:dPt>
          <c:dPt>
            <c:idx val="109"/>
            <c:bubble3D val="0"/>
            <c:spPr>
              <a:solidFill>
                <a:schemeClr val="accent2"/>
              </a:solidFill>
              <a:ln w="19050">
                <a:solidFill>
                  <a:schemeClr val="lt1"/>
                </a:solidFill>
              </a:ln>
              <a:effectLst/>
            </c:spPr>
            <c:extLst>
              <c:ext xmlns:c16="http://schemas.microsoft.com/office/drawing/2014/chart" uri="{C3380CC4-5D6E-409C-BE32-E72D297353CC}">
                <c16:uniqueId val="{000000DB-4321-4628-B9A1-10DB1CC3AC91}"/>
              </c:ext>
            </c:extLst>
          </c:dPt>
          <c:dPt>
            <c:idx val="110"/>
            <c:bubble3D val="0"/>
            <c:spPr>
              <a:solidFill>
                <a:schemeClr val="accent3"/>
              </a:solidFill>
              <a:ln w="19050">
                <a:solidFill>
                  <a:schemeClr val="lt1"/>
                </a:solidFill>
              </a:ln>
              <a:effectLst/>
            </c:spPr>
            <c:extLst>
              <c:ext xmlns:c16="http://schemas.microsoft.com/office/drawing/2014/chart" uri="{C3380CC4-5D6E-409C-BE32-E72D297353CC}">
                <c16:uniqueId val="{000000DD-4321-4628-B9A1-10DB1CC3AC91}"/>
              </c:ext>
            </c:extLst>
          </c:dPt>
          <c:dPt>
            <c:idx val="111"/>
            <c:bubble3D val="0"/>
            <c:spPr>
              <a:solidFill>
                <a:schemeClr val="accent4"/>
              </a:solidFill>
              <a:ln w="19050">
                <a:solidFill>
                  <a:schemeClr val="lt1"/>
                </a:solidFill>
              </a:ln>
              <a:effectLst/>
            </c:spPr>
            <c:extLst>
              <c:ext xmlns:c16="http://schemas.microsoft.com/office/drawing/2014/chart" uri="{C3380CC4-5D6E-409C-BE32-E72D297353CC}">
                <c16:uniqueId val="{000000DF-4321-4628-B9A1-10DB1CC3AC91}"/>
              </c:ext>
            </c:extLst>
          </c:dPt>
          <c:dPt>
            <c:idx val="112"/>
            <c:bubble3D val="0"/>
            <c:spPr>
              <a:solidFill>
                <a:schemeClr val="accent5"/>
              </a:solidFill>
              <a:ln w="19050">
                <a:solidFill>
                  <a:schemeClr val="lt1"/>
                </a:solidFill>
              </a:ln>
              <a:effectLst/>
            </c:spPr>
            <c:extLst>
              <c:ext xmlns:c16="http://schemas.microsoft.com/office/drawing/2014/chart" uri="{C3380CC4-5D6E-409C-BE32-E72D297353CC}">
                <c16:uniqueId val="{000000E1-4321-4628-B9A1-10DB1CC3AC91}"/>
              </c:ext>
            </c:extLst>
          </c:dPt>
          <c:dPt>
            <c:idx val="113"/>
            <c:bubble3D val="0"/>
            <c:spPr>
              <a:solidFill>
                <a:schemeClr val="accent6"/>
              </a:solidFill>
              <a:ln w="19050">
                <a:solidFill>
                  <a:schemeClr val="lt1"/>
                </a:solidFill>
              </a:ln>
              <a:effectLst/>
            </c:spPr>
            <c:extLst>
              <c:ext xmlns:c16="http://schemas.microsoft.com/office/drawing/2014/chart" uri="{C3380CC4-5D6E-409C-BE32-E72D297353CC}">
                <c16:uniqueId val="{000000E3-4321-4628-B9A1-10DB1CC3AC91}"/>
              </c:ext>
            </c:extLst>
          </c:dPt>
          <c:dPt>
            <c:idx val="114"/>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E5-4321-4628-B9A1-10DB1CC3AC91}"/>
              </c:ext>
            </c:extLst>
          </c:dPt>
          <c:dPt>
            <c:idx val="115"/>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E7-4321-4628-B9A1-10DB1CC3AC91}"/>
              </c:ext>
            </c:extLst>
          </c:dPt>
          <c:dPt>
            <c:idx val="116"/>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E9-4321-4628-B9A1-10DB1CC3AC91}"/>
              </c:ext>
            </c:extLst>
          </c:dPt>
          <c:dPt>
            <c:idx val="117"/>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EB-4321-4628-B9A1-10DB1CC3AC91}"/>
              </c:ext>
            </c:extLst>
          </c:dPt>
          <c:dPt>
            <c:idx val="118"/>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ED-4321-4628-B9A1-10DB1CC3AC91}"/>
              </c:ext>
            </c:extLst>
          </c:dPt>
          <c:dPt>
            <c:idx val="119"/>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EF-4321-4628-B9A1-10DB1CC3AC91}"/>
              </c:ext>
            </c:extLst>
          </c:dPt>
          <c:dPt>
            <c:idx val="120"/>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F1-4321-4628-B9A1-10DB1CC3AC91}"/>
              </c:ext>
            </c:extLst>
          </c:dPt>
          <c:dPt>
            <c:idx val="121"/>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F3-4321-4628-B9A1-10DB1CC3AC91}"/>
              </c:ext>
            </c:extLst>
          </c:dPt>
          <c:dPt>
            <c:idx val="122"/>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F5-4321-4628-B9A1-10DB1CC3AC91}"/>
              </c:ext>
            </c:extLst>
          </c:dPt>
          <c:dPt>
            <c:idx val="123"/>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F7-4321-4628-B9A1-10DB1CC3AC91}"/>
              </c:ext>
            </c:extLst>
          </c:dPt>
          <c:dPt>
            <c:idx val="124"/>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F9-4321-4628-B9A1-10DB1CC3AC91}"/>
              </c:ext>
            </c:extLst>
          </c:dPt>
          <c:dPt>
            <c:idx val="125"/>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FB-4321-4628-B9A1-10DB1CC3AC91}"/>
              </c:ext>
            </c:extLst>
          </c:dPt>
          <c:dPt>
            <c:idx val="126"/>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FD-4321-4628-B9A1-10DB1CC3AC91}"/>
              </c:ext>
            </c:extLst>
          </c:dPt>
          <c:dPt>
            <c:idx val="127"/>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FF-4321-4628-B9A1-10DB1CC3AC91}"/>
              </c:ext>
            </c:extLst>
          </c:dPt>
          <c:dPt>
            <c:idx val="128"/>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01-4321-4628-B9A1-10DB1CC3AC91}"/>
              </c:ext>
            </c:extLst>
          </c:dPt>
          <c:dPt>
            <c:idx val="129"/>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03-4321-4628-B9A1-10DB1CC3AC91}"/>
              </c:ext>
            </c:extLst>
          </c:dPt>
          <c:dPt>
            <c:idx val="130"/>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05-4321-4628-B9A1-10DB1CC3AC91}"/>
              </c:ext>
            </c:extLst>
          </c:dPt>
          <c:dPt>
            <c:idx val="13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07-4321-4628-B9A1-10DB1CC3AC91}"/>
              </c:ext>
            </c:extLst>
          </c:dPt>
          <c:dPt>
            <c:idx val="13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09-4321-4628-B9A1-10DB1CC3AC91}"/>
              </c:ext>
            </c:extLst>
          </c:dPt>
          <c:dPt>
            <c:idx val="133"/>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0B-4321-4628-B9A1-10DB1CC3AC91}"/>
              </c:ext>
            </c:extLst>
          </c:dPt>
          <c:dPt>
            <c:idx val="134"/>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0D-4321-4628-B9A1-10DB1CC3AC91}"/>
              </c:ext>
            </c:extLst>
          </c:dPt>
          <c:dPt>
            <c:idx val="135"/>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0F-4321-4628-B9A1-10DB1CC3AC91}"/>
              </c:ext>
            </c:extLst>
          </c:dPt>
          <c:dPt>
            <c:idx val="136"/>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11-4321-4628-B9A1-10DB1CC3AC91}"/>
              </c:ext>
            </c:extLst>
          </c:dPt>
          <c:dPt>
            <c:idx val="137"/>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13-4321-4628-B9A1-10DB1CC3AC91}"/>
              </c:ext>
            </c:extLst>
          </c:dPt>
          <c:dPt>
            <c:idx val="138"/>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15-4321-4628-B9A1-10DB1CC3AC91}"/>
              </c:ext>
            </c:extLst>
          </c:dPt>
          <c:dPt>
            <c:idx val="139"/>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17-4321-4628-B9A1-10DB1CC3AC91}"/>
              </c:ext>
            </c:extLst>
          </c:dPt>
          <c:dPt>
            <c:idx val="140"/>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19-4321-4628-B9A1-10DB1CC3AC91}"/>
              </c:ext>
            </c:extLst>
          </c:dPt>
          <c:dPt>
            <c:idx val="141"/>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1B-4321-4628-B9A1-10DB1CC3AC91}"/>
              </c:ext>
            </c:extLst>
          </c:dPt>
          <c:dPt>
            <c:idx val="14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1D-4321-4628-B9A1-10DB1CC3AC91}"/>
              </c:ext>
            </c:extLst>
          </c:dPt>
          <c:dPt>
            <c:idx val="143"/>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1F-4321-4628-B9A1-10DB1CC3AC91}"/>
              </c:ext>
            </c:extLst>
          </c:dPt>
          <c:dPt>
            <c:idx val="144"/>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21-4321-4628-B9A1-10DB1CC3AC91}"/>
              </c:ext>
            </c:extLst>
          </c:dPt>
          <c:dPt>
            <c:idx val="145"/>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23-4321-4628-B9A1-10DB1CC3AC91}"/>
              </c:ext>
            </c:extLst>
          </c:dPt>
          <c:dPt>
            <c:idx val="146"/>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25-4321-4628-B9A1-10DB1CC3AC91}"/>
              </c:ext>
            </c:extLst>
          </c:dPt>
          <c:dPt>
            <c:idx val="147"/>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27-4321-4628-B9A1-10DB1CC3AC91}"/>
              </c:ext>
            </c:extLst>
          </c:dPt>
          <c:dPt>
            <c:idx val="148"/>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29-4321-4628-B9A1-10DB1CC3AC91}"/>
              </c:ext>
            </c:extLst>
          </c:dPt>
          <c:dPt>
            <c:idx val="149"/>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2B-4321-4628-B9A1-10DB1CC3AC91}"/>
              </c:ext>
            </c:extLst>
          </c:dPt>
          <c:dPt>
            <c:idx val="150"/>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2D-4321-4628-B9A1-10DB1CC3AC91}"/>
              </c:ext>
            </c:extLst>
          </c:dPt>
          <c:dPt>
            <c:idx val="151"/>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2F-4321-4628-B9A1-10DB1CC3AC91}"/>
              </c:ext>
            </c:extLst>
          </c:dPt>
          <c:dPt>
            <c:idx val="152"/>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31-4321-4628-B9A1-10DB1CC3AC91}"/>
              </c:ext>
            </c:extLst>
          </c:dPt>
          <c:dPt>
            <c:idx val="153"/>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33-4321-4628-B9A1-10DB1CC3AC91}"/>
              </c:ext>
            </c:extLst>
          </c:dPt>
          <c:dPt>
            <c:idx val="154"/>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35-4321-4628-B9A1-10DB1CC3AC91}"/>
              </c:ext>
            </c:extLst>
          </c:dPt>
          <c:dPt>
            <c:idx val="155"/>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37-4321-4628-B9A1-10DB1CC3AC91}"/>
              </c:ext>
            </c:extLst>
          </c:dPt>
          <c:dPt>
            <c:idx val="156"/>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39-4321-4628-B9A1-10DB1CC3AC91}"/>
              </c:ext>
            </c:extLst>
          </c:dPt>
          <c:dPt>
            <c:idx val="157"/>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3B-4321-4628-B9A1-10DB1CC3AC91}"/>
              </c:ext>
            </c:extLst>
          </c:dPt>
          <c:dPt>
            <c:idx val="158"/>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3D-4321-4628-B9A1-10DB1CC3AC91}"/>
              </c:ext>
            </c:extLst>
          </c:dPt>
          <c:dPt>
            <c:idx val="159"/>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3F-4321-4628-B9A1-10DB1CC3AC91}"/>
              </c:ext>
            </c:extLst>
          </c:dPt>
          <c:dPt>
            <c:idx val="160"/>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41-4321-4628-B9A1-10DB1CC3AC91}"/>
              </c:ext>
            </c:extLst>
          </c:dPt>
          <c:dPt>
            <c:idx val="161"/>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43-4321-4628-B9A1-10DB1CC3AC91}"/>
              </c:ext>
            </c:extLst>
          </c:dPt>
          <c:dPt>
            <c:idx val="162"/>
            <c:bubble3D val="0"/>
            <c:spPr>
              <a:solidFill>
                <a:schemeClr val="accent1"/>
              </a:solidFill>
              <a:ln w="19050">
                <a:solidFill>
                  <a:schemeClr val="lt1"/>
                </a:solidFill>
              </a:ln>
              <a:effectLst/>
            </c:spPr>
            <c:extLst>
              <c:ext xmlns:c16="http://schemas.microsoft.com/office/drawing/2014/chart" uri="{C3380CC4-5D6E-409C-BE32-E72D297353CC}">
                <c16:uniqueId val="{00000145-4321-4628-B9A1-10DB1CC3AC91}"/>
              </c:ext>
            </c:extLst>
          </c:dPt>
          <c:dPt>
            <c:idx val="163"/>
            <c:bubble3D val="0"/>
            <c:spPr>
              <a:solidFill>
                <a:schemeClr val="accent2"/>
              </a:solidFill>
              <a:ln w="19050">
                <a:solidFill>
                  <a:schemeClr val="lt1"/>
                </a:solidFill>
              </a:ln>
              <a:effectLst/>
            </c:spPr>
            <c:extLst>
              <c:ext xmlns:c16="http://schemas.microsoft.com/office/drawing/2014/chart" uri="{C3380CC4-5D6E-409C-BE32-E72D297353CC}">
                <c16:uniqueId val="{00000147-4321-4628-B9A1-10DB1CC3AC91}"/>
              </c:ext>
            </c:extLst>
          </c:dPt>
          <c:dPt>
            <c:idx val="164"/>
            <c:bubble3D val="0"/>
            <c:spPr>
              <a:solidFill>
                <a:schemeClr val="accent3"/>
              </a:solidFill>
              <a:ln w="19050">
                <a:solidFill>
                  <a:schemeClr val="lt1"/>
                </a:solidFill>
              </a:ln>
              <a:effectLst/>
            </c:spPr>
            <c:extLst>
              <c:ext xmlns:c16="http://schemas.microsoft.com/office/drawing/2014/chart" uri="{C3380CC4-5D6E-409C-BE32-E72D297353CC}">
                <c16:uniqueId val="{00000149-4321-4628-B9A1-10DB1CC3AC91}"/>
              </c:ext>
            </c:extLst>
          </c:dPt>
          <c:dPt>
            <c:idx val="165"/>
            <c:bubble3D val="0"/>
            <c:spPr>
              <a:solidFill>
                <a:schemeClr val="accent4"/>
              </a:solidFill>
              <a:ln w="19050">
                <a:solidFill>
                  <a:schemeClr val="lt1"/>
                </a:solidFill>
              </a:ln>
              <a:effectLst/>
            </c:spPr>
            <c:extLst>
              <c:ext xmlns:c16="http://schemas.microsoft.com/office/drawing/2014/chart" uri="{C3380CC4-5D6E-409C-BE32-E72D297353CC}">
                <c16:uniqueId val="{0000014B-4321-4628-B9A1-10DB1CC3AC91}"/>
              </c:ext>
            </c:extLst>
          </c:dPt>
          <c:dPt>
            <c:idx val="166"/>
            <c:bubble3D val="0"/>
            <c:spPr>
              <a:solidFill>
                <a:schemeClr val="accent5"/>
              </a:solidFill>
              <a:ln w="19050">
                <a:solidFill>
                  <a:schemeClr val="lt1"/>
                </a:solidFill>
              </a:ln>
              <a:effectLst/>
            </c:spPr>
            <c:extLst>
              <c:ext xmlns:c16="http://schemas.microsoft.com/office/drawing/2014/chart" uri="{C3380CC4-5D6E-409C-BE32-E72D297353CC}">
                <c16:uniqueId val="{0000014D-4321-4628-B9A1-10DB1CC3AC91}"/>
              </c:ext>
            </c:extLst>
          </c:dPt>
          <c:dPt>
            <c:idx val="167"/>
            <c:bubble3D val="0"/>
            <c:spPr>
              <a:solidFill>
                <a:schemeClr val="accent6"/>
              </a:solidFill>
              <a:ln w="19050">
                <a:solidFill>
                  <a:schemeClr val="lt1"/>
                </a:solidFill>
              </a:ln>
              <a:effectLst/>
            </c:spPr>
            <c:extLst>
              <c:ext xmlns:c16="http://schemas.microsoft.com/office/drawing/2014/chart" uri="{C3380CC4-5D6E-409C-BE32-E72D297353CC}">
                <c16:uniqueId val="{0000014F-4321-4628-B9A1-10DB1CC3AC91}"/>
              </c:ext>
            </c:extLst>
          </c:dPt>
          <c:dPt>
            <c:idx val="168"/>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51-4321-4628-B9A1-10DB1CC3AC91}"/>
              </c:ext>
            </c:extLst>
          </c:dPt>
          <c:dPt>
            <c:idx val="169"/>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53-4321-4628-B9A1-10DB1CC3AC91}"/>
              </c:ext>
            </c:extLst>
          </c:dPt>
          <c:dPt>
            <c:idx val="170"/>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55-4321-4628-B9A1-10DB1CC3AC91}"/>
              </c:ext>
            </c:extLst>
          </c:dPt>
          <c:dPt>
            <c:idx val="171"/>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57-4321-4628-B9A1-10DB1CC3AC91}"/>
              </c:ext>
            </c:extLst>
          </c:dPt>
          <c:dPt>
            <c:idx val="172"/>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59-4321-4628-B9A1-10DB1CC3AC91}"/>
              </c:ext>
            </c:extLst>
          </c:dPt>
          <c:dPt>
            <c:idx val="173"/>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5B-4321-4628-B9A1-10DB1CC3AC91}"/>
              </c:ext>
            </c:extLst>
          </c:dPt>
          <c:dPt>
            <c:idx val="174"/>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5D-4321-4628-B9A1-10DB1CC3AC91}"/>
              </c:ext>
            </c:extLst>
          </c:dPt>
          <c:dPt>
            <c:idx val="175"/>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5F-4321-4628-B9A1-10DB1CC3AC91}"/>
              </c:ext>
            </c:extLst>
          </c:dPt>
          <c:dPt>
            <c:idx val="176"/>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61-4321-4628-B9A1-10DB1CC3AC91}"/>
              </c:ext>
            </c:extLst>
          </c:dPt>
          <c:dPt>
            <c:idx val="17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63-4321-4628-B9A1-10DB1CC3AC91}"/>
              </c:ext>
            </c:extLst>
          </c:dPt>
          <c:dPt>
            <c:idx val="178"/>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65-4321-4628-B9A1-10DB1CC3AC91}"/>
              </c:ext>
            </c:extLst>
          </c:dPt>
          <c:dPt>
            <c:idx val="179"/>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67-4321-4628-B9A1-10DB1CC3AC91}"/>
              </c:ext>
            </c:extLst>
          </c:dPt>
          <c:dPt>
            <c:idx val="180"/>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69-4321-4628-B9A1-10DB1CC3AC91}"/>
              </c:ext>
            </c:extLst>
          </c:dPt>
          <c:dPt>
            <c:idx val="181"/>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6B-4321-4628-B9A1-10DB1CC3AC91}"/>
              </c:ext>
            </c:extLst>
          </c:dPt>
          <c:dPt>
            <c:idx val="182"/>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6D-4321-4628-B9A1-10DB1CC3AC91}"/>
              </c:ext>
            </c:extLst>
          </c:dPt>
          <c:dPt>
            <c:idx val="183"/>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6F-4321-4628-B9A1-10DB1CC3AC91}"/>
              </c:ext>
            </c:extLst>
          </c:dPt>
          <c:dPt>
            <c:idx val="184"/>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71-4321-4628-B9A1-10DB1CC3AC91}"/>
              </c:ext>
            </c:extLst>
          </c:dPt>
          <c:dPt>
            <c:idx val="185"/>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73-4321-4628-B9A1-10DB1CC3AC91}"/>
              </c:ext>
            </c:extLst>
          </c:dPt>
          <c:dPt>
            <c:idx val="18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75-4321-4628-B9A1-10DB1CC3AC91}"/>
              </c:ext>
            </c:extLst>
          </c:dPt>
          <c:dPt>
            <c:idx val="18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77-4321-4628-B9A1-10DB1CC3AC91}"/>
              </c:ext>
            </c:extLst>
          </c:dPt>
          <c:dPt>
            <c:idx val="188"/>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79-4321-4628-B9A1-10DB1CC3AC91}"/>
              </c:ext>
            </c:extLst>
          </c:dPt>
          <c:dPt>
            <c:idx val="189"/>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7B-4321-4628-B9A1-10DB1CC3AC91}"/>
              </c:ext>
            </c:extLst>
          </c:dPt>
          <c:dPt>
            <c:idx val="19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7D-4321-4628-B9A1-10DB1CC3AC91}"/>
              </c:ext>
            </c:extLst>
          </c:dPt>
          <c:dPt>
            <c:idx val="19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7F-4321-4628-B9A1-10DB1CC3AC91}"/>
              </c:ext>
            </c:extLst>
          </c:dPt>
          <c:dPt>
            <c:idx val="192"/>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81-4321-4628-B9A1-10DB1CC3AC91}"/>
              </c:ext>
            </c:extLst>
          </c:dPt>
          <c:dPt>
            <c:idx val="193"/>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83-4321-4628-B9A1-10DB1CC3AC91}"/>
              </c:ext>
            </c:extLst>
          </c:dPt>
          <c:dPt>
            <c:idx val="194"/>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85-4321-4628-B9A1-10DB1CC3AC91}"/>
              </c:ext>
            </c:extLst>
          </c:dPt>
          <c:dPt>
            <c:idx val="195"/>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87-4321-4628-B9A1-10DB1CC3AC91}"/>
              </c:ext>
            </c:extLst>
          </c:dPt>
          <c:dPt>
            <c:idx val="196"/>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89-4321-4628-B9A1-10DB1CC3AC91}"/>
              </c:ext>
            </c:extLst>
          </c:dPt>
          <c:dPt>
            <c:idx val="197"/>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8B-4321-4628-B9A1-10DB1CC3AC91}"/>
              </c:ext>
            </c:extLst>
          </c:dPt>
          <c:dPt>
            <c:idx val="198"/>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8D-4321-4628-B9A1-10DB1CC3AC91}"/>
              </c:ext>
            </c:extLst>
          </c:dPt>
          <c:dPt>
            <c:idx val="199"/>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8F-4321-4628-B9A1-10DB1CC3AC91}"/>
              </c:ext>
            </c:extLst>
          </c:dPt>
          <c:dPt>
            <c:idx val="200"/>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91-4321-4628-B9A1-10DB1CC3AC91}"/>
              </c:ext>
            </c:extLst>
          </c:dPt>
          <c:dPt>
            <c:idx val="201"/>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93-4321-4628-B9A1-10DB1CC3AC91}"/>
              </c:ext>
            </c:extLst>
          </c:dPt>
          <c:dPt>
            <c:idx val="202"/>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95-4321-4628-B9A1-10DB1CC3AC91}"/>
              </c:ext>
            </c:extLst>
          </c:dPt>
          <c:dPt>
            <c:idx val="203"/>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97-4321-4628-B9A1-10DB1CC3AC91}"/>
              </c:ext>
            </c:extLst>
          </c:dPt>
          <c:dPt>
            <c:idx val="204"/>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99-4321-4628-B9A1-10DB1CC3AC91}"/>
              </c:ext>
            </c:extLst>
          </c:dPt>
          <c:dPt>
            <c:idx val="205"/>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9B-4321-4628-B9A1-10DB1CC3AC91}"/>
              </c:ext>
            </c:extLst>
          </c:dPt>
          <c:dPt>
            <c:idx val="206"/>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9D-4321-4628-B9A1-10DB1CC3AC91}"/>
              </c:ext>
            </c:extLst>
          </c:dPt>
          <c:dPt>
            <c:idx val="207"/>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9F-4321-4628-B9A1-10DB1CC3AC91}"/>
              </c:ext>
            </c:extLst>
          </c:dPt>
          <c:dPt>
            <c:idx val="208"/>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A1-4321-4628-B9A1-10DB1CC3AC91}"/>
              </c:ext>
            </c:extLst>
          </c:dPt>
          <c:dPt>
            <c:idx val="209"/>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A3-4321-4628-B9A1-10DB1CC3AC91}"/>
              </c:ext>
            </c:extLst>
          </c:dPt>
          <c:dPt>
            <c:idx val="210"/>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A5-4321-4628-B9A1-10DB1CC3AC91}"/>
              </c:ext>
            </c:extLst>
          </c:dPt>
          <c:dPt>
            <c:idx val="211"/>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A7-4321-4628-B9A1-10DB1CC3AC91}"/>
              </c:ext>
            </c:extLst>
          </c:dPt>
          <c:dPt>
            <c:idx val="212"/>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A9-4321-4628-B9A1-10DB1CC3AC91}"/>
              </c:ext>
            </c:extLst>
          </c:dPt>
          <c:dPt>
            <c:idx val="213"/>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AB-4321-4628-B9A1-10DB1CC3AC91}"/>
              </c:ext>
            </c:extLst>
          </c:dPt>
          <c:dPt>
            <c:idx val="214"/>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AD-4321-4628-B9A1-10DB1CC3AC91}"/>
              </c:ext>
            </c:extLst>
          </c:dPt>
          <c:dPt>
            <c:idx val="215"/>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AF-4321-4628-B9A1-10DB1CC3AC91}"/>
              </c:ext>
            </c:extLst>
          </c:dPt>
          <c:dPt>
            <c:idx val="216"/>
            <c:bubble3D val="0"/>
            <c:spPr>
              <a:solidFill>
                <a:schemeClr val="accent1"/>
              </a:solidFill>
              <a:ln w="19050">
                <a:solidFill>
                  <a:schemeClr val="lt1"/>
                </a:solidFill>
              </a:ln>
              <a:effectLst/>
            </c:spPr>
            <c:extLst>
              <c:ext xmlns:c16="http://schemas.microsoft.com/office/drawing/2014/chart" uri="{C3380CC4-5D6E-409C-BE32-E72D297353CC}">
                <c16:uniqueId val="{000001B1-4321-4628-B9A1-10DB1CC3AC91}"/>
              </c:ext>
            </c:extLst>
          </c:dPt>
          <c:dPt>
            <c:idx val="217"/>
            <c:bubble3D val="0"/>
            <c:spPr>
              <a:solidFill>
                <a:schemeClr val="accent2"/>
              </a:solidFill>
              <a:ln w="19050">
                <a:solidFill>
                  <a:schemeClr val="lt1"/>
                </a:solidFill>
              </a:ln>
              <a:effectLst/>
            </c:spPr>
            <c:extLst>
              <c:ext xmlns:c16="http://schemas.microsoft.com/office/drawing/2014/chart" uri="{C3380CC4-5D6E-409C-BE32-E72D297353CC}">
                <c16:uniqueId val="{000001B3-4321-4628-B9A1-10DB1CC3AC91}"/>
              </c:ext>
            </c:extLst>
          </c:dPt>
          <c:dPt>
            <c:idx val="218"/>
            <c:bubble3D val="0"/>
            <c:spPr>
              <a:solidFill>
                <a:schemeClr val="accent3"/>
              </a:solidFill>
              <a:ln w="19050">
                <a:solidFill>
                  <a:schemeClr val="lt1"/>
                </a:solidFill>
              </a:ln>
              <a:effectLst/>
            </c:spPr>
            <c:extLst>
              <c:ext xmlns:c16="http://schemas.microsoft.com/office/drawing/2014/chart" uri="{C3380CC4-5D6E-409C-BE32-E72D297353CC}">
                <c16:uniqueId val="{000001B5-4321-4628-B9A1-10DB1CC3AC91}"/>
              </c:ext>
            </c:extLst>
          </c:dPt>
          <c:dPt>
            <c:idx val="219"/>
            <c:bubble3D val="0"/>
            <c:spPr>
              <a:solidFill>
                <a:schemeClr val="accent4"/>
              </a:solidFill>
              <a:ln w="19050">
                <a:solidFill>
                  <a:schemeClr val="lt1"/>
                </a:solidFill>
              </a:ln>
              <a:effectLst/>
            </c:spPr>
            <c:extLst>
              <c:ext xmlns:c16="http://schemas.microsoft.com/office/drawing/2014/chart" uri="{C3380CC4-5D6E-409C-BE32-E72D297353CC}">
                <c16:uniqueId val="{000001B7-4321-4628-B9A1-10DB1CC3AC91}"/>
              </c:ext>
            </c:extLst>
          </c:dPt>
          <c:dPt>
            <c:idx val="220"/>
            <c:bubble3D val="0"/>
            <c:spPr>
              <a:solidFill>
                <a:schemeClr val="accent5"/>
              </a:solidFill>
              <a:ln w="19050">
                <a:solidFill>
                  <a:schemeClr val="lt1"/>
                </a:solidFill>
              </a:ln>
              <a:effectLst/>
            </c:spPr>
            <c:extLst>
              <c:ext xmlns:c16="http://schemas.microsoft.com/office/drawing/2014/chart" uri="{C3380CC4-5D6E-409C-BE32-E72D297353CC}">
                <c16:uniqueId val="{000001B9-4321-4628-B9A1-10DB1CC3AC91}"/>
              </c:ext>
            </c:extLst>
          </c:dPt>
          <c:dPt>
            <c:idx val="221"/>
            <c:bubble3D val="0"/>
            <c:spPr>
              <a:solidFill>
                <a:schemeClr val="accent6"/>
              </a:solidFill>
              <a:ln w="19050">
                <a:solidFill>
                  <a:schemeClr val="lt1"/>
                </a:solidFill>
              </a:ln>
              <a:effectLst/>
            </c:spPr>
            <c:extLst>
              <c:ext xmlns:c16="http://schemas.microsoft.com/office/drawing/2014/chart" uri="{C3380CC4-5D6E-409C-BE32-E72D297353CC}">
                <c16:uniqueId val="{000001BB-4321-4628-B9A1-10DB1CC3AC91}"/>
              </c:ext>
            </c:extLst>
          </c:dPt>
          <c:dPt>
            <c:idx val="222"/>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BD-4321-4628-B9A1-10DB1CC3AC91}"/>
              </c:ext>
            </c:extLst>
          </c:dPt>
          <c:dPt>
            <c:idx val="22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BF-4321-4628-B9A1-10DB1CC3AC91}"/>
              </c:ext>
            </c:extLst>
          </c:dPt>
          <c:dPt>
            <c:idx val="22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C1-4321-4628-B9A1-10DB1CC3AC91}"/>
              </c:ext>
            </c:extLst>
          </c:dPt>
          <c:dPt>
            <c:idx val="225"/>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C3-4321-4628-B9A1-10DB1CC3AC91}"/>
              </c:ext>
            </c:extLst>
          </c:dPt>
          <c:dPt>
            <c:idx val="226"/>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C5-4321-4628-B9A1-10DB1CC3AC91}"/>
              </c:ext>
            </c:extLst>
          </c:dPt>
          <c:dPt>
            <c:idx val="227"/>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C7-4321-4628-B9A1-10DB1CC3AC91}"/>
              </c:ext>
            </c:extLst>
          </c:dPt>
          <c:dPt>
            <c:idx val="228"/>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C9-4321-4628-B9A1-10DB1CC3AC91}"/>
              </c:ext>
            </c:extLst>
          </c:dPt>
          <c:dPt>
            <c:idx val="229"/>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CB-4321-4628-B9A1-10DB1CC3AC91}"/>
              </c:ext>
            </c:extLst>
          </c:dPt>
          <c:dPt>
            <c:idx val="230"/>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CD-4321-4628-B9A1-10DB1CC3AC91}"/>
              </c:ext>
            </c:extLst>
          </c:dPt>
          <c:dPt>
            <c:idx val="231"/>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CF-4321-4628-B9A1-10DB1CC3AC91}"/>
              </c:ext>
            </c:extLst>
          </c:dPt>
          <c:dPt>
            <c:idx val="232"/>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D1-4321-4628-B9A1-10DB1CC3AC91}"/>
              </c:ext>
            </c:extLst>
          </c:dPt>
          <c:dPt>
            <c:idx val="233"/>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D3-4321-4628-B9A1-10DB1CC3AC91}"/>
              </c:ext>
            </c:extLst>
          </c:dPt>
          <c:dPt>
            <c:idx val="234"/>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D5-4321-4628-B9A1-10DB1CC3AC91}"/>
              </c:ext>
            </c:extLst>
          </c:dPt>
          <c:dPt>
            <c:idx val="235"/>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D7-4321-4628-B9A1-10DB1CC3AC91}"/>
              </c:ext>
            </c:extLst>
          </c:dPt>
          <c:dPt>
            <c:idx val="236"/>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D9-4321-4628-B9A1-10DB1CC3AC91}"/>
              </c:ext>
            </c:extLst>
          </c:dPt>
          <c:dPt>
            <c:idx val="237"/>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DB-4321-4628-B9A1-10DB1CC3AC91}"/>
              </c:ext>
            </c:extLst>
          </c:dPt>
          <c:dPt>
            <c:idx val="238"/>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DD-4321-4628-B9A1-10DB1CC3AC91}"/>
              </c:ext>
            </c:extLst>
          </c:dPt>
          <c:dPt>
            <c:idx val="239"/>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DF-4321-4628-B9A1-10DB1CC3AC91}"/>
              </c:ext>
            </c:extLst>
          </c:dPt>
          <c:dPt>
            <c:idx val="24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E1-4321-4628-B9A1-10DB1CC3AC91}"/>
              </c:ext>
            </c:extLst>
          </c:dPt>
          <c:dPt>
            <c:idx val="24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E3-4321-4628-B9A1-10DB1CC3AC91}"/>
              </c:ext>
            </c:extLst>
          </c:dPt>
          <c:dPt>
            <c:idx val="24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E5-4321-4628-B9A1-10DB1CC3AC91}"/>
              </c:ext>
            </c:extLst>
          </c:dPt>
          <c:dPt>
            <c:idx val="24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E7-4321-4628-B9A1-10DB1CC3AC91}"/>
              </c:ext>
            </c:extLst>
          </c:dPt>
          <c:dPt>
            <c:idx val="24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E9-4321-4628-B9A1-10DB1CC3AC91}"/>
              </c:ext>
            </c:extLst>
          </c:dPt>
          <c:dPt>
            <c:idx val="245"/>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EB-4321-4628-B9A1-10DB1CC3AC91}"/>
              </c:ext>
            </c:extLst>
          </c:dPt>
          <c:dPt>
            <c:idx val="246"/>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ED-4321-4628-B9A1-10DB1CC3AC91}"/>
              </c:ext>
            </c:extLst>
          </c:dPt>
          <c:dPt>
            <c:idx val="247"/>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EF-4321-4628-B9A1-10DB1CC3AC91}"/>
              </c:ext>
            </c:extLst>
          </c:dPt>
          <c:dPt>
            <c:idx val="248"/>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F1-4321-4628-B9A1-10DB1CC3AC91}"/>
              </c:ext>
            </c:extLst>
          </c:dPt>
          <c:dPt>
            <c:idx val="249"/>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F3-4321-4628-B9A1-10DB1CC3AC91}"/>
              </c:ext>
            </c:extLst>
          </c:dPt>
          <c:dPt>
            <c:idx val="25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F5-4321-4628-B9A1-10DB1CC3AC91}"/>
              </c:ext>
            </c:extLst>
          </c:dPt>
          <c:dPt>
            <c:idx val="251"/>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F7-4321-4628-B9A1-10DB1CC3AC91}"/>
              </c:ext>
            </c:extLst>
          </c:dPt>
          <c:dPt>
            <c:idx val="252"/>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F9-4321-4628-B9A1-10DB1CC3AC91}"/>
              </c:ext>
            </c:extLst>
          </c:dPt>
          <c:dPt>
            <c:idx val="253"/>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FB-4321-4628-B9A1-10DB1CC3AC91}"/>
              </c:ext>
            </c:extLst>
          </c:dPt>
          <c:dPt>
            <c:idx val="254"/>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FD-4321-4628-B9A1-10DB1CC3AC91}"/>
              </c:ext>
            </c:extLst>
          </c:dPt>
          <c:dPt>
            <c:idx val="255"/>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FF-4321-4628-B9A1-10DB1CC3AC91}"/>
              </c:ext>
            </c:extLst>
          </c:dPt>
          <c:dPt>
            <c:idx val="256"/>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201-4321-4628-B9A1-10DB1CC3AC91}"/>
              </c:ext>
            </c:extLst>
          </c:dPt>
          <c:dPt>
            <c:idx val="257"/>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203-4321-4628-B9A1-10DB1CC3AC91}"/>
              </c:ext>
            </c:extLst>
          </c:dPt>
          <c:dPt>
            <c:idx val="258"/>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205-4321-4628-B9A1-10DB1CC3AC91}"/>
              </c:ext>
            </c:extLst>
          </c:dPt>
          <c:dPt>
            <c:idx val="259"/>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207-4321-4628-B9A1-10DB1CC3AC91}"/>
              </c:ext>
            </c:extLst>
          </c:dPt>
          <c:dPt>
            <c:idx val="260"/>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209-4321-4628-B9A1-10DB1CC3AC91}"/>
              </c:ext>
            </c:extLst>
          </c:dPt>
          <c:dPt>
            <c:idx val="261"/>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20B-4321-4628-B9A1-10DB1CC3AC91}"/>
              </c:ext>
            </c:extLst>
          </c:dPt>
          <c:dPt>
            <c:idx val="262"/>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20D-4321-4628-B9A1-10DB1CC3AC91}"/>
              </c:ext>
            </c:extLst>
          </c:dPt>
          <c:dPt>
            <c:idx val="263"/>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20F-4321-4628-B9A1-10DB1CC3AC91}"/>
              </c:ext>
            </c:extLst>
          </c:dPt>
          <c:dPt>
            <c:idx val="264"/>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211-4321-4628-B9A1-10DB1CC3AC91}"/>
              </c:ext>
            </c:extLst>
          </c:dPt>
          <c:val>
            <c:numRef>
              <c:f>House!$C$34:$C$298</c:f>
              <c:numCache>
                <c:formatCode>0.00%</c:formatCode>
                <c:ptCount val="265"/>
              </c:numCache>
            </c:numRef>
          </c:val>
          <c:extLst>
            <c:ext xmlns:c16="http://schemas.microsoft.com/office/drawing/2014/chart" uri="{C3380CC4-5D6E-409C-BE32-E72D297353CC}">
              <c16:uniqueId val="{00000000-721A-4E9C-B53C-4E90040C221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House!$F$34:$F$298</c:f>
              <c:strCache>
                <c:ptCount val="265"/>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C98-4D40-B141-EE554090735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C98-4D40-B141-EE554090735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C98-4D40-B141-EE554090735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B-5C98-4D40-B141-EE554090735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D-5C98-4D40-B141-EE554090735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F-5C98-4D40-B141-EE554090735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11-5C98-4D40-B141-EE5540907357}"/>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13-5C98-4D40-B141-EE5540907357}"/>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5-5C98-4D40-B141-EE5540907357}"/>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7-5C98-4D40-B141-EE5540907357}"/>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9-5C98-4D40-B141-EE5540907357}"/>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B-5C98-4D40-B141-EE5540907357}"/>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D-5C98-4D40-B141-EE5540907357}"/>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F-5C98-4D40-B141-EE5540907357}"/>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21-5C98-4D40-B141-EE5540907357}"/>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23-5C98-4D40-B141-EE5540907357}"/>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5-5C98-4D40-B141-EE5540907357}"/>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7-5C98-4D40-B141-EE5540907357}"/>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9-5C98-4D40-B141-EE5540907357}"/>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B-5C98-4D40-B141-EE5540907357}"/>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D-5C98-4D40-B141-EE5540907357}"/>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F-5C98-4D40-B141-EE5540907357}"/>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31-5C98-4D40-B141-EE5540907357}"/>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33-5C98-4D40-B141-EE5540907357}"/>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5-5C98-4D40-B141-EE5540907357}"/>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7-5C98-4D40-B141-EE5540907357}"/>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9-5C98-4D40-B141-EE5540907357}"/>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B-5C98-4D40-B141-EE5540907357}"/>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D-5C98-4D40-B141-EE5540907357}"/>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F-5C98-4D40-B141-EE5540907357}"/>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41-5C98-4D40-B141-EE5540907357}"/>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43-5C98-4D40-B141-EE5540907357}"/>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5-5C98-4D40-B141-EE5540907357}"/>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7-5C98-4D40-B141-EE5540907357}"/>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9-5C98-4D40-B141-EE5540907357}"/>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B-5C98-4D40-B141-EE5540907357}"/>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D-5C98-4D40-B141-EE5540907357}"/>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F-5C98-4D40-B141-EE5540907357}"/>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51-5C98-4D40-B141-EE5540907357}"/>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53-5C98-4D40-B141-EE5540907357}"/>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5-5C98-4D40-B141-EE5540907357}"/>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7-5C98-4D40-B141-EE5540907357}"/>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9-5C98-4D40-B141-EE5540907357}"/>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5B-5C98-4D40-B141-EE5540907357}"/>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5D-5C98-4D40-B141-EE5540907357}"/>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5F-5C98-4D40-B141-EE5540907357}"/>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61-5C98-4D40-B141-EE5540907357}"/>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63-5C98-4D40-B141-EE5540907357}"/>
              </c:ext>
            </c:extLst>
          </c:dPt>
          <c:dPt>
            <c:idx val="4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5-5C98-4D40-B141-EE5540907357}"/>
              </c:ext>
            </c:extLst>
          </c:dPt>
          <c:dPt>
            <c:idx val="49"/>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67-5C98-4D40-B141-EE5540907357}"/>
              </c:ext>
            </c:extLst>
          </c:dPt>
          <c:dPt>
            <c:idx val="5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9-5C98-4D40-B141-EE5540907357}"/>
              </c:ext>
            </c:extLst>
          </c:dPt>
          <c:dPt>
            <c:idx val="51"/>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6B-5C98-4D40-B141-EE5540907357}"/>
              </c:ext>
            </c:extLst>
          </c:dPt>
          <c:dPt>
            <c:idx val="5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D-5C98-4D40-B141-EE5540907357}"/>
              </c:ext>
            </c:extLst>
          </c:dPt>
          <c:dPt>
            <c:idx val="53"/>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6F-5C98-4D40-B141-EE5540907357}"/>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71-5C98-4D40-B141-EE5540907357}"/>
              </c:ext>
            </c:extLst>
          </c:dPt>
          <c:dPt>
            <c:idx val="55"/>
            <c:bubble3D val="0"/>
            <c:spPr>
              <a:solidFill>
                <a:schemeClr val="accent2"/>
              </a:solidFill>
              <a:ln w="19050">
                <a:solidFill>
                  <a:schemeClr val="lt1"/>
                </a:solidFill>
              </a:ln>
              <a:effectLst/>
            </c:spPr>
            <c:extLst>
              <c:ext xmlns:c16="http://schemas.microsoft.com/office/drawing/2014/chart" uri="{C3380CC4-5D6E-409C-BE32-E72D297353CC}">
                <c16:uniqueId val="{00000073-5C98-4D40-B141-EE5540907357}"/>
              </c:ext>
            </c:extLst>
          </c:dPt>
          <c:dPt>
            <c:idx val="56"/>
            <c:bubble3D val="0"/>
            <c:spPr>
              <a:solidFill>
                <a:schemeClr val="accent3"/>
              </a:solidFill>
              <a:ln w="19050">
                <a:solidFill>
                  <a:schemeClr val="lt1"/>
                </a:solidFill>
              </a:ln>
              <a:effectLst/>
            </c:spPr>
            <c:extLst>
              <c:ext xmlns:c16="http://schemas.microsoft.com/office/drawing/2014/chart" uri="{C3380CC4-5D6E-409C-BE32-E72D297353CC}">
                <c16:uniqueId val="{00000075-5C98-4D40-B141-EE5540907357}"/>
              </c:ext>
            </c:extLst>
          </c:dPt>
          <c:dPt>
            <c:idx val="57"/>
            <c:bubble3D val="0"/>
            <c:spPr>
              <a:solidFill>
                <a:schemeClr val="accent4"/>
              </a:solidFill>
              <a:ln w="19050">
                <a:solidFill>
                  <a:schemeClr val="lt1"/>
                </a:solidFill>
              </a:ln>
              <a:effectLst/>
            </c:spPr>
            <c:extLst>
              <c:ext xmlns:c16="http://schemas.microsoft.com/office/drawing/2014/chart" uri="{C3380CC4-5D6E-409C-BE32-E72D297353CC}">
                <c16:uniqueId val="{00000077-5C98-4D40-B141-EE5540907357}"/>
              </c:ext>
            </c:extLst>
          </c:dPt>
          <c:dPt>
            <c:idx val="58"/>
            <c:bubble3D val="0"/>
            <c:spPr>
              <a:solidFill>
                <a:schemeClr val="accent5"/>
              </a:solidFill>
              <a:ln w="19050">
                <a:solidFill>
                  <a:schemeClr val="lt1"/>
                </a:solidFill>
              </a:ln>
              <a:effectLst/>
            </c:spPr>
            <c:extLst>
              <c:ext xmlns:c16="http://schemas.microsoft.com/office/drawing/2014/chart" uri="{C3380CC4-5D6E-409C-BE32-E72D297353CC}">
                <c16:uniqueId val="{00000079-5C98-4D40-B141-EE5540907357}"/>
              </c:ext>
            </c:extLst>
          </c:dPt>
          <c:dPt>
            <c:idx val="59"/>
            <c:bubble3D val="0"/>
            <c:spPr>
              <a:solidFill>
                <a:schemeClr val="accent6"/>
              </a:solidFill>
              <a:ln w="19050">
                <a:solidFill>
                  <a:schemeClr val="lt1"/>
                </a:solidFill>
              </a:ln>
              <a:effectLst/>
            </c:spPr>
            <c:extLst>
              <c:ext xmlns:c16="http://schemas.microsoft.com/office/drawing/2014/chart" uri="{C3380CC4-5D6E-409C-BE32-E72D297353CC}">
                <c16:uniqueId val="{0000007B-5C98-4D40-B141-EE5540907357}"/>
              </c:ext>
            </c:extLst>
          </c:dPt>
          <c:dPt>
            <c:idx val="6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D-5C98-4D40-B141-EE5540907357}"/>
              </c:ext>
            </c:extLst>
          </c:dPt>
          <c:dPt>
            <c:idx val="61"/>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7F-5C98-4D40-B141-EE5540907357}"/>
              </c:ext>
            </c:extLst>
          </c:dPt>
          <c:dPt>
            <c:idx val="6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81-5C98-4D40-B141-EE5540907357}"/>
              </c:ext>
            </c:extLst>
          </c:dPt>
          <c:dPt>
            <c:idx val="63"/>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83-5C98-4D40-B141-EE5540907357}"/>
              </c:ext>
            </c:extLst>
          </c:dPt>
          <c:dPt>
            <c:idx val="6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85-5C98-4D40-B141-EE5540907357}"/>
              </c:ext>
            </c:extLst>
          </c:dPt>
          <c:dPt>
            <c:idx val="6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87-5C98-4D40-B141-EE5540907357}"/>
              </c:ext>
            </c:extLst>
          </c:dPt>
          <c:dPt>
            <c:idx val="6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89-5C98-4D40-B141-EE5540907357}"/>
              </c:ext>
            </c:extLst>
          </c:dPt>
          <c:dPt>
            <c:idx val="67"/>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8B-5C98-4D40-B141-EE5540907357}"/>
              </c:ext>
            </c:extLst>
          </c:dPt>
          <c:dPt>
            <c:idx val="6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8D-5C98-4D40-B141-EE5540907357}"/>
              </c:ext>
            </c:extLst>
          </c:dPt>
          <c:dPt>
            <c:idx val="69"/>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8F-5C98-4D40-B141-EE5540907357}"/>
              </c:ext>
            </c:extLst>
          </c:dPt>
          <c:dPt>
            <c:idx val="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91-5C98-4D40-B141-EE5540907357}"/>
              </c:ext>
            </c:extLst>
          </c:dPt>
          <c:dPt>
            <c:idx val="71"/>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93-5C98-4D40-B141-EE5540907357}"/>
              </c:ext>
            </c:extLst>
          </c:dPt>
          <c:dPt>
            <c:idx val="7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95-5C98-4D40-B141-EE5540907357}"/>
              </c:ext>
            </c:extLst>
          </c:dPt>
          <c:dPt>
            <c:idx val="73"/>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97-5C98-4D40-B141-EE5540907357}"/>
              </c:ext>
            </c:extLst>
          </c:dPt>
          <c:dPt>
            <c:idx val="7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99-5C98-4D40-B141-EE5540907357}"/>
              </c:ext>
            </c:extLst>
          </c:dPt>
          <c:dPt>
            <c:idx val="75"/>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9B-5C98-4D40-B141-EE5540907357}"/>
              </c:ext>
            </c:extLst>
          </c:dPt>
          <c:dPt>
            <c:idx val="7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9D-5C98-4D40-B141-EE5540907357}"/>
              </c:ext>
            </c:extLst>
          </c:dPt>
          <c:dPt>
            <c:idx val="77"/>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9F-5C98-4D40-B141-EE5540907357}"/>
              </c:ext>
            </c:extLst>
          </c:dPt>
          <c:dPt>
            <c:idx val="7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A1-5C98-4D40-B141-EE5540907357}"/>
              </c:ext>
            </c:extLst>
          </c:dPt>
          <c:dPt>
            <c:idx val="7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A3-5C98-4D40-B141-EE5540907357}"/>
              </c:ext>
            </c:extLst>
          </c:dPt>
          <c:dPt>
            <c:idx val="8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A5-5C98-4D40-B141-EE5540907357}"/>
              </c:ext>
            </c:extLst>
          </c:dPt>
          <c:dPt>
            <c:idx val="8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A7-5C98-4D40-B141-EE5540907357}"/>
              </c:ext>
            </c:extLst>
          </c:dPt>
          <c:dPt>
            <c:idx val="8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A9-5C98-4D40-B141-EE5540907357}"/>
              </c:ext>
            </c:extLst>
          </c:dPt>
          <c:dPt>
            <c:idx val="8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AB-5C98-4D40-B141-EE5540907357}"/>
              </c:ext>
            </c:extLst>
          </c:dPt>
          <c:dPt>
            <c:idx val="8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AD-5C98-4D40-B141-EE5540907357}"/>
              </c:ext>
            </c:extLst>
          </c:dPt>
          <c:dPt>
            <c:idx val="8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AF-5C98-4D40-B141-EE5540907357}"/>
              </c:ext>
            </c:extLst>
          </c:dPt>
          <c:dPt>
            <c:idx val="8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B1-5C98-4D40-B141-EE5540907357}"/>
              </c:ext>
            </c:extLst>
          </c:dPt>
          <c:dPt>
            <c:idx val="87"/>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B3-5C98-4D40-B141-EE5540907357}"/>
              </c:ext>
            </c:extLst>
          </c:dPt>
          <c:dPt>
            <c:idx val="8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B5-5C98-4D40-B141-EE5540907357}"/>
              </c:ext>
            </c:extLst>
          </c:dPt>
          <c:dPt>
            <c:idx val="89"/>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B7-5C98-4D40-B141-EE5540907357}"/>
              </c:ext>
            </c:extLst>
          </c:dPt>
          <c:dPt>
            <c:idx val="9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B9-5C98-4D40-B141-EE5540907357}"/>
              </c:ext>
            </c:extLst>
          </c:dPt>
          <c:dPt>
            <c:idx val="91"/>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BB-5C98-4D40-B141-EE5540907357}"/>
              </c:ext>
            </c:extLst>
          </c:dPt>
          <c:dPt>
            <c:idx val="9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BD-5C98-4D40-B141-EE5540907357}"/>
              </c:ext>
            </c:extLst>
          </c:dPt>
          <c:dPt>
            <c:idx val="93"/>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BF-5C98-4D40-B141-EE5540907357}"/>
              </c:ext>
            </c:extLst>
          </c:dPt>
          <c:dPt>
            <c:idx val="9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C1-5C98-4D40-B141-EE5540907357}"/>
              </c:ext>
            </c:extLst>
          </c:dPt>
          <c:dPt>
            <c:idx val="95"/>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C3-5C98-4D40-B141-EE5540907357}"/>
              </c:ext>
            </c:extLst>
          </c:dPt>
          <c:dPt>
            <c:idx val="9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C5-5C98-4D40-B141-EE5540907357}"/>
              </c:ext>
            </c:extLst>
          </c:dPt>
          <c:dPt>
            <c:idx val="97"/>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C7-5C98-4D40-B141-EE5540907357}"/>
              </c:ext>
            </c:extLst>
          </c:dPt>
          <c:dPt>
            <c:idx val="9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C9-5C98-4D40-B141-EE5540907357}"/>
              </c:ext>
            </c:extLst>
          </c:dPt>
          <c:dPt>
            <c:idx val="99"/>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CB-5C98-4D40-B141-EE5540907357}"/>
              </c:ext>
            </c:extLst>
          </c:dPt>
          <c:dPt>
            <c:idx val="100"/>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CD-5C98-4D40-B141-EE5540907357}"/>
              </c:ext>
            </c:extLst>
          </c:dPt>
          <c:dPt>
            <c:idx val="101"/>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CF-5C98-4D40-B141-EE5540907357}"/>
              </c:ext>
            </c:extLst>
          </c:dPt>
          <c:dPt>
            <c:idx val="102"/>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D1-5C98-4D40-B141-EE5540907357}"/>
              </c:ext>
            </c:extLst>
          </c:dPt>
          <c:dPt>
            <c:idx val="103"/>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D3-5C98-4D40-B141-EE5540907357}"/>
              </c:ext>
            </c:extLst>
          </c:dPt>
          <c:dPt>
            <c:idx val="104"/>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D5-5C98-4D40-B141-EE5540907357}"/>
              </c:ext>
            </c:extLst>
          </c:dPt>
          <c:dPt>
            <c:idx val="105"/>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D7-5C98-4D40-B141-EE5540907357}"/>
              </c:ext>
            </c:extLst>
          </c:dPt>
          <c:dPt>
            <c:idx val="106"/>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D9-5C98-4D40-B141-EE5540907357}"/>
              </c:ext>
            </c:extLst>
          </c:dPt>
          <c:dPt>
            <c:idx val="107"/>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DB-5C98-4D40-B141-EE5540907357}"/>
              </c:ext>
            </c:extLst>
          </c:dPt>
          <c:dPt>
            <c:idx val="108"/>
            <c:bubble3D val="0"/>
            <c:spPr>
              <a:solidFill>
                <a:schemeClr val="accent1"/>
              </a:solidFill>
              <a:ln w="19050">
                <a:solidFill>
                  <a:schemeClr val="lt1"/>
                </a:solidFill>
              </a:ln>
              <a:effectLst/>
            </c:spPr>
            <c:extLst>
              <c:ext xmlns:c16="http://schemas.microsoft.com/office/drawing/2014/chart" uri="{C3380CC4-5D6E-409C-BE32-E72D297353CC}">
                <c16:uniqueId val="{000000DD-5C98-4D40-B141-EE5540907357}"/>
              </c:ext>
            </c:extLst>
          </c:dPt>
          <c:dPt>
            <c:idx val="109"/>
            <c:bubble3D val="0"/>
            <c:spPr>
              <a:solidFill>
                <a:schemeClr val="accent2"/>
              </a:solidFill>
              <a:ln w="19050">
                <a:solidFill>
                  <a:schemeClr val="lt1"/>
                </a:solidFill>
              </a:ln>
              <a:effectLst/>
            </c:spPr>
            <c:extLst>
              <c:ext xmlns:c16="http://schemas.microsoft.com/office/drawing/2014/chart" uri="{C3380CC4-5D6E-409C-BE32-E72D297353CC}">
                <c16:uniqueId val="{000000DF-5C98-4D40-B141-EE5540907357}"/>
              </c:ext>
            </c:extLst>
          </c:dPt>
          <c:dPt>
            <c:idx val="110"/>
            <c:bubble3D val="0"/>
            <c:spPr>
              <a:solidFill>
                <a:schemeClr val="accent3"/>
              </a:solidFill>
              <a:ln w="19050">
                <a:solidFill>
                  <a:schemeClr val="lt1"/>
                </a:solidFill>
              </a:ln>
              <a:effectLst/>
            </c:spPr>
            <c:extLst>
              <c:ext xmlns:c16="http://schemas.microsoft.com/office/drawing/2014/chart" uri="{C3380CC4-5D6E-409C-BE32-E72D297353CC}">
                <c16:uniqueId val="{000000E1-5C98-4D40-B141-EE5540907357}"/>
              </c:ext>
            </c:extLst>
          </c:dPt>
          <c:dPt>
            <c:idx val="111"/>
            <c:bubble3D val="0"/>
            <c:spPr>
              <a:solidFill>
                <a:schemeClr val="accent4"/>
              </a:solidFill>
              <a:ln w="19050">
                <a:solidFill>
                  <a:schemeClr val="lt1"/>
                </a:solidFill>
              </a:ln>
              <a:effectLst/>
            </c:spPr>
            <c:extLst>
              <c:ext xmlns:c16="http://schemas.microsoft.com/office/drawing/2014/chart" uri="{C3380CC4-5D6E-409C-BE32-E72D297353CC}">
                <c16:uniqueId val="{000000E3-5C98-4D40-B141-EE5540907357}"/>
              </c:ext>
            </c:extLst>
          </c:dPt>
          <c:dPt>
            <c:idx val="112"/>
            <c:bubble3D val="0"/>
            <c:spPr>
              <a:solidFill>
                <a:schemeClr val="accent5"/>
              </a:solidFill>
              <a:ln w="19050">
                <a:solidFill>
                  <a:schemeClr val="lt1"/>
                </a:solidFill>
              </a:ln>
              <a:effectLst/>
            </c:spPr>
            <c:extLst>
              <c:ext xmlns:c16="http://schemas.microsoft.com/office/drawing/2014/chart" uri="{C3380CC4-5D6E-409C-BE32-E72D297353CC}">
                <c16:uniqueId val="{000000E5-5C98-4D40-B141-EE5540907357}"/>
              </c:ext>
            </c:extLst>
          </c:dPt>
          <c:dPt>
            <c:idx val="113"/>
            <c:bubble3D val="0"/>
            <c:spPr>
              <a:solidFill>
                <a:schemeClr val="accent6"/>
              </a:solidFill>
              <a:ln w="19050">
                <a:solidFill>
                  <a:schemeClr val="lt1"/>
                </a:solidFill>
              </a:ln>
              <a:effectLst/>
            </c:spPr>
            <c:extLst>
              <c:ext xmlns:c16="http://schemas.microsoft.com/office/drawing/2014/chart" uri="{C3380CC4-5D6E-409C-BE32-E72D297353CC}">
                <c16:uniqueId val="{000000E7-5C98-4D40-B141-EE5540907357}"/>
              </c:ext>
            </c:extLst>
          </c:dPt>
          <c:dPt>
            <c:idx val="114"/>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E9-5C98-4D40-B141-EE5540907357}"/>
              </c:ext>
            </c:extLst>
          </c:dPt>
          <c:dPt>
            <c:idx val="115"/>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EB-5C98-4D40-B141-EE5540907357}"/>
              </c:ext>
            </c:extLst>
          </c:dPt>
          <c:dPt>
            <c:idx val="116"/>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ED-5C98-4D40-B141-EE5540907357}"/>
              </c:ext>
            </c:extLst>
          </c:dPt>
          <c:dPt>
            <c:idx val="117"/>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EF-5C98-4D40-B141-EE5540907357}"/>
              </c:ext>
            </c:extLst>
          </c:dPt>
          <c:dPt>
            <c:idx val="118"/>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F1-5C98-4D40-B141-EE5540907357}"/>
              </c:ext>
            </c:extLst>
          </c:dPt>
          <c:dPt>
            <c:idx val="119"/>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F3-5C98-4D40-B141-EE5540907357}"/>
              </c:ext>
            </c:extLst>
          </c:dPt>
          <c:dPt>
            <c:idx val="120"/>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F5-5C98-4D40-B141-EE5540907357}"/>
              </c:ext>
            </c:extLst>
          </c:dPt>
          <c:dPt>
            <c:idx val="121"/>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F7-5C98-4D40-B141-EE5540907357}"/>
              </c:ext>
            </c:extLst>
          </c:dPt>
          <c:dPt>
            <c:idx val="122"/>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F9-5C98-4D40-B141-EE5540907357}"/>
              </c:ext>
            </c:extLst>
          </c:dPt>
          <c:dPt>
            <c:idx val="123"/>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FB-5C98-4D40-B141-EE5540907357}"/>
              </c:ext>
            </c:extLst>
          </c:dPt>
          <c:dPt>
            <c:idx val="124"/>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FD-5C98-4D40-B141-EE5540907357}"/>
              </c:ext>
            </c:extLst>
          </c:dPt>
          <c:dPt>
            <c:idx val="125"/>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FF-5C98-4D40-B141-EE5540907357}"/>
              </c:ext>
            </c:extLst>
          </c:dPt>
          <c:dPt>
            <c:idx val="126"/>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01-5C98-4D40-B141-EE5540907357}"/>
              </c:ext>
            </c:extLst>
          </c:dPt>
          <c:dPt>
            <c:idx val="127"/>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03-5C98-4D40-B141-EE5540907357}"/>
              </c:ext>
            </c:extLst>
          </c:dPt>
          <c:dPt>
            <c:idx val="128"/>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05-5C98-4D40-B141-EE5540907357}"/>
              </c:ext>
            </c:extLst>
          </c:dPt>
          <c:dPt>
            <c:idx val="129"/>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07-5C98-4D40-B141-EE5540907357}"/>
              </c:ext>
            </c:extLst>
          </c:dPt>
          <c:dPt>
            <c:idx val="130"/>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09-5C98-4D40-B141-EE5540907357}"/>
              </c:ext>
            </c:extLst>
          </c:dPt>
          <c:dPt>
            <c:idx val="13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0B-5C98-4D40-B141-EE5540907357}"/>
              </c:ext>
            </c:extLst>
          </c:dPt>
          <c:dPt>
            <c:idx val="13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0D-5C98-4D40-B141-EE5540907357}"/>
              </c:ext>
            </c:extLst>
          </c:dPt>
          <c:dPt>
            <c:idx val="133"/>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0F-5C98-4D40-B141-EE5540907357}"/>
              </c:ext>
            </c:extLst>
          </c:dPt>
          <c:dPt>
            <c:idx val="134"/>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11-5C98-4D40-B141-EE5540907357}"/>
              </c:ext>
            </c:extLst>
          </c:dPt>
          <c:dPt>
            <c:idx val="135"/>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13-5C98-4D40-B141-EE5540907357}"/>
              </c:ext>
            </c:extLst>
          </c:dPt>
          <c:dPt>
            <c:idx val="136"/>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15-5C98-4D40-B141-EE5540907357}"/>
              </c:ext>
            </c:extLst>
          </c:dPt>
          <c:dPt>
            <c:idx val="137"/>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17-5C98-4D40-B141-EE5540907357}"/>
              </c:ext>
            </c:extLst>
          </c:dPt>
          <c:dPt>
            <c:idx val="138"/>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19-5C98-4D40-B141-EE5540907357}"/>
              </c:ext>
            </c:extLst>
          </c:dPt>
          <c:dPt>
            <c:idx val="139"/>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1B-5C98-4D40-B141-EE5540907357}"/>
              </c:ext>
            </c:extLst>
          </c:dPt>
          <c:dPt>
            <c:idx val="140"/>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1D-5C98-4D40-B141-EE5540907357}"/>
              </c:ext>
            </c:extLst>
          </c:dPt>
          <c:dPt>
            <c:idx val="141"/>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1F-5C98-4D40-B141-EE5540907357}"/>
              </c:ext>
            </c:extLst>
          </c:dPt>
          <c:dPt>
            <c:idx val="14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21-5C98-4D40-B141-EE5540907357}"/>
              </c:ext>
            </c:extLst>
          </c:dPt>
          <c:dPt>
            <c:idx val="143"/>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23-5C98-4D40-B141-EE5540907357}"/>
              </c:ext>
            </c:extLst>
          </c:dPt>
          <c:dPt>
            <c:idx val="144"/>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25-5C98-4D40-B141-EE5540907357}"/>
              </c:ext>
            </c:extLst>
          </c:dPt>
          <c:dPt>
            <c:idx val="145"/>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27-5C98-4D40-B141-EE5540907357}"/>
              </c:ext>
            </c:extLst>
          </c:dPt>
          <c:dPt>
            <c:idx val="146"/>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29-5C98-4D40-B141-EE5540907357}"/>
              </c:ext>
            </c:extLst>
          </c:dPt>
          <c:dPt>
            <c:idx val="147"/>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2B-5C98-4D40-B141-EE5540907357}"/>
              </c:ext>
            </c:extLst>
          </c:dPt>
          <c:dPt>
            <c:idx val="148"/>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2D-5C98-4D40-B141-EE5540907357}"/>
              </c:ext>
            </c:extLst>
          </c:dPt>
          <c:dPt>
            <c:idx val="149"/>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2F-5C98-4D40-B141-EE5540907357}"/>
              </c:ext>
            </c:extLst>
          </c:dPt>
          <c:dPt>
            <c:idx val="150"/>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31-5C98-4D40-B141-EE5540907357}"/>
              </c:ext>
            </c:extLst>
          </c:dPt>
          <c:dPt>
            <c:idx val="151"/>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33-5C98-4D40-B141-EE5540907357}"/>
              </c:ext>
            </c:extLst>
          </c:dPt>
          <c:dPt>
            <c:idx val="152"/>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35-5C98-4D40-B141-EE5540907357}"/>
              </c:ext>
            </c:extLst>
          </c:dPt>
          <c:dPt>
            <c:idx val="153"/>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37-5C98-4D40-B141-EE5540907357}"/>
              </c:ext>
            </c:extLst>
          </c:dPt>
          <c:dPt>
            <c:idx val="154"/>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39-5C98-4D40-B141-EE5540907357}"/>
              </c:ext>
            </c:extLst>
          </c:dPt>
          <c:dPt>
            <c:idx val="155"/>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3B-5C98-4D40-B141-EE5540907357}"/>
              </c:ext>
            </c:extLst>
          </c:dPt>
          <c:dPt>
            <c:idx val="156"/>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3D-5C98-4D40-B141-EE5540907357}"/>
              </c:ext>
            </c:extLst>
          </c:dPt>
          <c:dPt>
            <c:idx val="157"/>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3F-5C98-4D40-B141-EE5540907357}"/>
              </c:ext>
            </c:extLst>
          </c:dPt>
          <c:dPt>
            <c:idx val="158"/>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41-5C98-4D40-B141-EE5540907357}"/>
              </c:ext>
            </c:extLst>
          </c:dPt>
          <c:dPt>
            <c:idx val="159"/>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43-5C98-4D40-B141-EE5540907357}"/>
              </c:ext>
            </c:extLst>
          </c:dPt>
          <c:dPt>
            <c:idx val="160"/>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45-5C98-4D40-B141-EE5540907357}"/>
              </c:ext>
            </c:extLst>
          </c:dPt>
          <c:dPt>
            <c:idx val="161"/>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47-5C98-4D40-B141-EE5540907357}"/>
              </c:ext>
            </c:extLst>
          </c:dPt>
          <c:dPt>
            <c:idx val="162"/>
            <c:bubble3D val="0"/>
            <c:spPr>
              <a:solidFill>
                <a:schemeClr val="accent1"/>
              </a:solidFill>
              <a:ln w="19050">
                <a:solidFill>
                  <a:schemeClr val="lt1"/>
                </a:solidFill>
              </a:ln>
              <a:effectLst/>
            </c:spPr>
            <c:extLst>
              <c:ext xmlns:c16="http://schemas.microsoft.com/office/drawing/2014/chart" uri="{C3380CC4-5D6E-409C-BE32-E72D297353CC}">
                <c16:uniqueId val="{00000149-5C98-4D40-B141-EE5540907357}"/>
              </c:ext>
            </c:extLst>
          </c:dPt>
          <c:dPt>
            <c:idx val="163"/>
            <c:bubble3D val="0"/>
            <c:spPr>
              <a:solidFill>
                <a:schemeClr val="accent2"/>
              </a:solidFill>
              <a:ln w="19050">
                <a:solidFill>
                  <a:schemeClr val="lt1"/>
                </a:solidFill>
              </a:ln>
              <a:effectLst/>
            </c:spPr>
            <c:extLst>
              <c:ext xmlns:c16="http://schemas.microsoft.com/office/drawing/2014/chart" uri="{C3380CC4-5D6E-409C-BE32-E72D297353CC}">
                <c16:uniqueId val="{0000014B-5C98-4D40-B141-EE5540907357}"/>
              </c:ext>
            </c:extLst>
          </c:dPt>
          <c:dPt>
            <c:idx val="164"/>
            <c:bubble3D val="0"/>
            <c:spPr>
              <a:solidFill>
                <a:schemeClr val="accent3"/>
              </a:solidFill>
              <a:ln w="19050">
                <a:solidFill>
                  <a:schemeClr val="lt1"/>
                </a:solidFill>
              </a:ln>
              <a:effectLst/>
            </c:spPr>
            <c:extLst>
              <c:ext xmlns:c16="http://schemas.microsoft.com/office/drawing/2014/chart" uri="{C3380CC4-5D6E-409C-BE32-E72D297353CC}">
                <c16:uniqueId val="{0000014D-5C98-4D40-B141-EE5540907357}"/>
              </c:ext>
            </c:extLst>
          </c:dPt>
          <c:dPt>
            <c:idx val="165"/>
            <c:bubble3D val="0"/>
            <c:spPr>
              <a:solidFill>
                <a:schemeClr val="accent4"/>
              </a:solidFill>
              <a:ln w="19050">
                <a:solidFill>
                  <a:schemeClr val="lt1"/>
                </a:solidFill>
              </a:ln>
              <a:effectLst/>
            </c:spPr>
            <c:extLst>
              <c:ext xmlns:c16="http://schemas.microsoft.com/office/drawing/2014/chart" uri="{C3380CC4-5D6E-409C-BE32-E72D297353CC}">
                <c16:uniqueId val="{0000014F-5C98-4D40-B141-EE5540907357}"/>
              </c:ext>
            </c:extLst>
          </c:dPt>
          <c:dPt>
            <c:idx val="166"/>
            <c:bubble3D val="0"/>
            <c:spPr>
              <a:solidFill>
                <a:schemeClr val="accent5"/>
              </a:solidFill>
              <a:ln w="19050">
                <a:solidFill>
                  <a:schemeClr val="lt1"/>
                </a:solidFill>
              </a:ln>
              <a:effectLst/>
            </c:spPr>
            <c:extLst>
              <c:ext xmlns:c16="http://schemas.microsoft.com/office/drawing/2014/chart" uri="{C3380CC4-5D6E-409C-BE32-E72D297353CC}">
                <c16:uniqueId val="{00000151-5C98-4D40-B141-EE5540907357}"/>
              </c:ext>
            </c:extLst>
          </c:dPt>
          <c:dPt>
            <c:idx val="167"/>
            <c:bubble3D val="0"/>
            <c:spPr>
              <a:solidFill>
                <a:schemeClr val="accent6"/>
              </a:solidFill>
              <a:ln w="19050">
                <a:solidFill>
                  <a:schemeClr val="lt1"/>
                </a:solidFill>
              </a:ln>
              <a:effectLst/>
            </c:spPr>
            <c:extLst>
              <c:ext xmlns:c16="http://schemas.microsoft.com/office/drawing/2014/chart" uri="{C3380CC4-5D6E-409C-BE32-E72D297353CC}">
                <c16:uniqueId val="{00000153-5C98-4D40-B141-EE5540907357}"/>
              </c:ext>
            </c:extLst>
          </c:dPt>
          <c:dPt>
            <c:idx val="168"/>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55-5C98-4D40-B141-EE5540907357}"/>
              </c:ext>
            </c:extLst>
          </c:dPt>
          <c:dPt>
            <c:idx val="169"/>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57-5C98-4D40-B141-EE5540907357}"/>
              </c:ext>
            </c:extLst>
          </c:dPt>
          <c:dPt>
            <c:idx val="170"/>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59-5C98-4D40-B141-EE5540907357}"/>
              </c:ext>
            </c:extLst>
          </c:dPt>
          <c:dPt>
            <c:idx val="171"/>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5B-5C98-4D40-B141-EE5540907357}"/>
              </c:ext>
            </c:extLst>
          </c:dPt>
          <c:dPt>
            <c:idx val="172"/>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5D-5C98-4D40-B141-EE5540907357}"/>
              </c:ext>
            </c:extLst>
          </c:dPt>
          <c:dPt>
            <c:idx val="173"/>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5F-5C98-4D40-B141-EE5540907357}"/>
              </c:ext>
            </c:extLst>
          </c:dPt>
          <c:dPt>
            <c:idx val="174"/>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61-5C98-4D40-B141-EE5540907357}"/>
              </c:ext>
            </c:extLst>
          </c:dPt>
          <c:dPt>
            <c:idx val="175"/>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63-5C98-4D40-B141-EE5540907357}"/>
              </c:ext>
            </c:extLst>
          </c:dPt>
          <c:dPt>
            <c:idx val="176"/>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65-5C98-4D40-B141-EE5540907357}"/>
              </c:ext>
            </c:extLst>
          </c:dPt>
          <c:dPt>
            <c:idx val="17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67-5C98-4D40-B141-EE5540907357}"/>
              </c:ext>
            </c:extLst>
          </c:dPt>
          <c:dPt>
            <c:idx val="178"/>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69-5C98-4D40-B141-EE5540907357}"/>
              </c:ext>
            </c:extLst>
          </c:dPt>
          <c:dPt>
            <c:idx val="179"/>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6B-5C98-4D40-B141-EE5540907357}"/>
              </c:ext>
            </c:extLst>
          </c:dPt>
          <c:dPt>
            <c:idx val="180"/>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6D-5C98-4D40-B141-EE5540907357}"/>
              </c:ext>
            </c:extLst>
          </c:dPt>
          <c:dPt>
            <c:idx val="181"/>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6F-5C98-4D40-B141-EE5540907357}"/>
              </c:ext>
            </c:extLst>
          </c:dPt>
          <c:dPt>
            <c:idx val="182"/>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71-5C98-4D40-B141-EE5540907357}"/>
              </c:ext>
            </c:extLst>
          </c:dPt>
          <c:dPt>
            <c:idx val="183"/>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73-5C98-4D40-B141-EE5540907357}"/>
              </c:ext>
            </c:extLst>
          </c:dPt>
          <c:dPt>
            <c:idx val="184"/>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75-5C98-4D40-B141-EE5540907357}"/>
              </c:ext>
            </c:extLst>
          </c:dPt>
          <c:dPt>
            <c:idx val="185"/>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77-5C98-4D40-B141-EE5540907357}"/>
              </c:ext>
            </c:extLst>
          </c:dPt>
          <c:dPt>
            <c:idx val="18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79-5C98-4D40-B141-EE5540907357}"/>
              </c:ext>
            </c:extLst>
          </c:dPt>
          <c:dPt>
            <c:idx val="18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7B-5C98-4D40-B141-EE5540907357}"/>
              </c:ext>
            </c:extLst>
          </c:dPt>
          <c:dPt>
            <c:idx val="188"/>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7D-5C98-4D40-B141-EE5540907357}"/>
              </c:ext>
            </c:extLst>
          </c:dPt>
          <c:dPt>
            <c:idx val="189"/>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7F-5C98-4D40-B141-EE5540907357}"/>
              </c:ext>
            </c:extLst>
          </c:dPt>
          <c:dPt>
            <c:idx val="19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81-5C98-4D40-B141-EE5540907357}"/>
              </c:ext>
            </c:extLst>
          </c:dPt>
          <c:dPt>
            <c:idx val="19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83-5C98-4D40-B141-EE5540907357}"/>
              </c:ext>
            </c:extLst>
          </c:dPt>
          <c:dPt>
            <c:idx val="192"/>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85-5C98-4D40-B141-EE5540907357}"/>
              </c:ext>
            </c:extLst>
          </c:dPt>
          <c:dPt>
            <c:idx val="193"/>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87-5C98-4D40-B141-EE5540907357}"/>
              </c:ext>
            </c:extLst>
          </c:dPt>
          <c:dPt>
            <c:idx val="194"/>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89-5C98-4D40-B141-EE5540907357}"/>
              </c:ext>
            </c:extLst>
          </c:dPt>
          <c:dPt>
            <c:idx val="195"/>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8B-5C98-4D40-B141-EE5540907357}"/>
              </c:ext>
            </c:extLst>
          </c:dPt>
          <c:dPt>
            <c:idx val="196"/>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8D-5C98-4D40-B141-EE5540907357}"/>
              </c:ext>
            </c:extLst>
          </c:dPt>
          <c:dPt>
            <c:idx val="197"/>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8F-5C98-4D40-B141-EE5540907357}"/>
              </c:ext>
            </c:extLst>
          </c:dPt>
          <c:dPt>
            <c:idx val="198"/>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91-5C98-4D40-B141-EE5540907357}"/>
              </c:ext>
            </c:extLst>
          </c:dPt>
          <c:dPt>
            <c:idx val="199"/>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93-5C98-4D40-B141-EE5540907357}"/>
              </c:ext>
            </c:extLst>
          </c:dPt>
          <c:dPt>
            <c:idx val="200"/>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95-5C98-4D40-B141-EE5540907357}"/>
              </c:ext>
            </c:extLst>
          </c:dPt>
          <c:dPt>
            <c:idx val="201"/>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97-5C98-4D40-B141-EE5540907357}"/>
              </c:ext>
            </c:extLst>
          </c:dPt>
          <c:dPt>
            <c:idx val="202"/>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99-5C98-4D40-B141-EE5540907357}"/>
              </c:ext>
            </c:extLst>
          </c:dPt>
          <c:dPt>
            <c:idx val="203"/>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9B-5C98-4D40-B141-EE5540907357}"/>
              </c:ext>
            </c:extLst>
          </c:dPt>
          <c:dPt>
            <c:idx val="204"/>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9D-5C98-4D40-B141-EE5540907357}"/>
              </c:ext>
            </c:extLst>
          </c:dPt>
          <c:dPt>
            <c:idx val="205"/>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9F-5C98-4D40-B141-EE5540907357}"/>
              </c:ext>
            </c:extLst>
          </c:dPt>
          <c:dPt>
            <c:idx val="206"/>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A1-5C98-4D40-B141-EE5540907357}"/>
              </c:ext>
            </c:extLst>
          </c:dPt>
          <c:dPt>
            <c:idx val="207"/>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A3-5C98-4D40-B141-EE5540907357}"/>
              </c:ext>
            </c:extLst>
          </c:dPt>
          <c:dPt>
            <c:idx val="208"/>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A5-5C98-4D40-B141-EE5540907357}"/>
              </c:ext>
            </c:extLst>
          </c:dPt>
          <c:dPt>
            <c:idx val="209"/>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A7-5C98-4D40-B141-EE5540907357}"/>
              </c:ext>
            </c:extLst>
          </c:dPt>
          <c:dPt>
            <c:idx val="210"/>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A9-5C98-4D40-B141-EE5540907357}"/>
              </c:ext>
            </c:extLst>
          </c:dPt>
          <c:dPt>
            <c:idx val="211"/>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AB-5C98-4D40-B141-EE5540907357}"/>
              </c:ext>
            </c:extLst>
          </c:dPt>
          <c:dPt>
            <c:idx val="212"/>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AD-5C98-4D40-B141-EE5540907357}"/>
              </c:ext>
            </c:extLst>
          </c:dPt>
          <c:dPt>
            <c:idx val="213"/>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AF-5C98-4D40-B141-EE5540907357}"/>
              </c:ext>
            </c:extLst>
          </c:dPt>
          <c:dPt>
            <c:idx val="214"/>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B1-5C98-4D40-B141-EE5540907357}"/>
              </c:ext>
            </c:extLst>
          </c:dPt>
          <c:dPt>
            <c:idx val="215"/>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B3-5C98-4D40-B141-EE5540907357}"/>
              </c:ext>
            </c:extLst>
          </c:dPt>
          <c:dPt>
            <c:idx val="216"/>
            <c:bubble3D val="0"/>
            <c:spPr>
              <a:solidFill>
                <a:schemeClr val="accent1"/>
              </a:solidFill>
              <a:ln w="19050">
                <a:solidFill>
                  <a:schemeClr val="lt1"/>
                </a:solidFill>
              </a:ln>
              <a:effectLst/>
            </c:spPr>
            <c:extLst>
              <c:ext xmlns:c16="http://schemas.microsoft.com/office/drawing/2014/chart" uri="{C3380CC4-5D6E-409C-BE32-E72D297353CC}">
                <c16:uniqueId val="{000001B5-5C98-4D40-B141-EE5540907357}"/>
              </c:ext>
            </c:extLst>
          </c:dPt>
          <c:dPt>
            <c:idx val="217"/>
            <c:bubble3D val="0"/>
            <c:spPr>
              <a:solidFill>
                <a:schemeClr val="accent2"/>
              </a:solidFill>
              <a:ln w="19050">
                <a:solidFill>
                  <a:schemeClr val="lt1"/>
                </a:solidFill>
              </a:ln>
              <a:effectLst/>
            </c:spPr>
            <c:extLst>
              <c:ext xmlns:c16="http://schemas.microsoft.com/office/drawing/2014/chart" uri="{C3380CC4-5D6E-409C-BE32-E72D297353CC}">
                <c16:uniqueId val="{000001B7-5C98-4D40-B141-EE5540907357}"/>
              </c:ext>
            </c:extLst>
          </c:dPt>
          <c:dPt>
            <c:idx val="218"/>
            <c:bubble3D val="0"/>
            <c:spPr>
              <a:solidFill>
                <a:schemeClr val="accent3"/>
              </a:solidFill>
              <a:ln w="19050">
                <a:solidFill>
                  <a:schemeClr val="lt1"/>
                </a:solidFill>
              </a:ln>
              <a:effectLst/>
            </c:spPr>
            <c:extLst>
              <c:ext xmlns:c16="http://schemas.microsoft.com/office/drawing/2014/chart" uri="{C3380CC4-5D6E-409C-BE32-E72D297353CC}">
                <c16:uniqueId val="{000001B9-5C98-4D40-B141-EE5540907357}"/>
              </c:ext>
            </c:extLst>
          </c:dPt>
          <c:dPt>
            <c:idx val="219"/>
            <c:bubble3D val="0"/>
            <c:spPr>
              <a:solidFill>
                <a:schemeClr val="accent4"/>
              </a:solidFill>
              <a:ln w="19050">
                <a:solidFill>
                  <a:schemeClr val="lt1"/>
                </a:solidFill>
              </a:ln>
              <a:effectLst/>
            </c:spPr>
            <c:extLst>
              <c:ext xmlns:c16="http://schemas.microsoft.com/office/drawing/2014/chart" uri="{C3380CC4-5D6E-409C-BE32-E72D297353CC}">
                <c16:uniqueId val="{000001BB-5C98-4D40-B141-EE5540907357}"/>
              </c:ext>
            </c:extLst>
          </c:dPt>
          <c:dPt>
            <c:idx val="220"/>
            <c:bubble3D val="0"/>
            <c:spPr>
              <a:solidFill>
                <a:schemeClr val="accent5"/>
              </a:solidFill>
              <a:ln w="19050">
                <a:solidFill>
                  <a:schemeClr val="lt1"/>
                </a:solidFill>
              </a:ln>
              <a:effectLst/>
            </c:spPr>
            <c:extLst>
              <c:ext xmlns:c16="http://schemas.microsoft.com/office/drawing/2014/chart" uri="{C3380CC4-5D6E-409C-BE32-E72D297353CC}">
                <c16:uniqueId val="{000001BD-5C98-4D40-B141-EE5540907357}"/>
              </c:ext>
            </c:extLst>
          </c:dPt>
          <c:dPt>
            <c:idx val="221"/>
            <c:bubble3D val="0"/>
            <c:spPr>
              <a:solidFill>
                <a:schemeClr val="accent6"/>
              </a:solidFill>
              <a:ln w="19050">
                <a:solidFill>
                  <a:schemeClr val="lt1"/>
                </a:solidFill>
              </a:ln>
              <a:effectLst/>
            </c:spPr>
            <c:extLst>
              <c:ext xmlns:c16="http://schemas.microsoft.com/office/drawing/2014/chart" uri="{C3380CC4-5D6E-409C-BE32-E72D297353CC}">
                <c16:uniqueId val="{000001BF-5C98-4D40-B141-EE5540907357}"/>
              </c:ext>
            </c:extLst>
          </c:dPt>
          <c:dPt>
            <c:idx val="222"/>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C1-5C98-4D40-B141-EE5540907357}"/>
              </c:ext>
            </c:extLst>
          </c:dPt>
          <c:dPt>
            <c:idx val="22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C3-5C98-4D40-B141-EE5540907357}"/>
              </c:ext>
            </c:extLst>
          </c:dPt>
          <c:dPt>
            <c:idx val="22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C5-5C98-4D40-B141-EE5540907357}"/>
              </c:ext>
            </c:extLst>
          </c:dPt>
          <c:dPt>
            <c:idx val="225"/>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C7-5C98-4D40-B141-EE5540907357}"/>
              </c:ext>
            </c:extLst>
          </c:dPt>
          <c:dPt>
            <c:idx val="226"/>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C9-5C98-4D40-B141-EE5540907357}"/>
              </c:ext>
            </c:extLst>
          </c:dPt>
          <c:dPt>
            <c:idx val="227"/>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CB-5C98-4D40-B141-EE5540907357}"/>
              </c:ext>
            </c:extLst>
          </c:dPt>
          <c:dPt>
            <c:idx val="228"/>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CD-5C98-4D40-B141-EE5540907357}"/>
              </c:ext>
            </c:extLst>
          </c:dPt>
          <c:dPt>
            <c:idx val="229"/>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CF-5C98-4D40-B141-EE5540907357}"/>
              </c:ext>
            </c:extLst>
          </c:dPt>
          <c:dPt>
            <c:idx val="230"/>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D1-5C98-4D40-B141-EE5540907357}"/>
              </c:ext>
            </c:extLst>
          </c:dPt>
          <c:dPt>
            <c:idx val="231"/>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D3-5C98-4D40-B141-EE5540907357}"/>
              </c:ext>
            </c:extLst>
          </c:dPt>
          <c:dPt>
            <c:idx val="232"/>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D5-5C98-4D40-B141-EE5540907357}"/>
              </c:ext>
            </c:extLst>
          </c:dPt>
          <c:dPt>
            <c:idx val="233"/>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D7-5C98-4D40-B141-EE5540907357}"/>
              </c:ext>
            </c:extLst>
          </c:dPt>
          <c:dPt>
            <c:idx val="234"/>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D9-5C98-4D40-B141-EE5540907357}"/>
              </c:ext>
            </c:extLst>
          </c:dPt>
          <c:dPt>
            <c:idx val="235"/>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DB-5C98-4D40-B141-EE5540907357}"/>
              </c:ext>
            </c:extLst>
          </c:dPt>
          <c:dPt>
            <c:idx val="236"/>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DD-5C98-4D40-B141-EE5540907357}"/>
              </c:ext>
            </c:extLst>
          </c:dPt>
          <c:dPt>
            <c:idx val="237"/>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DF-5C98-4D40-B141-EE5540907357}"/>
              </c:ext>
            </c:extLst>
          </c:dPt>
          <c:dPt>
            <c:idx val="238"/>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E1-5C98-4D40-B141-EE5540907357}"/>
              </c:ext>
            </c:extLst>
          </c:dPt>
          <c:dPt>
            <c:idx val="239"/>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E3-5C98-4D40-B141-EE5540907357}"/>
              </c:ext>
            </c:extLst>
          </c:dPt>
          <c:dPt>
            <c:idx val="24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E5-5C98-4D40-B141-EE5540907357}"/>
              </c:ext>
            </c:extLst>
          </c:dPt>
          <c:dPt>
            <c:idx val="24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E7-5C98-4D40-B141-EE5540907357}"/>
              </c:ext>
            </c:extLst>
          </c:dPt>
          <c:dPt>
            <c:idx val="24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E9-5C98-4D40-B141-EE5540907357}"/>
              </c:ext>
            </c:extLst>
          </c:dPt>
          <c:dPt>
            <c:idx val="24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EB-5C98-4D40-B141-EE5540907357}"/>
              </c:ext>
            </c:extLst>
          </c:dPt>
          <c:dPt>
            <c:idx val="24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ED-5C98-4D40-B141-EE5540907357}"/>
              </c:ext>
            </c:extLst>
          </c:dPt>
          <c:dPt>
            <c:idx val="245"/>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EF-5C98-4D40-B141-EE5540907357}"/>
              </c:ext>
            </c:extLst>
          </c:dPt>
          <c:dPt>
            <c:idx val="246"/>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F1-5C98-4D40-B141-EE5540907357}"/>
              </c:ext>
            </c:extLst>
          </c:dPt>
          <c:dPt>
            <c:idx val="247"/>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F3-5C98-4D40-B141-EE5540907357}"/>
              </c:ext>
            </c:extLst>
          </c:dPt>
          <c:dPt>
            <c:idx val="248"/>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F5-5C98-4D40-B141-EE5540907357}"/>
              </c:ext>
            </c:extLst>
          </c:dPt>
          <c:dPt>
            <c:idx val="249"/>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F7-5C98-4D40-B141-EE5540907357}"/>
              </c:ext>
            </c:extLst>
          </c:dPt>
          <c:dPt>
            <c:idx val="25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F9-5C98-4D40-B141-EE5540907357}"/>
              </c:ext>
            </c:extLst>
          </c:dPt>
          <c:dPt>
            <c:idx val="251"/>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FB-5C98-4D40-B141-EE5540907357}"/>
              </c:ext>
            </c:extLst>
          </c:dPt>
          <c:dPt>
            <c:idx val="252"/>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FD-5C98-4D40-B141-EE5540907357}"/>
              </c:ext>
            </c:extLst>
          </c:dPt>
          <c:dPt>
            <c:idx val="253"/>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FF-5C98-4D40-B141-EE5540907357}"/>
              </c:ext>
            </c:extLst>
          </c:dPt>
          <c:dPt>
            <c:idx val="254"/>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201-5C98-4D40-B141-EE5540907357}"/>
              </c:ext>
            </c:extLst>
          </c:dPt>
          <c:dPt>
            <c:idx val="255"/>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203-5C98-4D40-B141-EE5540907357}"/>
              </c:ext>
            </c:extLst>
          </c:dPt>
          <c:dPt>
            <c:idx val="256"/>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205-5C98-4D40-B141-EE5540907357}"/>
              </c:ext>
            </c:extLst>
          </c:dPt>
          <c:dPt>
            <c:idx val="257"/>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207-5C98-4D40-B141-EE5540907357}"/>
              </c:ext>
            </c:extLst>
          </c:dPt>
          <c:dPt>
            <c:idx val="258"/>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209-5C98-4D40-B141-EE5540907357}"/>
              </c:ext>
            </c:extLst>
          </c:dPt>
          <c:dPt>
            <c:idx val="259"/>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20B-5C98-4D40-B141-EE5540907357}"/>
              </c:ext>
            </c:extLst>
          </c:dPt>
          <c:dPt>
            <c:idx val="260"/>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20D-5C98-4D40-B141-EE5540907357}"/>
              </c:ext>
            </c:extLst>
          </c:dPt>
          <c:dPt>
            <c:idx val="261"/>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20F-5C98-4D40-B141-EE5540907357}"/>
              </c:ext>
            </c:extLst>
          </c:dPt>
          <c:dPt>
            <c:idx val="262"/>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211-5C98-4D40-B141-EE5540907357}"/>
              </c:ext>
            </c:extLst>
          </c:dPt>
          <c:cat>
            <c:strLit>
              <c:ptCount val="263"/>
              <c:pt idx="0">
                <c:v>1</c:v>
              </c:pt>
              <c:pt idx="1">
                <c:v>2</c:v>
              </c:pt>
              <c:pt idx="2">
                <c:v>3</c:v>
              </c:pt>
              <c:pt idx="3">
                <c:v>6</c:v>
              </c:pt>
              <c:pt idx="4">
                <c:v>7</c:v>
              </c:pt>
              <c:pt idx="5">
                <c:v>8</c:v>
              </c:pt>
              <c:pt idx="6">
                <c:v>9</c:v>
              </c:pt>
              <c:pt idx="7">
                <c:v>10</c:v>
              </c:pt>
              <c:pt idx="8">
                <c:v>11</c:v>
              </c:pt>
              <c:pt idx="9">
                <c:v>12</c:v>
              </c:pt>
              <c:pt idx="10">
                <c:v>13</c:v>
              </c:pt>
              <c:pt idx="11">
                <c:v>14</c:v>
              </c:pt>
              <c:pt idx="12">
                <c:v>15</c:v>
              </c:pt>
              <c:pt idx="13">
                <c:v>16</c:v>
              </c:pt>
              <c:pt idx="14">
                <c:v>17</c:v>
              </c:pt>
              <c:pt idx="15">
                <c:v>18</c:v>
              </c:pt>
              <c:pt idx="16">
                <c:v>19</c:v>
              </c:pt>
              <c:pt idx="17">
                <c:v>20</c:v>
              </c:pt>
              <c:pt idx="18">
                <c:v>21</c:v>
              </c:pt>
              <c:pt idx="19">
                <c:v>22</c:v>
              </c:pt>
              <c:pt idx="20">
                <c:v>23</c:v>
              </c:pt>
              <c:pt idx="21">
                <c:v>24</c:v>
              </c:pt>
              <c:pt idx="22">
                <c:v>25</c:v>
              </c:pt>
              <c:pt idx="23">
                <c:v>26</c:v>
              </c:pt>
              <c:pt idx="24">
                <c:v>27</c:v>
              </c:pt>
              <c:pt idx="25">
                <c:v>28</c:v>
              </c:pt>
              <c:pt idx="26">
                <c:v>29</c:v>
              </c:pt>
              <c:pt idx="27">
                <c:v>30</c:v>
              </c:pt>
              <c:pt idx="28">
                <c:v>31</c:v>
              </c:pt>
              <c:pt idx="29">
                <c:v>32</c:v>
              </c:pt>
              <c:pt idx="30">
                <c:v>33</c:v>
              </c:pt>
              <c:pt idx="31">
                <c:v>34</c:v>
              </c:pt>
              <c:pt idx="32">
                <c:v>35</c:v>
              </c:pt>
              <c:pt idx="33">
                <c:v>36</c:v>
              </c:pt>
              <c:pt idx="34">
                <c:v>37</c:v>
              </c:pt>
              <c:pt idx="35">
                <c:v>38</c:v>
              </c:pt>
              <c:pt idx="36">
                <c:v>39</c:v>
              </c:pt>
              <c:pt idx="37">
                <c:v>40</c:v>
              </c:pt>
              <c:pt idx="38">
                <c:v>41</c:v>
              </c:pt>
              <c:pt idx="39">
                <c:v>42</c:v>
              </c:pt>
              <c:pt idx="40">
                <c:v>43</c:v>
              </c:pt>
              <c:pt idx="41">
                <c:v>44</c:v>
              </c:pt>
              <c:pt idx="42">
                <c:v>45</c:v>
              </c:pt>
              <c:pt idx="43">
                <c:v>46</c:v>
              </c:pt>
              <c:pt idx="44">
                <c:v>47</c:v>
              </c:pt>
              <c:pt idx="45">
                <c:v>48</c:v>
              </c:pt>
              <c:pt idx="46">
                <c:v>49</c:v>
              </c:pt>
              <c:pt idx="47">
                <c:v>50</c:v>
              </c:pt>
              <c:pt idx="48">
                <c:v>51</c:v>
              </c:pt>
              <c:pt idx="49">
                <c:v>52</c:v>
              </c:pt>
              <c:pt idx="50">
                <c:v>53</c:v>
              </c:pt>
              <c:pt idx="51">
                <c:v>54</c:v>
              </c:pt>
              <c:pt idx="52">
                <c:v>55</c:v>
              </c:pt>
              <c:pt idx="53">
                <c:v>56</c:v>
              </c:pt>
              <c:pt idx="54">
                <c:v>57</c:v>
              </c:pt>
              <c:pt idx="55">
                <c:v>58</c:v>
              </c:pt>
              <c:pt idx="56">
                <c:v>59</c:v>
              </c:pt>
              <c:pt idx="57">
                <c:v>60</c:v>
              </c:pt>
              <c:pt idx="58">
                <c:v>61</c:v>
              </c:pt>
              <c:pt idx="59">
                <c:v>62</c:v>
              </c:pt>
              <c:pt idx="60">
                <c:v>63</c:v>
              </c:pt>
              <c:pt idx="61">
                <c:v>64</c:v>
              </c:pt>
              <c:pt idx="62">
                <c:v>65</c:v>
              </c:pt>
              <c:pt idx="63">
                <c:v>66</c:v>
              </c:pt>
              <c:pt idx="64">
                <c:v>67</c:v>
              </c:pt>
              <c:pt idx="65">
                <c:v>68</c:v>
              </c:pt>
              <c:pt idx="66">
                <c:v>69</c:v>
              </c:pt>
              <c:pt idx="67">
                <c:v>70</c:v>
              </c:pt>
              <c:pt idx="68">
                <c:v>71</c:v>
              </c:pt>
              <c:pt idx="69">
                <c:v>72</c:v>
              </c:pt>
              <c:pt idx="70">
                <c:v>73</c:v>
              </c:pt>
              <c:pt idx="71">
                <c:v>74</c:v>
              </c:pt>
              <c:pt idx="72">
                <c:v>75</c:v>
              </c:pt>
              <c:pt idx="73">
                <c:v>76</c:v>
              </c:pt>
              <c:pt idx="74">
                <c:v>77</c:v>
              </c:pt>
              <c:pt idx="75">
                <c:v>78</c:v>
              </c:pt>
              <c:pt idx="76">
                <c:v>79</c:v>
              </c:pt>
              <c:pt idx="77">
                <c:v>80</c:v>
              </c:pt>
              <c:pt idx="78">
                <c:v>81</c:v>
              </c:pt>
              <c:pt idx="79">
                <c:v>82</c:v>
              </c:pt>
              <c:pt idx="80">
                <c:v>83</c:v>
              </c:pt>
              <c:pt idx="81">
                <c:v>84</c:v>
              </c:pt>
              <c:pt idx="82">
                <c:v>85</c:v>
              </c:pt>
              <c:pt idx="83">
                <c:v>86</c:v>
              </c:pt>
              <c:pt idx="84">
                <c:v>87</c:v>
              </c:pt>
              <c:pt idx="85">
                <c:v>88</c:v>
              </c:pt>
              <c:pt idx="86">
                <c:v>89</c:v>
              </c:pt>
              <c:pt idx="87">
                <c:v>90</c:v>
              </c:pt>
              <c:pt idx="88">
                <c:v>91</c:v>
              </c:pt>
              <c:pt idx="89">
                <c:v>92</c:v>
              </c:pt>
              <c:pt idx="90">
                <c:v>93</c:v>
              </c:pt>
              <c:pt idx="91">
                <c:v>94</c:v>
              </c:pt>
              <c:pt idx="92">
                <c:v>95</c:v>
              </c:pt>
              <c:pt idx="93">
                <c:v>96</c:v>
              </c:pt>
              <c:pt idx="94">
                <c:v>97</c:v>
              </c:pt>
              <c:pt idx="95">
                <c:v>98</c:v>
              </c:pt>
              <c:pt idx="96">
                <c:v>99</c:v>
              </c:pt>
              <c:pt idx="97">
                <c:v>100</c:v>
              </c:pt>
              <c:pt idx="98">
                <c:v>101</c:v>
              </c:pt>
              <c:pt idx="99">
                <c:v>102</c:v>
              </c:pt>
              <c:pt idx="100">
                <c:v>103</c:v>
              </c:pt>
              <c:pt idx="101">
                <c:v>104</c:v>
              </c:pt>
              <c:pt idx="102">
                <c:v>105</c:v>
              </c:pt>
              <c:pt idx="103">
                <c:v>106</c:v>
              </c:pt>
              <c:pt idx="104">
                <c:v>107</c:v>
              </c:pt>
              <c:pt idx="105">
                <c:v>108</c:v>
              </c:pt>
              <c:pt idx="106">
                <c:v>109</c:v>
              </c:pt>
              <c:pt idx="107">
                <c:v>110</c:v>
              </c:pt>
              <c:pt idx="108">
                <c:v>111</c:v>
              </c:pt>
              <c:pt idx="109">
                <c:v>112</c:v>
              </c:pt>
              <c:pt idx="110">
                <c:v>113</c:v>
              </c:pt>
              <c:pt idx="111">
                <c:v>114</c:v>
              </c:pt>
              <c:pt idx="112">
                <c:v>115</c:v>
              </c:pt>
              <c:pt idx="113">
                <c:v>116</c:v>
              </c:pt>
              <c:pt idx="114">
                <c:v>117</c:v>
              </c:pt>
              <c:pt idx="115">
                <c:v>118</c:v>
              </c:pt>
              <c:pt idx="116">
                <c:v>119</c:v>
              </c:pt>
              <c:pt idx="117">
                <c:v>120</c:v>
              </c:pt>
              <c:pt idx="118">
                <c:v>121</c:v>
              </c:pt>
              <c:pt idx="119">
                <c:v>122</c:v>
              </c:pt>
              <c:pt idx="120">
                <c:v>123</c:v>
              </c:pt>
              <c:pt idx="121">
                <c:v>124</c:v>
              </c:pt>
              <c:pt idx="122">
                <c:v>125</c:v>
              </c:pt>
              <c:pt idx="123">
                <c:v>126</c:v>
              </c:pt>
              <c:pt idx="124">
                <c:v>127</c:v>
              </c:pt>
              <c:pt idx="125">
                <c:v>128</c:v>
              </c:pt>
              <c:pt idx="126">
                <c:v>129</c:v>
              </c:pt>
              <c:pt idx="127">
                <c:v>130</c:v>
              </c:pt>
              <c:pt idx="128">
                <c:v>131</c:v>
              </c:pt>
              <c:pt idx="129">
                <c:v>132</c:v>
              </c:pt>
              <c:pt idx="130">
                <c:v>133</c:v>
              </c:pt>
              <c:pt idx="131">
                <c:v>134</c:v>
              </c:pt>
              <c:pt idx="132">
                <c:v>135</c:v>
              </c:pt>
              <c:pt idx="133">
                <c:v>136</c:v>
              </c:pt>
              <c:pt idx="134">
                <c:v>137</c:v>
              </c:pt>
              <c:pt idx="135">
                <c:v>138</c:v>
              </c:pt>
              <c:pt idx="136">
                <c:v>139</c:v>
              </c:pt>
              <c:pt idx="137">
                <c:v>140</c:v>
              </c:pt>
              <c:pt idx="138">
                <c:v>141</c:v>
              </c:pt>
              <c:pt idx="139">
                <c:v>142</c:v>
              </c:pt>
              <c:pt idx="140">
                <c:v>143</c:v>
              </c:pt>
              <c:pt idx="141">
                <c:v>144</c:v>
              </c:pt>
              <c:pt idx="142">
                <c:v>145</c:v>
              </c:pt>
              <c:pt idx="143">
                <c:v>146</c:v>
              </c:pt>
              <c:pt idx="144">
                <c:v>147</c:v>
              </c:pt>
              <c:pt idx="145">
                <c:v>148</c:v>
              </c:pt>
              <c:pt idx="146">
                <c:v>149</c:v>
              </c:pt>
              <c:pt idx="147">
                <c:v>150</c:v>
              </c:pt>
              <c:pt idx="148">
                <c:v>151</c:v>
              </c:pt>
              <c:pt idx="149">
                <c:v>152</c:v>
              </c:pt>
              <c:pt idx="150">
                <c:v>153</c:v>
              </c:pt>
              <c:pt idx="151">
                <c:v>154</c:v>
              </c:pt>
              <c:pt idx="152">
                <c:v>155</c:v>
              </c:pt>
              <c:pt idx="153">
                <c:v>156</c:v>
              </c:pt>
              <c:pt idx="154">
                <c:v>157</c:v>
              </c:pt>
              <c:pt idx="155">
                <c:v>158</c:v>
              </c:pt>
              <c:pt idx="156">
                <c:v>159</c:v>
              </c:pt>
              <c:pt idx="157">
                <c:v>160</c:v>
              </c:pt>
              <c:pt idx="158">
                <c:v>161</c:v>
              </c:pt>
              <c:pt idx="159">
                <c:v>162</c:v>
              </c:pt>
              <c:pt idx="160">
                <c:v>163</c:v>
              </c:pt>
              <c:pt idx="161">
                <c:v>164</c:v>
              </c:pt>
              <c:pt idx="162">
                <c:v>165</c:v>
              </c:pt>
              <c:pt idx="163">
                <c:v>166</c:v>
              </c:pt>
              <c:pt idx="164">
                <c:v>167</c:v>
              </c:pt>
              <c:pt idx="165">
                <c:v>168</c:v>
              </c:pt>
              <c:pt idx="166">
                <c:v>169</c:v>
              </c:pt>
              <c:pt idx="167">
                <c:v>170</c:v>
              </c:pt>
              <c:pt idx="168">
                <c:v>171</c:v>
              </c:pt>
              <c:pt idx="169">
                <c:v>172</c:v>
              </c:pt>
              <c:pt idx="170">
                <c:v>173</c:v>
              </c:pt>
              <c:pt idx="171">
                <c:v>174</c:v>
              </c:pt>
              <c:pt idx="172">
                <c:v>175</c:v>
              </c:pt>
              <c:pt idx="173">
                <c:v>176</c:v>
              </c:pt>
              <c:pt idx="174">
                <c:v>177</c:v>
              </c:pt>
              <c:pt idx="175">
                <c:v>178</c:v>
              </c:pt>
              <c:pt idx="176">
                <c:v>179</c:v>
              </c:pt>
              <c:pt idx="177">
                <c:v>180</c:v>
              </c:pt>
              <c:pt idx="178">
                <c:v>181</c:v>
              </c:pt>
              <c:pt idx="179">
                <c:v>182</c:v>
              </c:pt>
              <c:pt idx="180">
                <c:v>183</c:v>
              </c:pt>
              <c:pt idx="181">
                <c:v>184</c:v>
              </c:pt>
              <c:pt idx="182">
                <c:v>185</c:v>
              </c:pt>
              <c:pt idx="183">
                <c:v>186</c:v>
              </c:pt>
              <c:pt idx="184">
                <c:v>187</c:v>
              </c:pt>
              <c:pt idx="185">
                <c:v>188</c:v>
              </c:pt>
              <c:pt idx="186">
                <c:v>189</c:v>
              </c:pt>
              <c:pt idx="187">
                <c:v>190</c:v>
              </c:pt>
              <c:pt idx="188">
                <c:v>191</c:v>
              </c:pt>
              <c:pt idx="189">
                <c:v>192</c:v>
              </c:pt>
              <c:pt idx="190">
                <c:v>193</c:v>
              </c:pt>
              <c:pt idx="191">
                <c:v>194</c:v>
              </c:pt>
              <c:pt idx="192">
                <c:v>195</c:v>
              </c:pt>
              <c:pt idx="193">
                <c:v>196</c:v>
              </c:pt>
              <c:pt idx="194">
                <c:v>197</c:v>
              </c:pt>
              <c:pt idx="195">
                <c:v>198</c:v>
              </c:pt>
              <c:pt idx="196">
                <c:v>199</c:v>
              </c:pt>
              <c:pt idx="197">
                <c:v>200</c:v>
              </c:pt>
              <c:pt idx="198">
                <c:v>201</c:v>
              </c:pt>
              <c:pt idx="199">
                <c:v>202</c:v>
              </c:pt>
              <c:pt idx="200">
                <c:v>203</c:v>
              </c:pt>
              <c:pt idx="201">
                <c:v>204</c:v>
              </c:pt>
              <c:pt idx="202">
                <c:v>205</c:v>
              </c:pt>
              <c:pt idx="203">
                <c:v>206</c:v>
              </c:pt>
              <c:pt idx="204">
                <c:v>207</c:v>
              </c:pt>
              <c:pt idx="205">
                <c:v>208</c:v>
              </c:pt>
              <c:pt idx="206">
                <c:v>209</c:v>
              </c:pt>
              <c:pt idx="207">
                <c:v>210</c:v>
              </c:pt>
              <c:pt idx="208">
                <c:v>211</c:v>
              </c:pt>
              <c:pt idx="209">
                <c:v>212</c:v>
              </c:pt>
              <c:pt idx="210">
                <c:v>213</c:v>
              </c:pt>
              <c:pt idx="211">
                <c:v>214</c:v>
              </c:pt>
              <c:pt idx="212">
                <c:v>215</c:v>
              </c:pt>
              <c:pt idx="213">
                <c:v>216</c:v>
              </c:pt>
              <c:pt idx="214">
                <c:v>217</c:v>
              </c:pt>
              <c:pt idx="215">
                <c:v>218</c:v>
              </c:pt>
              <c:pt idx="216">
                <c:v>219</c:v>
              </c:pt>
              <c:pt idx="217">
                <c:v>220</c:v>
              </c:pt>
              <c:pt idx="218">
                <c:v>221</c:v>
              </c:pt>
              <c:pt idx="219">
                <c:v>222</c:v>
              </c:pt>
              <c:pt idx="220">
                <c:v>223</c:v>
              </c:pt>
              <c:pt idx="221">
                <c:v>224</c:v>
              </c:pt>
              <c:pt idx="222">
                <c:v>225</c:v>
              </c:pt>
              <c:pt idx="223">
                <c:v>226</c:v>
              </c:pt>
              <c:pt idx="224">
                <c:v>227</c:v>
              </c:pt>
              <c:pt idx="225">
                <c:v>228</c:v>
              </c:pt>
              <c:pt idx="226">
                <c:v>229</c:v>
              </c:pt>
              <c:pt idx="227">
                <c:v>230</c:v>
              </c:pt>
              <c:pt idx="228">
                <c:v>231</c:v>
              </c:pt>
              <c:pt idx="229">
                <c:v>232</c:v>
              </c:pt>
              <c:pt idx="230">
                <c:v>233</c:v>
              </c:pt>
              <c:pt idx="231">
                <c:v>234</c:v>
              </c:pt>
              <c:pt idx="232">
                <c:v>235</c:v>
              </c:pt>
              <c:pt idx="233">
                <c:v>236</c:v>
              </c:pt>
              <c:pt idx="234">
                <c:v>237</c:v>
              </c:pt>
              <c:pt idx="235">
                <c:v>238</c:v>
              </c:pt>
              <c:pt idx="236">
                <c:v>239</c:v>
              </c:pt>
              <c:pt idx="237">
                <c:v>240</c:v>
              </c:pt>
              <c:pt idx="238">
                <c:v>241</c:v>
              </c:pt>
              <c:pt idx="239">
                <c:v>242</c:v>
              </c:pt>
              <c:pt idx="240">
                <c:v>243</c:v>
              </c:pt>
              <c:pt idx="241">
                <c:v>244</c:v>
              </c:pt>
              <c:pt idx="242">
                <c:v>245</c:v>
              </c:pt>
              <c:pt idx="243">
                <c:v>246</c:v>
              </c:pt>
              <c:pt idx="244">
                <c:v>247</c:v>
              </c:pt>
              <c:pt idx="245">
                <c:v>248</c:v>
              </c:pt>
              <c:pt idx="246">
                <c:v>249</c:v>
              </c:pt>
              <c:pt idx="247">
                <c:v>250</c:v>
              </c:pt>
              <c:pt idx="248">
                <c:v>251</c:v>
              </c:pt>
              <c:pt idx="249">
                <c:v>252</c:v>
              </c:pt>
              <c:pt idx="250">
                <c:v>253</c:v>
              </c:pt>
              <c:pt idx="251">
                <c:v>254</c:v>
              </c:pt>
              <c:pt idx="252">
                <c:v>255</c:v>
              </c:pt>
              <c:pt idx="253">
                <c:v>256</c:v>
              </c:pt>
              <c:pt idx="254">
                <c:v>257</c:v>
              </c:pt>
              <c:pt idx="255">
                <c:v>258</c:v>
              </c:pt>
              <c:pt idx="256">
                <c:v>259</c:v>
              </c:pt>
              <c:pt idx="257">
                <c:v>260</c:v>
              </c:pt>
              <c:pt idx="258">
                <c:v>261</c:v>
              </c:pt>
              <c:pt idx="259">
                <c:v>262</c:v>
              </c:pt>
              <c:pt idx="260">
                <c:v>263</c:v>
              </c:pt>
              <c:pt idx="261">
                <c:v>264</c:v>
              </c:pt>
              <c:pt idx="262">
                <c:v>265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House!$F$34:$F$298</c15:sqref>
                  </c15:fullRef>
                </c:ext>
              </c:extLst>
              <c:f>(House!$F$34:$F$36,House!$F$39:$F$298)</c:f>
              <c:numCache>
                <c:formatCode>0.00%</c:formatCode>
                <c:ptCount val="263"/>
              </c:numCache>
            </c:numRef>
          </c:val>
          <c:extLst>
            <c:ext xmlns:c15="http://schemas.microsoft.com/office/drawing/2012/chart" uri="{02D57815-91ED-43cb-92C2-25804820EDAC}">
              <c15:categoryFilterExceptions/>
            </c:ext>
            <c:ext xmlns:c16="http://schemas.microsoft.com/office/drawing/2014/chart" uri="{C3380CC4-5D6E-409C-BE32-E72D297353CC}">
              <c16:uniqueId val="{00000212-5C98-4D40-B141-EE554090735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House!$I$34:$I$35</c:f>
              <c:strCache>
                <c:ptCount val="2"/>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1C6-4DD5-8C90-CDEBA6D1538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1C6-4DD5-8C90-CDEBA6D1538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1C6-4DD5-8C90-CDEBA6D1538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1C6-4DD5-8C90-CDEBA6D1538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1C6-4DD5-8C90-CDEBA6D1538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1C6-4DD5-8C90-CDEBA6D1538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1C6-4DD5-8C90-CDEBA6D1538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1C6-4DD5-8C90-CDEBA6D1538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1C6-4DD5-8C90-CDEBA6D1538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1C6-4DD5-8C90-CDEBA6D1538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1C6-4DD5-8C90-CDEBA6D1538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1C6-4DD5-8C90-CDEBA6D1538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1C6-4DD5-8C90-CDEBA6D1538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1C6-4DD5-8C90-CDEBA6D1538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1C6-4DD5-8C90-CDEBA6D1538C}"/>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01C6-4DD5-8C90-CDEBA6D1538C}"/>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01C6-4DD5-8C90-CDEBA6D1538C}"/>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01C6-4DD5-8C90-CDEBA6D1538C}"/>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01C6-4DD5-8C90-CDEBA6D1538C}"/>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01C6-4DD5-8C90-CDEBA6D1538C}"/>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01C6-4DD5-8C90-CDEBA6D1538C}"/>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01C6-4DD5-8C90-CDEBA6D1538C}"/>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01C6-4DD5-8C90-CDEBA6D1538C}"/>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01C6-4DD5-8C90-CDEBA6D1538C}"/>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01C6-4DD5-8C90-CDEBA6D1538C}"/>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01C6-4DD5-8C90-CDEBA6D1538C}"/>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01C6-4DD5-8C90-CDEBA6D1538C}"/>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7-01C6-4DD5-8C90-CDEBA6D1538C}"/>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9-01C6-4DD5-8C90-CDEBA6D1538C}"/>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B-01C6-4DD5-8C90-CDEBA6D1538C}"/>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3D-01C6-4DD5-8C90-CDEBA6D1538C}"/>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3F-01C6-4DD5-8C90-CDEBA6D1538C}"/>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1-01C6-4DD5-8C90-CDEBA6D1538C}"/>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3-01C6-4DD5-8C90-CDEBA6D1538C}"/>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5-01C6-4DD5-8C90-CDEBA6D1538C}"/>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7-01C6-4DD5-8C90-CDEBA6D1538C}"/>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9-01C6-4DD5-8C90-CDEBA6D1538C}"/>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B-01C6-4DD5-8C90-CDEBA6D1538C}"/>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4D-01C6-4DD5-8C90-CDEBA6D1538C}"/>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4F-01C6-4DD5-8C90-CDEBA6D1538C}"/>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1-01C6-4DD5-8C90-CDEBA6D1538C}"/>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3-01C6-4DD5-8C90-CDEBA6D1538C}"/>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5-01C6-4DD5-8C90-CDEBA6D1538C}"/>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57-01C6-4DD5-8C90-CDEBA6D1538C}"/>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59-01C6-4DD5-8C90-CDEBA6D1538C}"/>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5B-01C6-4DD5-8C90-CDEBA6D1538C}"/>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5D-01C6-4DD5-8C90-CDEBA6D1538C}"/>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5F-01C6-4DD5-8C90-CDEBA6D1538C}"/>
              </c:ext>
            </c:extLst>
          </c:dPt>
          <c:dPt>
            <c:idx val="4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1-01C6-4DD5-8C90-CDEBA6D1538C}"/>
              </c:ext>
            </c:extLst>
          </c:dPt>
          <c:dPt>
            <c:idx val="49"/>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63-01C6-4DD5-8C90-CDEBA6D1538C}"/>
              </c:ext>
            </c:extLst>
          </c:dPt>
          <c:dPt>
            <c:idx val="5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5-01C6-4DD5-8C90-CDEBA6D1538C}"/>
              </c:ext>
            </c:extLst>
          </c:dPt>
          <c:dPt>
            <c:idx val="51"/>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67-01C6-4DD5-8C90-CDEBA6D1538C}"/>
              </c:ext>
            </c:extLst>
          </c:dPt>
          <c:dPt>
            <c:idx val="5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9-01C6-4DD5-8C90-CDEBA6D1538C}"/>
              </c:ext>
            </c:extLst>
          </c:dPt>
          <c:dPt>
            <c:idx val="53"/>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6B-01C6-4DD5-8C90-CDEBA6D1538C}"/>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6D-01C6-4DD5-8C90-CDEBA6D1538C}"/>
              </c:ext>
            </c:extLst>
          </c:dPt>
          <c:dPt>
            <c:idx val="55"/>
            <c:bubble3D val="0"/>
            <c:spPr>
              <a:solidFill>
                <a:schemeClr val="accent2"/>
              </a:solidFill>
              <a:ln w="19050">
                <a:solidFill>
                  <a:schemeClr val="lt1"/>
                </a:solidFill>
              </a:ln>
              <a:effectLst/>
            </c:spPr>
            <c:extLst>
              <c:ext xmlns:c16="http://schemas.microsoft.com/office/drawing/2014/chart" uri="{C3380CC4-5D6E-409C-BE32-E72D297353CC}">
                <c16:uniqueId val="{0000006F-01C6-4DD5-8C90-CDEBA6D1538C}"/>
              </c:ext>
            </c:extLst>
          </c:dPt>
          <c:dPt>
            <c:idx val="56"/>
            <c:bubble3D val="0"/>
            <c:spPr>
              <a:solidFill>
                <a:schemeClr val="accent3"/>
              </a:solidFill>
              <a:ln w="19050">
                <a:solidFill>
                  <a:schemeClr val="lt1"/>
                </a:solidFill>
              </a:ln>
              <a:effectLst/>
            </c:spPr>
            <c:extLst>
              <c:ext xmlns:c16="http://schemas.microsoft.com/office/drawing/2014/chart" uri="{C3380CC4-5D6E-409C-BE32-E72D297353CC}">
                <c16:uniqueId val="{00000071-01C6-4DD5-8C90-CDEBA6D1538C}"/>
              </c:ext>
            </c:extLst>
          </c:dPt>
          <c:dPt>
            <c:idx val="57"/>
            <c:bubble3D val="0"/>
            <c:spPr>
              <a:solidFill>
                <a:schemeClr val="accent4"/>
              </a:solidFill>
              <a:ln w="19050">
                <a:solidFill>
                  <a:schemeClr val="lt1"/>
                </a:solidFill>
              </a:ln>
              <a:effectLst/>
            </c:spPr>
            <c:extLst>
              <c:ext xmlns:c16="http://schemas.microsoft.com/office/drawing/2014/chart" uri="{C3380CC4-5D6E-409C-BE32-E72D297353CC}">
                <c16:uniqueId val="{00000073-01C6-4DD5-8C90-CDEBA6D1538C}"/>
              </c:ext>
            </c:extLst>
          </c:dPt>
          <c:dPt>
            <c:idx val="58"/>
            <c:bubble3D val="0"/>
            <c:spPr>
              <a:solidFill>
                <a:schemeClr val="accent5"/>
              </a:solidFill>
              <a:ln w="19050">
                <a:solidFill>
                  <a:schemeClr val="lt1"/>
                </a:solidFill>
              </a:ln>
              <a:effectLst/>
            </c:spPr>
            <c:extLst>
              <c:ext xmlns:c16="http://schemas.microsoft.com/office/drawing/2014/chart" uri="{C3380CC4-5D6E-409C-BE32-E72D297353CC}">
                <c16:uniqueId val="{00000075-01C6-4DD5-8C90-CDEBA6D1538C}"/>
              </c:ext>
            </c:extLst>
          </c:dPt>
          <c:dPt>
            <c:idx val="59"/>
            <c:bubble3D val="0"/>
            <c:spPr>
              <a:solidFill>
                <a:schemeClr val="accent6"/>
              </a:solidFill>
              <a:ln w="19050">
                <a:solidFill>
                  <a:schemeClr val="lt1"/>
                </a:solidFill>
              </a:ln>
              <a:effectLst/>
            </c:spPr>
            <c:extLst>
              <c:ext xmlns:c16="http://schemas.microsoft.com/office/drawing/2014/chart" uri="{C3380CC4-5D6E-409C-BE32-E72D297353CC}">
                <c16:uniqueId val="{00000077-01C6-4DD5-8C90-CDEBA6D1538C}"/>
              </c:ext>
            </c:extLst>
          </c:dPt>
          <c:dPt>
            <c:idx val="6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9-01C6-4DD5-8C90-CDEBA6D1538C}"/>
              </c:ext>
            </c:extLst>
          </c:dPt>
          <c:dPt>
            <c:idx val="61"/>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7B-01C6-4DD5-8C90-CDEBA6D1538C}"/>
              </c:ext>
            </c:extLst>
          </c:dPt>
          <c:dPt>
            <c:idx val="6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7D-01C6-4DD5-8C90-CDEBA6D1538C}"/>
              </c:ext>
            </c:extLst>
          </c:dPt>
          <c:dPt>
            <c:idx val="63"/>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7F-01C6-4DD5-8C90-CDEBA6D1538C}"/>
              </c:ext>
            </c:extLst>
          </c:dPt>
          <c:dPt>
            <c:idx val="6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81-01C6-4DD5-8C90-CDEBA6D1538C}"/>
              </c:ext>
            </c:extLst>
          </c:dPt>
          <c:dPt>
            <c:idx val="6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83-01C6-4DD5-8C90-CDEBA6D1538C}"/>
              </c:ext>
            </c:extLst>
          </c:dPt>
          <c:dPt>
            <c:idx val="6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85-01C6-4DD5-8C90-CDEBA6D1538C}"/>
              </c:ext>
            </c:extLst>
          </c:dPt>
          <c:dPt>
            <c:idx val="67"/>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87-01C6-4DD5-8C90-CDEBA6D1538C}"/>
              </c:ext>
            </c:extLst>
          </c:dPt>
          <c:dPt>
            <c:idx val="6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89-01C6-4DD5-8C90-CDEBA6D1538C}"/>
              </c:ext>
            </c:extLst>
          </c:dPt>
          <c:dPt>
            <c:idx val="69"/>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8B-01C6-4DD5-8C90-CDEBA6D1538C}"/>
              </c:ext>
            </c:extLst>
          </c:dPt>
          <c:dPt>
            <c:idx val="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8D-01C6-4DD5-8C90-CDEBA6D1538C}"/>
              </c:ext>
            </c:extLst>
          </c:dPt>
          <c:dPt>
            <c:idx val="71"/>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8F-01C6-4DD5-8C90-CDEBA6D1538C}"/>
              </c:ext>
            </c:extLst>
          </c:dPt>
          <c:dPt>
            <c:idx val="7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91-01C6-4DD5-8C90-CDEBA6D1538C}"/>
              </c:ext>
            </c:extLst>
          </c:dPt>
          <c:dPt>
            <c:idx val="73"/>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93-01C6-4DD5-8C90-CDEBA6D1538C}"/>
              </c:ext>
            </c:extLst>
          </c:dPt>
          <c:dPt>
            <c:idx val="7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95-01C6-4DD5-8C90-CDEBA6D1538C}"/>
              </c:ext>
            </c:extLst>
          </c:dPt>
          <c:dPt>
            <c:idx val="75"/>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97-01C6-4DD5-8C90-CDEBA6D1538C}"/>
              </c:ext>
            </c:extLst>
          </c:dPt>
          <c:dPt>
            <c:idx val="7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99-01C6-4DD5-8C90-CDEBA6D1538C}"/>
              </c:ext>
            </c:extLst>
          </c:dPt>
          <c:dPt>
            <c:idx val="77"/>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9B-01C6-4DD5-8C90-CDEBA6D1538C}"/>
              </c:ext>
            </c:extLst>
          </c:dPt>
          <c:dPt>
            <c:idx val="7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9D-01C6-4DD5-8C90-CDEBA6D1538C}"/>
              </c:ext>
            </c:extLst>
          </c:dPt>
          <c:dPt>
            <c:idx val="7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9F-01C6-4DD5-8C90-CDEBA6D1538C}"/>
              </c:ext>
            </c:extLst>
          </c:dPt>
          <c:dPt>
            <c:idx val="8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A1-01C6-4DD5-8C90-CDEBA6D1538C}"/>
              </c:ext>
            </c:extLst>
          </c:dPt>
          <c:dPt>
            <c:idx val="8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A3-01C6-4DD5-8C90-CDEBA6D1538C}"/>
              </c:ext>
            </c:extLst>
          </c:dPt>
          <c:dPt>
            <c:idx val="8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A5-01C6-4DD5-8C90-CDEBA6D1538C}"/>
              </c:ext>
            </c:extLst>
          </c:dPt>
          <c:dPt>
            <c:idx val="8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A7-01C6-4DD5-8C90-CDEBA6D1538C}"/>
              </c:ext>
            </c:extLst>
          </c:dPt>
          <c:dPt>
            <c:idx val="8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A9-01C6-4DD5-8C90-CDEBA6D1538C}"/>
              </c:ext>
            </c:extLst>
          </c:dPt>
          <c:dPt>
            <c:idx val="8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AB-01C6-4DD5-8C90-CDEBA6D1538C}"/>
              </c:ext>
            </c:extLst>
          </c:dPt>
          <c:dPt>
            <c:idx val="8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AD-01C6-4DD5-8C90-CDEBA6D1538C}"/>
              </c:ext>
            </c:extLst>
          </c:dPt>
          <c:dPt>
            <c:idx val="87"/>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AF-01C6-4DD5-8C90-CDEBA6D1538C}"/>
              </c:ext>
            </c:extLst>
          </c:dPt>
          <c:dPt>
            <c:idx val="8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B1-01C6-4DD5-8C90-CDEBA6D1538C}"/>
              </c:ext>
            </c:extLst>
          </c:dPt>
          <c:dPt>
            <c:idx val="89"/>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B3-01C6-4DD5-8C90-CDEBA6D1538C}"/>
              </c:ext>
            </c:extLst>
          </c:dPt>
          <c:dPt>
            <c:idx val="9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B5-01C6-4DD5-8C90-CDEBA6D1538C}"/>
              </c:ext>
            </c:extLst>
          </c:dPt>
          <c:dPt>
            <c:idx val="91"/>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B7-01C6-4DD5-8C90-CDEBA6D1538C}"/>
              </c:ext>
            </c:extLst>
          </c:dPt>
          <c:dPt>
            <c:idx val="9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B9-01C6-4DD5-8C90-CDEBA6D1538C}"/>
              </c:ext>
            </c:extLst>
          </c:dPt>
          <c:dPt>
            <c:idx val="93"/>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BB-01C6-4DD5-8C90-CDEBA6D1538C}"/>
              </c:ext>
            </c:extLst>
          </c:dPt>
          <c:dPt>
            <c:idx val="9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BD-01C6-4DD5-8C90-CDEBA6D1538C}"/>
              </c:ext>
            </c:extLst>
          </c:dPt>
          <c:dPt>
            <c:idx val="95"/>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BF-01C6-4DD5-8C90-CDEBA6D1538C}"/>
              </c:ext>
            </c:extLst>
          </c:dPt>
          <c:dPt>
            <c:idx val="9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C1-01C6-4DD5-8C90-CDEBA6D1538C}"/>
              </c:ext>
            </c:extLst>
          </c:dPt>
          <c:dPt>
            <c:idx val="97"/>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C3-01C6-4DD5-8C90-CDEBA6D1538C}"/>
              </c:ext>
            </c:extLst>
          </c:dPt>
          <c:dPt>
            <c:idx val="9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C5-01C6-4DD5-8C90-CDEBA6D1538C}"/>
              </c:ext>
            </c:extLst>
          </c:dPt>
          <c:dPt>
            <c:idx val="99"/>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C7-01C6-4DD5-8C90-CDEBA6D1538C}"/>
              </c:ext>
            </c:extLst>
          </c:dPt>
          <c:dPt>
            <c:idx val="100"/>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C9-01C6-4DD5-8C90-CDEBA6D1538C}"/>
              </c:ext>
            </c:extLst>
          </c:dPt>
          <c:dPt>
            <c:idx val="101"/>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CB-01C6-4DD5-8C90-CDEBA6D1538C}"/>
              </c:ext>
            </c:extLst>
          </c:dPt>
          <c:dPt>
            <c:idx val="102"/>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CD-01C6-4DD5-8C90-CDEBA6D1538C}"/>
              </c:ext>
            </c:extLst>
          </c:dPt>
          <c:dPt>
            <c:idx val="103"/>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CF-01C6-4DD5-8C90-CDEBA6D1538C}"/>
              </c:ext>
            </c:extLst>
          </c:dPt>
          <c:dPt>
            <c:idx val="104"/>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D1-01C6-4DD5-8C90-CDEBA6D1538C}"/>
              </c:ext>
            </c:extLst>
          </c:dPt>
          <c:dPt>
            <c:idx val="105"/>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D3-01C6-4DD5-8C90-CDEBA6D1538C}"/>
              </c:ext>
            </c:extLst>
          </c:dPt>
          <c:dPt>
            <c:idx val="106"/>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D5-01C6-4DD5-8C90-CDEBA6D1538C}"/>
              </c:ext>
            </c:extLst>
          </c:dPt>
          <c:dPt>
            <c:idx val="107"/>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D7-01C6-4DD5-8C90-CDEBA6D1538C}"/>
              </c:ext>
            </c:extLst>
          </c:dPt>
          <c:dPt>
            <c:idx val="108"/>
            <c:bubble3D val="0"/>
            <c:spPr>
              <a:solidFill>
                <a:schemeClr val="accent1"/>
              </a:solidFill>
              <a:ln w="19050">
                <a:solidFill>
                  <a:schemeClr val="lt1"/>
                </a:solidFill>
              </a:ln>
              <a:effectLst/>
            </c:spPr>
            <c:extLst>
              <c:ext xmlns:c16="http://schemas.microsoft.com/office/drawing/2014/chart" uri="{C3380CC4-5D6E-409C-BE32-E72D297353CC}">
                <c16:uniqueId val="{000000D9-01C6-4DD5-8C90-CDEBA6D1538C}"/>
              </c:ext>
            </c:extLst>
          </c:dPt>
          <c:dPt>
            <c:idx val="109"/>
            <c:bubble3D val="0"/>
            <c:spPr>
              <a:solidFill>
                <a:schemeClr val="accent2"/>
              </a:solidFill>
              <a:ln w="19050">
                <a:solidFill>
                  <a:schemeClr val="lt1"/>
                </a:solidFill>
              </a:ln>
              <a:effectLst/>
            </c:spPr>
            <c:extLst>
              <c:ext xmlns:c16="http://schemas.microsoft.com/office/drawing/2014/chart" uri="{C3380CC4-5D6E-409C-BE32-E72D297353CC}">
                <c16:uniqueId val="{000000DB-01C6-4DD5-8C90-CDEBA6D1538C}"/>
              </c:ext>
            </c:extLst>
          </c:dPt>
          <c:dPt>
            <c:idx val="110"/>
            <c:bubble3D val="0"/>
            <c:spPr>
              <a:solidFill>
                <a:schemeClr val="accent3"/>
              </a:solidFill>
              <a:ln w="19050">
                <a:solidFill>
                  <a:schemeClr val="lt1"/>
                </a:solidFill>
              </a:ln>
              <a:effectLst/>
            </c:spPr>
            <c:extLst>
              <c:ext xmlns:c16="http://schemas.microsoft.com/office/drawing/2014/chart" uri="{C3380CC4-5D6E-409C-BE32-E72D297353CC}">
                <c16:uniqueId val="{000000DD-01C6-4DD5-8C90-CDEBA6D1538C}"/>
              </c:ext>
            </c:extLst>
          </c:dPt>
          <c:dPt>
            <c:idx val="111"/>
            <c:bubble3D val="0"/>
            <c:spPr>
              <a:solidFill>
                <a:schemeClr val="accent4"/>
              </a:solidFill>
              <a:ln w="19050">
                <a:solidFill>
                  <a:schemeClr val="lt1"/>
                </a:solidFill>
              </a:ln>
              <a:effectLst/>
            </c:spPr>
            <c:extLst>
              <c:ext xmlns:c16="http://schemas.microsoft.com/office/drawing/2014/chart" uri="{C3380CC4-5D6E-409C-BE32-E72D297353CC}">
                <c16:uniqueId val="{000000DF-01C6-4DD5-8C90-CDEBA6D1538C}"/>
              </c:ext>
            </c:extLst>
          </c:dPt>
          <c:dPt>
            <c:idx val="112"/>
            <c:bubble3D val="0"/>
            <c:spPr>
              <a:solidFill>
                <a:schemeClr val="accent5"/>
              </a:solidFill>
              <a:ln w="19050">
                <a:solidFill>
                  <a:schemeClr val="lt1"/>
                </a:solidFill>
              </a:ln>
              <a:effectLst/>
            </c:spPr>
            <c:extLst>
              <c:ext xmlns:c16="http://schemas.microsoft.com/office/drawing/2014/chart" uri="{C3380CC4-5D6E-409C-BE32-E72D297353CC}">
                <c16:uniqueId val="{000000E1-01C6-4DD5-8C90-CDEBA6D1538C}"/>
              </c:ext>
            </c:extLst>
          </c:dPt>
          <c:dPt>
            <c:idx val="113"/>
            <c:bubble3D val="0"/>
            <c:spPr>
              <a:solidFill>
                <a:schemeClr val="accent6"/>
              </a:solidFill>
              <a:ln w="19050">
                <a:solidFill>
                  <a:schemeClr val="lt1"/>
                </a:solidFill>
              </a:ln>
              <a:effectLst/>
            </c:spPr>
            <c:extLst>
              <c:ext xmlns:c16="http://schemas.microsoft.com/office/drawing/2014/chart" uri="{C3380CC4-5D6E-409C-BE32-E72D297353CC}">
                <c16:uniqueId val="{000000E3-01C6-4DD5-8C90-CDEBA6D1538C}"/>
              </c:ext>
            </c:extLst>
          </c:dPt>
          <c:dPt>
            <c:idx val="114"/>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E5-01C6-4DD5-8C90-CDEBA6D1538C}"/>
              </c:ext>
            </c:extLst>
          </c:dPt>
          <c:dPt>
            <c:idx val="115"/>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E7-01C6-4DD5-8C90-CDEBA6D1538C}"/>
              </c:ext>
            </c:extLst>
          </c:dPt>
          <c:dPt>
            <c:idx val="116"/>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E9-01C6-4DD5-8C90-CDEBA6D1538C}"/>
              </c:ext>
            </c:extLst>
          </c:dPt>
          <c:dPt>
            <c:idx val="117"/>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EB-01C6-4DD5-8C90-CDEBA6D1538C}"/>
              </c:ext>
            </c:extLst>
          </c:dPt>
          <c:dPt>
            <c:idx val="118"/>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ED-01C6-4DD5-8C90-CDEBA6D1538C}"/>
              </c:ext>
            </c:extLst>
          </c:dPt>
          <c:dPt>
            <c:idx val="119"/>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EF-01C6-4DD5-8C90-CDEBA6D1538C}"/>
              </c:ext>
            </c:extLst>
          </c:dPt>
          <c:dPt>
            <c:idx val="120"/>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F1-01C6-4DD5-8C90-CDEBA6D1538C}"/>
              </c:ext>
            </c:extLst>
          </c:dPt>
          <c:dPt>
            <c:idx val="121"/>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F3-01C6-4DD5-8C90-CDEBA6D1538C}"/>
              </c:ext>
            </c:extLst>
          </c:dPt>
          <c:dPt>
            <c:idx val="122"/>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F5-01C6-4DD5-8C90-CDEBA6D1538C}"/>
              </c:ext>
            </c:extLst>
          </c:dPt>
          <c:dPt>
            <c:idx val="123"/>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F7-01C6-4DD5-8C90-CDEBA6D1538C}"/>
              </c:ext>
            </c:extLst>
          </c:dPt>
          <c:dPt>
            <c:idx val="124"/>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F9-01C6-4DD5-8C90-CDEBA6D1538C}"/>
              </c:ext>
            </c:extLst>
          </c:dPt>
          <c:dPt>
            <c:idx val="125"/>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FB-01C6-4DD5-8C90-CDEBA6D1538C}"/>
              </c:ext>
            </c:extLst>
          </c:dPt>
          <c:dPt>
            <c:idx val="126"/>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FD-01C6-4DD5-8C90-CDEBA6D1538C}"/>
              </c:ext>
            </c:extLst>
          </c:dPt>
          <c:dPt>
            <c:idx val="127"/>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FF-01C6-4DD5-8C90-CDEBA6D1538C}"/>
              </c:ext>
            </c:extLst>
          </c:dPt>
          <c:dPt>
            <c:idx val="128"/>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01-01C6-4DD5-8C90-CDEBA6D1538C}"/>
              </c:ext>
            </c:extLst>
          </c:dPt>
          <c:dPt>
            <c:idx val="129"/>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03-01C6-4DD5-8C90-CDEBA6D1538C}"/>
              </c:ext>
            </c:extLst>
          </c:dPt>
          <c:dPt>
            <c:idx val="130"/>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05-01C6-4DD5-8C90-CDEBA6D1538C}"/>
              </c:ext>
            </c:extLst>
          </c:dPt>
          <c:dPt>
            <c:idx val="13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07-01C6-4DD5-8C90-CDEBA6D1538C}"/>
              </c:ext>
            </c:extLst>
          </c:dPt>
          <c:dPt>
            <c:idx val="13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09-01C6-4DD5-8C90-CDEBA6D1538C}"/>
              </c:ext>
            </c:extLst>
          </c:dPt>
          <c:dPt>
            <c:idx val="133"/>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0B-01C6-4DD5-8C90-CDEBA6D1538C}"/>
              </c:ext>
            </c:extLst>
          </c:dPt>
          <c:dPt>
            <c:idx val="134"/>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0D-01C6-4DD5-8C90-CDEBA6D1538C}"/>
              </c:ext>
            </c:extLst>
          </c:dPt>
          <c:dPt>
            <c:idx val="135"/>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0F-01C6-4DD5-8C90-CDEBA6D1538C}"/>
              </c:ext>
            </c:extLst>
          </c:dPt>
          <c:dPt>
            <c:idx val="136"/>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11-01C6-4DD5-8C90-CDEBA6D1538C}"/>
              </c:ext>
            </c:extLst>
          </c:dPt>
          <c:dPt>
            <c:idx val="137"/>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13-01C6-4DD5-8C90-CDEBA6D1538C}"/>
              </c:ext>
            </c:extLst>
          </c:dPt>
          <c:dPt>
            <c:idx val="138"/>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15-01C6-4DD5-8C90-CDEBA6D1538C}"/>
              </c:ext>
            </c:extLst>
          </c:dPt>
          <c:dPt>
            <c:idx val="139"/>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17-01C6-4DD5-8C90-CDEBA6D1538C}"/>
              </c:ext>
            </c:extLst>
          </c:dPt>
          <c:dPt>
            <c:idx val="140"/>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19-01C6-4DD5-8C90-CDEBA6D1538C}"/>
              </c:ext>
            </c:extLst>
          </c:dPt>
          <c:dPt>
            <c:idx val="141"/>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1B-01C6-4DD5-8C90-CDEBA6D1538C}"/>
              </c:ext>
            </c:extLst>
          </c:dPt>
          <c:dPt>
            <c:idx val="14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1D-01C6-4DD5-8C90-CDEBA6D1538C}"/>
              </c:ext>
            </c:extLst>
          </c:dPt>
          <c:dPt>
            <c:idx val="143"/>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1F-01C6-4DD5-8C90-CDEBA6D1538C}"/>
              </c:ext>
            </c:extLst>
          </c:dPt>
          <c:dPt>
            <c:idx val="144"/>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21-01C6-4DD5-8C90-CDEBA6D1538C}"/>
              </c:ext>
            </c:extLst>
          </c:dPt>
          <c:dPt>
            <c:idx val="145"/>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23-01C6-4DD5-8C90-CDEBA6D1538C}"/>
              </c:ext>
            </c:extLst>
          </c:dPt>
          <c:dPt>
            <c:idx val="146"/>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25-01C6-4DD5-8C90-CDEBA6D1538C}"/>
              </c:ext>
            </c:extLst>
          </c:dPt>
          <c:dPt>
            <c:idx val="147"/>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27-01C6-4DD5-8C90-CDEBA6D1538C}"/>
              </c:ext>
            </c:extLst>
          </c:dPt>
          <c:dPt>
            <c:idx val="148"/>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29-01C6-4DD5-8C90-CDEBA6D1538C}"/>
              </c:ext>
            </c:extLst>
          </c:dPt>
          <c:dPt>
            <c:idx val="149"/>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2B-01C6-4DD5-8C90-CDEBA6D1538C}"/>
              </c:ext>
            </c:extLst>
          </c:dPt>
          <c:dPt>
            <c:idx val="150"/>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2D-01C6-4DD5-8C90-CDEBA6D1538C}"/>
              </c:ext>
            </c:extLst>
          </c:dPt>
          <c:dPt>
            <c:idx val="151"/>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2F-01C6-4DD5-8C90-CDEBA6D1538C}"/>
              </c:ext>
            </c:extLst>
          </c:dPt>
          <c:dPt>
            <c:idx val="152"/>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31-01C6-4DD5-8C90-CDEBA6D1538C}"/>
              </c:ext>
            </c:extLst>
          </c:dPt>
          <c:dPt>
            <c:idx val="153"/>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33-01C6-4DD5-8C90-CDEBA6D1538C}"/>
              </c:ext>
            </c:extLst>
          </c:dPt>
          <c:dPt>
            <c:idx val="154"/>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35-01C6-4DD5-8C90-CDEBA6D1538C}"/>
              </c:ext>
            </c:extLst>
          </c:dPt>
          <c:dPt>
            <c:idx val="155"/>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37-01C6-4DD5-8C90-CDEBA6D1538C}"/>
              </c:ext>
            </c:extLst>
          </c:dPt>
          <c:dPt>
            <c:idx val="156"/>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39-01C6-4DD5-8C90-CDEBA6D1538C}"/>
              </c:ext>
            </c:extLst>
          </c:dPt>
          <c:dPt>
            <c:idx val="157"/>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3B-01C6-4DD5-8C90-CDEBA6D1538C}"/>
              </c:ext>
            </c:extLst>
          </c:dPt>
          <c:dPt>
            <c:idx val="158"/>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3D-01C6-4DD5-8C90-CDEBA6D1538C}"/>
              </c:ext>
            </c:extLst>
          </c:dPt>
          <c:dPt>
            <c:idx val="159"/>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3F-01C6-4DD5-8C90-CDEBA6D1538C}"/>
              </c:ext>
            </c:extLst>
          </c:dPt>
          <c:dPt>
            <c:idx val="160"/>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41-01C6-4DD5-8C90-CDEBA6D1538C}"/>
              </c:ext>
            </c:extLst>
          </c:dPt>
          <c:dPt>
            <c:idx val="161"/>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43-01C6-4DD5-8C90-CDEBA6D1538C}"/>
              </c:ext>
            </c:extLst>
          </c:dPt>
          <c:dPt>
            <c:idx val="162"/>
            <c:bubble3D val="0"/>
            <c:spPr>
              <a:solidFill>
                <a:schemeClr val="accent1"/>
              </a:solidFill>
              <a:ln w="19050">
                <a:solidFill>
                  <a:schemeClr val="lt1"/>
                </a:solidFill>
              </a:ln>
              <a:effectLst/>
            </c:spPr>
            <c:extLst>
              <c:ext xmlns:c16="http://schemas.microsoft.com/office/drawing/2014/chart" uri="{C3380CC4-5D6E-409C-BE32-E72D297353CC}">
                <c16:uniqueId val="{00000145-01C6-4DD5-8C90-CDEBA6D1538C}"/>
              </c:ext>
            </c:extLst>
          </c:dPt>
          <c:dPt>
            <c:idx val="163"/>
            <c:bubble3D val="0"/>
            <c:spPr>
              <a:solidFill>
                <a:schemeClr val="accent2"/>
              </a:solidFill>
              <a:ln w="19050">
                <a:solidFill>
                  <a:schemeClr val="lt1"/>
                </a:solidFill>
              </a:ln>
              <a:effectLst/>
            </c:spPr>
            <c:extLst>
              <c:ext xmlns:c16="http://schemas.microsoft.com/office/drawing/2014/chart" uri="{C3380CC4-5D6E-409C-BE32-E72D297353CC}">
                <c16:uniqueId val="{00000147-01C6-4DD5-8C90-CDEBA6D1538C}"/>
              </c:ext>
            </c:extLst>
          </c:dPt>
          <c:dPt>
            <c:idx val="164"/>
            <c:bubble3D val="0"/>
            <c:spPr>
              <a:solidFill>
                <a:schemeClr val="accent3"/>
              </a:solidFill>
              <a:ln w="19050">
                <a:solidFill>
                  <a:schemeClr val="lt1"/>
                </a:solidFill>
              </a:ln>
              <a:effectLst/>
            </c:spPr>
            <c:extLst>
              <c:ext xmlns:c16="http://schemas.microsoft.com/office/drawing/2014/chart" uri="{C3380CC4-5D6E-409C-BE32-E72D297353CC}">
                <c16:uniqueId val="{00000149-01C6-4DD5-8C90-CDEBA6D1538C}"/>
              </c:ext>
            </c:extLst>
          </c:dPt>
          <c:dPt>
            <c:idx val="165"/>
            <c:bubble3D val="0"/>
            <c:spPr>
              <a:solidFill>
                <a:schemeClr val="accent4"/>
              </a:solidFill>
              <a:ln w="19050">
                <a:solidFill>
                  <a:schemeClr val="lt1"/>
                </a:solidFill>
              </a:ln>
              <a:effectLst/>
            </c:spPr>
            <c:extLst>
              <c:ext xmlns:c16="http://schemas.microsoft.com/office/drawing/2014/chart" uri="{C3380CC4-5D6E-409C-BE32-E72D297353CC}">
                <c16:uniqueId val="{0000014B-01C6-4DD5-8C90-CDEBA6D1538C}"/>
              </c:ext>
            </c:extLst>
          </c:dPt>
          <c:dPt>
            <c:idx val="166"/>
            <c:bubble3D val="0"/>
            <c:spPr>
              <a:solidFill>
                <a:schemeClr val="accent5"/>
              </a:solidFill>
              <a:ln w="19050">
                <a:solidFill>
                  <a:schemeClr val="lt1"/>
                </a:solidFill>
              </a:ln>
              <a:effectLst/>
            </c:spPr>
            <c:extLst>
              <c:ext xmlns:c16="http://schemas.microsoft.com/office/drawing/2014/chart" uri="{C3380CC4-5D6E-409C-BE32-E72D297353CC}">
                <c16:uniqueId val="{0000014D-01C6-4DD5-8C90-CDEBA6D1538C}"/>
              </c:ext>
            </c:extLst>
          </c:dPt>
          <c:dPt>
            <c:idx val="167"/>
            <c:bubble3D val="0"/>
            <c:spPr>
              <a:solidFill>
                <a:schemeClr val="accent6"/>
              </a:solidFill>
              <a:ln w="19050">
                <a:solidFill>
                  <a:schemeClr val="lt1"/>
                </a:solidFill>
              </a:ln>
              <a:effectLst/>
            </c:spPr>
            <c:extLst>
              <c:ext xmlns:c16="http://schemas.microsoft.com/office/drawing/2014/chart" uri="{C3380CC4-5D6E-409C-BE32-E72D297353CC}">
                <c16:uniqueId val="{0000014F-01C6-4DD5-8C90-CDEBA6D1538C}"/>
              </c:ext>
            </c:extLst>
          </c:dPt>
          <c:dPt>
            <c:idx val="168"/>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51-01C6-4DD5-8C90-CDEBA6D1538C}"/>
              </c:ext>
            </c:extLst>
          </c:dPt>
          <c:dPt>
            <c:idx val="169"/>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53-01C6-4DD5-8C90-CDEBA6D1538C}"/>
              </c:ext>
            </c:extLst>
          </c:dPt>
          <c:dPt>
            <c:idx val="170"/>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55-01C6-4DD5-8C90-CDEBA6D1538C}"/>
              </c:ext>
            </c:extLst>
          </c:dPt>
          <c:dPt>
            <c:idx val="171"/>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57-01C6-4DD5-8C90-CDEBA6D1538C}"/>
              </c:ext>
            </c:extLst>
          </c:dPt>
          <c:dPt>
            <c:idx val="172"/>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59-01C6-4DD5-8C90-CDEBA6D1538C}"/>
              </c:ext>
            </c:extLst>
          </c:dPt>
          <c:dPt>
            <c:idx val="173"/>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5B-01C6-4DD5-8C90-CDEBA6D1538C}"/>
              </c:ext>
            </c:extLst>
          </c:dPt>
          <c:dPt>
            <c:idx val="174"/>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5D-01C6-4DD5-8C90-CDEBA6D1538C}"/>
              </c:ext>
            </c:extLst>
          </c:dPt>
          <c:dPt>
            <c:idx val="175"/>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5F-01C6-4DD5-8C90-CDEBA6D1538C}"/>
              </c:ext>
            </c:extLst>
          </c:dPt>
          <c:dPt>
            <c:idx val="176"/>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61-01C6-4DD5-8C90-CDEBA6D1538C}"/>
              </c:ext>
            </c:extLst>
          </c:dPt>
          <c:dPt>
            <c:idx val="17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63-01C6-4DD5-8C90-CDEBA6D1538C}"/>
              </c:ext>
            </c:extLst>
          </c:dPt>
          <c:dPt>
            <c:idx val="178"/>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65-01C6-4DD5-8C90-CDEBA6D1538C}"/>
              </c:ext>
            </c:extLst>
          </c:dPt>
          <c:dPt>
            <c:idx val="179"/>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67-01C6-4DD5-8C90-CDEBA6D1538C}"/>
              </c:ext>
            </c:extLst>
          </c:dPt>
          <c:dPt>
            <c:idx val="180"/>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69-01C6-4DD5-8C90-CDEBA6D1538C}"/>
              </c:ext>
            </c:extLst>
          </c:dPt>
          <c:dPt>
            <c:idx val="181"/>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6B-01C6-4DD5-8C90-CDEBA6D1538C}"/>
              </c:ext>
            </c:extLst>
          </c:dPt>
          <c:dPt>
            <c:idx val="182"/>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6D-01C6-4DD5-8C90-CDEBA6D1538C}"/>
              </c:ext>
            </c:extLst>
          </c:dPt>
          <c:dPt>
            <c:idx val="183"/>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6F-01C6-4DD5-8C90-CDEBA6D1538C}"/>
              </c:ext>
            </c:extLst>
          </c:dPt>
          <c:dPt>
            <c:idx val="184"/>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71-01C6-4DD5-8C90-CDEBA6D1538C}"/>
              </c:ext>
            </c:extLst>
          </c:dPt>
          <c:dPt>
            <c:idx val="185"/>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73-01C6-4DD5-8C90-CDEBA6D1538C}"/>
              </c:ext>
            </c:extLst>
          </c:dPt>
          <c:dPt>
            <c:idx val="18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75-01C6-4DD5-8C90-CDEBA6D1538C}"/>
              </c:ext>
            </c:extLst>
          </c:dPt>
          <c:dPt>
            <c:idx val="18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77-01C6-4DD5-8C90-CDEBA6D1538C}"/>
              </c:ext>
            </c:extLst>
          </c:dPt>
          <c:dPt>
            <c:idx val="188"/>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79-01C6-4DD5-8C90-CDEBA6D1538C}"/>
              </c:ext>
            </c:extLst>
          </c:dPt>
          <c:dPt>
            <c:idx val="189"/>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7B-01C6-4DD5-8C90-CDEBA6D1538C}"/>
              </c:ext>
            </c:extLst>
          </c:dPt>
          <c:dPt>
            <c:idx val="19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7D-01C6-4DD5-8C90-CDEBA6D1538C}"/>
              </c:ext>
            </c:extLst>
          </c:dPt>
          <c:dPt>
            <c:idx val="19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7F-01C6-4DD5-8C90-CDEBA6D1538C}"/>
              </c:ext>
            </c:extLst>
          </c:dPt>
          <c:dPt>
            <c:idx val="192"/>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81-01C6-4DD5-8C90-CDEBA6D1538C}"/>
              </c:ext>
            </c:extLst>
          </c:dPt>
          <c:dPt>
            <c:idx val="193"/>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83-01C6-4DD5-8C90-CDEBA6D1538C}"/>
              </c:ext>
            </c:extLst>
          </c:dPt>
          <c:dPt>
            <c:idx val="194"/>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85-01C6-4DD5-8C90-CDEBA6D1538C}"/>
              </c:ext>
            </c:extLst>
          </c:dPt>
          <c:dPt>
            <c:idx val="195"/>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87-01C6-4DD5-8C90-CDEBA6D1538C}"/>
              </c:ext>
            </c:extLst>
          </c:dPt>
          <c:dPt>
            <c:idx val="196"/>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89-01C6-4DD5-8C90-CDEBA6D1538C}"/>
              </c:ext>
            </c:extLst>
          </c:dPt>
          <c:dPt>
            <c:idx val="197"/>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8B-01C6-4DD5-8C90-CDEBA6D1538C}"/>
              </c:ext>
            </c:extLst>
          </c:dPt>
          <c:dPt>
            <c:idx val="198"/>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8D-01C6-4DD5-8C90-CDEBA6D1538C}"/>
              </c:ext>
            </c:extLst>
          </c:dPt>
          <c:dPt>
            <c:idx val="199"/>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8F-01C6-4DD5-8C90-CDEBA6D1538C}"/>
              </c:ext>
            </c:extLst>
          </c:dPt>
          <c:dPt>
            <c:idx val="200"/>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91-01C6-4DD5-8C90-CDEBA6D1538C}"/>
              </c:ext>
            </c:extLst>
          </c:dPt>
          <c:dPt>
            <c:idx val="201"/>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93-01C6-4DD5-8C90-CDEBA6D1538C}"/>
              </c:ext>
            </c:extLst>
          </c:dPt>
          <c:dPt>
            <c:idx val="202"/>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95-01C6-4DD5-8C90-CDEBA6D1538C}"/>
              </c:ext>
            </c:extLst>
          </c:dPt>
          <c:dPt>
            <c:idx val="203"/>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97-01C6-4DD5-8C90-CDEBA6D1538C}"/>
              </c:ext>
            </c:extLst>
          </c:dPt>
          <c:dPt>
            <c:idx val="204"/>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99-01C6-4DD5-8C90-CDEBA6D1538C}"/>
              </c:ext>
            </c:extLst>
          </c:dPt>
          <c:dPt>
            <c:idx val="205"/>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9B-01C6-4DD5-8C90-CDEBA6D1538C}"/>
              </c:ext>
            </c:extLst>
          </c:dPt>
          <c:dPt>
            <c:idx val="206"/>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9D-01C6-4DD5-8C90-CDEBA6D1538C}"/>
              </c:ext>
            </c:extLst>
          </c:dPt>
          <c:dPt>
            <c:idx val="207"/>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9F-01C6-4DD5-8C90-CDEBA6D1538C}"/>
              </c:ext>
            </c:extLst>
          </c:dPt>
          <c:dPt>
            <c:idx val="208"/>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A1-01C6-4DD5-8C90-CDEBA6D1538C}"/>
              </c:ext>
            </c:extLst>
          </c:dPt>
          <c:dPt>
            <c:idx val="209"/>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A3-01C6-4DD5-8C90-CDEBA6D1538C}"/>
              </c:ext>
            </c:extLst>
          </c:dPt>
          <c:dPt>
            <c:idx val="210"/>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A5-01C6-4DD5-8C90-CDEBA6D1538C}"/>
              </c:ext>
            </c:extLst>
          </c:dPt>
          <c:dPt>
            <c:idx val="211"/>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A7-01C6-4DD5-8C90-CDEBA6D1538C}"/>
              </c:ext>
            </c:extLst>
          </c:dPt>
          <c:dPt>
            <c:idx val="212"/>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A9-01C6-4DD5-8C90-CDEBA6D1538C}"/>
              </c:ext>
            </c:extLst>
          </c:dPt>
          <c:dPt>
            <c:idx val="213"/>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AB-01C6-4DD5-8C90-CDEBA6D1538C}"/>
              </c:ext>
            </c:extLst>
          </c:dPt>
          <c:dPt>
            <c:idx val="214"/>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AD-01C6-4DD5-8C90-CDEBA6D1538C}"/>
              </c:ext>
            </c:extLst>
          </c:dPt>
          <c:dPt>
            <c:idx val="215"/>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AF-01C6-4DD5-8C90-CDEBA6D1538C}"/>
              </c:ext>
            </c:extLst>
          </c:dPt>
          <c:dPt>
            <c:idx val="216"/>
            <c:bubble3D val="0"/>
            <c:spPr>
              <a:solidFill>
                <a:schemeClr val="accent1"/>
              </a:solidFill>
              <a:ln w="19050">
                <a:solidFill>
                  <a:schemeClr val="lt1"/>
                </a:solidFill>
              </a:ln>
              <a:effectLst/>
            </c:spPr>
            <c:extLst>
              <c:ext xmlns:c16="http://schemas.microsoft.com/office/drawing/2014/chart" uri="{C3380CC4-5D6E-409C-BE32-E72D297353CC}">
                <c16:uniqueId val="{000001B1-01C6-4DD5-8C90-CDEBA6D1538C}"/>
              </c:ext>
            </c:extLst>
          </c:dPt>
          <c:dPt>
            <c:idx val="217"/>
            <c:bubble3D val="0"/>
            <c:spPr>
              <a:solidFill>
                <a:schemeClr val="accent2"/>
              </a:solidFill>
              <a:ln w="19050">
                <a:solidFill>
                  <a:schemeClr val="lt1"/>
                </a:solidFill>
              </a:ln>
              <a:effectLst/>
            </c:spPr>
            <c:extLst>
              <c:ext xmlns:c16="http://schemas.microsoft.com/office/drawing/2014/chart" uri="{C3380CC4-5D6E-409C-BE32-E72D297353CC}">
                <c16:uniqueId val="{000001B3-01C6-4DD5-8C90-CDEBA6D1538C}"/>
              </c:ext>
            </c:extLst>
          </c:dPt>
          <c:dPt>
            <c:idx val="218"/>
            <c:bubble3D val="0"/>
            <c:spPr>
              <a:solidFill>
                <a:schemeClr val="accent3"/>
              </a:solidFill>
              <a:ln w="19050">
                <a:solidFill>
                  <a:schemeClr val="lt1"/>
                </a:solidFill>
              </a:ln>
              <a:effectLst/>
            </c:spPr>
            <c:extLst>
              <c:ext xmlns:c16="http://schemas.microsoft.com/office/drawing/2014/chart" uri="{C3380CC4-5D6E-409C-BE32-E72D297353CC}">
                <c16:uniqueId val="{000001B5-01C6-4DD5-8C90-CDEBA6D1538C}"/>
              </c:ext>
            </c:extLst>
          </c:dPt>
          <c:dPt>
            <c:idx val="219"/>
            <c:bubble3D val="0"/>
            <c:spPr>
              <a:solidFill>
                <a:schemeClr val="accent4"/>
              </a:solidFill>
              <a:ln w="19050">
                <a:solidFill>
                  <a:schemeClr val="lt1"/>
                </a:solidFill>
              </a:ln>
              <a:effectLst/>
            </c:spPr>
            <c:extLst>
              <c:ext xmlns:c16="http://schemas.microsoft.com/office/drawing/2014/chart" uri="{C3380CC4-5D6E-409C-BE32-E72D297353CC}">
                <c16:uniqueId val="{000001B7-01C6-4DD5-8C90-CDEBA6D1538C}"/>
              </c:ext>
            </c:extLst>
          </c:dPt>
          <c:dPt>
            <c:idx val="220"/>
            <c:bubble3D val="0"/>
            <c:spPr>
              <a:solidFill>
                <a:schemeClr val="accent5"/>
              </a:solidFill>
              <a:ln w="19050">
                <a:solidFill>
                  <a:schemeClr val="lt1"/>
                </a:solidFill>
              </a:ln>
              <a:effectLst/>
            </c:spPr>
            <c:extLst>
              <c:ext xmlns:c16="http://schemas.microsoft.com/office/drawing/2014/chart" uri="{C3380CC4-5D6E-409C-BE32-E72D297353CC}">
                <c16:uniqueId val="{000001B9-01C6-4DD5-8C90-CDEBA6D1538C}"/>
              </c:ext>
            </c:extLst>
          </c:dPt>
          <c:dPt>
            <c:idx val="221"/>
            <c:bubble3D val="0"/>
            <c:spPr>
              <a:solidFill>
                <a:schemeClr val="accent6"/>
              </a:solidFill>
              <a:ln w="19050">
                <a:solidFill>
                  <a:schemeClr val="lt1"/>
                </a:solidFill>
              </a:ln>
              <a:effectLst/>
            </c:spPr>
            <c:extLst>
              <c:ext xmlns:c16="http://schemas.microsoft.com/office/drawing/2014/chart" uri="{C3380CC4-5D6E-409C-BE32-E72D297353CC}">
                <c16:uniqueId val="{000001BB-01C6-4DD5-8C90-CDEBA6D1538C}"/>
              </c:ext>
            </c:extLst>
          </c:dPt>
          <c:dPt>
            <c:idx val="222"/>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BD-01C6-4DD5-8C90-CDEBA6D1538C}"/>
              </c:ext>
            </c:extLst>
          </c:dPt>
          <c:dPt>
            <c:idx val="22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BF-01C6-4DD5-8C90-CDEBA6D1538C}"/>
              </c:ext>
            </c:extLst>
          </c:dPt>
          <c:dPt>
            <c:idx val="22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C1-01C6-4DD5-8C90-CDEBA6D1538C}"/>
              </c:ext>
            </c:extLst>
          </c:dPt>
          <c:dPt>
            <c:idx val="225"/>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C3-01C6-4DD5-8C90-CDEBA6D1538C}"/>
              </c:ext>
            </c:extLst>
          </c:dPt>
          <c:dPt>
            <c:idx val="226"/>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C5-01C6-4DD5-8C90-CDEBA6D1538C}"/>
              </c:ext>
            </c:extLst>
          </c:dPt>
          <c:dPt>
            <c:idx val="227"/>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C7-01C6-4DD5-8C90-CDEBA6D1538C}"/>
              </c:ext>
            </c:extLst>
          </c:dPt>
          <c:dPt>
            <c:idx val="228"/>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C9-01C6-4DD5-8C90-CDEBA6D1538C}"/>
              </c:ext>
            </c:extLst>
          </c:dPt>
          <c:dPt>
            <c:idx val="229"/>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CB-01C6-4DD5-8C90-CDEBA6D1538C}"/>
              </c:ext>
            </c:extLst>
          </c:dPt>
          <c:dPt>
            <c:idx val="230"/>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CD-01C6-4DD5-8C90-CDEBA6D1538C}"/>
              </c:ext>
            </c:extLst>
          </c:dPt>
          <c:dPt>
            <c:idx val="231"/>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CF-01C6-4DD5-8C90-CDEBA6D1538C}"/>
              </c:ext>
            </c:extLst>
          </c:dPt>
          <c:dPt>
            <c:idx val="232"/>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D1-01C6-4DD5-8C90-CDEBA6D1538C}"/>
              </c:ext>
            </c:extLst>
          </c:dPt>
          <c:dPt>
            <c:idx val="233"/>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D3-01C6-4DD5-8C90-CDEBA6D1538C}"/>
              </c:ext>
            </c:extLst>
          </c:dPt>
          <c:dPt>
            <c:idx val="234"/>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D5-01C6-4DD5-8C90-CDEBA6D1538C}"/>
              </c:ext>
            </c:extLst>
          </c:dPt>
          <c:dPt>
            <c:idx val="235"/>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D7-01C6-4DD5-8C90-CDEBA6D1538C}"/>
              </c:ext>
            </c:extLst>
          </c:dPt>
          <c:dPt>
            <c:idx val="236"/>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D9-01C6-4DD5-8C90-CDEBA6D1538C}"/>
              </c:ext>
            </c:extLst>
          </c:dPt>
          <c:dPt>
            <c:idx val="237"/>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DB-01C6-4DD5-8C90-CDEBA6D1538C}"/>
              </c:ext>
            </c:extLst>
          </c:dPt>
          <c:dPt>
            <c:idx val="238"/>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DD-01C6-4DD5-8C90-CDEBA6D1538C}"/>
              </c:ext>
            </c:extLst>
          </c:dPt>
          <c:dPt>
            <c:idx val="239"/>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DF-01C6-4DD5-8C90-CDEBA6D1538C}"/>
              </c:ext>
            </c:extLst>
          </c:dPt>
          <c:dPt>
            <c:idx val="24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E1-01C6-4DD5-8C90-CDEBA6D1538C}"/>
              </c:ext>
            </c:extLst>
          </c:dPt>
          <c:dPt>
            <c:idx val="24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E3-01C6-4DD5-8C90-CDEBA6D1538C}"/>
              </c:ext>
            </c:extLst>
          </c:dPt>
          <c:dPt>
            <c:idx val="24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E5-01C6-4DD5-8C90-CDEBA6D1538C}"/>
              </c:ext>
            </c:extLst>
          </c:dPt>
          <c:dPt>
            <c:idx val="24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E7-01C6-4DD5-8C90-CDEBA6D1538C}"/>
              </c:ext>
            </c:extLst>
          </c:dPt>
          <c:dPt>
            <c:idx val="24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E9-01C6-4DD5-8C90-CDEBA6D1538C}"/>
              </c:ext>
            </c:extLst>
          </c:dPt>
          <c:dPt>
            <c:idx val="245"/>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EB-01C6-4DD5-8C90-CDEBA6D1538C}"/>
              </c:ext>
            </c:extLst>
          </c:dPt>
          <c:dPt>
            <c:idx val="246"/>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ED-01C6-4DD5-8C90-CDEBA6D1538C}"/>
              </c:ext>
            </c:extLst>
          </c:dPt>
          <c:dPt>
            <c:idx val="247"/>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EF-01C6-4DD5-8C90-CDEBA6D1538C}"/>
              </c:ext>
            </c:extLst>
          </c:dPt>
          <c:dPt>
            <c:idx val="248"/>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F1-01C6-4DD5-8C90-CDEBA6D1538C}"/>
              </c:ext>
            </c:extLst>
          </c:dPt>
          <c:dPt>
            <c:idx val="249"/>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F3-01C6-4DD5-8C90-CDEBA6D1538C}"/>
              </c:ext>
            </c:extLst>
          </c:dPt>
          <c:dPt>
            <c:idx val="25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F5-01C6-4DD5-8C90-CDEBA6D1538C}"/>
              </c:ext>
            </c:extLst>
          </c:dPt>
          <c:dPt>
            <c:idx val="251"/>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F7-01C6-4DD5-8C90-CDEBA6D1538C}"/>
              </c:ext>
            </c:extLst>
          </c:dPt>
          <c:dPt>
            <c:idx val="252"/>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F9-01C6-4DD5-8C90-CDEBA6D1538C}"/>
              </c:ext>
            </c:extLst>
          </c:dPt>
          <c:dPt>
            <c:idx val="253"/>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FB-01C6-4DD5-8C90-CDEBA6D1538C}"/>
              </c:ext>
            </c:extLst>
          </c:dPt>
          <c:dPt>
            <c:idx val="254"/>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FD-01C6-4DD5-8C90-CDEBA6D1538C}"/>
              </c:ext>
            </c:extLst>
          </c:dPt>
          <c:dPt>
            <c:idx val="255"/>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FF-01C6-4DD5-8C90-CDEBA6D1538C}"/>
              </c:ext>
            </c:extLst>
          </c:dPt>
          <c:dPt>
            <c:idx val="256"/>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201-01C6-4DD5-8C90-CDEBA6D1538C}"/>
              </c:ext>
            </c:extLst>
          </c:dPt>
          <c:dPt>
            <c:idx val="257"/>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203-01C6-4DD5-8C90-CDEBA6D1538C}"/>
              </c:ext>
            </c:extLst>
          </c:dPt>
          <c:dPt>
            <c:idx val="258"/>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205-01C6-4DD5-8C90-CDEBA6D1538C}"/>
              </c:ext>
            </c:extLst>
          </c:dPt>
          <c:dPt>
            <c:idx val="259"/>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207-01C6-4DD5-8C90-CDEBA6D1538C}"/>
              </c:ext>
            </c:extLst>
          </c:dPt>
          <c:dPt>
            <c:idx val="260"/>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209-01C6-4DD5-8C90-CDEBA6D1538C}"/>
              </c:ext>
            </c:extLst>
          </c:dPt>
          <c:dPt>
            <c:idx val="261"/>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20B-01C6-4DD5-8C90-CDEBA6D1538C}"/>
              </c:ext>
            </c:extLst>
          </c:dPt>
          <c:dPt>
            <c:idx val="262"/>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20D-01C6-4DD5-8C90-CDEBA6D1538C}"/>
              </c:ext>
            </c:extLst>
          </c:dPt>
          <c:dPt>
            <c:idx val="263"/>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20F-01C6-4DD5-8C90-CDEBA6D1538C}"/>
              </c:ext>
            </c:extLst>
          </c:dPt>
          <c:dPt>
            <c:idx val="264"/>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211-01C6-4DD5-8C90-CDEBA6D1538C}"/>
              </c:ext>
            </c:extLst>
          </c:dPt>
          <c:val>
            <c:numRef>
              <c:f>House!$I$34:$I$298</c:f>
              <c:numCache>
                <c:formatCode>0.00%</c:formatCode>
                <c:ptCount val="265"/>
              </c:numCache>
            </c:numRef>
          </c:val>
          <c:extLst>
            <c:ext xmlns:c16="http://schemas.microsoft.com/office/drawing/2014/chart" uri="{C3380CC4-5D6E-409C-BE32-E72D297353CC}">
              <c16:uniqueId val="{00000212-01C6-4DD5-8C90-CDEBA6D1538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House!$L$34:$L$298</c:f>
              <c:strCache>
                <c:ptCount val="265"/>
                <c:pt idx="0">
                  <c:v>1.00%</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275-4163-94E6-AD793D49BDD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275-4163-94E6-AD793D49BDD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275-4163-94E6-AD793D49BDD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275-4163-94E6-AD793D49BDD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275-4163-94E6-AD793D49BDD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275-4163-94E6-AD793D49BDD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275-4163-94E6-AD793D49BDD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275-4163-94E6-AD793D49BDD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275-4163-94E6-AD793D49BDD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275-4163-94E6-AD793D49BDD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275-4163-94E6-AD793D49BDD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275-4163-94E6-AD793D49BDD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275-4163-94E6-AD793D49BDD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275-4163-94E6-AD793D49BDD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275-4163-94E6-AD793D49BDDC}"/>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6275-4163-94E6-AD793D49BDDC}"/>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6275-4163-94E6-AD793D49BDDC}"/>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6275-4163-94E6-AD793D49BDDC}"/>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6275-4163-94E6-AD793D49BDDC}"/>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6275-4163-94E6-AD793D49BDDC}"/>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6275-4163-94E6-AD793D49BDDC}"/>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6275-4163-94E6-AD793D49BDDC}"/>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6275-4163-94E6-AD793D49BDDC}"/>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6275-4163-94E6-AD793D49BDDC}"/>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6275-4163-94E6-AD793D49BDDC}"/>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6275-4163-94E6-AD793D49BDDC}"/>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6275-4163-94E6-AD793D49BDDC}"/>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7-6275-4163-94E6-AD793D49BDDC}"/>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9-6275-4163-94E6-AD793D49BDDC}"/>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B-6275-4163-94E6-AD793D49BDDC}"/>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3D-6275-4163-94E6-AD793D49BDDC}"/>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3F-6275-4163-94E6-AD793D49BDDC}"/>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1-6275-4163-94E6-AD793D49BDDC}"/>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3-6275-4163-94E6-AD793D49BDDC}"/>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5-6275-4163-94E6-AD793D49BDDC}"/>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7-6275-4163-94E6-AD793D49BDDC}"/>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9-6275-4163-94E6-AD793D49BDDC}"/>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B-6275-4163-94E6-AD793D49BDDC}"/>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4D-6275-4163-94E6-AD793D49BDDC}"/>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4F-6275-4163-94E6-AD793D49BDDC}"/>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1-6275-4163-94E6-AD793D49BDDC}"/>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3-6275-4163-94E6-AD793D49BDDC}"/>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5-6275-4163-94E6-AD793D49BDDC}"/>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57-6275-4163-94E6-AD793D49BDDC}"/>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59-6275-4163-94E6-AD793D49BDDC}"/>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5B-6275-4163-94E6-AD793D49BDDC}"/>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5D-6275-4163-94E6-AD793D49BDDC}"/>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5F-6275-4163-94E6-AD793D49BDDC}"/>
              </c:ext>
            </c:extLst>
          </c:dPt>
          <c:dPt>
            <c:idx val="4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1-6275-4163-94E6-AD793D49BDDC}"/>
              </c:ext>
            </c:extLst>
          </c:dPt>
          <c:dPt>
            <c:idx val="49"/>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63-6275-4163-94E6-AD793D49BDDC}"/>
              </c:ext>
            </c:extLst>
          </c:dPt>
          <c:dPt>
            <c:idx val="5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5-6275-4163-94E6-AD793D49BDDC}"/>
              </c:ext>
            </c:extLst>
          </c:dPt>
          <c:dPt>
            <c:idx val="51"/>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67-6275-4163-94E6-AD793D49BDDC}"/>
              </c:ext>
            </c:extLst>
          </c:dPt>
          <c:dPt>
            <c:idx val="5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9-6275-4163-94E6-AD793D49BDDC}"/>
              </c:ext>
            </c:extLst>
          </c:dPt>
          <c:dPt>
            <c:idx val="53"/>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6B-6275-4163-94E6-AD793D49BDDC}"/>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6D-6275-4163-94E6-AD793D49BDDC}"/>
              </c:ext>
            </c:extLst>
          </c:dPt>
          <c:dPt>
            <c:idx val="55"/>
            <c:bubble3D val="0"/>
            <c:spPr>
              <a:solidFill>
                <a:schemeClr val="accent2"/>
              </a:solidFill>
              <a:ln w="19050">
                <a:solidFill>
                  <a:schemeClr val="lt1"/>
                </a:solidFill>
              </a:ln>
              <a:effectLst/>
            </c:spPr>
            <c:extLst>
              <c:ext xmlns:c16="http://schemas.microsoft.com/office/drawing/2014/chart" uri="{C3380CC4-5D6E-409C-BE32-E72D297353CC}">
                <c16:uniqueId val="{0000006F-6275-4163-94E6-AD793D49BDDC}"/>
              </c:ext>
            </c:extLst>
          </c:dPt>
          <c:dPt>
            <c:idx val="56"/>
            <c:bubble3D val="0"/>
            <c:spPr>
              <a:solidFill>
                <a:schemeClr val="accent3"/>
              </a:solidFill>
              <a:ln w="19050">
                <a:solidFill>
                  <a:schemeClr val="lt1"/>
                </a:solidFill>
              </a:ln>
              <a:effectLst/>
            </c:spPr>
            <c:extLst>
              <c:ext xmlns:c16="http://schemas.microsoft.com/office/drawing/2014/chart" uri="{C3380CC4-5D6E-409C-BE32-E72D297353CC}">
                <c16:uniqueId val="{00000071-6275-4163-94E6-AD793D49BDDC}"/>
              </c:ext>
            </c:extLst>
          </c:dPt>
          <c:dPt>
            <c:idx val="57"/>
            <c:bubble3D val="0"/>
            <c:spPr>
              <a:solidFill>
                <a:schemeClr val="accent4"/>
              </a:solidFill>
              <a:ln w="19050">
                <a:solidFill>
                  <a:schemeClr val="lt1"/>
                </a:solidFill>
              </a:ln>
              <a:effectLst/>
            </c:spPr>
            <c:extLst>
              <c:ext xmlns:c16="http://schemas.microsoft.com/office/drawing/2014/chart" uri="{C3380CC4-5D6E-409C-BE32-E72D297353CC}">
                <c16:uniqueId val="{00000073-6275-4163-94E6-AD793D49BDDC}"/>
              </c:ext>
            </c:extLst>
          </c:dPt>
          <c:dPt>
            <c:idx val="58"/>
            <c:bubble3D val="0"/>
            <c:spPr>
              <a:solidFill>
                <a:schemeClr val="accent5"/>
              </a:solidFill>
              <a:ln w="19050">
                <a:solidFill>
                  <a:schemeClr val="lt1"/>
                </a:solidFill>
              </a:ln>
              <a:effectLst/>
            </c:spPr>
            <c:extLst>
              <c:ext xmlns:c16="http://schemas.microsoft.com/office/drawing/2014/chart" uri="{C3380CC4-5D6E-409C-BE32-E72D297353CC}">
                <c16:uniqueId val="{00000075-6275-4163-94E6-AD793D49BDDC}"/>
              </c:ext>
            </c:extLst>
          </c:dPt>
          <c:dPt>
            <c:idx val="59"/>
            <c:bubble3D val="0"/>
            <c:spPr>
              <a:solidFill>
                <a:schemeClr val="accent6"/>
              </a:solidFill>
              <a:ln w="19050">
                <a:solidFill>
                  <a:schemeClr val="lt1"/>
                </a:solidFill>
              </a:ln>
              <a:effectLst/>
            </c:spPr>
            <c:extLst>
              <c:ext xmlns:c16="http://schemas.microsoft.com/office/drawing/2014/chart" uri="{C3380CC4-5D6E-409C-BE32-E72D297353CC}">
                <c16:uniqueId val="{00000077-6275-4163-94E6-AD793D49BDDC}"/>
              </c:ext>
            </c:extLst>
          </c:dPt>
          <c:dPt>
            <c:idx val="6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9-6275-4163-94E6-AD793D49BDDC}"/>
              </c:ext>
            </c:extLst>
          </c:dPt>
          <c:dPt>
            <c:idx val="61"/>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7B-6275-4163-94E6-AD793D49BDDC}"/>
              </c:ext>
            </c:extLst>
          </c:dPt>
          <c:dPt>
            <c:idx val="6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7D-6275-4163-94E6-AD793D49BDDC}"/>
              </c:ext>
            </c:extLst>
          </c:dPt>
          <c:dPt>
            <c:idx val="63"/>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7F-6275-4163-94E6-AD793D49BDDC}"/>
              </c:ext>
            </c:extLst>
          </c:dPt>
          <c:dPt>
            <c:idx val="6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81-6275-4163-94E6-AD793D49BDDC}"/>
              </c:ext>
            </c:extLst>
          </c:dPt>
          <c:dPt>
            <c:idx val="6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83-6275-4163-94E6-AD793D49BDDC}"/>
              </c:ext>
            </c:extLst>
          </c:dPt>
          <c:dPt>
            <c:idx val="6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85-6275-4163-94E6-AD793D49BDDC}"/>
              </c:ext>
            </c:extLst>
          </c:dPt>
          <c:dPt>
            <c:idx val="67"/>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87-6275-4163-94E6-AD793D49BDDC}"/>
              </c:ext>
            </c:extLst>
          </c:dPt>
          <c:dPt>
            <c:idx val="6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89-6275-4163-94E6-AD793D49BDDC}"/>
              </c:ext>
            </c:extLst>
          </c:dPt>
          <c:dPt>
            <c:idx val="69"/>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8B-6275-4163-94E6-AD793D49BDDC}"/>
              </c:ext>
            </c:extLst>
          </c:dPt>
          <c:dPt>
            <c:idx val="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8D-6275-4163-94E6-AD793D49BDDC}"/>
              </c:ext>
            </c:extLst>
          </c:dPt>
          <c:dPt>
            <c:idx val="71"/>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8F-6275-4163-94E6-AD793D49BDDC}"/>
              </c:ext>
            </c:extLst>
          </c:dPt>
          <c:dPt>
            <c:idx val="7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91-6275-4163-94E6-AD793D49BDDC}"/>
              </c:ext>
            </c:extLst>
          </c:dPt>
          <c:dPt>
            <c:idx val="73"/>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93-6275-4163-94E6-AD793D49BDDC}"/>
              </c:ext>
            </c:extLst>
          </c:dPt>
          <c:dPt>
            <c:idx val="7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95-6275-4163-94E6-AD793D49BDDC}"/>
              </c:ext>
            </c:extLst>
          </c:dPt>
          <c:dPt>
            <c:idx val="75"/>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97-6275-4163-94E6-AD793D49BDDC}"/>
              </c:ext>
            </c:extLst>
          </c:dPt>
          <c:dPt>
            <c:idx val="7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99-6275-4163-94E6-AD793D49BDDC}"/>
              </c:ext>
            </c:extLst>
          </c:dPt>
          <c:dPt>
            <c:idx val="77"/>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9B-6275-4163-94E6-AD793D49BDDC}"/>
              </c:ext>
            </c:extLst>
          </c:dPt>
          <c:dPt>
            <c:idx val="7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9D-6275-4163-94E6-AD793D49BDDC}"/>
              </c:ext>
            </c:extLst>
          </c:dPt>
          <c:dPt>
            <c:idx val="7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9F-6275-4163-94E6-AD793D49BDDC}"/>
              </c:ext>
            </c:extLst>
          </c:dPt>
          <c:dPt>
            <c:idx val="8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A1-6275-4163-94E6-AD793D49BDDC}"/>
              </c:ext>
            </c:extLst>
          </c:dPt>
          <c:dPt>
            <c:idx val="8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A3-6275-4163-94E6-AD793D49BDDC}"/>
              </c:ext>
            </c:extLst>
          </c:dPt>
          <c:dPt>
            <c:idx val="8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A5-6275-4163-94E6-AD793D49BDDC}"/>
              </c:ext>
            </c:extLst>
          </c:dPt>
          <c:dPt>
            <c:idx val="8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A7-6275-4163-94E6-AD793D49BDDC}"/>
              </c:ext>
            </c:extLst>
          </c:dPt>
          <c:dPt>
            <c:idx val="8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A9-6275-4163-94E6-AD793D49BDDC}"/>
              </c:ext>
            </c:extLst>
          </c:dPt>
          <c:dPt>
            <c:idx val="8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AB-6275-4163-94E6-AD793D49BDDC}"/>
              </c:ext>
            </c:extLst>
          </c:dPt>
          <c:dPt>
            <c:idx val="8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AD-6275-4163-94E6-AD793D49BDDC}"/>
              </c:ext>
            </c:extLst>
          </c:dPt>
          <c:dPt>
            <c:idx val="87"/>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AF-6275-4163-94E6-AD793D49BDDC}"/>
              </c:ext>
            </c:extLst>
          </c:dPt>
          <c:dPt>
            <c:idx val="8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B1-6275-4163-94E6-AD793D49BDDC}"/>
              </c:ext>
            </c:extLst>
          </c:dPt>
          <c:dPt>
            <c:idx val="89"/>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B3-6275-4163-94E6-AD793D49BDDC}"/>
              </c:ext>
            </c:extLst>
          </c:dPt>
          <c:dPt>
            <c:idx val="9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B5-6275-4163-94E6-AD793D49BDDC}"/>
              </c:ext>
            </c:extLst>
          </c:dPt>
          <c:dPt>
            <c:idx val="91"/>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B7-6275-4163-94E6-AD793D49BDDC}"/>
              </c:ext>
            </c:extLst>
          </c:dPt>
          <c:dPt>
            <c:idx val="9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B9-6275-4163-94E6-AD793D49BDDC}"/>
              </c:ext>
            </c:extLst>
          </c:dPt>
          <c:dPt>
            <c:idx val="93"/>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BB-6275-4163-94E6-AD793D49BDDC}"/>
              </c:ext>
            </c:extLst>
          </c:dPt>
          <c:dPt>
            <c:idx val="9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BD-6275-4163-94E6-AD793D49BDDC}"/>
              </c:ext>
            </c:extLst>
          </c:dPt>
          <c:dPt>
            <c:idx val="95"/>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BF-6275-4163-94E6-AD793D49BDDC}"/>
              </c:ext>
            </c:extLst>
          </c:dPt>
          <c:dPt>
            <c:idx val="9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C1-6275-4163-94E6-AD793D49BDDC}"/>
              </c:ext>
            </c:extLst>
          </c:dPt>
          <c:dPt>
            <c:idx val="97"/>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C3-6275-4163-94E6-AD793D49BDDC}"/>
              </c:ext>
            </c:extLst>
          </c:dPt>
          <c:dPt>
            <c:idx val="9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C5-6275-4163-94E6-AD793D49BDDC}"/>
              </c:ext>
            </c:extLst>
          </c:dPt>
          <c:dPt>
            <c:idx val="99"/>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C7-6275-4163-94E6-AD793D49BDDC}"/>
              </c:ext>
            </c:extLst>
          </c:dPt>
          <c:dPt>
            <c:idx val="100"/>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C9-6275-4163-94E6-AD793D49BDDC}"/>
              </c:ext>
            </c:extLst>
          </c:dPt>
          <c:dPt>
            <c:idx val="101"/>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CB-6275-4163-94E6-AD793D49BDDC}"/>
              </c:ext>
            </c:extLst>
          </c:dPt>
          <c:dPt>
            <c:idx val="102"/>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CD-6275-4163-94E6-AD793D49BDDC}"/>
              </c:ext>
            </c:extLst>
          </c:dPt>
          <c:dPt>
            <c:idx val="103"/>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CF-6275-4163-94E6-AD793D49BDDC}"/>
              </c:ext>
            </c:extLst>
          </c:dPt>
          <c:dPt>
            <c:idx val="104"/>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D1-6275-4163-94E6-AD793D49BDDC}"/>
              </c:ext>
            </c:extLst>
          </c:dPt>
          <c:dPt>
            <c:idx val="105"/>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D3-6275-4163-94E6-AD793D49BDDC}"/>
              </c:ext>
            </c:extLst>
          </c:dPt>
          <c:dPt>
            <c:idx val="106"/>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D5-6275-4163-94E6-AD793D49BDDC}"/>
              </c:ext>
            </c:extLst>
          </c:dPt>
          <c:dPt>
            <c:idx val="107"/>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D7-6275-4163-94E6-AD793D49BDDC}"/>
              </c:ext>
            </c:extLst>
          </c:dPt>
          <c:dPt>
            <c:idx val="108"/>
            <c:bubble3D val="0"/>
            <c:spPr>
              <a:solidFill>
                <a:schemeClr val="accent1"/>
              </a:solidFill>
              <a:ln w="19050">
                <a:solidFill>
                  <a:schemeClr val="lt1"/>
                </a:solidFill>
              </a:ln>
              <a:effectLst/>
            </c:spPr>
            <c:extLst>
              <c:ext xmlns:c16="http://schemas.microsoft.com/office/drawing/2014/chart" uri="{C3380CC4-5D6E-409C-BE32-E72D297353CC}">
                <c16:uniqueId val="{000000D9-6275-4163-94E6-AD793D49BDDC}"/>
              </c:ext>
            </c:extLst>
          </c:dPt>
          <c:dPt>
            <c:idx val="109"/>
            <c:bubble3D val="0"/>
            <c:spPr>
              <a:solidFill>
                <a:schemeClr val="accent2"/>
              </a:solidFill>
              <a:ln w="19050">
                <a:solidFill>
                  <a:schemeClr val="lt1"/>
                </a:solidFill>
              </a:ln>
              <a:effectLst/>
            </c:spPr>
            <c:extLst>
              <c:ext xmlns:c16="http://schemas.microsoft.com/office/drawing/2014/chart" uri="{C3380CC4-5D6E-409C-BE32-E72D297353CC}">
                <c16:uniqueId val="{000000DB-6275-4163-94E6-AD793D49BDDC}"/>
              </c:ext>
            </c:extLst>
          </c:dPt>
          <c:dPt>
            <c:idx val="110"/>
            <c:bubble3D val="0"/>
            <c:spPr>
              <a:solidFill>
                <a:schemeClr val="accent3"/>
              </a:solidFill>
              <a:ln w="19050">
                <a:solidFill>
                  <a:schemeClr val="lt1"/>
                </a:solidFill>
              </a:ln>
              <a:effectLst/>
            </c:spPr>
            <c:extLst>
              <c:ext xmlns:c16="http://schemas.microsoft.com/office/drawing/2014/chart" uri="{C3380CC4-5D6E-409C-BE32-E72D297353CC}">
                <c16:uniqueId val="{000000DD-6275-4163-94E6-AD793D49BDDC}"/>
              </c:ext>
            </c:extLst>
          </c:dPt>
          <c:dPt>
            <c:idx val="111"/>
            <c:bubble3D val="0"/>
            <c:spPr>
              <a:solidFill>
                <a:schemeClr val="accent4"/>
              </a:solidFill>
              <a:ln w="19050">
                <a:solidFill>
                  <a:schemeClr val="lt1"/>
                </a:solidFill>
              </a:ln>
              <a:effectLst/>
            </c:spPr>
            <c:extLst>
              <c:ext xmlns:c16="http://schemas.microsoft.com/office/drawing/2014/chart" uri="{C3380CC4-5D6E-409C-BE32-E72D297353CC}">
                <c16:uniqueId val="{000000DF-6275-4163-94E6-AD793D49BDDC}"/>
              </c:ext>
            </c:extLst>
          </c:dPt>
          <c:dPt>
            <c:idx val="112"/>
            <c:bubble3D val="0"/>
            <c:spPr>
              <a:solidFill>
                <a:schemeClr val="accent5"/>
              </a:solidFill>
              <a:ln w="19050">
                <a:solidFill>
                  <a:schemeClr val="lt1"/>
                </a:solidFill>
              </a:ln>
              <a:effectLst/>
            </c:spPr>
            <c:extLst>
              <c:ext xmlns:c16="http://schemas.microsoft.com/office/drawing/2014/chart" uri="{C3380CC4-5D6E-409C-BE32-E72D297353CC}">
                <c16:uniqueId val="{000000E1-6275-4163-94E6-AD793D49BDDC}"/>
              </c:ext>
            </c:extLst>
          </c:dPt>
          <c:dPt>
            <c:idx val="113"/>
            <c:bubble3D val="0"/>
            <c:spPr>
              <a:solidFill>
                <a:schemeClr val="accent6"/>
              </a:solidFill>
              <a:ln w="19050">
                <a:solidFill>
                  <a:schemeClr val="lt1"/>
                </a:solidFill>
              </a:ln>
              <a:effectLst/>
            </c:spPr>
            <c:extLst>
              <c:ext xmlns:c16="http://schemas.microsoft.com/office/drawing/2014/chart" uri="{C3380CC4-5D6E-409C-BE32-E72D297353CC}">
                <c16:uniqueId val="{000000E3-6275-4163-94E6-AD793D49BDDC}"/>
              </c:ext>
            </c:extLst>
          </c:dPt>
          <c:dPt>
            <c:idx val="114"/>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E5-6275-4163-94E6-AD793D49BDDC}"/>
              </c:ext>
            </c:extLst>
          </c:dPt>
          <c:dPt>
            <c:idx val="115"/>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E7-6275-4163-94E6-AD793D49BDDC}"/>
              </c:ext>
            </c:extLst>
          </c:dPt>
          <c:dPt>
            <c:idx val="116"/>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E9-6275-4163-94E6-AD793D49BDDC}"/>
              </c:ext>
            </c:extLst>
          </c:dPt>
          <c:dPt>
            <c:idx val="117"/>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EB-6275-4163-94E6-AD793D49BDDC}"/>
              </c:ext>
            </c:extLst>
          </c:dPt>
          <c:dPt>
            <c:idx val="118"/>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ED-6275-4163-94E6-AD793D49BDDC}"/>
              </c:ext>
            </c:extLst>
          </c:dPt>
          <c:dPt>
            <c:idx val="119"/>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EF-6275-4163-94E6-AD793D49BDDC}"/>
              </c:ext>
            </c:extLst>
          </c:dPt>
          <c:dPt>
            <c:idx val="120"/>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F1-6275-4163-94E6-AD793D49BDDC}"/>
              </c:ext>
            </c:extLst>
          </c:dPt>
          <c:dPt>
            <c:idx val="121"/>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F3-6275-4163-94E6-AD793D49BDDC}"/>
              </c:ext>
            </c:extLst>
          </c:dPt>
          <c:dPt>
            <c:idx val="122"/>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F5-6275-4163-94E6-AD793D49BDDC}"/>
              </c:ext>
            </c:extLst>
          </c:dPt>
          <c:dPt>
            <c:idx val="123"/>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F7-6275-4163-94E6-AD793D49BDDC}"/>
              </c:ext>
            </c:extLst>
          </c:dPt>
          <c:dPt>
            <c:idx val="124"/>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F9-6275-4163-94E6-AD793D49BDDC}"/>
              </c:ext>
            </c:extLst>
          </c:dPt>
          <c:dPt>
            <c:idx val="125"/>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FB-6275-4163-94E6-AD793D49BDDC}"/>
              </c:ext>
            </c:extLst>
          </c:dPt>
          <c:dPt>
            <c:idx val="126"/>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FD-6275-4163-94E6-AD793D49BDDC}"/>
              </c:ext>
            </c:extLst>
          </c:dPt>
          <c:dPt>
            <c:idx val="127"/>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FF-6275-4163-94E6-AD793D49BDDC}"/>
              </c:ext>
            </c:extLst>
          </c:dPt>
          <c:dPt>
            <c:idx val="128"/>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01-6275-4163-94E6-AD793D49BDDC}"/>
              </c:ext>
            </c:extLst>
          </c:dPt>
          <c:dPt>
            <c:idx val="129"/>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03-6275-4163-94E6-AD793D49BDDC}"/>
              </c:ext>
            </c:extLst>
          </c:dPt>
          <c:dPt>
            <c:idx val="130"/>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05-6275-4163-94E6-AD793D49BDDC}"/>
              </c:ext>
            </c:extLst>
          </c:dPt>
          <c:dPt>
            <c:idx val="13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07-6275-4163-94E6-AD793D49BDDC}"/>
              </c:ext>
            </c:extLst>
          </c:dPt>
          <c:dPt>
            <c:idx val="13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09-6275-4163-94E6-AD793D49BDDC}"/>
              </c:ext>
            </c:extLst>
          </c:dPt>
          <c:dPt>
            <c:idx val="133"/>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0B-6275-4163-94E6-AD793D49BDDC}"/>
              </c:ext>
            </c:extLst>
          </c:dPt>
          <c:dPt>
            <c:idx val="134"/>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0D-6275-4163-94E6-AD793D49BDDC}"/>
              </c:ext>
            </c:extLst>
          </c:dPt>
          <c:dPt>
            <c:idx val="135"/>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0F-6275-4163-94E6-AD793D49BDDC}"/>
              </c:ext>
            </c:extLst>
          </c:dPt>
          <c:dPt>
            <c:idx val="136"/>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11-6275-4163-94E6-AD793D49BDDC}"/>
              </c:ext>
            </c:extLst>
          </c:dPt>
          <c:dPt>
            <c:idx val="137"/>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13-6275-4163-94E6-AD793D49BDDC}"/>
              </c:ext>
            </c:extLst>
          </c:dPt>
          <c:dPt>
            <c:idx val="138"/>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15-6275-4163-94E6-AD793D49BDDC}"/>
              </c:ext>
            </c:extLst>
          </c:dPt>
          <c:dPt>
            <c:idx val="139"/>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17-6275-4163-94E6-AD793D49BDDC}"/>
              </c:ext>
            </c:extLst>
          </c:dPt>
          <c:dPt>
            <c:idx val="140"/>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19-6275-4163-94E6-AD793D49BDDC}"/>
              </c:ext>
            </c:extLst>
          </c:dPt>
          <c:dPt>
            <c:idx val="141"/>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1B-6275-4163-94E6-AD793D49BDDC}"/>
              </c:ext>
            </c:extLst>
          </c:dPt>
          <c:dPt>
            <c:idx val="14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1D-6275-4163-94E6-AD793D49BDDC}"/>
              </c:ext>
            </c:extLst>
          </c:dPt>
          <c:dPt>
            <c:idx val="143"/>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1F-6275-4163-94E6-AD793D49BDDC}"/>
              </c:ext>
            </c:extLst>
          </c:dPt>
          <c:dPt>
            <c:idx val="144"/>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21-6275-4163-94E6-AD793D49BDDC}"/>
              </c:ext>
            </c:extLst>
          </c:dPt>
          <c:dPt>
            <c:idx val="145"/>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23-6275-4163-94E6-AD793D49BDDC}"/>
              </c:ext>
            </c:extLst>
          </c:dPt>
          <c:dPt>
            <c:idx val="146"/>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25-6275-4163-94E6-AD793D49BDDC}"/>
              </c:ext>
            </c:extLst>
          </c:dPt>
          <c:dPt>
            <c:idx val="147"/>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27-6275-4163-94E6-AD793D49BDDC}"/>
              </c:ext>
            </c:extLst>
          </c:dPt>
          <c:dPt>
            <c:idx val="148"/>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29-6275-4163-94E6-AD793D49BDDC}"/>
              </c:ext>
            </c:extLst>
          </c:dPt>
          <c:dPt>
            <c:idx val="149"/>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2B-6275-4163-94E6-AD793D49BDDC}"/>
              </c:ext>
            </c:extLst>
          </c:dPt>
          <c:dPt>
            <c:idx val="150"/>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2D-6275-4163-94E6-AD793D49BDDC}"/>
              </c:ext>
            </c:extLst>
          </c:dPt>
          <c:dPt>
            <c:idx val="151"/>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2F-6275-4163-94E6-AD793D49BDDC}"/>
              </c:ext>
            </c:extLst>
          </c:dPt>
          <c:dPt>
            <c:idx val="152"/>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31-6275-4163-94E6-AD793D49BDDC}"/>
              </c:ext>
            </c:extLst>
          </c:dPt>
          <c:dPt>
            <c:idx val="153"/>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33-6275-4163-94E6-AD793D49BDDC}"/>
              </c:ext>
            </c:extLst>
          </c:dPt>
          <c:dPt>
            <c:idx val="154"/>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35-6275-4163-94E6-AD793D49BDDC}"/>
              </c:ext>
            </c:extLst>
          </c:dPt>
          <c:dPt>
            <c:idx val="155"/>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37-6275-4163-94E6-AD793D49BDDC}"/>
              </c:ext>
            </c:extLst>
          </c:dPt>
          <c:dPt>
            <c:idx val="156"/>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39-6275-4163-94E6-AD793D49BDDC}"/>
              </c:ext>
            </c:extLst>
          </c:dPt>
          <c:dPt>
            <c:idx val="157"/>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3B-6275-4163-94E6-AD793D49BDDC}"/>
              </c:ext>
            </c:extLst>
          </c:dPt>
          <c:dPt>
            <c:idx val="158"/>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3D-6275-4163-94E6-AD793D49BDDC}"/>
              </c:ext>
            </c:extLst>
          </c:dPt>
          <c:dPt>
            <c:idx val="159"/>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3F-6275-4163-94E6-AD793D49BDDC}"/>
              </c:ext>
            </c:extLst>
          </c:dPt>
          <c:dPt>
            <c:idx val="160"/>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41-6275-4163-94E6-AD793D49BDDC}"/>
              </c:ext>
            </c:extLst>
          </c:dPt>
          <c:dPt>
            <c:idx val="161"/>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43-6275-4163-94E6-AD793D49BDDC}"/>
              </c:ext>
            </c:extLst>
          </c:dPt>
          <c:dPt>
            <c:idx val="162"/>
            <c:bubble3D val="0"/>
            <c:spPr>
              <a:solidFill>
                <a:schemeClr val="accent1"/>
              </a:solidFill>
              <a:ln w="19050">
                <a:solidFill>
                  <a:schemeClr val="lt1"/>
                </a:solidFill>
              </a:ln>
              <a:effectLst/>
            </c:spPr>
            <c:extLst>
              <c:ext xmlns:c16="http://schemas.microsoft.com/office/drawing/2014/chart" uri="{C3380CC4-5D6E-409C-BE32-E72D297353CC}">
                <c16:uniqueId val="{00000145-6275-4163-94E6-AD793D49BDDC}"/>
              </c:ext>
            </c:extLst>
          </c:dPt>
          <c:dPt>
            <c:idx val="163"/>
            <c:bubble3D val="0"/>
            <c:spPr>
              <a:solidFill>
                <a:schemeClr val="accent2"/>
              </a:solidFill>
              <a:ln w="19050">
                <a:solidFill>
                  <a:schemeClr val="lt1"/>
                </a:solidFill>
              </a:ln>
              <a:effectLst/>
            </c:spPr>
            <c:extLst>
              <c:ext xmlns:c16="http://schemas.microsoft.com/office/drawing/2014/chart" uri="{C3380CC4-5D6E-409C-BE32-E72D297353CC}">
                <c16:uniqueId val="{00000147-6275-4163-94E6-AD793D49BDDC}"/>
              </c:ext>
            </c:extLst>
          </c:dPt>
          <c:dPt>
            <c:idx val="164"/>
            <c:bubble3D val="0"/>
            <c:spPr>
              <a:solidFill>
                <a:schemeClr val="accent3"/>
              </a:solidFill>
              <a:ln w="19050">
                <a:solidFill>
                  <a:schemeClr val="lt1"/>
                </a:solidFill>
              </a:ln>
              <a:effectLst/>
            </c:spPr>
            <c:extLst>
              <c:ext xmlns:c16="http://schemas.microsoft.com/office/drawing/2014/chart" uri="{C3380CC4-5D6E-409C-BE32-E72D297353CC}">
                <c16:uniqueId val="{00000149-6275-4163-94E6-AD793D49BDDC}"/>
              </c:ext>
            </c:extLst>
          </c:dPt>
          <c:dPt>
            <c:idx val="165"/>
            <c:bubble3D val="0"/>
            <c:spPr>
              <a:solidFill>
                <a:schemeClr val="accent4"/>
              </a:solidFill>
              <a:ln w="19050">
                <a:solidFill>
                  <a:schemeClr val="lt1"/>
                </a:solidFill>
              </a:ln>
              <a:effectLst/>
            </c:spPr>
            <c:extLst>
              <c:ext xmlns:c16="http://schemas.microsoft.com/office/drawing/2014/chart" uri="{C3380CC4-5D6E-409C-BE32-E72D297353CC}">
                <c16:uniqueId val="{0000014B-6275-4163-94E6-AD793D49BDDC}"/>
              </c:ext>
            </c:extLst>
          </c:dPt>
          <c:dPt>
            <c:idx val="166"/>
            <c:bubble3D val="0"/>
            <c:spPr>
              <a:solidFill>
                <a:schemeClr val="accent5"/>
              </a:solidFill>
              <a:ln w="19050">
                <a:solidFill>
                  <a:schemeClr val="lt1"/>
                </a:solidFill>
              </a:ln>
              <a:effectLst/>
            </c:spPr>
            <c:extLst>
              <c:ext xmlns:c16="http://schemas.microsoft.com/office/drawing/2014/chart" uri="{C3380CC4-5D6E-409C-BE32-E72D297353CC}">
                <c16:uniqueId val="{0000014D-6275-4163-94E6-AD793D49BDDC}"/>
              </c:ext>
            </c:extLst>
          </c:dPt>
          <c:dPt>
            <c:idx val="167"/>
            <c:bubble3D val="0"/>
            <c:spPr>
              <a:solidFill>
                <a:schemeClr val="accent6"/>
              </a:solidFill>
              <a:ln w="19050">
                <a:solidFill>
                  <a:schemeClr val="lt1"/>
                </a:solidFill>
              </a:ln>
              <a:effectLst/>
            </c:spPr>
            <c:extLst>
              <c:ext xmlns:c16="http://schemas.microsoft.com/office/drawing/2014/chart" uri="{C3380CC4-5D6E-409C-BE32-E72D297353CC}">
                <c16:uniqueId val="{0000014F-6275-4163-94E6-AD793D49BDDC}"/>
              </c:ext>
            </c:extLst>
          </c:dPt>
          <c:dPt>
            <c:idx val="168"/>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51-6275-4163-94E6-AD793D49BDDC}"/>
              </c:ext>
            </c:extLst>
          </c:dPt>
          <c:dPt>
            <c:idx val="169"/>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53-6275-4163-94E6-AD793D49BDDC}"/>
              </c:ext>
            </c:extLst>
          </c:dPt>
          <c:dPt>
            <c:idx val="170"/>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55-6275-4163-94E6-AD793D49BDDC}"/>
              </c:ext>
            </c:extLst>
          </c:dPt>
          <c:dPt>
            <c:idx val="171"/>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57-6275-4163-94E6-AD793D49BDDC}"/>
              </c:ext>
            </c:extLst>
          </c:dPt>
          <c:dPt>
            <c:idx val="172"/>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59-6275-4163-94E6-AD793D49BDDC}"/>
              </c:ext>
            </c:extLst>
          </c:dPt>
          <c:dPt>
            <c:idx val="173"/>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5B-6275-4163-94E6-AD793D49BDDC}"/>
              </c:ext>
            </c:extLst>
          </c:dPt>
          <c:dPt>
            <c:idx val="174"/>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5D-6275-4163-94E6-AD793D49BDDC}"/>
              </c:ext>
            </c:extLst>
          </c:dPt>
          <c:dPt>
            <c:idx val="175"/>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5F-6275-4163-94E6-AD793D49BDDC}"/>
              </c:ext>
            </c:extLst>
          </c:dPt>
          <c:dPt>
            <c:idx val="176"/>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61-6275-4163-94E6-AD793D49BDDC}"/>
              </c:ext>
            </c:extLst>
          </c:dPt>
          <c:dPt>
            <c:idx val="17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63-6275-4163-94E6-AD793D49BDDC}"/>
              </c:ext>
            </c:extLst>
          </c:dPt>
          <c:dPt>
            <c:idx val="178"/>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65-6275-4163-94E6-AD793D49BDDC}"/>
              </c:ext>
            </c:extLst>
          </c:dPt>
          <c:dPt>
            <c:idx val="179"/>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67-6275-4163-94E6-AD793D49BDDC}"/>
              </c:ext>
            </c:extLst>
          </c:dPt>
          <c:dPt>
            <c:idx val="180"/>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69-6275-4163-94E6-AD793D49BDDC}"/>
              </c:ext>
            </c:extLst>
          </c:dPt>
          <c:dPt>
            <c:idx val="181"/>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6B-6275-4163-94E6-AD793D49BDDC}"/>
              </c:ext>
            </c:extLst>
          </c:dPt>
          <c:dPt>
            <c:idx val="182"/>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6D-6275-4163-94E6-AD793D49BDDC}"/>
              </c:ext>
            </c:extLst>
          </c:dPt>
          <c:dPt>
            <c:idx val="183"/>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6F-6275-4163-94E6-AD793D49BDDC}"/>
              </c:ext>
            </c:extLst>
          </c:dPt>
          <c:dPt>
            <c:idx val="184"/>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71-6275-4163-94E6-AD793D49BDDC}"/>
              </c:ext>
            </c:extLst>
          </c:dPt>
          <c:dPt>
            <c:idx val="185"/>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73-6275-4163-94E6-AD793D49BDDC}"/>
              </c:ext>
            </c:extLst>
          </c:dPt>
          <c:dPt>
            <c:idx val="18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75-6275-4163-94E6-AD793D49BDDC}"/>
              </c:ext>
            </c:extLst>
          </c:dPt>
          <c:dPt>
            <c:idx val="18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77-6275-4163-94E6-AD793D49BDDC}"/>
              </c:ext>
            </c:extLst>
          </c:dPt>
          <c:dPt>
            <c:idx val="188"/>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79-6275-4163-94E6-AD793D49BDDC}"/>
              </c:ext>
            </c:extLst>
          </c:dPt>
          <c:dPt>
            <c:idx val="189"/>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7B-6275-4163-94E6-AD793D49BDDC}"/>
              </c:ext>
            </c:extLst>
          </c:dPt>
          <c:dPt>
            <c:idx val="19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7D-6275-4163-94E6-AD793D49BDDC}"/>
              </c:ext>
            </c:extLst>
          </c:dPt>
          <c:dPt>
            <c:idx val="19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7F-6275-4163-94E6-AD793D49BDDC}"/>
              </c:ext>
            </c:extLst>
          </c:dPt>
          <c:dPt>
            <c:idx val="192"/>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81-6275-4163-94E6-AD793D49BDDC}"/>
              </c:ext>
            </c:extLst>
          </c:dPt>
          <c:dPt>
            <c:idx val="193"/>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83-6275-4163-94E6-AD793D49BDDC}"/>
              </c:ext>
            </c:extLst>
          </c:dPt>
          <c:dPt>
            <c:idx val="194"/>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85-6275-4163-94E6-AD793D49BDDC}"/>
              </c:ext>
            </c:extLst>
          </c:dPt>
          <c:dPt>
            <c:idx val="195"/>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87-6275-4163-94E6-AD793D49BDDC}"/>
              </c:ext>
            </c:extLst>
          </c:dPt>
          <c:dPt>
            <c:idx val="196"/>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89-6275-4163-94E6-AD793D49BDDC}"/>
              </c:ext>
            </c:extLst>
          </c:dPt>
          <c:dPt>
            <c:idx val="197"/>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8B-6275-4163-94E6-AD793D49BDDC}"/>
              </c:ext>
            </c:extLst>
          </c:dPt>
          <c:dPt>
            <c:idx val="198"/>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8D-6275-4163-94E6-AD793D49BDDC}"/>
              </c:ext>
            </c:extLst>
          </c:dPt>
          <c:dPt>
            <c:idx val="199"/>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8F-6275-4163-94E6-AD793D49BDDC}"/>
              </c:ext>
            </c:extLst>
          </c:dPt>
          <c:dPt>
            <c:idx val="200"/>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91-6275-4163-94E6-AD793D49BDDC}"/>
              </c:ext>
            </c:extLst>
          </c:dPt>
          <c:dPt>
            <c:idx val="201"/>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93-6275-4163-94E6-AD793D49BDDC}"/>
              </c:ext>
            </c:extLst>
          </c:dPt>
          <c:dPt>
            <c:idx val="202"/>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95-6275-4163-94E6-AD793D49BDDC}"/>
              </c:ext>
            </c:extLst>
          </c:dPt>
          <c:dPt>
            <c:idx val="203"/>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97-6275-4163-94E6-AD793D49BDDC}"/>
              </c:ext>
            </c:extLst>
          </c:dPt>
          <c:dPt>
            <c:idx val="204"/>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99-6275-4163-94E6-AD793D49BDDC}"/>
              </c:ext>
            </c:extLst>
          </c:dPt>
          <c:dPt>
            <c:idx val="205"/>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9B-6275-4163-94E6-AD793D49BDDC}"/>
              </c:ext>
            </c:extLst>
          </c:dPt>
          <c:dPt>
            <c:idx val="206"/>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9D-6275-4163-94E6-AD793D49BDDC}"/>
              </c:ext>
            </c:extLst>
          </c:dPt>
          <c:dPt>
            <c:idx val="207"/>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9F-6275-4163-94E6-AD793D49BDDC}"/>
              </c:ext>
            </c:extLst>
          </c:dPt>
          <c:dPt>
            <c:idx val="208"/>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A1-6275-4163-94E6-AD793D49BDDC}"/>
              </c:ext>
            </c:extLst>
          </c:dPt>
          <c:dPt>
            <c:idx val="209"/>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A3-6275-4163-94E6-AD793D49BDDC}"/>
              </c:ext>
            </c:extLst>
          </c:dPt>
          <c:dPt>
            <c:idx val="210"/>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A5-6275-4163-94E6-AD793D49BDDC}"/>
              </c:ext>
            </c:extLst>
          </c:dPt>
          <c:dPt>
            <c:idx val="211"/>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A7-6275-4163-94E6-AD793D49BDDC}"/>
              </c:ext>
            </c:extLst>
          </c:dPt>
          <c:dPt>
            <c:idx val="212"/>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A9-6275-4163-94E6-AD793D49BDDC}"/>
              </c:ext>
            </c:extLst>
          </c:dPt>
          <c:dPt>
            <c:idx val="213"/>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AB-6275-4163-94E6-AD793D49BDDC}"/>
              </c:ext>
            </c:extLst>
          </c:dPt>
          <c:dPt>
            <c:idx val="214"/>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AD-6275-4163-94E6-AD793D49BDDC}"/>
              </c:ext>
            </c:extLst>
          </c:dPt>
          <c:dPt>
            <c:idx val="215"/>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AF-6275-4163-94E6-AD793D49BDDC}"/>
              </c:ext>
            </c:extLst>
          </c:dPt>
          <c:dPt>
            <c:idx val="216"/>
            <c:bubble3D val="0"/>
            <c:spPr>
              <a:solidFill>
                <a:schemeClr val="accent1"/>
              </a:solidFill>
              <a:ln w="19050">
                <a:solidFill>
                  <a:schemeClr val="lt1"/>
                </a:solidFill>
              </a:ln>
              <a:effectLst/>
            </c:spPr>
            <c:extLst>
              <c:ext xmlns:c16="http://schemas.microsoft.com/office/drawing/2014/chart" uri="{C3380CC4-5D6E-409C-BE32-E72D297353CC}">
                <c16:uniqueId val="{000001B1-6275-4163-94E6-AD793D49BDDC}"/>
              </c:ext>
            </c:extLst>
          </c:dPt>
          <c:dPt>
            <c:idx val="217"/>
            <c:bubble3D val="0"/>
            <c:spPr>
              <a:solidFill>
                <a:schemeClr val="accent2"/>
              </a:solidFill>
              <a:ln w="19050">
                <a:solidFill>
                  <a:schemeClr val="lt1"/>
                </a:solidFill>
              </a:ln>
              <a:effectLst/>
            </c:spPr>
            <c:extLst>
              <c:ext xmlns:c16="http://schemas.microsoft.com/office/drawing/2014/chart" uri="{C3380CC4-5D6E-409C-BE32-E72D297353CC}">
                <c16:uniqueId val="{000001B3-6275-4163-94E6-AD793D49BDDC}"/>
              </c:ext>
            </c:extLst>
          </c:dPt>
          <c:dPt>
            <c:idx val="218"/>
            <c:bubble3D val="0"/>
            <c:spPr>
              <a:solidFill>
                <a:schemeClr val="accent3"/>
              </a:solidFill>
              <a:ln w="19050">
                <a:solidFill>
                  <a:schemeClr val="lt1"/>
                </a:solidFill>
              </a:ln>
              <a:effectLst/>
            </c:spPr>
            <c:extLst>
              <c:ext xmlns:c16="http://schemas.microsoft.com/office/drawing/2014/chart" uri="{C3380CC4-5D6E-409C-BE32-E72D297353CC}">
                <c16:uniqueId val="{000001B5-6275-4163-94E6-AD793D49BDDC}"/>
              </c:ext>
            </c:extLst>
          </c:dPt>
          <c:dPt>
            <c:idx val="219"/>
            <c:bubble3D val="0"/>
            <c:spPr>
              <a:solidFill>
                <a:schemeClr val="accent4"/>
              </a:solidFill>
              <a:ln w="19050">
                <a:solidFill>
                  <a:schemeClr val="lt1"/>
                </a:solidFill>
              </a:ln>
              <a:effectLst/>
            </c:spPr>
            <c:extLst>
              <c:ext xmlns:c16="http://schemas.microsoft.com/office/drawing/2014/chart" uri="{C3380CC4-5D6E-409C-BE32-E72D297353CC}">
                <c16:uniqueId val="{000001B7-6275-4163-94E6-AD793D49BDDC}"/>
              </c:ext>
            </c:extLst>
          </c:dPt>
          <c:dPt>
            <c:idx val="220"/>
            <c:bubble3D val="0"/>
            <c:spPr>
              <a:solidFill>
                <a:schemeClr val="accent5"/>
              </a:solidFill>
              <a:ln w="19050">
                <a:solidFill>
                  <a:schemeClr val="lt1"/>
                </a:solidFill>
              </a:ln>
              <a:effectLst/>
            </c:spPr>
            <c:extLst>
              <c:ext xmlns:c16="http://schemas.microsoft.com/office/drawing/2014/chart" uri="{C3380CC4-5D6E-409C-BE32-E72D297353CC}">
                <c16:uniqueId val="{000001B9-6275-4163-94E6-AD793D49BDDC}"/>
              </c:ext>
            </c:extLst>
          </c:dPt>
          <c:dPt>
            <c:idx val="221"/>
            <c:bubble3D val="0"/>
            <c:spPr>
              <a:solidFill>
                <a:schemeClr val="accent6"/>
              </a:solidFill>
              <a:ln w="19050">
                <a:solidFill>
                  <a:schemeClr val="lt1"/>
                </a:solidFill>
              </a:ln>
              <a:effectLst/>
            </c:spPr>
            <c:extLst>
              <c:ext xmlns:c16="http://schemas.microsoft.com/office/drawing/2014/chart" uri="{C3380CC4-5D6E-409C-BE32-E72D297353CC}">
                <c16:uniqueId val="{000001BB-6275-4163-94E6-AD793D49BDDC}"/>
              </c:ext>
            </c:extLst>
          </c:dPt>
          <c:dPt>
            <c:idx val="222"/>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BD-6275-4163-94E6-AD793D49BDDC}"/>
              </c:ext>
            </c:extLst>
          </c:dPt>
          <c:dPt>
            <c:idx val="22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BF-6275-4163-94E6-AD793D49BDDC}"/>
              </c:ext>
            </c:extLst>
          </c:dPt>
          <c:dPt>
            <c:idx val="22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C1-6275-4163-94E6-AD793D49BDDC}"/>
              </c:ext>
            </c:extLst>
          </c:dPt>
          <c:dPt>
            <c:idx val="225"/>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C3-6275-4163-94E6-AD793D49BDDC}"/>
              </c:ext>
            </c:extLst>
          </c:dPt>
          <c:dPt>
            <c:idx val="226"/>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C5-6275-4163-94E6-AD793D49BDDC}"/>
              </c:ext>
            </c:extLst>
          </c:dPt>
          <c:dPt>
            <c:idx val="227"/>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C7-6275-4163-94E6-AD793D49BDDC}"/>
              </c:ext>
            </c:extLst>
          </c:dPt>
          <c:dPt>
            <c:idx val="228"/>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C9-6275-4163-94E6-AD793D49BDDC}"/>
              </c:ext>
            </c:extLst>
          </c:dPt>
          <c:dPt>
            <c:idx val="229"/>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CB-6275-4163-94E6-AD793D49BDDC}"/>
              </c:ext>
            </c:extLst>
          </c:dPt>
          <c:dPt>
            <c:idx val="230"/>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CD-6275-4163-94E6-AD793D49BDDC}"/>
              </c:ext>
            </c:extLst>
          </c:dPt>
          <c:dPt>
            <c:idx val="231"/>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CF-6275-4163-94E6-AD793D49BDDC}"/>
              </c:ext>
            </c:extLst>
          </c:dPt>
          <c:dPt>
            <c:idx val="232"/>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D1-6275-4163-94E6-AD793D49BDDC}"/>
              </c:ext>
            </c:extLst>
          </c:dPt>
          <c:dPt>
            <c:idx val="233"/>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D3-6275-4163-94E6-AD793D49BDDC}"/>
              </c:ext>
            </c:extLst>
          </c:dPt>
          <c:dPt>
            <c:idx val="234"/>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D5-6275-4163-94E6-AD793D49BDDC}"/>
              </c:ext>
            </c:extLst>
          </c:dPt>
          <c:dPt>
            <c:idx val="235"/>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D7-6275-4163-94E6-AD793D49BDDC}"/>
              </c:ext>
            </c:extLst>
          </c:dPt>
          <c:dPt>
            <c:idx val="236"/>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D9-6275-4163-94E6-AD793D49BDDC}"/>
              </c:ext>
            </c:extLst>
          </c:dPt>
          <c:dPt>
            <c:idx val="237"/>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DB-6275-4163-94E6-AD793D49BDDC}"/>
              </c:ext>
            </c:extLst>
          </c:dPt>
          <c:dPt>
            <c:idx val="238"/>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DD-6275-4163-94E6-AD793D49BDDC}"/>
              </c:ext>
            </c:extLst>
          </c:dPt>
          <c:dPt>
            <c:idx val="239"/>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DF-6275-4163-94E6-AD793D49BDDC}"/>
              </c:ext>
            </c:extLst>
          </c:dPt>
          <c:dPt>
            <c:idx val="24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E1-6275-4163-94E6-AD793D49BDDC}"/>
              </c:ext>
            </c:extLst>
          </c:dPt>
          <c:dPt>
            <c:idx val="24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E3-6275-4163-94E6-AD793D49BDDC}"/>
              </c:ext>
            </c:extLst>
          </c:dPt>
          <c:dPt>
            <c:idx val="24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E5-6275-4163-94E6-AD793D49BDDC}"/>
              </c:ext>
            </c:extLst>
          </c:dPt>
          <c:dPt>
            <c:idx val="24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E7-6275-4163-94E6-AD793D49BDDC}"/>
              </c:ext>
            </c:extLst>
          </c:dPt>
          <c:dPt>
            <c:idx val="24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E9-6275-4163-94E6-AD793D49BDDC}"/>
              </c:ext>
            </c:extLst>
          </c:dPt>
          <c:dPt>
            <c:idx val="245"/>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EB-6275-4163-94E6-AD793D49BDDC}"/>
              </c:ext>
            </c:extLst>
          </c:dPt>
          <c:dPt>
            <c:idx val="246"/>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ED-6275-4163-94E6-AD793D49BDDC}"/>
              </c:ext>
            </c:extLst>
          </c:dPt>
          <c:dPt>
            <c:idx val="247"/>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EF-6275-4163-94E6-AD793D49BDDC}"/>
              </c:ext>
            </c:extLst>
          </c:dPt>
          <c:dPt>
            <c:idx val="248"/>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F1-6275-4163-94E6-AD793D49BDDC}"/>
              </c:ext>
            </c:extLst>
          </c:dPt>
          <c:dPt>
            <c:idx val="249"/>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F3-6275-4163-94E6-AD793D49BDDC}"/>
              </c:ext>
            </c:extLst>
          </c:dPt>
          <c:dPt>
            <c:idx val="25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F5-6275-4163-94E6-AD793D49BDDC}"/>
              </c:ext>
            </c:extLst>
          </c:dPt>
          <c:dPt>
            <c:idx val="251"/>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F7-6275-4163-94E6-AD793D49BDDC}"/>
              </c:ext>
            </c:extLst>
          </c:dPt>
          <c:dPt>
            <c:idx val="252"/>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F9-6275-4163-94E6-AD793D49BDDC}"/>
              </c:ext>
            </c:extLst>
          </c:dPt>
          <c:dPt>
            <c:idx val="253"/>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FB-6275-4163-94E6-AD793D49BDDC}"/>
              </c:ext>
            </c:extLst>
          </c:dPt>
          <c:dPt>
            <c:idx val="254"/>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FD-6275-4163-94E6-AD793D49BDDC}"/>
              </c:ext>
            </c:extLst>
          </c:dPt>
          <c:dPt>
            <c:idx val="255"/>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FF-6275-4163-94E6-AD793D49BDDC}"/>
              </c:ext>
            </c:extLst>
          </c:dPt>
          <c:dPt>
            <c:idx val="256"/>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201-6275-4163-94E6-AD793D49BDDC}"/>
              </c:ext>
            </c:extLst>
          </c:dPt>
          <c:dPt>
            <c:idx val="257"/>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203-6275-4163-94E6-AD793D49BDDC}"/>
              </c:ext>
            </c:extLst>
          </c:dPt>
          <c:dPt>
            <c:idx val="258"/>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205-6275-4163-94E6-AD793D49BDDC}"/>
              </c:ext>
            </c:extLst>
          </c:dPt>
          <c:dPt>
            <c:idx val="259"/>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207-6275-4163-94E6-AD793D49BDDC}"/>
              </c:ext>
            </c:extLst>
          </c:dPt>
          <c:dPt>
            <c:idx val="260"/>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209-6275-4163-94E6-AD793D49BDDC}"/>
              </c:ext>
            </c:extLst>
          </c:dPt>
          <c:dPt>
            <c:idx val="261"/>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20B-6275-4163-94E6-AD793D49BDDC}"/>
              </c:ext>
            </c:extLst>
          </c:dPt>
          <c:dPt>
            <c:idx val="262"/>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20D-6275-4163-94E6-AD793D49BDDC}"/>
              </c:ext>
            </c:extLst>
          </c:dPt>
          <c:dPt>
            <c:idx val="263"/>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20F-6275-4163-94E6-AD793D49BDDC}"/>
              </c:ext>
            </c:extLst>
          </c:dPt>
          <c:dPt>
            <c:idx val="264"/>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211-6275-4163-94E6-AD793D49BDDC}"/>
              </c:ext>
            </c:extLst>
          </c:dPt>
          <c:val>
            <c:numRef>
              <c:f>House!$L$34:$L$298</c:f>
              <c:numCache>
                <c:formatCode>0.00%</c:formatCode>
                <c:ptCount val="265"/>
                <c:pt idx="0">
                  <c:v>0.01</c:v>
                </c:pt>
              </c:numCache>
            </c:numRef>
          </c:val>
          <c:extLst>
            <c:ext xmlns:c16="http://schemas.microsoft.com/office/drawing/2014/chart" uri="{C3380CC4-5D6E-409C-BE32-E72D297353CC}">
              <c16:uniqueId val="{00000212-6275-4163-94E6-AD793D49BDD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House!$B$34:$B$41</c:f>
              <c:strCache>
                <c:ptCount val="8"/>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6-407A-AFB3-6C993D9B38D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126-407A-AFB3-6C993D9B38D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126-407A-AFB3-6C993D9B38D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126-407A-AFB3-6C993D9B38D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126-407A-AFB3-6C993D9B38D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126-407A-AFB3-6C993D9B38D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126-407A-AFB3-6C993D9B38D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126-407A-AFB3-6C993D9B38D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126-407A-AFB3-6C993D9B38D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126-407A-AFB3-6C993D9B38D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126-407A-AFB3-6C993D9B38D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126-407A-AFB3-6C993D9B38D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126-407A-AFB3-6C993D9B38D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126-407A-AFB3-6C993D9B38D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126-407A-AFB3-6C993D9B38DD}"/>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2126-407A-AFB3-6C993D9B38DD}"/>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2126-407A-AFB3-6C993D9B38DD}"/>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2126-407A-AFB3-6C993D9B38DD}"/>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2126-407A-AFB3-6C993D9B38DD}"/>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2126-407A-AFB3-6C993D9B38DD}"/>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2126-407A-AFB3-6C993D9B38DD}"/>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2126-407A-AFB3-6C993D9B38DD}"/>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2126-407A-AFB3-6C993D9B38DD}"/>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2126-407A-AFB3-6C993D9B38DD}"/>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2126-407A-AFB3-6C993D9B38DD}"/>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2126-407A-AFB3-6C993D9B38DD}"/>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2126-407A-AFB3-6C993D9B38DD}"/>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7-2126-407A-AFB3-6C993D9B38DD}"/>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9-2126-407A-AFB3-6C993D9B38DD}"/>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B-2126-407A-AFB3-6C993D9B38DD}"/>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3D-2126-407A-AFB3-6C993D9B38DD}"/>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3F-2126-407A-AFB3-6C993D9B38DD}"/>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1-2126-407A-AFB3-6C993D9B38DD}"/>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3-2126-407A-AFB3-6C993D9B38DD}"/>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5-2126-407A-AFB3-6C993D9B38DD}"/>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7-2126-407A-AFB3-6C993D9B38DD}"/>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9-2126-407A-AFB3-6C993D9B38DD}"/>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B-2126-407A-AFB3-6C993D9B38DD}"/>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4D-2126-407A-AFB3-6C993D9B38DD}"/>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4F-2126-407A-AFB3-6C993D9B38DD}"/>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1-2126-407A-AFB3-6C993D9B38DD}"/>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3-2126-407A-AFB3-6C993D9B38DD}"/>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5-2126-407A-AFB3-6C993D9B38DD}"/>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57-2126-407A-AFB3-6C993D9B38DD}"/>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59-2126-407A-AFB3-6C993D9B38DD}"/>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5B-2126-407A-AFB3-6C993D9B38DD}"/>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5D-2126-407A-AFB3-6C993D9B38DD}"/>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5F-2126-407A-AFB3-6C993D9B38DD}"/>
              </c:ext>
            </c:extLst>
          </c:dPt>
          <c:dPt>
            <c:idx val="4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1-2126-407A-AFB3-6C993D9B38DD}"/>
              </c:ext>
            </c:extLst>
          </c:dPt>
          <c:dPt>
            <c:idx val="49"/>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63-2126-407A-AFB3-6C993D9B38DD}"/>
              </c:ext>
            </c:extLst>
          </c:dPt>
          <c:dPt>
            <c:idx val="5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5-2126-407A-AFB3-6C993D9B38DD}"/>
              </c:ext>
            </c:extLst>
          </c:dPt>
          <c:dPt>
            <c:idx val="51"/>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67-2126-407A-AFB3-6C993D9B38DD}"/>
              </c:ext>
            </c:extLst>
          </c:dPt>
          <c:dPt>
            <c:idx val="5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9-2126-407A-AFB3-6C993D9B38DD}"/>
              </c:ext>
            </c:extLst>
          </c:dPt>
          <c:dPt>
            <c:idx val="53"/>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6B-2126-407A-AFB3-6C993D9B38DD}"/>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6D-2126-407A-AFB3-6C993D9B38DD}"/>
              </c:ext>
            </c:extLst>
          </c:dPt>
          <c:dPt>
            <c:idx val="55"/>
            <c:bubble3D val="0"/>
            <c:spPr>
              <a:solidFill>
                <a:schemeClr val="accent2"/>
              </a:solidFill>
              <a:ln w="19050">
                <a:solidFill>
                  <a:schemeClr val="lt1"/>
                </a:solidFill>
              </a:ln>
              <a:effectLst/>
            </c:spPr>
            <c:extLst>
              <c:ext xmlns:c16="http://schemas.microsoft.com/office/drawing/2014/chart" uri="{C3380CC4-5D6E-409C-BE32-E72D297353CC}">
                <c16:uniqueId val="{0000006F-2126-407A-AFB3-6C993D9B38DD}"/>
              </c:ext>
            </c:extLst>
          </c:dPt>
          <c:dPt>
            <c:idx val="56"/>
            <c:bubble3D val="0"/>
            <c:spPr>
              <a:solidFill>
                <a:schemeClr val="accent3"/>
              </a:solidFill>
              <a:ln w="19050">
                <a:solidFill>
                  <a:schemeClr val="lt1"/>
                </a:solidFill>
              </a:ln>
              <a:effectLst/>
            </c:spPr>
            <c:extLst>
              <c:ext xmlns:c16="http://schemas.microsoft.com/office/drawing/2014/chart" uri="{C3380CC4-5D6E-409C-BE32-E72D297353CC}">
                <c16:uniqueId val="{00000071-2126-407A-AFB3-6C993D9B38DD}"/>
              </c:ext>
            </c:extLst>
          </c:dPt>
          <c:dPt>
            <c:idx val="57"/>
            <c:bubble3D val="0"/>
            <c:spPr>
              <a:solidFill>
                <a:schemeClr val="accent4"/>
              </a:solidFill>
              <a:ln w="19050">
                <a:solidFill>
                  <a:schemeClr val="lt1"/>
                </a:solidFill>
              </a:ln>
              <a:effectLst/>
            </c:spPr>
            <c:extLst>
              <c:ext xmlns:c16="http://schemas.microsoft.com/office/drawing/2014/chart" uri="{C3380CC4-5D6E-409C-BE32-E72D297353CC}">
                <c16:uniqueId val="{00000073-2126-407A-AFB3-6C993D9B38DD}"/>
              </c:ext>
            </c:extLst>
          </c:dPt>
          <c:dPt>
            <c:idx val="58"/>
            <c:bubble3D val="0"/>
            <c:spPr>
              <a:solidFill>
                <a:schemeClr val="accent5"/>
              </a:solidFill>
              <a:ln w="19050">
                <a:solidFill>
                  <a:schemeClr val="lt1"/>
                </a:solidFill>
              </a:ln>
              <a:effectLst/>
            </c:spPr>
            <c:extLst>
              <c:ext xmlns:c16="http://schemas.microsoft.com/office/drawing/2014/chart" uri="{C3380CC4-5D6E-409C-BE32-E72D297353CC}">
                <c16:uniqueId val="{00000075-2126-407A-AFB3-6C993D9B38DD}"/>
              </c:ext>
            </c:extLst>
          </c:dPt>
          <c:dPt>
            <c:idx val="59"/>
            <c:bubble3D val="0"/>
            <c:spPr>
              <a:solidFill>
                <a:schemeClr val="accent6"/>
              </a:solidFill>
              <a:ln w="19050">
                <a:solidFill>
                  <a:schemeClr val="lt1"/>
                </a:solidFill>
              </a:ln>
              <a:effectLst/>
            </c:spPr>
            <c:extLst>
              <c:ext xmlns:c16="http://schemas.microsoft.com/office/drawing/2014/chart" uri="{C3380CC4-5D6E-409C-BE32-E72D297353CC}">
                <c16:uniqueId val="{00000077-2126-407A-AFB3-6C993D9B38DD}"/>
              </c:ext>
            </c:extLst>
          </c:dPt>
          <c:dPt>
            <c:idx val="6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9-2126-407A-AFB3-6C993D9B38DD}"/>
              </c:ext>
            </c:extLst>
          </c:dPt>
          <c:dPt>
            <c:idx val="61"/>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7B-2126-407A-AFB3-6C993D9B38DD}"/>
              </c:ext>
            </c:extLst>
          </c:dPt>
          <c:dPt>
            <c:idx val="6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7D-2126-407A-AFB3-6C993D9B38DD}"/>
              </c:ext>
            </c:extLst>
          </c:dPt>
          <c:dPt>
            <c:idx val="63"/>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7F-2126-407A-AFB3-6C993D9B38DD}"/>
              </c:ext>
            </c:extLst>
          </c:dPt>
          <c:dPt>
            <c:idx val="6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81-2126-407A-AFB3-6C993D9B38DD}"/>
              </c:ext>
            </c:extLst>
          </c:dPt>
          <c:dPt>
            <c:idx val="6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83-2126-407A-AFB3-6C993D9B38DD}"/>
              </c:ext>
            </c:extLst>
          </c:dPt>
          <c:dPt>
            <c:idx val="6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85-2126-407A-AFB3-6C993D9B38DD}"/>
              </c:ext>
            </c:extLst>
          </c:dPt>
          <c:dPt>
            <c:idx val="67"/>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87-2126-407A-AFB3-6C993D9B38DD}"/>
              </c:ext>
            </c:extLst>
          </c:dPt>
          <c:dPt>
            <c:idx val="6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89-2126-407A-AFB3-6C993D9B38DD}"/>
              </c:ext>
            </c:extLst>
          </c:dPt>
          <c:dPt>
            <c:idx val="69"/>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8B-2126-407A-AFB3-6C993D9B38DD}"/>
              </c:ext>
            </c:extLst>
          </c:dPt>
          <c:dPt>
            <c:idx val="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8D-2126-407A-AFB3-6C993D9B38DD}"/>
              </c:ext>
            </c:extLst>
          </c:dPt>
          <c:dPt>
            <c:idx val="71"/>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8F-2126-407A-AFB3-6C993D9B38DD}"/>
              </c:ext>
            </c:extLst>
          </c:dPt>
          <c:dPt>
            <c:idx val="7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91-2126-407A-AFB3-6C993D9B38DD}"/>
              </c:ext>
            </c:extLst>
          </c:dPt>
          <c:dPt>
            <c:idx val="73"/>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93-2126-407A-AFB3-6C993D9B38DD}"/>
              </c:ext>
            </c:extLst>
          </c:dPt>
          <c:dPt>
            <c:idx val="7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95-2126-407A-AFB3-6C993D9B38DD}"/>
              </c:ext>
            </c:extLst>
          </c:dPt>
          <c:dPt>
            <c:idx val="75"/>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97-2126-407A-AFB3-6C993D9B38DD}"/>
              </c:ext>
            </c:extLst>
          </c:dPt>
          <c:dPt>
            <c:idx val="7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99-2126-407A-AFB3-6C993D9B38DD}"/>
              </c:ext>
            </c:extLst>
          </c:dPt>
          <c:dPt>
            <c:idx val="77"/>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9B-2126-407A-AFB3-6C993D9B38DD}"/>
              </c:ext>
            </c:extLst>
          </c:dPt>
          <c:dPt>
            <c:idx val="7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9D-2126-407A-AFB3-6C993D9B38DD}"/>
              </c:ext>
            </c:extLst>
          </c:dPt>
          <c:dPt>
            <c:idx val="7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9F-2126-407A-AFB3-6C993D9B38DD}"/>
              </c:ext>
            </c:extLst>
          </c:dPt>
          <c:dPt>
            <c:idx val="8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A1-2126-407A-AFB3-6C993D9B38DD}"/>
              </c:ext>
            </c:extLst>
          </c:dPt>
          <c:dPt>
            <c:idx val="8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A3-2126-407A-AFB3-6C993D9B38DD}"/>
              </c:ext>
            </c:extLst>
          </c:dPt>
          <c:dPt>
            <c:idx val="8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A5-2126-407A-AFB3-6C993D9B38DD}"/>
              </c:ext>
            </c:extLst>
          </c:dPt>
          <c:dPt>
            <c:idx val="8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A7-2126-407A-AFB3-6C993D9B38DD}"/>
              </c:ext>
            </c:extLst>
          </c:dPt>
          <c:dPt>
            <c:idx val="8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A9-2126-407A-AFB3-6C993D9B38DD}"/>
              </c:ext>
            </c:extLst>
          </c:dPt>
          <c:dPt>
            <c:idx val="8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AB-2126-407A-AFB3-6C993D9B38DD}"/>
              </c:ext>
            </c:extLst>
          </c:dPt>
          <c:dPt>
            <c:idx val="8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AD-2126-407A-AFB3-6C993D9B38DD}"/>
              </c:ext>
            </c:extLst>
          </c:dPt>
          <c:dPt>
            <c:idx val="87"/>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AF-2126-407A-AFB3-6C993D9B38DD}"/>
              </c:ext>
            </c:extLst>
          </c:dPt>
          <c:dPt>
            <c:idx val="8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B1-2126-407A-AFB3-6C993D9B38DD}"/>
              </c:ext>
            </c:extLst>
          </c:dPt>
          <c:dPt>
            <c:idx val="89"/>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B3-2126-407A-AFB3-6C993D9B38DD}"/>
              </c:ext>
            </c:extLst>
          </c:dPt>
          <c:dPt>
            <c:idx val="9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B5-2126-407A-AFB3-6C993D9B38DD}"/>
              </c:ext>
            </c:extLst>
          </c:dPt>
          <c:dPt>
            <c:idx val="91"/>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B7-2126-407A-AFB3-6C993D9B38DD}"/>
              </c:ext>
            </c:extLst>
          </c:dPt>
          <c:dPt>
            <c:idx val="9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B9-2126-407A-AFB3-6C993D9B38DD}"/>
              </c:ext>
            </c:extLst>
          </c:dPt>
          <c:dPt>
            <c:idx val="93"/>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BB-2126-407A-AFB3-6C993D9B38DD}"/>
              </c:ext>
            </c:extLst>
          </c:dPt>
          <c:dPt>
            <c:idx val="9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BD-2126-407A-AFB3-6C993D9B38DD}"/>
              </c:ext>
            </c:extLst>
          </c:dPt>
          <c:dPt>
            <c:idx val="95"/>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BF-2126-407A-AFB3-6C993D9B38DD}"/>
              </c:ext>
            </c:extLst>
          </c:dPt>
          <c:dPt>
            <c:idx val="9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C1-2126-407A-AFB3-6C993D9B38DD}"/>
              </c:ext>
            </c:extLst>
          </c:dPt>
          <c:dPt>
            <c:idx val="97"/>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C3-2126-407A-AFB3-6C993D9B38DD}"/>
              </c:ext>
            </c:extLst>
          </c:dPt>
          <c:dPt>
            <c:idx val="9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C5-2126-407A-AFB3-6C993D9B38DD}"/>
              </c:ext>
            </c:extLst>
          </c:dPt>
          <c:dPt>
            <c:idx val="99"/>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C7-2126-407A-AFB3-6C993D9B38DD}"/>
              </c:ext>
            </c:extLst>
          </c:dPt>
          <c:dPt>
            <c:idx val="100"/>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C9-2126-407A-AFB3-6C993D9B38DD}"/>
              </c:ext>
            </c:extLst>
          </c:dPt>
          <c:dPt>
            <c:idx val="101"/>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CB-2126-407A-AFB3-6C993D9B38DD}"/>
              </c:ext>
            </c:extLst>
          </c:dPt>
          <c:dPt>
            <c:idx val="102"/>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CD-2126-407A-AFB3-6C993D9B38DD}"/>
              </c:ext>
            </c:extLst>
          </c:dPt>
          <c:dPt>
            <c:idx val="103"/>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CF-2126-407A-AFB3-6C993D9B38DD}"/>
              </c:ext>
            </c:extLst>
          </c:dPt>
          <c:dPt>
            <c:idx val="104"/>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D1-2126-407A-AFB3-6C993D9B38DD}"/>
              </c:ext>
            </c:extLst>
          </c:dPt>
          <c:dPt>
            <c:idx val="105"/>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D3-2126-407A-AFB3-6C993D9B38DD}"/>
              </c:ext>
            </c:extLst>
          </c:dPt>
          <c:dPt>
            <c:idx val="106"/>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D5-2126-407A-AFB3-6C993D9B38DD}"/>
              </c:ext>
            </c:extLst>
          </c:dPt>
          <c:dPt>
            <c:idx val="107"/>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D7-2126-407A-AFB3-6C993D9B38DD}"/>
              </c:ext>
            </c:extLst>
          </c:dPt>
          <c:dPt>
            <c:idx val="108"/>
            <c:bubble3D val="0"/>
            <c:spPr>
              <a:solidFill>
                <a:schemeClr val="accent1"/>
              </a:solidFill>
              <a:ln w="19050">
                <a:solidFill>
                  <a:schemeClr val="lt1"/>
                </a:solidFill>
              </a:ln>
              <a:effectLst/>
            </c:spPr>
            <c:extLst>
              <c:ext xmlns:c16="http://schemas.microsoft.com/office/drawing/2014/chart" uri="{C3380CC4-5D6E-409C-BE32-E72D297353CC}">
                <c16:uniqueId val="{000000D9-2126-407A-AFB3-6C993D9B38DD}"/>
              </c:ext>
            </c:extLst>
          </c:dPt>
          <c:dPt>
            <c:idx val="109"/>
            <c:bubble3D val="0"/>
            <c:spPr>
              <a:solidFill>
                <a:schemeClr val="accent2"/>
              </a:solidFill>
              <a:ln w="19050">
                <a:solidFill>
                  <a:schemeClr val="lt1"/>
                </a:solidFill>
              </a:ln>
              <a:effectLst/>
            </c:spPr>
            <c:extLst>
              <c:ext xmlns:c16="http://schemas.microsoft.com/office/drawing/2014/chart" uri="{C3380CC4-5D6E-409C-BE32-E72D297353CC}">
                <c16:uniqueId val="{000000DB-2126-407A-AFB3-6C993D9B38DD}"/>
              </c:ext>
            </c:extLst>
          </c:dPt>
          <c:dPt>
            <c:idx val="110"/>
            <c:bubble3D val="0"/>
            <c:spPr>
              <a:solidFill>
                <a:schemeClr val="accent3"/>
              </a:solidFill>
              <a:ln w="19050">
                <a:solidFill>
                  <a:schemeClr val="lt1"/>
                </a:solidFill>
              </a:ln>
              <a:effectLst/>
            </c:spPr>
            <c:extLst>
              <c:ext xmlns:c16="http://schemas.microsoft.com/office/drawing/2014/chart" uri="{C3380CC4-5D6E-409C-BE32-E72D297353CC}">
                <c16:uniqueId val="{000000DD-2126-407A-AFB3-6C993D9B38DD}"/>
              </c:ext>
            </c:extLst>
          </c:dPt>
          <c:dPt>
            <c:idx val="111"/>
            <c:bubble3D val="0"/>
            <c:spPr>
              <a:solidFill>
                <a:schemeClr val="accent4"/>
              </a:solidFill>
              <a:ln w="19050">
                <a:solidFill>
                  <a:schemeClr val="lt1"/>
                </a:solidFill>
              </a:ln>
              <a:effectLst/>
            </c:spPr>
            <c:extLst>
              <c:ext xmlns:c16="http://schemas.microsoft.com/office/drawing/2014/chart" uri="{C3380CC4-5D6E-409C-BE32-E72D297353CC}">
                <c16:uniqueId val="{000000DF-2126-407A-AFB3-6C993D9B38DD}"/>
              </c:ext>
            </c:extLst>
          </c:dPt>
          <c:dPt>
            <c:idx val="112"/>
            <c:bubble3D val="0"/>
            <c:spPr>
              <a:solidFill>
                <a:schemeClr val="accent5"/>
              </a:solidFill>
              <a:ln w="19050">
                <a:solidFill>
                  <a:schemeClr val="lt1"/>
                </a:solidFill>
              </a:ln>
              <a:effectLst/>
            </c:spPr>
            <c:extLst>
              <c:ext xmlns:c16="http://schemas.microsoft.com/office/drawing/2014/chart" uri="{C3380CC4-5D6E-409C-BE32-E72D297353CC}">
                <c16:uniqueId val="{000000E1-2126-407A-AFB3-6C993D9B38DD}"/>
              </c:ext>
            </c:extLst>
          </c:dPt>
          <c:dPt>
            <c:idx val="113"/>
            <c:bubble3D val="0"/>
            <c:spPr>
              <a:solidFill>
                <a:schemeClr val="accent6"/>
              </a:solidFill>
              <a:ln w="19050">
                <a:solidFill>
                  <a:schemeClr val="lt1"/>
                </a:solidFill>
              </a:ln>
              <a:effectLst/>
            </c:spPr>
            <c:extLst>
              <c:ext xmlns:c16="http://schemas.microsoft.com/office/drawing/2014/chart" uri="{C3380CC4-5D6E-409C-BE32-E72D297353CC}">
                <c16:uniqueId val="{000000E3-2126-407A-AFB3-6C993D9B38DD}"/>
              </c:ext>
            </c:extLst>
          </c:dPt>
          <c:dPt>
            <c:idx val="114"/>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E5-2126-407A-AFB3-6C993D9B38DD}"/>
              </c:ext>
            </c:extLst>
          </c:dPt>
          <c:dPt>
            <c:idx val="115"/>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E7-2126-407A-AFB3-6C993D9B38DD}"/>
              </c:ext>
            </c:extLst>
          </c:dPt>
          <c:dPt>
            <c:idx val="116"/>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E9-2126-407A-AFB3-6C993D9B38DD}"/>
              </c:ext>
            </c:extLst>
          </c:dPt>
          <c:dPt>
            <c:idx val="117"/>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EB-2126-407A-AFB3-6C993D9B38DD}"/>
              </c:ext>
            </c:extLst>
          </c:dPt>
          <c:dPt>
            <c:idx val="118"/>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ED-2126-407A-AFB3-6C993D9B38DD}"/>
              </c:ext>
            </c:extLst>
          </c:dPt>
          <c:dPt>
            <c:idx val="119"/>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EF-2126-407A-AFB3-6C993D9B38DD}"/>
              </c:ext>
            </c:extLst>
          </c:dPt>
          <c:dPt>
            <c:idx val="120"/>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F1-2126-407A-AFB3-6C993D9B38DD}"/>
              </c:ext>
            </c:extLst>
          </c:dPt>
          <c:dPt>
            <c:idx val="121"/>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F3-2126-407A-AFB3-6C993D9B38DD}"/>
              </c:ext>
            </c:extLst>
          </c:dPt>
          <c:dPt>
            <c:idx val="122"/>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F5-2126-407A-AFB3-6C993D9B38DD}"/>
              </c:ext>
            </c:extLst>
          </c:dPt>
          <c:dPt>
            <c:idx val="123"/>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F7-2126-407A-AFB3-6C993D9B38DD}"/>
              </c:ext>
            </c:extLst>
          </c:dPt>
          <c:dPt>
            <c:idx val="124"/>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F9-2126-407A-AFB3-6C993D9B38DD}"/>
              </c:ext>
            </c:extLst>
          </c:dPt>
          <c:dPt>
            <c:idx val="125"/>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FB-2126-407A-AFB3-6C993D9B38DD}"/>
              </c:ext>
            </c:extLst>
          </c:dPt>
          <c:dPt>
            <c:idx val="126"/>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FD-2126-407A-AFB3-6C993D9B38DD}"/>
              </c:ext>
            </c:extLst>
          </c:dPt>
          <c:dPt>
            <c:idx val="127"/>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FF-2126-407A-AFB3-6C993D9B38DD}"/>
              </c:ext>
            </c:extLst>
          </c:dPt>
          <c:dPt>
            <c:idx val="128"/>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01-2126-407A-AFB3-6C993D9B38DD}"/>
              </c:ext>
            </c:extLst>
          </c:dPt>
          <c:dPt>
            <c:idx val="129"/>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03-2126-407A-AFB3-6C993D9B38DD}"/>
              </c:ext>
            </c:extLst>
          </c:dPt>
          <c:dPt>
            <c:idx val="130"/>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05-2126-407A-AFB3-6C993D9B38DD}"/>
              </c:ext>
            </c:extLst>
          </c:dPt>
          <c:dPt>
            <c:idx val="13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07-2126-407A-AFB3-6C993D9B38DD}"/>
              </c:ext>
            </c:extLst>
          </c:dPt>
          <c:dPt>
            <c:idx val="13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09-2126-407A-AFB3-6C993D9B38DD}"/>
              </c:ext>
            </c:extLst>
          </c:dPt>
          <c:dPt>
            <c:idx val="133"/>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0B-2126-407A-AFB3-6C993D9B38DD}"/>
              </c:ext>
            </c:extLst>
          </c:dPt>
          <c:dPt>
            <c:idx val="134"/>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0D-2126-407A-AFB3-6C993D9B38DD}"/>
              </c:ext>
            </c:extLst>
          </c:dPt>
          <c:dPt>
            <c:idx val="135"/>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0F-2126-407A-AFB3-6C993D9B38DD}"/>
              </c:ext>
            </c:extLst>
          </c:dPt>
          <c:dPt>
            <c:idx val="136"/>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11-2126-407A-AFB3-6C993D9B38DD}"/>
              </c:ext>
            </c:extLst>
          </c:dPt>
          <c:dPt>
            <c:idx val="137"/>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13-2126-407A-AFB3-6C993D9B38DD}"/>
              </c:ext>
            </c:extLst>
          </c:dPt>
          <c:dPt>
            <c:idx val="138"/>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15-2126-407A-AFB3-6C993D9B38DD}"/>
              </c:ext>
            </c:extLst>
          </c:dPt>
          <c:dPt>
            <c:idx val="139"/>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17-2126-407A-AFB3-6C993D9B38DD}"/>
              </c:ext>
            </c:extLst>
          </c:dPt>
          <c:dPt>
            <c:idx val="140"/>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19-2126-407A-AFB3-6C993D9B38DD}"/>
              </c:ext>
            </c:extLst>
          </c:dPt>
          <c:dPt>
            <c:idx val="141"/>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1B-2126-407A-AFB3-6C993D9B38DD}"/>
              </c:ext>
            </c:extLst>
          </c:dPt>
          <c:dPt>
            <c:idx val="14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1D-2126-407A-AFB3-6C993D9B38DD}"/>
              </c:ext>
            </c:extLst>
          </c:dPt>
          <c:dPt>
            <c:idx val="143"/>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1F-2126-407A-AFB3-6C993D9B38DD}"/>
              </c:ext>
            </c:extLst>
          </c:dPt>
          <c:dPt>
            <c:idx val="144"/>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21-2126-407A-AFB3-6C993D9B38DD}"/>
              </c:ext>
            </c:extLst>
          </c:dPt>
          <c:dPt>
            <c:idx val="145"/>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23-2126-407A-AFB3-6C993D9B38DD}"/>
              </c:ext>
            </c:extLst>
          </c:dPt>
          <c:dPt>
            <c:idx val="146"/>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25-2126-407A-AFB3-6C993D9B38DD}"/>
              </c:ext>
            </c:extLst>
          </c:dPt>
          <c:dPt>
            <c:idx val="147"/>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27-2126-407A-AFB3-6C993D9B38DD}"/>
              </c:ext>
            </c:extLst>
          </c:dPt>
          <c:dPt>
            <c:idx val="148"/>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29-2126-407A-AFB3-6C993D9B38DD}"/>
              </c:ext>
            </c:extLst>
          </c:dPt>
          <c:dPt>
            <c:idx val="149"/>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2B-2126-407A-AFB3-6C993D9B38DD}"/>
              </c:ext>
            </c:extLst>
          </c:dPt>
          <c:dPt>
            <c:idx val="150"/>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2D-2126-407A-AFB3-6C993D9B38DD}"/>
              </c:ext>
            </c:extLst>
          </c:dPt>
          <c:dPt>
            <c:idx val="151"/>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2F-2126-407A-AFB3-6C993D9B38DD}"/>
              </c:ext>
            </c:extLst>
          </c:dPt>
          <c:dPt>
            <c:idx val="152"/>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31-2126-407A-AFB3-6C993D9B38DD}"/>
              </c:ext>
            </c:extLst>
          </c:dPt>
          <c:dPt>
            <c:idx val="153"/>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33-2126-407A-AFB3-6C993D9B38DD}"/>
              </c:ext>
            </c:extLst>
          </c:dPt>
          <c:dPt>
            <c:idx val="154"/>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35-2126-407A-AFB3-6C993D9B38DD}"/>
              </c:ext>
            </c:extLst>
          </c:dPt>
          <c:dPt>
            <c:idx val="155"/>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37-2126-407A-AFB3-6C993D9B38DD}"/>
              </c:ext>
            </c:extLst>
          </c:dPt>
          <c:dPt>
            <c:idx val="156"/>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39-2126-407A-AFB3-6C993D9B38DD}"/>
              </c:ext>
            </c:extLst>
          </c:dPt>
          <c:dPt>
            <c:idx val="157"/>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3B-2126-407A-AFB3-6C993D9B38DD}"/>
              </c:ext>
            </c:extLst>
          </c:dPt>
          <c:dPt>
            <c:idx val="158"/>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3D-2126-407A-AFB3-6C993D9B38DD}"/>
              </c:ext>
            </c:extLst>
          </c:dPt>
          <c:dPt>
            <c:idx val="159"/>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3F-2126-407A-AFB3-6C993D9B38DD}"/>
              </c:ext>
            </c:extLst>
          </c:dPt>
          <c:dPt>
            <c:idx val="160"/>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41-2126-407A-AFB3-6C993D9B38DD}"/>
              </c:ext>
            </c:extLst>
          </c:dPt>
          <c:dPt>
            <c:idx val="161"/>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43-2126-407A-AFB3-6C993D9B38DD}"/>
              </c:ext>
            </c:extLst>
          </c:dPt>
          <c:dPt>
            <c:idx val="162"/>
            <c:bubble3D val="0"/>
            <c:spPr>
              <a:solidFill>
                <a:schemeClr val="accent1"/>
              </a:solidFill>
              <a:ln w="19050">
                <a:solidFill>
                  <a:schemeClr val="lt1"/>
                </a:solidFill>
              </a:ln>
              <a:effectLst/>
            </c:spPr>
            <c:extLst>
              <c:ext xmlns:c16="http://schemas.microsoft.com/office/drawing/2014/chart" uri="{C3380CC4-5D6E-409C-BE32-E72D297353CC}">
                <c16:uniqueId val="{00000145-2126-407A-AFB3-6C993D9B38DD}"/>
              </c:ext>
            </c:extLst>
          </c:dPt>
          <c:dPt>
            <c:idx val="163"/>
            <c:bubble3D val="0"/>
            <c:spPr>
              <a:solidFill>
                <a:schemeClr val="accent2"/>
              </a:solidFill>
              <a:ln w="19050">
                <a:solidFill>
                  <a:schemeClr val="lt1"/>
                </a:solidFill>
              </a:ln>
              <a:effectLst/>
            </c:spPr>
            <c:extLst>
              <c:ext xmlns:c16="http://schemas.microsoft.com/office/drawing/2014/chart" uri="{C3380CC4-5D6E-409C-BE32-E72D297353CC}">
                <c16:uniqueId val="{00000147-2126-407A-AFB3-6C993D9B38DD}"/>
              </c:ext>
            </c:extLst>
          </c:dPt>
          <c:dPt>
            <c:idx val="164"/>
            <c:bubble3D val="0"/>
            <c:spPr>
              <a:solidFill>
                <a:schemeClr val="accent3"/>
              </a:solidFill>
              <a:ln w="19050">
                <a:solidFill>
                  <a:schemeClr val="lt1"/>
                </a:solidFill>
              </a:ln>
              <a:effectLst/>
            </c:spPr>
            <c:extLst>
              <c:ext xmlns:c16="http://schemas.microsoft.com/office/drawing/2014/chart" uri="{C3380CC4-5D6E-409C-BE32-E72D297353CC}">
                <c16:uniqueId val="{00000149-2126-407A-AFB3-6C993D9B38DD}"/>
              </c:ext>
            </c:extLst>
          </c:dPt>
          <c:dPt>
            <c:idx val="165"/>
            <c:bubble3D val="0"/>
            <c:spPr>
              <a:solidFill>
                <a:schemeClr val="accent4"/>
              </a:solidFill>
              <a:ln w="19050">
                <a:solidFill>
                  <a:schemeClr val="lt1"/>
                </a:solidFill>
              </a:ln>
              <a:effectLst/>
            </c:spPr>
            <c:extLst>
              <c:ext xmlns:c16="http://schemas.microsoft.com/office/drawing/2014/chart" uri="{C3380CC4-5D6E-409C-BE32-E72D297353CC}">
                <c16:uniqueId val="{0000014B-2126-407A-AFB3-6C993D9B38DD}"/>
              </c:ext>
            </c:extLst>
          </c:dPt>
          <c:dPt>
            <c:idx val="166"/>
            <c:bubble3D val="0"/>
            <c:spPr>
              <a:solidFill>
                <a:schemeClr val="accent5"/>
              </a:solidFill>
              <a:ln w="19050">
                <a:solidFill>
                  <a:schemeClr val="lt1"/>
                </a:solidFill>
              </a:ln>
              <a:effectLst/>
            </c:spPr>
            <c:extLst>
              <c:ext xmlns:c16="http://schemas.microsoft.com/office/drawing/2014/chart" uri="{C3380CC4-5D6E-409C-BE32-E72D297353CC}">
                <c16:uniqueId val="{0000014D-2126-407A-AFB3-6C993D9B38DD}"/>
              </c:ext>
            </c:extLst>
          </c:dPt>
          <c:dPt>
            <c:idx val="167"/>
            <c:bubble3D val="0"/>
            <c:spPr>
              <a:solidFill>
                <a:schemeClr val="accent6"/>
              </a:solidFill>
              <a:ln w="19050">
                <a:solidFill>
                  <a:schemeClr val="lt1"/>
                </a:solidFill>
              </a:ln>
              <a:effectLst/>
            </c:spPr>
            <c:extLst>
              <c:ext xmlns:c16="http://schemas.microsoft.com/office/drawing/2014/chart" uri="{C3380CC4-5D6E-409C-BE32-E72D297353CC}">
                <c16:uniqueId val="{0000014F-2126-407A-AFB3-6C993D9B38DD}"/>
              </c:ext>
            </c:extLst>
          </c:dPt>
          <c:dPt>
            <c:idx val="168"/>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51-2126-407A-AFB3-6C993D9B38DD}"/>
              </c:ext>
            </c:extLst>
          </c:dPt>
          <c:dPt>
            <c:idx val="169"/>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53-2126-407A-AFB3-6C993D9B38DD}"/>
              </c:ext>
            </c:extLst>
          </c:dPt>
          <c:dPt>
            <c:idx val="170"/>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55-2126-407A-AFB3-6C993D9B38DD}"/>
              </c:ext>
            </c:extLst>
          </c:dPt>
          <c:dPt>
            <c:idx val="171"/>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57-2126-407A-AFB3-6C993D9B38DD}"/>
              </c:ext>
            </c:extLst>
          </c:dPt>
          <c:dPt>
            <c:idx val="172"/>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59-2126-407A-AFB3-6C993D9B38DD}"/>
              </c:ext>
            </c:extLst>
          </c:dPt>
          <c:dPt>
            <c:idx val="173"/>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5B-2126-407A-AFB3-6C993D9B38DD}"/>
              </c:ext>
            </c:extLst>
          </c:dPt>
          <c:dPt>
            <c:idx val="174"/>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5D-2126-407A-AFB3-6C993D9B38DD}"/>
              </c:ext>
            </c:extLst>
          </c:dPt>
          <c:dPt>
            <c:idx val="175"/>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5F-2126-407A-AFB3-6C993D9B38DD}"/>
              </c:ext>
            </c:extLst>
          </c:dPt>
          <c:dPt>
            <c:idx val="176"/>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61-2126-407A-AFB3-6C993D9B38DD}"/>
              </c:ext>
            </c:extLst>
          </c:dPt>
          <c:dPt>
            <c:idx val="17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63-2126-407A-AFB3-6C993D9B38DD}"/>
              </c:ext>
            </c:extLst>
          </c:dPt>
          <c:dPt>
            <c:idx val="178"/>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65-2126-407A-AFB3-6C993D9B38DD}"/>
              </c:ext>
            </c:extLst>
          </c:dPt>
          <c:dPt>
            <c:idx val="179"/>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67-2126-407A-AFB3-6C993D9B38DD}"/>
              </c:ext>
            </c:extLst>
          </c:dPt>
          <c:dPt>
            <c:idx val="180"/>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69-2126-407A-AFB3-6C993D9B38DD}"/>
              </c:ext>
            </c:extLst>
          </c:dPt>
          <c:dPt>
            <c:idx val="181"/>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6B-2126-407A-AFB3-6C993D9B38DD}"/>
              </c:ext>
            </c:extLst>
          </c:dPt>
          <c:dPt>
            <c:idx val="182"/>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6D-2126-407A-AFB3-6C993D9B38DD}"/>
              </c:ext>
            </c:extLst>
          </c:dPt>
          <c:dPt>
            <c:idx val="183"/>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6F-2126-407A-AFB3-6C993D9B38DD}"/>
              </c:ext>
            </c:extLst>
          </c:dPt>
          <c:dPt>
            <c:idx val="184"/>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71-2126-407A-AFB3-6C993D9B38DD}"/>
              </c:ext>
            </c:extLst>
          </c:dPt>
          <c:dPt>
            <c:idx val="185"/>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73-2126-407A-AFB3-6C993D9B38DD}"/>
              </c:ext>
            </c:extLst>
          </c:dPt>
          <c:dPt>
            <c:idx val="18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75-2126-407A-AFB3-6C993D9B38DD}"/>
              </c:ext>
            </c:extLst>
          </c:dPt>
          <c:dPt>
            <c:idx val="18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77-2126-407A-AFB3-6C993D9B38DD}"/>
              </c:ext>
            </c:extLst>
          </c:dPt>
          <c:dPt>
            <c:idx val="188"/>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79-2126-407A-AFB3-6C993D9B38DD}"/>
              </c:ext>
            </c:extLst>
          </c:dPt>
          <c:dPt>
            <c:idx val="189"/>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7B-2126-407A-AFB3-6C993D9B38DD}"/>
              </c:ext>
            </c:extLst>
          </c:dPt>
          <c:dPt>
            <c:idx val="19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7D-2126-407A-AFB3-6C993D9B38DD}"/>
              </c:ext>
            </c:extLst>
          </c:dPt>
          <c:dPt>
            <c:idx val="19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7F-2126-407A-AFB3-6C993D9B38DD}"/>
              </c:ext>
            </c:extLst>
          </c:dPt>
          <c:dPt>
            <c:idx val="192"/>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81-2126-407A-AFB3-6C993D9B38DD}"/>
              </c:ext>
            </c:extLst>
          </c:dPt>
          <c:dPt>
            <c:idx val="193"/>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83-2126-407A-AFB3-6C993D9B38DD}"/>
              </c:ext>
            </c:extLst>
          </c:dPt>
          <c:dPt>
            <c:idx val="194"/>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85-2126-407A-AFB3-6C993D9B38DD}"/>
              </c:ext>
            </c:extLst>
          </c:dPt>
          <c:dPt>
            <c:idx val="195"/>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87-2126-407A-AFB3-6C993D9B38DD}"/>
              </c:ext>
            </c:extLst>
          </c:dPt>
          <c:dPt>
            <c:idx val="196"/>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89-2126-407A-AFB3-6C993D9B38DD}"/>
              </c:ext>
            </c:extLst>
          </c:dPt>
          <c:dPt>
            <c:idx val="197"/>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8B-2126-407A-AFB3-6C993D9B38DD}"/>
              </c:ext>
            </c:extLst>
          </c:dPt>
          <c:dPt>
            <c:idx val="198"/>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8D-2126-407A-AFB3-6C993D9B38DD}"/>
              </c:ext>
            </c:extLst>
          </c:dPt>
          <c:dPt>
            <c:idx val="199"/>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8F-2126-407A-AFB3-6C993D9B38DD}"/>
              </c:ext>
            </c:extLst>
          </c:dPt>
          <c:dPt>
            <c:idx val="200"/>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91-2126-407A-AFB3-6C993D9B38DD}"/>
              </c:ext>
            </c:extLst>
          </c:dPt>
          <c:dPt>
            <c:idx val="201"/>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93-2126-407A-AFB3-6C993D9B38DD}"/>
              </c:ext>
            </c:extLst>
          </c:dPt>
          <c:dPt>
            <c:idx val="202"/>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95-2126-407A-AFB3-6C993D9B38DD}"/>
              </c:ext>
            </c:extLst>
          </c:dPt>
          <c:dPt>
            <c:idx val="203"/>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97-2126-407A-AFB3-6C993D9B38DD}"/>
              </c:ext>
            </c:extLst>
          </c:dPt>
          <c:dPt>
            <c:idx val="204"/>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99-2126-407A-AFB3-6C993D9B38DD}"/>
              </c:ext>
            </c:extLst>
          </c:dPt>
          <c:dPt>
            <c:idx val="205"/>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9B-2126-407A-AFB3-6C993D9B38DD}"/>
              </c:ext>
            </c:extLst>
          </c:dPt>
          <c:dPt>
            <c:idx val="206"/>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9D-2126-407A-AFB3-6C993D9B38DD}"/>
              </c:ext>
            </c:extLst>
          </c:dPt>
          <c:dPt>
            <c:idx val="207"/>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9F-2126-407A-AFB3-6C993D9B38DD}"/>
              </c:ext>
            </c:extLst>
          </c:dPt>
          <c:dPt>
            <c:idx val="208"/>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A1-2126-407A-AFB3-6C993D9B38DD}"/>
              </c:ext>
            </c:extLst>
          </c:dPt>
          <c:dPt>
            <c:idx val="209"/>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A3-2126-407A-AFB3-6C993D9B38DD}"/>
              </c:ext>
            </c:extLst>
          </c:dPt>
          <c:dPt>
            <c:idx val="210"/>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A5-2126-407A-AFB3-6C993D9B38DD}"/>
              </c:ext>
            </c:extLst>
          </c:dPt>
          <c:dPt>
            <c:idx val="211"/>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A7-2126-407A-AFB3-6C993D9B38DD}"/>
              </c:ext>
            </c:extLst>
          </c:dPt>
          <c:dPt>
            <c:idx val="212"/>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A9-2126-407A-AFB3-6C993D9B38DD}"/>
              </c:ext>
            </c:extLst>
          </c:dPt>
          <c:dPt>
            <c:idx val="213"/>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AB-2126-407A-AFB3-6C993D9B38DD}"/>
              </c:ext>
            </c:extLst>
          </c:dPt>
          <c:dPt>
            <c:idx val="214"/>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AD-2126-407A-AFB3-6C993D9B38DD}"/>
              </c:ext>
            </c:extLst>
          </c:dPt>
          <c:dPt>
            <c:idx val="215"/>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AF-2126-407A-AFB3-6C993D9B38DD}"/>
              </c:ext>
            </c:extLst>
          </c:dPt>
          <c:dPt>
            <c:idx val="216"/>
            <c:bubble3D val="0"/>
            <c:spPr>
              <a:solidFill>
                <a:schemeClr val="accent1"/>
              </a:solidFill>
              <a:ln w="19050">
                <a:solidFill>
                  <a:schemeClr val="lt1"/>
                </a:solidFill>
              </a:ln>
              <a:effectLst/>
            </c:spPr>
            <c:extLst>
              <c:ext xmlns:c16="http://schemas.microsoft.com/office/drawing/2014/chart" uri="{C3380CC4-5D6E-409C-BE32-E72D297353CC}">
                <c16:uniqueId val="{000001B1-2126-407A-AFB3-6C993D9B38DD}"/>
              </c:ext>
            </c:extLst>
          </c:dPt>
          <c:dPt>
            <c:idx val="217"/>
            <c:bubble3D val="0"/>
            <c:spPr>
              <a:solidFill>
                <a:schemeClr val="accent2"/>
              </a:solidFill>
              <a:ln w="19050">
                <a:solidFill>
                  <a:schemeClr val="lt1"/>
                </a:solidFill>
              </a:ln>
              <a:effectLst/>
            </c:spPr>
            <c:extLst>
              <c:ext xmlns:c16="http://schemas.microsoft.com/office/drawing/2014/chart" uri="{C3380CC4-5D6E-409C-BE32-E72D297353CC}">
                <c16:uniqueId val="{000001B3-2126-407A-AFB3-6C993D9B38DD}"/>
              </c:ext>
            </c:extLst>
          </c:dPt>
          <c:dPt>
            <c:idx val="218"/>
            <c:bubble3D val="0"/>
            <c:spPr>
              <a:solidFill>
                <a:schemeClr val="accent3"/>
              </a:solidFill>
              <a:ln w="19050">
                <a:solidFill>
                  <a:schemeClr val="lt1"/>
                </a:solidFill>
              </a:ln>
              <a:effectLst/>
            </c:spPr>
            <c:extLst>
              <c:ext xmlns:c16="http://schemas.microsoft.com/office/drawing/2014/chart" uri="{C3380CC4-5D6E-409C-BE32-E72D297353CC}">
                <c16:uniqueId val="{000001B5-2126-407A-AFB3-6C993D9B38DD}"/>
              </c:ext>
            </c:extLst>
          </c:dPt>
          <c:dPt>
            <c:idx val="219"/>
            <c:bubble3D val="0"/>
            <c:spPr>
              <a:solidFill>
                <a:schemeClr val="accent4"/>
              </a:solidFill>
              <a:ln w="19050">
                <a:solidFill>
                  <a:schemeClr val="lt1"/>
                </a:solidFill>
              </a:ln>
              <a:effectLst/>
            </c:spPr>
            <c:extLst>
              <c:ext xmlns:c16="http://schemas.microsoft.com/office/drawing/2014/chart" uri="{C3380CC4-5D6E-409C-BE32-E72D297353CC}">
                <c16:uniqueId val="{000001B7-2126-407A-AFB3-6C993D9B38DD}"/>
              </c:ext>
            </c:extLst>
          </c:dPt>
          <c:dPt>
            <c:idx val="220"/>
            <c:bubble3D val="0"/>
            <c:spPr>
              <a:solidFill>
                <a:schemeClr val="accent5"/>
              </a:solidFill>
              <a:ln w="19050">
                <a:solidFill>
                  <a:schemeClr val="lt1"/>
                </a:solidFill>
              </a:ln>
              <a:effectLst/>
            </c:spPr>
            <c:extLst>
              <c:ext xmlns:c16="http://schemas.microsoft.com/office/drawing/2014/chart" uri="{C3380CC4-5D6E-409C-BE32-E72D297353CC}">
                <c16:uniqueId val="{000001B9-2126-407A-AFB3-6C993D9B38DD}"/>
              </c:ext>
            </c:extLst>
          </c:dPt>
          <c:dPt>
            <c:idx val="221"/>
            <c:bubble3D val="0"/>
            <c:spPr>
              <a:solidFill>
                <a:schemeClr val="accent6"/>
              </a:solidFill>
              <a:ln w="19050">
                <a:solidFill>
                  <a:schemeClr val="lt1"/>
                </a:solidFill>
              </a:ln>
              <a:effectLst/>
            </c:spPr>
            <c:extLst>
              <c:ext xmlns:c16="http://schemas.microsoft.com/office/drawing/2014/chart" uri="{C3380CC4-5D6E-409C-BE32-E72D297353CC}">
                <c16:uniqueId val="{000001BB-2126-407A-AFB3-6C993D9B38DD}"/>
              </c:ext>
            </c:extLst>
          </c:dPt>
          <c:dPt>
            <c:idx val="222"/>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BD-2126-407A-AFB3-6C993D9B38DD}"/>
              </c:ext>
            </c:extLst>
          </c:dPt>
          <c:dPt>
            <c:idx val="22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BF-2126-407A-AFB3-6C993D9B38DD}"/>
              </c:ext>
            </c:extLst>
          </c:dPt>
          <c:dPt>
            <c:idx val="22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C1-2126-407A-AFB3-6C993D9B38DD}"/>
              </c:ext>
            </c:extLst>
          </c:dPt>
          <c:dPt>
            <c:idx val="225"/>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C3-2126-407A-AFB3-6C993D9B38DD}"/>
              </c:ext>
            </c:extLst>
          </c:dPt>
          <c:dPt>
            <c:idx val="226"/>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C5-2126-407A-AFB3-6C993D9B38DD}"/>
              </c:ext>
            </c:extLst>
          </c:dPt>
          <c:dPt>
            <c:idx val="227"/>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C7-2126-407A-AFB3-6C993D9B38DD}"/>
              </c:ext>
            </c:extLst>
          </c:dPt>
          <c:dPt>
            <c:idx val="228"/>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C9-2126-407A-AFB3-6C993D9B38DD}"/>
              </c:ext>
            </c:extLst>
          </c:dPt>
          <c:dPt>
            <c:idx val="229"/>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CB-2126-407A-AFB3-6C993D9B38DD}"/>
              </c:ext>
            </c:extLst>
          </c:dPt>
          <c:dPt>
            <c:idx val="230"/>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CD-2126-407A-AFB3-6C993D9B38DD}"/>
              </c:ext>
            </c:extLst>
          </c:dPt>
          <c:dPt>
            <c:idx val="231"/>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CF-2126-407A-AFB3-6C993D9B38DD}"/>
              </c:ext>
            </c:extLst>
          </c:dPt>
          <c:dPt>
            <c:idx val="232"/>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D1-2126-407A-AFB3-6C993D9B38DD}"/>
              </c:ext>
            </c:extLst>
          </c:dPt>
          <c:dPt>
            <c:idx val="233"/>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D3-2126-407A-AFB3-6C993D9B38DD}"/>
              </c:ext>
            </c:extLst>
          </c:dPt>
          <c:dPt>
            <c:idx val="234"/>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D5-2126-407A-AFB3-6C993D9B38DD}"/>
              </c:ext>
            </c:extLst>
          </c:dPt>
          <c:dPt>
            <c:idx val="235"/>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D7-2126-407A-AFB3-6C993D9B38DD}"/>
              </c:ext>
            </c:extLst>
          </c:dPt>
          <c:dPt>
            <c:idx val="236"/>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D9-2126-407A-AFB3-6C993D9B38DD}"/>
              </c:ext>
            </c:extLst>
          </c:dPt>
          <c:dPt>
            <c:idx val="237"/>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DB-2126-407A-AFB3-6C993D9B38DD}"/>
              </c:ext>
            </c:extLst>
          </c:dPt>
          <c:dPt>
            <c:idx val="238"/>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DD-2126-407A-AFB3-6C993D9B38DD}"/>
              </c:ext>
            </c:extLst>
          </c:dPt>
          <c:dPt>
            <c:idx val="239"/>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DF-2126-407A-AFB3-6C993D9B38DD}"/>
              </c:ext>
            </c:extLst>
          </c:dPt>
          <c:dPt>
            <c:idx val="24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E1-2126-407A-AFB3-6C993D9B38DD}"/>
              </c:ext>
            </c:extLst>
          </c:dPt>
          <c:dPt>
            <c:idx val="24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E3-2126-407A-AFB3-6C993D9B38DD}"/>
              </c:ext>
            </c:extLst>
          </c:dPt>
          <c:dPt>
            <c:idx val="24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E5-2126-407A-AFB3-6C993D9B38DD}"/>
              </c:ext>
            </c:extLst>
          </c:dPt>
          <c:dPt>
            <c:idx val="24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E7-2126-407A-AFB3-6C993D9B38DD}"/>
              </c:ext>
            </c:extLst>
          </c:dPt>
          <c:dPt>
            <c:idx val="24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E9-2126-407A-AFB3-6C993D9B38DD}"/>
              </c:ext>
            </c:extLst>
          </c:dPt>
          <c:dPt>
            <c:idx val="245"/>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EB-2126-407A-AFB3-6C993D9B38DD}"/>
              </c:ext>
            </c:extLst>
          </c:dPt>
          <c:dPt>
            <c:idx val="246"/>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ED-2126-407A-AFB3-6C993D9B38DD}"/>
              </c:ext>
            </c:extLst>
          </c:dPt>
          <c:dPt>
            <c:idx val="247"/>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EF-2126-407A-AFB3-6C993D9B38DD}"/>
              </c:ext>
            </c:extLst>
          </c:dPt>
          <c:dPt>
            <c:idx val="248"/>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F1-2126-407A-AFB3-6C993D9B38DD}"/>
              </c:ext>
            </c:extLst>
          </c:dPt>
          <c:dPt>
            <c:idx val="249"/>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F3-2126-407A-AFB3-6C993D9B38DD}"/>
              </c:ext>
            </c:extLst>
          </c:dPt>
          <c:dPt>
            <c:idx val="25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F5-2126-407A-AFB3-6C993D9B38DD}"/>
              </c:ext>
            </c:extLst>
          </c:dPt>
          <c:dPt>
            <c:idx val="251"/>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F7-2126-407A-AFB3-6C993D9B38DD}"/>
              </c:ext>
            </c:extLst>
          </c:dPt>
          <c:dPt>
            <c:idx val="252"/>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F9-2126-407A-AFB3-6C993D9B38DD}"/>
              </c:ext>
            </c:extLst>
          </c:dPt>
          <c:dPt>
            <c:idx val="253"/>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FB-2126-407A-AFB3-6C993D9B38DD}"/>
              </c:ext>
            </c:extLst>
          </c:dPt>
          <c:dPt>
            <c:idx val="254"/>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FD-2126-407A-AFB3-6C993D9B38DD}"/>
              </c:ext>
            </c:extLst>
          </c:dPt>
          <c:dPt>
            <c:idx val="255"/>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FF-2126-407A-AFB3-6C993D9B38DD}"/>
              </c:ext>
            </c:extLst>
          </c:dPt>
          <c:dPt>
            <c:idx val="256"/>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201-2126-407A-AFB3-6C993D9B38DD}"/>
              </c:ext>
            </c:extLst>
          </c:dPt>
          <c:dPt>
            <c:idx val="257"/>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203-2126-407A-AFB3-6C993D9B38DD}"/>
              </c:ext>
            </c:extLst>
          </c:dPt>
          <c:dPt>
            <c:idx val="258"/>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205-2126-407A-AFB3-6C993D9B38DD}"/>
              </c:ext>
            </c:extLst>
          </c:dPt>
          <c:dPt>
            <c:idx val="259"/>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207-2126-407A-AFB3-6C993D9B38DD}"/>
              </c:ext>
            </c:extLst>
          </c:dPt>
          <c:dPt>
            <c:idx val="260"/>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209-2126-407A-AFB3-6C993D9B38DD}"/>
              </c:ext>
            </c:extLst>
          </c:dPt>
          <c:dPt>
            <c:idx val="261"/>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20B-2126-407A-AFB3-6C993D9B38DD}"/>
              </c:ext>
            </c:extLst>
          </c:dPt>
          <c:dPt>
            <c:idx val="262"/>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20D-2126-407A-AFB3-6C993D9B38DD}"/>
              </c:ext>
            </c:extLst>
          </c:dPt>
          <c:dPt>
            <c:idx val="263"/>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20F-2126-407A-AFB3-6C993D9B38DD}"/>
              </c:ext>
            </c:extLst>
          </c:dPt>
          <c:dPt>
            <c:idx val="264"/>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211-2126-407A-AFB3-6C993D9B38DD}"/>
              </c:ext>
            </c:extLst>
          </c:dPt>
          <c:val>
            <c:numRef>
              <c:f>House!$O$34:$O$298</c:f>
              <c:numCache>
                <c:formatCode>0.00%</c:formatCode>
                <c:ptCount val="265"/>
              </c:numCache>
            </c:numRef>
          </c:val>
          <c:extLst>
            <c:ext xmlns:c16="http://schemas.microsoft.com/office/drawing/2014/chart" uri="{C3380CC4-5D6E-409C-BE32-E72D297353CC}">
              <c16:uniqueId val="{00000212-2126-407A-AFB3-6C993D9B38D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'Google trends'!$B$1</c:f>
              <c:strCache>
                <c:ptCount val="1"/>
                <c:pt idx="0">
                  <c:v>9 Spokes</c:v>
                </c:pt>
              </c:strCache>
            </c:strRef>
          </c:tx>
          <c:spPr>
            <a:ln w="28575" cap="rnd">
              <a:solidFill>
                <a:srgbClr val="8EA9DB"/>
              </a:solidFill>
              <a:prstDash val="solid"/>
              <a:round/>
            </a:ln>
            <a:effectLst/>
          </c:spPr>
          <c:marker>
            <c:symbol val="none"/>
          </c:marker>
          <c:val>
            <c:numRef>
              <c:f>'Google trends'!$B$2:$B$37</c:f>
              <c:numCache>
                <c:formatCode>General</c:formatCode>
                <c:ptCount val="36"/>
                <c:pt idx="0">
                  <c:v>0</c:v>
                </c:pt>
                <c:pt idx="1">
                  <c:v>0</c:v>
                </c:pt>
                <c:pt idx="2">
                  <c:v>49</c:v>
                </c:pt>
                <c:pt idx="3">
                  <c:v>0</c:v>
                </c:pt>
                <c:pt idx="4">
                  <c:v>0</c:v>
                </c:pt>
                <c:pt idx="5">
                  <c:v>48</c:v>
                </c:pt>
                <c:pt idx="6">
                  <c:v>49</c:v>
                </c:pt>
                <c:pt idx="7">
                  <c:v>0</c:v>
                </c:pt>
                <c:pt idx="8">
                  <c:v>100</c:v>
                </c:pt>
                <c:pt idx="9">
                  <c:v>0</c:v>
                </c:pt>
                <c:pt idx="10">
                  <c:v>0</c:v>
                </c:pt>
                <c:pt idx="11">
                  <c:v>48</c:v>
                </c:pt>
                <c:pt idx="12">
                  <c:v>0</c:v>
                </c:pt>
                <c:pt idx="13">
                  <c:v>45</c:v>
                </c:pt>
                <c:pt idx="14">
                  <c:v>0</c:v>
                </c:pt>
                <c:pt idx="15">
                  <c:v>0</c:v>
                </c:pt>
                <c:pt idx="16">
                  <c:v>0</c:v>
                </c:pt>
                <c:pt idx="17">
                  <c:v>0</c:v>
                </c:pt>
                <c:pt idx="18">
                  <c:v>80</c:v>
                </c:pt>
                <c:pt idx="19">
                  <c:v>40</c:v>
                </c:pt>
                <c:pt idx="20">
                  <c:v>41</c:v>
                </c:pt>
                <c:pt idx="21">
                  <c:v>39</c:v>
                </c:pt>
                <c:pt idx="22">
                  <c:v>76</c:v>
                </c:pt>
                <c:pt idx="23">
                  <c:v>73</c:v>
                </c:pt>
                <c:pt idx="24">
                  <c:v>0</c:v>
                </c:pt>
                <c:pt idx="25">
                  <c:v>0</c:v>
                </c:pt>
                <c:pt idx="26">
                  <c:v>40</c:v>
                </c:pt>
                <c:pt idx="27">
                  <c:v>0</c:v>
                </c:pt>
                <c:pt idx="28">
                  <c:v>40</c:v>
                </c:pt>
                <c:pt idx="29">
                  <c:v>0</c:v>
                </c:pt>
                <c:pt idx="30">
                  <c:v>0</c:v>
                </c:pt>
                <c:pt idx="31">
                  <c:v>0</c:v>
                </c:pt>
                <c:pt idx="32">
                  <c:v>0</c:v>
                </c:pt>
                <c:pt idx="33">
                  <c:v>0</c:v>
                </c:pt>
                <c:pt idx="34">
                  <c:v>0</c:v>
                </c:pt>
                <c:pt idx="35">
                  <c:v>35</c:v>
                </c:pt>
              </c:numCache>
            </c:numRef>
          </c:val>
          <c:smooth val="0"/>
          <c:extLst>
            <c:ext xmlns:c16="http://schemas.microsoft.com/office/drawing/2014/chart" uri="{C3380CC4-5D6E-409C-BE32-E72D297353CC}">
              <c16:uniqueId val="{00000000-C734-491A-8030-698EEDA2FF52}"/>
            </c:ext>
          </c:extLst>
        </c:ser>
        <c:ser>
          <c:idx val="1"/>
          <c:order val="1"/>
          <c:tx>
            <c:strRef>
              <c:f>'Google trends'!$C$1</c:f>
              <c:strCache>
                <c:ptCount val="1"/>
                <c:pt idx="0">
                  <c:v>Competitor</c:v>
                </c:pt>
              </c:strCache>
            </c:strRef>
          </c:tx>
          <c:spPr>
            <a:ln w="28575" cap="rnd">
              <a:solidFill>
                <a:srgbClr val="7030A0"/>
              </a:solidFill>
              <a:prstDash val="solid"/>
              <a:round/>
            </a:ln>
            <a:effectLst/>
          </c:spPr>
          <c:marker>
            <c:symbol val="circle"/>
            <c:size val="2"/>
            <c:spPr>
              <a:solidFill>
                <a:srgbClr val="7030A0"/>
              </a:solidFill>
              <a:ln w="9525">
                <a:solidFill>
                  <a:srgbClr val="7030A0"/>
                </a:solidFill>
                <a:prstDash val="solid"/>
              </a:ln>
              <a:effectLst/>
            </c:spPr>
          </c:marker>
          <c:val>
            <c:numRef>
              <c:f>'Google trends'!$C$2:$C$37</c:f>
              <c:numCache>
                <c:formatCode>General</c:formatCode>
                <c:ptCount val="36"/>
                <c:pt idx="0">
                  <c:v>50</c:v>
                </c:pt>
                <c:pt idx="1">
                  <c:v>0</c:v>
                </c:pt>
                <c:pt idx="2">
                  <c:v>0</c:v>
                </c:pt>
                <c:pt idx="3">
                  <c:v>49</c:v>
                </c:pt>
                <c:pt idx="4">
                  <c:v>0</c:v>
                </c:pt>
                <c:pt idx="5">
                  <c:v>48</c:v>
                </c:pt>
                <c:pt idx="6">
                  <c:v>0</c:v>
                </c:pt>
                <c:pt idx="7">
                  <c:v>0</c:v>
                </c:pt>
                <c:pt idx="8">
                  <c:v>0</c:v>
                </c:pt>
                <c:pt idx="9">
                  <c:v>0</c:v>
                </c:pt>
                <c:pt idx="10">
                  <c:v>0</c:v>
                </c:pt>
                <c:pt idx="11">
                  <c:v>0</c:v>
                </c:pt>
                <c:pt idx="12">
                  <c:v>0</c:v>
                </c:pt>
                <c:pt idx="13">
                  <c:v>0</c:v>
                </c:pt>
                <c:pt idx="14">
                  <c:v>0</c:v>
                </c:pt>
                <c:pt idx="15">
                  <c:v>0</c:v>
                </c:pt>
                <c:pt idx="16">
                  <c:v>30</c:v>
                </c:pt>
                <c:pt idx="17">
                  <c:v>0</c:v>
                </c:pt>
                <c:pt idx="18">
                  <c:v>0</c:v>
                </c:pt>
                <c:pt idx="19">
                  <c:v>40</c:v>
                </c:pt>
                <c:pt idx="20">
                  <c:v>0</c:v>
                </c:pt>
                <c:pt idx="21">
                  <c:v>40</c:v>
                </c:pt>
                <c:pt idx="22">
                  <c:v>0</c:v>
                </c:pt>
                <c:pt idx="23">
                  <c:v>0</c:v>
                </c:pt>
                <c:pt idx="24">
                  <c:v>40</c:v>
                </c:pt>
                <c:pt idx="25">
                  <c:v>0</c:v>
                </c:pt>
                <c:pt idx="26">
                  <c:v>40</c:v>
                </c:pt>
                <c:pt idx="27">
                  <c:v>0</c:v>
                </c:pt>
                <c:pt idx="28">
                  <c:v>0</c:v>
                </c:pt>
                <c:pt idx="29">
                  <c:v>40</c:v>
                </c:pt>
                <c:pt idx="30">
                  <c:v>0</c:v>
                </c:pt>
                <c:pt idx="31">
                  <c:v>0</c:v>
                </c:pt>
                <c:pt idx="32">
                  <c:v>0</c:v>
                </c:pt>
                <c:pt idx="33">
                  <c:v>0</c:v>
                </c:pt>
                <c:pt idx="34">
                  <c:v>80</c:v>
                </c:pt>
                <c:pt idx="35">
                  <c:v>35</c:v>
                </c:pt>
              </c:numCache>
            </c:numRef>
          </c:val>
          <c:smooth val="0"/>
          <c:extLst>
            <c:ext xmlns:c16="http://schemas.microsoft.com/office/drawing/2014/chart" uri="{C3380CC4-5D6E-409C-BE32-E72D297353CC}">
              <c16:uniqueId val="{00000001-C734-491A-8030-698EEDA2FF52}"/>
            </c:ext>
          </c:extLst>
        </c:ser>
        <c:dLbls>
          <c:showLegendKey val="0"/>
          <c:showVal val="0"/>
          <c:showCatName val="0"/>
          <c:showSerName val="0"/>
          <c:showPercent val="0"/>
          <c:showBubbleSize val="0"/>
        </c:dLbls>
        <c:smooth val="0"/>
        <c:axId val="836452536"/>
        <c:axId val="836461272"/>
      </c:lineChart>
      <c:catAx>
        <c:axId val="836452536"/>
        <c:scaling>
          <c:orientation val="minMax"/>
        </c:scaling>
        <c:delete val="0"/>
        <c:axPos val="b"/>
        <c:numFmt formatCode="0" sourceLinked="0"/>
        <c:majorTickMark val="none"/>
        <c:minorTickMark val="none"/>
        <c:tickLblPos val="nextTo"/>
        <c:spPr>
          <a:solidFill>
            <a:srgbClr val="FFFFFF"/>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FFFFFF"/>
                </a:solidFill>
                <a:latin typeface="+mn-lt"/>
                <a:ea typeface="+mn-ea"/>
                <a:cs typeface="+mn-cs"/>
              </a:defRPr>
            </a:pPr>
            <a:endParaRPr lang="en-US"/>
          </a:p>
        </c:txPr>
        <c:crossAx val="836461272"/>
        <c:crosses val="autoZero"/>
        <c:auto val="1"/>
        <c:lblAlgn val="ctr"/>
        <c:lblOffset val="100"/>
        <c:noMultiLvlLbl val="0"/>
      </c:catAx>
      <c:valAx>
        <c:axId val="836461272"/>
        <c:scaling>
          <c:orientation val="minMax"/>
          <c:max val="1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6452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Google Trends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'Google trends'!$B$1</c:f>
              <c:strCache>
                <c:ptCount val="1"/>
                <c:pt idx="0">
                  <c:v>9 Spokes</c:v>
                </c:pt>
              </c:strCache>
            </c:strRef>
          </c:tx>
          <c:spPr>
            <a:ln w="28575" cap="rnd">
              <a:solidFill>
                <a:srgbClr val="8EA9DB"/>
              </a:solidFill>
              <a:prstDash val="solid"/>
              <a:round/>
            </a:ln>
            <a:effectLst/>
          </c:spPr>
          <c:marker>
            <c:symbol val="none"/>
          </c:marker>
          <c:cat>
            <c:numRef>
              <c:f>'Google trends'!$A$2:$A$37</c:f>
              <c:numCache>
                <c:formatCode>m/d/yyyy</c:formatCode>
                <c:ptCount val="36"/>
                <c:pt idx="0">
                  <c:v>43576</c:v>
                </c:pt>
                <c:pt idx="1">
                  <c:v>43583</c:v>
                </c:pt>
                <c:pt idx="2">
                  <c:v>43590</c:v>
                </c:pt>
                <c:pt idx="3">
                  <c:v>43597</c:v>
                </c:pt>
                <c:pt idx="4">
                  <c:v>43604</c:v>
                </c:pt>
                <c:pt idx="5">
                  <c:v>43611</c:v>
                </c:pt>
                <c:pt idx="6">
                  <c:v>43618</c:v>
                </c:pt>
                <c:pt idx="7">
                  <c:v>43625</c:v>
                </c:pt>
                <c:pt idx="8">
                  <c:v>43632</c:v>
                </c:pt>
                <c:pt idx="9">
                  <c:v>43639</c:v>
                </c:pt>
                <c:pt idx="10">
                  <c:v>43646</c:v>
                </c:pt>
                <c:pt idx="11">
                  <c:v>43653</c:v>
                </c:pt>
                <c:pt idx="12">
                  <c:v>43660</c:v>
                </c:pt>
                <c:pt idx="13">
                  <c:v>43667</c:v>
                </c:pt>
                <c:pt idx="14">
                  <c:v>43674</c:v>
                </c:pt>
                <c:pt idx="15">
                  <c:v>43681</c:v>
                </c:pt>
                <c:pt idx="16">
                  <c:v>43688</c:v>
                </c:pt>
                <c:pt idx="17">
                  <c:v>43695</c:v>
                </c:pt>
                <c:pt idx="18">
                  <c:v>43702</c:v>
                </c:pt>
                <c:pt idx="19">
                  <c:v>43709</c:v>
                </c:pt>
                <c:pt idx="20">
                  <c:v>43716</c:v>
                </c:pt>
                <c:pt idx="21">
                  <c:v>43723</c:v>
                </c:pt>
                <c:pt idx="22">
                  <c:v>43730</c:v>
                </c:pt>
                <c:pt idx="23">
                  <c:v>43737</c:v>
                </c:pt>
                <c:pt idx="24">
                  <c:v>43744</c:v>
                </c:pt>
                <c:pt idx="25">
                  <c:v>43751</c:v>
                </c:pt>
                <c:pt idx="26">
                  <c:v>43758</c:v>
                </c:pt>
                <c:pt idx="27">
                  <c:v>43765</c:v>
                </c:pt>
                <c:pt idx="28">
                  <c:v>43772</c:v>
                </c:pt>
                <c:pt idx="29">
                  <c:v>43779</c:v>
                </c:pt>
                <c:pt idx="30">
                  <c:v>43786</c:v>
                </c:pt>
                <c:pt idx="31">
                  <c:v>43793</c:v>
                </c:pt>
                <c:pt idx="32">
                  <c:v>43800</c:v>
                </c:pt>
                <c:pt idx="33">
                  <c:v>43807</c:v>
                </c:pt>
                <c:pt idx="34">
                  <c:v>43814</c:v>
                </c:pt>
                <c:pt idx="35">
                  <c:v>43821</c:v>
                </c:pt>
              </c:numCache>
            </c:numRef>
          </c:cat>
          <c:val>
            <c:numRef>
              <c:f>'Google trends'!$B$2:$B$37</c:f>
              <c:numCache>
                <c:formatCode>General</c:formatCode>
                <c:ptCount val="36"/>
                <c:pt idx="0">
                  <c:v>0</c:v>
                </c:pt>
                <c:pt idx="1">
                  <c:v>0</c:v>
                </c:pt>
                <c:pt idx="2">
                  <c:v>49</c:v>
                </c:pt>
                <c:pt idx="3">
                  <c:v>0</c:v>
                </c:pt>
                <c:pt idx="4">
                  <c:v>0</c:v>
                </c:pt>
                <c:pt idx="5">
                  <c:v>48</c:v>
                </c:pt>
                <c:pt idx="6">
                  <c:v>49</c:v>
                </c:pt>
                <c:pt idx="7">
                  <c:v>0</c:v>
                </c:pt>
                <c:pt idx="8">
                  <c:v>100</c:v>
                </c:pt>
                <c:pt idx="9">
                  <c:v>0</c:v>
                </c:pt>
                <c:pt idx="10">
                  <c:v>0</c:v>
                </c:pt>
                <c:pt idx="11">
                  <c:v>48</c:v>
                </c:pt>
                <c:pt idx="12">
                  <c:v>0</c:v>
                </c:pt>
                <c:pt idx="13">
                  <c:v>45</c:v>
                </c:pt>
                <c:pt idx="14">
                  <c:v>0</c:v>
                </c:pt>
                <c:pt idx="15">
                  <c:v>0</c:v>
                </c:pt>
                <c:pt idx="16">
                  <c:v>0</c:v>
                </c:pt>
                <c:pt idx="17">
                  <c:v>0</c:v>
                </c:pt>
                <c:pt idx="18">
                  <c:v>80</c:v>
                </c:pt>
                <c:pt idx="19">
                  <c:v>40</c:v>
                </c:pt>
                <c:pt idx="20">
                  <c:v>41</c:v>
                </c:pt>
                <c:pt idx="21">
                  <c:v>39</c:v>
                </c:pt>
                <c:pt idx="22">
                  <c:v>76</c:v>
                </c:pt>
                <c:pt idx="23">
                  <c:v>73</c:v>
                </c:pt>
                <c:pt idx="24">
                  <c:v>0</c:v>
                </c:pt>
                <c:pt idx="25">
                  <c:v>0</c:v>
                </c:pt>
                <c:pt idx="26">
                  <c:v>40</c:v>
                </c:pt>
                <c:pt idx="27">
                  <c:v>0</c:v>
                </c:pt>
                <c:pt idx="28">
                  <c:v>40</c:v>
                </c:pt>
                <c:pt idx="29">
                  <c:v>0</c:v>
                </c:pt>
                <c:pt idx="30">
                  <c:v>0</c:v>
                </c:pt>
                <c:pt idx="31">
                  <c:v>0</c:v>
                </c:pt>
                <c:pt idx="32">
                  <c:v>0</c:v>
                </c:pt>
                <c:pt idx="33">
                  <c:v>0</c:v>
                </c:pt>
                <c:pt idx="34">
                  <c:v>0</c:v>
                </c:pt>
                <c:pt idx="35">
                  <c:v>35</c:v>
                </c:pt>
              </c:numCache>
            </c:numRef>
          </c:val>
          <c:smooth val="0"/>
          <c:extLst>
            <c:ext xmlns:c16="http://schemas.microsoft.com/office/drawing/2014/chart" uri="{C3380CC4-5D6E-409C-BE32-E72D297353CC}">
              <c16:uniqueId val="{00000000-4F1E-41C3-BBE2-26849B2E67AE}"/>
            </c:ext>
          </c:extLst>
        </c:ser>
        <c:ser>
          <c:idx val="1"/>
          <c:order val="1"/>
          <c:tx>
            <c:strRef>
              <c:f>'Google trends'!$C$1</c:f>
              <c:strCache>
                <c:ptCount val="1"/>
                <c:pt idx="0">
                  <c:v>Competitor</c:v>
                </c:pt>
              </c:strCache>
            </c:strRef>
          </c:tx>
          <c:spPr>
            <a:ln w="28575" cap="rnd">
              <a:solidFill>
                <a:srgbClr val="7030A0"/>
              </a:solidFill>
              <a:prstDash val="solid"/>
              <a:round/>
            </a:ln>
            <a:effectLst/>
          </c:spPr>
          <c:marker>
            <c:symbol val="none"/>
          </c:marker>
          <c:cat>
            <c:numRef>
              <c:f>'Google trends'!$A$2:$A$37</c:f>
              <c:numCache>
                <c:formatCode>m/d/yyyy</c:formatCode>
                <c:ptCount val="36"/>
                <c:pt idx="0">
                  <c:v>43576</c:v>
                </c:pt>
                <c:pt idx="1">
                  <c:v>43583</c:v>
                </c:pt>
                <c:pt idx="2">
                  <c:v>43590</c:v>
                </c:pt>
                <c:pt idx="3">
                  <c:v>43597</c:v>
                </c:pt>
                <c:pt idx="4">
                  <c:v>43604</c:v>
                </c:pt>
                <c:pt idx="5">
                  <c:v>43611</c:v>
                </c:pt>
                <c:pt idx="6">
                  <c:v>43618</c:v>
                </c:pt>
                <c:pt idx="7">
                  <c:v>43625</c:v>
                </c:pt>
                <c:pt idx="8">
                  <c:v>43632</c:v>
                </c:pt>
                <c:pt idx="9">
                  <c:v>43639</c:v>
                </c:pt>
                <c:pt idx="10">
                  <c:v>43646</c:v>
                </c:pt>
                <c:pt idx="11">
                  <c:v>43653</c:v>
                </c:pt>
                <c:pt idx="12">
                  <c:v>43660</c:v>
                </c:pt>
                <c:pt idx="13">
                  <c:v>43667</c:v>
                </c:pt>
                <c:pt idx="14">
                  <c:v>43674</c:v>
                </c:pt>
                <c:pt idx="15">
                  <c:v>43681</c:v>
                </c:pt>
                <c:pt idx="16">
                  <c:v>43688</c:v>
                </c:pt>
                <c:pt idx="17">
                  <c:v>43695</c:v>
                </c:pt>
                <c:pt idx="18">
                  <c:v>43702</c:v>
                </c:pt>
                <c:pt idx="19">
                  <c:v>43709</c:v>
                </c:pt>
                <c:pt idx="20">
                  <c:v>43716</c:v>
                </c:pt>
                <c:pt idx="21">
                  <c:v>43723</c:v>
                </c:pt>
                <c:pt idx="22">
                  <c:v>43730</c:v>
                </c:pt>
                <c:pt idx="23">
                  <c:v>43737</c:v>
                </c:pt>
                <c:pt idx="24">
                  <c:v>43744</c:v>
                </c:pt>
                <c:pt idx="25">
                  <c:v>43751</c:v>
                </c:pt>
                <c:pt idx="26">
                  <c:v>43758</c:v>
                </c:pt>
                <c:pt idx="27">
                  <c:v>43765</c:v>
                </c:pt>
                <c:pt idx="28">
                  <c:v>43772</c:v>
                </c:pt>
                <c:pt idx="29">
                  <c:v>43779</c:v>
                </c:pt>
                <c:pt idx="30">
                  <c:v>43786</c:v>
                </c:pt>
                <c:pt idx="31">
                  <c:v>43793</c:v>
                </c:pt>
                <c:pt idx="32">
                  <c:v>43800</c:v>
                </c:pt>
                <c:pt idx="33">
                  <c:v>43807</c:v>
                </c:pt>
                <c:pt idx="34">
                  <c:v>43814</c:v>
                </c:pt>
                <c:pt idx="35">
                  <c:v>43821</c:v>
                </c:pt>
              </c:numCache>
            </c:numRef>
          </c:cat>
          <c:val>
            <c:numRef>
              <c:f>'Google trends'!$C$2:$C$37</c:f>
              <c:numCache>
                <c:formatCode>General</c:formatCode>
                <c:ptCount val="36"/>
                <c:pt idx="0">
                  <c:v>50</c:v>
                </c:pt>
                <c:pt idx="1">
                  <c:v>0</c:v>
                </c:pt>
                <c:pt idx="2">
                  <c:v>0</c:v>
                </c:pt>
                <c:pt idx="3">
                  <c:v>49</c:v>
                </c:pt>
                <c:pt idx="4">
                  <c:v>0</c:v>
                </c:pt>
                <c:pt idx="5">
                  <c:v>48</c:v>
                </c:pt>
                <c:pt idx="6">
                  <c:v>0</c:v>
                </c:pt>
                <c:pt idx="7">
                  <c:v>0</c:v>
                </c:pt>
                <c:pt idx="8">
                  <c:v>0</c:v>
                </c:pt>
                <c:pt idx="9">
                  <c:v>0</c:v>
                </c:pt>
                <c:pt idx="10">
                  <c:v>0</c:v>
                </c:pt>
                <c:pt idx="11">
                  <c:v>0</c:v>
                </c:pt>
                <c:pt idx="12">
                  <c:v>0</c:v>
                </c:pt>
                <c:pt idx="13">
                  <c:v>0</c:v>
                </c:pt>
                <c:pt idx="14">
                  <c:v>0</c:v>
                </c:pt>
                <c:pt idx="15">
                  <c:v>0</c:v>
                </c:pt>
                <c:pt idx="16">
                  <c:v>30</c:v>
                </c:pt>
                <c:pt idx="17">
                  <c:v>0</c:v>
                </c:pt>
                <c:pt idx="18">
                  <c:v>0</c:v>
                </c:pt>
                <c:pt idx="19">
                  <c:v>40</c:v>
                </c:pt>
                <c:pt idx="20">
                  <c:v>0</c:v>
                </c:pt>
                <c:pt idx="21">
                  <c:v>40</c:v>
                </c:pt>
                <c:pt idx="22">
                  <c:v>0</c:v>
                </c:pt>
                <c:pt idx="23">
                  <c:v>0</c:v>
                </c:pt>
                <c:pt idx="24">
                  <c:v>40</c:v>
                </c:pt>
                <c:pt idx="25">
                  <c:v>0</c:v>
                </c:pt>
                <c:pt idx="26">
                  <c:v>40</c:v>
                </c:pt>
                <c:pt idx="27">
                  <c:v>0</c:v>
                </c:pt>
                <c:pt idx="28">
                  <c:v>0</c:v>
                </c:pt>
                <c:pt idx="29">
                  <c:v>40</c:v>
                </c:pt>
                <c:pt idx="30">
                  <c:v>0</c:v>
                </c:pt>
                <c:pt idx="31">
                  <c:v>0</c:v>
                </c:pt>
                <c:pt idx="32">
                  <c:v>0</c:v>
                </c:pt>
                <c:pt idx="33">
                  <c:v>0</c:v>
                </c:pt>
                <c:pt idx="34">
                  <c:v>80</c:v>
                </c:pt>
                <c:pt idx="35">
                  <c:v>35</c:v>
                </c:pt>
              </c:numCache>
            </c:numRef>
          </c:val>
          <c:smooth val="0"/>
          <c:extLst>
            <c:ext xmlns:c16="http://schemas.microsoft.com/office/drawing/2014/chart" uri="{C3380CC4-5D6E-409C-BE32-E72D297353CC}">
              <c16:uniqueId val="{00000001-4F1E-41C3-BBE2-26849B2E67AE}"/>
            </c:ext>
          </c:extLst>
        </c:ser>
        <c:dLbls>
          <c:showLegendKey val="0"/>
          <c:showVal val="0"/>
          <c:showCatName val="0"/>
          <c:showSerName val="0"/>
          <c:showPercent val="0"/>
          <c:showBubbleSize val="0"/>
        </c:dLbls>
        <c:smooth val="0"/>
        <c:axId val="496149335"/>
        <c:axId val="496154327"/>
      </c:lineChart>
      <c:dateAx>
        <c:axId val="496149335"/>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154327"/>
        <c:crosses val="autoZero"/>
        <c:auto val="1"/>
        <c:lblOffset val="100"/>
        <c:baseTimeUnit val="days"/>
      </c:dateAx>
      <c:valAx>
        <c:axId val="49615432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Average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1493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'Companies house'!$E$1:$E$2</c:f>
              <c:strCache>
                <c:ptCount val="2"/>
                <c:pt idx="0">
                  <c:v>Competitor</c:v>
                </c:pt>
                <c:pt idx="1">
                  <c:v> </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1E-4EB5-92BB-D392E4A7980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1E-4EB5-92BB-D392E4A7980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1E-4EB5-92BB-D392E4A7980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41E-4EB5-92BB-D392E4A7980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41E-4EB5-92BB-D392E4A79806}"/>
              </c:ext>
            </c:extLst>
          </c:dPt>
          <c:cat>
            <c:strRef>
              <c:f>'Companies house'!$D$3:$D$7</c:f>
              <c:strCache>
                <c:ptCount val="5"/>
                <c:pt idx="0">
                  <c:v>Jamie</c:v>
                </c:pt>
                <c:pt idx="1">
                  <c:v>Adrian</c:v>
                </c:pt>
                <c:pt idx="2">
                  <c:v>Hayden</c:v>
                </c:pt>
                <c:pt idx="3">
                  <c:v>Jin</c:v>
                </c:pt>
                <c:pt idx="4">
                  <c:v>Siyu</c:v>
                </c:pt>
              </c:strCache>
            </c:strRef>
          </c:cat>
          <c:val>
            <c:numRef>
              <c:f>'Companies house'!$E$3:$E$7</c:f>
              <c:numCache>
                <c:formatCode>0.00</c:formatCode>
                <c:ptCount val="5"/>
                <c:pt idx="0">
                  <c:v>36.799999999999997</c:v>
                </c:pt>
                <c:pt idx="1">
                  <c:v>30.97</c:v>
                </c:pt>
                <c:pt idx="2">
                  <c:v>20</c:v>
                </c:pt>
                <c:pt idx="3">
                  <c:v>10.23</c:v>
                </c:pt>
                <c:pt idx="4">
                  <c:v>2</c:v>
                </c:pt>
              </c:numCache>
            </c:numRef>
          </c:val>
          <c:extLst>
            <c:ext xmlns:c16="http://schemas.microsoft.com/office/drawing/2014/chart" uri="{C3380CC4-5D6E-409C-BE32-E72D297353CC}">
              <c16:uniqueId val="{00000000-BA97-4460-B4F1-9DF4CD2A36B7}"/>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'Companies house'!$B$1:$B$4</c:f>
              <c:strCache>
                <c:ptCount val="4"/>
                <c:pt idx="0">
                  <c:v>9 Spokes</c:v>
                </c:pt>
                <c:pt idx="1">
                  <c:v>%</c:v>
                </c:pt>
                <c:pt idx="2">
                  <c:v>8.72</c:v>
                </c:pt>
                <c:pt idx="3">
                  <c:v>5.99</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209-4DE6-9C3C-D84055C47A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209-4DE6-9C3C-D84055C47A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209-4DE6-9C3C-D84055C47A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209-4DE6-9C3C-D84055C47A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209-4DE6-9C3C-D84055C47A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E209-4DE6-9C3C-D84055C47A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E209-4DE6-9C3C-D84055C47AF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E209-4DE6-9C3C-D84055C47AF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E209-4DE6-9C3C-D84055C47AF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E209-4DE6-9C3C-D84055C47AF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E209-4DE6-9C3C-D84055C47AFB}"/>
              </c:ext>
            </c:extLst>
          </c:dPt>
          <c:cat>
            <c:strRef>
              <c:f>'Companies house'!$A$3:$A$13</c:f>
              <c:strCache>
                <c:ptCount val="11"/>
                <c:pt idx="0">
                  <c:v>CS Third Nominees Pty Limited, HSBC Cust Nom Au Ltd</c:v>
                </c:pt>
                <c:pt idx="1">
                  <c:v>HARROGATE TRUSTEE LIMITED</c:v>
                </c:pt>
                <c:pt idx="2">
                  <c:v>HSBC Custody Nominees (Australia) Limited A/C 2</c:v>
                </c:pt>
                <c:pt idx="3">
                  <c:v>M &amp; M NO.2 LIMITED</c:v>
                </c:pt>
                <c:pt idx="4">
                  <c:v>AJ TRUSTEE SERVICES LIMITED</c:v>
                </c:pt>
                <c:pt idx="5">
                  <c:v>Citicorp Nominees Pty Ltd</c:v>
                </c:pt>
                <c:pt idx="6">
                  <c:v>G &amp; S CAPITAL LIMITED</c:v>
                </c:pt>
                <c:pt idx="7">
                  <c:v>SEKOTS GROUP LIMITED</c:v>
                </c:pt>
                <c:pt idx="8">
                  <c:v>FRANC HOLDINGS LIMITED</c:v>
                </c:pt>
                <c:pt idx="9">
                  <c:v>OPTIMUM HOLDINGS LIMITED</c:v>
                </c:pt>
                <c:pt idx="10">
                  <c:v>other</c:v>
                </c:pt>
              </c:strCache>
            </c:strRef>
          </c:cat>
          <c:val>
            <c:numRef>
              <c:f>'Companies house'!$B$3:$B$13</c:f>
              <c:numCache>
                <c:formatCode>General</c:formatCode>
                <c:ptCount val="11"/>
                <c:pt idx="0">
                  <c:v>8.7200000000000006</c:v>
                </c:pt>
                <c:pt idx="1">
                  <c:v>5.99</c:v>
                </c:pt>
                <c:pt idx="2">
                  <c:v>4.47</c:v>
                </c:pt>
                <c:pt idx="3">
                  <c:v>4.2300000000000004</c:v>
                </c:pt>
                <c:pt idx="4">
                  <c:v>4.22</c:v>
                </c:pt>
                <c:pt idx="5">
                  <c:v>3.71</c:v>
                </c:pt>
                <c:pt idx="6">
                  <c:v>3.09</c:v>
                </c:pt>
                <c:pt idx="7">
                  <c:v>2.63</c:v>
                </c:pt>
                <c:pt idx="8">
                  <c:v>2.52</c:v>
                </c:pt>
                <c:pt idx="9">
                  <c:v>2.39</c:v>
                </c:pt>
                <c:pt idx="10">
                  <c:v>58.029999999999994</c:v>
                </c:pt>
              </c:numCache>
            </c:numRef>
          </c:val>
          <c:extLst>
            <c:ext xmlns:c16="http://schemas.microsoft.com/office/drawing/2014/chart" uri="{C3380CC4-5D6E-409C-BE32-E72D297353CC}">
              <c16:uniqueId val="{00000000-19D7-456C-9B52-A21576E60101}"/>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Twitter Hashtag Trends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Twitter!$B$1</c:f>
              <c:strCache>
                <c:ptCount val="1"/>
                <c:pt idx="0">
                  <c:v>#</c:v>
                </c:pt>
              </c:strCache>
            </c:strRef>
          </c:tx>
          <c:spPr>
            <a:ln w="28575" cap="rnd">
              <a:solidFill>
                <a:srgbClr val="8EA9DB"/>
              </a:solidFill>
              <a:prstDash val="solid"/>
              <a:round/>
            </a:ln>
            <a:effectLst/>
          </c:spPr>
          <c:marker>
            <c:symbol val="none"/>
          </c:marker>
          <c:cat>
            <c:numRef>
              <c:f>Twitter!$A$3:$A$27</c:f>
              <c:numCache>
                <c:formatCode>m/d/yyyy</c:formatCode>
                <c:ptCount val="25"/>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numCache>
            </c:numRef>
          </c:cat>
          <c:val>
            <c:numRef>
              <c:f>Twitter!$B$3:$B$27</c:f>
              <c:numCache>
                <c:formatCode>General</c:formatCode>
                <c:ptCount val="25"/>
                <c:pt idx="0">
                  <c:v>1</c:v>
                </c:pt>
                <c:pt idx="1">
                  <c:v>1</c:v>
                </c:pt>
                <c:pt idx="2">
                  <c:v>2</c:v>
                </c:pt>
                <c:pt idx="3">
                  <c:v>3</c:v>
                </c:pt>
                <c:pt idx="4">
                  <c:v>5</c:v>
                </c:pt>
                <c:pt idx="5">
                  <c:v>9</c:v>
                </c:pt>
                <c:pt idx="6">
                  <c:v>12</c:v>
                </c:pt>
                <c:pt idx="7">
                  <c:v>21</c:v>
                </c:pt>
                <c:pt idx="8">
                  <c:v>21</c:v>
                </c:pt>
                <c:pt idx="9">
                  <c:v>26</c:v>
                </c:pt>
                <c:pt idx="10">
                  <c:v>30</c:v>
                </c:pt>
                <c:pt idx="11">
                  <c:v>37</c:v>
                </c:pt>
                <c:pt idx="12">
                  <c:v>45</c:v>
                </c:pt>
                <c:pt idx="13">
                  <c:v>60</c:v>
                </c:pt>
                <c:pt idx="14">
                  <c:v>80</c:v>
                </c:pt>
                <c:pt idx="15">
                  <c:v>100</c:v>
                </c:pt>
                <c:pt idx="16">
                  <c:v>110</c:v>
                </c:pt>
                <c:pt idx="17">
                  <c:v>115</c:v>
                </c:pt>
                <c:pt idx="18">
                  <c:v>120</c:v>
                </c:pt>
                <c:pt idx="19">
                  <c:v>127</c:v>
                </c:pt>
                <c:pt idx="20">
                  <c:v>135</c:v>
                </c:pt>
                <c:pt idx="21">
                  <c:v>145</c:v>
                </c:pt>
                <c:pt idx="22">
                  <c:v>155</c:v>
                </c:pt>
                <c:pt idx="23">
                  <c:v>170</c:v>
                </c:pt>
                <c:pt idx="24">
                  <c:v>180</c:v>
                </c:pt>
              </c:numCache>
            </c:numRef>
          </c:val>
          <c:smooth val="0"/>
          <c:extLst>
            <c:ext xmlns:c16="http://schemas.microsoft.com/office/drawing/2014/chart" uri="{C3380CC4-5D6E-409C-BE32-E72D297353CC}">
              <c16:uniqueId val="{00000000-B976-48B5-9060-D85A7860A469}"/>
            </c:ext>
          </c:extLst>
        </c:ser>
        <c:ser>
          <c:idx val="1"/>
          <c:order val="1"/>
          <c:tx>
            <c:strRef>
              <c:f>Twitter!$C$1</c:f>
              <c:strCache>
                <c:ptCount val="1"/>
              </c:strCache>
            </c:strRef>
          </c:tx>
          <c:spPr>
            <a:ln w="28575" cap="rnd">
              <a:solidFill>
                <a:srgbClr val="7030A0"/>
              </a:solidFill>
              <a:prstDash val="solid"/>
              <a:round/>
            </a:ln>
            <a:effectLst/>
          </c:spPr>
          <c:marker>
            <c:symbol val="none"/>
          </c:marker>
          <c:cat>
            <c:numRef>
              <c:f>Twitter!$A$3:$A$27</c:f>
              <c:numCache>
                <c:formatCode>m/d/yyyy</c:formatCode>
                <c:ptCount val="25"/>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numCache>
            </c:numRef>
          </c:cat>
          <c:val>
            <c:numRef>
              <c:f>Twitter!$C$3:$C$27</c:f>
              <c:numCache>
                <c:formatCode>General</c:formatCode>
                <c:ptCount val="25"/>
                <c:pt idx="0">
                  <c:v>1</c:v>
                </c:pt>
                <c:pt idx="1">
                  <c:v>1</c:v>
                </c:pt>
                <c:pt idx="2">
                  <c:v>1</c:v>
                </c:pt>
                <c:pt idx="3">
                  <c:v>2</c:v>
                </c:pt>
                <c:pt idx="4">
                  <c:v>2</c:v>
                </c:pt>
                <c:pt idx="5">
                  <c:v>3</c:v>
                </c:pt>
                <c:pt idx="6">
                  <c:v>4</c:v>
                </c:pt>
                <c:pt idx="7">
                  <c:v>5</c:v>
                </c:pt>
                <c:pt idx="8">
                  <c:v>7</c:v>
                </c:pt>
                <c:pt idx="9">
                  <c:v>8</c:v>
                </c:pt>
                <c:pt idx="10">
                  <c:v>10</c:v>
                </c:pt>
                <c:pt idx="11">
                  <c:v>15</c:v>
                </c:pt>
                <c:pt idx="12">
                  <c:v>20</c:v>
                </c:pt>
                <c:pt idx="13">
                  <c:v>30</c:v>
                </c:pt>
                <c:pt idx="14">
                  <c:v>45</c:v>
                </c:pt>
                <c:pt idx="15">
                  <c:v>55</c:v>
                </c:pt>
                <c:pt idx="16">
                  <c:v>60</c:v>
                </c:pt>
                <c:pt idx="17">
                  <c:v>65</c:v>
                </c:pt>
                <c:pt idx="18">
                  <c:v>68</c:v>
                </c:pt>
                <c:pt idx="19">
                  <c:v>69</c:v>
                </c:pt>
                <c:pt idx="20">
                  <c:v>70</c:v>
                </c:pt>
                <c:pt idx="21">
                  <c:v>70</c:v>
                </c:pt>
                <c:pt idx="22">
                  <c:v>71</c:v>
                </c:pt>
                <c:pt idx="23">
                  <c:v>73</c:v>
                </c:pt>
                <c:pt idx="24">
                  <c:v>73</c:v>
                </c:pt>
              </c:numCache>
            </c:numRef>
          </c:val>
          <c:smooth val="0"/>
          <c:extLst>
            <c:ext xmlns:c16="http://schemas.microsoft.com/office/drawing/2014/chart" uri="{C3380CC4-5D6E-409C-BE32-E72D297353CC}">
              <c16:uniqueId val="{00000001-B976-48B5-9060-D85A7860A469}"/>
            </c:ext>
          </c:extLst>
        </c:ser>
        <c:dLbls>
          <c:showLegendKey val="0"/>
          <c:showVal val="0"/>
          <c:showCatName val="0"/>
          <c:showSerName val="0"/>
          <c:showPercent val="0"/>
          <c:showBubbleSize val="0"/>
        </c:dLbls>
        <c:smooth val="0"/>
        <c:axId val="43606311"/>
        <c:axId val="43599655"/>
      </c:lineChart>
      <c:dateAx>
        <c:axId val="43606311"/>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99655"/>
        <c:crosses val="autoZero"/>
        <c:auto val="1"/>
        <c:lblOffset val="100"/>
        <c:baseTimeUnit val="days"/>
        <c:majorUnit val="2"/>
        <c:majorTimeUnit val="days"/>
        <c:minorTimeUnit val="days"/>
      </c:dateAx>
      <c:valAx>
        <c:axId val="4359965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Usage 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0631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Stock Prices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'google finance '!$B$8</c:f>
              <c:strCache>
                <c:ptCount val="1"/>
                <c:pt idx="0">
                  <c:v>Competitor 1</c:v>
                </c:pt>
              </c:strCache>
            </c:strRef>
          </c:tx>
          <c:spPr>
            <a:ln w="28575" cap="rnd">
              <a:solidFill>
                <a:schemeClr val="accent1"/>
              </a:solidFill>
              <a:round/>
            </a:ln>
            <a:effectLst/>
          </c:spPr>
          <c:marker>
            <c:symbol val="none"/>
          </c:marker>
          <c:cat>
            <c:numRef>
              <c:f>'google finance '!$A$9:$A$51</c:f>
              <c:numCache>
                <c:formatCode>d/mm/yy;@</c:formatCode>
                <c:ptCount val="43"/>
                <c:pt idx="0">
                  <c:v>43862</c:v>
                </c:pt>
                <c:pt idx="1">
                  <c:v>43863</c:v>
                </c:pt>
                <c:pt idx="2">
                  <c:v>43864</c:v>
                </c:pt>
                <c:pt idx="3">
                  <c:v>43865</c:v>
                </c:pt>
                <c:pt idx="4">
                  <c:v>43866</c:v>
                </c:pt>
                <c:pt idx="5">
                  <c:v>43867</c:v>
                </c:pt>
                <c:pt idx="6">
                  <c:v>43868</c:v>
                </c:pt>
                <c:pt idx="7">
                  <c:v>43869</c:v>
                </c:pt>
                <c:pt idx="8">
                  <c:v>43870</c:v>
                </c:pt>
                <c:pt idx="9">
                  <c:v>43871</c:v>
                </c:pt>
                <c:pt idx="10">
                  <c:v>43872</c:v>
                </c:pt>
                <c:pt idx="11">
                  <c:v>43873</c:v>
                </c:pt>
                <c:pt idx="12">
                  <c:v>43874</c:v>
                </c:pt>
                <c:pt idx="13">
                  <c:v>43875</c:v>
                </c:pt>
                <c:pt idx="14">
                  <c:v>43876</c:v>
                </c:pt>
                <c:pt idx="15">
                  <c:v>43877</c:v>
                </c:pt>
                <c:pt idx="16">
                  <c:v>43878</c:v>
                </c:pt>
                <c:pt idx="17">
                  <c:v>43879</c:v>
                </c:pt>
                <c:pt idx="18">
                  <c:v>43880</c:v>
                </c:pt>
                <c:pt idx="19">
                  <c:v>43881</c:v>
                </c:pt>
                <c:pt idx="20">
                  <c:v>43882</c:v>
                </c:pt>
                <c:pt idx="21">
                  <c:v>43883</c:v>
                </c:pt>
                <c:pt idx="22">
                  <c:v>43884</c:v>
                </c:pt>
                <c:pt idx="23">
                  <c:v>43885</c:v>
                </c:pt>
                <c:pt idx="24">
                  <c:v>43886</c:v>
                </c:pt>
                <c:pt idx="25">
                  <c:v>43887</c:v>
                </c:pt>
                <c:pt idx="26">
                  <c:v>43888</c:v>
                </c:pt>
                <c:pt idx="27">
                  <c:v>43889</c:v>
                </c:pt>
                <c:pt idx="28">
                  <c:v>43890</c:v>
                </c:pt>
                <c:pt idx="29">
                  <c:v>43891</c:v>
                </c:pt>
                <c:pt idx="30">
                  <c:v>43892</c:v>
                </c:pt>
                <c:pt idx="31">
                  <c:v>43893</c:v>
                </c:pt>
                <c:pt idx="32">
                  <c:v>43894</c:v>
                </c:pt>
                <c:pt idx="33">
                  <c:v>43895</c:v>
                </c:pt>
                <c:pt idx="34">
                  <c:v>43896</c:v>
                </c:pt>
                <c:pt idx="35">
                  <c:v>43897</c:v>
                </c:pt>
                <c:pt idx="36">
                  <c:v>43898</c:v>
                </c:pt>
                <c:pt idx="37">
                  <c:v>43899</c:v>
                </c:pt>
                <c:pt idx="38">
                  <c:v>43900</c:v>
                </c:pt>
                <c:pt idx="39">
                  <c:v>43901</c:v>
                </c:pt>
                <c:pt idx="40">
                  <c:v>43902</c:v>
                </c:pt>
                <c:pt idx="41">
                  <c:v>43903</c:v>
                </c:pt>
                <c:pt idx="42">
                  <c:v>43904</c:v>
                </c:pt>
              </c:numCache>
            </c:numRef>
          </c:cat>
          <c:val>
            <c:numRef>
              <c:f>'google finance '!$B$9:$B$51</c:f>
              <c:numCache>
                <c:formatCode>0.0%</c:formatCode>
                <c:ptCount val="43"/>
                <c:pt idx="0">
                  <c:v>0</c:v>
                </c:pt>
                <c:pt idx="1">
                  <c:v>-0.01</c:v>
                </c:pt>
                <c:pt idx="2">
                  <c:v>-1.4999999999999999E-2</c:v>
                </c:pt>
                <c:pt idx="3">
                  <c:v>-0.01</c:v>
                </c:pt>
                <c:pt idx="4">
                  <c:v>-0.01</c:v>
                </c:pt>
                <c:pt idx="5">
                  <c:v>-5.0000000000000001E-3</c:v>
                </c:pt>
                <c:pt idx="6">
                  <c:v>0.01</c:v>
                </c:pt>
                <c:pt idx="7">
                  <c:v>0.04</c:v>
                </c:pt>
                <c:pt idx="8">
                  <c:v>0.05</c:v>
                </c:pt>
                <c:pt idx="9">
                  <c:v>5.5E-2</c:v>
                </c:pt>
                <c:pt idx="10">
                  <c:v>0.05</c:v>
                </c:pt>
                <c:pt idx="11">
                  <c:v>4.4999999999999998E-2</c:v>
                </c:pt>
                <c:pt idx="12">
                  <c:v>4.4999999999999998E-2</c:v>
                </c:pt>
                <c:pt idx="13">
                  <c:v>0.05</c:v>
                </c:pt>
                <c:pt idx="14">
                  <c:v>0.06</c:v>
                </c:pt>
                <c:pt idx="15">
                  <c:v>0.08</c:v>
                </c:pt>
                <c:pt idx="16">
                  <c:v>0.1</c:v>
                </c:pt>
                <c:pt idx="17">
                  <c:v>0.11</c:v>
                </c:pt>
                <c:pt idx="18">
                  <c:v>0.1</c:v>
                </c:pt>
                <c:pt idx="19">
                  <c:v>0.12</c:v>
                </c:pt>
                <c:pt idx="20">
                  <c:v>0.12</c:v>
                </c:pt>
                <c:pt idx="21">
                  <c:v>0.115</c:v>
                </c:pt>
                <c:pt idx="22">
                  <c:v>0.1</c:v>
                </c:pt>
                <c:pt idx="23">
                  <c:v>0.09</c:v>
                </c:pt>
                <c:pt idx="24">
                  <c:v>7.0000000000000007E-2</c:v>
                </c:pt>
                <c:pt idx="25">
                  <c:v>0.05</c:v>
                </c:pt>
                <c:pt idx="26">
                  <c:v>0.04</c:v>
                </c:pt>
                <c:pt idx="27">
                  <c:v>3.5000000000000003E-2</c:v>
                </c:pt>
                <c:pt idx="28">
                  <c:v>0.04</c:v>
                </c:pt>
                <c:pt idx="29">
                  <c:v>7.0000000000000007E-2</c:v>
                </c:pt>
                <c:pt idx="30">
                  <c:v>0.06</c:v>
                </c:pt>
                <c:pt idx="31">
                  <c:v>7.0000000000000007E-2</c:v>
                </c:pt>
                <c:pt idx="32">
                  <c:v>0.06</c:v>
                </c:pt>
                <c:pt idx="33">
                  <c:v>0.06</c:v>
                </c:pt>
                <c:pt idx="34">
                  <c:v>0.04</c:v>
                </c:pt>
                <c:pt idx="35">
                  <c:v>0.02</c:v>
                </c:pt>
                <c:pt idx="36">
                  <c:v>-0.01</c:v>
                </c:pt>
                <c:pt idx="37">
                  <c:v>0.01</c:v>
                </c:pt>
                <c:pt idx="38">
                  <c:v>0.03</c:v>
                </c:pt>
                <c:pt idx="39">
                  <c:v>0</c:v>
                </c:pt>
                <c:pt idx="40">
                  <c:v>-0.05</c:v>
                </c:pt>
                <c:pt idx="41">
                  <c:v>-0.02</c:v>
                </c:pt>
                <c:pt idx="42">
                  <c:v>-0.1</c:v>
                </c:pt>
              </c:numCache>
            </c:numRef>
          </c:val>
          <c:smooth val="0"/>
          <c:extLst>
            <c:ext xmlns:c16="http://schemas.microsoft.com/office/drawing/2014/chart" uri="{C3380CC4-5D6E-409C-BE32-E72D297353CC}">
              <c16:uniqueId val="{00000000-87B0-43D2-BB0D-5E41F195C4C5}"/>
            </c:ext>
          </c:extLst>
        </c:ser>
        <c:ser>
          <c:idx val="1"/>
          <c:order val="1"/>
          <c:tx>
            <c:strRef>
              <c:f>'google finance '!$C$8</c:f>
              <c:strCache>
                <c:ptCount val="1"/>
                <c:pt idx="0">
                  <c:v>Competitor 2</c:v>
                </c:pt>
              </c:strCache>
            </c:strRef>
          </c:tx>
          <c:spPr>
            <a:ln w="28575" cap="rnd">
              <a:solidFill>
                <a:schemeClr val="accent2"/>
              </a:solidFill>
              <a:round/>
            </a:ln>
            <a:effectLst/>
          </c:spPr>
          <c:marker>
            <c:symbol val="none"/>
          </c:marker>
          <c:cat>
            <c:numRef>
              <c:f>'google finance '!$A$9:$A$51</c:f>
              <c:numCache>
                <c:formatCode>d/mm/yy;@</c:formatCode>
                <c:ptCount val="43"/>
                <c:pt idx="0">
                  <c:v>43862</c:v>
                </c:pt>
                <c:pt idx="1">
                  <c:v>43863</c:v>
                </c:pt>
                <c:pt idx="2">
                  <c:v>43864</c:v>
                </c:pt>
                <c:pt idx="3">
                  <c:v>43865</c:v>
                </c:pt>
                <c:pt idx="4">
                  <c:v>43866</c:v>
                </c:pt>
                <c:pt idx="5">
                  <c:v>43867</c:v>
                </c:pt>
                <c:pt idx="6">
                  <c:v>43868</c:v>
                </c:pt>
                <c:pt idx="7">
                  <c:v>43869</c:v>
                </c:pt>
                <c:pt idx="8">
                  <c:v>43870</c:v>
                </c:pt>
                <c:pt idx="9">
                  <c:v>43871</c:v>
                </c:pt>
                <c:pt idx="10">
                  <c:v>43872</c:v>
                </c:pt>
                <c:pt idx="11">
                  <c:v>43873</c:v>
                </c:pt>
                <c:pt idx="12">
                  <c:v>43874</c:v>
                </c:pt>
                <c:pt idx="13">
                  <c:v>43875</c:v>
                </c:pt>
                <c:pt idx="14">
                  <c:v>43876</c:v>
                </c:pt>
                <c:pt idx="15">
                  <c:v>43877</c:v>
                </c:pt>
                <c:pt idx="16">
                  <c:v>43878</c:v>
                </c:pt>
                <c:pt idx="17">
                  <c:v>43879</c:v>
                </c:pt>
                <c:pt idx="18">
                  <c:v>43880</c:v>
                </c:pt>
                <c:pt idx="19">
                  <c:v>43881</c:v>
                </c:pt>
                <c:pt idx="20">
                  <c:v>43882</c:v>
                </c:pt>
                <c:pt idx="21">
                  <c:v>43883</c:v>
                </c:pt>
                <c:pt idx="22">
                  <c:v>43884</c:v>
                </c:pt>
                <c:pt idx="23">
                  <c:v>43885</c:v>
                </c:pt>
                <c:pt idx="24">
                  <c:v>43886</c:v>
                </c:pt>
                <c:pt idx="25">
                  <c:v>43887</c:v>
                </c:pt>
                <c:pt idx="26">
                  <c:v>43888</c:v>
                </c:pt>
                <c:pt idx="27">
                  <c:v>43889</c:v>
                </c:pt>
                <c:pt idx="28">
                  <c:v>43890</c:v>
                </c:pt>
                <c:pt idx="29">
                  <c:v>43891</c:v>
                </c:pt>
                <c:pt idx="30">
                  <c:v>43892</c:v>
                </c:pt>
                <c:pt idx="31">
                  <c:v>43893</c:v>
                </c:pt>
                <c:pt idx="32">
                  <c:v>43894</c:v>
                </c:pt>
                <c:pt idx="33">
                  <c:v>43895</c:v>
                </c:pt>
                <c:pt idx="34">
                  <c:v>43896</c:v>
                </c:pt>
                <c:pt idx="35">
                  <c:v>43897</c:v>
                </c:pt>
                <c:pt idx="36">
                  <c:v>43898</c:v>
                </c:pt>
                <c:pt idx="37">
                  <c:v>43899</c:v>
                </c:pt>
                <c:pt idx="38">
                  <c:v>43900</c:v>
                </c:pt>
                <c:pt idx="39">
                  <c:v>43901</c:v>
                </c:pt>
                <c:pt idx="40">
                  <c:v>43902</c:v>
                </c:pt>
                <c:pt idx="41">
                  <c:v>43903</c:v>
                </c:pt>
                <c:pt idx="42">
                  <c:v>43904</c:v>
                </c:pt>
              </c:numCache>
            </c:numRef>
          </c:cat>
          <c:val>
            <c:numRef>
              <c:f>'google finance '!$C$9:$C$51</c:f>
              <c:numCache>
                <c:formatCode>0.0%</c:formatCode>
                <c:ptCount val="43"/>
                <c:pt idx="0">
                  <c:v>0</c:v>
                </c:pt>
                <c:pt idx="1">
                  <c:v>-1.4999999999999999E-2</c:v>
                </c:pt>
                <c:pt idx="2">
                  <c:v>-0.02</c:v>
                </c:pt>
                <c:pt idx="3">
                  <c:v>-0.01</c:v>
                </c:pt>
                <c:pt idx="4">
                  <c:v>-5.0000000000000001E-3</c:v>
                </c:pt>
                <c:pt idx="5">
                  <c:v>0.03</c:v>
                </c:pt>
                <c:pt idx="6">
                  <c:v>0.05</c:v>
                </c:pt>
                <c:pt idx="7">
                  <c:v>0.08</c:v>
                </c:pt>
                <c:pt idx="8">
                  <c:v>0.08</c:v>
                </c:pt>
                <c:pt idx="9">
                  <c:v>0.1</c:v>
                </c:pt>
                <c:pt idx="10">
                  <c:v>9.5000000000000001E-2</c:v>
                </c:pt>
                <c:pt idx="11">
                  <c:v>0.1</c:v>
                </c:pt>
                <c:pt idx="12">
                  <c:v>0.12</c:v>
                </c:pt>
                <c:pt idx="13">
                  <c:v>0.14000000000000001</c:v>
                </c:pt>
                <c:pt idx="14">
                  <c:v>0.15</c:v>
                </c:pt>
                <c:pt idx="15">
                  <c:v>0.155</c:v>
                </c:pt>
                <c:pt idx="16">
                  <c:v>0.155</c:v>
                </c:pt>
                <c:pt idx="17">
                  <c:v>0.16</c:v>
                </c:pt>
                <c:pt idx="18">
                  <c:v>0.15</c:v>
                </c:pt>
                <c:pt idx="19">
                  <c:v>0.14499999999999999</c:v>
                </c:pt>
                <c:pt idx="20">
                  <c:v>0.15</c:v>
                </c:pt>
                <c:pt idx="21">
                  <c:v>0.16500000000000001</c:v>
                </c:pt>
                <c:pt idx="22">
                  <c:v>0.16</c:v>
                </c:pt>
                <c:pt idx="23">
                  <c:v>0.15</c:v>
                </c:pt>
                <c:pt idx="24">
                  <c:v>0.14000000000000001</c:v>
                </c:pt>
                <c:pt idx="25">
                  <c:v>0.125</c:v>
                </c:pt>
                <c:pt idx="26">
                  <c:v>0.1</c:v>
                </c:pt>
                <c:pt idx="27">
                  <c:v>0.08</c:v>
                </c:pt>
                <c:pt idx="28">
                  <c:v>0.06</c:v>
                </c:pt>
                <c:pt idx="29">
                  <c:v>0.03</c:v>
                </c:pt>
                <c:pt idx="30">
                  <c:v>0.03</c:v>
                </c:pt>
                <c:pt idx="31">
                  <c:v>0</c:v>
                </c:pt>
                <c:pt idx="32">
                  <c:v>0</c:v>
                </c:pt>
                <c:pt idx="33">
                  <c:v>0.02</c:v>
                </c:pt>
                <c:pt idx="34">
                  <c:v>5.0000000000000001E-3</c:v>
                </c:pt>
                <c:pt idx="35">
                  <c:v>0.03</c:v>
                </c:pt>
                <c:pt idx="36">
                  <c:v>0.01</c:v>
                </c:pt>
                <c:pt idx="37">
                  <c:v>5.0000000000000001E-3</c:v>
                </c:pt>
                <c:pt idx="38">
                  <c:v>-0.01</c:v>
                </c:pt>
                <c:pt idx="39">
                  <c:v>-8.0000000000000002E-3</c:v>
                </c:pt>
                <c:pt idx="40">
                  <c:v>-0.05</c:v>
                </c:pt>
                <c:pt idx="41">
                  <c:v>-0.02</c:v>
                </c:pt>
                <c:pt idx="42">
                  <c:v>-0.08</c:v>
                </c:pt>
              </c:numCache>
            </c:numRef>
          </c:val>
          <c:smooth val="0"/>
          <c:extLst>
            <c:ext xmlns:c16="http://schemas.microsoft.com/office/drawing/2014/chart" uri="{C3380CC4-5D6E-409C-BE32-E72D297353CC}">
              <c16:uniqueId val="{00000001-87B0-43D2-BB0D-5E41F195C4C5}"/>
            </c:ext>
          </c:extLst>
        </c:ser>
        <c:dLbls>
          <c:showLegendKey val="0"/>
          <c:showVal val="0"/>
          <c:showCatName val="0"/>
          <c:showSerName val="0"/>
          <c:showPercent val="0"/>
          <c:showBubbleSize val="0"/>
        </c:dLbls>
        <c:smooth val="0"/>
        <c:axId val="803841479"/>
        <c:axId val="803846471"/>
      </c:lineChart>
      <c:dateAx>
        <c:axId val="803841479"/>
        <c:scaling>
          <c:orientation val="minMax"/>
        </c:scaling>
        <c:delete val="0"/>
        <c:axPos val="b"/>
        <c:numFmt formatCode="d/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846471"/>
        <c:crossesAt val="-15"/>
        <c:auto val="1"/>
        <c:lblOffset val="100"/>
        <c:baseTimeUnit val="days"/>
      </c:dateAx>
      <c:valAx>
        <c:axId val="803846471"/>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8414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5</xdr:col>
      <xdr:colOff>15875</xdr:colOff>
      <xdr:row>4</xdr:row>
      <xdr:rowOff>20636</xdr:rowOff>
    </xdr:from>
    <xdr:to>
      <xdr:col>10</xdr:col>
      <xdr:colOff>609600</xdr:colOff>
      <xdr:row>31</xdr:row>
      <xdr:rowOff>146049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15875</xdr:colOff>
      <xdr:row>34</xdr:row>
      <xdr:rowOff>20636</xdr:rowOff>
    </xdr:from>
    <xdr:to>
      <xdr:col>10</xdr:col>
      <xdr:colOff>609600</xdr:colOff>
      <xdr:row>61</xdr:row>
      <xdr:rowOff>146049</xdr:rowOff>
    </xdr:to>
    <xdr:graphicFrame macro="">
      <xdr:nvGraphicFramePr>
        <xdr:cNvPr id="13" name="Chart 12">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15875</xdr:colOff>
      <xdr:row>64</xdr:row>
      <xdr:rowOff>20636</xdr:rowOff>
    </xdr:from>
    <xdr:to>
      <xdr:col>10</xdr:col>
      <xdr:colOff>609600</xdr:colOff>
      <xdr:row>91</xdr:row>
      <xdr:rowOff>146049</xdr:rowOff>
    </xdr:to>
    <xdr:graphicFrame macro="">
      <xdr:nvGraphicFramePr>
        <xdr:cNvPr id="14" name="Chart 13">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15875</xdr:colOff>
      <xdr:row>94</xdr:row>
      <xdr:rowOff>20636</xdr:rowOff>
    </xdr:from>
    <xdr:to>
      <xdr:col>10</xdr:col>
      <xdr:colOff>609600</xdr:colOff>
      <xdr:row>121</xdr:row>
      <xdr:rowOff>146049</xdr:rowOff>
    </xdr:to>
    <xdr:graphicFrame macro="">
      <xdr:nvGraphicFramePr>
        <xdr:cNvPr id="15" name="Chart 14">
          <a:extLst>
            <a:ext uri="{FF2B5EF4-FFF2-40B4-BE49-F238E27FC236}">
              <a16:creationId xmlns:a16="http://schemas.microsoft.com/office/drawing/2014/main" id="{00000000-0008-0000-00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15875</xdr:colOff>
      <xdr:row>124</xdr:row>
      <xdr:rowOff>20636</xdr:rowOff>
    </xdr:from>
    <xdr:to>
      <xdr:col>10</xdr:col>
      <xdr:colOff>609600</xdr:colOff>
      <xdr:row>151</xdr:row>
      <xdr:rowOff>146049</xdr:rowOff>
    </xdr:to>
    <xdr:graphicFrame macro="">
      <xdr:nvGraphicFramePr>
        <xdr:cNvPr id="16" name="Chart 15">
          <a:extLst>
            <a:ext uri="{FF2B5EF4-FFF2-40B4-BE49-F238E27FC236}">
              <a16:creationId xmlns:a16="http://schemas.microsoft.com/office/drawing/2014/main" id="{00000000-0008-0000-00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9</xdr:col>
          <xdr:colOff>19050</xdr:colOff>
          <xdr:row>1</xdr:row>
          <xdr:rowOff>25400</xdr:rowOff>
        </xdr:from>
        <xdr:to>
          <xdr:col>10</xdr:col>
          <xdr:colOff>622300</xdr:colOff>
          <xdr:row>1</xdr:row>
          <xdr:rowOff>209550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1257300</xdr:colOff>
          <xdr:row>1</xdr:row>
          <xdr:rowOff>19050</xdr:rowOff>
        </xdr:from>
        <xdr:to>
          <xdr:col>17</xdr:col>
          <xdr:colOff>12700</xdr:colOff>
          <xdr:row>1</xdr:row>
          <xdr:rowOff>203200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10</xdr:col>
      <xdr:colOff>114300</xdr:colOff>
      <xdr:row>3</xdr:row>
      <xdr:rowOff>38100</xdr:rowOff>
    </xdr:from>
    <xdr:to>
      <xdr:col>14</xdr:col>
      <xdr:colOff>387350</xdr:colOff>
      <xdr:row>34</xdr:row>
      <xdr:rowOff>171450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7762875" y="609600"/>
          <a:ext cx="3552825" cy="60388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77562</xdr:colOff>
      <xdr:row>7</xdr:row>
      <xdr:rowOff>44652</xdr:rowOff>
    </xdr:from>
    <xdr:to>
      <xdr:col>6</xdr:col>
      <xdr:colOff>8832173</xdr:colOff>
      <xdr:row>26</xdr:row>
      <xdr:rowOff>102507</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7126062" y="1514223"/>
          <a:ext cx="8754611" cy="343877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66675</xdr:colOff>
      <xdr:row>0</xdr:row>
      <xdr:rowOff>57150</xdr:rowOff>
    </xdr:from>
    <xdr:to>
      <xdr:col>22</xdr:col>
      <xdr:colOff>368300</xdr:colOff>
      <xdr:row>18</xdr:row>
      <xdr:rowOff>44450</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3838575" y="57150"/>
          <a:ext cx="10058400" cy="3419475"/>
        </a:xfrm>
        <a:prstGeom prst="rect">
          <a:avLst/>
        </a:prstGeom>
      </xdr:spPr>
    </xdr:pic>
    <xdr:clientData/>
  </xdr:twoCellAnchor>
  <xdr:twoCellAnchor>
    <xdr:from>
      <xdr:col>5</xdr:col>
      <xdr:colOff>590550</xdr:colOff>
      <xdr:row>20</xdr:row>
      <xdr:rowOff>180975</xdr:rowOff>
    </xdr:from>
    <xdr:to>
      <xdr:col>22</xdr:col>
      <xdr:colOff>390525</xdr:colOff>
      <xdr:row>40</xdr:row>
      <xdr:rowOff>66675</xdr:rowOff>
    </xdr:to>
    <xdr:graphicFrame macro="">
      <xdr:nvGraphicFramePr>
        <xdr:cNvPr id="4" name="Chart 2">
          <a:extLst>
            <a:ext uri="{FF2B5EF4-FFF2-40B4-BE49-F238E27FC236}">
              <a16:creationId xmlns:a16="http://schemas.microsoft.com/office/drawing/2014/main" id="{00000000-0008-0000-0500-000004000000}"/>
            </a:ext>
            <a:ext uri="{147F2762-F138-4A5C-976F-8EAC2B608ADB}">
              <a16:predDERef xmlns:a16="http://schemas.microsoft.com/office/drawing/2014/main" pred="{0A78C109-3695-4158-9290-F478D8E39F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590550</xdr:colOff>
      <xdr:row>20</xdr:row>
      <xdr:rowOff>180975</xdr:rowOff>
    </xdr:from>
    <xdr:to>
      <xdr:col>22</xdr:col>
      <xdr:colOff>390525</xdr:colOff>
      <xdr:row>40</xdr:row>
      <xdr:rowOff>76200</xdr:rowOff>
    </xdr:to>
    <xdr:graphicFrame macro="">
      <xdr:nvGraphicFramePr>
        <xdr:cNvPr id="11" name="Chart 3">
          <a:extLst>
            <a:ext uri="{FF2B5EF4-FFF2-40B4-BE49-F238E27FC236}">
              <a16:creationId xmlns:a16="http://schemas.microsoft.com/office/drawing/2014/main" id="{00000000-0008-0000-0500-00000B000000}"/>
            </a:ext>
            <a:ext uri="{147F2762-F138-4A5C-976F-8EAC2B608ADB}">
              <a16:predDERef xmlns:a16="http://schemas.microsoft.com/office/drawing/2014/main" pred="{093B18ED-07F0-4064-AA6C-6440FA84A6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190500</xdr:colOff>
      <xdr:row>0</xdr:row>
      <xdr:rowOff>133350</xdr:rowOff>
    </xdr:from>
    <xdr:to>
      <xdr:col>19</xdr:col>
      <xdr:colOff>400050</xdr:colOff>
      <xdr:row>15</xdr:row>
      <xdr:rowOff>19050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190500</xdr:colOff>
      <xdr:row>15</xdr:row>
      <xdr:rowOff>9525</xdr:rowOff>
    </xdr:from>
    <xdr:to>
      <xdr:col>19</xdr:col>
      <xdr:colOff>400050</xdr:colOff>
      <xdr:row>38</xdr:row>
      <xdr:rowOff>133350</xdr:rowOff>
    </xdr:to>
    <xdr:graphicFrame macro="">
      <xdr:nvGraphicFramePr>
        <xdr:cNvPr id="5" name="Chart 2">
          <a:extLst>
            <a:ext uri="{FF2B5EF4-FFF2-40B4-BE49-F238E27FC236}">
              <a16:creationId xmlns:a16="http://schemas.microsoft.com/office/drawing/2014/main" id="{00000000-0008-0000-0600-000005000000}"/>
            </a:ext>
            <a:ext uri="{147F2762-F138-4A5C-976F-8EAC2B608ADB}">
              <a16:predDERef xmlns:a16="http://schemas.microsoft.com/office/drawing/2014/main" pred="{A8672CD6-A495-4DDB-8BA0-3B61885658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371475</xdr:colOff>
      <xdr:row>7</xdr:row>
      <xdr:rowOff>114300</xdr:rowOff>
    </xdr:from>
    <xdr:to>
      <xdr:col>20</xdr:col>
      <xdr:colOff>0</xdr:colOff>
      <xdr:row>22</xdr:row>
      <xdr:rowOff>0</xdr:rowOff>
    </xdr:to>
    <xdr:graphicFrame macro="">
      <xdr:nvGraphicFramePr>
        <xdr:cNvPr id="32" name="Chart 1">
          <a:extLst>
            <a:ext uri="{FF2B5EF4-FFF2-40B4-BE49-F238E27FC236}">
              <a16:creationId xmlns:a16="http://schemas.microsoft.com/office/drawing/2014/main" id="{00000000-0008-0000-0700-00002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17</xdr:col>
      <xdr:colOff>561975</xdr:colOff>
      <xdr:row>3</xdr:row>
      <xdr:rowOff>180975</xdr:rowOff>
    </xdr:from>
    <xdr:to>
      <xdr:col>28</xdr:col>
      <xdr:colOff>463550</xdr:colOff>
      <xdr:row>45</xdr:row>
      <xdr:rowOff>0</xdr:rowOff>
    </xdr:to>
    <xdr:pic>
      <xdr:nvPicPr>
        <xdr:cNvPr id="33" name="Picture 32">
          <a:extLst>
            <a:ext uri="{FF2B5EF4-FFF2-40B4-BE49-F238E27FC236}">
              <a16:creationId xmlns:a16="http://schemas.microsoft.com/office/drawing/2014/main" id="{00000000-0008-0000-0800-000021000000}"/>
            </a:ext>
            <a:ext uri="{147F2762-F138-4A5C-976F-8EAC2B608ADB}">
              <a16:predDERef xmlns:a16="http://schemas.microsoft.com/office/drawing/2014/main" pred="{5F62650F-4086-4F41-8E0F-A45C34588697}"/>
            </a:ext>
          </a:extLst>
        </xdr:cNvPr>
        <xdr:cNvPicPr>
          <a:picLocks noChangeAspect="1"/>
        </xdr:cNvPicPr>
      </xdr:nvPicPr>
      <xdr:blipFill>
        <a:blip xmlns:r="http://schemas.openxmlformats.org/officeDocument/2006/relationships" r:embed="rId1"/>
        <a:stretch>
          <a:fillRect/>
        </a:stretch>
      </xdr:blipFill>
      <xdr:spPr>
        <a:xfrm>
          <a:off x="11525250" y="752475"/>
          <a:ext cx="6610350" cy="7820025"/>
        </a:xfrm>
        <a:prstGeom prst="rect">
          <a:avLst/>
        </a:prstGeom>
      </xdr:spPr>
    </xdr:pic>
    <xdr:clientData/>
  </xdr:twoCellAnchor>
  <xdr:twoCellAnchor editAs="oneCell">
    <xdr:from>
      <xdr:col>15</xdr:col>
      <xdr:colOff>0</xdr:colOff>
      <xdr:row>47</xdr:row>
      <xdr:rowOff>0</xdr:rowOff>
    </xdr:from>
    <xdr:to>
      <xdr:col>25</xdr:col>
      <xdr:colOff>292100</xdr:colOff>
      <xdr:row>95</xdr:row>
      <xdr:rowOff>171450</xdr:rowOff>
    </xdr:to>
    <xdr:pic>
      <xdr:nvPicPr>
        <xdr:cNvPr id="34" name="Picture 33">
          <a:extLst>
            <a:ext uri="{FF2B5EF4-FFF2-40B4-BE49-F238E27FC236}">
              <a16:creationId xmlns:a16="http://schemas.microsoft.com/office/drawing/2014/main" id="{00000000-0008-0000-0800-000022000000}"/>
            </a:ext>
            <a:ext uri="{147F2762-F138-4A5C-976F-8EAC2B608ADB}">
              <a16:predDERef xmlns:a16="http://schemas.microsoft.com/office/drawing/2014/main" pred="{4FBE0DCE-52BA-49EC-A0AB-3AECE30D8B4F}"/>
            </a:ext>
          </a:extLst>
        </xdr:cNvPr>
        <xdr:cNvPicPr>
          <a:picLocks noChangeAspect="1"/>
        </xdr:cNvPicPr>
      </xdr:nvPicPr>
      <xdr:blipFill>
        <a:blip xmlns:r="http://schemas.openxmlformats.org/officeDocument/2006/relationships" r:embed="rId2"/>
        <a:stretch>
          <a:fillRect/>
        </a:stretch>
      </xdr:blipFill>
      <xdr:spPr>
        <a:xfrm>
          <a:off x="10010775" y="8763000"/>
          <a:ext cx="6391275" cy="9315450"/>
        </a:xfrm>
        <a:prstGeom prst="rect">
          <a:avLst/>
        </a:prstGeom>
      </xdr:spPr>
    </xdr:pic>
    <xdr:clientData/>
  </xdr:twoCellAnchor>
  <xdr:twoCellAnchor>
    <xdr:from>
      <xdr:col>7</xdr:col>
      <xdr:colOff>0</xdr:colOff>
      <xdr:row>8</xdr:row>
      <xdr:rowOff>161925</xdr:rowOff>
    </xdr:from>
    <xdr:to>
      <xdr:col>14</xdr:col>
      <xdr:colOff>304800</xdr:colOff>
      <xdr:row>23</xdr:row>
      <xdr:rowOff>47625</xdr:rowOff>
    </xdr:to>
    <xdr:graphicFrame macro="">
      <xdr:nvGraphicFramePr>
        <xdr:cNvPr id="41" name="Chart 3">
          <a:extLst>
            <a:ext uri="{FF2B5EF4-FFF2-40B4-BE49-F238E27FC236}">
              <a16:creationId xmlns:a16="http://schemas.microsoft.com/office/drawing/2014/main" id="{00000000-0008-0000-0800-000029000000}"/>
            </a:ext>
            <a:ext uri="{147F2762-F138-4A5C-976F-8EAC2B608ADB}">
              <a16:predDERef xmlns:a16="http://schemas.microsoft.com/office/drawing/2014/main" pred="{BB03F5DC-0536-4A5C-B55C-503A1A95B5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CEEB21F-4243-43C2-A0CA-8B8EE0245440}" name="SimpleAPISheet1" displayName="SimpleAPISheet1" ref="A1:AH2" totalsRowShown="0">
  <autoFilter ref="A1:AH2" xr:uid="{30347808-3A25-411F-AF63-B53CA50E626B}"/>
  <tableColumns count="34">
    <tableColumn id="1" xr3:uid="{4389C63B-4654-45CF-860A-F7A223ECFC43}" name="rates.CAD"/>
    <tableColumn id="2" xr3:uid="{8F9F7E30-FC37-4477-9F1A-A371E4EB3F20}" name="rates.HKD"/>
    <tableColumn id="3" xr3:uid="{7B59E7C4-7336-48D3-BCCA-593B725D4551}" name="rates.ISK"/>
    <tableColumn id="4" xr3:uid="{10B12EBF-643E-4871-8813-00865C52CA60}" name="rates.PHP"/>
    <tableColumn id="5" xr3:uid="{8BC14C97-CCE5-4B9F-A68C-91128AAB9178}" name="rates.DKK"/>
    <tableColumn id="6" xr3:uid="{DC67D22F-A520-44D1-A561-6B7B96C6E2D4}" name="rates.HUF"/>
    <tableColumn id="7" xr3:uid="{8FA4B38D-4C37-4E3B-B532-BC84F542B4E0}" name="rates.CZK"/>
    <tableColumn id="8" xr3:uid="{99C33D9C-E8E1-4173-BCF7-C2BEF76C5BA7}" name="rates.AUD"/>
    <tableColumn id="9" xr3:uid="{E49DCF62-0659-4CBC-965F-63A0AC7C5CD0}" name="rates.RON"/>
    <tableColumn id="10" xr3:uid="{30CA7561-FC12-404D-9D1F-296E258C72F8}" name="rates.SEK"/>
    <tableColumn id="11" xr3:uid="{456BC880-F77D-42B1-9553-62460E4BBE09}" name="rates.IDR"/>
    <tableColumn id="12" xr3:uid="{EFB77325-C827-42EB-A4D0-A06290D92C94}" name="rates.INR"/>
    <tableColumn id="13" xr3:uid="{2155DA1E-6BD4-4CD1-8CD9-4D1B842D55A4}" name="rates.BRL"/>
    <tableColumn id="14" xr3:uid="{F3A242E9-3F44-4D1E-8FDD-E5DC96232020}" name="rates.RUB"/>
    <tableColumn id="15" xr3:uid="{9D622215-52B3-47E7-AA76-D16EFF70F55C}" name="rates.HRK"/>
    <tableColumn id="16" xr3:uid="{1D0568F8-326A-4F4F-9B42-A8D5337B3F43}" name="rates.JPY"/>
    <tableColumn id="17" xr3:uid="{6CD3A71F-CBE2-477C-83D2-1042E4F024EB}" name="rates.THB"/>
    <tableColumn id="18" xr3:uid="{36AAC55F-9603-4331-86E7-6D590F25EB1F}" name="rates.CHF"/>
    <tableColumn id="19" xr3:uid="{BFBA2B62-3466-401A-83FA-C097FAA9ED10}" name="rates.SGD"/>
    <tableColumn id="20" xr3:uid="{30483C7F-07BF-43C0-9CCB-85BA7561B41C}" name="rates.PLN"/>
    <tableColumn id="21" xr3:uid="{1FFCDDA6-D933-4228-B59D-1E0FE23CA556}" name="rates.BGN"/>
    <tableColumn id="22" xr3:uid="{2FD2233B-D1C4-4ED6-BE42-B0F57B226FD6}" name="rates.TRY"/>
    <tableColumn id="23" xr3:uid="{5A157EE1-A819-45FF-95CB-3C5DB149598C}" name="rates.CNY"/>
    <tableColumn id="24" xr3:uid="{E1145C68-A886-4B4B-A0B1-6397F750868F}" name="rates.NOK"/>
    <tableColumn id="25" xr3:uid="{021EFD2A-84BE-4999-B055-2BFF135F0245}" name="rates.NZD"/>
    <tableColumn id="26" xr3:uid="{AD4F1D56-02E1-4EB7-8F80-2C432A9889D3}" name="rates.ZAR"/>
    <tableColumn id="27" xr3:uid="{48ED5DDF-E230-452A-BFFB-A0CEEB3A8F9B}" name="rates.USD"/>
    <tableColumn id="28" xr3:uid="{60123101-DCA0-4214-97B0-F64FACB3254F}" name="rates.MXN"/>
    <tableColumn id="29" xr3:uid="{59E1FCEB-D6FD-4DFF-8195-DFC179F56FF7}" name="rates.ILS"/>
    <tableColumn id="30" xr3:uid="{86C0338F-D46B-4FEF-BE0B-D8427B3009A0}" name="rates.GBP"/>
    <tableColumn id="31" xr3:uid="{532D16A7-2954-4839-BBAE-32A39A74CAA3}" name="rates.KRW"/>
    <tableColumn id="32" xr3:uid="{86399979-7FFC-4DCF-9D14-6EB4157A0403}" name="rates.MYR"/>
    <tableColumn id="33" xr3:uid="{FD7A517B-7D51-456D-AEAE-B2FF82F94247}" name="base"/>
    <tableColumn id="34" xr3:uid="{4105A334-CB6A-4E69-8149-5EAD8EC50DC1}" name="dat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EF72572-AC72-4F64-ABCC-3FFB13CFDB4E}">
  <we:reference id="9c228624-c3b1-48bd-9b02-3cde8e8732a9" version="1.0.0.0" store="developer" storeType="Registry"/>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etinaude.tk/" TargetMode="External"/><Relationship Id="rId7" Type="http://schemas.openxmlformats.org/officeDocument/2006/relationships/printerSettings" Target="../printerSettings/printerSettings1.bin"/><Relationship Id="rId2" Type="http://schemas.openxmlformats.org/officeDocument/2006/relationships/hyperlink" Target="https://www.linkedin.com/in/etienne-naude-880b51198/" TargetMode="External"/><Relationship Id="rId1" Type="http://schemas.openxmlformats.org/officeDocument/2006/relationships/hyperlink" Target="http://www.etinaude.tk/" TargetMode="External"/><Relationship Id="rId6" Type="http://schemas.openxmlformats.org/officeDocument/2006/relationships/hyperlink" Target="https://www.linkedin.com/in/etienne-naude-880b51198/" TargetMode="External"/><Relationship Id="rId11" Type="http://schemas.openxmlformats.org/officeDocument/2006/relationships/ctrlProp" Target="../ctrlProps/ctrlProp2.xml"/><Relationship Id="rId5" Type="http://schemas.openxmlformats.org/officeDocument/2006/relationships/hyperlink" Target="http://www.etinaude.tk/" TargetMode="External"/><Relationship Id="rId10" Type="http://schemas.openxmlformats.org/officeDocument/2006/relationships/ctrlProp" Target="../ctrlProps/ctrlProp1.xml"/><Relationship Id="rId4" Type="http://schemas.openxmlformats.org/officeDocument/2006/relationships/hyperlink" Target="https://www.linkedin.com/in/etienne-naude-880b51198/" TargetMode="External"/><Relationship Id="rId9"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hyperlink" Target="https://www.linkedin.com/in/etienne-naude-880b51198/" TargetMode="External"/><Relationship Id="rId7" Type="http://schemas.openxmlformats.org/officeDocument/2006/relationships/hyperlink" Target="https://www.linkedin.com/school/the-university-of-auckland/?trk=public_profile_topcard_school" TargetMode="External"/><Relationship Id="rId2" Type="http://schemas.openxmlformats.org/officeDocument/2006/relationships/hyperlink" Target="https://www.linkedin.com/school/the-university-of-auckland/?trk=public_profile_topcard_school" TargetMode="External"/><Relationship Id="rId1" Type="http://schemas.openxmlformats.org/officeDocument/2006/relationships/hyperlink" Target="http://www.etinaude.tk/" TargetMode="External"/><Relationship Id="rId6" Type="http://schemas.openxmlformats.org/officeDocument/2006/relationships/hyperlink" Target="https://www.linkedin.com/in/etienne-naude-880b51198/" TargetMode="External"/><Relationship Id="rId5" Type="http://schemas.openxmlformats.org/officeDocument/2006/relationships/hyperlink" Target="http://www.etinaude.tk/" TargetMode="External"/><Relationship Id="rId4" Type="http://schemas.openxmlformats.org/officeDocument/2006/relationships/hyperlink" Target="http://www.etinaude.tk/" TargetMode="Externa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trends.google.com/trends/explore?geo=US&amp;q=shwoop,9%20spokes" TargetMode="External"/><Relationship Id="rId1" Type="http://schemas.openxmlformats.org/officeDocument/2006/relationships/hyperlink" Target="https://towardsdatascience.com/google-trends-api-for-python-a84bc25db88f" TargetMode="Externa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hyperlink" Target="https://app.companiesoffice.govt.nz/companies/app/ui/pages/companies/3538758" TargetMode="External"/><Relationship Id="rId1" Type="http://schemas.openxmlformats.org/officeDocument/2006/relationships/hyperlink" Target="https://app.companiesoffice.govt.nz/companies/app/ui/pages/companies/6842293?backurl=H4sIAAAAAAAAAC3KQQrCQAyF4dvMticI4spNF4Je4DEJtmCTOMkovb1D6e79j29yvCSmaptD17FC0Opy2YyFIqGMxiV3FxLNNQcpH4rlZ%2BYF%2FIVW4TtU3pStSznQ%2Fhw%2B6DrPZz8S2ePWrPtx%2FwEsagvvdgAAAA%3D%3D"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hyperlink" Target="https://www.google.com/search?q=netflix&amp;tbm=fin"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40B6C-BB06-4B24-9A97-EEE21E5036B8}">
  <sheetPr codeName="Sheet1"/>
  <dimension ref="A1:AK8137"/>
  <sheetViews>
    <sheetView topLeftCell="A5" zoomScale="70" zoomScaleNormal="70" workbookViewId="0">
      <selection activeCell="V14" sqref="V14"/>
    </sheetView>
  </sheetViews>
  <sheetFormatPr defaultRowHeight="14.5" x14ac:dyDescent="0.35"/>
  <cols>
    <col min="1" max="1" width="1.7265625" style="56" customWidth="1"/>
    <col min="2" max="2" width="9.1796875" style="5" customWidth="1"/>
    <col min="3" max="3" width="10.7265625" style="5" customWidth="1"/>
    <col min="4" max="5" width="9.1796875" style="60" customWidth="1"/>
    <col min="6" max="8" width="9.1796875" style="5" customWidth="1"/>
    <col min="9" max="9" width="8.7265625" style="5"/>
    <col min="10" max="11" width="9.1796875" style="5" customWidth="1"/>
    <col min="12" max="12" width="1.7265625" style="80" customWidth="1"/>
    <col min="13" max="13" width="17.36328125" style="5" customWidth="1"/>
    <col min="14" max="14" width="32.81640625" style="5" customWidth="1"/>
    <col min="15" max="15" width="5.1796875" style="5" customWidth="1"/>
    <col min="16" max="16" width="20" style="5" customWidth="1"/>
    <col min="17" max="17" width="35.54296875" style="5" customWidth="1"/>
    <col min="18" max="18" width="1.81640625" style="74" customWidth="1"/>
    <col min="19" max="29" width="8.7265625" style="5"/>
    <col min="30" max="30" width="9.1796875" style="5"/>
    <col min="31" max="16384" width="8.7265625" style="5"/>
  </cols>
  <sheetData>
    <row r="1" spans="1:37" customFormat="1" ht="73.5" customHeight="1" thickBot="1" x14ac:dyDescent="1.4">
      <c r="A1" s="56"/>
      <c r="B1" s="127" t="s">
        <v>0</v>
      </c>
      <c r="C1" s="127"/>
      <c r="D1" s="127"/>
      <c r="E1" s="127"/>
      <c r="F1" s="127"/>
      <c r="G1" s="127"/>
      <c r="H1" s="127"/>
      <c r="I1" s="127"/>
      <c r="J1" s="127"/>
      <c r="K1" s="127"/>
      <c r="L1" s="128"/>
      <c r="M1" s="127"/>
      <c r="N1" s="127"/>
      <c r="O1" s="127"/>
      <c r="P1" s="127"/>
      <c r="Q1" s="127"/>
      <c r="R1" s="127"/>
      <c r="S1" s="127"/>
      <c r="T1" s="127"/>
      <c r="U1" s="127"/>
      <c r="V1" s="127"/>
      <c r="W1" s="127"/>
      <c r="X1" s="127"/>
      <c r="Y1" s="127"/>
      <c r="Z1" s="127"/>
      <c r="AA1" s="127"/>
      <c r="AB1" s="127"/>
      <c r="AC1" s="127"/>
      <c r="AD1" s="127"/>
      <c r="AE1" s="127"/>
      <c r="AF1" s="129"/>
    </row>
    <row r="2" spans="1:37" customFormat="1" ht="18" thickTop="1" thickBot="1" x14ac:dyDescent="0.45">
      <c r="A2" s="56"/>
      <c r="B2" s="135" t="s">
        <v>1</v>
      </c>
      <c r="C2" s="135"/>
      <c r="D2" s="135"/>
      <c r="E2" s="135"/>
      <c r="F2" s="135"/>
      <c r="G2" s="135"/>
      <c r="H2" s="135"/>
      <c r="I2" s="135"/>
      <c r="J2" s="135"/>
      <c r="K2" s="135"/>
      <c r="L2" s="80"/>
      <c r="M2" s="154" t="s">
        <v>601</v>
      </c>
      <c r="N2" s="155"/>
      <c r="O2" s="155"/>
      <c r="P2" s="155"/>
      <c r="Q2" s="155"/>
      <c r="R2" s="72"/>
      <c r="S2" s="75"/>
      <c r="T2" s="75"/>
      <c r="U2" s="75"/>
      <c r="V2" s="76"/>
      <c r="W2" s="130" t="s">
        <v>2</v>
      </c>
      <c r="X2" s="130"/>
      <c r="Y2" s="130"/>
      <c r="Z2" s="130"/>
      <c r="AA2" s="130"/>
      <c r="AB2" s="130"/>
      <c r="AC2" s="130"/>
      <c r="AD2" s="130"/>
      <c r="AE2" s="130"/>
      <c r="AF2" s="131"/>
    </row>
    <row r="3" spans="1:37" customFormat="1" ht="31.5" thickTop="1" x14ac:dyDescent="0.4">
      <c r="A3" s="56"/>
      <c r="B3" s="134">
        <f>House!B1</f>
        <v>1</v>
      </c>
      <c r="C3" s="134"/>
      <c r="D3" s="134"/>
      <c r="E3" s="134"/>
      <c r="F3" s="134"/>
      <c r="G3" s="134"/>
      <c r="H3" s="134"/>
      <c r="I3" s="134"/>
      <c r="J3" s="134"/>
      <c r="K3" s="134"/>
      <c r="L3" s="80"/>
      <c r="M3" s="120" t="str">
        <f>Linkedin!B1</f>
        <v>Etienne Naude</v>
      </c>
      <c r="N3" s="120"/>
      <c r="O3" s="54"/>
      <c r="P3" s="120" t="str">
        <f>Linkedin!E1</f>
        <v>Auckland uni</v>
      </c>
      <c r="Q3" s="120"/>
      <c r="R3" s="72"/>
      <c r="S3" s="14"/>
      <c r="T3" s="14"/>
      <c r="U3" s="14"/>
      <c r="V3" s="14"/>
      <c r="W3" s="14"/>
      <c r="X3" s="14"/>
      <c r="Y3" s="14"/>
      <c r="Z3" s="14"/>
      <c r="AA3" s="14"/>
      <c r="AB3" s="14"/>
      <c r="AC3" s="14"/>
      <c r="AD3" s="14"/>
      <c r="AE3" s="14"/>
      <c r="AF3" s="14"/>
      <c r="AG3" s="14"/>
    </row>
    <row r="4" spans="1:37" customFormat="1" ht="17.5" thickBot="1" x14ac:dyDescent="0.45">
      <c r="A4" s="56"/>
      <c r="B4" s="105"/>
      <c r="C4" s="105"/>
      <c r="D4" s="105"/>
      <c r="E4" s="105"/>
      <c r="F4" s="105"/>
      <c r="G4" s="105"/>
      <c r="H4" s="105"/>
      <c r="I4" s="105"/>
      <c r="J4" s="105"/>
      <c r="K4" s="105"/>
      <c r="L4" s="80"/>
      <c r="M4" s="92" t="str">
        <f>Linkedin!B2</f>
        <v>Summary</v>
      </c>
      <c r="N4" s="93"/>
      <c r="O4" s="54"/>
      <c r="P4" s="91" t="str">
        <f>Linkedin!E2</f>
        <v>Summary</v>
      </c>
      <c r="Q4" s="93"/>
      <c r="R4" s="72"/>
      <c r="S4" s="14"/>
      <c r="T4" s="14"/>
      <c r="U4" s="14"/>
      <c r="V4" s="14"/>
      <c r="W4" s="14"/>
      <c r="X4" s="14"/>
      <c r="Y4" s="14"/>
      <c r="Z4" s="14"/>
      <c r="AA4" s="14"/>
      <c r="AB4" s="14"/>
      <c r="AC4" s="14"/>
      <c r="AD4" s="14"/>
      <c r="AE4" s="14"/>
      <c r="AF4" s="14"/>
      <c r="AG4" s="14"/>
    </row>
    <row r="5" spans="1:37" x14ac:dyDescent="0.35">
      <c r="K5" s="71"/>
      <c r="M5" s="77" t="str">
        <f>Linkedin!B3</f>
        <v>Position</v>
      </c>
      <c r="N5" s="32" t="str">
        <f>Linkedin!C3</f>
        <v>Creative techologist</v>
      </c>
      <c r="P5" s="57" t="str">
        <f>Linkedin!E3</f>
        <v>Website</v>
      </c>
      <c r="Q5" s="63" t="str">
        <f>Linkedin!F3</f>
        <v>http://www.auckland.ac.nz/</v>
      </c>
      <c r="R5" s="73"/>
      <c r="S5" s="14"/>
      <c r="T5" s="14"/>
      <c r="U5" s="14"/>
      <c r="V5" s="14"/>
      <c r="W5" s="14"/>
      <c r="X5" s="14"/>
      <c r="Y5" s="14"/>
      <c r="Z5" s="14"/>
      <c r="AA5" s="14"/>
      <c r="AB5" s="14"/>
      <c r="AC5" s="14"/>
      <c r="AD5" s="14"/>
      <c r="AE5" s="14"/>
      <c r="AF5" s="14"/>
      <c r="AG5" s="14"/>
    </row>
    <row r="6" spans="1:37" ht="15" thickBot="1" x14ac:dyDescent="0.4">
      <c r="B6" s="91" t="s">
        <v>3</v>
      </c>
      <c r="C6" s="92"/>
      <c r="D6" s="92"/>
      <c r="E6" s="93"/>
      <c r="K6" s="71"/>
      <c r="M6" s="78" t="str">
        <f>Linkedin!B4</f>
        <v>Employer</v>
      </c>
      <c r="N6" s="33" t="str">
        <f>Linkedin!C4</f>
        <v>The University of Auckland</v>
      </c>
      <c r="P6" s="58" t="str">
        <f>Linkedin!E4</f>
        <v>Industries</v>
      </c>
      <c r="Q6" s="33" t="str">
        <f>Linkedin!F4</f>
        <v>Higher Education</v>
      </c>
      <c r="R6" s="73"/>
      <c r="S6" s="14"/>
      <c r="T6" s="14"/>
      <c r="U6" s="14"/>
      <c r="V6" s="14"/>
      <c r="W6" s="14"/>
      <c r="X6" s="14"/>
      <c r="Y6" s="14"/>
      <c r="Z6" s="14"/>
      <c r="AA6" s="14"/>
      <c r="AB6" s="14"/>
      <c r="AC6" s="14"/>
      <c r="AD6" s="14"/>
      <c r="AE6" s="14"/>
      <c r="AF6" s="14"/>
      <c r="AG6" s="14"/>
    </row>
    <row r="7" spans="1:37" x14ac:dyDescent="0.35">
      <c r="B7" s="132" t="s">
        <v>4</v>
      </c>
      <c r="C7" s="133"/>
      <c r="D7" s="102">
        <f>House!C3</f>
        <v>0</v>
      </c>
      <c r="E7" s="103"/>
      <c r="K7" s="71"/>
      <c r="M7" s="79" t="str">
        <f>Linkedin!B5</f>
        <v>Website</v>
      </c>
      <c r="N7" s="63" t="str">
        <f>Linkedin!C5</f>
        <v>www.etinaude.tk</v>
      </c>
      <c r="P7" s="57" t="str">
        <f>Linkedin!E5</f>
        <v>Size</v>
      </c>
      <c r="Q7" s="34" t="str">
        <f>Linkedin!F5</f>
        <v xml:space="preserve">1001-5000 </v>
      </c>
      <c r="R7" s="73"/>
      <c r="S7" s="14"/>
      <c r="T7" s="14"/>
      <c r="U7" s="14"/>
      <c r="V7" s="14"/>
      <c r="W7" s="14"/>
      <c r="X7" s="14"/>
      <c r="Y7" s="14"/>
      <c r="Z7" s="14"/>
      <c r="AA7" s="14"/>
      <c r="AB7" s="14"/>
      <c r="AC7" s="14"/>
      <c r="AD7" s="14"/>
      <c r="AE7" s="14"/>
      <c r="AF7" s="14"/>
      <c r="AG7" s="14"/>
    </row>
    <row r="8" spans="1:37" x14ac:dyDescent="0.35">
      <c r="B8" s="96" t="s">
        <v>5</v>
      </c>
      <c r="C8" s="97"/>
      <c r="D8" s="87">
        <f>House!C4</f>
        <v>0</v>
      </c>
      <c r="E8" s="88"/>
      <c r="K8" s="71"/>
      <c r="M8" s="78" t="str">
        <f>Linkedin!B6</f>
        <v>Education</v>
      </c>
      <c r="N8" s="33" t="str">
        <f>Linkedin!C6</f>
        <v>BadvSci(hons) Computer Sciece</v>
      </c>
      <c r="P8" s="58" t="str">
        <f>Linkedin!E6</f>
        <v>Founded</v>
      </c>
      <c r="Q8" s="35">
        <f>Linkedin!F6</f>
        <v>1883</v>
      </c>
      <c r="R8" s="73"/>
      <c r="S8" s="14"/>
      <c r="T8" s="14"/>
      <c r="U8" s="14"/>
      <c r="V8" s="14"/>
      <c r="W8" s="14"/>
      <c r="X8" s="14"/>
      <c r="Y8" s="14"/>
      <c r="Z8" s="14"/>
      <c r="AA8" s="14"/>
      <c r="AB8" s="14"/>
      <c r="AC8" s="14"/>
      <c r="AD8" s="14"/>
      <c r="AE8" s="14"/>
      <c r="AF8" s="14"/>
      <c r="AG8" s="14"/>
    </row>
    <row r="9" spans="1:37" x14ac:dyDescent="0.35">
      <c r="B9" s="94" t="s">
        <v>6</v>
      </c>
      <c r="C9" s="95"/>
      <c r="D9" s="85">
        <f>House!C5</f>
        <v>0</v>
      </c>
      <c r="E9" s="86"/>
      <c r="K9" s="71"/>
      <c r="M9" s="121" t="str">
        <f>Linkedin!B7</f>
        <v>link</v>
      </c>
      <c r="N9" s="123" t="str">
        <f>Linkedin!C7</f>
        <v xml:space="preserve">https://www.linkedin.com/in/etienne-naude-880b51198/ </v>
      </c>
      <c r="P9" s="125" t="str">
        <f>Linkedin!E7</f>
        <v>link</v>
      </c>
      <c r="Q9" s="123" t="str">
        <f>Linkedin!F7</f>
        <v xml:space="preserve">https://www.linkedin.com/school/the-university-of-auckland/?trk=public_profile_topcard_school </v>
      </c>
      <c r="R9" s="73"/>
      <c r="S9" s="14"/>
      <c r="T9" s="14"/>
      <c r="U9" s="14"/>
      <c r="V9" s="14"/>
      <c r="W9" s="14"/>
      <c r="X9" s="14"/>
      <c r="Y9" s="14"/>
      <c r="Z9" s="14"/>
      <c r="AA9" s="14"/>
      <c r="AB9" s="14"/>
      <c r="AC9" s="14"/>
      <c r="AD9" s="14"/>
      <c r="AE9" s="14"/>
      <c r="AF9" s="14"/>
      <c r="AG9" s="14"/>
    </row>
    <row r="10" spans="1:37" x14ac:dyDescent="0.35">
      <c r="B10" s="96" t="s">
        <v>7</v>
      </c>
      <c r="C10" s="97"/>
      <c r="D10" s="87">
        <f>House!C6</f>
        <v>0</v>
      </c>
      <c r="E10" s="88"/>
      <c r="K10" s="71"/>
      <c r="M10" s="121"/>
      <c r="N10" s="123"/>
      <c r="P10" s="125"/>
      <c r="Q10" s="123"/>
      <c r="S10" s="14"/>
      <c r="T10" s="14"/>
      <c r="U10" s="14"/>
      <c r="V10" s="14"/>
      <c r="W10" s="14"/>
      <c r="X10" s="14"/>
      <c r="Y10" s="14"/>
      <c r="Z10" s="14"/>
      <c r="AA10" s="14"/>
      <c r="AB10" s="14"/>
      <c r="AC10" s="14"/>
      <c r="AD10" s="14"/>
      <c r="AE10" s="14"/>
      <c r="AF10" s="14"/>
      <c r="AG10" s="14"/>
    </row>
    <row r="11" spans="1:37" x14ac:dyDescent="0.35">
      <c r="B11" s="94" t="s">
        <v>10</v>
      </c>
      <c r="C11" s="95"/>
      <c r="D11" s="85">
        <f>House!C7</f>
        <v>0</v>
      </c>
      <c r="E11" s="86"/>
      <c r="K11" s="71"/>
      <c r="M11" s="121"/>
      <c r="N11" s="123"/>
      <c r="P11" s="125"/>
      <c r="Q11" s="123"/>
      <c r="S11" s="14"/>
      <c r="T11" s="14"/>
      <c r="U11" s="14"/>
      <c r="V11" s="14"/>
      <c r="W11" s="14"/>
      <c r="X11" s="14"/>
      <c r="Y11" s="14"/>
      <c r="Z11" s="14"/>
      <c r="AA11" s="14"/>
      <c r="AB11" s="14"/>
      <c r="AC11" s="14"/>
      <c r="AD11" s="14"/>
      <c r="AE11" s="14"/>
      <c r="AF11" s="14"/>
      <c r="AG11" s="14"/>
    </row>
    <row r="12" spans="1:37" ht="14.5" customHeight="1" x14ac:dyDescent="0.35">
      <c r="B12" s="96" t="s">
        <v>13</v>
      </c>
      <c r="C12" s="97"/>
      <c r="D12" s="87">
        <f>House!C8</f>
        <v>0</v>
      </c>
      <c r="E12" s="88"/>
      <c r="K12" s="71"/>
      <c r="M12" s="122"/>
      <c r="N12" s="124"/>
      <c r="P12" s="126"/>
      <c r="Q12" s="124"/>
      <c r="S12" s="14"/>
      <c r="T12" s="14"/>
      <c r="U12" s="14"/>
      <c r="V12" s="14"/>
      <c r="W12" s="14"/>
      <c r="X12" s="14"/>
      <c r="Y12" s="14"/>
      <c r="Z12" s="14"/>
      <c r="AA12" s="14"/>
      <c r="AB12" s="14"/>
      <c r="AC12" s="14"/>
      <c r="AD12" s="14"/>
      <c r="AE12" s="14"/>
      <c r="AF12" s="14"/>
      <c r="AG12" s="14"/>
    </row>
    <row r="13" spans="1:37" x14ac:dyDescent="0.35">
      <c r="B13" s="100" t="s">
        <v>14</v>
      </c>
      <c r="C13" s="101"/>
      <c r="D13" s="89">
        <f>House!C9</f>
        <v>0</v>
      </c>
      <c r="E13" s="90"/>
      <c r="K13" s="71"/>
      <c r="M13" s="14">
        <f>Linkedin!B11</f>
        <v>0</v>
      </c>
      <c r="N13" s="70">
        <f>Linkedin!C11</f>
        <v>0</v>
      </c>
      <c r="P13" s="14">
        <f>Linkedin!E11</f>
        <v>0</v>
      </c>
      <c r="Q13" s="70">
        <f>Linkedin!F11</f>
        <v>0</v>
      </c>
      <c r="S13" s="14"/>
      <c r="T13" s="14"/>
      <c r="U13" s="14"/>
      <c r="V13" s="14"/>
      <c r="W13" s="14"/>
      <c r="X13" s="14"/>
      <c r="Y13" s="14"/>
      <c r="Z13" s="14"/>
      <c r="AA13" s="14"/>
      <c r="AB13" s="14"/>
      <c r="AC13" s="14"/>
      <c r="AD13" s="14"/>
      <c r="AE13" s="14"/>
      <c r="AF13" s="14"/>
      <c r="AG13" s="14"/>
    </row>
    <row r="14" spans="1:37" ht="15" thickBot="1" x14ac:dyDescent="0.4">
      <c r="K14" s="71"/>
      <c r="M14" s="157" t="str">
        <f>Linkedin!B12</f>
        <v>About</v>
      </c>
      <c r="N14" s="114"/>
      <c r="P14" s="158" t="str">
        <f>Linkedin!E12</f>
        <v>About</v>
      </c>
      <c r="Q14" s="114"/>
      <c r="S14" s="14"/>
      <c r="T14" s="14"/>
      <c r="U14" s="14"/>
      <c r="V14" s="14"/>
      <c r="W14" s="14"/>
      <c r="X14" s="14"/>
      <c r="Y14" s="14"/>
      <c r="Z14" s="14"/>
      <c r="AA14" s="14"/>
      <c r="AB14" s="14"/>
      <c r="AC14" s="14"/>
      <c r="AD14" s="14"/>
      <c r="AE14" s="14"/>
      <c r="AF14" s="14"/>
      <c r="AG14" s="14"/>
      <c r="AH14" s="53"/>
      <c r="AI14" s="53"/>
      <c r="AJ14" s="14"/>
      <c r="AK14" s="14"/>
    </row>
    <row r="15" spans="1:37" ht="15" thickBot="1" x14ac:dyDescent="0.4">
      <c r="B15" s="112" t="s">
        <v>5</v>
      </c>
      <c r="C15" s="113"/>
      <c r="D15" s="113"/>
      <c r="E15" s="114"/>
      <c r="K15" s="71"/>
      <c r="M15" s="159" t="str">
        <f>Linkedin!B13</f>
        <v>Skilled in Creative Design, Linux, CAD, 3D Printing, Laser Cutting, Electronics and Programming.
Currently studying towards BadvSci (Hons) focused on Computer Science from The University of Auckland with a stream in science scholars.</v>
      </c>
      <c r="N15" s="160"/>
      <c r="P15" s="165" t="str">
        <f>Linkedin!E13</f>
        <v>The University of Auckland is ranked in the top 100* worldwide and New Zealand’s highest-ranked university. 
Since its founding in 1883, the University of Auckland has grown to become New Zealand's flagship, research-led university, known for the excellence of its teaching, its research, and its service to local, national and international communities.
Our main campus is located in the heart of Auckland city, New Zealand’s economic and cultural hub, and we have four specialist campuses.
*https://www.topuniversities.com/university-rankings/world-university-rankings/2018</v>
      </c>
      <c r="Q15" s="160"/>
      <c r="S15" s="14"/>
      <c r="T15" s="14"/>
      <c r="U15" s="14"/>
      <c r="V15" s="14"/>
      <c r="W15" s="14"/>
      <c r="X15" s="14"/>
      <c r="Y15" s="14"/>
      <c r="Z15" s="14"/>
      <c r="AA15" s="14"/>
      <c r="AB15" s="14"/>
      <c r="AC15" s="14"/>
      <c r="AD15" s="14"/>
      <c r="AE15" s="14"/>
      <c r="AF15" s="14"/>
      <c r="AG15" s="14"/>
      <c r="AH15" s="53"/>
      <c r="AI15" s="53"/>
      <c r="AJ15" s="53"/>
      <c r="AK15" s="53"/>
    </row>
    <row r="16" spans="1:37" x14ac:dyDescent="0.35">
      <c r="B16" s="81" t="s">
        <v>15</v>
      </c>
      <c r="C16" s="82"/>
      <c r="D16" s="118">
        <f>House!C12</f>
        <v>0</v>
      </c>
      <c r="E16" s="119"/>
      <c r="K16" s="71"/>
      <c r="M16" s="161"/>
      <c r="N16" s="162"/>
      <c r="P16" s="166"/>
      <c r="Q16" s="162"/>
      <c r="S16" s="14"/>
      <c r="T16" s="14"/>
      <c r="U16" s="14"/>
      <c r="V16" s="14"/>
      <c r="W16" s="14"/>
      <c r="X16" s="14"/>
      <c r="Y16" s="14"/>
      <c r="Z16" s="14"/>
      <c r="AA16" s="14"/>
      <c r="AB16" s="14"/>
      <c r="AC16" s="14"/>
      <c r="AD16" s="14"/>
      <c r="AE16" s="14"/>
      <c r="AF16" s="14"/>
      <c r="AG16" s="14"/>
      <c r="AH16" s="53"/>
      <c r="AI16" s="53"/>
      <c r="AJ16" s="53"/>
      <c r="AK16" s="53"/>
    </row>
    <row r="17" spans="2:37" x14ac:dyDescent="0.35">
      <c r="B17" s="98" t="s">
        <v>16</v>
      </c>
      <c r="C17" s="99"/>
      <c r="D17" s="85">
        <f>House!C13</f>
        <v>0</v>
      </c>
      <c r="E17" s="86"/>
      <c r="K17" s="71"/>
      <c r="M17" s="161"/>
      <c r="N17" s="162"/>
      <c r="P17" s="166"/>
      <c r="Q17" s="162"/>
      <c r="S17" s="14"/>
      <c r="T17" s="14"/>
      <c r="U17" s="14"/>
      <c r="V17" s="14"/>
      <c r="W17" s="14"/>
      <c r="X17" s="14"/>
      <c r="Y17" s="14"/>
      <c r="Z17" s="14"/>
      <c r="AA17" s="14"/>
      <c r="AB17" s="14"/>
      <c r="AC17" s="14"/>
      <c r="AD17" s="14"/>
      <c r="AE17" s="14"/>
      <c r="AF17" s="14"/>
      <c r="AG17" s="14"/>
      <c r="AH17" s="53"/>
      <c r="AI17" s="53"/>
      <c r="AJ17" s="53"/>
      <c r="AK17" s="53"/>
    </row>
    <row r="18" spans="2:37" x14ac:dyDescent="0.35">
      <c r="B18" s="81" t="s">
        <v>17</v>
      </c>
      <c r="C18" s="82"/>
      <c r="D18" s="87">
        <f>House!C14</f>
        <v>0</v>
      </c>
      <c r="E18" s="88"/>
      <c r="K18" s="71"/>
      <c r="M18" s="161"/>
      <c r="N18" s="162"/>
      <c r="P18" s="166"/>
      <c r="Q18" s="162"/>
      <c r="S18" s="14"/>
      <c r="T18" s="14"/>
      <c r="U18" s="14"/>
      <c r="V18" s="14"/>
      <c r="W18" s="14"/>
      <c r="X18" s="14"/>
      <c r="Y18" s="14"/>
      <c r="Z18" s="14"/>
      <c r="AA18" s="14"/>
      <c r="AB18" s="14"/>
      <c r="AC18" s="14"/>
      <c r="AD18" s="14"/>
      <c r="AE18" s="14"/>
      <c r="AF18" s="14"/>
      <c r="AG18" s="14"/>
      <c r="AH18" s="53"/>
      <c r="AI18" s="53"/>
      <c r="AJ18" s="53"/>
      <c r="AK18" s="53"/>
    </row>
    <row r="19" spans="2:37" x14ac:dyDescent="0.35">
      <c r="B19" s="98" t="s">
        <v>18</v>
      </c>
      <c r="C19" s="99"/>
      <c r="D19" s="85">
        <f>House!C15</f>
        <v>0</v>
      </c>
      <c r="E19" s="86"/>
      <c r="K19" s="71"/>
      <c r="M19" s="161"/>
      <c r="N19" s="162"/>
      <c r="P19" s="166"/>
      <c r="Q19" s="162"/>
      <c r="S19" s="14"/>
      <c r="T19" s="14"/>
      <c r="U19" s="14"/>
      <c r="V19" s="14"/>
      <c r="W19" s="14"/>
      <c r="X19" s="14"/>
      <c r="Y19" s="14"/>
      <c r="Z19" s="14"/>
      <c r="AA19" s="14"/>
      <c r="AB19" s="14"/>
      <c r="AC19" s="14"/>
      <c r="AD19" s="14"/>
      <c r="AE19" s="14"/>
      <c r="AF19" s="14"/>
      <c r="AG19" s="14"/>
      <c r="AH19" s="53"/>
      <c r="AI19" s="53"/>
      <c r="AJ19" s="53"/>
      <c r="AK19" s="53"/>
    </row>
    <row r="20" spans="2:37" x14ac:dyDescent="0.35">
      <c r="B20" s="81" t="s">
        <v>19</v>
      </c>
      <c r="C20" s="82"/>
      <c r="D20" s="87">
        <f>House!C16</f>
        <v>0</v>
      </c>
      <c r="E20" s="88"/>
      <c r="K20" s="71"/>
      <c r="M20" s="161"/>
      <c r="N20" s="162"/>
      <c r="P20" s="166"/>
      <c r="Q20" s="162"/>
      <c r="S20" s="14"/>
      <c r="T20" s="14"/>
      <c r="U20" s="14"/>
      <c r="V20" s="14"/>
      <c r="W20" s="14"/>
      <c r="X20" s="14"/>
      <c r="Y20" s="14"/>
      <c r="Z20" s="14"/>
      <c r="AA20" s="14"/>
      <c r="AB20" s="14"/>
      <c r="AC20" s="14"/>
      <c r="AD20" s="14"/>
      <c r="AE20" s="14"/>
      <c r="AF20" s="14"/>
      <c r="AG20" s="14"/>
      <c r="AH20" s="53"/>
      <c r="AI20" s="53"/>
      <c r="AJ20" s="14"/>
      <c r="AK20" s="14"/>
    </row>
    <row r="21" spans="2:37" x14ac:dyDescent="0.35">
      <c r="B21" s="98" t="s">
        <v>21</v>
      </c>
      <c r="C21" s="99"/>
      <c r="D21" s="85">
        <f>House!C17</f>
        <v>0</v>
      </c>
      <c r="E21" s="86"/>
      <c r="K21" s="71"/>
      <c r="M21" s="161"/>
      <c r="N21" s="162"/>
      <c r="P21" s="166"/>
      <c r="Q21" s="162"/>
      <c r="S21" s="14"/>
      <c r="T21" s="14"/>
      <c r="U21" s="14"/>
      <c r="V21" s="14"/>
      <c r="W21" s="14"/>
      <c r="X21" s="14"/>
      <c r="Y21" s="14"/>
      <c r="Z21" s="14"/>
      <c r="AA21" s="14"/>
      <c r="AB21" s="14"/>
      <c r="AC21" s="14"/>
      <c r="AD21" s="14"/>
      <c r="AE21" s="14"/>
      <c r="AF21" s="14"/>
      <c r="AG21" s="14"/>
      <c r="AH21" s="53"/>
      <c r="AI21" s="53"/>
      <c r="AJ21" s="53"/>
      <c r="AK21" s="53"/>
    </row>
    <row r="22" spans="2:37" x14ac:dyDescent="0.35">
      <c r="B22" s="81" t="s">
        <v>22</v>
      </c>
      <c r="C22" s="82"/>
      <c r="D22" s="87">
        <f>House!C18</f>
        <v>0</v>
      </c>
      <c r="E22" s="88"/>
      <c r="K22" s="71"/>
      <c r="M22" s="161"/>
      <c r="N22" s="162"/>
      <c r="P22" s="166"/>
      <c r="Q22" s="162"/>
      <c r="S22" s="14"/>
      <c r="T22" s="14"/>
      <c r="U22" s="14"/>
      <c r="V22" s="14"/>
      <c r="W22" s="14"/>
      <c r="X22" s="14"/>
      <c r="Y22" s="14"/>
      <c r="Z22" s="14"/>
      <c r="AA22" s="14"/>
      <c r="AB22" s="14"/>
      <c r="AC22" s="14"/>
      <c r="AD22" s="14"/>
      <c r="AE22" s="14"/>
      <c r="AF22" s="14"/>
      <c r="AG22" s="14"/>
    </row>
    <row r="23" spans="2:37" x14ac:dyDescent="0.35">
      <c r="B23" s="83" t="s">
        <v>23</v>
      </c>
      <c r="C23" s="84"/>
      <c r="D23" s="89">
        <f>House!C19</f>
        <v>0</v>
      </c>
      <c r="E23" s="90"/>
      <c r="K23" s="71"/>
      <c r="M23" s="161"/>
      <c r="N23" s="162"/>
      <c r="P23" s="166"/>
      <c r="Q23" s="162"/>
      <c r="S23" s="14"/>
      <c r="T23" s="14"/>
      <c r="U23" s="14"/>
      <c r="V23" s="14"/>
      <c r="W23" s="14"/>
      <c r="X23" s="14"/>
      <c r="Y23" s="14"/>
      <c r="Z23" s="14"/>
      <c r="AA23" s="14"/>
      <c r="AB23" s="14"/>
      <c r="AC23" s="14"/>
      <c r="AD23" s="14"/>
      <c r="AE23" s="14"/>
      <c r="AF23" s="14"/>
      <c r="AG23" s="14"/>
    </row>
    <row r="24" spans="2:37" x14ac:dyDescent="0.35">
      <c r="K24" s="71"/>
      <c r="M24" s="161"/>
      <c r="N24" s="162"/>
      <c r="P24" s="166"/>
      <c r="Q24" s="162"/>
      <c r="S24" s="14"/>
      <c r="T24" s="14"/>
      <c r="U24" s="14"/>
      <c r="V24" s="14"/>
      <c r="W24" s="14"/>
      <c r="X24" s="14"/>
      <c r="Y24" s="14"/>
      <c r="Z24" s="14"/>
      <c r="AA24" s="14"/>
      <c r="AB24" s="14"/>
      <c r="AC24" s="14"/>
      <c r="AD24" s="14"/>
      <c r="AE24" s="14"/>
      <c r="AF24" s="14"/>
      <c r="AG24" s="14"/>
    </row>
    <row r="25" spans="2:37" ht="15" thickBot="1" x14ac:dyDescent="0.4">
      <c r="B25" s="112" t="s">
        <v>24</v>
      </c>
      <c r="C25" s="113"/>
      <c r="D25" s="113"/>
      <c r="E25" s="114"/>
      <c r="K25" s="71"/>
      <c r="M25" s="161"/>
      <c r="N25" s="162"/>
      <c r="P25" s="166"/>
      <c r="Q25" s="162"/>
      <c r="R25" s="73"/>
      <c r="S25" s="14"/>
      <c r="T25" s="14"/>
      <c r="U25" s="14"/>
      <c r="V25" s="14"/>
      <c r="W25" s="14"/>
      <c r="X25" s="14"/>
      <c r="Y25" s="14"/>
      <c r="Z25" s="14"/>
      <c r="AA25" s="14"/>
      <c r="AB25" s="14"/>
      <c r="AC25" s="14"/>
      <c r="AD25" s="14"/>
      <c r="AE25" s="14"/>
      <c r="AF25" s="14"/>
      <c r="AG25" s="14"/>
    </row>
    <row r="26" spans="2:37" x14ac:dyDescent="0.35">
      <c r="B26" s="115">
        <f>House!B22</f>
        <v>0</v>
      </c>
      <c r="C26" s="116"/>
      <c r="D26" s="116">
        <f>House!C22</f>
        <v>0</v>
      </c>
      <c r="E26" s="117"/>
      <c r="K26" s="71"/>
      <c r="M26" s="161"/>
      <c r="N26" s="162"/>
      <c r="P26" s="166"/>
      <c r="Q26" s="162"/>
      <c r="R26" s="73"/>
      <c r="S26" s="14"/>
      <c r="T26" s="14"/>
      <c r="U26" s="14"/>
      <c r="V26" s="14"/>
      <c r="W26" s="14"/>
      <c r="X26" s="14"/>
      <c r="Y26" s="14"/>
      <c r="Z26" s="14"/>
      <c r="AA26" s="14"/>
      <c r="AB26" s="14"/>
      <c r="AC26" s="14"/>
      <c r="AD26" s="14"/>
      <c r="AE26" s="14"/>
      <c r="AF26" s="14"/>
      <c r="AG26" s="14"/>
    </row>
    <row r="27" spans="2:37" x14ac:dyDescent="0.35">
      <c r="B27" s="109">
        <f>House!B23</f>
        <v>0</v>
      </c>
      <c r="C27" s="110"/>
      <c r="D27" s="110">
        <f>House!C23</f>
        <v>0</v>
      </c>
      <c r="E27" s="111"/>
      <c r="K27" s="71"/>
      <c r="M27" s="161"/>
      <c r="N27" s="162"/>
      <c r="P27" s="166"/>
      <c r="Q27" s="162"/>
      <c r="R27" s="73"/>
      <c r="S27" s="14"/>
      <c r="T27" s="14"/>
      <c r="U27" s="14"/>
      <c r="V27" s="14"/>
      <c r="W27" s="14"/>
      <c r="X27" s="14"/>
      <c r="Y27" s="14"/>
      <c r="Z27" s="14"/>
      <c r="AA27" s="14"/>
      <c r="AB27" s="14"/>
      <c r="AC27" s="14"/>
      <c r="AD27" s="14"/>
      <c r="AE27" s="14"/>
      <c r="AF27" s="14"/>
      <c r="AG27" s="14"/>
    </row>
    <row r="28" spans="2:37" x14ac:dyDescent="0.35">
      <c r="B28" s="115">
        <f>House!B24</f>
        <v>0</v>
      </c>
      <c r="C28" s="116"/>
      <c r="D28" s="116">
        <f>House!C24</f>
        <v>0</v>
      </c>
      <c r="E28" s="117"/>
      <c r="K28" s="71"/>
      <c r="M28" s="161"/>
      <c r="N28" s="162"/>
      <c r="P28" s="166"/>
      <c r="Q28" s="162"/>
      <c r="R28" s="73"/>
      <c r="S28" s="14"/>
      <c r="T28" s="14"/>
      <c r="U28" s="14"/>
      <c r="V28" s="14"/>
      <c r="W28" s="14"/>
      <c r="X28" s="14"/>
      <c r="Y28" s="14"/>
      <c r="Z28" s="14"/>
      <c r="AA28" s="14"/>
      <c r="AB28" s="14"/>
      <c r="AC28" s="14"/>
      <c r="AD28" s="14"/>
      <c r="AE28" s="14"/>
      <c r="AF28" s="14"/>
      <c r="AG28" s="14"/>
    </row>
    <row r="29" spans="2:37" x14ac:dyDescent="0.35">
      <c r="B29" s="109">
        <f>House!B25</f>
        <v>0</v>
      </c>
      <c r="C29" s="110"/>
      <c r="D29" s="110">
        <f>House!C25</f>
        <v>0</v>
      </c>
      <c r="E29" s="111"/>
      <c r="K29" s="71"/>
      <c r="M29" s="161"/>
      <c r="N29" s="162"/>
      <c r="P29" s="166"/>
      <c r="Q29" s="162"/>
      <c r="S29" s="14"/>
      <c r="T29" s="14"/>
      <c r="U29" s="14"/>
      <c r="V29" s="14"/>
      <c r="W29" s="14"/>
      <c r="X29" s="14"/>
      <c r="Y29" s="14"/>
      <c r="Z29" s="14"/>
      <c r="AA29" s="14"/>
      <c r="AB29" s="14"/>
      <c r="AC29" s="14"/>
      <c r="AD29" s="14"/>
      <c r="AE29" s="14"/>
      <c r="AF29" s="14"/>
      <c r="AG29" s="14"/>
    </row>
    <row r="30" spans="2:37" x14ac:dyDescent="0.35">
      <c r="B30" s="106">
        <f>House!B26</f>
        <v>0</v>
      </c>
      <c r="C30" s="107"/>
      <c r="D30" s="107">
        <f>House!C26</f>
        <v>0</v>
      </c>
      <c r="E30" s="108"/>
      <c r="K30" s="71"/>
      <c r="M30" s="161"/>
      <c r="N30" s="162"/>
      <c r="P30" s="166"/>
      <c r="Q30" s="162"/>
      <c r="S30" s="14"/>
      <c r="T30" s="14"/>
      <c r="U30" s="14"/>
      <c r="V30" s="14"/>
      <c r="W30" s="14"/>
      <c r="X30" s="14"/>
      <c r="Y30" s="14"/>
      <c r="Z30" s="14"/>
      <c r="AA30" s="14"/>
      <c r="AB30" s="14"/>
      <c r="AC30" s="14"/>
      <c r="AD30" s="14"/>
      <c r="AE30" s="14"/>
      <c r="AF30" s="14"/>
      <c r="AG30" s="14"/>
    </row>
    <row r="31" spans="2:37" x14ac:dyDescent="0.35">
      <c r="K31" s="71"/>
      <c r="M31" s="161"/>
      <c r="N31" s="162"/>
      <c r="P31" s="166"/>
      <c r="Q31" s="162"/>
      <c r="S31" s="14"/>
      <c r="T31" s="14"/>
      <c r="U31" s="14"/>
      <c r="V31" s="14"/>
      <c r="W31" s="14"/>
      <c r="X31" s="14"/>
      <c r="Y31" s="14"/>
      <c r="Z31" s="14"/>
      <c r="AA31" s="14"/>
      <c r="AB31" s="14"/>
      <c r="AC31" s="14"/>
      <c r="AD31" s="14"/>
      <c r="AE31" s="14"/>
      <c r="AF31" s="14"/>
      <c r="AG31" s="14"/>
    </row>
    <row r="32" spans="2:37" ht="15" thickBot="1" x14ac:dyDescent="0.4">
      <c r="B32" s="55"/>
      <c r="C32" s="55"/>
      <c r="D32" s="61"/>
      <c r="E32" s="61"/>
      <c r="F32" s="55"/>
      <c r="G32" s="55"/>
      <c r="H32" s="55"/>
      <c r="I32" s="55"/>
      <c r="J32" s="55"/>
      <c r="K32" s="55"/>
      <c r="M32" s="161"/>
      <c r="N32" s="162"/>
      <c r="P32" s="166"/>
      <c r="Q32" s="162"/>
      <c r="S32" s="14"/>
      <c r="T32" s="14"/>
      <c r="U32" s="14"/>
      <c r="V32" s="14"/>
      <c r="W32" s="14"/>
      <c r="X32" s="14"/>
      <c r="Y32" s="14"/>
      <c r="Z32" s="14"/>
      <c r="AA32" s="14"/>
      <c r="AB32" s="14"/>
      <c r="AC32" s="14"/>
      <c r="AD32" s="14"/>
      <c r="AE32" s="14"/>
      <c r="AF32" s="14"/>
      <c r="AG32" s="14"/>
    </row>
    <row r="33" spans="2:33" ht="15" customHeight="1" x14ac:dyDescent="0.35">
      <c r="B33" s="104">
        <f>House!E1</f>
        <v>2</v>
      </c>
      <c r="C33" s="104"/>
      <c r="D33" s="104"/>
      <c r="E33" s="104"/>
      <c r="F33" s="104"/>
      <c r="G33" s="104"/>
      <c r="H33" s="104"/>
      <c r="I33" s="104"/>
      <c r="J33" s="104"/>
      <c r="K33" s="104"/>
      <c r="M33" s="161"/>
      <c r="N33" s="162"/>
      <c r="P33" s="166"/>
      <c r="Q33" s="162"/>
      <c r="S33" s="14"/>
      <c r="T33" s="14"/>
      <c r="U33" s="14"/>
      <c r="V33" s="14"/>
      <c r="W33" s="14"/>
      <c r="X33" s="14"/>
      <c r="Y33" s="14"/>
      <c r="Z33" s="14"/>
      <c r="AA33" s="14"/>
      <c r="AB33" s="14"/>
      <c r="AC33" s="14"/>
      <c r="AD33" s="14"/>
      <c r="AE33" s="14"/>
      <c r="AF33" s="14"/>
      <c r="AG33" s="14"/>
    </row>
    <row r="34" spans="2:33" ht="14.5" customHeight="1" x14ac:dyDescent="0.35">
      <c r="B34" s="105"/>
      <c r="C34" s="105"/>
      <c r="D34" s="105"/>
      <c r="E34" s="105"/>
      <c r="F34" s="105"/>
      <c r="G34" s="105"/>
      <c r="H34" s="105"/>
      <c r="I34" s="105"/>
      <c r="J34" s="105"/>
      <c r="K34" s="105"/>
      <c r="M34" s="163"/>
      <c r="N34" s="164"/>
      <c r="P34" s="167"/>
      <c r="Q34" s="164"/>
      <c r="S34" s="14"/>
      <c r="T34" s="14"/>
      <c r="U34" s="14"/>
      <c r="V34" s="14"/>
      <c r="W34" s="14"/>
      <c r="X34" s="14"/>
      <c r="Y34" s="14"/>
      <c r="Z34" s="14"/>
      <c r="AA34" s="14"/>
      <c r="AB34" s="14"/>
      <c r="AC34" s="14"/>
      <c r="AD34" s="14"/>
      <c r="AE34" s="14"/>
      <c r="AF34" s="14"/>
      <c r="AG34" s="14"/>
    </row>
    <row r="35" spans="2:33" ht="14.5" customHeight="1" x14ac:dyDescent="0.35">
      <c r="K35" s="71"/>
      <c r="M35" s="168" t="str">
        <f>Linkedin!B34</f>
        <v>Alfred</v>
      </c>
      <c r="N35" s="168"/>
      <c r="P35" s="168" t="str">
        <f>Linkedin!E34</f>
        <v>Auckland uni</v>
      </c>
      <c r="Q35" s="168"/>
      <c r="S35" s="14"/>
      <c r="T35" s="14"/>
      <c r="U35" s="14"/>
      <c r="V35" s="14"/>
      <c r="W35" s="14"/>
      <c r="X35" s="14"/>
      <c r="Y35" s="14"/>
      <c r="Z35" s="14"/>
      <c r="AA35" s="14"/>
      <c r="AB35" s="14"/>
      <c r="AC35" s="14"/>
      <c r="AD35" s="14"/>
      <c r="AE35" s="14"/>
      <c r="AF35" s="14"/>
      <c r="AG35" s="14"/>
    </row>
    <row r="36" spans="2:33" ht="15" customHeight="1" thickBot="1" x14ac:dyDescent="0.4">
      <c r="B36" s="91" t="s">
        <v>3</v>
      </c>
      <c r="C36" s="92"/>
      <c r="D36" s="92"/>
      <c r="E36" s="93"/>
      <c r="K36" s="71"/>
      <c r="M36" s="120"/>
      <c r="N36" s="120"/>
      <c r="O36" s="5">
        <f>Linkedin!D34</f>
        <v>0</v>
      </c>
      <c r="P36" s="120"/>
      <c r="Q36" s="120"/>
      <c r="S36" s="14"/>
      <c r="T36" s="14"/>
      <c r="U36" s="14"/>
      <c r="V36" s="14"/>
      <c r="W36" s="14"/>
      <c r="X36" s="14"/>
      <c r="Y36" s="14"/>
      <c r="Z36" s="14"/>
      <c r="AA36" s="14"/>
      <c r="AB36" s="14"/>
      <c r="AC36" s="14"/>
      <c r="AD36" s="14"/>
      <c r="AE36" s="14"/>
      <c r="AF36" s="14"/>
      <c r="AG36" s="14"/>
    </row>
    <row r="37" spans="2:33" ht="14.5" customHeight="1" thickBot="1" x14ac:dyDescent="0.4">
      <c r="B37" s="132" t="s">
        <v>4</v>
      </c>
      <c r="C37" s="133"/>
      <c r="D37" s="140">
        <f>House!F3</f>
        <v>0</v>
      </c>
      <c r="E37" s="141"/>
      <c r="K37" s="71"/>
      <c r="M37" s="92" t="str">
        <f>Linkedin!B35</f>
        <v>Summary</v>
      </c>
      <c r="N37" s="93"/>
      <c r="O37" s="5">
        <f>Linkedin!D35</f>
        <v>0</v>
      </c>
      <c r="P37" s="91" t="str">
        <f>Linkedin!E35</f>
        <v>Summary</v>
      </c>
      <c r="Q37" s="93"/>
      <c r="S37" s="14"/>
      <c r="T37" s="14"/>
      <c r="U37" s="14"/>
      <c r="V37" s="14"/>
      <c r="W37" s="14"/>
      <c r="X37" s="14"/>
      <c r="Y37" s="14"/>
      <c r="Z37" s="14"/>
      <c r="AA37" s="14"/>
      <c r="AB37" s="14"/>
      <c r="AC37" s="14"/>
      <c r="AD37" s="14"/>
      <c r="AE37" s="14"/>
      <c r="AF37" s="14"/>
      <c r="AG37" s="14"/>
    </row>
    <row r="38" spans="2:33" ht="14.5" customHeight="1" x14ac:dyDescent="0.35">
      <c r="B38" s="96" t="s">
        <v>5</v>
      </c>
      <c r="C38" s="97"/>
      <c r="D38" s="87">
        <f>House!F4</f>
        <v>0</v>
      </c>
      <c r="E38" s="136"/>
      <c r="K38" s="71"/>
      <c r="M38" s="77" t="str">
        <f>Linkedin!B36</f>
        <v>Position</v>
      </c>
      <c r="N38" s="32" t="str">
        <f>Linkedin!C36</f>
        <v>Hooker</v>
      </c>
      <c r="O38" s="5">
        <f>Linkedin!D36</f>
        <v>0</v>
      </c>
      <c r="P38" s="57" t="str">
        <f>Linkedin!E36</f>
        <v>Website</v>
      </c>
      <c r="Q38" s="63">
        <f>Linkedin!F36</f>
        <v>0</v>
      </c>
      <c r="W38" s="14"/>
      <c r="X38" s="14"/>
      <c r="Y38" s="14"/>
      <c r="Z38" s="14"/>
      <c r="AA38" s="14"/>
      <c r="AB38" s="14"/>
      <c r="AC38" s="14"/>
    </row>
    <row r="39" spans="2:33" ht="14.5" customHeight="1" x14ac:dyDescent="0.35">
      <c r="B39" s="94" t="s">
        <v>6</v>
      </c>
      <c r="C39" s="95"/>
      <c r="D39" s="85">
        <f>House!F5</f>
        <v>0</v>
      </c>
      <c r="E39" s="137"/>
      <c r="K39" s="71"/>
      <c r="M39" s="78" t="str">
        <f>Linkedin!B37</f>
        <v>Employer</v>
      </c>
      <c r="N39" s="33" t="str">
        <f>Linkedin!C37</f>
        <v>big mama</v>
      </c>
      <c r="O39" s="5">
        <f>Linkedin!D37</f>
        <v>0</v>
      </c>
      <c r="P39" s="58" t="str">
        <f>Linkedin!E37</f>
        <v>Industries</v>
      </c>
      <c r="Q39" s="33">
        <f>Linkedin!F37</f>
        <v>0</v>
      </c>
    </row>
    <row r="40" spans="2:33" ht="14.5" customHeight="1" x14ac:dyDescent="0.35">
      <c r="B40" s="96" t="s">
        <v>7</v>
      </c>
      <c r="C40" s="97"/>
      <c r="D40" s="87">
        <f>House!F6</f>
        <v>0</v>
      </c>
      <c r="E40" s="136"/>
      <c r="K40" s="71"/>
      <c r="M40" s="79" t="str">
        <f>Linkedin!B38</f>
        <v>Website</v>
      </c>
      <c r="N40" s="63" t="str">
        <f>Linkedin!C38</f>
        <v>XXX.XXX</v>
      </c>
      <c r="O40" s="5">
        <f>Linkedin!D38</f>
        <v>0</v>
      </c>
      <c r="P40" s="57" t="str">
        <f>Linkedin!E38</f>
        <v>Size</v>
      </c>
      <c r="Q40" s="34">
        <f>Linkedin!F38</f>
        <v>0</v>
      </c>
      <c r="AB40" s="14"/>
      <c r="AC40" s="14"/>
    </row>
    <row r="41" spans="2:33" ht="14.5" customHeight="1" x14ac:dyDescent="0.35">
      <c r="B41" s="94" t="s">
        <v>10</v>
      </c>
      <c r="C41" s="95"/>
      <c r="D41" s="85">
        <f>House!F7</f>
        <v>0</v>
      </c>
      <c r="E41" s="137"/>
      <c r="K41" s="71"/>
      <c r="M41" s="78" t="str">
        <f>Linkedin!B39</f>
        <v>Education</v>
      </c>
      <c r="N41" s="33" t="str">
        <f>Linkedin!C39</f>
        <v>PhD AuT</v>
      </c>
      <c r="O41" s="5">
        <f>Linkedin!D39</f>
        <v>0</v>
      </c>
      <c r="P41" s="58" t="str">
        <f>Linkedin!E39</f>
        <v>Founded</v>
      </c>
      <c r="Q41" s="35">
        <f>Linkedin!F39</f>
        <v>0</v>
      </c>
      <c r="V41" s="14"/>
      <c r="W41" s="14"/>
      <c r="X41" s="14"/>
      <c r="Y41" s="14"/>
      <c r="Z41" s="14"/>
      <c r="AA41" s="14"/>
      <c r="AB41" s="14"/>
      <c r="AC41" s="14"/>
    </row>
    <row r="42" spans="2:33" ht="14.5" customHeight="1" x14ac:dyDescent="0.35">
      <c r="B42" s="96" t="s">
        <v>13</v>
      </c>
      <c r="C42" s="97"/>
      <c r="D42" s="138">
        <f>House!F8</f>
        <v>0</v>
      </c>
      <c r="E42" s="136"/>
      <c r="K42" s="71"/>
      <c r="M42" s="121" t="str">
        <f>Linkedin!B40</f>
        <v>link</v>
      </c>
      <c r="N42" s="123">
        <f>Linkedin!C40</f>
        <v>0</v>
      </c>
      <c r="O42" s="5">
        <f>Linkedin!D40</f>
        <v>0</v>
      </c>
      <c r="P42" s="125" t="str">
        <f>Linkedin!E40</f>
        <v>link</v>
      </c>
      <c r="Q42" s="123">
        <f>Linkedin!F40</f>
        <v>0</v>
      </c>
      <c r="V42" s="14"/>
      <c r="W42" s="156" t="s">
        <v>573</v>
      </c>
      <c r="X42" s="156"/>
      <c r="Y42" s="156"/>
      <c r="Z42" s="156"/>
      <c r="AA42" s="156"/>
      <c r="AB42" s="156"/>
      <c r="AC42" s="156"/>
      <c r="AD42" s="156"/>
    </row>
    <row r="43" spans="2:33" ht="14.5" customHeight="1" x14ac:dyDescent="0.35">
      <c r="B43" s="100" t="s">
        <v>14</v>
      </c>
      <c r="C43" s="101"/>
      <c r="D43" s="89">
        <f>House!F9</f>
        <v>0</v>
      </c>
      <c r="E43" s="139"/>
      <c r="K43" s="71"/>
      <c r="M43" s="121"/>
      <c r="N43" s="123"/>
      <c r="O43" s="5">
        <f>Linkedin!D41</f>
        <v>0</v>
      </c>
      <c r="P43" s="125"/>
      <c r="Q43" s="123"/>
      <c r="V43" s="14"/>
      <c r="W43" s="156"/>
      <c r="X43" s="156"/>
      <c r="Y43" s="156"/>
      <c r="Z43" s="156"/>
      <c r="AA43" s="156"/>
      <c r="AB43" s="156"/>
      <c r="AC43" s="156"/>
      <c r="AD43" s="156"/>
    </row>
    <row r="44" spans="2:33" ht="14.5" customHeight="1" x14ac:dyDescent="0.35">
      <c r="K44" s="71"/>
      <c r="M44" s="121"/>
      <c r="N44" s="123"/>
      <c r="O44" s="5">
        <f>Linkedin!D42</f>
        <v>0</v>
      </c>
      <c r="P44" s="125"/>
      <c r="Q44" s="123"/>
      <c r="V44" s="14"/>
      <c r="W44" s="156"/>
      <c r="X44" s="156"/>
      <c r="Y44" s="156"/>
      <c r="Z44" s="156"/>
      <c r="AA44" s="156"/>
      <c r="AB44" s="156"/>
      <c r="AC44" s="156"/>
      <c r="AD44" s="156"/>
    </row>
    <row r="45" spans="2:33" ht="15" customHeight="1" thickBot="1" x14ac:dyDescent="0.4">
      <c r="B45" s="112" t="s">
        <v>5</v>
      </c>
      <c r="C45" s="113"/>
      <c r="D45" s="113"/>
      <c r="E45" s="114"/>
      <c r="K45" s="71"/>
      <c r="M45" s="122"/>
      <c r="N45" s="124"/>
      <c r="O45" s="5">
        <f>Linkedin!D43</f>
        <v>0</v>
      </c>
      <c r="P45" s="126"/>
      <c r="Q45" s="124"/>
      <c r="V45" s="14"/>
      <c r="W45" s="156"/>
      <c r="X45" s="156"/>
      <c r="Y45" s="156"/>
      <c r="Z45" s="156"/>
      <c r="AA45" s="156"/>
      <c r="AB45" s="156"/>
      <c r="AC45" s="156"/>
      <c r="AD45" s="156"/>
    </row>
    <row r="46" spans="2:33" ht="14.5" customHeight="1" x14ac:dyDescent="0.35">
      <c r="B46" s="81" t="s">
        <v>15</v>
      </c>
      <c r="C46" s="82"/>
      <c r="D46" s="118">
        <f>House!F12</f>
        <v>0</v>
      </c>
      <c r="E46" s="142"/>
      <c r="K46" s="71"/>
      <c r="M46" s="14">
        <f>Linkedin!B44</f>
        <v>0</v>
      </c>
      <c r="N46" s="70">
        <f>Linkedin!C44</f>
        <v>0</v>
      </c>
      <c r="O46" s="5">
        <f>Linkedin!D44</f>
        <v>0</v>
      </c>
      <c r="P46" s="14">
        <f>Linkedin!E44</f>
        <v>0</v>
      </c>
      <c r="Q46" s="70">
        <f>Linkedin!F44</f>
        <v>0</v>
      </c>
      <c r="V46" s="14"/>
      <c r="W46" s="156"/>
      <c r="X46" s="156"/>
      <c r="Y46" s="156"/>
      <c r="Z46" s="156"/>
      <c r="AA46" s="156"/>
      <c r="AB46" s="156"/>
      <c r="AC46" s="156"/>
      <c r="AD46" s="156"/>
    </row>
    <row r="47" spans="2:33" ht="14.5" customHeight="1" thickBot="1" x14ac:dyDescent="0.4">
      <c r="B47" s="98" t="s">
        <v>16</v>
      </c>
      <c r="C47" s="99"/>
      <c r="D47" s="85">
        <f>House!F13</f>
        <v>0</v>
      </c>
      <c r="E47" s="86"/>
      <c r="K47" s="71"/>
      <c r="M47" s="157" t="str">
        <f>Linkedin!B45</f>
        <v>About</v>
      </c>
      <c r="N47" s="114"/>
      <c r="O47" s="5">
        <f>Linkedin!D45</f>
        <v>0</v>
      </c>
      <c r="P47" s="158" t="str">
        <f>Linkedin!E45</f>
        <v>About</v>
      </c>
      <c r="Q47" s="114"/>
      <c r="V47" s="14"/>
      <c r="W47" s="156"/>
      <c r="X47" s="156"/>
      <c r="Y47" s="156"/>
      <c r="Z47" s="156"/>
      <c r="AA47" s="156"/>
      <c r="AB47" s="156"/>
      <c r="AC47" s="156"/>
      <c r="AD47" s="156"/>
    </row>
    <row r="48" spans="2:33" ht="14.5" customHeight="1" x14ac:dyDescent="0.35">
      <c r="B48" s="81" t="s">
        <v>17</v>
      </c>
      <c r="C48" s="82"/>
      <c r="D48" s="87">
        <f>House!F14</f>
        <v>0</v>
      </c>
      <c r="E48" s="88"/>
      <c r="K48" s="71"/>
      <c r="M48" s="159" t="str">
        <f>Linkedin!B46</f>
        <v>test</v>
      </c>
      <c r="N48" s="160"/>
      <c r="O48" s="5">
        <f>Linkedin!D46</f>
        <v>0</v>
      </c>
      <c r="P48" s="165">
        <f>Linkedin!E46</f>
        <v>0</v>
      </c>
      <c r="Q48" s="160"/>
      <c r="V48" s="14"/>
      <c r="W48" s="156"/>
      <c r="X48" s="156"/>
      <c r="Y48" s="156"/>
      <c r="Z48" s="156"/>
      <c r="AA48" s="156"/>
      <c r="AB48" s="156"/>
      <c r="AC48" s="156"/>
      <c r="AD48" s="156"/>
    </row>
    <row r="49" spans="2:30" ht="14.5" customHeight="1" x14ac:dyDescent="0.35">
      <c r="B49" s="98" t="s">
        <v>18</v>
      </c>
      <c r="C49" s="99"/>
      <c r="D49" s="85">
        <f>House!F15</f>
        <v>0</v>
      </c>
      <c r="E49" s="86"/>
      <c r="K49" s="71"/>
      <c r="M49" s="161"/>
      <c r="N49" s="162"/>
      <c r="O49" s="5">
        <f>Linkedin!D47</f>
        <v>0</v>
      </c>
      <c r="P49" s="166"/>
      <c r="Q49" s="162"/>
      <c r="V49" s="14"/>
      <c r="W49" s="156"/>
      <c r="X49" s="156"/>
      <c r="Y49" s="156"/>
      <c r="Z49" s="156"/>
      <c r="AA49" s="156"/>
      <c r="AB49" s="156"/>
      <c r="AC49" s="156"/>
      <c r="AD49" s="156"/>
    </row>
    <row r="50" spans="2:30" ht="14.5" customHeight="1" x14ac:dyDescent="0.35">
      <c r="B50" s="81" t="s">
        <v>19</v>
      </c>
      <c r="C50" s="82"/>
      <c r="D50" s="87">
        <f>House!F16</f>
        <v>0</v>
      </c>
      <c r="E50" s="88"/>
      <c r="K50" s="71"/>
      <c r="M50" s="161"/>
      <c r="N50" s="162"/>
      <c r="O50" s="5">
        <f>Linkedin!D48</f>
        <v>0</v>
      </c>
      <c r="P50" s="166"/>
      <c r="Q50" s="162"/>
      <c r="V50" s="14"/>
      <c r="W50" s="156"/>
      <c r="X50" s="156"/>
      <c r="Y50" s="156"/>
      <c r="Z50" s="156"/>
      <c r="AA50" s="156"/>
      <c r="AB50" s="156"/>
      <c r="AC50" s="156"/>
      <c r="AD50" s="156"/>
    </row>
    <row r="51" spans="2:30" ht="14.5" customHeight="1" x14ac:dyDescent="0.35">
      <c r="B51" s="98" t="s">
        <v>21</v>
      </c>
      <c r="C51" s="99"/>
      <c r="D51" s="85">
        <f>House!F17</f>
        <v>0</v>
      </c>
      <c r="E51" s="86"/>
      <c r="K51" s="71"/>
      <c r="M51" s="161"/>
      <c r="N51" s="162"/>
      <c r="O51" s="5">
        <f>Linkedin!D49</f>
        <v>0</v>
      </c>
      <c r="P51" s="166"/>
      <c r="Q51" s="162"/>
      <c r="V51" s="14"/>
      <c r="W51" s="156"/>
      <c r="X51" s="156"/>
      <c r="Y51" s="156"/>
      <c r="Z51" s="156"/>
      <c r="AA51" s="156"/>
      <c r="AB51" s="156"/>
      <c r="AC51" s="156"/>
      <c r="AD51" s="156"/>
    </row>
    <row r="52" spans="2:30" ht="14.5" customHeight="1" x14ac:dyDescent="0.35">
      <c r="B52" s="81" t="s">
        <v>22</v>
      </c>
      <c r="C52" s="82"/>
      <c r="D52" s="87">
        <f>House!F18</f>
        <v>0</v>
      </c>
      <c r="E52" s="88"/>
      <c r="K52" s="71"/>
      <c r="M52" s="161"/>
      <c r="N52" s="162"/>
      <c r="O52" s="5">
        <f>Linkedin!D50</f>
        <v>0</v>
      </c>
      <c r="P52" s="166"/>
      <c r="Q52" s="162"/>
      <c r="V52" s="14"/>
      <c r="W52" s="156"/>
      <c r="X52" s="156"/>
      <c r="Y52" s="156"/>
      <c r="Z52" s="156"/>
      <c r="AA52" s="156"/>
      <c r="AB52" s="156"/>
      <c r="AC52" s="156"/>
      <c r="AD52" s="156"/>
    </row>
    <row r="53" spans="2:30" ht="14.5" customHeight="1" x14ac:dyDescent="0.35">
      <c r="B53" s="83" t="s">
        <v>23</v>
      </c>
      <c r="C53" s="84"/>
      <c r="D53" s="89">
        <f>House!F19</f>
        <v>0</v>
      </c>
      <c r="E53" s="90"/>
      <c r="K53" s="71"/>
      <c r="M53" s="161"/>
      <c r="N53" s="162"/>
      <c r="O53" s="5">
        <f>Linkedin!D51</f>
        <v>0</v>
      </c>
      <c r="P53" s="166"/>
      <c r="Q53" s="162"/>
      <c r="V53" s="14"/>
      <c r="W53" s="156"/>
      <c r="X53" s="156"/>
      <c r="Y53" s="156"/>
      <c r="Z53" s="156"/>
      <c r="AA53" s="156"/>
      <c r="AB53" s="156"/>
      <c r="AC53" s="156"/>
      <c r="AD53" s="156"/>
    </row>
    <row r="54" spans="2:30" ht="14.5" customHeight="1" x14ac:dyDescent="0.35">
      <c r="K54" s="71"/>
      <c r="M54" s="161"/>
      <c r="N54" s="162"/>
      <c r="O54" s="5">
        <f>Linkedin!D52</f>
        <v>0</v>
      </c>
      <c r="P54" s="166"/>
      <c r="Q54" s="162"/>
      <c r="V54" s="14"/>
      <c r="W54" s="156"/>
      <c r="X54" s="156"/>
      <c r="Y54" s="156"/>
      <c r="Z54" s="156"/>
      <c r="AA54" s="156"/>
      <c r="AB54" s="156"/>
      <c r="AC54" s="156"/>
      <c r="AD54" s="156"/>
    </row>
    <row r="55" spans="2:30" ht="15" customHeight="1" thickBot="1" x14ac:dyDescent="0.4">
      <c r="B55" s="112" t="s">
        <v>24</v>
      </c>
      <c r="C55" s="113"/>
      <c r="D55" s="113"/>
      <c r="E55" s="114"/>
      <c r="K55" s="71"/>
      <c r="M55" s="161"/>
      <c r="N55" s="162"/>
      <c r="O55" s="5">
        <f>Linkedin!D53</f>
        <v>0</v>
      </c>
      <c r="P55" s="166"/>
      <c r="Q55" s="162"/>
      <c r="V55" s="14"/>
      <c r="W55" s="156"/>
      <c r="X55" s="156"/>
      <c r="Y55" s="156"/>
      <c r="Z55" s="156"/>
      <c r="AA55" s="156"/>
      <c r="AB55" s="156"/>
      <c r="AC55" s="156"/>
      <c r="AD55" s="156"/>
    </row>
    <row r="56" spans="2:30" ht="14.5" customHeight="1" x14ac:dyDescent="0.35">
      <c r="B56" s="143">
        <f>House!E22</f>
        <v>0</v>
      </c>
      <c r="C56" s="144"/>
      <c r="D56" s="144"/>
      <c r="E56" s="145"/>
      <c r="K56" s="71"/>
      <c r="M56" s="161"/>
      <c r="N56" s="162"/>
      <c r="O56" s="5">
        <f>Linkedin!D54</f>
        <v>0</v>
      </c>
      <c r="P56" s="166"/>
      <c r="Q56" s="162"/>
      <c r="V56" s="14"/>
      <c r="W56" s="156"/>
      <c r="X56" s="156"/>
      <c r="Y56" s="156"/>
      <c r="Z56" s="156"/>
      <c r="AA56" s="156"/>
      <c r="AB56" s="156"/>
      <c r="AC56" s="156"/>
      <c r="AD56" s="156"/>
    </row>
    <row r="57" spans="2:30" ht="14.5" customHeight="1" x14ac:dyDescent="0.35">
      <c r="B57" s="146">
        <f>House!E23</f>
        <v>0</v>
      </c>
      <c r="C57" s="147"/>
      <c r="D57" s="147"/>
      <c r="E57" s="148"/>
      <c r="K57" s="71"/>
      <c r="M57" s="161"/>
      <c r="N57" s="162"/>
      <c r="O57" s="5">
        <f>Linkedin!D55</f>
        <v>0</v>
      </c>
      <c r="P57" s="166"/>
      <c r="Q57" s="162"/>
      <c r="V57" s="14"/>
      <c r="W57" s="14"/>
      <c r="X57" s="14"/>
      <c r="Y57" s="14"/>
      <c r="Z57" s="14"/>
      <c r="AA57" s="14"/>
      <c r="AB57" s="14"/>
      <c r="AC57" s="14"/>
    </row>
    <row r="58" spans="2:30" ht="14.5" customHeight="1" x14ac:dyDescent="0.35">
      <c r="B58" s="143">
        <f>House!E24</f>
        <v>0</v>
      </c>
      <c r="C58" s="144"/>
      <c r="D58" s="144"/>
      <c r="E58" s="145"/>
      <c r="K58" s="71"/>
      <c r="M58" s="161"/>
      <c r="N58" s="162"/>
      <c r="O58" s="5">
        <f>Linkedin!D56</f>
        <v>0</v>
      </c>
      <c r="P58" s="166"/>
      <c r="Q58" s="162"/>
      <c r="V58" s="14"/>
      <c r="W58" s="14"/>
      <c r="X58" s="14"/>
      <c r="Y58" s="14"/>
      <c r="Z58" s="14"/>
      <c r="AA58" s="14"/>
      <c r="AB58" s="14"/>
      <c r="AC58" s="14"/>
    </row>
    <row r="59" spans="2:30" ht="14.5" customHeight="1" x14ac:dyDescent="0.35">
      <c r="B59" s="146">
        <f>House!E25</f>
        <v>0</v>
      </c>
      <c r="C59" s="147"/>
      <c r="D59" s="147"/>
      <c r="E59" s="148"/>
      <c r="K59" s="71"/>
      <c r="M59" s="161"/>
      <c r="N59" s="162"/>
      <c r="O59" s="5">
        <f>Linkedin!D57</f>
        <v>0</v>
      </c>
      <c r="P59" s="166"/>
      <c r="Q59" s="162"/>
      <c r="V59" s="14"/>
      <c r="W59" s="14"/>
      <c r="X59" s="14"/>
      <c r="Y59" s="14"/>
      <c r="Z59" s="14"/>
      <c r="AA59" s="14"/>
      <c r="AB59" s="14"/>
      <c r="AC59" s="14"/>
    </row>
    <row r="60" spans="2:30" ht="14.5" customHeight="1" x14ac:dyDescent="0.35">
      <c r="B60" s="149">
        <f>House!E26</f>
        <v>0</v>
      </c>
      <c r="C60" s="150"/>
      <c r="D60" s="150"/>
      <c r="E60" s="151"/>
      <c r="K60" s="71"/>
      <c r="M60" s="161"/>
      <c r="N60" s="162"/>
      <c r="O60" s="5">
        <f>Linkedin!D58</f>
        <v>0</v>
      </c>
      <c r="P60" s="166"/>
      <c r="Q60" s="162"/>
      <c r="V60" s="14"/>
      <c r="W60" s="14"/>
      <c r="X60" s="14"/>
      <c r="Y60" s="14"/>
      <c r="Z60" s="14"/>
      <c r="AA60" s="14"/>
      <c r="AB60" s="14"/>
      <c r="AC60" s="14"/>
    </row>
    <row r="61" spans="2:30" ht="14.5" customHeight="1" x14ac:dyDescent="0.35">
      <c r="K61" s="71"/>
      <c r="M61" s="161"/>
      <c r="N61" s="162"/>
      <c r="O61" s="5">
        <f>Linkedin!D59</f>
        <v>0</v>
      </c>
      <c r="P61" s="166"/>
      <c r="Q61" s="162"/>
      <c r="V61" s="14"/>
      <c r="W61" s="14"/>
      <c r="X61" s="14"/>
      <c r="Y61" s="14"/>
      <c r="Z61" s="14"/>
      <c r="AA61" s="14"/>
      <c r="AB61" s="14"/>
      <c r="AC61" s="14"/>
    </row>
    <row r="62" spans="2:30" ht="15" customHeight="1" thickBot="1" x14ac:dyDescent="0.4">
      <c r="B62" s="6"/>
      <c r="C62" s="6"/>
      <c r="D62" s="62"/>
      <c r="E62" s="62"/>
      <c r="F62" s="6"/>
      <c r="G62" s="6"/>
      <c r="H62" s="6"/>
      <c r="I62" s="6"/>
      <c r="J62" s="6"/>
      <c r="K62" s="6"/>
      <c r="M62" s="161"/>
      <c r="N62" s="162"/>
      <c r="O62" s="5">
        <f>Linkedin!D60</f>
        <v>0</v>
      </c>
      <c r="P62" s="166"/>
      <c r="Q62" s="162"/>
      <c r="V62" s="14"/>
      <c r="W62" s="14"/>
      <c r="X62" s="14"/>
      <c r="Y62" s="14"/>
      <c r="Z62" s="14"/>
      <c r="AA62" s="14"/>
      <c r="AB62" s="14"/>
      <c r="AC62" s="14"/>
    </row>
    <row r="63" spans="2:30" ht="14.5" customHeight="1" x14ac:dyDescent="0.35">
      <c r="B63" s="104">
        <f>House!H1</f>
        <v>3</v>
      </c>
      <c r="C63" s="104"/>
      <c r="D63" s="104"/>
      <c r="E63" s="104"/>
      <c r="F63" s="104"/>
      <c r="G63" s="104"/>
      <c r="H63" s="104"/>
      <c r="I63" s="104"/>
      <c r="J63" s="104"/>
      <c r="K63" s="104"/>
      <c r="M63" s="161"/>
      <c r="N63" s="162"/>
      <c r="O63" s="5">
        <f>Linkedin!D61</f>
        <v>0</v>
      </c>
      <c r="P63" s="166"/>
      <c r="Q63" s="162"/>
      <c r="V63" s="14"/>
      <c r="W63" s="14"/>
      <c r="X63" s="14"/>
      <c r="Y63" s="14"/>
      <c r="Z63" s="14"/>
      <c r="AA63" s="14"/>
      <c r="AB63" s="14"/>
      <c r="AC63" s="14"/>
    </row>
    <row r="64" spans="2:30" ht="14.5" customHeight="1" x14ac:dyDescent="0.35">
      <c r="B64" s="105"/>
      <c r="C64" s="105"/>
      <c r="D64" s="105"/>
      <c r="E64" s="105"/>
      <c r="F64" s="105"/>
      <c r="G64" s="105"/>
      <c r="H64" s="105"/>
      <c r="I64" s="105"/>
      <c r="J64" s="105"/>
      <c r="K64" s="105"/>
      <c r="M64" s="161"/>
      <c r="N64" s="162"/>
      <c r="O64" s="5">
        <f>Linkedin!D62</f>
        <v>0</v>
      </c>
      <c r="P64" s="166"/>
      <c r="Q64" s="162"/>
      <c r="V64" s="14"/>
      <c r="W64" s="14"/>
      <c r="X64" s="14"/>
      <c r="Y64" s="14"/>
      <c r="Z64" s="14"/>
      <c r="AA64" s="14"/>
      <c r="AB64" s="14"/>
      <c r="AC64" s="14"/>
    </row>
    <row r="65" spans="2:29" ht="14.5" customHeight="1" x14ac:dyDescent="0.35">
      <c r="K65" s="71"/>
      <c r="M65" s="161"/>
      <c r="N65" s="162"/>
      <c r="O65" s="5">
        <f>Linkedin!D63</f>
        <v>0</v>
      </c>
      <c r="P65" s="166"/>
      <c r="Q65" s="162"/>
      <c r="V65" s="14"/>
      <c r="W65" s="14"/>
      <c r="X65" s="14"/>
      <c r="Y65" s="14"/>
      <c r="Z65" s="14"/>
      <c r="AA65" s="14"/>
      <c r="AB65" s="14"/>
      <c r="AC65" s="14"/>
    </row>
    <row r="66" spans="2:29" ht="15" customHeight="1" thickBot="1" x14ac:dyDescent="0.4">
      <c r="B66" s="91" t="s">
        <v>3</v>
      </c>
      <c r="C66" s="92"/>
      <c r="D66" s="92"/>
      <c r="E66" s="93"/>
      <c r="K66" s="71"/>
      <c r="M66" s="161"/>
      <c r="N66" s="162"/>
      <c r="O66" s="5">
        <f>Linkedin!D64</f>
        <v>0</v>
      </c>
      <c r="P66" s="166"/>
      <c r="Q66" s="162"/>
      <c r="V66" s="14"/>
      <c r="W66" s="14"/>
      <c r="X66" s="14"/>
      <c r="Y66" s="14"/>
      <c r="Z66" s="14"/>
      <c r="AA66" s="14"/>
      <c r="AB66" s="14"/>
      <c r="AC66" s="14"/>
    </row>
    <row r="67" spans="2:29" ht="14.5" customHeight="1" x14ac:dyDescent="0.35">
      <c r="B67" s="132" t="s">
        <v>4</v>
      </c>
      <c r="C67" s="133"/>
      <c r="D67" s="140">
        <f>House!I3</f>
        <v>0</v>
      </c>
      <c r="E67" s="141"/>
      <c r="K67" s="71"/>
      <c r="M67" s="163"/>
      <c r="N67" s="164"/>
      <c r="O67" s="5">
        <f>Linkedin!D65</f>
        <v>0</v>
      </c>
      <c r="P67" s="167"/>
      <c r="Q67" s="164"/>
      <c r="V67" s="14"/>
      <c r="W67" s="14"/>
      <c r="X67" s="14"/>
      <c r="Y67" s="14"/>
      <c r="Z67" s="14"/>
      <c r="AA67" s="14"/>
      <c r="AB67" s="14"/>
      <c r="AC67" s="14"/>
    </row>
    <row r="68" spans="2:29" ht="14.5" customHeight="1" x14ac:dyDescent="0.35">
      <c r="B68" s="96" t="s">
        <v>5</v>
      </c>
      <c r="C68" s="97"/>
      <c r="D68" s="138">
        <f>House!I4</f>
        <v>0</v>
      </c>
      <c r="E68" s="136"/>
      <c r="K68" s="71"/>
      <c r="M68" s="168" t="str">
        <f>Linkedin!B67</f>
        <v>Etienne Naude</v>
      </c>
      <c r="N68" s="168"/>
      <c r="P68" s="168" t="str">
        <f>Linkedin!E67</f>
        <v>Auckland uni</v>
      </c>
      <c r="Q68" s="168"/>
      <c r="V68" s="14"/>
      <c r="W68" s="14"/>
      <c r="X68" s="14"/>
      <c r="Y68" s="14"/>
      <c r="Z68" s="14"/>
      <c r="AA68" s="14"/>
      <c r="AB68" s="14"/>
      <c r="AC68" s="14"/>
    </row>
    <row r="69" spans="2:29" ht="14.5" customHeight="1" x14ac:dyDescent="0.35">
      <c r="B69" s="94" t="s">
        <v>6</v>
      </c>
      <c r="C69" s="95"/>
      <c r="D69" s="152">
        <f>House!I5</f>
        <v>0</v>
      </c>
      <c r="E69" s="137"/>
      <c r="K69" s="71"/>
      <c r="M69" s="120"/>
      <c r="N69" s="120"/>
      <c r="O69" s="5">
        <f>Linkedin!D67</f>
        <v>0</v>
      </c>
      <c r="P69" s="120"/>
      <c r="Q69" s="120"/>
    </row>
    <row r="70" spans="2:29" ht="14.5" customHeight="1" thickBot="1" x14ac:dyDescent="0.4">
      <c r="B70" s="96" t="s">
        <v>7</v>
      </c>
      <c r="C70" s="97"/>
      <c r="D70" s="138">
        <f>House!I6</f>
        <v>0</v>
      </c>
      <c r="E70" s="136"/>
      <c r="K70" s="71"/>
      <c r="M70" s="92" t="str">
        <f>Linkedin!B68</f>
        <v>Summary</v>
      </c>
      <c r="N70" s="93"/>
      <c r="O70" s="5">
        <f>Linkedin!D68</f>
        <v>0</v>
      </c>
      <c r="P70" s="91" t="str">
        <f>Linkedin!E68</f>
        <v>Summary</v>
      </c>
      <c r="Q70" s="93"/>
    </row>
    <row r="71" spans="2:29" ht="14.5" customHeight="1" x14ac:dyDescent="0.35">
      <c r="B71" s="94" t="s">
        <v>10</v>
      </c>
      <c r="C71" s="95"/>
      <c r="D71" s="152">
        <f>House!I7</f>
        <v>0</v>
      </c>
      <c r="E71" s="137"/>
      <c r="K71" s="71"/>
      <c r="M71" s="77" t="str">
        <f>Linkedin!B69</f>
        <v>Position</v>
      </c>
      <c r="N71" s="32" t="str">
        <f>Linkedin!C69</f>
        <v>Creative techologist</v>
      </c>
      <c r="O71" s="5">
        <f>Linkedin!D69</f>
        <v>0</v>
      </c>
      <c r="P71" s="57" t="str">
        <f>Linkedin!E69</f>
        <v>Website</v>
      </c>
      <c r="Q71" s="63" t="str">
        <f>Linkedin!F69</f>
        <v>http://www.auckland.ac.nz/</v>
      </c>
    </row>
    <row r="72" spans="2:29" ht="14.5" customHeight="1" x14ac:dyDescent="0.35">
      <c r="B72" s="96" t="s">
        <v>13</v>
      </c>
      <c r="C72" s="97"/>
      <c r="D72" s="138">
        <f>House!I8</f>
        <v>0</v>
      </c>
      <c r="E72" s="136"/>
      <c r="K72" s="71"/>
      <c r="M72" s="78" t="str">
        <f>Linkedin!B70</f>
        <v>Employer</v>
      </c>
      <c r="N72" s="33" t="str">
        <f>Linkedin!C70</f>
        <v>The University of Auckland</v>
      </c>
      <c r="O72" s="5">
        <f>Linkedin!D70</f>
        <v>0</v>
      </c>
      <c r="P72" s="58" t="str">
        <f>Linkedin!E70</f>
        <v>Industries</v>
      </c>
      <c r="Q72" s="33" t="str">
        <f>Linkedin!F70</f>
        <v>Higher Education</v>
      </c>
    </row>
    <row r="73" spans="2:29" ht="14.5" customHeight="1" x14ac:dyDescent="0.35">
      <c r="B73" s="100" t="s">
        <v>14</v>
      </c>
      <c r="C73" s="101"/>
      <c r="D73" s="153">
        <f>House!I9</f>
        <v>0</v>
      </c>
      <c r="E73" s="139"/>
      <c r="K73" s="71"/>
      <c r="M73" s="79" t="str">
        <f>Linkedin!B71</f>
        <v>Website</v>
      </c>
      <c r="N73" s="63" t="str">
        <f>Linkedin!C71</f>
        <v>www.etinaude.tk</v>
      </c>
      <c r="O73" s="5">
        <f>Linkedin!D71</f>
        <v>0</v>
      </c>
      <c r="P73" s="57" t="str">
        <f>Linkedin!E71</f>
        <v>Size</v>
      </c>
      <c r="Q73" s="34" t="str">
        <f>Linkedin!F71</f>
        <v xml:space="preserve">1001-5000 </v>
      </c>
    </row>
    <row r="74" spans="2:29" x14ac:dyDescent="0.35">
      <c r="K74" s="71"/>
      <c r="M74" s="78" t="str">
        <f>Linkedin!B72</f>
        <v>Education</v>
      </c>
      <c r="N74" s="33" t="str">
        <f>Linkedin!C72</f>
        <v>BadvSci(hons) Computer Sciece</v>
      </c>
      <c r="O74" s="5">
        <f>Linkedin!D72</f>
        <v>0</v>
      </c>
      <c r="P74" s="58" t="str">
        <f>Linkedin!E72</f>
        <v>Founded</v>
      </c>
      <c r="Q74" s="35">
        <f>Linkedin!F72</f>
        <v>1883</v>
      </c>
    </row>
    <row r="75" spans="2:29" ht="15" thickBot="1" x14ac:dyDescent="0.4">
      <c r="B75" s="112" t="s">
        <v>5</v>
      </c>
      <c r="C75" s="113"/>
      <c r="D75" s="113"/>
      <c r="E75" s="114"/>
      <c r="K75" s="71"/>
      <c r="M75" s="121" t="str">
        <f>Linkedin!B73</f>
        <v>link</v>
      </c>
      <c r="N75" s="123" t="str">
        <f>Linkedin!C73</f>
        <v xml:space="preserve">https://www.linkedin.com/in/etienne-naude-880b51198/ </v>
      </c>
      <c r="O75" s="5">
        <f>Linkedin!D73</f>
        <v>0</v>
      </c>
      <c r="P75" s="125" t="str">
        <f>Linkedin!E73</f>
        <v>link</v>
      </c>
      <c r="Q75" s="123" t="str">
        <f>Linkedin!F73</f>
        <v xml:space="preserve">https://www.linkedin.com/school/the-university-of-auckland/?trk=public_profile_topcard_school </v>
      </c>
    </row>
    <row r="76" spans="2:29" x14ac:dyDescent="0.35">
      <c r="B76" s="81" t="s">
        <v>15</v>
      </c>
      <c r="C76" s="82"/>
      <c r="D76" s="87">
        <f>House!I12</f>
        <v>0</v>
      </c>
      <c r="E76" s="136"/>
      <c r="K76" s="71"/>
      <c r="M76" s="121"/>
      <c r="N76" s="123"/>
      <c r="O76" s="5">
        <f>Linkedin!D74</f>
        <v>0</v>
      </c>
      <c r="P76" s="125"/>
      <c r="Q76" s="123"/>
    </row>
    <row r="77" spans="2:29" x14ac:dyDescent="0.35">
      <c r="B77" s="98" t="s">
        <v>16</v>
      </c>
      <c r="C77" s="99"/>
      <c r="D77" s="152">
        <f>House!I13</f>
        <v>0</v>
      </c>
      <c r="E77" s="137"/>
      <c r="K77" s="71"/>
      <c r="M77" s="121"/>
      <c r="N77" s="123"/>
      <c r="O77" s="5">
        <f>Linkedin!D75</f>
        <v>0</v>
      </c>
      <c r="P77" s="125"/>
      <c r="Q77" s="123"/>
    </row>
    <row r="78" spans="2:29" x14ac:dyDescent="0.35">
      <c r="B78" s="81" t="s">
        <v>17</v>
      </c>
      <c r="C78" s="82"/>
      <c r="D78" s="138">
        <f>House!I14</f>
        <v>0</v>
      </c>
      <c r="E78" s="136"/>
      <c r="K78" s="71"/>
      <c r="M78" s="122"/>
      <c r="N78" s="124"/>
      <c r="O78" s="5">
        <f>Linkedin!D76</f>
        <v>0</v>
      </c>
      <c r="P78" s="126"/>
      <c r="Q78" s="124"/>
    </row>
    <row r="79" spans="2:29" x14ac:dyDescent="0.35">
      <c r="B79" s="98" t="s">
        <v>18</v>
      </c>
      <c r="C79" s="99"/>
      <c r="D79" s="152">
        <f>House!I15</f>
        <v>0</v>
      </c>
      <c r="E79" s="137"/>
      <c r="K79" s="71"/>
      <c r="M79" s="14">
        <f>Linkedin!B77</f>
        <v>0</v>
      </c>
      <c r="N79" s="70">
        <f>Linkedin!C77</f>
        <v>0</v>
      </c>
      <c r="O79" s="5">
        <f>Linkedin!D77</f>
        <v>0</v>
      </c>
      <c r="P79" s="14">
        <f>Linkedin!E77</f>
        <v>0</v>
      </c>
      <c r="Q79" s="70">
        <f>Linkedin!F77</f>
        <v>0</v>
      </c>
    </row>
    <row r="80" spans="2:29" ht="15" thickBot="1" x14ac:dyDescent="0.4">
      <c r="B80" s="81" t="s">
        <v>19</v>
      </c>
      <c r="C80" s="82"/>
      <c r="D80" s="138">
        <f>House!I16</f>
        <v>0</v>
      </c>
      <c r="E80" s="136"/>
      <c r="K80" s="71"/>
      <c r="M80" s="157" t="str">
        <f>Linkedin!B78</f>
        <v>About</v>
      </c>
      <c r="N80" s="114"/>
      <c r="O80" s="5">
        <f>Linkedin!D78</f>
        <v>0</v>
      </c>
      <c r="P80" s="158" t="str">
        <f>Linkedin!E78</f>
        <v>About</v>
      </c>
      <c r="Q80" s="114"/>
    </row>
    <row r="81" spans="2:17" x14ac:dyDescent="0.35">
      <c r="B81" s="98" t="s">
        <v>21</v>
      </c>
      <c r="C81" s="99"/>
      <c r="D81" s="152">
        <f>House!I17</f>
        <v>0</v>
      </c>
      <c r="E81" s="137"/>
      <c r="K81" s="71"/>
      <c r="M81" s="159" t="str">
        <f>Linkedin!B79</f>
        <v>Skilled in Creative Design, Linux, CAD, 3D Printing, Laser Cutting, Electronics and Programming.
Currently studying towards BadvSci (Hons) focused on Computer Science from The University of Auckland with a stream in science scholars.</v>
      </c>
      <c r="N81" s="160"/>
      <c r="O81" s="5">
        <f>Linkedin!D79</f>
        <v>0</v>
      </c>
      <c r="P81" s="165" t="str">
        <f>Linkedin!E79</f>
        <v>The University of Auckland is ranked in the top 100* worldwide and New Zealand’s highest-ranked university. 
Since its founding in 1883, the University of Auckland has grown to become New Zealand's flagship, research-led university, known for the excellence of its teaching, its research, and its service to local, national and international communities.
Our main campus is located in the heart of Auckland city, New Zealand’s economic and cultural hub, and we have four specialist campuses.
*https://www.topuniversities.com/university-rankings/world-university-rankings/2018</v>
      </c>
      <c r="Q81" s="160"/>
    </row>
    <row r="82" spans="2:17" x14ac:dyDescent="0.35">
      <c r="B82" s="81" t="s">
        <v>22</v>
      </c>
      <c r="C82" s="82"/>
      <c r="D82" s="138">
        <f>House!I18</f>
        <v>0</v>
      </c>
      <c r="E82" s="136"/>
      <c r="K82" s="71"/>
      <c r="M82" s="161"/>
      <c r="N82" s="162"/>
      <c r="O82" s="5">
        <f>Linkedin!D80</f>
        <v>0</v>
      </c>
      <c r="P82" s="166"/>
      <c r="Q82" s="162"/>
    </row>
    <row r="83" spans="2:17" x14ac:dyDescent="0.35">
      <c r="B83" s="83" t="s">
        <v>23</v>
      </c>
      <c r="C83" s="84"/>
      <c r="D83" s="153">
        <f>House!I19</f>
        <v>0</v>
      </c>
      <c r="E83" s="139"/>
      <c r="K83" s="71"/>
      <c r="M83" s="161"/>
      <c r="N83" s="162"/>
      <c r="O83" s="5">
        <f>Linkedin!D81</f>
        <v>0</v>
      </c>
      <c r="P83" s="166"/>
      <c r="Q83" s="162"/>
    </row>
    <row r="84" spans="2:17" x14ac:dyDescent="0.35">
      <c r="K84" s="71"/>
      <c r="M84" s="161"/>
      <c r="N84" s="162"/>
      <c r="O84" s="5">
        <f>Linkedin!D82</f>
        <v>0</v>
      </c>
      <c r="P84" s="166"/>
      <c r="Q84" s="162"/>
    </row>
    <row r="85" spans="2:17" ht="15" thickBot="1" x14ac:dyDescent="0.4">
      <c r="B85" s="112" t="s">
        <v>24</v>
      </c>
      <c r="C85" s="113"/>
      <c r="D85" s="113"/>
      <c r="E85" s="114"/>
      <c r="K85" s="71"/>
      <c r="M85" s="161"/>
      <c r="N85" s="162"/>
      <c r="O85" s="5">
        <f>Linkedin!D83</f>
        <v>0</v>
      </c>
      <c r="P85" s="166"/>
      <c r="Q85" s="162"/>
    </row>
    <row r="86" spans="2:17" x14ac:dyDescent="0.35">
      <c r="B86" s="143">
        <f>House!H22</f>
        <v>0</v>
      </c>
      <c r="C86" s="144"/>
      <c r="D86" s="144"/>
      <c r="E86" s="145"/>
      <c r="K86" s="71"/>
      <c r="M86" s="161"/>
      <c r="N86" s="162"/>
      <c r="O86" s="5">
        <f>Linkedin!D84</f>
        <v>0</v>
      </c>
      <c r="P86" s="166"/>
      <c r="Q86" s="162"/>
    </row>
    <row r="87" spans="2:17" x14ac:dyDescent="0.35">
      <c r="B87" s="146">
        <f>House!H23</f>
        <v>0</v>
      </c>
      <c r="C87" s="147"/>
      <c r="D87" s="147"/>
      <c r="E87" s="148"/>
      <c r="K87" s="71"/>
      <c r="M87" s="161"/>
      <c r="N87" s="162"/>
      <c r="O87" s="5">
        <f>Linkedin!D85</f>
        <v>0</v>
      </c>
      <c r="P87" s="166"/>
      <c r="Q87" s="162"/>
    </row>
    <row r="88" spans="2:17" x14ac:dyDescent="0.35">
      <c r="B88" s="143">
        <f>House!H24</f>
        <v>0</v>
      </c>
      <c r="C88" s="144"/>
      <c r="D88" s="144"/>
      <c r="E88" s="145"/>
      <c r="K88" s="71"/>
      <c r="M88" s="161"/>
      <c r="N88" s="162"/>
      <c r="O88" s="5">
        <f>Linkedin!D86</f>
        <v>0</v>
      </c>
      <c r="P88" s="166"/>
      <c r="Q88" s="162"/>
    </row>
    <row r="89" spans="2:17" x14ac:dyDescent="0.35">
      <c r="B89" s="146">
        <f>House!H25</f>
        <v>0</v>
      </c>
      <c r="C89" s="147"/>
      <c r="D89" s="147"/>
      <c r="E89" s="148"/>
      <c r="K89" s="71"/>
      <c r="M89" s="161"/>
      <c r="N89" s="162"/>
      <c r="O89" s="5">
        <f>Linkedin!D87</f>
        <v>0</v>
      </c>
      <c r="P89" s="166"/>
      <c r="Q89" s="162"/>
    </row>
    <row r="90" spans="2:17" x14ac:dyDescent="0.35">
      <c r="B90" s="149">
        <f>House!H26</f>
        <v>0</v>
      </c>
      <c r="C90" s="150"/>
      <c r="D90" s="150"/>
      <c r="E90" s="151"/>
      <c r="K90" s="71"/>
      <c r="M90" s="161"/>
      <c r="N90" s="162"/>
      <c r="O90" s="5">
        <f>Linkedin!D88</f>
        <v>0</v>
      </c>
      <c r="P90" s="166"/>
      <c r="Q90" s="162"/>
    </row>
    <row r="91" spans="2:17" x14ac:dyDescent="0.35">
      <c r="K91" s="71"/>
      <c r="M91" s="161"/>
      <c r="N91" s="162"/>
      <c r="O91" s="5">
        <f>Linkedin!D89</f>
        <v>0</v>
      </c>
      <c r="P91" s="166"/>
      <c r="Q91" s="162"/>
    </row>
    <row r="92" spans="2:17" ht="15" thickBot="1" x14ac:dyDescent="0.4">
      <c r="B92" s="6"/>
      <c r="C92" s="6"/>
      <c r="D92" s="62"/>
      <c r="E92" s="62"/>
      <c r="F92" s="6"/>
      <c r="G92" s="6"/>
      <c r="H92" s="6"/>
      <c r="I92" s="6"/>
      <c r="J92" s="6"/>
      <c r="K92" s="6"/>
      <c r="M92" s="161"/>
      <c r="N92" s="162"/>
      <c r="O92" s="5">
        <f>Linkedin!D90</f>
        <v>0</v>
      </c>
      <c r="P92" s="166"/>
      <c r="Q92" s="162"/>
    </row>
    <row r="93" spans="2:17" x14ac:dyDescent="0.35">
      <c r="B93" s="104">
        <f>House!K1</f>
        <v>4</v>
      </c>
      <c r="C93" s="104"/>
      <c r="D93" s="104"/>
      <c r="E93" s="104"/>
      <c r="F93" s="104"/>
      <c r="G93" s="104"/>
      <c r="H93" s="104"/>
      <c r="I93" s="104"/>
      <c r="J93" s="104"/>
      <c r="K93" s="104"/>
      <c r="M93" s="161"/>
      <c r="N93" s="162"/>
      <c r="O93" s="5">
        <f>Linkedin!D91</f>
        <v>0</v>
      </c>
      <c r="P93" s="166"/>
      <c r="Q93" s="162"/>
    </row>
    <row r="94" spans="2:17" x14ac:dyDescent="0.35">
      <c r="B94" s="105"/>
      <c r="C94" s="105"/>
      <c r="D94" s="105"/>
      <c r="E94" s="105"/>
      <c r="F94" s="105"/>
      <c r="G94" s="105"/>
      <c r="H94" s="105"/>
      <c r="I94" s="105"/>
      <c r="J94" s="105"/>
      <c r="K94" s="105"/>
      <c r="M94" s="161"/>
      <c r="N94" s="162"/>
      <c r="O94" s="5">
        <f>Linkedin!D92</f>
        <v>0</v>
      </c>
      <c r="P94" s="166"/>
      <c r="Q94" s="162"/>
    </row>
    <row r="95" spans="2:17" x14ac:dyDescent="0.35">
      <c r="K95" s="71"/>
      <c r="M95" s="161"/>
      <c r="N95" s="162"/>
      <c r="O95" s="5">
        <f>Linkedin!D93</f>
        <v>0</v>
      </c>
      <c r="P95" s="166"/>
      <c r="Q95" s="162"/>
    </row>
    <row r="96" spans="2:17" ht="15" thickBot="1" x14ac:dyDescent="0.4">
      <c r="B96" s="91" t="s">
        <v>3</v>
      </c>
      <c r="C96" s="92"/>
      <c r="D96" s="92"/>
      <c r="E96" s="93"/>
      <c r="K96" s="71"/>
      <c r="M96" s="161"/>
      <c r="N96" s="162"/>
      <c r="O96" s="5">
        <f>Linkedin!D94</f>
        <v>0</v>
      </c>
      <c r="P96" s="166"/>
      <c r="Q96" s="162"/>
    </row>
    <row r="97" spans="2:18" x14ac:dyDescent="0.35">
      <c r="B97" s="132" t="s">
        <v>4</v>
      </c>
      <c r="C97" s="133"/>
      <c r="D97" s="140">
        <f>House!L3</f>
        <v>1</v>
      </c>
      <c r="E97" s="141"/>
      <c r="K97" s="71"/>
      <c r="M97" s="161"/>
      <c r="N97" s="162"/>
      <c r="O97" s="5">
        <f>Linkedin!D95</f>
        <v>0</v>
      </c>
      <c r="P97" s="166"/>
      <c r="Q97" s="162"/>
    </row>
    <row r="98" spans="2:18" x14ac:dyDescent="0.35">
      <c r="B98" s="96" t="s">
        <v>5</v>
      </c>
      <c r="C98" s="97"/>
      <c r="D98" s="138">
        <f>House!L4</f>
        <v>2</v>
      </c>
      <c r="E98" s="136"/>
      <c r="K98" s="71"/>
      <c r="M98" s="161"/>
      <c r="N98" s="162"/>
      <c r="O98" s="5">
        <f>Linkedin!D96</f>
        <v>0</v>
      </c>
      <c r="P98" s="166"/>
      <c r="Q98" s="162"/>
    </row>
    <row r="99" spans="2:18" x14ac:dyDescent="0.35">
      <c r="B99" s="94" t="s">
        <v>6</v>
      </c>
      <c r="C99" s="95"/>
      <c r="D99" s="152" t="str">
        <f>House!L5</f>
        <v>2012</v>
      </c>
      <c r="E99" s="137"/>
      <c r="K99" s="71"/>
      <c r="M99" s="161"/>
      <c r="N99" s="162"/>
      <c r="O99" s="5">
        <f>Linkedin!D97</f>
        <v>0</v>
      </c>
      <c r="P99" s="166"/>
      <c r="Q99" s="162"/>
    </row>
    <row r="100" spans="2:18" x14ac:dyDescent="0.35">
      <c r="B100" s="96" t="s">
        <v>7</v>
      </c>
      <c r="C100" s="97"/>
      <c r="D100" s="138" t="str">
        <f>House!L6</f>
        <v>active</v>
      </c>
      <c r="E100" s="136"/>
      <c r="K100" s="71"/>
      <c r="M100" s="163"/>
      <c r="N100" s="164"/>
      <c r="O100" s="5">
        <f>Linkedin!D98</f>
        <v>0</v>
      </c>
      <c r="P100" s="167"/>
      <c r="Q100" s="164"/>
    </row>
    <row r="101" spans="2:18" x14ac:dyDescent="0.35">
      <c r="B101" s="94" t="s">
        <v>10</v>
      </c>
      <c r="C101" s="95"/>
      <c r="D101" s="152" t="str">
        <f>House!L7</f>
        <v>big one</v>
      </c>
      <c r="E101" s="137"/>
      <c r="K101" s="71"/>
      <c r="M101" s="74"/>
      <c r="N101" s="74"/>
      <c r="O101" s="74"/>
      <c r="P101" s="74"/>
      <c r="Q101" s="74"/>
    </row>
    <row r="102" spans="2:18" x14ac:dyDescent="0.35">
      <c r="B102" s="96" t="s">
        <v>13</v>
      </c>
      <c r="C102" s="97"/>
      <c r="D102" s="138" t="str">
        <f>House!L8</f>
        <v>yep</v>
      </c>
      <c r="E102" s="136"/>
      <c r="K102" s="71"/>
      <c r="R102" s="5"/>
    </row>
    <row r="103" spans="2:18" x14ac:dyDescent="0.35">
      <c r="B103" s="100" t="s">
        <v>14</v>
      </c>
      <c r="C103" s="101"/>
      <c r="D103" s="153" t="str">
        <f>House!L9</f>
        <v>feb</v>
      </c>
      <c r="E103" s="139"/>
      <c r="K103" s="71"/>
      <c r="R103" s="5"/>
    </row>
    <row r="104" spans="2:18" x14ac:dyDescent="0.35">
      <c r="K104" s="71"/>
      <c r="R104" s="5"/>
    </row>
    <row r="105" spans="2:18" ht="15" thickBot="1" x14ac:dyDescent="0.4">
      <c r="B105" s="112" t="s">
        <v>5</v>
      </c>
      <c r="C105" s="113"/>
      <c r="D105" s="113"/>
      <c r="E105" s="114"/>
      <c r="K105" s="71"/>
      <c r="R105" s="5"/>
    </row>
    <row r="106" spans="2:18" x14ac:dyDescent="0.35">
      <c r="B106" s="81" t="s">
        <v>15</v>
      </c>
      <c r="C106" s="82"/>
      <c r="D106" s="87">
        <f>House!L12</f>
        <v>0</v>
      </c>
      <c r="E106" s="136"/>
      <c r="K106" s="71"/>
      <c r="R106" s="5"/>
    </row>
    <row r="107" spans="2:18" x14ac:dyDescent="0.35">
      <c r="B107" s="98" t="s">
        <v>16</v>
      </c>
      <c r="C107" s="99"/>
      <c r="D107" s="152">
        <f>House!L13</f>
        <v>0</v>
      </c>
      <c r="E107" s="137"/>
      <c r="K107" s="71"/>
      <c r="R107" s="5"/>
    </row>
    <row r="108" spans="2:18" x14ac:dyDescent="0.35">
      <c r="B108" s="81" t="s">
        <v>17</v>
      </c>
      <c r="C108" s="82"/>
      <c r="D108" s="138">
        <f>House!L14</f>
        <v>0</v>
      </c>
      <c r="E108" s="136"/>
      <c r="K108" s="71"/>
      <c r="R108" s="5"/>
    </row>
    <row r="109" spans="2:18" x14ac:dyDescent="0.35">
      <c r="B109" s="98" t="s">
        <v>18</v>
      </c>
      <c r="C109" s="99"/>
      <c r="D109" s="152">
        <f>House!L15</f>
        <v>0</v>
      </c>
      <c r="E109" s="137"/>
      <c r="K109" s="71"/>
      <c r="R109" s="5"/>
    </row>
    <row r="110" spans="2:18" x14ac:dyDescent="0.35">
      <c r="B110" s="81" t="s">
        <v>19</v>
      </c>
      <c r="C110" s="82"/>
      <c r="D110" s="138">
        <f>House!L16</f>
        <v>0</v>
      </c>
      <c r="E110" s="136"/>
      <c r="K110" s="71"/>
      <c r="R110" s="5"/>
    </row>
    <row r="111" spans="2:18" x14ac:dyDescent="0.35">
      <c r="B111" s="98" t="s">
        <v>21</v>
      </c>
      <c r="C111" s="99"/>
      <c r="D111" s="152">
        <f>House!L17</f>
        <v>0</v>
      </c>
      <c r="E111" s="137"/>
      <c r="K111" s="71"/>
      <c r="R111" s="5"/>
    </row>
    <row r="112" spans="2:18" x14ac:dyDescent="0.35">
      <c r="B112" s="81" t="s">
        <v>22</v>
      </c>
      <c r="C112" s="82"/>
      <c r="D112" s="138">
        <f>House!L18</f>
        <v>0</v>
      </c>
      <c r="E112" s="136"/>
      <c r="K112" s="71"/>
      <c r="R112" s="5"/>
    </row>
    <row r="113" spans="2:18" x14ac:dyDescent="0.35">
      <c r="B113" s="83" t="s">
        <v>23</v>
      </c>
      <c r="C113" s="84"/>
      <c r="D113" s="153">
        <f>House!L19</f>
        <v>0</v>
      </c>
      <c r="E113" s="139"/>
      <c r="K113" s="71"/>
      <c r="R113" s="5"/>
    </row>
    <row r="114" spans="2:18" x14ac:dyDescent="0.35">
      <c r="K114" s="71"/>
      <c r="R114" s="5"/>
    </row>
    <row r="115" spans="2:18" ht="15" thickBot="1" x14ac:dyDescent="0.4">
      <c r="B115" s="112" t="s">
        <v>24</v>
      </c>
      <c r="C115" s="113"/>
      <c r="D115" s="113"/>
      <c r="E115" s="114"/>
      <c r="K115" s="71"/>
      <c r="R115" s="5"/>
    </row>
    <row r="116" spans="2:18" x14ac:dyDescent="0.35">
      <c r="B116" s="143">
        <f>House!K22</f>
        <v>0</v>
      </c>
      <c r="C116" s="144"/>
      <c r="D116" s="144"/>
      <c r="E116" s="145"/>
      <c r="K116" s="71"/>
      <c r="R116" s="5"/>
    </row>
    <row r="117" spans="2:18" x14ac:dyDescent="0.35">
      <c r="B117" s="146">
        <f>House!K23</f>
        <v>0</v>
      </c>
      <c r="C117" s="147"/>
      <c r="D117" s="147"/>
      <c r="E117" s="148"/>
      <c r="K117" s="71"/>
      <c r="R117" s="5"/>
    </row>
    <row r="118" spans="2:18" x14ac:dyDescent="0.35">
      <c r="B118" s="143">
        <f>House!K24</f>
        <v>0</v>
      </c>
      <c r="C118" s="144"/>
      <c r="D118" s="144"/>
      <c r="E118" s="145"/>
      <c r="K118" s="71"/>
      <c r="R118" s="5"/>
    </row>
    <row r="119" spans="2:18" x14ac:dyDescent="0.35">
      <c r="B119" s="146">
        <f>House!K25</f>
        <v>0</v>
      </c>
      <c r="C119" s="147"/>
      <c r="D119" s="147"/>
      <c r="E119" s="148"/>
      <c r="K119" s="71"/>
      <c r="R119" s="5"/>
    </row>
    <row r="120" spans="2:18" x14ac:dyDescent="0.35">
      <c r="B120" s="149">
        <f>House!K26</f>
        <v>0</v>
      </c>
      <c r="C120" s="150"/>
      <c r="D120" s="150"/>
      <c r="E120" s="151"/>
      <c r="K120" s="71"/>
      <c r="R120" s="5"/>
    </row>
    <row r="121" spans="2:18" x14ac:dyDescent="0.35">
      <c r="K121" s="71"/>
      <c r="R121" s="5"/>
    </row>
    <row r="122" spans="2:18" ht="15" thickBot="1" x14ac:dyDescent="0.4">
      <c r="B122" s="6"/>
      <c r="C122" s="6"/>
      <c r="D122" s="62"/>
      <c r="E122" s="62"/>
      <c r="F122" s="6"/>
      <c r="G122" s="6"/>
      <c r="H122" s="6"/>
      <c r="I122" s="6"/>
      <c r="J122" s="6"/>
      <c r="K122" s="6"/>
      <c r="R122" s="5"/>
    </row>
    <row r="123" spans="2:18" x14ac:dyDescent="0.35">
      <c r="B123" s="104">
        <f>House!N1</f>
        <v>5</v>
      </c>
      <c r="C123" s="104"/>
      <c r="D123" s="104"/>
      <c r="E123" s="104"/>
      <c r="F123" s="104"/>
      <c r="G123" s="104"/>
      <c r="H123" s="104"/>
      <c r="I123" s="104"/>
      <c r="J123" s="104"/>
      <c r="K123" s="104"/>
      <c r="R123" s="5"/>
    </row>
    <row r="124" spans="2:18" x14ac:dyDescent="0.35">
      <c r="B124" s="105"/>
      <c r="C124" s="105"/>
      <c r="D124" s="105"/>
      <c r="E124" s="105"/>
      <c r="F124" s="105"/>
      <c r="G124" s="105"/>
      <c r="H124" s="105"/>
      <c r="I124" s="105"/>
      <c r="J124" s="105"/>
      <c r="K124" s="105"/>
      <c r="R124" s="5"/>
    </row>
    <row r="125" spans="2:18" x14ac:dyDescent="0.35">
      <c r="K125" s="71"/>
      <c r="R125" s="5"/>
    </row>
    <row r="126" spans="2:18" ht="15" thickBot="1" x14ac:dyDescent="0.4">
      <c r="B126" s="91" t="s">
        <v>3</v>
      </c>
      <c r="C126" s="92"/>
      <c r="D126" s="92"/>
      <c r="E126" s="93"/>
      <c r="K126" s="71"/>
      <c r="R126" s="5"/>
    </row>
    <row r="127" spans="2:18" x14ac:dyDescent="0.35">
      <c r="B127" s="132" t="s">
        <v>4</v>
      </c>
      <c r="C127" s="133"/>
      <c r="D127" s="140">
        <f>House!O3</f>
        <v>0</v>
      </c>
      <c r="E127" s="141"/>
      <c r="K127" s="71"/>
      <c r="R127" s="5"/>
    </row>
    <row r="128" spans="2:18" x14ac:dyDescent="0.35">
      <c r="B128" s="96" t="s">
        <v>5</v>
      </c>
      <c r="C128" s="97"/>
      <c r="D128" s="138">
        <f>House!O4</f>
        <v>0</v>
      </c>
      <c r="E128" s="136"/>
      <c r="K128" s="71"/>
      <c r="R128" s="5"/>
    </row>
    <row r="129" spans="2:18" x14ac:dyDescent="0.35">
      <c r="B129" s="94" t="s">
        <v>6</v>
      </c>
      <c r="C129" s="95"/>
      <c r="D129" s="152">
        <f>House!O5</f>
        <v>0</v>
      </c>
      <c r="E129" s="137"/>
      <c r="K129" s="71"/>
      <c r="R129" s="5"/>
    </row>
    <row r="130" spans="2:18" x14ac:dyDescent="0.35">
      <c r="B130" s="96" t="s">
        <v>7</v>
      </c>
      <c r="C130" s="97"/>
      <c r="D130" s="138">
        <f>House!O6</f>
        <v>0</v>
      </c>
      <c r="E130" s="136"/>
      <c r="K130" s="71"/>
      <c r="R130" s="5"/>
    </row>
    <row r="131" spans="2:18" x14ac:dyDescent="0.35">
      <c r="B131" s="94" t="s">
        <v>10</v>
      </c>
      <c r="C131" s="95"/>
      <c r="D131" s="152">
        <f>House!O7</f>
        <v>0</v>
      </c>
      <c r="E131" s="137"/>
      <c r="K131" s="71"/>
      <c r="R131" s="5"/>
    </row>
    <row r="132" spans="2:18" x14ac:dyDescent="0.35">
      <c r="B132" s="96" t="s">
        <v>13</v>
      </c>
      <c r="C132" s="97"/>
      <c r="D132" s="138">
        <f>House!O8</f>
        <v>0</v>
      </c>
      <c r="E132" s="136"/>
      <c r="K132" s="71"/>
      <c r="R132" s="5"/>
    </row>
    <row r="133" spans="2:18" x14ac:dyDescent="0.35">
      <c r="B133" s="100" t="s">
        <v>14</v>
      </c>
      <c r="C133" s="101"/>
      <c r="D133" s="153">
        <f>House!O9</f>
        <v>0</v>
      </c>
      <c r="E133" s="139"/>
      <c r="K133" s="71"/>
      <c r="R133" s="5"/>
    </row>
    <row r="134" spans="2:18" x14ac:dyDescent="0.35">
      <c r="K134" s="71"/>
      <c r="R134" s="5"/>
    </row>
    <row r="135" spans="2:18" ht="15" thickBot="1" x14ac:dyDescent="0.4">
      <c r="B135" s="112" t="s">
        <v>5</v>
      </c>
      <c r="C135" s="113"/>
      <c r="D135" s="113"/>
      <c r="E135" s="114"/>
      <c r="K135" s="71"/>
      <c r="R135" s="5"/>
    </row>
    <row r="136" spans="2:18" x14ac:dyDescent="0.35">
      <c r="B136" s="81" t="s">
        <v>15</v>
      </c>
      <c r="C136" s="82"/>
      <c r="D136" s="87">
        <f>House!O12</f>
        <v>0</v>
      </c>
      <c r="E136" s="136"/>
      <c r="K136" s="71"/>
      <c r="R136" s="5"/>
    </row>
    <row r="137" spans="2:18" x14ac:dyDescent="0.35">
      <c r="B137" s="98" t="s">
        <v>16</v>
      </c>
      <c r="C137" s="99"/>
      <c r="D137" s="152">
        <f>House!O13</f>
        <v>0</v>
      </c>
      <c r="E137" s="137"/>
      <c r="K137" s="71"/>
      <c r="R137" s="5"/>
    </row>
    <row r="138" spans="2:18" x14ac:dyDescent="0.35">
      <c r="B138" s="81" t="s">
        <v>17</v>
      </c>
      <c r="C138" s="82"/>
      <c r="D138" s="138">
        <f>House!O14</f>
        <v>0</v>
      </c>
      <c r="E138" s="136"/>
      <c r="K138" s="71"/>
      <c r="R138" s="5"/>
    </row>
    <row r="139" spans="2:18" x14ac:dyDescent="0.35">
      <c r="B139" s="98" t="s">
        <v>18</v>
      </c>
      <c r="C139" s="99"/>
      <c r="D139" s="152">
        <f>House!O15</f>
        <v>0</v>
      </c>
      <c r="E139" s="137"/>
      <c r="K139" s="71"/>
      <c r="R139" s="5"/>
    </row>
    <row r="140" spans="2:18" x14ac:dyDescent="0.35">
      <c r="B140" s="81" t="s">
        <v>19</v>
      </c>
      <c r="C140" s="82"/>
      <c r="D140" s="138">
        <f>House!O16</f>
        <v>0</v>
      </c>
      <c r="E140" s="136"/>
      <c r="K140" s="71"/>
      <c r="R140" s="5"/>
    </row>
    <row r="141" spans="2:18" x14ac:dyDescent="0.35">
      <c r="B141" s="98" t="s">
        <v>21</v>
      </c>
      <c r="C141" s="99"/>
      <c r="D141" s="152">
        <f>House!O17</f>
        <v>0</v>
      </c>
      <c r="E141" s="137"/>
      <c r="K141" s="71"/>
      <c r="R141" s="5"/>
    </row>
    <row r="142" spans="2:18" x14ac:dyDescent="0.35">
      <c r="B142" s="81" t="s">
        <v>22</v>
      </c>
      <c r="C142" s="82"/>
      <c r="D142" s="138">
        <f>House!O18</f>
        <v>0</v>
      </c>
      <c r="E142" s="136"/>
      <c r="K142" s="71"/>
      <c r="R142" s="5"/>
    </row>
    <row r="143" spans="2:18" x14ac:dyDescent="0.35">
      <c r="B143" s="83" t="s">
        <v>23</v>
      </c>
      <c r="C143" s="84"/>
      <c r="D143" s="153">
        <f>House!O19</f>
        <v>0</v>
      </c>
      <c r="E143" s="139"/>
      <c r="K143" s="71"/>
      <c r="R143" s="5"/>
    </row>
    <row r="144" spans="2:18" x14ac:dyDescent="0.35">
      <c r="K144" s="71"/>
      <c r="R144" s="5"/>
    </row>
    <row r="145" spans="1:18" ht="15" thickBot="1" x14ac:dyDescent="0.4">
      <c r="B145" s="112" t="s">
        <v>24</v>
      </c>
      <c r="C145" s="113"/>
      <c r="D145" s="113"/>
      <c r="E145" s="114"/>
      <c r="K145" s="71"/>
      <c r="R145" s="5"/>
    </row>
    <row r="146" spans="1:18" x14ac:dyDescent="0.35">
      <c r="B146" s="143">
        <f>House!N22</f>
        <v>0</v>
      </c>
      <c r="C146" s="144"/>
      <c r="D146" s="144"/>
      <c r="E146" s="145"/>
      <c r="K146" s="71"/>
      <c r="R146" s="5"/>
    </row>
    <row r="147" spans="1:18" x14ac:dyDescent="0.35">
      <c r="B147" s="146">
        <f>House!N23</f>
        <v>0</v>
      </c>
      <c r="C147" s="147"/>
      <c r="D147" s="147"/>
      <c r="E147" s="148"/>
      <c r="K147" s="71"/>
      <c r="R147" s="5"/>
    </row>
    <row r="148" spans="1:18" x14ac:dyDescent="0.35">
      <c r="B148" s="143">
        <f>House!N24</f>
        <v>0</v>
      </c>
      <c r="C148" s="144"/>
      <c r="D148" s="144"/>
      <c r="E148" s="145"/>
      <c r="K148" s="71"/>
      <c r="R148" s="5"/>
    </row>
    <row r="149" spans="1:18" x14ac:dyDescent="0.35">
      <c r="B149" s="146">
        <f>House!N25</f>
        <v>0</v>
      </c>
      <c r="C149" s="147"/>
      <c r="D149" s="147"/>
      <c r="E149" s="148"/>
      <c r="K149" s="71"/>
      <c r="R149" s="5"/>
    </row>
    <row r="150" spans="1:18" x14ac:dyDescent="0.35">
      <c r="B150" s="149">
        <f>House!N26</f>
        <v>0</v>
      </c>
      <c r="C150" s="150"/>
      <c r="D150" s="150"/>
      <c r="E150" s="151"/>
      <c r="K150" s="71"/>
      <c r="R150" s="5"/>
    </row>
    <row r="151" spans="1:18" x14ac:dyDescent="0.35">
      <c r="K151" s="71"/>
      <c r="R151" s="5"/>
    </row>
    <row r="152" spans="1:18" ht="15" thickBot="1" x14ac:dyDescent="0.4">
      <c r="B152" s="6"/>
      <c r="C152" s="6"/>
      <c r="D152" s="62"/>
      <c r="E152" s="62"/>
      <c r="F152" s="6"/>
      <c r="G152" s="6"/>
      <c r="H152" s="6"/>
      <c r="I152" s="6"/>
      <c r="J152" s="6"/>
      <c r="K152" s="6"/>
      <c r="R152" s="5"/>
    </row>
    <row r="153" spans="1:18" x14ac:dyDescent="0.35">
      <c r="A153" s="80"/>
      <c r="B153" s="80"/>
      <c r="C153" s="80"/>
      <c r="D153" s="80"/>
      <c r="E153" s="80"/>
      <c r="F153" s="80"/>
      <c r="G153" s="80"/>
      <c r="H153" s="80"/>
      <c r="I153" s="80"/>
      <c r="J153" s="80"/>
      <c r="K153" s="80"/>
      <c r="R153" s="5"/>
    </row>
    <row r="154" spans="1:18" x14ac:dyDescent="0.35">
      <c r="A154" s="5"/>
      <c r="D154" s="5"/>
      <c r="L154" s="71"/>
      <c r="R154" s="5"/>
    </row>
    <row r="155" spans="1:18" x14ac:dyDescent="0.35">
      <c r="A155" s="5"/>
      <c r="D155" s="5"/>
      <c r="L155" s="71"/>
      <c r="R155" s="5"/>
    </row>
    <row r="156" spans="1:18" x14ac:dyDescent="0.35">
      <c r="A156" s="5"/>
      <c r="D156" s="5"/>
      <c r="L156" s="71"/>
      <c r="R156" s="5"/>
    </row>
    <row r="157" spans="1:18" x14ac:dyDescent="0.35">
      <c r="A157" s="5"/>
      <c r="D157" s="5"/>
      <c r="L157" s="71"/>
      <c r="R157" s="5"/>
    </row>
    <row r="158" spans="1:18" x14ac:dyDescent="0.35">
      <c r="A158" s="5"/>
      <c r="D158" s="5"/>
      <c r="L158" s="71"/>
      <c r="R158" s="5"/>
    </row>
    <row r="159" spans="1:18" x14ac:dyDescent="0.35">
      <c r="A159" s="5"/>
      <c r="D159" s="5"/>
      <c r="L159" s="71"/>
      <c r="R159" s="5"/>
    </row>
    <row r="160" spans="1:18" x14ac:dyDescent="0.35">
      <c r="A160" s="5"/>
      <c r="D160" s="5"/>
      <c r="L160" s="71"/>
      <c r="R160" s="5"/>
    </row>
    <row r="161" spans="1:18" x14ac:dyDescent="0.35">
      <c r="A161" s="5"/>
      <c r="D161" s="5"/>
      <c r="L161" s="71"/>
      <c r="R161" s="5"/>
    </row>
    <row r="162" spans="1:18" x14ac:dyDescent="0.35">
      <c r="A162" s="5"/>
      <c r="D162" s="5"/>
      <c r="L162" s="71"/>
      <c r="R162" s="5"/>
    </row>
    <row r="163" spans="1:18" x14ac:dyDescent="0.35">
      <c r="A163" s="5"/>
      <c r="D163" s="5"/>
      <c r="L163" s="71"/>
      <c r="R163" s="5"/>
    </row>
    <row r="164" spans="1:18" x14ac:dyDescent="0.35">
      <c r="A164" s="5"/>
      <c r="D164" s="5"/>
      <c r="L164" s="71"/>
      <c r="R164" s="5"/>
    </row>
    <row r="165" spans="1:18" x14ac:dyDescent="0.35">
      <c r="A165" s="5"/>
      <c r="D165" s="5"/>
      <c r="L165" s="71"/>
      <c r="R165" s="5"/>
    </row>
    <row r="166" spans="1:18" x14ac:dyDescent="0.35">
      <c r="A166" s="5"/>
      <c r="D166" s="5"/>
      <c r="L166" s="71"/>
      <c r="R166" s="5"/>
    </row>
    <row r="167" spans="1:18" x14ac:dyDescent="0.35">
      <c r="A167" s="5"/>
      <c r="D167" s="5"/>
      <c r="L167" s="71"/>
      <c r="R167" s="5"/>
    </row>
    <row r="168" spans="1:18" x14ac:dyDescent="0.35">
      <c r="A168" s="5"/>
      <c r="D168" s="5"/>
      <c r="L168" s="71"/>
      <c r="R168" s="5"/>
    </row>
    <row r="169" spans="1:18" x14ac:dyDescent="0.35">
      <c r="A169" s="5"/>
      <c r="D169" s="5"/>
      <c r="L169" s="71"/>
      <c r="R169" s="5"/>
    </row>
    <row r="170" spans="1:18" x14ac:dyDescent="0.35">
      <c r="A170" s="5"/>
      <c r="L170" s="71"/>
      <c r="R170" s="5"/>
    </row>
    <row r="171" spans="1:18" x14ac:dyDescent="0.35">
      <c r="A171" s="5"/>
      <c r="L171" s="71"/>
      <c r="R171" s="5"/>
    </row>
    <row r="172" spans="1:18" x14ac:dyDescent="0.35">
      <c r="A172" s="5"/>
      <c r="L172" s="71"/>
      <c r="R172" s="5"/>
    </row>
    <row r="173" spans="1:18" x14ac:dyDescent="0.35">
      <c r="A173" s="5"/>
      <c r="L173" s="71"/>
      <c r="R173" s="5"/>
    </row>
    <row r="174" spans="1:18" x14ac:dyDescent="0.35">
      <c r="A174" s="5"/>
      <c r="L174" s="71"/>
      <c r="R174" s="5"/>
    </row>
    <row r="175" spans="1:18" x14ac:dyDescent="0.35">
      <c r="A175" s="5"/>
      <c r="L175" s="71"/>
      <c r="R175" s="5"/>
    </row>
    <row r="176" spans="1:18" x14ac:dyDescent="0.35">
      <c r="A176" s="5"/>
      <c r="L176" s="71"/>
      <c r="R176" s="5"/>
    </row>
    <row r="177" spans="1:18" x14ac:dyDescent="0.35">
      <c r="A177" s="5"/>
      <c r="L177" s="71"/>
      <c r="R177" s="5"/>
    </row>
    <row r="178" spans="1:18" x14ac:dyDescent="0.35">
      <c r="A178" s="5"/>
      <c r="L178" s="71"/>
      <c r="R178" s="5"/>
    </row>
    <row r="179" spans="1:18" x14ac:dyDescent="0.35">
      <c r="A179" s="5"/>
      <c r="L179" s="71"/>
      <c r="R179" s="5"/>
    </row>
    <row r="180" spans="1:18" x14ac:dyDescent="0.35">
      <c r="A180" s="5"/>
      <c r="L180" s="71"/>
      <c r="R180" s="5"/>
    </row>
    <row r="181" spans="1:18" x14ac:dyDescent="0.35">
      <c r="A181" s="5"/>
      <c r="L181" s="71"/>
      <c r="R181" s="5"/>
    </row>
    <row r="182" spans="1:18" x14ac:dyDescent="0.35">
      <c r="A182" s="5"/>
      <c r="L182" s="71"/>
      <c r="R182" s="5"/>
    </row>
    <row r="183" spans="1:18" x14ac:dyDescent="0.35">
      <c r="A183" s="5"/>
      <c r="L183" s="71"/>
      <c r="R183" s="5"/>
    </row>
    <row r="184" spans="1:18" x14ac:dyDescent="0.35">
      <c r="A184" s="5"/>
      <c r="L184" s="71"/>
      <c r="R184" s="5"/>
    </row>
    <row r="185" spans="1:18" x14ac:dyDescent="0.35">
      <c r="A185" s="5"/>
      <c r="L185" s="71"/>
      <c r="R185" s="5"/>
    </row>
    <row r="186" spans="1:18" x14ac:dyDescent="0.35">
      <c r="A186" s="5"/>
      <c r="L186" s="71"/>
      <c r="R186" s="5"/>
    </row>
    <row r="187" spans="1:18" x14ac:dyDescent="0.35">
      <c r="A187" s="5"/>
      <c r="L187" s="71"/>
      <c r="R187" s="5"/>
    </row>
    <row r="188" spans="1:18" x14ac:dyDescent="0.35">
      <c r="A188" s="5"/>
      <c r="L188" s="71"/>
      <c r="R188" s="5"/>
    </row>
    <row r="189" spans="1:18" x14ac:dyDescent="0.35">
      <c r="A189" s="5"/>
      <c r="L189" s="71"/>
      <c r="R189" s="5"/>
    </row>
    <row r="190" spans="1:18" x14ac:dyDescent="0.35">
      <c r="A190" s="5"/>
      <c r="L190" s="71"/>
      <c r="R190" s="5"/>
    </row>
    <row r="191" spans="1:18" x14ac:dyDescent="0.35">
      <c r="A191" s="5"/>
      <c r="L191" s="71"/>
      <c r="R191" s="5"/>
    </row>
    <row r="192" spans="1:18" x14ac:dyDescent="0.35">
      <c r="A192" s="5"/>
      <c r="L192" s="71"/>
      <c r="R192" s="5"/>
    </row>
    <row r="193" spans="1:18" x14ac:dyDescent="0.35">
      <c r="A193" s="5"/>
      <c r="L193" s="71"/>
      <c r="R193" s="5"/>
    </row>
    <row r="194" spans="1:18" x14ac:dyDescent="0.35">
      <c r="A194" s="5"/>
      <c r="L194" s="71"/>
      <c r="R194" s="5"/>
    </row>
    <row r="195" spans="1:18" x14ac:dyDescent="0.35">
      <c r="A195" s="5"/>
      <c r="L195" s="71"/>
      <c r="R195" s="5"/>
    </row>
    <row r="196" spans="1:18" x14ac:dyDescent="0.35">
      <c r="A196" s="5"/>
      <c r="L196" s="71"/>
      <c r="R196" s="5"/>
    </row>
    <row r="197" spans="1:18" x14ac:dyDescent="0.35">
      <c r="A197" s="5"/>
      <c r="L197" s="71"/>
      <c r="R197" s="5"/>
    </row>
    <row r="198" spans="1:18" x14ac:dyDescent="0.35">
      <c r="A198" s="5"/>
      <c r="L198" s="71"/>
      <c r="R198" s="5"/>
    </row>
    <row r="199" spans="1:18" x14ac:dyDescent="0.35">
      <c r="A199" s="5"/>
      <c r="L199" s="71"/>
      <c r="R199" s="5"/>
    </row>
    <row r="200" spans="1:18" x14ac:dyDescent="0.35">
      <c r="A200" s="5"/>
      <c r="L200" s="71"/>
      <c r="R200" s="5"/>
    </row>
    <row r="201" spans="1:18" x14ac:dyDescent="0.35">
      <c r="A201" s="5"/>
      <c r="L201" s="71"/>
      <c r="R201" s="5"/>
    </row>
    <row r="202" spans="1:18" x14ac:dyDescent="0.35">
      <c r="A202" s="5"/>
      <c r="L202" s="71"/>
      <c r="R202" s="5"/>
    </row>
    <row r="203" spans="1:18" x14ac:dyDescent="0.35">
      <c r="A203" s="5"/>
      <c r="L203" s="71"/>
      <c r="R203" s="5"/>
    </row>
    <row r="204" spans="1:18" x14ac:dyDescent="0.35">
      <c r="A204" s="5"/>
      <c r="L204" s="71"/>
      <c r="R204" s="5"/>
    </row>
    <row r="205" spans="1:18" x14ac:dyDescent="0.35">
      <c r="A205" s="5"/>
      <c r="L205" s="71"/>
      <c r="R205" s="5"/>
    </row>
    <row r="206" spans="1:18" x14ac:dyDescent="0.35">
      <c r="A206" s="5"/>
      <c r="L206" s="71"/>
      <c r="R206" s="5"/>
    </row>
    <row r="207" spans="1:18" x14ac:dyDescent="0.35">
      <c r="A207" s="5"/>
      <c r="L207" s="71"/>
      <c r="R207" s="5"/>
    </row>
    <row r="208" spans="1:18" x14ac:dyDescent="0.35">
      <c r="A208" s="5"/>
      <c r="L208" s="71"/>
      <c r="R208" s="5"/>
    </row>
    <row r="209" spans="1:18" x14ac:dyDescent="0.35">
      <c r="A209" s="5"/>
      <c r="L209" s="71"/>
      <c r="R209" s="5"/>
    </row>
    <row r="210" spans="1:18" x14ac:dyDescent="0.35">
      <c r="A210" s="5"/>
      <c r="L210" s="71"/>
      <c r="R210" s="5"/>
    </row>
    <row r="211" spans="1:18" x14ac:dyDescent="0.35">
      <c r="A211" s="5"/>
      <c r="L211" s="71"/>
      <c r="R211" s="5"/>
    </row>
    <row r="212" spans="1:18" x14ac:dyDescent="0.35">
      <c r="A212" s="5"/>
      <c r="L212" s="71"/>
      <c r="R212" s="5"/>
    </row>
    <row r="213" spans="1:18" x14ac:dyDescent="0.35">
      <c r="A213" s="5"/>
      <c r="L213" s="71"/>
      <c r="R213" s="5"/>
    </row>
    <row r="214" spans="1:18" x14ac:dyDescent="0.35">
      <c r="A214" s="5"/>
      <c r="L214" s="71"/>
      <c r="R214" s="5"/>
    </row>
    <row r="215" spans="1:18" x14ac:dyDescent="0.35">
      <c r="A215" s="5"/>
      <c r="L215" s="71"/>
      <c r="R215" s="5"/>
    </row>
    <row r="216" spans="1:18" x14ac:dyDescent="0.35">
      <c r="A216" s="5"/>
      <c r="L216" s="71"/>
      <c r="R216" s="5"/>
    </row>
    <row r="217" spans="1:18" x14ac:dyDescent="0.35">
      <c r="A217" s="5"/>
      <c r="L217" s="71"/>
      <c r="R217" s="5"/>
    </row>
    <row r="218" spans="1:18" x14ac:dyDescent="0.35">
      <c r="A218" s="5"/>
      <c r="L218" s="71"/>
      <c r="R218" s="5"/>
    </row>
    <row r="219" spans="1:18" x14ac:dyDescent="0.35">
      <c r="A219" s="5"/>
      <c r="L219" s="71"/>
      <c r="R219" s="5"/>
    </row>
    <row r="220" spans="1:18" x14ac:dyDescent="0.35">
      <c r="A220" s="5"/>
      <c r="L220" s="71"/>
      <c r="R220" s="5"/>
    </row>
    <row r="221" spans="1:18" x14ac:dyDescent="0.35">
      <c r="A221" s="5"/>
      <c r="L221" s="71"/>
      <c r="R221" s="5"/>
    </row>
    <row r="222" spans="1:18" x14ac:dyDescent="0.35">
      <c r="A222" s="5"/>
      <c r="L222" s="71"/>
      <c r="R222" s="5"/>
    </row>
    <row r="223" spans="1:18" x14ac:dyDescent="0.35">
      <c r="A223" s="5"/>
      <c r="L223" s="71"/>
      <c r="R223" s="5"/>
    </row>
    <row r="224" spans="1:18" x14ac:dyDescent="0.35">
      <c r="A224" s="5"/>
      <c r="L224" s="71"/>
      <c r="R224" s="5"/>
    </row>
    <row r="225" spans="1:18" x14ac:dyDescent="0.35">
      <c r="A225" s="5"/>
      <c r="L225" s="71"/>
      <c r="R225" s="5"/>
    </row>
    <row r="226" spans="1:18" x14ac:dyDescent="0.35">
      <c r="A226" s="5"/>
      <c r="L226" s="71"/>
      <c r="R226" s="5"/>
    </row>
    <row r="227" spans="1:18" x14ac:dyDescent="0.35">
      <c r="A227" s="5"/>
      <c r="L227" s="71"/>
      <c r="R227" s="5"/>
    </row>
    <row r="228" spans="1:18" x14ac:dyDescent="0.35">
      <c r="A228" s="5"/>
      <c r="L228" s="71"/>
      <c r="R228" s="5"/>
    </row>
    <row r="229" spans="1:18" x14ac:dyDescent="0.35">
      <c r="A229" s="5"/>
      <c r="L229" s="71"/>
      <c r="R229" s="5"/>
    </row>
    <row r="230" spans="1:18" x14ac:dyDescent="0.35">
      <c r="A230" s="5"/>
      <c r="L230" s="71"/>
      <c r="R230" s="5"/>
    </row>
    <row r="231" spans="1:18" x14ac:dyDescent="0.35">
      <c r="A231" s="5"/>
      <c r="L231" s="71"/>
      <c r="R231" s="5"/>
    </row>
    <row r="232" spans="1:18" x14ac:dyDescent="0.35">
      <c r="A232" s="5"/>
      <c r="L232" s="71"/>
      <c r="R232" s="5"/>
    </row>
    <row r="233" spans="1:18" x14ac:dyDescent="0.35">
      <c r="A233" s="5"/>
      <c r="L233" s="71"/>
      <c r="R233" s="5"/>
    </row>
    <row r="234" spans="1:18" x14ac:dyDescent="0.35">
      <c r="A234" s="5"/>
      <c r="L234" s="71"/>
      <c r="R234" s="5"/>
    </row>
    <row r="235" spans="1:18" x14ac:dyDescent="0.35">
      <c r="A235" s="5"/>
      <c r="L235" s="71"/>
      <c r="R235" s="5"/>
    </row>
    <row r="236" spans="1:18" x14ac:dyDescent="0.35">
      <c r="A236" s="5"/>
      <c r="L236" s="71"/>
      <c r="R236" s="5"/>
    </row>
    <row r="237" spans="1:18" x14ac:dyDescent="0.35">
      <c r="A237" s="5"/>
      <c r="L237" s="71"/>
      <c r="R237" s="5"/>
    </row>
    <row r="238" spans="1:18" x14ac:dyDescent="0.35">
      <c r="A238" s="5"/>
      <c r="L238" s="71"/>
      <c r="R238" s="5"/>
    </row>
    <row r="239" spans="1:18" x14ac:dyDescent="0.35">
      <c r="A239" s="5"/>
      <c r="L239" s="71"/>
      <c r="R239" s="5"/>
    </row>
    <row r="240" spans="1:18" x14ac:dyDescent="0.35">
      <c r="A240" s="5"/>
      <c r="L240" s="71"/>
      <c r="R240" s="5"/>
    </row>
    <row r="241" spans="1:18" x14ac:dyDescent="0.35">
      <c r="A241" s="5"/>
      <c r="L241" s="71"/>
      <c r="R241" s="5"/>
    </row>
    <row r="242" spans="1:18" x14ac:dyDescent="0.35">
      <c r="A242" s="5"/>
      <c r="L242" s="71"/>
      <c r="R242" s="5"/>
    </row>
    <row r="243" spans="1:18" x14ac:dyDescent="0.35">
      <c r="A243" s="5"/>
      <c r="L243" s="71"/>
      <c r="R243" s="5"/>
    </row>
    <row r="244" spans="1:18" x14ac:dyDescent="0.35">
      <c r="A244" s="5"/>
      <c r="L244" s="71"/>
      <c r="R244" s="5"/>
    </row>
    <row r="245" spans="1:18" x14ac:dyDescent="0.35">
      <c r="A245" s="5"/>
      <c r="L245" s="71"/>
      <c r="R245" s="5"/>
    </row>
    <row r="246" spans="1:18" x14ac:dyDescent="0.35">
      <c r="A246" s="5"/>
      <c r="L246" s="71"/>
      <c r="R246" s="5"/>
    </row>
    <row r="247" spans="1:18" x14ac:dyDescent="0.35">
      <c r="A247" s="5"/>
      <c r="L247" s="71"/>
      <c r="R247" s="5"/>
    </row>
    <row r="248" spans="1:18" x14ac:dyDescent="0.35">
      <c r="A248" s="5"/>
      <c r="L248" s="71"/>
      <c r="R248" s="5"/>
    </row>
    <row r="249" spans="1:18" x14ac:dyDescent="0.35">
      <c r="A249" s="5"/>
      <c r="L249" s="71"/>
      <c r="R249" s="5"/>
    </row>
    <row r="250" spans="1:18" x14ac:dyDescent="0.35">
      <c r="A250" s="5"/>
      <c r="L250" s="71"/>
      <c r="R250" s="5"/>
    </row>
    <row r="251" spans="1:18" x14ac:dyDescent="0.35">
      <c r="A251" s="5"/>
      <c r="L251" s="71"/>
      <c r="R251" s="5"/>
    </row>
    <row r="252" spans="1:18" x14ac:dyDescent="0.35">
      <c r="A252" s="5"/>
      <c r="L252" s="71"/>
      <c r="R252" s="5"/>
    </row>
    <row r="253" spans="1:18" x14ac:dyDescent="0.35">
      <c r="A253" s="5"/>
      <c r="L253" s="71"/>
      <c r="R253" s="5"/>
    </row>
    <row r="254" spans="1:18" x14ac:dyDescent="0.35">
      <c r="A254" s="5"/>
      <c r="L254" s="71"/>
      <c r="R254" s="5"/>
    </row>
    <row r="255" spans="1:18" x14ac:dyDescent="0.35">
      <c r="A255" s="5"/>
      <c r="L255" s="71"/>
      <c r="R255" s="5"/>
    </row>
    <row r="256" spans="1:18" x14ac:dyDescent="0.35">
      <c r="A256" s="5"/>
      <c r="L256" s="71"/>
      <c r="R256" s="5"/>
    </row>
    <row r="257" spans="1:18" x14ac:dyDescent="0.35">
      <c r="A257" s="5"/>
      <c r="L257" s="71"/>
      <c r="R257" s="5"/>
    </row>
    <row r="258" spans="1:18" x14ac:dyDescent="0.35">
      <c r="A258" s="5"/>
      <c r="L258" s="71"/>
      <c r="R258" s="5"/>
    </row>
    <row r="259" spans="1:18" x14ac:dyDescent="0.35">
      <c r="A259" s="5"/>
      <c r="L259" s="71"/>
      <c r="R259" s="5"/>
    </row>
    <row r="260" spans="1:18" x14ac:dyDescent="0.35">
      <c r="A260" s="5"/>
      <c r="L260" s="71"/>
      <c r="R260" s="5"/>
    </row>
    <row r="261" spans="1:18" x14ac:dyDescent="0.35">
      <c r="A261" s="5"/>
      <c r="L261" s="71"/>
      <c r="R261" s="5"/>
    </row>
    <row r="262" spans="1:18" x14ac:dyDescent="0.35">
      <c r="A262" s="5"/>
      <c r="L262" s="71"/>
      <c r="R262" s="5"/>
    </row>
    <row r="263" spans="1:18" x14ac:dyDescent="0.35">
      <c r="A263" s="5"/>
      <c r="L263" s="71"/>
      <c r="R263" s="5"/>
    </row>
    <row r="264" spans="1:18" x14ac:dyDescent="0.35">
      <c r="A264" s="5"/>
      <c r="L264" s="71"/>
      <c r="R264" s="5"/>
    </row>
    <row r="265" spans="1:18" x14ac:dyDescent="0.35">
      <c r="A265" s="5"/>
      <c r="L265" s="71"/>
      <c r="R265" s="5"/>
    </row>
    <row r="266" spans="1:18" x14ac:dyDescent="0.35">
      <c r="A266" s="5"/>
      <c r="L266" s="71"/>
      <c r="R266" s="5"/>
    </row>
    <row r="267" spans="1:18" x14ac:dyDescent="0.35">
      <c r="A267" s="5"/>
      <c r="L267" s="71"/>
      <c r="R267" s="5"/>
    </row>
    <row r="268" spans="1:18" x14ac:dyDescent="0.35">
      <c r="A268" s="5"/>
      <c r="L268" s="71"/>
      <c r="R268" s="5"/>
    </row>
    <row r="269" spans="1:18" x14ac:dyDescent="0.35">
      <c r="A269" s="5"/>
      <c r="L269" s="71"/>
      <c r="R269" s="5"/>
    </row>
    <row r="270" spans="1:18" x14ac:dyDescent="0.35">
      <c r="A270" s="5"/>
      <c r="L270" s="71"/>
      <c r="R270" s="5"/>
    </row>
    <row r="271" spans="1:18" x14ac:dyDescent="0.35">
      <c r="A271" s="5"/>
      <c r="L271" s="71"/>
      <c r="R271" s="5"/>
    </row>
    <row r="272" spans="1:18" x14ac:dyDescent="0.35">
      <c r="A272" s="5"/>
      <c r="L272" s="71"/>
      <c r="R272" s="5"/>
    </row>
    <row r="273" spans="1:18" x14ac:dyDescent="0.35">
      <c r="A273" s="5"/>
      <c r="L273" s="71"/>
      <c r="R273" s="5"/>
    </row>
    <row r="274" spans="1:18" x14ac:dyDescent="0.35">
      <c r="A274" s="5"/>
      <c r="L274" s="71"/>
      <c r="R274" s="5"/>
    </row>
    <row r="275" spans="1:18" x14ac:dyDescent="0.35">
      <c r="A275" s="5"/>
      <c r="L275" s="71"/>
      <c r="R275" s="5"/>
    </row>
    <row r="276" spans="1:18" x14ac:dyDescent="0.35">
      <c r="A276" s="5"/>
      <c r="L276" s="71"/>
      <c r="R276" s="5"/>
    </row>
    <row r="277" spans="1:18" x14ac:dyDescent="0.35">
      <c r="A277" s="5"/>
      <c r="L277" s="71"/>
      <c r="R277" s="5"/>
    </row>
    <row r="278" spans="1:18" x14ac:dyDescent="0.35">
      <c r="A278" s="5"/>
      <c r="L278" s="71"/>
      <c r="R278" s="5"/>
    </row>
    <row r="279" spans="1:18" x14ac:dyDescent="0.35">
      <c r="A279" s="5"/>
      <c r="L279" s="71"/>
      <c r="R279" s="5"/>
    </row>
    <row r="280" spans="1:18" x14ac:dyDescent="0.35">
      <c r="A280" s="5"/>
      <c r="L280" s="71"/>
      <c r="R280" s="5"/>
    </row>
    <row r="281" spans="1:18" x14ac:dyDescent="0.35">
      <c r="A281" s="5"/>
      <c r="L281" s="71"/>
      <c r="R281" s="5"/>
    </row>
    <row r="282" spans="1:18" x14ac:dyDescent="0.35">
      <c r="A282" s="5"/>
      <c r="L282" s="71"/>
      <c r="R282" s="5"/>
    </row>
    <row r="283" spans="1:18" x14ac:dyDescent="0.35">
      <c r="A283" s="5"/>
      <c r="L283" s="71"/>
      <c r="R283" s="5"/>
    </row>
    <row r="284" spans="1:18" x14ac:dyDescent="0.35">
      <c r="A284" s="5"/>
      <c r="L284" s="71"/>
      <c r="R284" s="5"/>
    </row>
    <row r="285" spans="1:18" x14ac:dyDescent="0.35">
      <c r="A285" s="5"/>
      <c r="L285" s="71"/>
      <c r="R285" s="5"/>
    </row>
    <row r="286" spans="1:18" x14ac:dyDescent="0.35">
      <c r="A286" s="5"/>
      <c r="L286" s="71"/>
      <c r="R286" s="5"/>
    </row>
    <row r="287" spans="1:18" x14ac:dyDescent="0.35">
      <c r="A287" s="5"/>
      <c r="L287" s="71"/>
      <c r="R287" s="5"/>
    </row>
    <row r="288" spans="1:18" x14ac:dyDescent="0.35">
      <c r="A288" s="5"/>
      <c r="L288" s="71"/>
      <c r="R288" s="5"/>
    </row>
    <row r="289" spans="1:18" x14ac:dyDescent="0.35">
      <c r="A289" s="5"/>
      <c r="L289" s="71"/>
      <c r="R289" s="5"/>
    </row>
    <row r="290" spans="1:18" x14ac:dyDescent="0.35">
      <c r="A290" s="5"/>
      <c r="L290" s="71"/>
      <c r="R290" s="5"/>
    </row>
    <row r="291" spans="1:18" x14ac:dyDescent="0.35">
      <c r="A291" s="5"/>
      <c r="L291" s="71"/>
      <c r="R291" s="5"/>
    </row>
    <row r="292" spans="1:18" x14ac:dyDescent="0.35">
      <c r="A292" s="5"/>
      <c r="L292" s="71"/>
      <c r="R292" s="5"/>
    </row>
    <row r="293" spans="1:18" x14ac:dyDescent="0.35">
      <c r="A293" s="5"/>
      <c r="L293" s="71"/>
      <c r="R293" s="5"/>
    </row>
    <row r="294" spans="1:18" x14ac:dyDescent="0.35">
      <c r="A294" s="5"/>
      <c r="L294" s="71"/>
      <c r="R294" s="5"/>
    </row>
    <row r="295" spans="1:18" x14ac:dyDescent="0.35">
      <c r="A295" s="5"/>
      <c r="L295" s="71"/>
      <c r="R295" s="5"/>
    </row>
    <row r="296" spans="1:18" x14ac:dyDescent="0.35">
      <c r="A296" s="5"/>
      <c r="L296" s="71"/>
      <c r="R296" s="5"/>
    </row>
    <row r="297" spans="1:18" x14ac:dyDescent="0.35">
      <c r="A297" s="5"/>
      <c r="L297" s="71"/>
      <c r="R297" s="5"/>
    </row>
    <row r="298" spans="1:18" x14ac:dyDescent="0.35">
      <c r="A298" s="5"/>
      <c r="L298" s="71"/>
      <c r="R298" s="5"/>
    </row>
    <row r="299" spans="1:18" x14ac:dyDescent="0.35">
      <c r="A299" s="5"/>
      <c r="L299" s="71"/>
      <c r="R299" s="5"/>
    </row>
    <row r="300" spans="1:18" x14ac:dyDescent="0.35">
      <c r="A300" s="5"/>
      <c r="L300" s="71"/>
      <c r="R300" s="5"/>
    </row>
    <row r="301" spans="1:18" x14ac:dyDescent="0.35">
      <c r="A301" s="5"/>
      <c r="L301" s="71"/>
      <c r="R301" s="5"/>
    </row>
    <row r="302" spans="1:18" x14ac:dyDescent="0.35">
      <c r="A302" s="5"/>
      <c r="L302" s="71"/>
      <c r="R302" s="5"/>
    </row>
    <row r="303" spans="1:18" x14ac:dyDescent="0.35">
      <c r="A303" s="5"/>
      <c r="L303" s="71"/>
      <c r="R303" s="5"/>
    </row>
    <row r="304" spans="1:18" x14ac:dyDescent="0.35">
      <c r="A304" s="5"/>
      <c r="L304" s="71"/>
      <c r="R304" s="5"/>
    </row>
    <row r="305" spans="1:18" x14ac:dyDescent="0.35">
      <c r="A305" s="5"/>
      <c r="L305" s="71"/>
      <c r="R305" s="5"/>
    </row>
    <row r="306" spans="1:18" x14ac:dyDescent="0.35">
      <c r="A306" s="5"/>
      <c r="L306" s="71"/>
      <c r="R306" s="5"/>
    </row>
    <row r="307" spans="1:18" x14ac:dyDescent="0.35">
      <c r="A307" s="5"/>
      <c r="L307" s="71"/>
      <c r="R307" s="5"/>
    </row>
    <row r="308" spans="1:18" x14ac:dyDescent="0.35">
      <c r="A308" s="5"/>
      <c r="L308" s="71"/>
      <c r="R308" s="5"/>
    </row>
    <row r="309" spans="1:18" x14ac:dyDescent="0.35">
      <c r="A309" s="5"/>
      <c r="L309" s="71"/>
      <c r="R309" s="5"/>
    </row>
    <row r="310" spans="1:18" x14ac:dyDescent="0.35">
      <c r="A310" s="5"/>
      <c r="L310" s="71"/>
      <c r="R310" s="5"/>
    </row>
    <row r="311" spans="1:18" x14ac:dyDescent="0.35">
      <c r="A311" s="5"/>
      <c r="L311" s="71"/>
      <c r="R311" s="5"/>
    </row>
    <row r="312" spans="1:18" x14ac:dyDescent="0.35">
      <c r="A312" s="5"/>
      <c r="L312" s="71"/>
      <c r="R312" s="5"/>
    </row>
    <row r="313" spans="1:18" x14ac:dyDescent="0.35">
      <c r="A313" s="5"/>
      <c r="L313" s="71"/>
      <c r="R313" s="5"/>
    </row>
    <row r="314" spans="1:18" x14ac:dyDescent="0.35">
      <c r="A314" s="5"/>
      <c r="L314" s="71"/>
      <c r="R314" s="5"/>
    </row>
    <row r="315" spans="1:18" x14ac:dyDescent="0.35">
      <c r="A315" s="5"/>
      <c r="L315" s="71"/>
      <c r="R315" s="5"/>
    </row>
    <row r="316" spans="1:18" x14ac:dyDescent="0.35">
      <c r="A316" s="5"/>
      <c r="L316" s="71"/>
      <c r="R316" s="5"/>
    </row>
    <row r="317" spans="1:18" x14ac:dyDescent="0.35">
      <c r="A317" s="5"/>
      <c r="L317" s="71"/>
      <c r="R317" s="5"/>
    </row>
    <row r="318" spans="1:18" x14ac:dyDescent="0.35">
      <c r="A318" s="5"/>
      <c r="L318" s="71"/>
      <c r="R318" s="5"/>
    </row>
    <row r="319" spans="1:18" x14ac:dyDescent="0.35">
      <c r="A319" s="5"/>
      <c r="L319" s="71"/>
      <c r="R319" s="5"/>
    </row>
    <row r="320" spans="1:18" x14ac:dyDescent="0.35">
      <c r="A320" s="5"/>
      <c r="L320" s="71"/>
      <c r="R320" s="5"/>
    </row>
    <row r="321" spans="1:18" x14ac:dyDescent="0.35">
      <c r="A321" s="5"/>
      <c r="L321" s="71"/>
      <c r="R321" s="5"/>
    </row>
    <row r="322" spans="1:18" x14ac:dyDescent="0.35">
      <c r="A322" s="5"/>
      <c r="L322" s="71"/>
      <c r="R322" s="5"/>
    </row>
    <row r="323" spans="1:18" x14ac:dyDescent="0.35">
      <c r="A323" s="5"/>
      <c r="L323" s="71"/>
      <c r="R323" s="5"/>
    </row>
    <row r="324" spans="1:18" x14ac:dyDescent="0.35">
      <c r="A324" s="5"/>
      <c r="L324" s="71"/>
      <c r="R324" s="5"/>
    </row>
    <row r="325" spans="1:18" x14ac:dyDescent="0.35">
      <c r="A325" s="5"/>
      <c r="L325" s="71"/>
      <c r="R325" s="5"/>
    </row>
    <row r="326" spans="1:18" x14ac:dyDescent="0.35">
      <c r="A326" s="5"/>
      <c r="L326" s="71"/>
      <c r="R326" s="5"/>
    </row>
    <row r="327" spans="1:18" x14ac:dyDescent="0.35">
      <c r="A327" s="5"/>
      <c r="L327" s="71"/>
      <c r="R327" s="5"/>
    </row>
    <row r="328" spans="1:18" x14ac:dyDescent="0.35">
      <c r="A328" s="5"/>
      <c r="L328" s="71"/>
      <c r="R328" s="5"/>
    </row>
    <row r="329" spans="1:18" x14ac:dyDescent="0.35">
      <c r="A329" s="5"/>
      <c r="L329" s="71"/>
      <c r="R329" s="5"/>
    </row>
    <row r="330" spans="1:18" x14ac:dyDescent="0.35">
      <c r="A330" s="5"/>
      <c r="L330" s="71"/>
      <c r="R330" s="5"/>
    </row>
    <row r="331" spans="1:18" x14ac:dyDescent="0.35">
      <c r="A331" s="5"/>
      <c r="L331" s="71"/>
      <c r="R331" s="5"/>
    </row>
    <row r="332" spans="1:18" x14ac:dyDescent="0.35">
      <c r="A332" s="5"/>
      <c r="L332" s="71"/>
      <c r="R332" s="5"/>
    </row>
    <row r="333" spans="1:18" x14ac:dyDescent="0.35">
      <c r="A333" s="5"/>
      <c r="L333" s="71"/>
      <c r="R333" s="5"/>
    </row>
    <row r="334" spans="1:18" x14ac:dyDescent="0.35">
      <c r="A334" s="5"/>
      <c r="L334" s="71"/>
      <c r="R334" s="5"/>
    </row>
    <row r="335" spans="1:18" x14ac:dyDescent="0.35">
      <c r="A335" s="5"/>
      <c r="L335" s="71"/>
      <c r="R335" s="5"/>
    </row>
    <row r="336" spans="1:18" x14ac:dyDescent="0.35">
      <c r="A336" s="5"/>
      <c r="L336" s="71"/>
      <c r="R336" s="5"/>
    </row>
    <row r="337" spans="1:18" x14ac:dyDescent="0.35">
      <c r="A337" s="5"/>
      <c r="L337" s="71"/>
      <c r="R337" s="5"/>
    </row>
    <row r="338" spans="1:18" x14ac:dyDescent="0.35">
      <c r="A338" s="5"/>
      <c r="L338" s="71"/>
      <c r="R338" s="5"/>
    </row>
    <row r="339" spans="1:18" x14ac:dyDescent="0.35">
      <c r="A339" s="5"/>
      <c r="L339" s="71"/>
      <c r="R339" s="5"/>
    </row>
    <row r="340" spans="1:18" x14ac:dyDescent="0.35">
      <c r="A340" s="5"/>
      <c r="L340" s="71"/>
      <c r="R340" s="5"/>
    </row>
    <row r="341" spans="1:18" x14ac:dyDescent="0.35">
      <c r="A341" s="5"/>
      <c r="L341" s="71"/>
      <c r="R341" s="5"/>
    </row>
    <row r="342" spans="1:18" x14ac:dyDescent="0.35">
      <c r="A342" s="5"/>
      <c r="L342" s="71"/>
      <c r="R342" s="5"/>
    </row>
    <row r="343" spans="1:18" x14ac:dyDescent="0.35">
      <c r="A343" s="5"/>
      <c r="L343" s="71"/>
      <c r="R343" s="5"/>
    </row>
    <row r="344" spans="1:18" x14ac:dyDescent="0.35">
      <c r="A344" s="5"/>
      <c r="L344" s="71"/>
      <c r="R344" s="5"/>
    </row>
    <row r="345" spans="1:18" x14ac:dyDescent="0.35">
      <c r="A345" s="5"/>
      <c r="L345" s="71"/>
      <c r="R345" s="5"/>
    </row>
    <row r="346" spans="1:18" x14ac:dyDescent="0.35">
      <c r="A346" s="5"/>
      <c r="L346" s="71"/>
      <c r="R346" s="5"/>
    </row>
    <row r="347" spans="1:18" x14ac:dyDescent="0.35">
      <c r="A347" s="5"/>
      <c r="L347" s="71"/>
      <c r="R347" s="5"/>
    </row>
    <row r="348" spans="1:18" x14ac:dyDescent="0.35">
      <c r="A348" s="5"/>
      <c r="L348" s="71"/>
      <c r="R348" s="5"/>
    </row>
    <row r="349" spans="1:18" x14ac:dyDescent="0.35">
      <c r="A349" s="5"/>
      <c r="L349" s="71"/>
      <c r="R349" s="5"/>
    </row>
    <row r="350" spans="1:18" x14ac:dyDescent="0.35">
      <c r="A350" s="5"/>
      <c r="L350" s="71"/>
      <c r="R350" s="5"/>
    </row>
    <row r="351" spans="1:18" x14ac:dyDescent="0.35">
      <c r="A351" s="5"/>
      <c r="L351" s="71"/>
      <c r="R351" s="5"/>
    </row>
    <row r="352" spans="1:18" x14ac:dyDescent="0.35">
      <c r="A352" s="5"/>
      <c r="L352" s="71"/>
      <c r="R352" s="5"/>
    </row>
    <row r="353" spans="1:18" x14ac:dyDescent="0.35">
      <c r="A353" s="5"/>
      <c r="L353" s="71"/>
      <c r="R353" s="5"/>
    </row>
    <row r="354" spans="1:18" x14ac:dyDescent="0.35">
      <c r="A354" s="5"/>
      <c r="L354" s="71"/>
      <c r="R354" s="5"/>
    </row>
    <row r="355" spans="1:18" x14ac:dyDescent="0.35">
      <c r="A355" s="5"/>
      <c r="L355" s="71"/>
      <c r="R355" s="5"/>
    </row>
    <row r="356" spans="1:18" x14ac:dyDescent="0.35">
      <c r="A356" s="5"/>
      <c r="L356" s="71"/>
      <c r="R356" s="5"/>
    </row>
    <row r="357" spans="1:18" x14ac:dyDescent="0.35">
      <c r="A357" s="5"/>
      <c r="L357" s="71"/>
      <c r="R357" s="5"/>
    </row>
    <row r="358" spans="1:18" x14ac:dyDescent="0.35">
      <c r="A358" s="5"/>
      <c r="L358" s="71"/>
      <c r="R358" s="5"/>
    </row>
    <row r="359" spans="1:18" x14ac:dyDescent="0.35">
      <c r="A359" s="5"/>
      <c r="L359" s="71"/>
      <c r="R359" s="5"/>
    </row>
    <row r="360" spans="1:18" x14ac:dyDescent="0.35">
      <c r="A360" s="5"/>
      <c r="L360" s="71"/>
      <c r="R360" s="5"/>
    </row>
    <row r="361" spans="1:18" x14ac:dyDescent="0.35">
      <c r="A361" s="5"/>
      <c r="L361" s="71"/>
      <c r="R361" s="5"/>
    </row>
    <row r="362" spans="1:18" x14ac:dyDescent="0.35">
      <c r="A362" s="5"/>
      <c r="L362" s="71"/>
      <c r="R362" s="5"/>
    </row>
    <row r="363" spans="1:18" x14ac:dyDescent="0.35">
      <c r="A363" s="5"/>
      <c r="L363" s="71"/>
      <c r="R363" s="5"/>
    </row>
    <row r="364" spans="1:18" x14ac:dyDescent="0.35">
      <c r="A364" s="5"/>
      <c r="L364" s="71"/>
      <c r="R364" s="5"/>
    </row>
    <row r="365" spans="1:18" x14ac:dyDescent="0.35">
      <c r="A365" s="5"/>
      <c r="L365" s="71"/>
      <c r="R365" s="5"/>
    </row>
    <row r="366" spans="1:18" x14ac:dyDescent="0.35">
      <c r="A366" s="5"/>
      <c r="L366" s="71"/>
      <c r="R366" s="5"/>
    </row>
    <row r="367" spans="1:18" x14ac:dyDescent="0.35">
      <c r="A367" s="5"/>
      <c r="L367" s="71"/>
      <c r="R367" s="5"/>
    </row>
    <row r="368" spans="1:18" x14ac:dyDescent="0.35">
      <c r="A368" s="5"/>
      <c r="L368" s="71"/>
      <c r="R368" s="5"/>
    </row>
    <row r="369" spans="1:18" x14ac:dyDescent="0.35">
      <c r="A369" s="5"/>
      <c r="L369" s="71"/>
      <c r="R369" s="5"/>
    </row>
    <row r="370" spans="1:18" x14ac:dyDescent="0.35">
      <c r="A370" s="5"/>
      <c r="L370" s="71"/>
      <c r="R370" s="5"/>
    </row>
    <row r="371" spans="1:18" x14ac:dyDescent="0.35">
      <c r="A371" s="5"/>
      <c r="L371" s="71"/>
      <c r="R371" s="5"/>
    </row>
    <row r="372" spans="1:18" x14ac:dyDescent="0.35">
      <c r="A372" s="5"/>
      <c r="L372" s="71"/>
      <c r="R372" s="5"/>
    </row>
    <row r="373" spans="1:18" x14ac:dyDescent="0.35">
      <c r="A373" s="5"/>
      <c r="L373" s="71"/>
      <c r="R373" s="5"/>
    </row>
    <row r="374" spans="1:18" x14ac:dyDescent="0.35">
      <c r="A374" s="5"/>
      <c r="L374" s="71"/>
      <c r="R374" s="5"/>
    </row>
    <row r="375" spans="1:18" x14ac:dyDescent="0.35">
      <c r="A375" s="5"/>
      <c r="L375" s="71"/>
      <c r="R375" s="5"/>
    </row>
    <row r="376" spans="1:18" x14ac:dyDescent="0.35">
      <c r="A376" s="5"/>
      <c r="L376" s="71"/>
      <c r="R376" s="5"/>
    </row>
    <row r="377" spans="1:18" x14ac:dyDescent="0.35">
      <c r="A377" s="5"/>
      <c r="L377" s="71"/>
      <c r="R377" s="5"/>
    </row>
    <row r="378" spans="1:18" x14ac:dyDescent="0.35">
      <c r="A378" s="5"/>
      <c r="L378" s="71"/>
      <c r="R378" s="5"/>
    </row>
    <row r="379" spans="1:18" x14ac:dyDescent="0.35">
      <c r="A379" s="5"/>
      <c r="L379" s="71"/>
      <c r="R379" s="5"/>
    </row>
    <row r="380" spans="1:18" x14ac:dyDescent="0.35">
      <c r="A380" s="5"/>
      <c r="L380" s="71"/>
      <c r="R380" s="5"/>
    </row>
    <row r="381" spans="1:18" x14ac:dyDescent="0.35">
      <c r="A381" s="5"/>
      <c r="L381" s="71"/>
      <c r="R381" s="5"/>
    </row>
    <row r="382" spans="1:18" x14ac:dyDescent="0.35">
      <c r="A382" s="5"/>
      <c r="L382" s="71"/>
      <c r="R382" s="5"/>
    </row>
    <row r="383" spans="1:18" x14ac:dyDescent="0.35">
      <c r="A383" s="5"/>
      <c r="L383" s="71"/>
      <c r="R383" s="5"/>
    </row>
    <row r="384" spans="1:18" x14ac:dyDescent="0.35">
      <c r="A384" s="5"/>
      <c r="L384" s="71"/>
      <c r="R384" s="5"/>
    </row>
    <row r="385" spans="1:18" x14ac:dyDescent="0.35">
      <c r="A385" s="5"/>
      <c r="L385" s="71"/>
      <c r="R385" s="5"/>
    </row>
    <row r="386" spans="1:18" x14ac:dyDescent="0.35">
      <c r="A386" s="5"/>
      <c r="L386" s="71"/>
      <c r="R386" s="5"/>
    </row>
    <row r="387" spans="1:18" x14ac:dyDescent="0.35">
      <c r="A387" s="5"/>
      <c r="L387" s="71"/>
      <c r="R387" s="5"/>
    </row>
    <row r="388" spans="1:18" x14ac:dyDescent="0.35">
      <c r="A388" s="5"/>
      <c r="L388" s="71"/>
      <c r="R388" s="5"/>
    </row>
    <row r="389" spans="1:18" x14ac:dyDescent="0.35">
      <c r="A389" s="5"/>
      <c r="L389" s="71"/>
      <c r="R389" s="5"/>
    </row>
    <row r="390" spans="1:18" x14ac:dyDescent="0.35">
      <c r="A390" s="5"/>
      <c r="L390" s="71"/>
      <c r="R390" s="5"/>
    </row>
    <row r="391" spans="1:18" x14ac:dyDescent="0.35">
      <c r="A391" s="5"/>
      <c r="L391" s="71"/>
      <c r="R391" s="5"/>
    </row>
    <row r="392" spans="1:18" x14ac:dyDescent="0.35">
      <c r="A392" s="5"/>
      <c r="L392" s="71"/>
      <c r="R392" s="5"/>
    </row>
    <row r="393" spans="1:18" x14ac:dyDescent="0.35">
      <c r="A393" s="5"/>
      <c r="L393" s="71"/>
      <c r="R393" s="5"/>
    </row>
    <row r="394" spans="1:18" x14ac:dyDescent="0.35">
      <c r="A394" s="5"/>
      <c r="L394" s="71"/>
      <c r="R394" s="5"/>
    </row>
    <row r="395" spans="1:18" x14ac:dyDescent="0.35">
      <c r="A395" s="5"/>
      <c r="L395" s="71"/>
      <c r="R395" s="5"/>
    </row>
    <row r="396" spans="1:18" x14ac:dyDescent="0.35">
      <c r="A396" s="5"/>
      <c r="L396" s="71"/>
      <c r="R396" s="5"/>
    </row>
    <row r="397" spans="1:18" x14ac:dyDescent="0.35">
      <c r="A397" s="5"/>
      <c r="L397" s="71"/>
      <c r="R397" s="5"/>
    </row>
    <row r="398" spans="1:18" x14ac:dyDescent="0.35">
      <c r="A398" s="5"/>
      <c r="L398" s="71"/>
      <c r="R398" s="5"/>
    </row>
    <row r="399" spans="1:18" x14ac:dyDescent="0.35">
      <c r="A399" s="5"/>
      <c r="L399" s="71"/>
      <c r="R399" s="5"/>
    </row>
    <row r="400" spans="1:18" x14ac:dyDescent="0.35">
      <c r="A400" s="5"/>
      <c r="L400" s="71"/>
      <c r="R400" s="5"/>
    </row>
    <row r="401" spans="1:18" x14ac:dyDescent="0.35">
      <c r="A401" s="5"/>
      <c r="L401" s="71"/>
      <c r="R401" s="5"/>
    </row>
    <row r="402" spans="1:18" x14ac:dyDescent="0.35">
      <c r="A402" s="5"/>
      <c r="L402" s="71"/>
      <c r="R402" s="5"/>
    </row>
    <row r="403" spans="1:18" x14ac:dyDescent="0.35">
      <c r="A403" s="5"/>
      <c r="L403" s="71"/>
      <c r="R403" s="5"/>
    </row>
    <row r="404" spans="1:18" x14ac:dyDescent="0.35">
      <c r="A404" s="5"/>
      <c r="L404" s="71"/>
      <c r="R404" s="5"/>
    </row>
    <row r="405" spans="1:18" x14ac:dyDescent="0.35">
      <c r="A405" s="5"/>
      <c r="L405" s="71"/>
      <c r="R405" s="5"/>
    </row>
    <row r="406" spans="1:18" x14ac:dyDescent="0.35">
      <c r="A406" s="5"/>
      <c r="L406" s="71"/>
      <c r="R406" s="5"/>
    </row>
    <row r="407" spans="1:18" x14ac:dyDescent="0.35">
      <c r="A407" s="5"/>
      <c r="L407" s="71"/>
      <c r="R407" s="5"/>
    </row>
    <row r="408" spans="1:18" x14ac:dyDescent="0.35">
      <c r="A408" s="5"/>
      <c r="L408" s="71"/>
      <c r="R408" s="5"/>
    </row>
    <row r="409" spans="1:18" x14ac:dyDescent="0.35">
      <c r="A409" s="5"/>
      <c r="L409" s="71"/>
      <c r="R409" s="5"/>
    </row>
    <row r="410" spans="1:18" x14ac:dyDescent="0.35">
      <c r="A410" s="5"/>
      <c r="L410" s="71"/>
      <c r="R410" s="5"/>
    </row>
    <row r="411" spans="1:18" x14ac:dyDescent="0.35">
      <c r="A411" s="5"/>
      <c r="L411" s="71"/>
      <c r="R411" s="5"/>
    </row>
    <row r="412" spans="1:18" x14ac:dyDescent="0.35">
      <c r="A412" s="5"/>
      <c r="L412" s="71"/>
      <c r="R412" s="5"/>
    </row>
    <row r="413" spans="1:18" x14ac:dyDescent="0.35">
      <c r="A413" s="5"/>
      <c r="L413" s="71"/>
      <c r="R413" s="5"/>
    </row>
    <row r="414" spans="1:18" x14ac:dyDescent="0.35">
      <c r="A414" s="5"/>
      <c r="L414" s="71"/>
      <c r="R414" s="5"/>
    </row>
    <row r="415" spans="1:18" x14ac:dyDescent="0.35">
      <c r="A415" s="5"/>
      <c r="L415" s="71"/>
      <c r="R415" s="5"/>
    </row>
    <row r="416" spans="1:18" x14ac:dyDescent="0.35">
      <c r="A416" s="5"/>
      <c r="L416" s="71"/>
      <c r="R416" s="5"/>
    </row>
    <row r="417" spans="1:18" x14ac:dyDescent="0.35">
      <c r="A417" s="5"/>
      <c r="L417" s="71"/>
      <c r="R417" s="5"/>
    </row>
    <row r="418" spans="1:18" x14ac:dyDescent="0.35">
      <c r="A418" s="5"/>
      <c r="L418" s="71"/>
      <c r="R418" s="5"/>
    </row>
    <row r="419" spans="1:18" x14ac:dyDescent="0.35">
      <c r="A419" s="5"/>
      <c r="L419" s="71"/>
      <c r="R419" s="5"/>
    </row>
    <row r="420" spans="1:18" x14ac:dyDescent="0.35">
      <c r="A420" s="5"/>
      <c r="L420" s="71"/>
      <c r="R420" s="5"/>
    </row>
    <row r="421" spans="1:18" x14ac:dyDescent="0.35">
      <c r="A421" s="5"/>
      <c r="L421" s="71"/>
      <c r="R421" s="5"/>
    </row>
    <row r="422" spans="1:18" x14ac:dyDescent="0.35">
      <c r="A422" s="5"/>
      <c r="L422" s="71"/>
      <c r="R422" s="5"/>
    </row>
    <row r="423" spans="1:18" x14ac:dyDescent="0.35">
      <c r="A423" s="5"/>
      <c r="L423" s="71"/>
      <c r="R423" s="5"/>
    </row>
    <row r="424" spans="1:18" x14ac:dyDescent="0.35">
      <c r="A424" s="5"/>
      <c r="L424" s="71"/>
      <c r="R424" s="5"/>
    </row>
    <row r="425" spans="1:18" x14ac:dyDescent="0.35">
      <c r="A425" s="5"/>
      <c r="L425" s="71"/>
      <c r="R425" s="5"/>
    </row>
    <row r="426" spans="1:18" x14ac:dyDescent="0.35">
      <c r="A426" s="5"/>
      <c r="L426" s="71"/>
      <c r="R426" s="5"/>
    </row>
    <row r="427" spans="1:18" x14ac:dyDescent="0.35">
      <c r="A427" s="5"/>
      <c r="L427" s="71"/>
      <c r="R427" s="5"/>
    </row>
    <row r="428" spans="1:18" x14ac:dyDescent="0.35">
      <c r="A428" s="5"/>
      <c r="L428" s="71"/>
      <c r="R428" s="5"/>
    </row>
    <row r="429" spans="1:18" x14ac:dyDescent="0.35">
      <c r="A429" s="5"/>
      <c r="L429" s="71"/>
      <c r="R429" s="5"/>
    </row>
    <row r="430" spans="1:18" x14ac:dyDescent="0.35">
      <c r="A430" s="5"/>
      <c r="L430" s="71"/>
      <c r="R430" s="5"/>
    </row>
    <row r="431" spans="1:18" x14ac:dyDescent="0.35">
      <c r="A431" s="5"/>
      <c r="L431" s="71"/>
      <c r="R431" s="5"/>
    </row>
    <row r="432" spans="1:18" x14ac:dyDescent="0.35">
      <c r="A432" s="5"/>
      <c r="L432" s="71"/>
      <c r="R432" s="5"/>
    </row>
    <row r="433" spans="1:18" x14ac:dyDescent="0.35">
      <c r="A433" s="5"/>
      <c r="L433" s="71"/>
      <c r="R433" s="5"/>
    </row>
    <row r="434" spans="1:18" x14ac:dyDescent="0.35">
      <c r="A434" s="5"/>
      <c r="L434" s="71"/>
      <c r="R434" s="5"/>
    </row>
    <row r="435" spans="1:18" x14ac:dyDescent="0.35">
      <c r="A435" s="5"/>
      <c r="L435" s="71"/>
      <c r="R435" s="5"/>
    </row>
    <row r="436" spans="1:18" x14ac:dyDescent="0.35">
      <c r="A436" s="5"/>
      <c r="L436" s="71"/>
      <c r="R436" s="5"/>
    </row>
    <row r="437" spans="1:18" x14ac:dyDescent="0.35">
      <c r="A437" s="5"/>
      <c r="L437" s="71"/>
      <c r="R437" s="5"/>
    </row>
    <row r="438" spans="1:18" x14ac:dyDescent="0.35">
      <c r="A438" s="5"/>
      <c r="L438" s="71"/>
      <c r="R438" s="5"/>
    </row>
    <row r="439" spans="1:18" x14ac:dyDescent="0.35">
      <c r="A439" s="5"/>
      <c r="L439" s="71"/>
      <c r="R439" s="5"/>
    </row>
    <row r="440" spans="1:18" x14ac:dyDescent="0.35">
      <c r="A440" s="5"/>
      <c r="L440" s="71"/>
      <c r="R440" s="5"/>
    </row>
    <row r="441" spans="1:18" x14ac:dyDescent="0.35">
      <c r="A441" s="5"/>
      <c r="L441" s="71"/>
      <c r="R441" s="5"/>
    </row>
    <row r="442" spans="1:18" x14ac:dyDescent="0.35">
      <c r="A442" s="5"/>
      <c r="L442" s="71"/>
      <c r="R442" s="5"/>
    </row>
    <row r="443" spans="1:18" x14ac:dyDescent="0.35">
      <c r="A443" s="5"/>
      <c r="L443" s="71"/>
      <c r="R443" s="5"/>
    </row>
    <row r="444" spans="1:18" x14ac:dyDescent="0.35">
      <c r="A444" s="5"/>
      <c r="L444" s="71"/>
      <c r="R444" s="5"/>
    </row>
    <row r="445" spans="1:18" x14ac:dyDescent="0.35">
      <c r="A445" s="5"/>
      <c r="L445" s="71"/>
      <c r="R445" s="5"/>
    </row>
    <row r="446" spans="1:18" x14ac:dyDescent="0.35">
      <c r="A446" s="5"/>
      <c r="L446" s="71"/>
      <c r="R446" s="5"/>
    </row>
    <row r="447" spans="1:18" x14ac:dyDescent="0.35">
      <c r="A447" s="5"/>
      <c r="L447" s="71"/>
      <c r="R447" s="5"/>
    </row>
    <row r="448" spans="1:18" x14ac:dyDescent="0.35">
      <c r="A448" s="5"/>
      <c r="L448" s="71"/>
      <c r="R448" s="5"/>
    </row>
    <row r="449" spans="1:18" x14ac:dyDescent="0.35">
      <c r="A449" s="5"/>
      <c r="L449" s="71"/>
      <c r="R449" s="5"/>
    </row>
    <row r="450" spans="1:18" x14ac:dyDescent="0.35">
      <c r="A450" s="5"/>
      <c r="L450" s="71"/>
      <c r="R450" s="5"/>
    </row>
    <row r="451" spans="1:18" x14ac:dyDescent="0.35">
      <c r="A451" s="5"/>
      <c r="L451" s="71"/>
      <c r="R451" s="5"/>
    </row>
    <row r="452" spans="1:18" x14ac:dyDescent="0.35">
      <c r="A452" s="5"/>
      <c r="L452" s="71"/>
      <c r="R452" s="5"/>
    </row>
    <row r="453" spans="1:18" x14ac:dyDescent="0.35">
      <c r="A453" s="5"/>
      <c r="L453" s="71"/>
      <c r="R453" s="5"/>
    </row>
    <row r="454" spans="1:18" x14ac:dyDescent="0.35">
      <c r="A454" s="5"/>
      <c r="L454" s="71"/>
      <c r="R454" s="5"/>
    </row>
    <row r="455" spans="1:18" x14ac:dyDescent="0.35">
      <c r="A455" s="5"/>
      <c r="L455" s="71"/>
      <c r="R455" s="5"/>
    </row>
    <row r="456" spans="1:18" x14ac:dyDescent="0.35">
      <c r="A456" s="5"/>
      <c r="L456" s="71"/>
      <c r="R456" s="5"/>
    </row>
    <row r="457" spans="1:18" x14ac:dyDescent="0.35">
      <c r="A457" s="5"/>
      <c r="L457" s="71"/>
      <c r="R457" s="5"/>
    </row>
    <row r="458" spans="1:18" x14ac:dyDescent="0.35">
      <c r="A458" s="5"/>
      <c r="L458" s="71"/>
      <c r="R458" s="5"/>
    </row>
    <row r="459" spans="1:18" x14ac:dyDescent="0.35">
      <c r="A459" s="5"/>
      <c r="L459" s="71"/>
      <c r="R459" s="5"/>
    </row>
    <row r="460" spans="1:18" x14ac:dyDescent="0.35">
      <c r="A460" s="5"/>
      <c r="L460" s="71"/>
      <c r="R460" s="5"/>
    </row>
    <row r="461" spans="1:18" x14ac:dyDescent="0.35">
      <c r="A461" s="5"/>
      <c r="L461" s="71"/>
      <c r="R461" s="5"/>
    </row>
    <row r="462" spans="1:18" x14ac:dyDescent="0.35">
      <c r="A462" s="5"/>
      <c r="L462" s="71"/>
      <c r="R462" s="5"/>
    </row>
    <row r="463" spans="1:18" x14ac:dyDescent="0.35">
      <c r="A463" s="5"/>
      <c r="L463" s="71"/>
      <c r="R463" s="5"/>
    </row>
    <row r="464" spans="1:18" x14ac:dyDescent="0.35">
      <c r="A464" s="5"/>
      <c r="L464" s="71"/>
      <c r="R464" s="5"/>
    </row>
    <row r="465" spans="1:18" x14ac:dyDescent="0.35">
      <c r="A465" s="5"/>
      <c r="L465" s="71"/>
      <c r="R465" s="5"/>
    </row>
    <row r="466" spans="1:18" x14ac:dyDescent="0.35">
      <c r="A466" s="5"/>
      <c r="L466" s="71"/>
      <c r="R466" s="5"/>
    </row>
    <row r="467" spans="1:18" x14ac:dyDescent="0.35">
      <c r="A467" s="5"/>
      <c r="L467" s="71"/>
      <c r="R467" s="5"/>
    </row>
    <row r="468" spans="1:18" x14ac:dyDescent="0.35">
      <c r="A468" s="5"/>
      <c r="L468" s="71"/>
      <c r="R468" s="5"/>
    </row>
    <row r="469" spans="1:18" x14ac:dyDescent="0.35">
      <c r="A469" s="5"/>
      <c r="L469" s="71"/>
      <c r="R469" s="5"/>
    </row>
    <row r="470" spans="1:18" x14ac:dyDescent="0.35">
      <c r="A470" s="5"/>
      <c r="L470" s="71"/>
      <c r="R470" s="5"/>
    </row>
    <row r="471" spans="1:18" x14ac:dyDescent="0.35">
      <c r="A471" s="5"/>
      <c r="L471" s="71"/>
      <c r="R471" s="5"/>
    </row>
    <row r="472" spans="1:18" x14ac:dyDescent="0.35">
      <c r="A472" s="5"/>
      <c r="L472" s="71"/>
      <c r="R472" s="5"/>
    </row>
    <row r="473" spans="1:18" x14ac:dyDescent="0.35">
      <c r="A473" s="5"/>
      <c r="L473" s="71"/>
      <c r="R473" s="5"/>
    </row>
    <row r="474" spans="1:18" x14ac:dyDescent="0.35">
      <c r="A474" s="5"/>
      <c r="L474" s="71"/>
      <c r="R474" s="5"/>
    </row>
    <row r="475" spans="1:18" x14ac:dyDescent="0.35">
      <c r="A475" s="5"/>
      <c r="L475" s="71"/>
      <c r="R475" s="5"/>
    </row>
    <row r="476" spans="1:18" x14ac:dyDescent="0.35">
      <c r="A476" s="5"/>
      <c r="L476" s="71"/>
      <c r="R476" s="5"/>
    </row>
    <row r="477" spans="1:18" x14ac:dyDescent="0.35">
      <c r="A477" s="5"/>
      <c r="L477" s="71"/>
      <c r="R477" s="5"/>
    </row>
    <row r="478" spans="1:18" x14ac:dyDescent="0.35">
      <c r="A478" s="5"/>
      <c r="L478" s="71"/>
      <c r="R478" s="5"/>
    </row>
    <row r="479" spans="1:18" x14ac:dyDescent="0.35">
      <c r="A479" s="5"/>
      <c r="L479" s="71"/>
      <c r="R479" s="5"/>
    </row>
    <row r="480" spans="1:18" x14ac:dyDescent="0.35">
      <c r="A480" s="5"/>
      <c r="L480" s="71"/>
      <c r="R480" s="5"/>
    </row>
    <row r="481" spans="1:18" x14ac:dyDescent="0.35">
      <c r="A481" s="5"/>
      <c r="L481" s="71"/>
      <c r="R481" s="5"/>
    </row>
    <row r="482" spans="1:18" x14ac:dyDescent="0.35">
      <c r="A482" s="5"/>
      <c r="L482" s="71"/>
      <c r="R482" s="5"/>
    </row>
    <row r="483" spans="1:18" x14ac:dyDescent="0.35">
      <c r="A483" s="5"/>
      <c r="L483" s="71"/>
      <c r="R483" s="5"/>
    </row>
    <row r="484" spans="1:18" x14ac:dyDescent="0.35">
      <c r="A484" s="5"/>
      <c r="L484" s="71"/>
      <c r="R484" s="5"/>
    </row>
    <row r="485" spans="1:18" x14ac:dyDescent="0.35">
      <c r="A485" s="5"/>
      <c r="L485" s="71"/>
      <c r="R485" s="5"/>
    </row>
    <row r="486" spans="1:18" x14ac:dyDescent="0.35">
      <c r="A486" s="5"/>
      <c r="L486" s="71"/>
      <c r="R486" s="5"/>
    </row>
    <row r="487" spans="1:18" x14ac:dyDescent="0.35">
      <c r="A487" s="5"/>
      <c r="L487" s="71"/>
      <c r="R487" s="5"/>
    </row>
    <row r="488" spans="1:18" x14ac:dyDescent="0.35">
      <c r="A488" s="5"/>
      <c r="L488" s="71"/>
      <c r="R488" s="5"/>
    </row>
    <row r="489" spans="1:18" x14ac:dyDescent="0.35">
      <c r="A489" s="5"/>
      <c r="L489" s="71"/>
      <c r="R489" s="5"/>
    </row>
    <row r="490" spans="1:18" x14ac:dyDescent="0.35">
      <c r="A490" s="5"/>
      <c r="L490" s="71"/>
      <c r="R490" s="5"/>
    </row>
    <row r="491" spans="1:18" x14ac:dyDescent="0.35">
      <c r="A491" s="5"/>
      <c r="L491" s="71"/>
      <c r="R491" s="5"/>
    </row>
    <row r="492" spans="1:18" x14ac:dyDescent="0.35">
      <c r="A492" s="5"/>
      <c r="L492" s="71"/>
      <c r="R492" s="5"/>
    </row>
    <row r="493" spans="1:18" x14ac:dyDescent="0.35">
      <c r="A493" s="5"/>
      <c r="L493" s="71"/>
      <c r="R493" s="5"/>
    </row>
    <row r="494" spans="1:18" x14ac:dyDescent="0.35">
      <c r="A494" s="5"/>
      <c r="L494" s="71"/>
      <c r="R494" s="5"/>
    </row>
    <row r="495" spans="1:18" x14ac:dyDescent="0.35">
      <c r="A495" s="5"/>
      <c r="L495" s="71"/>
      <c r="R495" s="5"/>
    </row>
    <row r="496" spans="1:18" x14ac:dyDescent="0.35">
      <c r="A496" s="5"/>
      <c r="L496" s="71"/>
      <c r="R496" s="5"/>
    </row>
    <row r="497" spans="1:18" x14ac:dyDescent="0.35">
      <c r="A497" s="5"/>
      <c r="L497" s="71"/>
      <c r="R497" s="5"/>
    </row>
    <row r="498" spans="1:18" x14ac:dyDescent="0.35">
      <c r="A498" s="5"/>
      <c r="L498" s="71"/>
      <c r="R498" s="5"/>
    </row>
    <row r="499" spans="1:18" x14ac:dyDescent="0.35">
      <c r="A499" s="5"/>
      <c r="L499" s="71"/>
      <c r="R499" s="5"/>
    </row>
    <row r="500" spans="1:18" x14ac:dyDescent="0.35">
      <c r="A500" s="5"/>
      <c r="L500" s="71"/>
      <c r="R500" s="5"/>
    </row>
    <row r="501" spans="1:18" x14ac:dyDescent="0.35">
      <c r="A501" s="5"/>
      <c r="L501" s="71"/>
      <c r="R501" s="5"/>
    </row>
    <row r="502" spans="1:18" x14ac:dyDescent="0.35">
      <c r="A502" s="5"/>
      <c r="L502" s="71"/>
      <c r="R502" s="5"/>
    </row>
    <row r="503" spans="1:18" x14ac:dyDescent="0.35">
      <c r="A503" s="5"/>
      <c r="L503" s="71"/>
      <c r="R503" s="5"/>
    </row>
    <row r="504" spans="1:18" x14ac:dyDescent="0.35">
      <c r="A504" s="5"/>
      <c r="L504" s="71"/>
      <c r="R504" s="5"/>
    </row>
    <row r="505" spans="1:18" x14ac:dyDescent="0.35">
      <c r="A505" s="5"/>
      <c r="L505" s="71"/>
      <c r="R505" s="5"/>
    </row>
    <row r="506" spans="1:18" x14ac:dyDescent="0.35">
      <c r="A506" s="5"/>
      <c r="L506" s="71"/>
      <c r="R506" s="5"/>
    </row>
    <row r="507" spans="1:18" x14ac:dyDescent="0.35">
      <c r="A507" s="5"/>
      <c r="L507" s="71"/>
      <c r="R507" s="5"/>
    </row>
    <row r="508" spans="1:18" x14ac:dyDescent="0.35">
      <c r="A508" s="5"/>
      <c r="L508" s="71"/>
      <c r="R508" s="5"/>
    </row>
    <row r="509" spans="1:18" x14ac:dyDescent="0.35">
      <c r="A509" s="5"/>
      <c r="L509" s="71"/>
      <c r="R509" s="5"/>
    </row>
    <row r="510" spans="1:18" x14ac:dyDescent="0.35">
      <c r="A510" s="5"/>
      <c r="L510" s="71"/>
      <c r="R510" s="5"/>
    </row>
    <row r="511" spans="1:18" x14ac:dyDescent="0.35">
      <c r="A511" s="5"/>
      <c r="L511" s="71"/>
      <c r="R511" s="5"/>
    </row>
    <row r="512" spans="1:18" x14ac:dyDescent="0.35">
      <c r="A512" s="5"/>
      <c r="L512" s="71"/>
      <c r="R512" s="5"/>
    </row>
    <row r="513" spans="1:18" x14ac:dyDescent="0.35">
      <c r="A513" s="5"/>
      <c r="L513" s="71"/>
      <c r="R513" s="5"/>
    </row>
    <row r="514" spans="1:18" x14ac:dyDescent="0.35">
      <c r="A514" s="5"/>
      <c r="L514" s="71"/>
      <c r="R514" s="5"/>
    </row>
    <row r="515" spans="1:18" x14ac:dyDescent="0.35">
      <c r="A515" s="5"/>
      <c r="L515" s="71"/>
      <c r="R515" s="5"/>
    </row>
    <row r="516" spans="1:18" x14ac:dyDescent="0.35">
      <c r="A516" s="5"/>
      <c r="L516" s="71"/>
      <c r="R516" s="5"/>
    </row>
    <row r="517" spans="1:18" x14ac:dyDescent="0.35">
      <c r="A517" s="5"/>
      <c r="L517" s="71"/>
      <c r="R517" s="5"/>
    </row>
    <row r="518" spans="1:18" x14ac:dyDescent="0.35">
      <c r="A518" s="5"/>
      <c r="L518" s="71"/>
      <c r="R518" s="5"/>
    </row>
    <row r="519" spans="1:18" x14ac:dyDescent="0.35">
      <c r="A519" s="5"/>
      <c r="L519" s="71"/>
      <c r="R519" s="5"/>
    </row>
    <row r="520" spans="1:18" x14ac:dyDescent="0.35">
      <c r="A520" s="5"/>
      <c r="L520" s="71"/>
      <c r="R520" s="5"/>
    </row>
    <row r="521" spans="1:18" x14ac:dyDescent="0.35">
      <c r="A521" s="5"/>
      <c r="L521" s="71"/>
      <c r="R521" s="5"/>
    </row>
    <row r="522" spans="1:18" x14ac:dyDescent="0.35">
      <c r="A522" s="5"/>
      <c r="L522" s="71"/>
      <c r="R522" s="5"/>
    </row>
    <row r="523" spans="1:18" x14ac:dyDescent="0.35">
      <c r="A523" s="5"/>
      <c r="L523" s="71"/>
      <c r="R523" s="5"/>
    </row>
    <row r="524" spans="1:18" x14ac:dyDescent="0.35">
      <c r="A524" s="5"/>
      <c r="L524" s="71"/>
      <c r="R524" s="5"/>
    </row>
    <row r="525" spans="1:18" x14ac:dyDescent="0.35">
      <c r="A525" s="5"/>
      <c r="L525" s="71"/>
      <c r="R525" s="5"/>
    </row>
    <row r="526" spans="1:18" x14ac:dyDescent="0.35">
      <c r="A526" s="5"/>
      <c r="L526" s="71"/>
      <c r="R526" s="5"/>
    </row>
    <row r="527" spans="1:18" x14ac:dyDescent="0.35">
      <c r="A527" s="5"/>
      <c r="L527" s="71"/>
      <c r="R527" s="5"/>
    </row>
    <row r="528" spans="1:18" x14ac:dyDescent="0.35">
      <c r="A528" s="5"/>
      <c r="L528" s="71"/>
      <c r="R528" s="5"/>
    </row>
    <row r="529" spans="1:18" x14ac:dyDescent="0.35">
      <c r="A529" s="5"/>
      <c r="L529" s="71"/>
      <c r="R529" s="5"/>
    </row>
    <row r="530" spans="1:18" x14ac:dyDescent="0.35">
      <c r="A530" s="5"/>
      <c r="L530" s="71"/>
      <c r="R530" s="5"/>
    </row>
    <row r="531" spans="1:18" x14ac:dyDescent="0.35">
      <c r="A531" s="5"/>
      <c r="L531" s="71"/>
      <c r="R531" s="5"/>
    </row>
    <row r="532" spans="1:18" x14ac:dyDescent="0.35">
      <c r="A532" s="5"/>
      <c r="L532" s="71"/>
      <c r="R532" s="5"/>
    </row>
    <row r="533" spans="1:18" x14ac:dyDescent="0.35">
      <c r="A533" s="5"/>
      <c r="L533" s="71"/>
      <c r="R533" s="5"/>
    </row>
    <row r="534" spans="1:18" x14ac:dyDescent="0.35">
      <c r="A534" s="5"/>
      <c r="L534" s="71"/>
      <c r="R534" s="5"/>
    </row>
    <row r="535" spans="1:18" x14ac:dyDescent="0.35">
      <c r="A535" s="5"/>
      <c r="L535" s="71"/>
      <c r="R535" s="5"/>
    </row>
    <row r="536" spans="1:18" x14ac:dyDescent="0.35">
      <c r="A536" s="5"/>
      <c r="L536" s="71"/>
      <c r="R536" s="5"/>
    </row>
    <row r="537" spans="1:18" x14ac:dyDescent="0.35">
      <c r="A537" s="5"/>
      <c r="L537" s="71"/>
      <c r="R537" s="5"/>
    </row>
    <row r="538" spans="1:18" x14ac:dyDescent="0.35">
      <c r="A538" s="5"/>
      <c r="L538" s="71"/>
      <c r="R538" s="5"/>
    </row>
    <row r="539" spans="1:18" x14ac:dyDescent="0.35">
      <c r="A539" s="5"/>
      <c r="L539" s="71"/>
      <c r="R539" s="5"/>
    </row>
    <row r="540" spans="1:18" x14ac:dyDescent="0.35">
      <c r="A540" s="5"/>
      <c r="L540" s="71"/>
      <c r="R540" s="5"/>
    </row>
    <row r="541" spans="1:18" x14ac:dyDescent="0.35">
      <c r="A541" s="5"/>
      <c r="L541" s="71"/>
      <c r="R541" s="5"/>
    </row>
    <row r="542" spans="1:18" x14ac:dyDescent="0.35">
      <c r="A542" s="5"/>
      <c r="L542" s="71"/>
      <c r="R542" s="5"/>
    </row>
    <row r="543" spans="1:18" x14ac:dyDescent="0.35">
      <c r="A543" s="5"/>
      <c r="L543" s="71"/>
      <c r="R543" s="5"/>
    </row>
    <row r="544" spans="1:18" x14ac:dyDescent="0.35">
      <c r="A544" s="5"/>
      <c r="L544" s="71"/>
      <c r="R544" s="5"/>
    </row>
    <row r="545" spans="1:18" x14ac:dyDescent="0.35">
      <c r="A545" s="5"/>
      <c r="L545" s="71"/>
      <c r="R545" s="5"/>
    </row>
    <row r="546" spans="1:18" x14ac:dyDescent="0.35">
      <c r="A546" s="5"/>
      <c r="L546" s="71"/>
      <c r="R546" s="5"/>
    </row>
    <row r="547" spans="1:18" x14ac:dyDescent="0.35">
      <c r="A547" s="5"/>
      <c r="L547" s="71"/>
      <c r="R547" s="5"/>
    </row>
    <row r="548" spans="1:18" x14ac:dyDescent="0.35">
      <c r="A548" s="5"/>
      <c r="L548" s="71"/>
      <c r="R548" s="5"/>
    </row>
    <row r="549" spans="1:18" x14ac:dyDescent="0.35">
      <c r="A549" s="5"/>
      <c r="L549" s="71"/>
      <c r="R549" s="5"/>
    </row>
    <row r="550" spans="1:18" x14ac:dyDescent="0.35">
      <c r="A550" s="5"/>
      <c r="L550" s="71"/>
      <c r="R550" s="5"/>
    </row>
    <row r="551" spans="1:18" x14ac:dyDescent="0.35">
      <c r="A551" s="5"/>
      <c r="L551" s="71"/>
      <c r="R551" s="5"/>
    </row>
    <row r="552" spans="1:18" x14ac:dyDescent="0.35">
      <c r="A552" s="5"/>
      <c r="L552" s="71"/>
      <c r="R552" s="5"/>
    </row>
    <row r="553" spans="1:18" x14ac:dyDescent="0.35">
      <c r="A553" s="5"/>
      <c r="L553" s="71"/>
      <c r="R553" s="5"/>
    </row>
    <row r="554" spans="1:18" x14ac:dyDescent="0.35">
      <c r="A554" s="5"/>
      <c r="L554" s="71"/>
      <c r="R554" s="5"/>
    </row>
    <row r="555" spans="1:18" x14ac:dyDescent="0.35">
      <c r="A555" s="5"/>
      <c r="L555" s="71"/>
      <c r="R555" s="5"/>
    </row>
    <row r="556" spans="1:18" x14ac:dyDescent="0.35">
      <c r="A556" s="5"/>
      <c r="L556" s="71"/>
      <c r="R556" s="5"/>
    </row>
    <row r="557" spans="1:18" x14ac:dyDescent="0.35">
      <c r="A557" s="5"/>
      <c r="L557" s="71"/>
      <c r="R557" s="5"/>
    </row>
    <row r="558" spans="1:18" x14ac:dyDescent="0.35">
      <c r="A558" s="5"/>
      <c r="L558" s="71"/>
      <c r="R558" s="5"/>
    </row>
    <row r="559" spans="1:18" x14ac:dyDescent="0.35">
      <c r="A559" s="5"/>
      <c r="L559" s="71"/>
      <c r="R559" s="5"/>
    </row>
    <row r="560" spans="1:18" x14ac:dyDescent="0.35">
      <c r="A560" s="5"/>
      <c r="L560" s="71"/>
      <c r="R560" s="5"/>
    </row>
    <row r="561" spans="1:18" x14ac:dyDescent="0.35">
      <c r="A561" s="5"/>
      <c r="L561" s="71"/>
      <c r="R561" s="5"/>
    </row>
    <row r="562" spans="1:18" x14ac:dyDescent="0.35">
      <c r="A562" s="5"/>
      <c r="L562" s="71"/>
      <c r="R562" s="5"/>
    </row>
    <row r="563" spans="1:18" x14ac:dyDescent="0.35">
      <c r="A563" s="5"/>
      <c r="L563" s="71"/>
      <c r="R563" s="5"/>
    </row>
    <row r="564" spans="1:18" x14ac:dyDescent="0.35">
      <c r="A564" s="5"/>
      <c r="L564" s="71"/>
      <c r="R564" s="5"/>
    </row>
    <row r="565" spans="1:18" x14ac:dyDescent="0.35">
      <c r="A565" s="5"/>
      <c r="L565" s="71"/>
      <c r="R565" s="5"/>
    </row>
    <row r="566" spans="1:18" x14ac:dyDescent="0.35">
      <c r="A566" s="5"/>
      <c r="L566" s="71"/>
      <c r="R566" s="5"/>
    </row>
    <row r="567" spans="1:18" x14ac:dyDescent="0.35">
      <c r="A567" s="5"/>
      <c r="L567" s="71"/>
      <c r="R567" s="5"/>
    </row>
    <row r="568" spans="1:18" x14ac:dyDescent="0.35">
      <c r="A568" s="5"/>
      <c r="L568" s="71"/>
      <c r="R568" s="5"/>
    </row>
    <row r="569" spans="1:18" x14ac:dyDescent="0.35">
      <c r="A569" s="5"/>
      <c r="L569" s="71"/>
      <c r="R569" s="5"/>
    </row>
    <row r="570" spans="1:18" x14ac:dyDescent="0.35">
      <c r="A570" s="5"/>
      <c r="L570" s="71"/>
      <c r="R570" s="5"/>
    </row>
    <row r="571" spans="1:18" x14ac:dyDescent="0.35">
      <c r="A571" s="5"/>
      <c r="L571" s="71"/>
      <c r="R571" s="5"/>
    </row>
    <row r="572" spans="1:18" x14ac:dyDescent="0.35">
      <c r="A572" s="5"/>
      <c r="L572" s="71"/>
      <c r="R572" s="5"/>
    </row>
    <row r="573" spans="1:18" x14ac:dyDescent="0.35">
      <c r="A573" s="5"/>
      <c r="L573" s="71"/>
      <c r="R573" s="5"/>
    </row>
    <row r="574" spans="1:18" x14ac:dyDescent="0.35">
      <c r="A574" s="5"/>
      <c r="L574" s="71"/>
      <c r="R574" s="5"/>
    </row>
    <row r="575" spans="1:18" x14ac:dyDescent="0.35">
      <c r="A575" s="5"/>
      <c r="L575" s="71"/>
      <c r="R575" s="5"/>
    </row>
    <row r="576" spans="1:18" x14ac:dyDescent="0.35">
      <c r="A576" s="5"/>
      <c r="L576" s="71"/>
      <c r="R576" s="5"/>
    </row>
    <row r="577" spans="1:18" x14ac:dyDescent="0.35">
      <c r="A577" s="5"/>
      <c r="L577" s="71"/>
      <c r="R577" s="5"/>
    </row>
    <row r="578" spans="1:18" x14ac:dyDescent="0.35">
      <c r="A578" s="5"/>
      <c r="L578" s="71"/>
      <c r="R578" s="5"/>
    </row>
    <row r="579" spans="1:18" x14ac:dyDescent="0.35">
      <c r="A579" s="5"/>
      <c r="L579" s="71"/>
      <c r="R579" s="5"/>
    </row>
    <row r="580" spans="1:18" x14ac:dyDescent="0.35">
      <c r="A580" s="5"/>
      <c r="L580" s="71"/>
      <c r="R580" s="5"/>
    </row>
    <row r="581" spans="1:18" x14ac:dyDescent="0.35">
      <c r="A581" s="5"/>
      <c r="L581" s="71"/>
      <c r="R581" s="5"/>
    </row>
    <row r="582" spans="1:18" x14ac:dyDescent="0.35">
      <c r="A582" s="5"/>
      <c r="L582" s="71"/>
      <c r="R582" s="5"/>
    </row>
    <row r="583" spans="1:18" x14ac:dyDescent="0.35">
      <c r="A583" s="5"/>
      <c r="L583" s="71"/>
      <c r="R583" s="5"/>
    </row>
    <row r="584" spans="1:18" x14ac:dyDescent="0.35">
      <c r="A584" s="5"/>
      <c r="L584" s="71"/>
      <c r="R584" s="5"/>
    </row>
    <row r="585" spans="1:18" x14ac:dyDescent="0.35">
      <c r="A585" s="5"/>
      <c r="L585" s="71"/>
      <c r="R585" s="5"/>
    </row>
    <row r="586" spans="1:18" x14ac:dyDescent="0.35">
      <c r="A586" s="5"/>
      <c r="L586" s="71"/>
      <c r="R586" s="5"/>
    </row>
    <row r="587" spans="1:18" x14ac:dyDescent="0.35">
      <c r="A587" s="5"/>
      <c r="L587" s="71"/>
      <c r="R587" s="5"/>
    </row>
    <row r="588" spans="1:18" x14ac:dyDescent="0.35">
      <c r="A588" s="5"/>
      <c r="L588" s="71"/>
      <c r="R588" s="5"/>
    </row>
    <row r="589" spans="1:18" x14ac:dyDescent="0.35">
      <c r="A589" s="5"/>
      <c r="L589" s="71"/>
      <c r="R589" s="5"/>
    </row>
    <row r="590" spans="1:18" x14ac:dyDescent="0.35">
      <c r="A590" s="5"/>
      <c r="L590" s="71"/>
      <c r="R590" s="5"/>
    </row>
    <row r="591" spans="1:18" x14ac:dyDescent="0.35">
      <c r="A591" s="5"/>
      <c r="L591" s="71"/>
      <c r="R591" s="5"/>
    </row>
    <row r="592" spans="1:18" x14ac:dyDescent="0.35">
      <c r="A592" s="5"/>
      <c r="L592" s="71"/>
      <c r="R592" s="5"/>
    </row>
    <row r="593" spans="1:18" x14ac:dyDescent="0.35">
      <c r="A593" s="5"/>
      <c r="L593" s="71"/>
      <c r="R593" s="5"/>
    </row>
    <row r="594" spans="1:18" x14ac:dyDescent="0.35">
      <c r="A594" s="5"/>
      <c r="L594" s="71"/>
      <c r="R594" s="5"/>
    </row>
    <row r="595" spans="1:18" x14ac:dyDescent="0.35">
      <c r="A595" s="5"/>
      <c r="L595" s="71"/>
      <c r="R595" s="5"/>
    </row>
    <row r="596" spans="1:18" x14ac:dyDescent="0.35">
      <c r="A596" s="5"/>
      <c r="L596" s="71"/>
      <c r="R596" s="5"/>
    </row>
    <row r="597" spans="1:18" x14ac:dyDescent="0.35">
      <c r="A597" s="5"/>
      <c r="L597" s="71"/>
      <c r="R597" s="5"/>
    </row>
    <row r="598" spans="1:18" x14ac:dyDescent="0.35">
      <c r="A598" s="5"/>
      <c r="L598" s="71"/>
      <c r="R598" s="5"/>
    </row>
    <row r="599" spans="1:18" x14ac:dyDescent="0.35">
      <c r="A599" s="5"/>
      <c r="L599" s="71"/>
      <c r="R599" s="5"/>
    </row>
    <row r="600" spans="1:18" x14ac:dyDescent="0.35">
      <c r="A600" s="5"/>
      <c r="L600" s="71"/>
      <c r="R600" s="5"/>
    </row>
    <row r="601" spans="1:18" x14ac:dyDescent="0.35">
      <c r="A601" s="5"/>
      <c r="L601" s="71"/>
      <c r="R601" s="5"/>
    </row>
    <row r="602" spans="1:18" x14ac:dyDescent="0.35">
      <c r="A602" s="5"/>
      <c r="L602" s="71"/>
      <c r="R602" s="5"/>
    </row>
    <row r="603" spans="1:18" x14ac:dyDescent="0.35">
      <c r="A603" s="5"/>
      <c r="L603" s="71"/>
      <c r="R603" s="5"/>
    </row>
    <row r="604" spans="1:18" x14ac:dyDescent="0.35">
      <c r="A604" s="5"/>
      <c r="L604" s="71"/>
      <c r="R604" s="5"/>
    </row>
    <row r="605" spans="1:18" x14ac:dyDescent="0.35">
      <c r="A605" s="5"/>
      <c r="L605" s="71"/>
      <c r="R605" s="5"/>
    </row>
    <row r="606" spans="1:18" x14ac:dyDescent="0.35">
      <c r="A606" s="5"/>
      <c r="L606" s="71"/>
      <c r="R606" s="5"/>
    </row>
    <row r="607" spans="1:18" x14ac:dyDescent="0.35">
      <c r="A607" s="5"/>
      <c r="L607" s="71"/>
      <c r="R607" s="5"/>
    </row>
    <row r="608" spans="1:18" x14ac:dyDescent="0.35">
      <c r="A608" s="5"/>
      <c r="L608" s="71"/>
      <c r="R608" s="5"/>
    </row>
    <row r="609" spans="1:18" x14ac:dyDescent="0.35">
      <c r="A609" s="5"/>
      <c r="L609" s="71"/>
      <c r="R609" s="5"/>
    </row>
    <row r="610" spans="1:18" x14ac:dyDescent="0.35">
      <c r="A610" s="5"/>
      <c r="L610" s="71"/>
      <c r="R610" s="5"/>
    </row>
    <row r="611" spans="1:18" x14ac:dyDescent="0.35">
      <c r="A611" s="5"/>
      <c r="L611" s="71"/>
      <c r="R611" s="5"/>
    </row>
    <row r="612" spans="1:18" x14ac:dyDescent="0.35">
      <c r="A612" s="5"/>
      <c r="L612" s="71"/>
      <c r="R612" s="5"/>
    </row>
    <row r="613" spans="1:18" x14ac:dyDescent="0.35">
      <c r="A613" s="5"/>
      <c r="L613" s="71"/>
      <c r="R613" s="5"/>
    </row>
    <row r="614" spans="1:18" x14ac:dyDescent="0.35">
      <c r="A614" s="5"/>
      <c r="L614" s="71"/>
      <c r="R614" s="5"/>
    </row>
    <row r="615" spans="1:18" x14ac:dyDescent="0.35">
      <c r="A615" s="5"/>
      <c r="L615" s="71"/>
      <c r="R615" s="5"/>
    </row>
    <row r="616" spans="1:18" x14ac:dyDescent="0.35">
      <c r="A616" s="5"/>
      <c r="L616" s="71"/>
      <c r="R616" s="5"/>
    </row>
    <row r="617" spans="1:18" x14ac:dyDescent="0.35">
      <c r="A617" s="5"/>
      <c r="L617" s="71"/>
      <c r="R617" s="5"/>
    </row>
    <row r="618" spans="1:18" x14ac:dyDescent="0.35">
      <c r="A618" s="5"/>
      <c r="L618" s="71"/>
      <c r="R618" s="5"/>
    </row>
    <row r="619" spans="1:18" x14ac:dyDescent="0.35">
      <c r="A619" s="5"/>
      <c r="L619" s="71"/>
      <c r="R619" s="5"/>
    </row>
    <row r="620" spans="1:18" x14ac:dyDescent="0.35">
      <c r="A620" s="5"/>
      <c r="L620" s="71"/>
      <c r="R620" s="5"/>
    </row>
    <row r="621" spans="1:18" x14ac:dyDescent="0.35">
      <c r="A621" s="5"/>
      <c r="L621" s="71"/>
      <c r="R621" s="5"/>
    </row>
    <row r="622" spans="1:18" x14ac:dyDescent="0.35">
      <c r="A622" s="5"/>
      <c r="L622" s="71"/>
      <c r="R622" s="5"/>
    </row>
    <row r="623" spans="1:18" x14ac:dyDescent="0.35">
      <c r="A623" s="5"/>
      <c r="L623" s="71"/>
      <c r="R623" s="5"/>
    </row>
    <row r="624" spans="1:18" x14ac:dyDescent="0.35">
      <c r="A624" s="5"/>
      <c r="L624" s="71"/>
      <c r="R624" s="5"/>
    </row>
    <row r="625" spans="1:18" x14ac:dyDescent="0.35">
      <c r="A625" s="5"/>
      <c r="L625" s="71"/>
      <c r="R625" s="5"/>
    </row>
    <row r="626" spans="1:18" x14ac:dyDescent="0.35">
      <c r="A626" s="5"/>
      <c r="L626" s="71"/>
      <c r="R626" s="5"/>
    </row>
    <row r="627" spans="1:18" x14ac:dyDescent="0.35">
      <c r="A627" s="5"/>
      <c r="L627" s="71"/>
      <c r="R627" s="5"/>
    </row>
    <row r="628" spans="1:18" x14ac:dyDescent="0.35">
      <c r="A628" s="5"/>
      <c r="L628" s="71"/>
      <c r="R628" s="5"/>
    </row>
    <row r="629" spans="1:18" x14ac:dyDescent="0.35">
      <c r="A629" s="5"/>
      <c r="L629" s="71"/>
      <c r="R629" s="5"/>
    </row>
    <row r="630" spans="1:18" x14ac:dyDescent="0.35">
      <c r="A630" s="5"/>
      <c r="L630" s="71"/>
      <c r="R630" s="5"/>
    </row>
    <row r="631" spans="1:18" x14ac:dyDescent="0.35">
      <c r="A631" s="5"/>
      <c r="L631" s="71"/>
      <c r="R631" s="5"/>
    </row>
    <row r="632" spans="1:18" x14ac:dyDescent="0.35">
      <c r="A632" s="5"/>
      <c r="L632" s="71"/>
      <c r="R632" s="5"/>
    </row>
    <row r="633" spans="1:18" x14ac:dyDescent="0.35">
      <c r="A633" s="5"/>
      <c r="L633" s="71"/>
      <c r="R633" s="5"/>
    </row>
    <row r="634" spans="1:18" x14ac:dyDescent="0.35">
      <c r="A634" s="5"/>
      <c r="L634" s="71"/>
      <c r="R634" s="5"/>
    </row>
    <row r="635" spans="1:18" x14ac:dyDescent="0.35">
      <c r="A635" s="5"/>
      <c r="L635" s="71"/>
      <c r="R635" s="5"/>
    </row>
    <row r="636" spans="1:18" x14ac:dyDescent="0.35">
      <c r="A636" s="5"/>
      <c r="L636" s="71"/>
      <c r="R636" s="5"/>
    </row>
    <row r="637" spans="1:18" x14ac:dyDescent="0.35">
      <c r="A637" s="5"/>
      <c r="L637" s="71"/>
      <c r="R637" s="5"/>
    </row>
    <row r="638" spans="1:18" x14ac:dyDescent="0.35">
      <c r="A638" s="5"/>
      <c r="L638" s="71"/>
      <c r="R638" s="5"/>
    </row>
    <row r="639" spans="1:18" x14ac:dyDescent="0.35">
      <c r="A639" s="5"/>
      <c r="L639" s="71"/>
      <c r="R639" s="5"/>
    </row>
    <row r="640" spans="1:18" x14ac:dyDescent="0.35">
      <c r="A640" s="5"/>
      <c r="L640" s="71"/>
      <c r="R640" s="5"/>
    </row>
    <row r="641" spans="1:18" x14ac:dyDescent="0.35">
      <c r="A641" s="5"/>
      <c r="L641" s="71"/>
      <c r="R641" s="5"/>
    </row>
    <row r="642" spans="1:18" x14ac:dyDescent="0.35">
      <c r="A642" s="5"/>
      <c r="L642" s="71"/>
      <c r="R642" s="5"/>
    </row>
    <row r="643" spans="1:18" x14ac:dyDescent="0.35">
      <c r="A643" s="5"/>
      <c r="L643" s="71"/>
      <c r="R643" s="5"/>
    </row>
    <row r="644" spans="1:18" x14ac:dyDescent="0.35">
      <c r="A644" s="5"/>
      <c r="L644" s="71"/>
      <c r="R644" s="5"/>
    </row>
    <row r="645" spans="1:18" x14ac:dyDescent="0.35">
      <c r="A645" s="5"/>
      <c r="L645" s="71"/>
      <c r="R645" s="5"/>
    </row>
    <row r="646" spans="1:18" x14ac:dyDescent="0.35">
      <c r="A646" s="5"/>
      <c r="L646" s="71"/>
      <c r="R646" s="5"/>
    </row>
    <row r="647" spans="1:18" x14ac:dyDescent="0.35">
      <c r="A647" s="5"/>
      <c r="L647" s="71"/>
      <c r="R647" s="5"/>
    </row>
    <row r="648" spans="1:18" x14ac:dyDescent="0.35">
      <c r="A648" s="5"/>
      <c r="L648" s="71"/>
      <c r="R648" s="5"/>
    </row>
    <row r="649" spans="1:18" x14ac:dyDescent="0.35">
      <c r="A649" s="5"/>
      <c r="L649" s="71"/>
      <c r="R649" s="5"/>
    </row>
    <row r="650" spans="1:18" x14ac:dyDescent="0.35">
      <c r="A650" s="5"/>
      <c r="L650" s="71"/>
      <c r="R650" s="5"/>
    </row>
    <row r="651" spans="1:18" x14ac:dyDescent="0.35">
      <c r="A651" s="5"/>
      <c r="L651" s="71"/>
      <c r="R651" s="5"/>
    </row>
    <row r="652" spans="1:18" x14ac:dyDescent="0.35">
      <c r="A652" s="5"/>
      <c r="L652" s="71"/>
      <c r="R652" s="5"/>
    </row>
    <row r="653" spans="1:18" x14ac:dyDescent="0.35">
      <c r="A653" s="5"/>
      <c r="L653" s="71"/>
      <c r="R653" s="5"/>
    </row>
    <row r="654" spans="1:18" x14ac:dyDescent="0.35">
      <c r="A654" s="5"/>
      <c r="L654" s="71"/>
      <c r="R654" s="5"/>
    </row>
    <row r="655" spans="1:18" x14ac:dyDescent="0.35">
      <c r="A655" s="5"/>
      <c r="L655" s="71"/>
      <c r="R655" s="5"/>
    </row>
    <row r="656" spans="1:18" x14ac:dyDescent="0.35">
      <c r="A656" s="5"/>
      <c r="L656" s="71"/>
      <c r="R656" s="5"/>
    </row>
    <row r="657" spans="1:18" x14ac:dyDescent="0.35">
      <c r="A657" s="5"/>
      <c r="L657" s="71"/>
      <c r="R657" s="5"/>
    </row>
    <row r="658" spans="1:18" x14ac:dyDescent="0.35">
      <c r="A658" s="5"/>
      <c r="L658" s="71"/>
      <c r="R658" s="5"/>
    </row>
    <row r="659" spans="1:18" x14ac:dyDescent="0.35">
      <c r="A659" s="5"/>
      <c r="L659" s="71"/>
      <c r="R659" s="5"/>
    </row>
    <row r="660" spans="1:18" x14ac:dyDescent="0.35">
      <c r="A660" s="5"/>
      <c r="L660" s="71"/>
      <c r="R660" s="5"/>
    </row>
    <row r="661" spans="1:18" x14ac:dyDescent="0.35">
      <c r="A661" s="5"/>
      <c r="L661" s="71"/>
      <c r="R661" s="5"/>
    </row>
    <row r="662" spans="1:18" x14ac:dyDescent="0.35">
      <c r="A662" s="5"/>
      <c r="L662" s="71"/>
      <c r="R662" s="5"/>
    </row>
    <row r="663" spans="1:18" x14ac:dyDescent="0.35">
      <c r="A663" s="5"/>
      <c r="L663" s="71"/>
      <c r="R663" s="5"/>
    </row>
    <row r="664" spans="1:18" x14ac:dyDescent="0.35">
      <c r="A664" s="5"/>
      <c r="L664" s="71"/>
      <c r="R664" s="5"/>
    </row>
    <row r="665" spans="1:18" x14ac:dyDescent="0.35">
      <c r="A665" s="5"/>
      <c r="L665" s="71"/>
      <c r="R665" s="5"/>
    </row>
    <row r="666" spans="1:18" x14ac:dyDescent="0.35">
      <c r="A666" s="5"/>
      <c r="L666" s="71"/>
      <c r="R666" s="5"/>
    </row>
    <row r="667" spans="1:18" x14ac:dyDescent="0.35">
      <c r="A667" s="5"/>
      <c r="L667" s="71"/>
      <c r="R667" s="5"/>
    </row>
    <row r="668" spans="1:18" x14ac:dyDescent="0.35">
      <c r="A668" s="5"/>
      <c r="L668" s="71"/>
      <c r="R668" s="5"/>
    </row>
    <row r="669" spans="1:18" x14ac:dyDescent="0.35">
      <c r="A669" s="5"/>
      <c r="L669" s="71"/>
      <c r="R669" s="5"/>
    </row>
    <row r="670" spans="1:18" x14ac:dyDescent="0.35">
      <c r="A670" s="5"/>
      <c r="L670" s="71"/>
      <c r="R670" s="5"/>
    </row>
    <row r="671" spans="1:18" x14ac:dyDescent="0.35">
      <c r="A671" s="5"/>
      <c r="L671" s="71"/>
      <c r="R671" s="5"/>
    </row>
    <row r="672" spans="1:18" x14ac:dyDescent="0.35">
      <c r="A672" s="5"/>
      <c r="L672" s="71"/>
      <c r="R672" s="5"/>
    </row>
    <row r="673" spans="1:18" x14ac:dyDescent="0.35">
      <c r="A673" s="5"/>
      <c r="L673" s="71"/>
      <c r="R673" s="5"/>
    </row>
    <row r="674" spans="1:18" x14ac:dyDescent="0.35">
      <c r="A674" s="5"/>
      <c r="L674" s="71"/>
      <c r="R674" s="5"/>
    </row>
    <row r="675" spans="1:18" x14ac:dyDescent="0.35">
      <c r="A675" s="5"/>
      <c r="L675" s="71"/>
      <c r="R675" s="5"/>
    </row>
    <row r="676" spans="1:18" x14ac:dyDescent="0.35">
      <c r="A676" s="5"/>
      <c r="L676" s="71"/>
      <c r="R676" s="5"/>
    </row>
    <row r="677" spans="1:18" x14ac:dyDescent="0.35">
      <c r="A677" s="5"/>
      <c r="L677" s="71"/>
      <c r="R677" s="5"/>
    </row>
    <row r="678" spans="1:18" x14ac:dyDescent="0.35">
      <c r="A678" s="5"/>
      <c r="L678" s="71"/>
      <c r="R678" s="5"/>
    </row>
    <row r="679" spans="1:18" x14ac:dyDescent="0.35">
      <c r="A679" s="5"/>
      <c r="L679" s="71"/>
      <c r="R679" s="5"/>
    </row>
    <row r="680" spans="1:18" x14ac:dyDescent="0.35">
      <c r="A680" s="5"/>
      <c r="L680" s="71"/>
      <c r="R680" s="5"/>
    </row>
    <row r="681" spans="1:18" x14ac:dyDescent="0.35">
      <c r="A681" s="5"/>
      <c r="L681" s="71"/>
      <c r="R681" s="5"/>
    </row>
    <row r="682" spans="1:18" x14ac:dyDescent="0.35">
      <c r="A682" s="5"/>
      <c r="L682" s="71"/>
      <c r="R682" s="5"/>
    </row>
    <row r="683" spans="1:18" x14ac:dyDescent="0.35">
      <c r="A683" s="5"/>
      <c r="L683" s="71"/>
      <c r="R683" s="5"/>
    </row>
    <row r="684" spans="1:18" x14ac:dyDescent="0.35">
      <c r="A684" s="5"/>
      <c r="L684" s="71"/>
      <c r="R684" s="5"/>
    </row>
    <row r="685" spans="1:18" x14ac:dyDescent="0.35">
      <c r="A685" s="5"/>
      <c r="L685" s="71"/>
      <c r="R685" s="5"/>
    </row>
    <row r="686" spans="1:18" x14ac:dyDescent="0.35">
      <c r="A686" s="5"/>
      <c r="L686" s="71"/>
      <c r="R686" s="5"/>
    </row>
    <row r="687" spans="1:18" x14ac:dyDescent="0.35">
      <c r="A687" s="5"/>
      <c r="L687" s="71"/>
      <c r="R687" s="5"/>
    </row>
    <row r="688" spans="1:18" x14ac:dyDescent="0.35">
      <c r="A688" s="5"/>
      <c r="L688" s="71"/>
      <c r="R688" s="5"/>
    </row>
    <row r="689" spans="1:18" x14ac:dyDescent="0.35">
      <c r="A689" s="5"/>
      <c r="L689" s="71"/>
      <c r="R689" s="5"/>
    </row>
    <row r="690" spans="1:18" x14ac:dyDescent="0.35">
      <c r="A690" s="5"/>
      <c r="L690" s="71"/>
      <c r="R690" s="5"/>
    </row>
    <row r="691" spans="1:18" x14ac:dyDescent="0.35">
      <c r="A691" s="5"/>
      <c r="L691" s="71"/>
      <c r="R691" s="5"/>
    </row>
    <row r="692" spans="1:18" x14ac:dyDescent="0.35">
      <c r="A692" s="5"/>
      <c r="L692" s="71"/>
      <c r="R692" s="5"/>
    </row>
    <row r="693" spans="1:18" x14ac:dyDescent="0.35">
      <c r="A693" s="5"/>
      <c r="L693" s="71"/>
      <c r="R693" s="5"/>
    </row>
    <row r="694" spans="1:18" x14ac:dyDescent="0.35">
      <c r="A694" s="5"/>
      <c r="L694" s="71"/>
      <c r="R694" s="5"/>
    </row>
    <row r="695" spans="1:18" x14ac:dyDescent="0.35">
      <c r="A695" s="5"/>
      <c r="L695" s="71"/>
      <c r="R695" s="5"/>
    </row>
    <row r="696" spans="1:18" x14ac:dyDescent="0.35">
      <c r="A696" s="5"/>
      <c r="L696" s="71"/>
      <c r="R696" s="5"/>
    </row>
    <row r="697" spans="1:18" x14ac:dyDescent="0.35">
      <c r="A697" s="5"/>
      <c r="L697" s="71"/>
      <c r="R697" s="5"/>
    </row>
    <row r="698" spans="1:18" x14ac:dyDescent="0.35">
      <c r="A698" s="5"/>
      <c r="L698" s="71"/>
      <c r="R698" s="5"/>
    </row>
    <row r="699" spans="1:18" x14ac:dyDescent="0.35">
      <c r="A699" s="5"/>
      <c r="L699" s="71"/>
      <c r="R699" s="5"/>
    </row>
    <row r="700" spans="1:18" x14ac:dyDescent="0.35">
      <c r="A700" s="5"/>
      <c r="L700" s="71"/>
      <c r="R700" s="5"/>
    </row>
    <row r="701" spans="1:18" x14ac:dyDescent="0.35">
      <c r="A701" s="5"/>
      <c r="L701" s="71"/>
      <c r="R701" s="5"/>
    </row>
    <row r="702" spans="1:18" x14ac:dyDescent="0.35">
      <c r="A702" s="5"/>
      <c r="L702" s="71"/>
      <c r="R702" s="5"/>
    </row>
    <row r="703" spans="1:18" x14ac:dyDescent="0.35">
      <c r="A703" s="5"/>
      <c r="L703" s="71"/>
      <c r="R703" s="5"/>
    </row>
    <row r="704" spans="1:18" x14ac:dyDescent="0.35">
      <c r="A704" s="5"/>
      <c r="L704" s="71"/>
      <c r="R704" s="5"/>
    </row>
    <row r="705" spans="1:18" x14ac:dyDescent="0.35">
      <c r="A705" s="5"/>
      <c r="L705" s="71"/>
      <c r="R705" s="5"/>
    </row>
    <row r="706" spans="1:18" x14ac:dyDescent="0.35">
      <c r="A706" s="5"/>
      <c r="L706" s="71"/>
      <c r="R706" s="5"/>
    </row>
    <row r="707" spans="1:18" x14ac:dyDescent="0.35">
      <c r="A707" s="5"/>
      <c r="L707" s="71"/>
      <c r="R707" s="5"/>
    </row>
    <row r="708" spans="1:18" x14ac:dyDescent="0.35">
      <c r="A708" s="5"/>
      <c r="L708" s="71"/>
      <c r="R708" s="5"/>
    </row>
    <row r="709" spans="1:18" x14ac:dyDescent="0.35">
      <c r="A709" s="5"/>
      <c r="L709" s="71"/>
      <c r="R709" s="5"/>
    </row>
    <row r="710" spans="1:18" x14ac:dyDescent="0.35">
      <c r="A710" s="5"/>
      <c r="L710" s="71"/>
      <c r="R710" s="5"/>
    </row>
    <row r="711" spans="1:18" x14ac:dyDescent="0.35">
      <c r="A711" s="5"/>
      <c r="L711" s="71"/>
      <c r="R711" s="5"/>
    </row>
    <row r="712" spans="1:18" x14ac:dyDescent="0.35">
      <c r="A712" s="5"/>
      <c r="L712" s="71"/>
      <c r="R712" s="5"/>
    </row>
    <row r="713" spans="1:18" x14ac:dyDescent="0.35">
      <c r="A713" s="5"/>
      <c r="L713" s="71"/>
      <c r="R713" s="5"/>
    </row>
    <row r="714" spans="1:18" x14ac:dyDescent="0.35">
      <c r="A714" s="5"/>
      <c r="L714" s="71"/>
      <c r="R714" s="5"/>
    </row>
    <row r="715" spans="1:18" x14ac:dyDescent="0.35">
      <c r="A715" s="5"/>
      <c r="L715" s="71"/>
      <c r="R715" s="5"/>
    </row>
    <row r="716" spans="1:18" x14ac:dyDescent="0.35">
      <c r="A716" s="5"/>
      <c r="L716" s="71"/>
      <c r="R716" s="5"/>
    </row>
    <row r="717" spans="1:18" x14ac:dyDescent="0.35">
      <c r="A717" s="5"/>
      <c r="L717" s="71"/>
      <c r="R717" s="5"/>
    </row>
    <row r="718" spans="1:18" x14ac:dyDescent="0.35">
      <c r="A718" s="5"/>
      <c r="L718" s="71"/>
      <c r="R718" s="5"/>
    </row>
    <row r="719" spans="1:18" x14ac:dyDescent="0.35">
      <c r="A719" s="5"/>
      <c r="L719" s="71"/>
      <c r="R719" s="5"/>
    </row>
    <row r="720" spans="1:18" x14ac:dyDescent="0.35">
      <c r="A720" s="5"/>
      <c r="L720" s="71"/>
      <c r="R720" s="5"/>
    </row>
    <row r="721" spans="1:18" x14ac:dyDescent="0.35">
      <c r="A721" s="5"/>
      <c r="L721" s="71"/>
      <c r="R721" s="5"/>
    </row>
    <row r="722" spans="1:18" x14ac:dyDescent="0.35">
      <c r="A722" s="5"/>
      <c r="L722" s="71"/>
      <c r="R722" s="5"/>
    </row>
    <row r="723" spans="1:18" x14ac:dyDescent="0.35">
      <c r="A723" s="5"/>
      <c r="L723" s="71"/>
      <c r="R723" s="5"/>
    </row>
    <row r="724" spans="1:18" x14ac:dyDescent="0.35">
      <c r="A724" s="5"/>
      <c r="L724" s="71"/>
      <c r="R724" s="5"/>
    </row>
    <row r="725" spans="1:18" x14ac:dyDescent="0.35">
      <c r="A725" s="5"/>
      <c r="L725" s="71"/>
      <c r="R725" s="5"/>
    </row>
    <row r="726" spans="1:18" x14ac:dyDescent="0.35">
      <c r="A726" s="5"/>
      <c r="L726" s="71"/>
      <c r="R726" s="5"/>
    </row>
    <row r="727" spans="1:18" x14ac:dyDescent="0.35">
      <c r="A727" s="5"/>
      <c r="L727" s="71"/>
      <c r="R727" s="5"/>
    </row>
    <row r="728" spans="1:18" x14ac:dyDescent="0.35">
      <c r="A728" s="5"/>
      <c r="L728" s="71"/>
      <c r="R728" s="5"/>
    </row>
    <row r="729" spans="1:18" x14ac:dyDescent="0.35">
      <c r="A729" s="5"/>
      <c r="L729" s="71"/>
      <c r="R729" s="5"/>
    </row>
    <row r="730" spans="1:18" x14ac:dyDescent="0.35">
      <c r="A730" s="5"/>
      <c r="L730" s="71"/>
      <c r="R730" s="5"/>
    </row>
    <row r="731" spans="1:18" x14ac:dyDescent="0.35">
      <c r="A731" s="5"/>
      <c r="L731" s="71"/>
      <c r="R731" s="5"/>
    </row>
    <row r="732" spans="1:18" x14ac:dyDescent="0.35">
      <c r="A732" s="5"/>
      <c r="L732" s="71"/>
      <c r="R732" s="5"/>
    </row>
    <row r="733" spans="1:18" x14ac:dyDescent="0.35">
      <c r="A733" s="5"/>
      <c r="L733" s="71"/>
      <c r="R733" s="5"/>
    </row>
    <row r="734" spans="1:18" x14ac:dyDescent="0.35">
      <c r="A734" s="5"/>
      <c r="L734" s="71"/>
      <c r="R734" s="5"/>
    </row>
    <row r="735" spans="1:18" x14ac:dyDescent="0.35">
      <c r="A735" s="5"/>
      <c r="L735" s="71"/>
      <c r="R735" s="5"/>
    </row>
    <row r="736" spans="1:18" x14ac:dyDescent="0.35">
      <c r="A736" s="5"/>
      <c r="L736" s="71"/>
      <c r="R736" s="5"/>
    </row>
    <row r="737" spans="1:18" x14ac:dyDescent="0.35">
      <c r="A737" s="5"/>
      <c r="L737" s="71"/>
      <c r="R737" s="5"/>
    </row>
    <row r="738" spans="1:18" x14ac:dyDescent="0.35">
      <c r="A738" s="5"/>
      <c r="L738" s="71"/>
      <c r="R738" s="5"/>
    </row>
    <row r="739" spans="1:18" x14ac:dyDescent="0.35">
      <c r="A739" s="5"/>
      <c r="L739" s="71"/>
      <c r="R739" s="5"/>
    </row>
    <row r="740" spans="1:18" x14ac:dyDescent="0.35">
      <c r="A740" s="5"/>
      <c r="L740" s="71"/>
      <c r="R740" s="5"/>
    </row>
    <row r="741" spans="1:18" x14ac:dyDescent="0.35">
      <c r="A741" s="5"/>
      <c r="L741" s="71"/>
      <c r="R741" s="5"/>
    </row>
    <row r="742" spans="1:18" x14ac:dyDescent="0.35">
      <c r="A742" s="5"/>
      <c r="L742" s="71"/>
      <c r="R742" s="5"/>
    </row>
    <row r="743" spans="1:18" x14ac:dyDescent="0.35">
      <c r="A743" s="5"/>
      <c r="L743" s="71"/>
      <c r="R743" s="5"/>
    </row>
    <row r="744" spans="1:18" x14ac:dyDescent="0.35">
      <c r="A744" s="5"/>
      <c r="L744" s="71"/>
      <c r="R744" s="5"/>
    </row>
    <row r="745" spans="1:18" x14ac:dyDescent="0.35">
      <c r="A745" s="5"/>
      <c r="L745" s="71"/>
      <c r="R745" s="5"/>
    </row>
    <row r="746" spans="1:18" x14ac:dyDescent="0.35">
      <c r="A746" s="5"/>
      <c r="L746" s="71"/>
      <c r="R746" s="5"/>
    </row>
    <row r="747" spans="1:18" x14ac:dyDescent="0.35">
      <c r="A747" s="5"/>
      <c r="L747" s="71"/>
      <c r="R747" s="5"/>
    </row>
    <row r="748" spans="1:18" x14ac:dyDescent="0.35">
      <c r="A748" s="5"/>
      <c r="L748" s="71"/>
      <c r="R748" s="5"/>
    </row>
    <row r="749" spans="1:18" x14ac:dyDescent="0.35">
      <c r="A749" s="5"/>
      <c r="L749" s="71"/>
      <c r="R749" s="5"/>
    </row>
    <row r="750" spans="1:18" x14ac:dyDescent="0.35">
      <c r="A750" s="5"/>
      <c r="L750" s="71"/>
      <c r="R750" s="5"/>
    </row>
    <row r="751" spans="1:18" x14ac:dyDescent="0.35">
      <c r="A751" s="5"/>
      <c r="L751" s="71"/>
      <c r="R751" s="5"/>
    </row>
    <row r="752" spans="1:18" x14ac:dyDescent="0.35">
      <c r="A752" s="5"/>
      <c r="L752" s="71"/>
      <c r="R752" s="5"/>
    </row>
    <row r="753" spans="1:18" x14ac:dyDescent="0.35">
      <c r="A753" s="5"/>
      <c r="L753" s="71"/>
      <c r="R753" s="5"/>
    </row>
    <row r="754" spans="1:18" x14ac:dyDescent="0.35">
      <c r="A754" s="5"/>
      <c r="L754" s="71"/>
      <c r="R754" s="5"/>
    </row>
    <row r="755" spans="1:18" x14ac:dyDescent="0.35">
      <c r="A755" s="5"/>
      <c r="L755" s="71"/>
      <c r="R755" s="5"/>
    </row>
    <row r="756" spans="1:18" x14ac:dyDescent="0.35">
      <c r="A756" s="5"/>
      <c r="L756" s="71"/>
      <c r="R756" s="5"/>
    </row>
    <row r="757" spans="1:18" x14ac:dyDescent="0.35">
      <c r="A757" s="5"/>
      <c r="L757" s="71"/>
      <c r="R757" s="5"/>
    </row>
    <row r="758" spans="1:18" x14ac:dyDescent="0.35">
      <c r="A758" s="5"/>
      <c r="L758" s="71"/>
      <c r="R758" s="5"/>
    </row>
    <row r="759" spans="1:18" x14ac:dyDescent="0.35">
      <c r="A759" s="5"/>
      <c r="L759" s="71"/>
      <c r="R759" s="5"/>
    </row>
    <row r="760" spans="1:18" x14ac:dyDescent="0.35">
      <c r="A760" s="5"/>
      <c r="L760" s="71"/>
      <c r="R760" s="5"/>
    </row>
    <row r="761" spans="1:18" x14ac:dyDescent="0.35">
      <c r="A761" s="5"/>
      <c r="L761" s="71"/>
      <c r="R761" s="5"/>
    </row>
    <row r="762" spans="1:18" x14ac:dyDescent="0.35">
      <c r="A762" s="5"/>
      <c r="L762" s="71"/>
      <c r="R762" s="5"/>
    </row>
    <row r="763" spans="1:18" x14ac:dyDescent="0.35">
      <c r="A763" s="5"/>
      <c r="L763" s="71"/>
      <c r="R763" s="5"/>
    </row>
    <row r="764" spans="1:18" x14ac:dyDescent="0.35">
      <c r="A764" s="5"/>
      <c r="L764" s="71"/>
      <c r="R764" s="5"/>
    </row>
    <row r="765" spans="1:18" x14ac:dyDescent="0.35">
      <c r="A765" s="5"/>
      <c r="L765" s="71"/>
      <c r="R765" s="5"/>
    </row>
    <row r="766" spans="1:18" x14ac:dyDescent="0.35">
      <c r="A766" s="5"/>
      <c r="L766" s="71"/>
      <c r="R766" s="5"/>
    </row>
    <row r="767" spans="1:18" x14ac:dyDescent="0.35">
      <c r="A767" s="5"/>
      <c r="L767" s="71"/>
      <c r="R767" s="5"/>
    </row>
    <row r="768" spans="1:18" x14ac:dyDescent="0.35">
      <c r="A768" s="5"/>
      <c r="L768" s="71"/>
      <c r="R768" s="5"/>
    </row>
    <row r="769" spans="1:18" x14ac:dyDescent="0.35">
      <c r="A769" s="5"/>
      <c r="L769" s="71"/>
      <c r="R769" s="5"/>
    </row>
    <row r="770" spans="1:18" x14ac:dyDescent="0.35">
      <c r="A770" s="5"/>
      <c r="L770" s="71"/>
      <c r="R770" s="5"/>
    </row>
    <row r="771" spans="1:18" x14ac:dyDescent="0.35">
      <c r="A771" s="5"/>
      <c r="L771" s="71"/>
      <c r="R771" s="5"/>
    </row>
    <row r="772" spans="1:18" x14ac:dyDescent="0.35">
      <c r="A772" s="5"/>
      <c r="L772" s="71"/>
      <c r="R772" s="5"/>
    </row>
    <row r="773" spans="1:18" x14ac:dyDescent="0.35">
      <c r="A773" s="5"/>
      <c r="L773" s="71"/>
      <c r="R773" s="5"/>
    </row>
    <row r="774" spans="1:18" x14ac:dyDescent="0.35">
      <c r="A774" s="5"/>
      <c r="L774" s="71"/>
      <c r="R774" s="5"/>
    </row>
    <row r="775" spans="1:18" x14ac:dyDescent="0.35">
      <c r="A775" s="5"/>
      <c r="L775" s="71"/>
      <c r="R775" s="5"/>
    </row>
    <row r="776" spans="1:18" x14ac:dyDescent="0.35">
      <c r="A776" s="5"/>
      <c r="L776" s="71"/>
      <c r="R776" s="5"/>
    </row>
    <row r="777" spans="1:18" x14ac:dyDescent="0.35">
      <c r="A777" s="5"/>
      <c r="L777" s="71"/>
      <c r="R777" s="5"/>
    </row>
    <row r="778" spans="1:18" x14ac:dyDescent="0.35">
      <c r="A778" s="5"/>
      <c r="L778" s="71"/>
      <c r="R778" s="5"/>
    </row>
    <row r="779" spans="1:18" x14ac:dyDescent="0.35">
      <c r="A779" s="5"/>
      <c r="L779" s="71"/>
      <c r="R779" s="5"/>
    </row>
    <row r="780" spans="1:18" x14ac:dyDescent="0.35">
      <c r="A780" s="5"/>
      <c r="L780" s="71"/>
      <c r="R780" s="5"/>
    </row>
    <row r="781" spans="1:18" x14ac:dyDescent="0.35">
      <c r="A781" s="5"/>
      <c r="L781" s="71"/>
      <c r="R781" s="5"/>
    </row>
    <row r="782" spans="1:18" x14ac:dyDescent="0.35">
      <c r="A782" s="5"/>
      <c r="L782" s="71"/>
      <c r="R782" s="5"/>
    </row>
    <row r="783" spans="1:18" x14ac:dyDescent="0.35">
      <c r="A783" s="5"/>
      <c r="L783" s="71"/>
      <c r="R783" s="5"/>
    </row>
    <row r="784" spans="1:18" x14ac:dyDescent="0.35">
      <c r="A784" s="5"/>
      <c r="L784" s="71"/>
      <c r="R784" s="5"/>
    </row>
    <row r="785" spans="1:18" x14ac:dyDescent="0.35">
      <c r="A785" s="5"/>
      <c r="L785" s="71"/>
      <c r="R785" s="5"/>
    </row>
    <row r="786" spans="1:18" x14ac:dyDescent="0.35">
      <c r="A786" s="5"/>
      <c r="L786" s="71"/>
      <c r="R786" s="5"/>
    </row>
    <row r="787" spans="1:18" x14ac:dyDescent="0.35">
      <c r="A787" s="5"/>
      <c r="L787" s="71"/>
      <c r="R787" s="5"/>
    </row>
    <row r="788" spans="1:18" x14ac:dyDescent="0.35">
      <c r="A788" s="5"/>
      <c r="L788" s="71"/>
      <c r="R788" s="5"/>
    </row>
    <row r="789" spans="1:18" x14ac:dyDescent="0.35">
      <c r="A789" s="5"/>
      <c r="L789" s="71"/>
      <c r="R789" s="5"/>
    </row>
    <row r="790" spans="1:18" x14ac:dyDescent="0.35">
      <c r="A790" s="5"/>
      <c r="L790" s="71"/>
      <c r="R790" s="5"/>
    </row>
    <row r="791" spans="1:18" x14ac:dyDescent="0.35">
      <c r="A791" s="5"/>
      <c r="L791" s="71"/>
      <c r="R791" s="5"/>
    </row>
    <row r="792" spans="1:18" x14ac:dyDescent="0.35">
      <c r="A792" s="5"/>
      <c r="L792" s="71"/>
      <c r="R792" s="5"/>
    </row>
    <row r="793" spans="1:18" x14ac:dyDescent="0.35">
      <c r="A793" s="5"/>
      <c r="L793" s="71"/>
      <c r="R793" s="5"/>
    </row>
    <row r="794" spans="1:18" x14ac:dyDescent="0.35">
      <c r="A794" s="5"/>
      <c r="L794" s="71"/>
      <c r="R794" s="5"/>
    </row>
    <row r="795" spans="1:18" x14ac:dyDescent="0.35">
      <c r="A795" s="5"/>
      <c r="L795" s="71"/>
      <c r="R795" s="5"/>
    </row>
    <row r="796" spans="1:18" x14ac:dyDescent="0.35">
      <c r="A796" s="5"/>
      <c r="L796" s="71"/>
      <c r="R796" s="5"/>
    </row>
    <row r="797" spans="1:18" x14ac:dyDescent="0.35">
      <c r="A797" s="5"/>
      <c r="L797" s="71"/>
      <c r="R797" s="5"/>
    </row>
    <row r="798" spans="1:18" x14ac:dyDescent="0.35">
      <c r="A798" s="5"/>
      <c r="L798" s="71"/>
      <c r="R798" s="5"/>
    </row>
    <row r="799" spans="1:18" x14ac:dyDescent="0.35">
      <c r="A799" s="5"/>
      <c r="L799" s="71"/>
      <c r="R799" s="5"/>
    </row>
    <row r="800" spans="1:18" x14ac:dyDescent="0.35">
      <c r="A800" s="5"/>
      <c r="L800" s="71"/>
      <c r="R800" s="5"/>
    </row>
    <row r="801" spans="1:18" x14ac:dyDescent="0.35">
      <c r="A801" s="5"/>
      <c r="L801" s="71"/>
      <c r="R801" s="5"/>
    </row>
    <row r="802" spans="1:18" x14ac:dyDescent="0.35">
      <c r="A802" s="5"/>
      <c r="L802" s="71"/>
      <c r="R802" s="5"/>
    </row>
    <row r="803" spans="1:18" x14ac:dyDescent="0.35">
      <c r="A803" s="5"/>
      <c r="L803" s="71"/>
      <c r="R803" s="5"/>
    </row>
    <row r="804" spans="1:18" x14ac:dyDescent="0.35">
      <c r="A804" s="5"/>
      <c r="L804" s="71"/>
      <c r="R804" s="5"/>
    </row>
    <row r="805" spans="1:18" x14ac:dyDescent="0.35">
      <c r="A805" s="5"/>
      <c r="L805" s="71"/>
      <c r="R805" s="5"/>
    </row>
    <row r="806" spans="1:18" x14ac:dyDescent="0.35">
      <c r="A806" s="5"/>
      <c r="L806" s="71"/>
      <c r="R806" s="5"/>
    </row>
    <row r="807" spans="1:18" x14ac:dyDescent="0.35">
      <c r="A807" s="5"/>
      <c r="L807" s="71"/>
      <c r="R807" s="5"/>
    </row>
    <row r="808" spans="1:18" x14ac:dyDescent="0.35">
      <c r="A808" s="5"/>
      <c r="L808" s="71"/>
      <c r="R808" s="5"/>
    </row>
    <row r="809" spans="1:18" x14ac:dyDescent="0.35">
      <c r="A809" s="5"/>
      <c r="L809" s="71"/>
      <c r="R809" s="5"/>
    </row>
    <row r="810" spans="1:18" x14ac:dyDescent="0.35">
      <c r="A810" s="5"/>
      <c r="L810" s="71"/>
      <c r="R810" s="5"/>
    </row>
    <row r="811" spans="1:18" x14ac:dyDescent="0.35">
      <c r="A811" s="5"/>
      <c r="L811" s="71"/>
      <c r="R811" s="5"/>
    </row>
    <row r="812" spans="1:18" x14ac:dyDescent="0.35">
      <c r="A812" s="5"/>
      <c r="L812" s="71"/>
      <c r="R812" s="5"/>
    </row>
    <row r="813" spans="1:18" x14ac:dyDescent="0.35">
      <c r="A813" s="5"/>
      <c r="L813" s="71"/>
      <c r="R813" s="5"/>
    </row>
    <row r="814" spans="1:18" x14ac:dyDescent="0.35">
      <c r="A814" s="5"/>
      <c r="L814" s="71"/>
      <c r="R814" s="5"/>
    </row>
    <row r="815" spans="1:18" x14ac:dyDescent="0.35">
      <c r="A815" s="5"/>
      <c r="L815" s="71"/>
      <c r="R815" s="5"/>
    </row>
    <row r="816" spans="1:18" x14ac:dyDescent="0.35">
      <c r="A816" s="5"/>
      <c r="L816" s="71"/>
      <c r="R816" s="5"/>
    </row>
    <row r="817" spans="1:18" x14ac:dyDescent="0.35">
      <c r="A817" s="5"/>
      <c r="L817" s="71"/>
      <c r="R817" s="5"/>
    </row>
    <row r="818" spans="1:18" x14ac:dyDescent="0.35">
      <c r="A818" s="5"/>
      <c r="L818" s="71"/>
      <c r="R818" s="5"/>
    </row>
    <row r="819" spans="1:18" x14ac:dyDescent="0.35">
      <c r="A819" s="5"/>
      <c r="L819" s="71"/>
      <c r="R819" s="5"/>
    </row>
    <row r="820" spans="1:18" x14ac:dyDescent="0.35">
      <c r="A820" s="5"/>
      <c r="L820" s="71"/>
      <c r="R820" s="5"/>
    </row>
    <row r="821" spans="1:18" x14ac:dyDescent="0.35">
      <c r="A821" s="5"/>
      <c r="L821" s="71"/>
      <c r="R821" s="5"/>
    </row>
    <row r="822" spans="1:18" x14ac:dyDescent="0.35">
      <c r="A822" s="5"/>
      <c r="L822" s="71"/>
      <c r="R822" s="5"/>
    </row>
    <row r="823" spans="1:18" x14ac:dyDescent="0.35">
      <c r="A823" s="5"/>
      <c r="L823" s="71"/>
      <c r="R823" s="5"/>
    </row>
    <row r="824" spans="1:18" x14ac:dyDescent="0.35">
      <c r="A824" s="5"/>
      <c r="L824" s="71"/>
      <c r="R824" s="5"/>
    </row>
    <row r="825" spans="1:18" x14ac:dyDescent="0.35">
      <c r="A825" s="5"/>
      <c r="L825" s="71"/>
      <c r="R825" s="5"/>
    </row>
    <row r="826" spans="1:18" x14ac:dyDescent="0.35">
      <c r="A826" s="5"/>
      <c r="L826" s="71"/>
      <c r="R826" s="5"/>
    </row>
    <row r="827" spans="1:18" x14ac:dyDescent="0.35">
      <c r="A827" s="5"/>
      <c r="L827" s="71"/>
      <c r="R827" s="5"/>
    </row>
    <row r="828" spans="1:18" x14ac:dyDescent="0.35">
      <c r="A828" s="5"/>
      <c r="L828" s="71"/>
      <c r="R828" s="5"/>
    </row>
    <row r="829" spans="1:18" x14ac:dyDescent="0.35">
      <c r="A829" s="5"/>
      <c r="L829" s="71"/>
      <c r="R829" s="5"/>
    </row>
    <row r="830" spans="1:18" x14ac:dyDescent="0.35">
      <c r="A830" s="5"/>
      <c r="L830" s="71"/>
      <c r="R830" s="5"/>
    </row>
    <row r="831" spans="1:18" x14ac:dyDescent="0.35">
      <c r="A831" s="5"/>
      <c r="L831" s="71"/>
      <c r="R831" s="5"/>
    </row>
    <row r="832" spans="1:18" x14ac:dyDescent="0.35">
      <c r="A832" s="5"/>
      <c r="L832" s="71"/>
      <c r="R832" s="5"/>
    </row>
    <row r="833" spans="1:18" x14ac:dyDescent="0.35">
      <c r="A833" s="5"/>
      <c r="L833" s="71"/>
      <c r="R833" s="5"/>
    </row>
    <row r="834" spans="1:18" x14ac:dyDescent="0.35">
      <c r="A834" s="5"/>
      <c r="L834" s="71"/>
      <c r="R834" s="5"/>
    </row>
    <row r="835" spans="1:18" x14ac:dyDescent="0.35">
      <c r="A835" s="5"/>
      <c r="L835" s="71"/>
      <c r="R835" s="5"/>
    </row>
    <row r="836" spans="1:18" x14ac:dyDescent="0.35">
      <c r="A836" s="5"/>
      <c r="L836" s="71"/>
      <c r="R836" s="5"/>
    </row>
    <row r="837" spans="1:18" x14ac:dyDescent="0.35">
      <c r="A837" s="5"/>
      <c r="L837" s="71"/>
      <c r="R837" s="5"/>
    </row>
    <row r="838" spans="1:18" x14ac:dyDescent="0.35">
      <c r="A838" s="5"/>
      <c r="L838" s="71"/>
      <c r="R838" s="5"/>
    </row>
    <row r="839" spans="1:18" x14ac:dyDescent="0.35">
      <c r="A839" s="5"/>
      <c r="L839" s="71"/>
      <c r="R839" s="5"/>
    </row>
    <row r="840" spans="1:18" x14ac:dyDescent="0.35">
      <c r="A840" s="5"/>
      <c r="L840" s="71"/>
      <c r="R840" s="5"/>
    </row>
    <row r="841" spans="1:18" x14ac:dyDescent="0.35">
      <c r="A841" s="5"/>
      <c r="L841" s="71"/>
      <c r="R841" s="5"/>
    </row>
    <row r="842" spans="1:18" x14ac:dyDescent="0.35">
      <c r="A842" s="5"/>
      <c r="L842" s="71"/>
      <c r="R842" s="5"/>
    </row>
    <row r="843" spans="1:18" x14ac:dyDescent="0.35">
      <c r="A843" s="5"/>
      <c r="L843" s="71"/>
      <c r="R843" s="5"/>
    </row>
    <row r="844" spans="1:18" x14ac:dyDescent="0.35">
      <c r="A844" s="5"/>
      <c r="L844" s="71"/>
      <c r="R844" s="5"/>
    </row>
    <row r="845" spans="1:18" x14ac:dyDescent="0.35">
      <c r="A845" s="5"/>
      <c r="L845" s="71"/>
      <c r="R845" s="5"/>
    </row>
    <row r="846" spans="1:18" x14ac:dyDescent="0.35">
      <c r="A846" s="5"/>
      <c r="L846" s="71"/>
      <c r="R846" s="5"/>
    </row>
    <row r="847" spans="1:18" x14ac:dyDescent="0.35">
      <c r="A847" s="5"/>
      <c r="L847" s="71"/>
      <c r="R847" s="5"/>
    </row>
    <row r="848" spans="1:18" x14ac:dyDescent="0.35">
      <c r="A848" s="5"/>
      <c r="L848" s="71"/>
      <c r="R848" s="5"/>
    </row>
    <row r="849" spans="1:18" x14ac:dyDescent="0.35">
      <c r="A849" s="5"/>
      <c r="L849" s="71"/>
      <c r="R849" s="5"/>
    </row>
    <row r="850" spans="1:18" x14ac:dyDescent="0.35">
      <c r="A850" s="5"/>
      <c r="L850" s="71"/>
      <c r="R850" s="5"/>
    </row>
    <row r="851" spans="1:18" x14ac:dyDescent="0.35">
      <c r="A851" s="5"/>
      <c r="L851" s="71"/>
      <c r="R851" s="5"/>
    </row>
    <row r="852" spans="1:18" x14ac:dyDescent="0.35">
      <c r="A852" s="5"/>
      <c r="L852" s="71"/>
      <c r="R852" s="5"/>
    </row>
    <row r="853" spans="1:18" x14ac:dyDescent="0.35">
      <c r="A853" s="5"/>
      <c r="L853" s="71"/>
      <c r="R853" s="5"/>
    </row>
    <row r="854" spans="1:18" x14ac:dyDescent="0.35">
      <c r="A854" s="5"/>
      <c r="L854" s="71"/>
      <c r="R854" s="5"/>
    </row>
    <row r="855" spans="1:18" x14ac:dyDescent="0.35">
      <c r="A855" s="5"/>
      <c r="L855" s="71"/>
      <c r="R855" s="5"/>
    </row>
    <row r="856" spans="1:18" x14ac:dyDescent="0.35">
      <c r="A856" s="5"/>
      <c r="L856" s="71"/>
      <c r="R856" s="5"/>
    </row>
    <row r="857" spans="1:18" x14ac:dyDescent="0.35">
      <c r="A857" s="5"/>
      <c r="L857" s="71"/>
      <c r="R857" s="5"/>
    </row>
    <row r="858" spans="1:18" x14ac:dyDescent="0.35">
      <c r="A858" s="5"/>
      <c r="L858" s="71"/>
      <c r="R858" s="5"/>
    </row>
    <row r="859" spans="1:18" x14ac:dyDescent="0.35">
      <c r="A859" s="5"/>
      <c r="L859" s="71"/>
      <c r="R859" s="5"/>
    </row>
    <row r="860" spans="1:18" x14ac:dyDescent="0.35">
      <c r="A860" s="5"/>
      <c r="L860" s="71"/>
      <c r="R860" s="5"/>
    </row>
    <row r="861" spans="1:18" x14ac:dyDescent="0.35">
      <c r="A861" s="5"/>
      <c r="L861" s="71"/>
      <c r="R861" s="5"/>
    </row>
    <row r="862" spans="1:18" x14ac:dyDescent="0.35">
      <c r="A862" s="5"/>
      <c r="L862" s="71"/>
      <c r="R862" s="5"/>
    </row>
    <row r="863" spans="1:18" x14ac:dyDescent="0.35">
      <c r="A863" s="5"/>
      <c r="L863" s="71"/>
      <c r="R863" s="5"/>
    </row>
    <row r="864" spans="1:18" x14ac:dyDescent="0.35">
      <c r="A864" s="5"/>
      <c r="L864" s="71"/>
      <c r="R864" s="5"/>
    </row>
    <row r="865" spans="1:18" x14ac:dyDescent="0.35">
      <c r="A865" s="5"/>
      <c r="L865" s="71"/>
      <c r="R865" s="5"/>
    </row>
    <row r="866" spans="1:18" x14ac:dyDescent="0.35">
      <c r="A866" s="5"/>
      <c r="L866" s="71"/>
      <c r="R866" s="5"/>
    </row>
    <row r="867" spans="1:18" x14ac:dyDescent="0.35">
      <c r="A867" s="5"/>
      <c r="L867" s="71"/>
      <c r="R867" s="5"/>
    </row>
    <row r="868" spans="1:18" x14ac:dyDescent="0.35">
      <c r="A868" s="5"/>
      <c r="L868" s="71"/>
      <c r="R868" s="5"/>
    </row>
    <row r="869" spans="1:18" x14ac:dyDescent="0.35">
      <c r="A869" s="5"/>
      <c r="L869" s="71"/>
      <c r="R869" s="5"/>
    </row>
    <row r="870" spans="1:18" x14ac:dyDescent="0.35">
      <c r="A870" s="5"/>
      <c r="L870" s="71"/>
      <c r="R870" s="5"/>
    </row>
    <row r="871" spans="1:18" x14ac:dyDescent="0.35">
      <c r="A871" s="5"/>
      <c r="L871" s="71"/>
      <c r="R871" s="5"/>
    </row>
    <row r="872" spans="1:18" x14ac:dyDescent="0.35">
      <c r="A872" s="5"/>
      <c r="L872" s="71"/>
      <c r="R872" s="5"/>
    </row>
    <row r="873" spans="1:18" x14ac:dyDescent="0.35">
      <c r="A873" s="5"/>
      <c r="L873" s="71"/>
      <c r="R873" s="5"/>
    </row>
    <row r="874" spans="1:18" x14ac:dyDescent="0.35">
      <c r="A874" s="5"/>
      <c r="L874" s="71"/>
      <c r="R874" s="5"/>
    </row>
    <row r="875" spans="1:18" x14ac:dyDescent="0.35">
      <c r="A875" s="5"/>
      <c r="L875" s="71"/>
      <c r="R875" s="5"/>
    </row>
    <row r="876" spans="1:18" x14ac:dyDescent="0.35">
      <c r="A876" s="5"/>
      <c r="L876" s="71"/>
      <c r="R876" s="5"/>
    </row>
    <row r="877" spans="1:18" x14ac:dyDescent="0.35">
      <c r="A877" s="5"/>
      <c r="L877" s="71"/>
      <c r="R877" s="5"/>
    </row>
    <row r="878" spans="1:18" x14ac:dyDescent="0.35">
      <c r="A878" s="5"/>
      <c r="L878" s="71"/>
      <c r="R878" s="5"/>
    </row>
    <row r="879" spans="1:18" x14ac:dyDescent="0.35">
      <c r="A879" s="5"/>
      <c r="L879" s="71"/>
      <c r="R879" s="5"/>
    </row>
    <row r="880" spans="1:18" x14ac:dyDescent="0.35">
      <c r="A880" s="5"/>
      <c r="L880" s="71"/>
      <c r="R880" s="5"/>
    </row>
    <row r="881" spans="1:18" x14ac:dyDescent="0.35">
      <c r="A881" s="5"/>
      <c r="L881" s="71"/>
      <c r="R881" s="5"/>
    </row>
    <row r="882" spans="1:18" x14ac:dyDescent="0.35">
      <c r="A882" s="5"/>
      <c r="L882" s="71"/>
      <c r="R882" s="5"/>
    </row>
    <row r="883" spans="1:18" x14ac:dyDescent="0.35">
      <c r="A883" s="5"/>
      <c r="L883" s="71"/>
      <c r="R883" s="5"/>
    </row>
    <row r="884" spans="1:18" x14ac:dyDescent="0.35">
      <c r="A884" s="5"/>
      <c r="L884" s="71"/>
      <c r="R884" s="5"/>
    </row>
    <row r="885" spans="1:18" x14ac:dyDescent="0.35">
      <c r="A885" s="5"/>
      <c r="L885" s="71"/>
      <c r="R885" s="5"/>
    </row>
    <row r="886" spans="1:18" x14ac:dyDescent="0.35">
      <c r="A886" s="5"/>
      <c r="L886" s="71"/>
      <c r="R886" s="5"/>
    </row>
    <row r="887" spans="1:18" x14ac:dyDescent="0.35">
      <c r="A887" s="5"/>
      <c r="L887" s="71"/>
      <c r="R887" s="5"/>
    </row>
    <row r="888" spans="1:18" x14ac:dyDescent="0.35">
      <c r="A888" s="5"/>
      <c r="L888" s="71"/>
      <c r="R888" s="5"/>
    </row>
    <row r="889" spans="1:18" x14ac:dyDescent="0.35">
      <c r="A889" s="5"/>
      <c r="L889" s="71"/>
      <c r="R889" s="5"/>
    </row>
    <row r="890" spans="1:18" x14ac:dyDescent="0.35">
      <c r="A890" s="5"/>
      <c r="L890" s="71"/>
      <c r="R890" s="5"/>
    </row>
    <row r="891" spans="1:18" x14ac:dyDescent="0.35">
      <c r="A891" s="5"/>
      <c r="L891" s="71"/>
      <c r="R891" s="5"/>
    </row>
    <row r="892" spans="1:18" x14ac:dyDescent="0.35">
      <c r="A892" s="5"/>
      <c r="L892" s="71"/>
      <c r="R892" s="5"/>
    </row>
    <row r="893" spans="1:18" x14ac:dyDescent="0.35">
      <c r="A893" s="5"/>
      <c r="L893" s="71"/>
      <c r="R893" s="5"/>
    </row>
    <row r="894" spans="1:18" x14ac:dyDescent="0.35">
      <c r="A894" s="5"/>
      <c r="L894" s="71"/>
      <c r="R894" s="5"/>
    </row>
    <row r="895" spans="1:18" x14ac:dyDescent="0.35">
      <c r="A895" s="5"/>
      <c r="L895" s="71"/>
      <c r="R895" s="5"/>
    </row>
    <row r="896" spans="1:18" x14ac:dyDescent="0.35">
      <c r="A896" s="5"/>
      <c r="L896" s="71"/>
      <c r="R896" s="5"/>
    </row>
    <row r="897" spans="1:18" x14ac:dyDescent="0.35">
      <c r="A897" s="5"/>
      <c r="L897" s="71"/>
      <c r="R897" s="5"/>
    </row>
    <row r="898" spans="1:18" x14ac:dyDescent="0.35">
      <c r="A898" s="5"/>
      <c r="L898" s="71"/>
      <c r="R898" s="5"/>
    </row>
    <row r="899" spans="1:18" x14ac:dyDescent="0.35">
      <c r="A899" s="5"/>
      <c r="L899" s="71"/>
      <c r="R899" s="5"/>
    </row>
    <row r="900" spans="1:18" x14ac:dyDescent="0.35">
      <c r="A900" s="5"/>
      <c r="L900" s="71"/>
      <c r="R900" s="5"/>
    </row>
    <row r="901" spans="1:18" x14ac:dyDescent="0.35">
      <c r="A901" s="5"/>
      <c r="L901" s="71"/>
      <c r="R901" s="5"/>
    </row>
    <row r="902" spans="1:18" x14ac:dyDescent="0.35">
      <c r="A902" s="5"/>
      <c r="L902" s="71"/>
      <c r="R902" s="5"/>
    </row>
    <row r="903" spans="1:18" x14ac:dyDescent="0.35">
      <c r="A903" s="5"/>
      <c r="L903" s="71"/>
      <c r="R903" s="5"/>
    </row>
    <row r="904" spans="1:18" x14ac:dyDescent="0.35">
      <c r="A904" s="5"/>
      <c r="L904" s="71"/>
      <c r="R904" s="5"/>
    </row>
    <row r="905" spans="1:18" x14ac:dyDescent="0.35">
      <c r="A905" s="5"/>
      <c r="L905" s="71"/>
      <c r="R905" s="5"/>
    </row>
    <row r="906" spans="1:18" x14ac:dyDescent="0.35">
      <c r="A906" s="5"/>
      <c r="L906" s="71"/>
      <c r="R906" s="5"/>
    </row>
    <row r="907" spans="1:18" x14ac:dyDescent="0.35">
      <c r="A907" s="5"/>
      <c r="L907" s="71"/>
      <c r="R907" s="5"/>
    </row>
    <row r="908" spans="1:18" x14ac:dyDescent="0.35">
      <c r="A908" s="5"/>
      <c r="L908" s="71"/>
      <c r="R908" s="5"/>
    </row>
    <row r="909" spans="1:18" x14ac:dyDescent="0.35">
      <c r="A909" s="5"/>
      <c r="L909" s="71"/>
      <c r="R909" s="5"/>
    </row>
    <row r="910" spans="1:18" x14ac:dyDescent="0.35">
      <c r="A910" s="5"/>
      <c r="L910" s="71"/>
      <c r="R910" s="5"/>
    </row>
    <row r="911" spans="1:18" x14ac:dyDescent="0.35">
      <c r="A911" s="5"/>
      <c r="L911" s="71"/>
      <c r="R911" s="5"/>
    </row>
    <row r="912" spans="1:18" x14ac:dyDescent="0.35">
      <c r="A912" s="5"/>
      <c r="L912" s="71"/>
      <c r="R912" s="5"/>
    </row>
    <row r="913" spans="1:18" x14ac:dyDescent="0.35">
      <c r="A913" s="5"/>
      <c r="L913" s="71"/>
      <c r="R913" s="5"/>
    </row>
    <row r="914" spans="1:18" x14ac:dyDescent="0.35">
      <c r="A914" s="5"/>
      <c r="L914" s="71"/>
      <c r="R914" s="5"/>
    </row>
    <row r="915" spans="1:18" x14ac:dyDescent="0.35">
      <c r="A915" s="5"/>
      <c r="L915" s="71"/>
      <c r="R915" s="5"/>
    </row>
    <row r="916" spans="1:18" x14ac:dyDescent="0.35">
      <c r="A916" s="5"/>
      <c r="L916" s="71"/>
      <c r="R916" s="5"/>
    </row>
    <row r="917" spans="1:18" x14ac:dyDescent="0.35">
      <c r="A917" s="5"/>
      <c r="L917" s="71"/>
      <c r="R917" s="5"/>
    </row>
    <row r="918" spans="1:18" x14ac:dyDescent="0.35">
      <c r="A918" s="5"/>
      <c r="L918" s="71"/>
      <c r="R918" s="5"/>
    </row>
    <row r="919" spans="1:18" x14ac:dyDescent="0.35">
      <c r="A919" s="5"/>
      <c r="L919" s="71"/>
      <c r="R919" s="5"/>
    </row>
    <row r="920" spans="1:18" x14ac:dyDescent="0.35">
      <c r="A920" s="5"/>
      <c r="L920" s="71"/>
      <c r="R920" s="5"/>
    </row>
    <row r="921" spans="1:18" x14ac:dyDescent="0.35">
      <c r="A921" s="5"/>
      <c r="L921" s="71"/>
      <c r="R921" s="5"/>
    </row>
    <row r="922" spans="1:18" x14ac:dyDescent="0.35">
      <c r="A922" s="5"/>
      <c r="L922" s="71"/>
      <c r="R922" s="5"/>
    </row>
    <row r="923" spans="1:18" x14ac:dyDescent="0.35">
      <c r="A923" s="5"/>
      <c r="L923" s="71"/>
      <c r="R923" s="5"/>
    </row>
    <row r="924" spans="1:18" x14ac:dyDescent="0.35">
      <c r="A924" s="5"/>
      <c r="L924" s="71"/>
      <c r="R924" s="5"/>
    </row>
    <row r="925" spans="1:18" x14ac:dyDescent="0.35">
      <c r="A925" s="5"/>
      <c r="L925" s="71"/>
      <c r="R925" s="5"/>
    </row>
    <row r="926" spans="1:18" x14ac:dyDescent="0.35">
      <c r="A926" s="5"/>
      <c r="L926" s="71"/>
      <c r="R926" s="5"/>
    </row>
    <row r="927" spans="1:18" x14ac:dyDescent="0.35">
      <c r="A927" s="5"/>
      <c r="L927" s="71"/>
      <c r="R927" s="5"/>
    </row>
    <row r="928" spans="1:18" x14ac:dyDescent="0.35">
      <c r="A928" s="5"/>
      <c r="L928" s="71"/>
      <c r="R928" s="5"/>
    </row>
    <row r="929" spans="1:18" x14ac:dyDescent="0.35">
      <c r="A929" s="5"/>
      <c r="L929" s="71"/>
      <c r="R929" s="5"/>
    </row>
    <row r="930" spans="1:18" x14ac:dyDescent="0.35">
      <c r="A930" s="5"/>
      <c r="L930" s="71"/>
      <c r="R930" s="5"/>
    </row>
    <row r="931" spans="1:18" x14ac:dyDescent="0.35">
      <c r="A931" s="5"/>
      <c r="L931" s="71"/>
      <c r="R931" s="5"/>
    </row>
    <row r="932" spans="1:18" x14ac:dyDescent="0.35">
      <c r="A932" s="5"/>
      <c r="L932" s="71"/>
      <c r="R932" s="5"/>
    </row>
    <row r="933" spans="1:18" x14ac:dyDescent="0.35">
      <c r="A933" s="5"/>
      <c r="L933" s="71"/>
      <c r="R933" s="5"/>
    </row>
    <row r="934" spans="1:18" x14ac:dyDescent="0.35">
      <c r="A934" s="5"/>
      <c r="L934" s="71"/>
      <c r="R934" s="5"/>
    </row>
    <row r="935" spans="1:18" x14ac:dyDescent="0.35">
      <c r="A935" s="5"/>
      <c r="L935" s="71"/>
      <c r="R935" s="5"/>
    </row>
    <row r="936" spans="1:18" x14ac:dyDescent="0.35">
      <c r="A936" s="5"/>
      <c r="L936" s="71"/>
      <c r="R936" s="5"/>
    </row>
    <row r="937" spans="1:18" x14ac:dyDescent="0.35">
      <c r="A937" s="5"/>
      <c r="L937" s="71"/>
      <c r="R937" s="5"/>
    </row>
    <row r="938" spans="1:18" x14ac:dyDescent="0.35">
      <c r="A938" s="5"/>
      <c r="L938" s="71"/>
      <c r="R938" s="5"/>
    </row>
    <row r="939" spans="1:18" x14ac:dyDescent="0.35">
      <c r="A939" s="5"/>
      <c r="L939" s="71"/>
      <c r="R939" s="5"/>
    </row>
    <row r="940" spans="1:18" x14ac:dyDescent="0.35">
      <c r="A940" s="5"/>
      <c r="L940" s="71"/>
      <c r="R940" s="5"/>
    </row>
    <row r="941" spans="1:18" x14ac:dyDescent="0.35">
      <c r="A941" s="5"/>
      <c r="L941" s="71"/>
      <c r="R941" s="5"/>
    </row>
    <row r="942" spans="1:18" x14ac:dyDescent="0.35">
      <c r="A942" s="5"/>
      <c r="L942" s="71"/>
      <c r="R942" s="5"/>
    </row>
    <row r="943" spans="1:18" x14ac:dyDescent="0.35">
      <c r="A943" s="5"/>
      <c r="L943" s="71"/>
      <c r="R943" s="5"/>
    </row>
    <row r="944" spans="1:18" x14ac:dyDescent="0.35">
      <c r="A944" s="5"/>
      <c r="L944" s="71"/>
      <c r="R944" s="5"/>
    </row>
    <row r="945" spans="1:18" x14ac:dyDescent="0.35">
      <c r="A945" s="5"/>
      <c r="L945" s="71"/>
      <c r="R945" s="5"/>
    </row>
    <row r="946" spans="1:18" x14ac:dyDescent="0.35">
      <c r="A946" s="5"/>
      <c r="L946" s="71"/>
      <c r="R946" s="5"/>
    </row>
    <row r="947" spans="1:18" x14ac:dyDescent="0.35">
      <c r="A947" s="5"/>
      <c r="L947" s="71"/>
      <c r="R947" s="5"/>
    </row>
    <row r="948" spans="1:18" x14ac:dyDescent="0.35">
      <c r="A948" s="5"/>
      <c r="L948" s="71"/>
      <c r="R948" s="5"/>
    </row>
    <row r="949" spans="1:18" x14ac:dyDescent="0.35">
      <c r="A949" s="5"/>
      <c r="L949" s="71"/>
      <c r="R949" s="5"/>
    </row>
    <row r="950" spans="1:18" x14ac:dyDescent="0.35">
      <c r="A950" s="5"/>
      <c r="L950" s="71"/>
      <c r="R950" s="5"/>
    </row>
    <row r="951" spans="1:18" x14ac:dyDescent="0.35">
      <c r="A951" s="5"/>
      <c r="L951" s="71"/>
      <c r="R951" s="5"/>
    </row>
    <row r="952" spans="1:18" x14ac:dyDescent="0.35">
      <c r="A952" s="5"/>
      <c r="L952" s="71"/>
      <c r="R952" s="5"/>
    </row>
    <row r="953" spans="1:18" x14ac:dyDescent="0.35">
      <c r="A953" s="5"/>
      <c r="L953" s="71"/>
      <c r="R953" s="5"/>
    </row>
    <row r="954" spans="1:18" x14ac:dyDescent="0.35">
      <c r="A954" s="5"/>
      <c r="L954" s="71"/>
      <c r="R954" s="5"/>
    </row>
    <row r="955" spans="1:18" x14ac:dyDescent="0.35">
      <c r="A955" s="5"/>
      <c r="L955" s="71"/>
      <c r="R955" s="5"/>
    </row>
    <row r="956" spans="1:18" x14ac:dyDescent="0.35">
      <c r="A956" s="5"/>
      <c r="L956" s="71"/>
      <c r="R956" s="5"/>
    </row>
    <row r="957" spans="1:18" x14ac:dyDescent="0.35">
      <c r="A957" s="5"/>
      <c r="L957" s="71"/>
      <c r="R957" s="5"/>
    </row>
    <row r="958" spans="1:18" x14ac:dyDescent="0.35">
      <c r="A958" s="5"/>
      <c r="L958" s="71"/>
      <c r="R958" s="5"/>
    </row>
    <row r="959" spans="1:18" x14ac:dyDescent="0.35">
      <c r="A959" s="5"/>
      <c r="L959" s="71"/>
      <c r="R959" s="5"/>
    </row>
    <row r="960" spans="1:18" x14ac:dyDescent="0.35">
      <c r="A960" s="5"/>
      <c r="L960" s="71"/>
      <c r="R960" s="5"/>
    </row>
    <row r="961" spans="1:18" x14ac:dyDescent="0.35">
      <c r="A961" s="5"/>
      <c r="L961" s="71"/>
      <c r="R961" s="5"/>
    </row>
    <row r="962" spans="1:18" x14ac:dyDescent="0.35">
      <c r="A962" s="5"/>
      <c r="L962" s="71"/>
      <c r="R962" s="5"/>
    </row>
    <row r="963" spans="1:18" x14ac:dyDescent="0.35">
      <c r="A963" s="5"/>
      <c r="L963" s="71"/>
      <c r="R963" s="5"/>
    </row>
    <row r="964" spans="1:18" x14ac:dyDescent="0.35">
      <c r="A964" s="5"/>
      <c r="L964" s="71"/>
      <c r="R964" s="5"/>
    </row>
    <row r="965" spans="1:18" x14ac:dyDescent="0.35">
      <c r="A965" s="5"/>
      <c r="L965" s="71"/>
      <c r="R965" s="5"/>
    </row>
    <row r="966" spans="1:18" x14ac:dyDescent="0.35">
      <c r="A966" s="5"/>
      <c r="L966" s="71"/>
      <c r="R966" s="5"/>
    </row>
    <row r="967" spans="1:18" x14ac:dyDescent="0.35">
      <c r="A967" s="5"/>
      <c r="L967" s="71"/>
      <c r="R967" s="5"/>
    </row>
    <row r="968" spans="1:18" x14ac:dyDescent="0.35">
      <c r="A968" s="5"/>
      <c r="L968" s="71"/>
      <c r="R968" s="5"/>
    </row>
    <row r="969" spans="1:18" x14ac:dyDescent="0.35">
      <c r="A969" s="5"/>
      <c r="L969" s="71"/>
      <c r="R969" s="5"/>
    </row>
    <row r="970" spans="1:18" x14ac:dyDescent="0.35">
      <c r="A970" s="5"/>
      <c r="L970" s="71"/>
      <c r="R970" s="5"/>
    </row>
    <row r="971" spans="1:18" x14ac:dyDescent="0.35">
      <c r="A971" s="5"/>
      <c r="L971" s="71"/>
      <c r="R971" s="5"/>
    </row>
    <row r="972" spans="1:18" x14ac:dyDescent="0.35">
      <c r="A972" s="5"/>
      <c r="L972" s="71"/>
      <c r="R972" s="5"/>
    </row>
    <row r="973" spans="1:18" x14ac:dyDescent="0.35">
      <c r="A973" s="5"/>
      <c r="L973" s="71"/>
      <c r="R973" s="5"/>
    </row>
    <row r="974" spans="1:18" x14ac:dyDescent="0.35">
      <c r="A974" s="5"/>
      <c r="L974" s="71"/>
      <c r="R974" s="5"/>
    </row>
    <row r="975" spans="1:18" x14ac:dyDescent="0.35">
      <c r="A975" s="5"/>
      <c r="L975" s="71"/>
      <c r="R975" s="5"/>
    </row>
    <row r="976" spans="1:18" x14ac:dyDescent="0.35">
      <c r="A976" s="5"/>
      <c r="L976" s="71"/>
      <c r="R976" s="5"/>
    </row>
    <row r="977" spans="1:18" x14ac:dyDescent="0.35">
      <c r="A977" s="5"/>
      <c r="L977" s="71"/>
      <c r="R977" s="5"/>
    </row>
    <row r="978" spans="1:18" x14ac:dyDescent="0.35">
      <c r="A978" s="5"/>
      <c r="L978" s="71"/>
      <c r="R978" s="5"/>
    </row>
    <row r="979" spans="1:18" x14ac:dyDescent="0.35">
      <c r="A979" s="5"/>
      <c r="L979" s="71"/>
      <c r="R979" s="5"/>
    </row>
    <row r="980" spans="1:18" x14ac:dyDescent="0.35">
      <c r="A980" s="5"/>
      <c r="L980" s="71"/>
      <c r="R980" s="5"/>
    </row>
    <row r="981" spans="1:18" x14ac:dyDescent="0.35">
      <c r="A981" s="5"/>
      <c r="L981" s="71"/>
      <c r="R981" s="5"/>
    </row>
    <row r="982" spans="1:18" x14ac:dyDescent="0.35">
      <c r="A982" s="5"/>
      <c r="L982" s="71"/>
      <c r="R982" s="5"/>
    </row>
    <row r="983" spans="1:18" x14ac:dyDescent="0.35">
      <c r="A983" s="5"/>
      <c r="L983" s="71"/>
      <c r="R983" s="5"/>
    </row>
    <row r="984" spans="1:18" x14ac:dyDescent="0.35">
      <c r="A984" s="5"/>
      <c r="L984" s="71"/>
      <c r="R984" s="5"/>
    </row>
    <row r="985" spans="1:18" x14ac:dyDescent="0.35">
      <c r="A985" s="5"/>
      <c r="L985" s="71"/>
      <c r="R985" s="5"/>
    </row>
    <row r="986" spans="1:18" x14ac:dyDescent="0.35">
      <c r="A986" s="5"/>
      <c r="L986" s="71"/>
      <c r="R986" s="5"/>
    </row>
    <row r="987" spans="1:18" x14ac:dyDescent="0.35">
      <c r="A987" s="5"/>
      <c r="L987" s="71"/>
      <c r="R987" s="5"/>
    </row>
    <row r="988" spans="1:18" x14ac:dyDescent="0.35">
      <c r="A988" s="5"/>
      <c r="L988" s="71"/>
      <c r="R988" s="5"/>
    </row>
    <row r="989" spans="1:18" x14ac:dyDescent="0.35">
      <c r="A989" s="5"/>
      <c r="L989" s="71"/>
      <c r="R989" s="5"/>
    </row>
    <row r="990" spans="1:18" x14ac:dyDescent="0.35">
      <c r="A990" s="5"/>
      <c r="L990" s="71"/>
      <c r="R990" s="5"/>
    </row>
    <row r="991" spans="1:18" x14ac:dyDescent="0.35">
      <c r="A991" s="5"/>
      <c r="L991" s="71"/>
      <c r="R991" s="5"/>
    </row>
    <row r="992" spans="1:18" x14ac:dyDescent="0.35">
      <c r="A992" s="5"/>
      <c r="L992" s="71"/>
      <c r="R992" s="5"/>
    </row>
    <row r="993" spans="1:18" x14ac:dyDescent="0.35">
      <c r="A993" s="5"/>
      <c r="L993" s="71"/>
      <c r="R993" s="5"/>
    </row>
    <row r="994" spans="1:18" x14ac:dyDescent="0.35">
      <c r="A994" s="5"/>
      <c r="L994" s="71"/>
      <c r="R994" s="5"/>
    </row>
    <row r="995" spans="1:18" x14ac:dyDescent="0.35">
      <c r="A995" s="5"/>
      <c r="L995" s="71"/>
      <c r="R995" s="5"/>
    </row>
    <row r="996" spans="1:18" x14ac:dyDescent="0.35">
      <c r="A996" s="5"/>
      <c r="L996" s="71"/>
      <c r="R996" s="5"/>
    </row>
    <row r="997" spans="1:18" x14ac:dyDescent="0.35">
      <c r="A997" s="5"/>
      <c r="L997" s="71"/>
      <c r="R997" s="5"/>
    </row>
    <row r="998" spans="1:18" x14ac:dyDescent="0.35">
      <c r="A998" s="5"/>
      <c r="L998" s="71"/>
      <c r="R998" s="5"/>
    </row>
    <row r="999" spans="1:18" x14ac:dyDescent="0.35">
      <c r="A999" s="5"/>
      <c r="L999" s="71"/>
      <c r="R999" s="5"/>
    </row>
    <row r="1000" spans="1:18" x14ac:dyDescent="0.35">
      <c r="A1000" s="5"/>
      <c r="L1000" s="71"/>
      <c r="R1000" s="5"/>
    </row>
    <row r="1001" spans="1:18" x14ac:dyDescent="0.35">
      <c r="A1001" s="5"/>
      <c r="L1001" s="71"/>
      <c r="R1001" s="5"/>
    </row>
    <row r="1002" spans="1:18" x14ac:dyDescent="0.35">
      <c r="A1002" s="5"/>
      <c r="L1002" s="71"/>
      <c r="R1002" s="5"/>
    </row>
    <row r="1003" spans="1:18" x14ac:dyDescent="0.35">
      <c r="A1003" s="5"/>
      <c r="L1003" s="71"/>
      <c r="R1003" s="5"/>
    </row>
    <row r="1004" spans="1:18" x14ac:dyDescent="0.35">
      <c r="A1004" s="5"/>
      <c r="L1004" s="71"/>
      <c r="R1004" s="5"/>
    </row>
    <row r="1005" spans="1:18" x14ac:dyDescent="0.35">
      <c r="A1005" s="5"/>
      <c r="L1005" s="71"/>
      <c r="R1005" s="5"/>
    </row>
    <row r="1006" spans="1:18" x14ac:dyDescent="0.35">
      <c r="A1006" s="5"/>
      <c r="L1006" s="71"/>
      <c r="R1006" s="5"/>
    </row>
    <row r="1007" spans="1:18" x14ac:dyDescent="0.35">
      <c r="A1007" s="5"/>
      <c r="L1007" s="71"/>
      <c r="R1007" s="5"/>
    </row>
    <row r="1008" spans="1:18" x14ac:dyDescent="0.35">
      <c r="A1008" s="5"/>
      <c r="L1008" s="71"/>
      <c r="R1008" s="5"/>
    </row>
    <row r="1009" spans="1:18" x14ac:dyDescent="0.35">
      <c r="A1009" s="5"/>
      <c r="L1009" s="71"/>
      <c r="R1009" s="5"/>
    </row>
    <row r="1010" spans="1:18" x14ac:dyDescent="0.35">
      <c r="A1010" s="5"/>
      <c r="L1010" s="71"/>
      <c r="R1010" s="5"/>
    </row>
    <row r="1011" spans="1:18" x14ac:dyDescent="0.35">
      <c r="A1011" s="5"/>
      <c r="L1011" s="71"/>
      <c r="R1011" s="5"/>
    </row>
    <row r="1012" spans="1:18" x14ac:dyDescent="0.35">
      <c r="A1012" s="5"/>
      <c r="L1012" s="71"/>
      <c r="R1012" s="5"/>
    </row>
    <row r="1013" spans="1:18" x14ac:dyDescent="0.35">
      <c r="A1013" s="5"/>
      <c r="L1013" s="71"/>
      <c r="R1013" s="5"/>
    </row>
    <row r="1014" spans="1:18" x14ac:dyDescent="0.35">
      <c r="A1014" s="5"/>
      <c r="L1014" s="71"/>
      <c r="R1014" s="5"/>
    </row>
    <row r="1015" spans="1:18" x14ac:dyDescent="0.35">
      <c r="A1015" s="5"/>
      <c r="L1015" s="71"/>
      <c r="R1015" s="5"/>
    </row>
    <row r="1016" spans="1:18" x14ac:dyDescent="0.35">
      <c r="A1016" s="5"/>
      <c r="L1016" s="71"/>
      <c r="R1016" s="5"/>
    </row>
    <row r="1017" spans="1:18" x14ac:dyDescent="0.35">
      <c r="A1017" s="5"/>
      <c r="L1017" s="71"/>
      <c r="R1017" s="5"/>
    </row>
    <row r="1018" spans="1:18" x14ac:dyDescent="0.35">
      <c r="A1018" s="5"/>
      <c r="L1018" s="71"/>
      <c r="R1018" s="5"/>
    </row>
    <row r="1019" spans="1:18" x14ac:dyDescent="0.35">
      <c r="A1019" s="5"/>
      <c r="L1019" s="71"/>
      <c r="R1019" s="5"/>
    </row>
    <row r="1020" spans="1:18" x14ac:dyDescent="0.35">
      <c r="A1020" s="5"/>
      <c r="L1020" s="71"/>
      <c r="R1020" s="5"/>
    </row>
    <row r="1021" spans="1:18" x14ac:dyDescent="0.35">
      <c r="A1021" s="5"/>
      <c r="L1021" s="71"/>
      <c r="R1021" s="5"/>
    </row>
    <row r="1022" spans="1:18" x14ac:dyDescent="0.35">
      <c r="A1022" s="5"/>
      <c r="L1022" s="71"/>
      <c r="R1022" s="5"/>
    </row>
    <row r="1023" spans="1:18" x14ac:dyDescent="0.35">
      <c r="A1023" s="5"/>
      <c r="L1023" s="71"/>
      <c r="R1023" s="5"/>
    </row>
    <row r="1024" spans="1:18" x14ac:dyDescent="0.35">
      <c r="A1024" s="5"/>
      <c r="L1024" s="71"/>
      <c r="R1024" s="5"/>
    </row>
    <row r="1025" spans="1:18" x14ac:dyDescent="0.35">
      <c r="A1025" s="5"/>
      <c r="L1025" s="71"/>
      <c r="R1025" s="5"/>
    </row>
    <row r="1026" spans="1:18" x14ac:dyDescent="0.35">
      <c r="A1026" s="5"/>
      <c r="L1026" s="71"/>
      <c r="R1026" s="5"/>
    </row>
    <row r="1027" spans="1:18" x14ac:dyDescent="0.35">
      <c r="A1027" s="5"/>
      <c r="L1027" s="71"/>
      <c r="R1027" s="5"/>
    </row>
    <row r="1028" spans="1:18" x14ac:dyDescent="0.35">
      <c r="A1028" s="5"/>
      <c r="L1028" s="71"/>
      <c r="R1028" s="5"/>
    </row>
    <row r="1029" spans="1:18" x14ac:dyDescent="0.35">
      <c r="A1029" s="5"/>
      <c r="L1029" s="71"/>
      <c r="R1029" s="5"/>
    </row>
    <row r="1030" spans="1:18" x14ac:dyDescent="0.35">
      <c r="A1030" s="5"/>
      <c r="L1030" s="71"/>
      <c r="R1030" s="5"/>
    </row>
    <row r="1031" spans="1:18" x14ac:dyDescent="0.35">
      <c r="A1031" s="5"/>
      <c r="L1031" s="71"/>
      <c r="R1031" s="5"/>
    </row>
    <row r="1032" spans="1:18" x14ac:dyDescent="0.35">
      <c r="A1032" s="5"/>
      <c r="L1032" s="71"/>
      <c r="R1032" s="5"/>
    </row>
    <row r="1033" spans="1:18" x14ac:dyDescent="0.35">
      <c r="A1033" s="5"/>
      <c r="L1033" s="71"/>
      <c r="R1033" s="5"/>
    </row>
    <row r="1034" spans="1:18" x14ac:dyDescent="0.35">
      <c r="A1034" s="5"/>
      <c r="L1034" s="71"/>
      <c r="R1034" s="5"/>
    </row>
    <row r="1035" spans="1:18" x14ac:dyDescent="0.35">
      <c r="A1035" s="5"/>
      <c r="L1035" s="71"/>
      <c r="R1035" s="5"/>
    </row>
    <row r="1036" spans="1:18" x14ac:dyDescent="0.35">
      <c r="A1036" s="5"/>
      <c r="L1036" s="71"/>
      <c r="R1036" s="5"/>
    </row>
    <row r="1037" spans="1:18" x14ac:dyDescent="0.35">
      <c r="A1037" s="5"/>
      <c r="L1037" s="71"/>
      <c r="R1037" s="5"/>
    </row>
    <row r="1038" spans="1:18" x14ac:dyDescent="0.35">
      <c r="A1038" s="5"/>
      <c r="L1038" s="71"/>
      <c r="R1038" s="5"/>
    </row>
    <row r="1039" spans="1:18" x14ac:dyDescent="0.35">
      <c r="A1039" s="5"/>
      <c r="L1039" s="71"/>
      <c r="R1039" s="5"/>
    </row>
    <row r="1040" spans="1:18" x14ac:dyDescent="0.35">
      <c r="A1040" s="5"/>
      <c r="L1040" s="71"/>
      <c r="R1040" s="5"/>
    </row>
    <row r="1041" spans="1:18" x14ac:dyDescent="0.35">
      <c r="A1041" s="5"/>
      <c r="L1041" s="71"/>
      <c r="R1041" s="5"/>
    </row>
    <row r="1042" spans="1:18" x14ac:dyDescent="0.35">
      <c r="A1042" s="5"/>
      <c r="L1042" s="71"/>
      <c r="R1042" s="5"/>
    </row>
    <row r="1043" spans="1:18" x14ac:dyDescent="0.35">
      <c r="A1043" s="5"/>
      <c r="L1043" s="71"/>
      <c r="R1043" s="5"/>
    </row>
    <row r="1044" spans="1:18" x14ac:dyDescent="0.35">
      <c r="A1044" s="5"/>
      <c r="L1044" s="71"/>
      <c r="R1044" s="5"/>
    </row>
    <row r="1045" spans="1:18" x14ac:dyDescent="0.35">
      <c r="A1045" s="5"/>
      <c r="L1045" s="71"/>
      <c r="R1045" s="5"/>
    </row>
    <row r="1046" spans="1:18" x14ac:dyDescent="0.35">
      <c r="A1046" s="5"/>
      <c r="L1046" s="71"/>
      <c r="R1046" s="5"/>
    </row>
    <row r="1047" spans="1:18" x14ac:dyDescent="0.35">
      <c r="A1047" s="5"/>
      <c r="L1047" s="71"/>
      <c r="R1047" s="5"/>
    </row>
    <row r="1048" spans="1:18" x14ac:dyDescent="0.35">
      <c r="A1048" s="5"/>
      <c r="L1048" s="71"/>
      <c r="R1048" s="5"/>
    </row>
    <row r="1049" spans="1:18" x14ac:dyDescent="0.35">
      <c r="A1049" s="5"/>
      <c r="L1049" s="71"/>
      <c r="R1049" s="5"/>
    </row>
    <row r="1050" spans="1:18" x14ac:dyDescent="0.35">
      <c r="A1050" s="5"/>
      <c r="L1050" s="71"/>
      <c r="R1050" s="5"/>
    </row>
    <row r="1051" spans="1:18" x14ac:dyDescent="0.35">
      <c r="A1051" s="5"/>
      <c r="L1051" s="71"/>
      <c r="R1051" s="5"/>
    </row>
    <row r="1052" spans="1:18" x14ac:dyDescent="0.35">
      <c r="A1052" s="5"/>
      <c r="L1052" s="71"/>
      <c r="R1052" s="5"/>
    </row>
    <row r="1053" spans="1:18" x14ac:dyDescent="0.35">
      <c r="A1053" s="5"/>
      <c r="L1053" s="71"/>
      <c r="R1053" s="5"/>
    </row>
    <row r="1054" spans="1:18" x14ac:dyDescent="0.35">
      <c r="A1054" s="5"/>
      <c r="L1054" s="71"/>
      <c r="R1054" s="5"/>
    </row>
    <row r="1055" spans="1:18" x14ac:dyDescent="0.35">
      <c r="A1055" s="5"/>
      <c r="L1055" s="71"/>
      <c r="R1055" s="5"/>
    </row>
    <row r="1056" spans="1:18" x14ac:dyDescent="0.35">
      <c r="A1056" s="5"/>
      <c r="L1056" s="71"/>
      <c r="R1056" s="5"/>
    </row>
    <row r="1057" spans="1:18" x14ac:dyDescent="0.35">
      <c r="A1057" s="5"/>
      <c r="L1057" s="71"/>
      <c r="R1057" s="5"/>
    </row>
    <row r="1058" spans="1:18" x14ac:dyDescent="0.35">
      <c r="A1058" s="5"/>
      <c r="L1058" s="71"/>
      <c r="R1058" s="5"/>
    </row>
    <row r="1059" spans="1:18" x14ac:dyDescent="0.35">
      <c r="A1059" s="5"/>
      <c r="L1059" s="71"/>
      <c r="R1059" s="5"/>
    </row>
    <row r="1060" spans="1:18" x14ac:dyDescent="0.35">
      <c r="A1060" s="5"/>
      <c r="L1060" s="71"/>
      <c r="R1060" s="5"/>
    </row>
    <row r="1061" spans="1:18" x14ac:dyDescent="0.35">
      <c r="A1061" s="5"/>
      <c r="L1061" s="71"/>
      <c r="R1061" s="5"/>
    </row>
    <row r="1062" spans="1:18" x14ac:dyDescent="0.35">
      <c r="A1062" s="5"/>
      <c r="L1062" s="71"/>
      <c r="R1062" s="5"/>
    </row>
    <row r="1063" spans="1:18" x14ac:dyDescent="0.35">
      <c r="A1063" s="5"/>
      <c r="L1063" s="71"/>
      <c r="R1063" s="5"/>
    </row>
    <row r="1064" spans="1:18" x14ac:dyDescent="0.35">
      <c r="A1064" s="5"/>
      <c r="L1064" s="71"/>
      <c r="R1064" s="5"/>
    </row>
    <row r="1065" spans="1:18" x14ac:dyDescent="0.35">
      <c r="A1065" s="5"/>
      <c r="L1065" s="71"/>
      <c r="R1065" s="5"/>
    </row>
    <row r="1066" spans="1:18" x14ac:dyDescent="0.35">
      <c r="A1066" s="5"/>
      <c r="L1066" s="71"/>
      <c r="R1066" s="5"/>
    </row>
    <row r="1067" spans="1:18" x14ac:dyDescent="0.35">
      <c r="A1067" s="5"/>
      <c r="L1067" s="71"/>
      <c r="R1067" s="5"/>
    </row>
    <row r="1068" spans="1:18" x14ac:dyDescent="0.35">
      <c r="A1068" s="5"/>
      <c r="L1068" s="71"/>
      <c r="R1068" s="5"/>
    </row>
    <row r="1069" spans="1:18" x14ac:dyDescent="0.35">
      <c r="A1069" s="5"/>
      <c r="L1069" s="71"/>
      <c r="R1069" s="5"/>
    </row>
    <row r="1070" spans="1:18" x14ac:dyDescent="0.35">
      <c r="A1070" s="5"/>
      <c r="L1070" s="71"/>
      <c r="R1070" s="5"/>
    </row>
    <row r="1071" spans="1:18" x14ac:dyDescent="0.35">
      <c r="A1071" s="5"/>
      <c r="L1071" s="71"/>
      <c r="R1071" s="5"/>
    </row>
    <row r="1072" spans="1:18" x14ac:dyDescent="0.35">
      <c r="A1072" s="5"/>
      <c r="L1072" s="71"/>
      <c r="R1072" s="5"/>
    </row>
    <row r="1073" spans="1:18" x14ac:dyDescent="0.35">
      <c r="A1073" s="5"/>
      <c r="L1073" s="71"/>
      <c r="R1073" s="5"/>
    </row>
    <row r="1074" spans="1:18" x14ac:dyDescent="0.35">
      <c r="A1074" s="5"/>
      <c r="L1074" s="71"/>
      <c r="R1074" s="5"/>
    </row>
    <row r="1075" spans="1:18" x14ac:dyDescent="0.35">
      <c r="A1075" s="5"/>
      <c r="L1075" s="71"/>
      <c r="R1075" s="5"/>
    </row>
    <row r="1076" spans="1:18" x14ac:dyDescent="0.35">
      <c r="A1076" s="5"/>
      <c r="L1076" s="71"/>
      <c r="R1076" s="5"/>
    </row>
    <row r="1077" spans="1:18" x14ac:dyDescent="0.35">
      <c r="A1077" s="5"/>
      <c r="L1077" s="71"/>
      <c r="R1077" s="5"/>
    </row>
    <row r="1078" spans="1:18" x14ac:dyDescent="0.35">
      <c r="A1078" s="5"/>
      <c r="L1078" s="71"/>
      <c r="R1078" s="5"/>
    </row>
    <row r="1079" spans="1:18" x14ac:dyDescent="0.35">
      <c r="A1079" s="5"/>
      <c r="L1079" s="71"/>
      <c r="R1079" s="5"/>
    </row>
    <row r="1080" spans="1:18" x14ac:dyDescent="0.35">
      <c r="A1080" s="5"/>
      <c r="L1080" s="71"/>
      <c r="R1080" s="5"/>
    </row>
    <row r="1081" spans="1:18" x14ac:dyDescent="0.35">
      <c r="A1081" s="5"/>
      <c r="L1081" s="71"/>
      <c r="R1081" s="5"/>
    </row>
    <row r="1082" spans="1:18" x14ac:dyDescent="0.35">
      <c r="A1082" s="5"/>
      <c r="L1082" s="71"/>
      <c r="R1082" s="5"/>
    </row>
    <row r="1083" spans="1:18" x14ac:dyDescent="0.35">
      <c r="A1083" s="5"/>
      <c r="L1083" s="71"/>
      <c r="R1083" s="5"/>
    </row>
    <row r="1084" spans="1:18" x14ac:dyDescent="0.35">
      <c r="A1084" s="5"/>
      <c r="L1084" s="71"/>
      <c r="R1084" s="5"/>
    </row>
    <row r="1085" spans="1:18" x14ac:dyDescent="0.35">
      <c r="A1085" s="5"/>
      <c r="L1085" s="71"/>
      <c r="R1085" s="5"/>
    </row>
    <row r="1086" spans="1:18" x14ac:dyDescent="0.35">
      <c r="A1086" s="5"/>
      <c r="L1086" s="71"/>
      <c r="R1086" s="5"/>
    </row>
    <row r="1087" spans="1:18" x14ac:dyDescent="0.35">
      <c r="A1087" s="5"/>
      <c r="L1087" s="71"/>
      <c r="R1087" s="5"/>
    </row>
    <row r="1088" spans="1:18" x14ac:dyDescent="0.35">
      <c r="A1088" s="5"/>
      <c r="L1088" s="71"/>
      <c r="R1088" s="5"/>
    </row>
    <row r="1089" spans="1:18" x14ac:dyDescent="0.35">
      <c r="A1089" s="5"/>
      <c r="L1089" s="71"/>
      <c r="R1089" s="5"/>
    </row>
    <row r="1090" spans="1:18" x14ac:dyDescent="0.35">
      <c r="A1090" s="5"/>
      <c r="L1090" s="71"/>
      <c r="R1090" s="5"/>
    </row>
    <row r="1091" spans="1:18" x14ac:dyDescent="0.35">
      <c r="A1091" s="5"/>
      <c r="L1091" s="71"/>
      <c r="R1091" s="5"/>
    </row>
    <row r="1092" spans="1:18" x14ac:dyDescent="0.35">
      <c r="A1092" s="5"/>
      <c r="L1092" s="71"/>
      <c r="R1092" s="5"/>
    </row>
    <row r="1093" spans="1:18" x14ac:dyDescent="0.35">
      <c r="A1093" s="5"/>
      <c r="L1093" s="71"/>
      <c r="R1093" s="5"/>
    </row>
    <row r="1094" spans="1:18" x14ac:dyDescent="0.35">
      <c r="A1094" s="5"/>
      <c r="L1094" s="71"/>
      <c r="R1094" s="5"/>
    </row>
    <row r="1095" spans="1:18" x14ac:dyDescent="0.35">
      <c r="A1095" s="5"/>
      <c r="L1095" s="71"/>
      <c r="R1095" s="5"/>
    </row>
    <row r="1096" spans="1:18" x14ac:dyDescent="0.35">
      <c r="A1096" s="5"/>
      <c r="L1096" s="71"/>
      <c r="R1096" s="5"/>
    </row>
    <row r="1097" spans="1:18" x14ac:dyDescent="0.35">
      <c r="A1097" s="5"/>
      <c r="L1097" s="71"/>
      <c r="R1097" s="5"/>
    </row>
    <row r="1098" spans="1:18" x14ac:dyDescent="0.35">
      <c r="A1098" s="5"/>
      <c r="L1098" s="71"/>
      <c r="R1098" s="5"/>
    </row>
    <row r="1099" spans="1:18" x14ac:dyDescent="0.35">
      <c r="A1099" s="5"/>
      <c r="L1099" s="71"/>
      <c r="R1099" s="5"/>
    </row>
    <row r="1100" spans="1:18" x14ac:dyDescent="0.35">
      <c r="A1100" s="5"/>
      <c r="L1100" s="71"/>
      <c r="R1100" s="5"/>
    </row>
    <row r="1101" spans="1:18" x14ac:dyDescent="0.35">
      <c r="A1101" s="5"/>
      <c r="L1101" s="71"/>
      <c r="R1101" s="5"/>
    </row>
    <row r="1102" spans="1:18" x14ac:dyDescent="0.35">
      <c r="A1102" s="5"/>
      <c r="L1102" s="71"/>
      <c r="R1102" s="5"/>
    </row>
    <row r="1103" spans="1:18" x14ac:dyDescent="0.35">
      <c r="A1103" s="5"/>
      <c r="L1103" s="71"/>
      <c r="R1103" s="5"/>
    </row>
    <row r="1104" spans="1:18" x14ac:dyDescent="0.35">
      <c r="A1104" s="5"/>
      <c r="L1104" s="71"/>
      <c r="R1104" s="5"/>
    </row>
    <row r="1105" spans="1:18" x14ac:dyDescent="0.35">
      <c r="A1105" s="5"/>
      <c r="L1105" s="71"/>
      <c r="R1105" s="5"/>
    </row>
    <row r="1106" spans="1:18" x14ac:dyDescent="0.35">
      <c r="A1106" s="5"/>
      <c r="L1106" s="71"/>
      <c r="R1106" s="5"/>
    </row>
    <row r="1107" spans="1:18" x14ac:dyDescent="0.35">
      <c r="A1107" s="5"/>
      <c r="L1107" s="71"/>
      <c r="R1107" s="5"/>
    </row>
    <row r="1108" spans="1:18" x14ac:dyDescent="0.35">
      <c r="A1108" s="5"/>
      <c r="L1108" s="71"/>
      <c r="R1108" s="5"/>
    </row>
    <row r="1109" spans="1:18" x14ac:dyDescent="0.35">
      <c r="A1109" s="5"/>
      <c r="L1109" s="71"/>
      <c r="R1109" s="5"/>
    </row>
    <row r="1110" spans="1:18" x14ac:dyDescent="0.35">
      <c r="A1110" s="5"/>
      <c r="L1110" s="71"/>
      <c r="R1110" s="5"/>
    </row>
    <row r="1111" spans="1:18" x14ac:dyDescent="0.35">
      <c r="A1111" s="5"/>
      <c r="L1111" s="71"/>
      <c r="R1111" s="5"/>
    </row>
    <row r="1112" spans="1:18" x14ac:dyDescent="0.35">
      <c r="A1112" s="5"/>
      <c r="L1112" s="71"/>
      <c r="R1112" s="5"/>
    </row>
    <row r="1113" spans="1:18" x14ac:dyDescent="0.35">
      <c r="A1113" s="5"/>
      <c r="L1113" s="71"/>
      <c r="R1113" s="5"/>
    </row>
    <row r="1114" spans="1:18" x14ac:dyDescent="0.35">
      <c r="A1114" s="5"/>
      <c r="L1114" s="71"/>
      <c r="R1114" s="5"/>
    </row>
    <row r="1115" spans="1:18" x14ac:dyDescent="0.35">
      <c r="A1115" s="5"/>
      <c r="L1115" s="71"/>
      <c r="R1115" s="5"/>
    </row>
    <row r="1116" spans="1:18" x14ac:dyDescent="0.35">
      <c r="A1116" s="5"/>
      <c r="L1116" s="71"/>
      <c r="R1116" s="5"/>
    </row>
    <row r="1117" spans="1:18" x14ac:dyDescent="0.35">
      <c r="A1117" s="5"/>
      <c r="L1117" s="71"/>
      <c r="R1117" s="5"/>
    </row>
    <row r="1118" spans="1:18" x14ac:dyDescent="0.35">
      <c r="A1118" s="5"/>
      <c r="L1118" s="71"/>
      <c r="R1118" s="5"/>
    </row>
    <row r="1119" spans="1:18" x14ac:dyDescent="0.35">
      <c r="A1119" s="5"/>
      <c r="L1119" s="71"/>
      <c r="R1119" s="5"/>
    </row>
    <row r="1120" spans="1:18" x14ac:dyDescent="0.35">
      <c r="A1120" s="5"/>
      <c r="L1120" s="71"/>
      <c r="R1120" s="5"/>
    </row>
    <row r="1121" spans="1:18" x14ac:dyDescent="0.35">
      <c r="A1121" s="5"/>
      <c r="L1121" s="71"/>
      <c r="R1121" s="5"/>
    </row>
    <row r="1122" spans="1:18" x14ac:dyDescent="0.35">
      <c r="A1122" s="5"/>
      <c r="L1122" s="71"/>
      <c r="R1122" s="5"/>
    </row>
    <row r="1123" spans="1:18" x14ac:dyDescent="0.35">
      <c r="A1123" s="5"/>
      <c r="L1123" s="71"/>
      <c r="R1123" s="5"/>
    </row>
    <row r="1124" spans="1:18" x14ac:dyDescent="0.35">
      <c r="A1124" s="5"/>
      <c r="L1124" s="71"/>
      <c r="R1124" s="5"/>
    </row>
    <row r="1125" spans="1:18" x14ac:dyDescent="0.35">
      <c r="A1125" s="5"/>
      <c r="L1125" s="71"/>
      <c r="R1125" s="5"/>
    </row>
    <row r="1126" spans="1:18" x14ac:dyDescent="0.35">
      <c r="A1126" s="5"/>
      <c r="L1126" s="71"/>
      <c r="R1126" s="5"/>
    </row>
    <row r="1127" spans="1:18" x14ac:dyDescent="0.35">
      <c r="A1127" s="5"/>
      <c r="L1127" s="71"/>
      <c r="R1127" s="5"/>
    </row>
    <row r="1128" spans="1:18" x14ac:dyDescent="0.35">
      <c r="A1128" s="5"/>
      <c r="L1128" s="71"/>
      <c r="R1128" s="5"/>
    </row>
    <row r="1129" spans="1:18" x14ac:dyDescent="0.35">
      <c r="A1129" s="5"/>
      <c r="L1129" s="71"/>
      <c r="R1129" s="5"/>
    </row>
    <row r="1130" spans="1:18" x14ac:dyDescent="0.35">
      <c r="A1130" s="5"/>
      <c r="L1130" s="71"/>
      <c r="R1130" s="5"/>
    </row>
    <row r="1131" spans="1:18" x14ac:dyDescent="0.35">
      <c r="A1131" s="5"/>
      <c r="L1131" s="71"/>
      <c r="R1131" s="5"/>
    </row>
    <row r="1132" spans="1:18" x14ac:dyDescent="0.35">
      <c r="A1132" s="5"/>
      <c r="L1132" s="71"/>
      <c r="R1132" s="5"/>
    </row>
    <row r="1133" spans="1:18" x14ac:dyDescent="0.35">
      <c r="A1133" s="5"/>
      <c r="L1133" s="71"/>
      <c r="R1133" s="5"/>
    </row>
    <row r="1134" spans="1:18" x14ac:dyDescent="0.35">
      <c r="A1134" s="5"/>
      <c r="L1134" s="71"/>
      <c r="R1134" s="5"/>
    </row>
    <row r="1135" spans="1:18" x14ac:dyDescent="0.35">
      <c r="A1135" s="5"/>
      <c r="L1135" s="71"/>
      <c r="R1135" s="5"/>
    </row>
    <row r="1136" spans="1:18" x14ac:dyDescent="0.35">
      <c r="A1136" s="5"/>
      <c r="L1136" s="71"/>
      <c r="R1136" s="5"/>
    </row>
    <row r="1137" spans="1:18" x14ac:dyDescent="0.35">
      <c r="A1137" s="5"/>
      <c r="L1137" s="71"/>
      <c r="R1137" s="5"/>
    </row>
    <row r="1138" spans="1:18" x14ac:dyDescent="0.35">
      <c r="A1138" s="5"/>
      <c r="L1138" s="71"/>
      <c r="R1138" s="5"/>
    </row>
    <row r="1139" spans="1:18" x14ac:dyDescent="0.35">
      <c r="A1139" s="5"/>
      <c r="L1139" s="71"/>
      <c r="R1139" s="5"/>
    </row>
    <row r="1140" spans="1:18" x14ac:dyDescent="0.35">
      <c r="A1140" s="5"/>
      <c r="L1140" s="71"/>
      <c r="R1140" s="5"/>
    </row>
    <row r="1141" spans="1:18" x14ac:dyDescent="0.35">
      <c r="A1141" s="5"/>
      <c r="L1141" s="71"/>
      <c r="R1141" s="5"/>
    </row>
    <row r="1142" spans="1:18" x14ac:dyDescent="0.35">
      <c r="A1142" s="5"/>
      <c r="L1142" s="71"/>
      <c r="R1142" s="5"/>
    </row>
    <row r="1143" spans="1:18" x14ac:dyDescent="0.35">
      <c r="A1143" s="5"/>
      <c r="L1143" s="71"/>
      <c r="R1143" s="5"/>
    </row>
    <row r="1144" spans="1:18" x14ac:dyDescent="0.35">
      <c r="A1144" s="5"/>
      <c r="L1144" s="71"/>
      <c r="R1144" s="5"/>
    </row>
    <row r="1145" spans="1:18" x14ac:dyDescent="0.35">
      <c r="A1145" s="5"/>
      <c r="L1145" s="71"/>
      <c r="R1145" s="5"/>
    </row>
    <row r="1146" spans="1:18" x14ac:dyDescent="0.35">
      <c r="A1146" s="5"/>
      <c r="L1146" s="71"/>
      <c r="R1146" s="5"/>
    </row>
    <row r="1147" spans="1:18" x14ac:dyDescent="0.35">
      <c r="A1147" s="5"/>
      <c r="L1147" s="71"/>
      <c r="R1147" s="5"/>
    </row>
    <row r="1148" spans="1:18" x14ac:dyDescent="0.35">
      <c r="A1148" s="5"/>
      <c r="L1148" s="71"/>
      <c r="R1148" s="5"/>
    </row>
    <row r="1149" spans="1:18" x14ac:dyDescent="0.35">
      <c r="A1149" s="5"/>
      <c r="L1149" s="71"/>
      <c r="R1149" s="5"/>
    </row>
    <row r="1150" spans="1:18" x14ac:dyDescent="0.35">
      <c r="A1150" s="5"/>
      <c r="L1150" s="71"/>
      <c r="R1150" s="5"/>
    </row>
    <row r="1151" spans="1:18" x14ac:dyDescent="0.35">
      <c r="A1151" s="5"/>
      <c r="L1151" s="71"/>
      <c r="R1151" s="5"/>
    </row>
    <row r="1152" spans="1:18" x14ac:dyDescent="0.35">
      <c r="A1152" s="5"/>
      <c r="L1152" s="71"/>
      <c r="R1152" s="5"/>
    </row>
    <row r="1153" spans="1:18" x14ac:dyDescent="0.35">
      <c r="A1153" s="5"/>
      <c r="L1153" s="71"/>
      <c r="R1153" s="5"/>
    </row>
    <row r="1154" spans="1:18" x14ac:dyDescent="0.35">
      <c r="A1154" s="5"/>
      <c r="L1154" s="71"/>
      <c r="R1154" s="5"/>
    </row>
    <row r="1155" spans="1:18" x14ac:dyDescent="0.35">
      <c r="A1155" s="5"/>
      <c r="L1155" s="71"/>
      <c r="R1155" s="5"/>
    </row>
    <row r="1156" spans="1:18" x14ac:dyDescent="0.35">
      <c r="A1156" s="5"/>
      <c r="L1156" s="71"/>
      <c r="R1156" s="5"/>
    </row>
    <row r="1157" spans="1:18" x14ac:dyDescent="0.35">
      <c r="A1157" s="5"/>
      <c r="L1157" s="71"/>
      <c r="R1157" s="5"/>
    </row>
    <row r="1158" spans="1:18" x14ac:dyDescent="0.35">
      <c r="A1158" s="5"/>
      <c r="L1158" s="71"/>
      <c r="R1158" s="5"/>
    </row>
    <row r="1159" spans="1:18" x14ac:dyDescent="0.35">
      <c r="A1159" s="5"/>
      <c r="L1159" s="71"/>
      <c r="R1159" s="5"/>
    </row>
    <row r="1160" spans="1:18" x14ac:dyDescent="0.35">
      <c r="A1160" s="5"/>
      <c r="L1160" s="71"/>
      <c r="R1160" s="5"/>
    </row>
    <row r="1161" spans="1:18" x14ac:dyDescent="0.35">
      <c r="A1161" s="5"/>
      <c r="L1161" s="71"/>
      <c r="R1161" s="5"/>
    </row>
    <row r="1162" spans="1:18" x14ac:dyDescent="0.35">
      <c r="A1162" s="5"/>
      <c r="L1162" s="71"/>
      <c r="R1162" s="5"/>
    </row>
    <row r="1163" spans="1:18" x14ac:dyDescent="0.35">
      <c r="A1163" s="5"/>
      <c r="L1163" s="71"/>
      <c r="R1163" s="5"/>
    </row>
    <row r="1164" spans="1:18" x14ac:dyDescent="0.35">
      <c r="A1164" s="5"/>
      <c r="L1164" s="71"/>
      <c r="R1164" s="5"/>
    </row>
    <row r="1165" spans="1:18" x14ac:dyDescent="0.35">
      <c r="A1165" s="5"/>
      <c r="L1165" s="71"/>
      <c r="R1165" s="5"/>
    </row>
    <row r="1166" spans="1:18" x14ac:dyDescent="0.35">
      <c r="A1166" s="5"/>
      <c r="L1166" s="71"/>
      <c r="R1166" s="5"/>
    </row>
    <row r="1167" spans="1:18" x14ac:dyDescent="0.35">
      <c r="A1167" s="5"/>
      <c r="L1167" s="71"/>
      <c r="R1167" s="5"/>
    </row>
    <row r="1168" spans="1:18" x14ac:dyDescent="0.35">
      <c r="A1168" s="5"/>
      <c r="L1168" s="71"/>
      <c r="R1168" s="5"/>
    </row>
    <row r="1169" spans="1:18" x14ac:dyDescent="0.35">
      <c r="A1169" s="5"/>
      <c r="L1169" s="71"/>
      <c r="R1169" s="5"/>
    </row>
    <row r="1170" spans="1:18" x14ac:dyDescent="0.35">
      <c r="A1170" s="5"/>
      <c r="L1170" s="71"/>
      <c r="R1170" s="5"/>
    </row>
    <row r="1171" spans="1:18" x14ac:dyDescent="0.35">
      <c r="A1171" s="5"/>
      <c r="L1171" s="71"/>
      <c r="R1171" s="5"/>
    </row>
    <row r="1172" spans="1:18" x14ac:dyDescent="0.35">
      <c r="A1172" s="5"/>
      <c r="L1172" s="71"/>
      <c r="R1172" s="5"/>
    </row>
    <row r="1173" spans="1:18" x14ac:dyDescent="0.35">
      <c r="A1173" s="5"/>
      <c r="L1173" s="71"/>
      <c r="R1173" s="5"/>
    </row>
    <row r="1174" spans="1:18" x14ac:dyDescent="0.35">
      <c r="A1174" s="5"/>
      <c r="L1174" s="71"/>
      <c r="R1174" s="5"/>
    </row>
    <row r="1175" spans="1:18" x14ac:dyDescent="0.35">
      <c r="A1175" s="5"/>
      <c r="L1175" s="71"/>
      <c r="R1175" s="5"/>
    </row>
    <row r="1176" spans="1:18" x14ac:dyDescent="0.35">
      <c r="A1176" s="5"/>
      <c r="L1176" s="71"/>
      <c r="R1176" s="5"/>
    </row>
    <row r="1177" spans="1:18" x14ac:dyDescent="0.35">
      <c r="A1177" s="5"/>
      <c r="L1177" s="71"/>
      <c r="R1177" s="5"/>
    </row>
    <row r="1178" spans="1:18" x14ac:dyDescent="0.35">
      <c r="A1178" s="5"/>
      <c r="L1178" s="71"/>
      <c r="R1178" s="5"/>
    </row>
    <row r="1179" spans="1:18" x14ac:dyDescent="0.35">
      <c r="A1179" s="5"/>
      <c r="L1179" s="71"/>
      <c r="R1179" s="5"/>
    </row>
    <row r="1180" spans="1:18" x14ac:dyDescent="0.35">
      <c r="A1180" s="5"/>
      <c r="L1180" s="71"/>
      <c r="R1180" s="5"/>
    </row>
    <row r="1181" spans="1:18" x14ac:dyDescent="0.35">
      <c r="A1181" s="5"/>
      <c r="L1181" s="71"/>
      <c r="R1181" s="5"/>
    </row>
    <row r="1182" spans="1:18" x14ac:dyDescent="0.35">
      <c r="A1182" s="5"/>
      <c r="L1182" s="71"/>
      <c r="R1182" s="5"/>
    </row>
    <row r="1183" spans="1:18" x14ac:dyDescent="0.35">
      <c r="A1183" s="5"/>
      <c r="L1183" s="71"/>
      <c r="R1183" s="5"/>
    </row>
    <row r="1184" spans="1:18" x14ac:dyDescent="0.35">
      <c r="A1184" s="5"/>
      <c r="L1184" s="71"/>
      <c r="R1184" s="5"/>
    </row>
    <row r="1185" spans="1:18" x14ac:dyDescent="0.35">
      <c r="A1185" s="5"/>
      <c r="L1185" s="71"/>
      <c r="R1185" s="5"/>
    </row>
    <row r="1186" spans="1:18" x14ac:dyDescent="0.35">
      <c r="A1186" s="5"/>
      <c r="L1186" s="71"/>
      <c r="R1186" s="5"/>
    </row>
    <row r="1187" spans="1:18" x14ac:dyDescent="0.35">
      <c r="A1187" s="5"/>
      <c r="L1187" s="71"/>
      <c r="R1187" s="5"/>
    </row>
    <row r="1188" spans="1:18" x14ac:dyDescent="0.35">
      <c r="A1188" s="5"/>
      <c r="L1188" s="71"/>
      <c r="R1188" s="5"/>
    </row>
    <row r="1189" spans="1:18" x14ac:dyDescent="0.35">
      <c r="A1189" s="5"/>
      <c r="L1189" s="71"/>
      <c r="R1189" s="5"/>
    </row>
    <row r="1190" spans="1:18" x14ac:dyDescent="0.35">
      <c r="A1190" s="5"/>
      <c r="L1190" s="71"/>
      <c r="R1190" s="5"/>
    </row>
    <row r="1191" spans="1:18" x14ac:dyDescent="0.35">
      <c r="A1191" s="5"/>
      <c r="L1191" s="71"/>
      <c r="R1191" s="5"/>
    </row>
    <row r="1192" spans="1:18" x14ac:dyDescent="0.35">
      <c r="A1192" s="5"/>
      <c r="L1192" s="71"/>
      <c r="R1192" s="5"/>
    </row>
    <row r="1193" spans="1:18" x14ac:dyDescent="0.35">
      <c r="A1193" s="5"/>
      <c r="L1193" s="71"/>
      <c r="R1193" s="5"/>
    </row>
    <row r="1194" spans="1:18" x14ac:dyDescent="0.35">
      <c r="A1194" s="5"/>
      <c r="L1194" s="71"/>
      <c r="R1194" s="5"/>
    </row>
    <row r="1195" spans="1:18" x14ac:dyDescent="0.35">
      <c r="A1195" s="5"/>
      <c r="L1195" s="71"/>
      <c r="R1195" s="5"/>
    </row>
    <row r="1196" spans="1:18" x14ac:dyDescent="0.35">
      <c r="A1196" s="5"/>
      <c r="L1196" s="71"/>
      <c r="R1196" s="5"/>
    </row>
    <row r="1197" spans="1:18" x14ac:dyDescent="0.35">
      <c r="A1197" s="5"/>
      <c r="L1197" s="71"/>
      <c r="R1197" s="5"/>
    </row>
    <row r="1198" spans="1:18" x14ac:dyDescent="0.35">
      <c r="A1198" s="5"/>
      <c r="L1198" s="71"/>
      <c r="R1198" s="5"/>
    </row>
    <row r="1199" spans="1:18" x14ac:dyDescent="0.35">
      <c r="A1199" s="5"/>
      <c r="L1199" s="71"/>
      <c r="R1199" s="5"/>
    </row>
    <row r="1200" spans="1:18" x14ac:dyDescent="0.35">
      <c r="A1200" s="5"/>
      <c r="L1200" s="71"/>
      <c r="R1200" s="5"/>
    </row>
    <row r="1201" spans="1:18" x14ac:dyDescent="0.35">
      <c r="A1201" s="5"/>
      <c r="L1201" s="71"/>
      <c r="R1201" s="5"/>
    </row>
    <row r="1202" spans="1:18" x14ac:dyDescent="0.35">
      <c r="A1202" s="5"/>
      <c r="L1202" s="71"/>
      <c r="R1202" s="5"/>
    </row>
    <row r="1203" spans="1:18" x14ac:dyDescent="0.35">
      <c r="A1203" s="5"/>
      <c r="L1203" s="71"/>
      <c r="R1203" s="5"/>
    </row>
    <row r="1204" spans="1:18" x14ac:dyDescent="0.35">
      <c r="A1204" s="5"/>
      <c r="L1204" s="71"/>
      <c r="R1204" s="5"/>
    </row>
    <row r="1205" spans="1:18" x14ac:dyDescent="0.35">
      <c r="A1205" s="5"/>
      <c r="L1205" s="71"/>
      <c r="R1205" s="5"/>
    </row>
    <row r="1206" spans="1:18" x14ac:dyDescent="0.35">
      <c r="A1206" s="5"/>
      <c r="L1206" s="71"/>
      <c r="R1206" s="5"/>
    </row>
    <row r="1207" spans="1:18" x14ac:dyDescent="0.35">
      <c r="A1207" s="5"/>
      <c r="L1207" s="71"/>
      <c r="R1207" s="5"/>
    </row>
    <row r="1208" spans="1:18" x14ac:dyDescent="0.35">
      <c r="A1208" s="5"/>
      <c r="L1208" s="71"/>
      <c r="R1208" s="5"/>
    </row>
    <row r="1209" spans="1:18" x14ac:dyDescent="0.35">
      <c r="A1209" s="5"/>
      <c r="L1209" s="71"/>
      <c r="R1209" s="5"/>
    </row>
    <row r="1210" spans="1:18" x14ac:dyDescent="0.35">
      <c r="A1210" s="5"/>
      <c r="L1210" s="71"/>
      <c r="R1210" s="5"/>
    </row>
    <row r="1211" spans="1:18" x14ac:dyDescent="0.35">
      <c r="A1211" s="5"/>
      <c r="L1211" s="71"/>
      <c r="R1211" s="5"/>
    </row>
    <row r="1212" spans="1:18" x14ac:dyDescent="0.35">
      <c r="A1212" s="5"/>
      <c r="L1212" s="71"/>
      <c r="R1212" s="5"/>
    </row>
    <row r="1213" spans="1:18" x14ac:dyDescent="0.35">
      <c r="A1213" s="5"/>
      <c r="L1213" s="71"/>
      <c r="R1213" s="5"/>
    </row>
    <row r="1214" spans="1:18" x14ac:dyDescent="0.35">
      <c r="A1214" s="5"/>
      <c r="L1214" s="71"/>
      <c r="R1214" s="5"/>
    </row>
    <row r="1215" spans="1:18" x14ac:dyDescent="0.35">
      <c r="A1215" s="5"/>
      <c r="L1215" s="71"/>
      <c r="R1215" s="5"/>
    </row>
    <row r="1216" spans="1:18" x14ac:dyDescent="0.35">
      <c r="A1216" s="5"/>
      <c r="L1216" s="71"/>
      <c r="R1216" s="5"/>
    </row>
    <row r="1217" spans="1:18" x14ac:dyDescent="0.35">
      <c r="A1217" s="5"/>
      <c r="L1217" s="71"/>
      <c r="R1217" s="5"/>
    </row>
    <row r="1218" spans="1:18" x14ac:dyDescent="0.35">
      <c r="A1218" s="5"/>
      <c r="L1218" s="71"/>
      <c r="R1218" s="5"/>
    </row>
    <row r="1219" spans="1:18" x14ac:dyDescent="0.35">
      <c r="A1219" s="5"/>
      <c r="L1219" s="71"/>
      <c r="R1219" s="5"/>
    </row>
    <row r="1220" spans="1:18" x14ac:dyDescent="0.35">
      <c r="A1220" s="5"/>
      <c r="L1220" s="71"/>
      <c r="R1220" s="5"/>
    </row>
    <row r="1221" spans="1:18" x14ac:dyDescent="0.35">
      <c r="A1221" s="5"/>
      <c r="L1221" s="71"/>
      <c r="R1221" s="5"/>
    </row>
    <row r="1222" spans="1:18" x14ac:dyDescent="0.35">
      <c r="A1222" s="5"/>
      <c r="L1222" s="71"/>
      <c r="R1222" s="5"/>
    </row>
    <row r="1223" spans="1:18" x14ac:dyDescent="0.35">
      <c r="A1223" s="5"/>
      <c r="L1223" s="71"/>
      <c r="R1223" s="5"/>
    </row>
    <row r="1224" spans="1:18" x14ac:dyDescent="0.35">
      <c r="A1224" s="5"/>
      <c r="L1224" s="71"/>
      <c r="R1224" s="5"/>
    </row>
    <row r="1225" spans="1:18" x14ac:dyDescent="0.35">
      <c r="A1225" s="5"/>
      <c r="L1225" s="71"/>
      <c r="R1225" s="5"/>
    </row>
    <row r="1226" spans="1:18" x14ac:dyDescent="0.35">
      <c r="A1226" s="5"/>
      <c r="L1226" s="71"/>
      <c r="R1226" s="5"/>
    </row>
    <row r="1227" spans="1:18" x14ac:dyDescent="0.35">
      <c r="A1227" s="5"/>
      <c r="L1227" s="71"/>
      <c r="R1227" s="5"/>
    </row>
    <row r="1228" spans="1:18" x14ac:dyDescent="0.35">
      <c r="A1228" s="5"/>
      <c r="L1228" s="71"/>
      <c r="R1228" s="5"/>
    </row>
    <row r="1229" spans="1:18" x14ac:dyDescent="0.35">
      <c r="A1229" s="5"/>
      <c r="L1229" s="71"/>
      <c r="R1229" s="5"/>
    </row>
    <row r="1230" spans="1:18" x14ac:dyDescent="0.35">
      <c r="A1230" s="5"/>
      <c r="L1230" s="71"/>
      <c r="R1230" s="5"/>
    </row>
    <row r="1231" spans="1:18" x14ac:dyDescent="0.35">
      <c r="A1231" s="5"/>
      <c r="L1231" s="71"/>
      <c r="R1231" s="5"/>
    </row>
    <row r="1232" spans="1:18" x14ac:dyDescent="0.35">
      <c r="A1232" s="5"/>
      <c r="L1232" s="71"/>
      <c r="R1232" s="5"/>
    </row>
    <row r="1233" spans="1:18" x14ac:dyDescent="0.35">
      <c r="A1233" s="5"/>
      <c r="L1233" s="71"/>
      <c r="R1233" s="5"/>
    </row>
    <row r="1234" spans="1:18" x14ac:dyDescent="0.35">
      <c r="A1234" s="5"/>
      <c r="L1234" s="71"/>
      <c r="R1234" s="5"/>
    </row>
    <row r="1235" spans="1:18" x14ac:dyDescent="0.35">
      <c r="A1235" s="5"/>
      <c r="L1235" s="71"/>
      <c r="R1235" s="5"/>
    </row>
    <row r="1236" spans="1:18" x14ac:dyDescent="0.35">
      <c r="A1236" s="5"/>
      <c r="L1236" s="71"/>
      <c r="R1236" s="5"/>
    </row>
    <row r="1237" spans="1:18" x14ac:dyDescent="0.35">
      <c r="A1237" s="5"/>
      <c r="L1237" s="71"/>
      <c r="R1237" s="5"/>
    </row>
    <row r="1238" spans="1:18" x14ac:dyDescent="0.35">
      <c r="A1238" s="5"/>
      <c r="L1238" s="71"/>
      <c r="R1238" s="5"/>
    </row>
    <row r="1239" spans="1:18" x14ac:dyDescent="0.35">
      <c r="A1239" s="5"/>
      <c r="L1239" s="71"/>
      <c r="R1239" s="5"/>
    </row>
    <row r="1240" spans="1:18" x14ac:dyDescent="0.35">
      <c r="A1240" s="5"/>
      <c r="L1240" s="71"/>
      <c r="R1240" s="5"/>
    </row>
    <row r="1241" spans="1:18" x14ac:dyDescent="0.35">
      <c r="A1241" s="5"/>
      <c r="L1241" s="71"/>
      <c r="R1241" s="5"/>
    </row>
    <row r="1242" spans="1:18" x14ac:dyDescent="0.35">
      <c r="A1242" s="5"/>
      <c r="L1242" s="71"/>
      <c r="R1242" s="5"/>
    </row>
    <row r="1243" spans="1:18" x14ac:dyDescent="0.35">
      <c r="A1243" s="5"/>
      <c r="L1243" s="71"/>
      <c r="R1243" s="5"/>
    </row>
    <row r="1244" spans="1:18" x14ac:dyDescent="0.35">
      <c r="A1244" s="5"/>
      <c r="L1244" s="71"/>
      <c r="R1244" s="5"/>
    </row>
    <row r="1245" spans="1:18" x14ac:dyDescent="0.35">
      <c r="A1245" s="5"/>
      <c r="L1245" s="71"/>
      <c r="R1245" s="5"/>
    </row>
    <row r="1246" spans="1:18" x14ac:dyDescent="0.35">
      <c r="A1246" s="5"/>
      <c r="L1246" s="71"/>
      <c r="R1246" s="5"/>
    </row>
    <row r="1247" spans="1:18" x14ac:dyDescent="0.35">
      <c r="A1247" s="5"/>
      <c r="L1247" s="71"/>
      <c r="R1247" s="5"/>
    </row>
    <row r="1248" spans="1:18" x14ac:dyDescent="0.35">
      <c r="A1248" s="5"/>
      <c r="L1248" s="71"/>
      <c r="R1248" s="5"/>
    </row>
    <row r="1249" spans="1:18" x14ac:dyDescent="0.35">
      <c r="A1249" s="5"/>
      <c r="L1249" s="71"/>
      <c r="R1249" s="5"/>
    </row>
    <row r="1250" spans="1:18" x14ac:dyDescent="0.35">
      <c r="A1250" s="5"/>
      <c r="L1250" s="71"/>
      <c r="R1250" s="5"/>
    </row>
    <row r="1251" spans="1:18" x14ac:dyDescent="0.35">
      <c r="A1251" s="5"/>
      <c r="L1251" s="71"/>
      <c r="R1251" s="5"/>
    </row>
    <row r="1252" spans="1:18" x14ac:dyDescent="0.35">
      <c r="A1252" s="5"/>
      <c r="L1252" s="71"/>
      <c r="R1252" s="5"/>
    </row>
    <row r="1253" spans="1:18" x14ac:dyDescent="0.35">
      <c r="A1253" s="5"/>
      <c r="L1253" s="71"/>
      <c r="R1253" s="5"/>
    </row>
    <row r="1254" spans="1:18" x14ac:dyDescent="0.35">
      <c r="A1254" s="5"/>
      <c r="L1254" s="71"/>
      <c r="R1254" s="5"/>
    </row>
    <row r="1255" spans="1:18" x14ac:dyDescent="0.35">
      <c r="A1255" s="5"/>
      <c r="L1255" s="71"/>
      <c r="R1255" s="5"/>
    </row>
    <row r="1256" spans="1:18" x14ac:dyDescent="0.35">
      <c r="A1256" s="5"/>
      <c r="L1256" s="71"/>
      <c r="R1256" s="5"/>
    </row>
    <row r="1257" spans="1:18" x14ac:dyDescent="0.35">
      <c r="A1257" s="5"/>
      <c r="L1257" s="71"/>
      <c r="R1257" s="5"/>
    </row>
    <row r="1258" spans="1:18" x14ac:dyDescent="0.35">
      <c r="A1258" s="5"/>
      <c r="L1258" s="71"/>
      <c r="R1258" s="5"/>
    </row>
    <row r="1259" spans="1:18" x14ac:dyDescent="0.35">
      <c r="A1259" s="5"/>
      <c r="L1259" s="71"/>
      <c r="R1259" s="5"/>
    </row>
    <row r="1260" spans="1:18" x14ac:dyDescent="0.35">
      <c r="A1260" s="5"/>
      <c r="L1260" s="71"/>
      <c r="R1260" s="5"/>
    </row>
    <row r="1261" spans="1:18" x14ac:dyDescent="0.35">
      <c r="A1261" s="5"/>
      <c r="L1261" s="71"/>
      <c r="R1261" s="5"/>
    </row>
    <row r="1262" spans="1:18" x14ac:dyDescent="0.35">
      <c r="A1262" s="5"/>
      <c r="L1262" s="71"/>
      <c r="R1262" s="5"/>
    </row>
    <row r="1263" spans="1:18" x14ac:dyDescent="0.35">
      <c r="A1263" s="5"/>
      <c r="L1263" s="71"/>
      <c r="R1263" s="5"/>
    </row>
    <row r="1264" spans="1:18" x14ac:dyDescent="0.35">
      <c r="A1264" s="5"/>
      <c r="L1264" s="71"/>
      <c r="R1264" s="5"/>
    </row>
    <row r="1265" spans="1:18" x14ac:dyDescent="0.35">
      <c r="A1265" s="5"/>
      <c r="L1265" s="71"/>
      <c r="R1265" s="5"/>
    </row>
    <row r="1266" spans="1:18" x14ac:dyDescent="0.35">
      <c r="A1266" s="5"/>
      <c r="L1266" s="71"/>
      <c r="R1266" s="5"/>
    </row>
    <row r="1267" spans="1:18" x14ac:dyDescent="0.35">
      <c r="A1267" s="5"/>
      <c r="L1267" s="71"/>
      <c r="R1267" s="5"/>
    </row>
    <row r="1268" spans="1:18" x14ac:dyDescent="0.35">
      <c r="A1268" s="5"/>
      <c r="L1268" s="71"/>
      <c r="R1268" s="5"/>
    </row>
    <row r="1269" spans="1:18" x14ac:dyDescent="0.35">
      <c r="A1269" s="5"/>
      <c r="L1269" s="71"/>
      <c r="R1269" s="5"/>
    </row>
    <row r="1270" spans="1:18" x14ac:dyDescent="0.35">
      <c r="A1270" s="5"/>
      <c r="L1270" s="71"/>
      <c r="R1270" s="5"/>
    </row>
    <row r="1271" spans="1:18" x14ac:dyDescent="0.35">
      <c r="A1271" s="5"/>
      <c r="L1271" s="71"/>
      <c r="R1271" s="5"/>
    </row>
    <row r="1272" spans="1:18" x14ac:dyDescent="0.35">
      <c r="A1272" s="5"/>
      <c r="L1272" s="71"/>
      <c r="R1272" s="5"/>
    </row>
    <row r="1273" spans="1:18" x14ac:dyDescent="0.35">
      <c r="A1273" s="5"/>
      <c r="L1273" s="71"/>
      <c r="R1273" s="5"/>
    </row>
    <row r="1274" spans="1:18" x14ac:dyDescent="0.35">
      <c r="A1274" s="5"/>
      <c r="L1274" s="71"/>
      <c r="R1274" s="5"/>
    </row>
    <row r="1275" spans="1:18" x14ac:dyDescent="0.35">
      <c r="A1275" s="5"/>
      <c r="L1275" s="71"/>
      <c r="R1275" s="5"/>
    </row>
    <row r="1276" spans="1:18" x14ac:dyDescent="0.35">
      <c r="A1276" s="5"/>
      <c r="L1276" s="71"/>
      <c r="R1276" s="5"/>
    </row>
    <row r="1277" spans="1:18" x14ac:dyDescent="0.35">
      <c r="A1277" s="5"/>
      <c r="L1277" s="71"/>
      <c r="R1277" s="5"/>
    </row>
    <row r="1278" spans="1:18" x14ac:dyDescent="0.35">
      <c r="A1278" s="5"/>
      <c r="L1278" s="71"/>
      <c r="R1278" s="5"/>
    </row>
    <row r="1279" spans="1:18" x14ac:dyDescent="0.35">
      <c r="A1279" s="5"/>
      <c r="L1279" s="71"/>
      <c r="R1279" s="5"/>
    </row>
    <row r="1280" spans="1:18" x14ac:dyDescent="0.35">
      <c r="A1280" s="5"/>
      <c r="L1280" s="71"/>
      <c r="R1280" s="5"/>
    </row>
    <row r="1281" spans="1:18" x14ac:dyDescent="0.35">
      <c r="A1281" s="5"/>
      <c r="L1281" s="71"/>
      <c r="R1281" s="5"/>
    </row>
    <row r="1282" spans="1:18" x14ac:dyDescent="0.35">
      <c r="A1282" s="5"/>
      <c r="L1282" s="71"/>
      <c r="R1282" s="5"/>
    </row>
    <row r="1283" spans="1:18" x14ac:dyDescent="0.35">
      <c r="A1283" s="5"/>
      <c r="L1283" s="71"/>
      <c r="R1283" s="5"/>
    </row>
    <row r="1284" spans="1:18" x14ac:dyDescent="0.35">
      <c r="A1284" s="5"/>
      <c r="L1284" s="71"/>
      <c r="R1284" s="5"/>
    </row>
    <row r="1285" spans="1:18" x14ac:dyDescent="0.35">
      <c r="A1285" s="5"/>
      <c r="L1285" s="71"/>
      <c r="R1285" s="5"/>
    </row>
    <row r="1286" spans="1:18" x14ac:dyDescent="0.35">
      <c r="A1286" s="5"/>
      <c r="L1286" s="71"/>
      <c r="R1286" s="5"/>
    </row>
    <row r="1287" spans="1:18" x14ac:dyDescent="0.35">
      <c r="A1287" s="5"/>
      <c r="L1287" s="71"/>
      <c r="R1287" s="5"/>
    </row>
    <row r="1288" spans="1:18" x14ac:dyDescent="0.35">
      <c r="A1288" s="5"/>
      <c r="L1288" s="71"/>
      <c r="R1288" s="5"/>
    </row>
    <row r="1289" spans="1:18" x14ac:dyDescent="0.35">
      <c r="A1289" s="5"/>
      <c r="L1289" s="71"/>
      <c r="R1289" s="5"/>
    </row>
    <row r="1290" spans="1:18" x14ac:dyDescent="0.35">
      <c r="A1290" s="5"/>
      <c r="L1290" s="71"/>
      <c r="R1290" s="5"/>
    </row>
    <row r="1291" spans="1:18" x14ac:dyDescent="0.35">
      <c r="A1291" s="5"/>
      <c r="L1291" s="71"/>
      <c r="R1291" s="5"/>
    </row>
    <row r="1292" spans="1:18" x14ac:dyDescent="0.35">
      <c r="A1292" s="5"/>
      <c r="L1292" s="71"/>
      <c r="R1292" s="5"/>
    </row>
    <row r="1293" spans="1:18" x14ac:dyDescent="0.35">
      <c r="A1293" s="5"/>
      <c r="L1293" s="71"/>
      <c r="R1293" s="5"/>
    </row>
    <row r="1294" spans="1:18" x14ac:dyDescent="0.35">
      <c r="A1294" s="5"/>
      <c r="L1294" s="71"/>
      <c r="R1294" s="5"/>
    </row>
    <row r="1295" spans="1:18" x14ac:dyDescent="0.35">
      <c r="A1295" s="5"/>
      <c r="L1295" s="71"/>
      <c r="R1295" s="5"/>
    </row>
    <row r="1296" spans="1:18" x14ac:dyDescent="0.35">
      <c r="A1296" s="5"/>
      <c r="L1296" s="71"/>
      <c r="R1296" s="5"/>
    </row>
    <row r="1297" spans="1:18" x14ac:dyDescent="0.35">
      <c r="A1297" s="5"/>
      <c r="L1297" s="71"/>
      <c r="R1297" s="5"/>
    </row>
    <row r="1298" spans="1:18" x14ac:dyDescent="0.35">
      <c r="A1298" s="5"/>
      <c r="L1298" s="71"/>
      <c r="R1298" s="5"/>
    </row>
    <row r="1299" spans="1:18" x14ac:dyDescent="0.35">
      <c r="A1299" s="5"/>
      <c r="L1299" s="71"/>
      <c r="R1299" s="5"/>
    </row>
    <row r="1300" spans="1:18" x14ac:dyDescent="0.35">
      <c r="A1300" s="5"/>
      <c r="L1300" s="71"/>
      <c r="R1300" s="5"/>
    </row>
    <row r="1301" spans="1:18" x14ac:dyDescent="0.35">
      <c r="A1301" s="5"/>
      <c r="L1301" s="71"/>
      <c r="R1301" s="5"/>
    </row>
    <row r="1302" spans="1:18" x14ac:dyDescent="0.35">
      <c r="A1302" s="5"/>
      <c r="L1302" s="71"/>
      <c r="R1302" s="5"/>
    </row>
    <row r="1303" spans="1:18" x14ac:dyDescent="0.35">
      <c r="A1303" s="5"/>
      <c r="L1303" s="71"/>
      <c r="R1303" s="5"/>
    </row>
    <row r="1304" spans="1:18" x14ac:dyDescent="0.35">
      <c r="A1304" s="5"/>
      <c r="L1304" s="71"/>
      <c r="R1304" s="5"/>
    </row>
    <row r="1305" spans="1:18" x14ac:dyDescent="0.35">
      <c r="A1305" s="5"/>
      <c r="L1305" s="71"/>
      <c r="R1305" s="5"/>
    </row>
    <row r="1306" spans="1:18" x14ac:dyDescent="0.35">
      <c r="A1306" s="5"/>
      <c r="L1306" s="71"/>
      <c r="R1306" s="5"/>
    </row>
    <row r="1307" spans="1:18" x14ac:dyDescent="0.35">
      <c r="A1307" s="5"/>
      <c r="L1307" s="71"/>
      <c r="R1307" s="5"/>
    </row>
    <row r="1308" spans="1:18" x14ac:dyDescent="0.35">
      <c r="A1308" s="5"/>
      <c r="L1308" s="71"/>
      <c r="R1308" s="5"/>
    </row>
    <row r="1309" spans="1:18" x14ac:dyDescent="0.35">
      <c r="A1309" s="5"/>
      <c r="L1309" s="71"/>
      <c r="R1309" s="5"/>
    </row>
    <row r="1310" spans="1:18" x14ac:dyDescent="0.35">
      <c r="A1310" s="5"/>
      <c r="L1310" s="71"/>
      <c r="R1310" s="5"/>
    </row>
    <row r="1311" spans="1:18" x14ac:dyDescent="0.35">
      <c r="A1311" s="5"/>
      <c r="L1311" s="71"/>
      <c r="R1311" s="5"/>
    </row>
    <row r="1312" spans="1:18" x14ac:dyDescent="0.35">
      <c r="A1312" s="5"/>
      <c r="L1312" s="71"/>
      <c r="R1312" s="5"/>
    </row>
    <row r="1313" spans="1:18" x14ac:dyDescent="0.35">
      <c r="A1313" s="5"/>
      <c r="L1313" s="71"/>
      <c r="R1313" s="5"/>
    </row>
    <row r="1314" spans="1:18" x14ac:dyDescent="0.35">
      <c r="A1314" s="5"/>
      <c r="L1314" s="71"/>
      <c r="R1314" s="5"/>
    </row>
    <row r="1315" spans="1:18" x14ac:dyDescent="0.35">
      <c r="A1315" s="5"/>
      <c r="L1315" s="71"/>
      <c r="R1315" s="5"/>
    </row>
    <row r="1316" spans="1:18" x14ac:dyDescent="0.35">
      <c r="A1316" s="5"/>
      <c r="L1316" s="71"/>
      <c r="R1316" s="5"/>
    </row>
    <row r="1317" spans="1:18" x14ac:dyDescent="0.35">
      <c r="A1317" s="5"/>
      <c r="L1317" s="71"/>
      <c r="R1317" s="5"/>
    </row>
    <row r="1318" spans="1:18" x14ac:dyDescent="0.35">
      <c r="A1318" s="5"/>
      <c r="L1318" s="71"/>
      <c r="R1318" s="5"/>
    </row>
    <row r="1319" spans="1:18" x14ac:dyDescent="0.35">
      <c r="A1319" s="5"/>
      <c r="L1319" s="71"/>
      <c r="R1319" s="5"/>
    </row>
    <row r="1320" spans="1:18" x14ac:dyDescent="0.35">
      <c r="A1320" s="5"/>
      <c r="L1320" s="71"/>
      <c r="R1320" s="5"/>
    </row>
    <row r="1321" spans="1:18" x14ac:dyDescent="0.35">
      <c r="A1321" s="5"/>
      <c r="L1321" s="71"/>
      <c r="R1321" s="5"/>
    </row>
    <row r="1322" spans="1:18" x14ac:dyDescent="0.35">
      <c r="A1322" s="5"/>
      <c r="L1322" s="71"/>
      <c r="R1322" s="5"/>
    </row>
    <row r="1323" spans="1:18" x14ac:dyDescent="0.35">
      <c r="A1323" s="5"/>
      <c r="L1323" s="71"/>
      <c r="R1323" s="5"/>
    </row>
    <row r="1324" spans="1:18" x14ac:dyDescent="0.35">
      <c r="A1324" s="5"/>
      <c r="L1324" s="71"/>
      <c r="R1324" s="5"/>
    </row>
    <row r="1325" spans="1:18" x14ac:dyDescent="0.35">
      <c r="A1325" s="5"/>
      <c r="L1325" s="71"/>
      <c r="R1325" s="5"/>
    </row>
    <row r="1326" spans="1:18" x14ac:dyDescent="0.35">
      <c r="A1326" s="5"/>
      <c r="L1326" s="71"/>
      <c r="R1326" s="5"/>
    </row>
    <row r="1327" spans="1:18" x14ac:dyDescent="0.35">
      <c r="A1327" s="5"/>
      <c r="L1327" s="71"/>
      <c r="R1327" s="5"/>
    </row>
    <row r="1328" spans="1:18" x14ac:dyDescent="0.35">
      <c r="A1328" s="5"/>
      <c r="L1328" s="71"/>
      <c r="R1328" s="5"/>
    </row>
    <row r="1329" spans="1:18" x14ac:dyDescent="0.35">
      <c r="A1329" s="5"/>
      <c r="L1329" s="71"/>
      <c r="R1329" s="5"/>
    </row>
    <row r="1330" spans="1:18" x14ac:dyDescent="0.35">
      <c r="A1330" s="5"/>
      <c r="L1330" s="71"/>
      <c r="R1330" s="5"/>
    </row>
    <row r="1331" spans="1:18" x14ac:dyDescent="0.35">
      <c r="A1331" s="5"/>
      <c r="L1331" s="71"/>
      <c r="R1331" s="5"/>
    </row>
    <row r="1332" spans="1:18" x14ac:dyDescent="0.35">
      <c r="A1332" s="5"/>
      <c r="L1332" s="71"/>
      <c r="R1332" s="5"/>
    </row>
    <row r="1333" spans="1:18" x14ac:dyDescent="0.35">
      <c r="A1333" s="5"/>
      <c r="L1333" s="71"/>
      <c r="R1333" s="5"/>
    </row>
    <row r="1334" spans="1:18" x14ac:dyDescent="0.35">
      <c r="A1334" s="5"/>
      <c r="L1334" s="71"/>
      <c r="R1334" s="5"/>
    </row>
    <row r="1335" spans="1:18" x14ac:dyDescent="0.35">
      <c r="A1335" s="5"/>
      <c r="L1335" s="71"/>
      <c r="R1335" s="5"/>
    </row>
    <row r="1336" spans="1:18" x14ac:dyDescent="0.35">
      <c r="A1336" s="5"/>
      <c r="L1336" s="71"/>
      <c r="R1336" s="5"/>
    </row>
    <row r="1337" spans="1:18" x14ac:dyDescent="0.35">
      <c r="A1337" s="5"/>
      <c r="L1337" s="71"/>
      <c r="R1337" s="5"/>
    </row>
    <row r="1338" spans="1:18" x14ac:dyDescent="0.35">
      <c r="A1338" s="5"/>
      <c r="L1338" s="71"/>
      <c r="R1338" s="5"/>
    </row>
    <row r="1339" spans="1:18" x14ac:dyDescent="0.35">
      <c r="A1339" s="5"/>
      <c r="L1339" s="71"/>
      <c r="R1339" s="5"/>
    </row>
    <row r="1340" spans="1:18" x14ac:dyDescent="0.35">
      <c r="A1340" s="5"/>
      <c r="L1340" s="71"/>
      <c r="R1340" s="5"/>
    </row>
    <row r="1341" spans="1:18" x14ac:dyDescent="0.35">
      <c r="A1341" s="5"/>
      <c r="L1341" s="71"/>
      <c r="R1341" s="5"/>
    </row>
    <row r="1342" spans="1:18" x14ac:dyDescent="0.35">
      <c r="A1342" s="5"/>
      <c r="L1342" s="71"/>
      <c r="R1342" s="5"/>
    </row>
    <row r="1343" spans="1:18" x14ac:dyDescent="0.35">
      <c r="A1343" s="5"/>
      <c r="L1343" s="71"/>
      <c r="R1343" s="5"/>
    </row>
    <row r="1344" spans="1:18" x14ac:dyDescent="0.35">
      <c r="A1344" s="5"/>
      <c r="L1344" s="71"/>
      <c r="R1344" s="5"/>
    </row>
    <row r="1345" spans="1:18" x14ac:dyDescent="0.35">
      <c r="A1345" s="5"/>
      <c r="L1345" s="71"/>
      <c r="R1345" s="5"/>
    </row>
    <row r="1346" spans="1:18" x14ac:dyDescent="0.35">
      <c r="A1346" s="5"/>
      <c r="L1346" s="71"/>
      <c r="R1346" s="5"/>
    </row>
    <row r="1347" spans="1:18" x14ac:dyDescent="0.35">
      <c r="A1347" s="5"/>
      <c r="L1347" s="71"/>
      <c r="R1347" s="5"/>
    </row>
    <row r="1348" spans="1:18" x14ac:dyDescent="0.35">
      <c r="A1348" s="5"/>
      <c r="L1348" s="71"/>
      <c r="R1348" s="5"/>
    </row>
    <row r="1349" spans="1:18" x14ac:dyDescent="0.35">
      <c r="A1349" s="5"/>
      <c r="L1349" s="71"/>
      <c r="R1349" s="5"/>
    </row>
    <row r="1350" spans="1:18" x14ac:dyDescent="0.35">
      <c r="A1350" s="5"/>
      <c r="L1350" s="71"/>
      <c r="R1350" s="5"/>
    </row>
    <row r="1351" spans="1:18" x14ac:dyDescent="0.35">
      <c r="A1351" s="5"/>
      <c r="L1351" s="71"/>
      <c r="R1351" s="5"/>
    </row>
    <row r="1352" spans="1:18" x14ac:dyDescent="0.35">
      <c r="A1352" s="5"/>
      <c r="L1352" s="71"/>
      <c r="R1352" s="5"/>
    </row>
    <row r="1353" spans="1:18" x14ac:dyDescent="0.35">
      <c r="A1353" s="5"/>
      <c r="L1353" s="71"/>
      <c r="R1353" s="5"/>
    </row>
    <row r="1354" spans="1:18" x14ac:dyDescent="0.35">
      <c r="A1354" s="5"/>
      <c r="L1354" s="71"/>
      <c r="R1354" s="5"/>
    </row>
    <row r="1355" spans="1:18" x14ac:dyDescent="0.35">
      <c r="A1355" s="5"/>
      <c r="L1355" s="71"/>
      <c r="R1355" s="5"/>
    </row>
    <row r="1356" spans="1:18" x14ac:dyDescent="0.35">
      <c r="A1356" s="5"/>
      <c r="L1356" s="71"/>
      <c r="R1356" s="5"/>
    </row>
    <row r="1357" spans="1:18" x14ac:dyDescent="0.35">
      <c r="A1357" s="5"/>
      <c r="L1357" s="71"/>
      <c r="R1357" s="5"/>
    </row>
    <row r="1358" spans="1:18" x14ac:dyDescent="0.35">
      <c r="A1358" s="5"/>
      <c r="L1358" s="71"/>
      <c r="R1358" s="5"/>
    </row>
    <row r="1359" spans="1:18" x14ac:dyDescent="0.35">
      <c r="A1359" s="5"/>
      <c r="L1359" s="71"/>
      <c r="R1359" s="5"/>
    </row>
    <row r="1360" spans="1:18" x14ac:dyDescent="0.35">
      <c r="A1360" s="5"/>
      <c r="L1360" s="71"/>
      <c r="R1360" s="5"/>
    </row>
    <row r="1361" spans="1:18" x14ac:dyDescent="0.35">
      <c r="A1361" s="5"/>
      <c r="L1361" s="71"/>
      <c r="R1361" s="5"/>
    </row>
    <row r="1362" spans="1:18" x14ac:dyDescent="0.35">
      <c r="A1362" s="5"/>
      <c r="L1362" s="71"/>
      <c r="R1362" s="5"/>
    </row>
    <row r="1363" spans="1:18" x14ac:dyDescent="0.35">
      <c r="A1363" s="5"/>
      <c r="L1363" s="71"/>
      <c r="R1363" s="5"/>
    </row>
    <row r="1364" spans="1:18" x14ac:dyDescent="0.35">
      <c r="A1364" s="5"/>
      <c r="L1364" s="71"/>
      <c r="R1364" s="5"/>
    </row>
    <row r="1365" spans="1:18" x14ac:dyDescent="0.35">
      <c r="A1365" s="5"/>
      <c r="L1365" s="71"/>
      <c r="R1365" s="5"/>
    </row>
    <row r="1366" spans="1:18" x14ac:dyDescent="0.35">
      <c r="A1366" s="5"/>
      <c r="L1366" s="71"/>
      <c r="R1366" s="5"/>
    </row>
    <row r="1367" spans="1:18" x14ac:dyDescent="0.35">
      <c r="A1367" s="5"/>
      <c r="L1367" s="71"/>
      <c r="R1367" s="5"/>
    </row>
    <row r="1368" spans="1:18" x14ac:dyDescent="0.35">
      <c r="A1368" s="5"/>
      <c r="L1368" s="71"/>
      <c r="R1368" s="5"/>
    </row>
    <row r="1369" spans="1:18" x14ac:dyDescent="0.35">
      <c r="A1369" s="5"/>
      <c r="L1369" s="71"/>
      <c r="R1369" s="5"/>
    </row>
    <row r="1370" spans="1:18" x14ac:dyDescent="0.35">
      <c r="A1370" s="5"/>
      <c r="L1370" s="71"/>
      <c r="R1370" s="5"/>
    </row>
    <row r="1371" spans="1:18" x14ac:dyDescent="0.35">
      <c r="A1371" s="5"/>
      <c r="L1371" s="71"/>
      <c r="R1371" s="5"/>
    </row>
    <row r="1372" spans="1:18" x14ac:dyDescent="0.35">
      <c r="A1372" s="5"/>
      <c r="L1372" s="71"/>
      <c r="R1372" s="5"/>
    </row>
    <row r="1373" spans="1:18" x14ac:dyDescent="0.35">
      <c r="A1373" s="5"/>
      <c r="L1373" s="71"/>
      <c r="R1373" s="5"/>
    </row>
    <row r="1374" spans="1:18" x14ac:dyDescent="0.35">
      <c r="A1374" s="5"/>
      <c r="L1374" s="71"/>
      <c r="R1374" s="5"/>
    </row>
    <row r="1375" spans="1:18" x14ac:dyDescent="0.35">
      <c r="A1375" s="5"/>
      <c r="L1375" s="71"/>
      <c r="R1375" s="5"/>
    </row>
    <row r="1376" spans="1:18" x14ac:dyDescent="0.35">
      <c r="A1376" s="5"/>
      <c r="L1376" s="71"/>
      <c r="R1376" s="5"/>
    </row>
    <row r="1377" spans="1:18" x14ac:dyDescent="0.35">
      <c r="A1377" s="5"/>
      <c r="L1377" s="71"/>
      <c r="R1377" s="5"/>
    </row>
    <row r="1378" spans="1:18" x14ac:dyDescent="0.35">
      <c r="A1378" s="5"/>
      <c r="L1378" s="71"/>
      <c r="R1378" s="5"/>
    </row>
    <row r="1379" spans="1:18" x14ac:dyDescent="0.35">
      <c r="A1379" s="5"/>
      <c r="L1379" s="71"/>
      <c r="R1379" s="5"/>
    </row>
    <row r="1380" spans="1:18" x14ac:dyDescent="0.35">
      <c r="A1380" s="5"/>
      <c r="L1380" s="71"/>
      <c r="R1380" s="5"/>
    </row>
    <row r="1381" spans="1:18" x14ac:dyDescent="0.35">
      <c r="A1381" s="5"/>
      <c r="L1381" s="71"/>
      <c r="R1381" s="5"/>
    </row>
    <row r="1382" spans="1:18" x14ac:dyDescent="0.35">
      <c r="A1382" s="5"/>
      <c r="L1382" s="71"/>
      <c r="R1382" s="5"/>
    </row>
    <row r="1383" spans="1:18" x14ac:dyDescent="0.35">
      <c r="A1383" s="5"/>
      <c r="L1383" s="71"/>
      <c r="R1383" s="5"/>
    </row>
    <row r="1384" spans="1:18" x14ac:dyDescent="0.35">
      <c r="A1384" s="5"/>
      <c r="L1384" s="71"/>
      <c r="R1384" s="5"/>
    </row>
    <row r="1385" spans="1:18" x14ac:dyDescent="0.35">
      <c r="A1385" s="5"/>
      <c r="L1385" s="71"/>
      <c r="R1385" s="5"/>
    </row>
    <row r="1386" spans="1:18" x14ac:dyDescent="0.35">
      <c r="A1386" s="5"/>
      <c r="L1386" s="71"/>
      <c r="R1386" s="5"/>
    </row>
    <row r="1387" spans="1:18" x14ac:dyDescent="0.35">
      <c r="A1387" s="5"/>
      <c r="L1387" s="71"/>
      <c r="R1387" s="5"/>
    </row>
    <row r="1388" spans="1:18" x14ac:dyDescent="0.35">
      <c r="A1388" s="5"/>
      <c r="L1388" s="71"/>
      <c r="R1388" s="5"/>
    </row>
    <row r="1389" spans="1:18" x14ac:dyDescent="0.35">
      <c r="A1389" s="5"/>
      <c r="L1389" s="71"/>
      <c r="R1389" s="5"/>
    </row>
    <row r="1390" spans="1:18" x14ac:dyDescent="0.35">
      <c r="A1390" s="5"/>
      <c r="L1390" s="71"/>
      <c r="R1390" s="5"/>
    </row>
    <row r="1391" spans="1:18" x14ac:dyDescent="0.35">
      <c r="A1391" s="5"/>
      <c r="L1391" s="71"/>
      <c r="R1391" s="5"/>
    </row>
    <row r="1392" spans="1:18" x14ac:dyDescent="0.35">
      <c r="A1392" s="5"/>
      <c r="L1392" s="71"/>
      <c r="R1392" s="5"/>
    </row>
    <row r="1393" spans="1:18" x14ac:dyDescent="0.35">
      <c r="A1393" s="5"/>
      <c r="L1393" s="71"/>
      <c r="R1393" s="5"/>
    </row>
    <row r="1394" spans="1:18" x14ac:dyDescent="0.35">
      <c r="A1394" s="5"/>
      <c r="L1394" s="71"/>
      <c r="R1394" s="5"/>
    </row>
    <row r="1395" spans="1:18" x14ac:dyDescent="0.35">
      <c r="A1395" s="5"/>
      <c r="L1395" s="71"/>
      <c r="R1395" s="5"/>
    </row>
    <row r="1396" spans="1:18" x14ac:dyDescent="0.35">
      <c r="A1396" s="5"/>
      <c r="L1396" s="71"/>
      <c r="R1396" s="5"/>
    </row>
    <row r="1397" spans="1:18" x14ac:dyDescent="0.35">
      <c r="A1397" s="5"/>
      <c r="L1397" s="71"/>
      <c r="R1397" s="5"/>
    </row>
    <row r="1398" spans="1:18" x14ac:dyDescent="0.35">
      <c r="A1398" s="5"/>
      <c r="L1398" s="71"/>
      <c r="R1398" s="5"/>
    </row>
    <row r="1399" spans="1:18" x14ac:dyDescent="0.35">
      <c r="A1399" s="5"/>
      <c r="L1399" s="71"/>
      <c r="R1399" s="5"/>
    </row>
    <row r="1400" spans="1:18" x14ac:dyDescent="0.35">
      <c r="A1400" s="5"/>
      <c r="L1400" s="71"/>
      <c r="R1400" s="5"/>
    </row>
    <row r="1401" spans="1:18" x14ac:dyDescent="0.35">
      <c r="A1401" s="5"/>
      <c r="L1401" s="71"/>
      <c r="R1401" s="5"/>
    </row>
    <row r="1402" spans="1:18" x14ac:dyDescent="0.35">
      <c r="A1402" s="5"/>
      <c r="L1402" s="71"/>
      <c r="R1402" s="5"/>
    </row>
    <row r="1403" spans="1:18" x14ac:dyDescent="0.35">
      <c r="A1403" s="5"/>
      <c r="L1403" s="71"/>
      <c r="R1403" s="5"/>
    </row>
    <row r="1404" spans="1:18" x14ac:dyDescent="0.35">
      <c r="A1404" s="5"/>
      <c r="L1404" s="71"/>
      <c r="R1404" s="5"/>
    </row>
    <row r="1405" spans="1:18" x14ac:dyDescent="0.35">
      <c r="A1405" s="5"/>
      <c r="L1405" s="71"/>
      <c r="R1405" s="5"/>
    </row>
    <row r="1406" spans="1:18" x14ac:dyDescent="0.35">
      <c r="A1406" s="5"/>
      <c r="L1406" s="71"/>
      <c r="R1406" s="5"/>
    </row>
    <row r="1407" spans="1:18" x14ac:dyDescent="0.35">
      <c r="A1407" s="5"/>
      <c r="L1407" s="71"/>
      <c r="R1407" s="5"/>
    </row>
    <row r="1408" spans="1:18" x14ac:dyDescent="0.35">
      <c r="A1408" s="5"/>
      <c r="L1408" s="71"/>
      <c r="R1408" s="5"/>
    </row>
    <row r="1409" spans="1:18" x14ac:dyDescent="0.35">
      <c r="A1409" s="5"/>
      <c r="L1409" s="71"/>
      <c r="R1409" s="5"/>
    </row>
    <row r="1410" spans="1:18" x14ac:dyDescent="0.35">
      <c r="A1410" s="5"/>
      <c r="L1410" s="71"/>
      <c r="R1410" s="5"/>
    </row>
    <row r="1411" spans="1:18" x14ac:dyDescent="0.35">
      <c r="A1411" s="5"/>
      <c r="L1411" s="71"/>
      <c r="R1411" s="5"/>
    </row>
    <row r="1412" spans="1:18" x14ac:dyDescent="0.35">
      <c r="A1412" s="5"/>
      <c r="L1412" s="71"/>
      <c r="R1412" s="5"/>
    </row>
    <row r="1413" spans="1:18" x14ac:dyDescent="0.35">
      <c r="A1413" s="5"/>
      <c r="L1413" s="71"/>
      <c r="R1413" s="5"/>
    </row>
    <row r="1414" spans="1:18" x14ac:dyDescent="0.35">
      <c r="A1414" s="5"/>
      <c r="L1414" s="71"/>
      <c r="R1414" s="5"/>
    </row>
    <row r="1415" spans="1:18" x14ac:dyDescent="0.35">
      <c r="A1415" s="5"/>
      <c r="L1415" s="71"/>
      <c r="R1415" s="5"/>
    </row>
    <row r="1416" spans="1:18" x14ac:dyDescent="0.35">
      <c r="A1416" s="5"/>
      <c r="L1416" s="71"/>
      <c r="R1416" s="5"/>
    </row>
    <row r="1417" spans="1:18" x14ac:dyDescent="0.35">
      <c r="A1417" s="5"/>
      <c r="L1417" s="71"/>
      <c r="R1417" s="5"/>
    </row>
    <row r="1418" spans="1:18" x14ac:dyDescent="0.35">
      <c r="A1418" s="5"/>
      <c r="L1418" s="71"/>
      <c r="R1418" s="5"/>
    </row>
    <row r="1419" spans="1:18" x14ac:dyDescent="0.35">
      <c r="A1419" s="5"/>
      <c r="L1419" s="71"/>
      <c r="R1419" s="5"/>
    </row>
    <row r="1420" spans="1:18" x14ac:dyDescent="0.35">
      <c r="A1420" s="5"/>
      <c r="L1420" s="71"/>
      <c r="R1420" s="5"/>
    </row>
    <row r="1421" spans="1:18" x14ac:dyDescent="0.35">
      <c r="A1421" s="5"/>
      <c r="L1421" s="71"/>
      <c r="R1421" s="5"/>
    </row>
    <row r="1422" spans="1:18" x14ac:dyDescent="0.35">
      <c r="A1422" s="5"/>
      <c r="L1422" s="71"/>
      <c r="R1422" s="5"/>
    </row>
    <row r="1423" spans="1:18" x14ac:dyDescent="0.35">
      <c r="A1423" s="5"/>
      <c r="L1423" s="71"/>
      <c r="R1423" s="5"/>
    </row>
    <row r="1424" spans="1:18" x14ac:dyDescent="0.35">
      <c r="A1424" s="5"/>
      <c r="L1424" s="71"/>
      <c r="R1424" s="5"/>
    </row>
    <row r="1425" spans="1:18" x14ac:dyDescent="0.35">
      <c r="A1425" s="5"/>
      <c r="L1425" s="71"/>
      <c r="R1425" s="5"/>
    </row>
    <row r="1426" spans="1:18" x14ac:dyDescent="0.35">
      <c r="A1426" s="5"/>
      <c r="L1426" s="71"/>
      <c r="R1426" s="5"/>
    </row>
    <row r="1427" spans="1:18" x14ac:dyDescent="0.35">
      <c r="A1427" s="5"/>
      <c r="L1427" s="71"/>
      <c r="R1427" s="5"/>
    </row>
    <row r="1428" spans="1:18" x14ac:dyDescent="0.35">
      <c r="A1428" s="5"/>
      <c r="L1428" s="71"/>
      <c r="R1428" s="5"/>
    </row>
    <row r="1429" spans="1:18" x14ac:dyDescent="0.35">
      <c r="A1429" s="5"/>
      <c r="L1429" s="71"/>
      <c r="R1429" s="5"/>
    </row>
    <row r="1430" spans="1:18" x14ac:dyDescent="0.35">
      <c r="A1430" s="5"/>
      <c r="L1430" s="71"/>
      <c r="R1430" s="5"/>
    </row>
    <row r="1431" spans="1:18" x14ac:dyDescent="0.35">
      <c r="A1431" s="5"/>
      <c r="L1431" s="71"/>
      <c r="R1431" s="5"/>
    </row>
    <row r="1432" spans="1:18" x14ac:dyDescent="0.35">
      <c r="A1432" s="5"/>
      <c r="L1432" s="71"/>
      <c r="R1432" s="5"/>
    </row>
    <row r="1433" spans="1:18" x14ac:dyDescent="0.35">
      <c r="A1433" s="5"/>
      <c r="L1433" s="71"/>
      <c r="R1433" s="5"/>
    </row>
    <row r="1434" spans="1:18" x14ac:dyDescent="0.35">
      <c r="A1434" s="5"/>
      <c r="L1434" s="71"/>
      <c r="R1434" s="5"/>
    </row>
    <row r="1435" spans="1:18" x14ac:dyDescent="0.35">
      <c r="A1435" s="5"/>
      <c r="L1435" s="71"/>
      <c r="R1435" s="5"/>
    </row>
    <row r="1436" spans="1:18" x14ac:dyDescent="0.35">
      <c r="A1436" s="5"/>
      <c r="L1436" s="71"/>
      <c r="R1436" s="5"/>
    </row>
    <row r="1437" spans="1:18" x14ac:dyDescent="0.35">
      <c r="A1437" s="5"/>
      <c r="L1437" s="71"/>
      <c r="R1437" s="5"/>
    </row>
    <row r="1438" spans="1:18" x14ac:dyDescent="0.35">
      <c r="A1438" s="5"/>
      <c r="L1438" s="71"/>
      <c r="R1438" s="5"/>
    </row>
    <row r="1439" spans="1:18" x14ac:dyDescent="0.35">
      <c r="A1439" s="5"/>
      <c r="L1439" s="71"/>
      <c r="R1439" s="5"/>
    </row>
    <row r="1440" spans="1:18" x14ac:dyDescent="0.35">
      <c r="A1440" s="5"/>
      <c r="L1440" s="71"/>
      <c r="R1440" s="5"/>
    </row>
    <row r="1441" spans="1:18" x14ac:dyDescent="0.35">
      <c r="A1441" s="5"/>
      <c r="L1441" s="71"/>
      <c r="R1441" s="5"/>
    </row>
    <row r="1442" spans="1:18" x14ac:dyDescent="0.35">
      <c r="A1442" s="5"/>
      <c r="L1442" s="71"/>
      <c r="R1442" s="5"/>
    </row>
    <row r="1443" spans="1:18" x14ac:dyDescent="0.35">
      <c r="A1443" s="5"/>
      <c r="L1443" s="71"/>
      <c r="R1443" s="5"/>
    </row>
    <row r="1444" spans="1:18" x14ac:dyDescent="0.35">
      <c r="A1444" s="5"/>
      <c r="L1444" s="71"/>
      <c r="R1444" s="5"/>
    </row>
    <row r="1445" spans="1:18" x14ac:dyDescent="0.35">
      <c r="A1445" s="5"/>
      <c r="L1445" s="71"/>
      <c r="R1445" s="5"/>
    </row>
    <row r="1446" spans="1:18" x14ac:dyDescent="0.35">
      <c r="A1446" s="5"/>
      <c r="L1446" s="71"/>
      <c r="R1446" s="5"/>
    </row>
    <row r="1447" spans="1:18" x14ac:dyDescent="0.35">
      <c r="A1447" s="5"/>
      <c r="L1447" s="71"/>
      <c r="R1447" s="5"/>
    </row>
    <row r="1448" spans="1:18" x14ac:dyDescent="0.35">
      <c r="A1448" s="5"/>
      <c r="L1448" s="71"/>
      <c r="R1448" s="5"/>
    </row>
    <row r="1449" spans="1:18" x14ac:dyDescent="0.35">
      <c r="A1449" s="5"/>
      <c r="L1449" s="71"/>
      <c r="R1449" s="5"/>
    </row>
    <row r="1450" spans="1:18" x14ac:dyDescent="0.35">
      <c r="A1450" s="5"/>
      <c r="L1450" s="71"/>
      <c r="R1450" s="5"/>
    </row>
    <row r="1451" spans="1:18" x14ac:dyDescent="0.35">
      <c r="A1451" s="5"/>
      <c r="L1451" s="71"/>
      <c r="R1451" s="5"/>
    </row>
    <row r="1452" spans="1:18" x14ac:dyDescent="0.35">
      <c r="A1452" s="5"/>
      <c r="L1452" s="71"/>
      <c r="R1452" s="5"/>
    </row>
    <row r="1453" spans="1:18" x14ac:dyDescent="0.35">
      <c r="A1453" s="5"/>
      <c r="L1453" s="71"/>
      <c r="R1453" s="5"/>
    </row>
    <row r="1454" spans="1:18" x14ac:dyDescent="0.35">
      <c r="A1454" s="5"/>
      <c r="L1454" s="71"/>
      <c r="R1454" s="5"/>
    </row>
    <row r="1455" spans="1:18" x14ac:dyDescent="0.35">
      <c r="A1455" s="5"/>
      <c r="L1455" s="71"/>
      <c r="R1455" s="5"/>
    </row>
    <row r="1456" spans="1:18" x14ac:dyDescent="0.35">
      <c r="A1456" s="5"/>
      <c r="L1456" s="71"/>
      <c r="R1456" s="5"/>
    </row>
    <row r="1457" spans="1:18" x14ac:dyDescent="0.35">
      <c r="A1457" s="5"/>
      <c r="L1457" s="71"/>
      <c r="R1457" s="5"/>
    </row>
    <row r="1458" spans="1:18" x14ac:dyDescent="0.35">
      <c r="A1458" s="5"/>
      <c r="L1458" s="71"/>
      <c r="R1458" s="5"/>
    </row>
    <row r="1459" spans="1:18" x14ac:dyDescent="0.35">
      <c r="A1459" s="5"/>
      <c r="L1459" s="71"/>
      <c r="R1459" s="5"/>
    </row>
    <row r="1460" spans="1:18" x14ac:dyDescent="0.35">
      <c r="A1460" s="5"/>
      <c r="L1460" s="71"/>
      <c r="R1460" s="5"/>
    </row>
    <row r="1461" spans="1:18" x14ac:dyDescent="0.35">
      <c r="A1461" s="5"/>
      <c r="L1461" s="71"/>
      <c r="R1461" s="5"/>
    </row>
    <row r="1462" spans="1:18" x14ac:dyDescent="0.35">
      <c r="A1462" s="5"/>
      <c r="L1462" s="71"/>
      <c r="R1462" s="5"/>
    </row>
    <row r="1463" spans="1:18" x14ac:dyDescent="0.35">
      <c r="A1463" s="5"/>
      <c r="L1463" s="71"/>
      <c r="R1463" s="5"/>
    </row>
    <row r="1464" spans="1:18" x14ac:dyDescent="0.35">
      <c r="A1464" s="5"/>
      <c r="L1464" s="71"/>
      <c r="R1464" s="5"/>
    </row>
    <row r="1465" spans="1:18" x14ac:dyDescent="0.35">
      <c r="A1465" s="5"/>
      <c r="L1465" s="71"/>
      <c r="R1465" s="5"/>
    </row>
    <row r="1466" spans="1:18" x14ac:dyDescent="0.35">
      <c r="A1466" s="5"/>
      <c r="L1466" s="71"/>
      <c r="R1466" s="5"/>
    </row>
    <row r="1467" spans="1:18" x14ac:dyDescent="0.35">
      <c r="A1467" s="5"/>
      <c r="L1467" s="71"/>
      <c r="R1467" s="5"/>
    </row>
    <row r="1468" spans="1:18" x14ac:dyDescent="0.35">
      <c r="A1468" s="5"/>
      <c r="L1468" s="71"/>
      <c r="R1468" s="5"/>
    </row>
    <row r="1469" spans="1:18" x14ac:dyDescent="0.35">
      <c r="A1469" s="5"/>
      <c r="L1469" s="71"/>
      <c r="R1469" s="5"/>
    </row>
    <row r="1470" spans="1:18" x14ac:dyDescent="0.35">
      <c r="A1470" s="5"/>
      <c r="L1470" s="71"/>
      <c r="R1470" s="5"/>
    </row>
    <row r="1471" spans="1:18" x14ac:dyDescent="0.35">
      <c r="A1471" s="5"/>
      <c r="L1471" s="71"/>
      <c r="R1471" s="5"/>
    </row>
    <row r="1472" spans="1:18" x14ac:dyDescent="0.35">
      <c r="A1472" s="5"/>
      <c r="L1472" s="71"/>
      <c r="R1472" s="5"/>
    </row>
    <row r="1473" spans="1:18" x14ac:dyDescent="0.35">
      <c r="A1473" s="5"/>
      <c r="L1473" s="71"/>
      <c r="R1473" s="5"/>
    </row>
    <row r="1474" spans="1:18" x14ac:dyDescent="0.35">
      <c r="A1474" s="5"/>
      <c r="L1474" s="71"/>
      <c r="R1474" s="5"/>
    </row>
    <row r="1475" spans="1:18" x14ac:dyDescent="0.35">
      <c r="A1475" s="5"/>
      <c r="L1475" s="71"/>
      <c r="R1475" s="5"/>
    </row>
    <row r="1476" spans="1:18" x14ac:dyDescent="0.35">
      <c r="A1476" s="5"/>
      <c r="L1476" s="71"/>
      <c r="R1476" s="5"/>
    </row>
    <row r="1477" spans="1:18" x14ac:dyDescent="0.35">
      <c r="A1477" s="5"/>
      <c r="L1477" s="71"/>
      <c r="R1477" s="5"/>
    </row>
    <row r="1478" spans="1:18" x14ac:dyDescent="0.35">
      <c r="A1478" s="5"/>
      <c r="L1478" s="71"/>
      <c r="R1478" s="5"/>
    </row>
    <row r="1479" spans="1:18" x14ac:dyDescent="0.35">
      <c r="A1479" s="5"/>
      <c r="L1479" s="71"/>
      <c r="R1479" s="5"/>
    </row>
    <row r="1480" spans="1:18" x14ac:dyDescent="0.35">
      <c r="A1480" s="5"/>
      <c r="L1480" s="71"/>
      <c r="R1480" s="5"/>
    </row>
    <row r="1481" spans="1:18" x14ac:dyDescent="0.35">
      <c r="A1481" s="5"/>
      <c r="L1481" s="71"/>
      <c r="R1481" s="5"/>
    </row>
    <row r="1482" spans="1:18" x14ac:dyDescent="0.35">
      <c r="A1482" s="5"/>
      <c r="L1482" s="71"/>
      <c r="R1482" s="5"/>
    </row>
    <row r="1483" spans="1:18" x14ac:dyDescent="0.35">
      <c r="A1483" s="5"/>
      <c r="L1483" s="71"/>
      <c r="R1483" s="5"/>
    </row>
    <row r="1484" spans="1:18" x14ac:dyDescent="0.35">
      <c r="A1484" s="5"/>
      <c r="L1484" s="71"/>
      <c r="R1484" s="5"/>
    </row>
    <row r="1485" spans="1:18" x14ac:dyDescent="0.35">
      <c r="A1485" s="5"/>
      <c r="L1485" s="71"/>
      <c r="R1485" s="5"/>
    </row>
    <row r="1486" spans="1:18" x14ac:dyDescent="0.35">
      <c r="A1486" s="5"/>
      <c r="L1486" s="71"/>
      <c r="R1486" s="5"/>
    </row>
    <row r="1487" spans="1:18" x14ac:dyDescent="0.35">
      <c r="A1487" s="5"/>
      <c r="L1487" s="71"/>
      <c r="R1487" s="5"/>
    </row>
    <row r="1488" spans="1:18" x14ac:dyDescent="0.35">
      <c r="A1488" s="5"/>
      <c r="L1488" s="71"/>
      <c r="R1488" s="5"/>
    </row>
    <row r="1489" spans="1:18" x14ac:dyDescent="0.35">
      <c r="A1489" s="5"/>
      <c r="L1489" s="71"/>
      <c r="R1489" s="5"/>
    </row>
    <row r="1490" spans="1:18" x14ac:dyDescent="0.35">
      <c r="A1490" s="5"/>
      <c r="L1490" s="71"/>
      <c r="R1490" s="5"/>
    </row>
    <row r="1491" spans="1:18" x14ac:dyDescent="0.35">
      <c r="A1491" s="5"/>
      <c r="L1491" s="71"/>
      <c r="R1491" s="5"/>
    </row>
    <row r="1492" spans="1:18" x14ac:dyDescent="0.35">
      <c r="A1492" s="5"/>
      <c r="L1492" s="71"/>
      <c r="R1492" s="5"/>
    </row>
    <row r="1493" spans="1:18" x14ac:dyDescent="0.35">
      <c r="A1493" s="5"/>
      <c r="L1493" s="71"/>
      <c r="R1493" s="5"/>
    </row>
    <row r="1494" spans="1:18" x14ac:dyDescent="0.35">
      <c r="A1494" s="5"/>
      <c r="L1494" s="71"/>
      <c r="R1494" s="5"/>
    </row>
    <row r="1495" spans="1:18" x14ac:dyDescent="0.35">
      <c r="A1495" s="5"/>
      <c r="L1495" s="71"/>
      <c r="R1495" s="5"/>
    </row>
    <row r="1496" spans="1:18" x14ac:dyDescent="0.35">
      <c r="A1496" s="5"/>
      <c r="L1496" s="71"/>
      <c r="R1496" s="5"/>
    </row>
    <row r="1497" spans="1:18" x14ac:dyDescent="0.35">
      <c r="A1497" s="5"/>
      <c r="L1497" s="71"/>
      <c r="R1497" s="5"/>
    </row>
    <row r="1498" spans="1:18" x14ac:dyDescent="0.35">
      <c r="A1498" s="5"/>
      <c r="L1498" s="71"/>
      <c r="R1498" s="5"/>
    </row>
    <row r="1499" spans="1:18" x14ac:dyDescent="0.35">
      <c r="A1499" s="5"/>
      <c r="L1499" s="71"/>
      <c r="R1499" s="5"/>
    </row>
    <row r="1500" spans="1:18" x14ac:dyDescent="0.35">
      <c r="A1500" s="5"/>
      <c r="L1500" s="71"/>
      <c r="R1500" s="5"/>
    </row>
    <row r="1501" spans="1:18" x14ac:dyDescent="0.35">
      <c r="A1501" s="5"/>
      <c r="L1501" s="71"/>
      <c r="R1501" s="5"/>
    </row>
    <row r="1502" spans="1:18" x14ac:dyDescent="0.35">
      <c r="A1502" s="5"/>
      <c r="L1502" s="71"/>
      <c r="R1502" s="5"/>
    </row>
    <row r="1503" spans="1:18" x14ac:dyDescent="0.35">
      <c r="A1503" s="5"/>
      <c r="L1503" s="71"/>
      <c r="R1503" s="5"/>
    </row>
    <row r="1504" spans="1:18" x14ac:dyDescent="0.35">
      <c r="A1504" s="5"/>
      <c r="L1504" s="71"/>
      <c r="R1504" s="5"/>
    </row>
    <row r="1505" spans="1:18" x14ac:dyDescent="0.35">
      <c r="A1505" s="5"/>
      <c r="L1505" s="71"/>
      <c r="R1505" s="5"/>
    </row>
    <row r="1506" spans="1:18" x14ac:dyDescent="0.35">
      <c r="A1506" s="5"/>
      <c r="L1506" s="71"/>
      <c r="R1506" s="5"/>
    </row>
    <row r="1507" spans="1:18" x14ac:dyDescent="0.35">
      <c r="A1507" s="5"/>
      <c r="L1507" s="71"/>
      <c r="R1507" s="5"/>
    </row>
    <row r="1508" spans="1:18" x14ac:dyDescent="0.35">
      <c r="A1508" s="5"/>
      <c r="L1508" s="71"/>
      <c r="R1508" s="5"/>
    </row>
    <row r="1509" spans="1:18" x14ac:dyDescent="0.35">
      <c r="A1509" s="5"/>
      <c r="L1509" s="71"/>
      <c r="R1509" s="5"/>
    </row>
    <row r="1510" spans="1:18" x14ac:dyDescent="0.35">
      <c r="A1510" s="5"/>
      <c r="L1510" s="71"/>
      <c r="R1510" s="5"/>
    </row>
    <row r="1511" spans="1:18" x14ac:dyDescent="0.35">
      <c r="A1511" s="5"/>
      <c r="L1511" s="71"/>
      <c r="R1511" s="5"/>
    </row>
    <row r="1512" spans="1:18" x14ac:dyDescent="0.35">
      <c r="A1512" s="5"/>
      <c r="L1512" s="71"/>
      <c r="R1512" s="5"/>
    </row>
    <row r="1513" spans="1:18" x14ac:dyDescent="0.35">
      <c r="A1513" s="5"/>
      <c r="L1513" s="71"/>
      <c r="R1513" s="5"/>
    </row>
    <row r="1514" spans="1:18" x14ac:dyDescent="0.35">
      <c r="A1514" s="5"/>
      <c r="L1514" s="71"/>
      <c r="R1514" s="5"/>
    </row>
    <row r="1515" spans="1:18" x14ac:dyDescent="0.35">
      <c r="A1515" s="5"/>
      <c r="L1515" s="71"/>
      <c r="R1515" s="5"/>
    </row>
    <row r="1516" spans="1:18" x14ac:dyDescent="0.35">
      <c r="A1516" s="5"/>
      <c r="L1516" s="71"/>
      <c r="R1516" s="5"/>
    </row>
    <row r="1517" spans="1:18" x14ac:dyDescent="0.35">
      <c r="A1517" s="5"/>
      <c r="L1517" s="71"/>
      <c r="R1517" s="5"/>
    </row>
    <row r="1518" spans="1:18" x14ac:dyDescent="0.35">
      <c r="A1518" s="5"/>
      <c r="L1518" s="71"/>
      <c r="R1518" s="5"/>
    </row>
    <row r="1519" spans="1:18" x14ac:dyDescent="0.35">
      <c r="A1519" s="5"/>
      <c r="L1519" s="71"/>
      <c r="R1519" s="5"/>
    </row>
    <row r="1520" spans="1:18" x14ac:dyDescent="0.35">
      <c r="A1520" s="5"/>
      <c r="L1520" s="71"/>
      <c r="R1520" s="5"/>
    </row>
    <row r="1521" spans="1:18" x14ac:dyDescent="0.35">
      <c r="A1521" s="5"/>
      <c r="L1521" s="71"/>
      <c r="R1521" s="5"/>
    </row>
    <row r="1522" spans="1:18" x14ac:dyDescent="0.35">
      <c r="A1522" s="5"/>
      <c r="L1522" s="71"/>
      <c r="R1522" s="5"/>
    </row>
    <row r="1523" spans="1:18" x14ac:dyDescent="0.35">
      <c r="A1523" s="5"/>
      <c r="L1523" s="71"/>
      <c r="R1523" s="5"/>
    </row>
    <row r="1524" spans="1:18" x14ac:dyDescent="0.35">
      <c r="A1524" s="5"/>
      <c r="L1524" s="71"/>
      <c r="R1524" s="5"/>
    </row>
    <row r="1525" spans="1:18" x14ac:dyDescent="0.35">
      <c r="A1525" s="5"/>
      <c r="L1525" s="71"/>
      <c r="R1525" s="5"/>
    </row>
    <row r="1526" spans="1:18" x14ac:dyDescent="0.35">
      <c r="A1526" s="5"/>
      <c r="L1526" s="71"/>
      <c r="R1526" s="5"/>
    </row>
    <row r="1527" spans="1:18" x14ac:dyDescent="0.35">
      <c r="A1527" s="5"/>
      <c r="L1527" s="71"/>
      <c r="R1527" s="5"/>
    </row>
    <row r="1528" spans="1:18" x14ac:dyDescent="0.35">
      <c r="A1528" s="5"/>
      <c r="L1528" s="71"/>
      <c r="R1528" s="5"/>
    </row>
    <row r="1529" spans="1:18" x14ac:dyDescent="0.35">
      <c r="A1529" s="5"/>
      <c r="L1529" s="71"/>
      <c r="R1529" s="5"/>
    </row>
    <row r="1530" spans="1:18" x14ac:dyDescent="0.35">
      <c r="A1530" s="5"/>
      <c r="L1530" s="71"/>
      <c r="R1530" s="5"/>
    </row>
    <row r="1531" spans="1:18" x14ac:dyDescent="0.35">
      <c r="A1531" s="5"/>
      <c r="L1531" s="71"/>
      <c r="R1531" s="5"/>
    </row>
    <row r="1532" spans="1:18" x14ac:dyDescent="0.35">
      <c r="A1532" s="5"/>
      <c r="L1532" s="71"/>
      <c r="R1532" s="5"/>
    </row>
    <row r="1533" spans="1:18" x14ac:dyDescent="0.35">
      <c r="A1533" s="5"/>
      <c r="L1533" s="71"/>
      <c r="R1533" s="5"/>
    </row>
    <row r="1534" spans="1:18" x14ac:dyDescent="0.35">
      <c r="A1534" s="5"/>
      <c r="L1534" s="71"/>
      <c r="R1534" s="5"/>
    </row>
    <row r="1535" spans="1:18" x14ac:dyDescent="0.35">
      <c r="A1535" s="5"/>
      <c r="L1535" s="71"/>
      <c r="R1535" s="5"/>
    </row>
    <row r="1536" spans="1:18" x14ac:dyDescent="0.35">
      <c r="A1536" s="5"/>
      <c r="L1536" s="71"/>
      <c r="R1536" s="5"/>
    </row>
    <row r="1537" spans="1:18" x14ac:dyDescent="0.35">
      <c r="A1537" s="5"/>
      <c r="L1537" s="71"/>
      <c r="R1537" s="5"/>
    </row>
    <row r="1538" spans="1:18" x14ac:dyDescent="0.35">
      <c r="A1538" s="5"/>
      <c r="L1538" s="71"/>
      <c r="R1538" s="5"/>
    </row>
    <row r="1539" spans="1:18" x14ac:dyDescent="0.35">
      <c r="A1539" s="5"/>
      <c r="L1539" s="71"/>
      <c r="R1539" s="5"/>
    </row>
    <row r="1540" spans="1:18" x14ac:dyDescent="0.35">
      <c r="A1540" s="5"/>
      <c r="L1540" s="71"/>
      <c r="R1540" s="5"/>
    </row>
    <row r="1541" spans="1:18" x14ac:dyDescent="0.35">
      <c r="A1541" s="5"/>
      <c r="L1541" s="71"/>
      <c r="R1541" s="5"/>
    </row>
    <row r="1542" spans="1:18" x14ac:dyDescent="0.35">
      <c r="A1542" s="5"/>
      <c r="L1542" s="71"/>
      <c r="R1542" s="5"/>
    </row>
    <row r="1543" spans="1:18" x14ac:dyDescent="0.35">
      <c r="A1543" s="5"/>
      <c r="L1543" s="71"/>
      <c r="R1543" s="5"/>
    </row>
    <row r="1544" spans="1:18" x14ac:dyDescent="0.35">
      <c r="A1544" s="5"/>
      <c r="L1544" s="71"/>
      <c r="R1544" s="5"/>
    </row>
    <row r="1545" spans="1:18" x14ac:dyDescent="0.35">
      <c r="A1545" s="5"/>
      <c r="L1545" s="71"/>
      <c r="R1545" s="5"/>
    </row>
    <row r="1546" spans="1:18" x14ac:dyDescent="0.35">
      <c r="A1546" s="5"/>
      <c r="L1546" s="71"/>
      <c r="R1546" s="5"/>
    </row>
    <row r="1547" spans="1:18" x14ac:dyDescent="0.35">
      <c r="A1547" s="5"/>
      <c r="L1547" s="71"/>
      <c r="R1547" s="5"/>
    </row>
    <row r="1548" spans="1:18" x14ac:dyDescent="0.35">
      <c r="A1548" s="5"/>
      <c r="L1548" s="71"/>
      <c r="R1548" s="5"/>
    </row>
    <row r="1549" spans="1:18" x14ac:dyDescent="0.35">
      <c r="A1549" s="5"/>
      <c r="L1549" s="71"/>
      <c r="R1549" s="5"/>
    </row>
    <row r="1550" spans="1:18" x14ac:dyDescent="0.35">
      <c r="A1550" s="5"/>
      <c r="L1550" s="71"/>
      <c r="R1550" s="5"/>
    </row>
    <row r="1551" spans="1:18" x14ac:dyDescent="0.35">
      <c r="A1551" s="5"/>
      <c r="L1551" s="71"/>
      <c r="R1551" s="5"/>
    </row>
    <row r="1552" spans="1:18" x14ac:dyDescent="0.35">
      <c r="A1552" s="5"/>
      <c r="L1552" s="71"/>
      <c r="R1552" s="5"/>
    </row>
    <row r="1553" spans="1:18" x14ac:dyDescent="0.35">
      <c r="A1553" s="5"/>
      <c r="L1553" s="71"/>
      <c r="R1553" s="5"/>
    </row>
    <row r="1554" spans="1:18" x14ac:dyDescent="0.35">
      <c r="A1554" s="5"/>
      <c r="L1554" s="71"/>
      <c r="R1554" s="5"/>
    </row>
    <row r="1555" spans="1:18" x14ac:dyDescent="0.35">
      <c r="A1555" s="5"/>
      <c r="L1555" s="71"/>
      <c r="R1555" s="5"/>
    </row>
    <row r="1556" spans="1:18" x14ac:dyDescent="0.35">
      <c r="A1556" s="5"/>
      <c r="L1556" s="71"/>
      <c r="R1556" s="5"/>
    </row>
    <row r="1557" spans="1:18" x14ac:dyDescent="0.35">
      <c r="A1557" s="5"/>
      <c r="L1557" s="71"/>
      <c r="R1557" s="5"/>
    </row>
    <row r="1558" spans="1:18" x14ac:dyDescent="0.35">
      <c r="A1558" s="5"/>
      <c r="L1558" s="71"/>
      <c r="R1558" s="5"/>
    </row>
    <row r="1559" spans="1:18" x14ac:dyDescent="0.35">
      <c r="A1559" s="5"/>
      <c r="L1559" s="71"/>
      <c r="R1559" s="5"/>
    </row>
    <row r="1560" spans="1:18" x14ac:dyDescent="0.35">
      <c r="A1560" s="5"/>
      <c r="L1560" s="71"/>
      <c r="R1560" s="5"/>
    </row>
    <row r="1561" spans="1:18" x14ac:dyDescent="0.35">
      <c r="A1561" s="5"/>
      <c r="L1561" s="71"/>
      <c r="R1561" s="5"/>
    </row>
    <row r="1562" spans="1:18" x14ac:dyDescent="0.35">
      <c r="A1562" s="5"/>
      <c r="L1562" s="71"/>
      <c r="R1562" s="5"/>
    </row>
    <row r="1563" spans="1:18" x14ac:dyDescent="0.35">
      <c r="A1563" s="5"/>
      <c r="L1563" s="71"/>
      <c r="R1563" s="5"/>
    </row>
    <row r="1564" spans="1:18" x14ac:dyDescent="0.35">
      <c r="A1564" s="5"/>
      <c r="L1564" s="71"/>
      <c r="R1564" s="5"/>
    </row>
    <row r="1565" spans="1:18" x14ac:dyDescent="0.35">
      <c r="A1565" s="5"/>
      <c r="L1565" s="71"/>
      <c r="R1565" s="5"/>
    </row>
    <row r="1566" spans="1:18" x14ac:dyDescent="0.35">
      <c r="A1566" s="5"/>
      <c r="L1566" s="71"/>
      <c r="R1566" s="5"/>
    </row>
    <row r="1567" spans="1:18" x14ac:dyDescent="0.35">
      <c r="A1567" s="5"/>
      <c r="L1567" s="71"/>
      <c r="R1567" s="5"/>
    </row>
    <row r="1568" spans="1:18" x14ac:dyDescent="0.35">
      <c r="A1568" s="5"/>
      <c r="L1568" s="71"/>
      <c r="R1568" s="5"/>
    </row>
    <row r="1569" spans="1:18" x14ac:dyDescent="0.35">
      <c r="A1569" s="5"/>
      <c r="L1569" s="71"/>
      <c r="R1569" s="5"/>
    </row>
    <row r="1570" spans="1:18" x14ac:dyDescent="0.35">
      <c r="A1570" s="5"/>
      <c r="L1570" s="71"/>
      <c r="R1570" s="5"/>
    </row>
    <row r="1571" spans="1:18" x14ac:dyDescent="0.35">
      <c r="A1571" s="5"/>
      <c r="L1571" s="71"/>
      <c r="R1571" s="5"/>
    </row>
    <row r="1572" spans="1:18" x14ac:dyDescent="0.35">
      <c r="A1572" s="5"/>
      <c r="L1572" s="71"/>
      <c r="R1572" s="5"/>
    </row>
    <row r="1573" spans="1:18" x14ac:dyDescent="0.35">
      <c r="A1573" s="5"/>
      <c r="L1573" s="71"/>
      <c r="R1573" s="5"/>
    </row>
    <row r="1574" spans="1:18" x14ac:dyDescent="0.35">
      <c r="A1574" s="5"/>
      <c r="L1574" s="71"/>
      <c r="R1574" s="5"/>
    </row>
    <row r="1575" spans="1:18" x14ac:dyDescent="0.35">
      <c r="A1575" s="5"/>
      <c r="L1575" s="71"/>
      <c r="R1575" s="5"/>
    </row>
    <row r="1576" spans="1:18" x14ac:dyDescent="0.35">
      <c r="A1576" s="5"/>
      <c r="L1576" s="71"/>
      <c r="R1576" s="5"/>
    </row>
    <row r="1577" spans="1:18" x14ac:dyDescent="0.35">
      <c r="A1577" s="5"/>
      <c r="L1577" s="71"/>
      <c r="R1577" s="5"/>
    </row>
    <row r="1578" spans="1:18" x14ac:dyDescent="0.35">
      <c r="A1578" s="5"/>
      <c r="L1578" s="71"/>
      <c r="R1578" s="5"/>
    </row>
    <row r="1579" spans="1:18" x14ac:dyDescent="0.35">
      <c r="A1579" s="5"/>
      <c r="L1579" s="71"/>
      <c r="R1579" s="5"/>
    </row>
    <row r="1580" spans="1:18" x14ac:dyDescent="0.35">
      <c r="A1580" s="5"/>
      <c r="L1580" s="71"/>
      <c r="R1580" s="5"/>
    </row>
    <row r="1581" spans="1:18" x14ac:dyDescent="0.35">
      <c r="A1581" s="5"/>
      <c r="L1581" s="71"/>
      <c r="R1581" s="5"/>
    </row>
    <row r="1582" spans="1:18" x14ac:dyDescent="0.35">
      <c r="A1582" s="5"/>
      <c r="L1582" s="71"/>
      <c r="R1582" s="5"/>
    </row>
    <row r="1583" spans="1:18" x14ac:dyDescent="0.35">
      <c r="A1583" s="5"/>
      <c r="L1583" s="71"/>
      <c r="R1583" s="5"/>
    </row>
    <row r="1584" spans="1:18" x14ac:dyDescent="0.35">
      <c r="A1584" s="5"/>
      <c r="L1584" s="71"/>
      <c r="R1584" s="5"/>
    </row>
    <row r="1585" spans="1:18" x14ac:dyDescent="0.35">
      <c r="A1585" s="5"/>
      <c r="L1585" s="71"/>
      <c r="R1585" s="5"/>
    </row>
    <row r="1586" spans="1:18" x14ac:dyDescent="0.35">
      <c r="A1586" s="5"/>
      <c r="L1586" s="71"/>
      <c r="R1586" s="5"/>
    </row>
    <row r="1587" spans="1:18" x14ac:dyDescent="0.35">
      <c r="A1587" s="5"/>
      <c r="L1587" s="71"/>
      <c r="R1587" s="5"/>
    </row>
    <row r="1588" spans="1:18" x14ac:dyDescent="0.35">
      <c r="A1588" s="5"/>
      <c r="L1588" s="71"/>
      <c r="R1588" s="5"/>
    </row>
    <row r="1589" spans="1:18" x14ac:dyDescent="0.35">
      <c r="A1589" s="5"/>
      <c r="L1589" s="71"/>
      <c r="R1589" s="5"/>
    </row>
    <row r="1590" spans="1:18" x14ac:dyDescent="0.35">
      <c r="A1590" s="5"/>
      <c r="L1590" s="71"/>
      <c r="R1590" s="5"/>
    </row>
    <row r="1591" spans="1:18" x14ac:dyDescent="0.35">
      <c r="A1591" s="5"/>
      <c r="L1591" s="71"/>
      <c r="R1591" s="5"/>
    </row>
    <row r="1592" spans="1:18" x14ac:dyDescent="0.35">
      <c r="A1592" s="5"/>
      <c r="L1592" s="71"/>
      <c r="R1592" s="5"/>
    </row>
    <row r="1593" spans="1:18" x14ac:dyDescent="0.35">
      <c r="A1593" s="5"/>
      <c r="L1593" s="71"/>
      <c r="R1593" s="5"/>
    </row>
    <row r="1594" spans="1:18" x14ac:dyDescent="0.35">
      <c r="A1594" s="5"/>
      <c r="L1594" s="71"/>
      <c r="R1594" s="5"/>
    </row>
    <row r="1595" spans="1:18" x14ac:dyDescent="0.35">
      <c r="A1595" s="5"/>
      <c r="L1595" s="71"/>
      <c r="R1595" s="5"/>
    </row>
    <row r="1596" spans="1:18" x14ac:dyDescent="0.35">
      <c r="A1596" s="5"/>
      <c r="L1596" s="71"/>
      <c r="R1596" s="5"/>
    </row>
    <row r="1597" spans="1:18" x14ac:dyDescent="0.35">
      <c r="A1597" s="5"/>
      <c r="L1597" s="71"/>
      <c r="R1597" s="5"/>
    </row>
    <row r="1598" spans="1:18" x14ac:dyDescent="0.35">
      <c r="A1598" s="5"/>
      <c r="L1598" s="71"/>
      <c r="R1598" s="5"/>
    </row>
    <row r="1599" spans="1:18" x14ac:dyDescent="0.35">
      <c r="A1599" s="5"/>
      <c r="L1599" s="71"/>
      <c r="R1599" s="5"/>
    </row>
    <row r="1600" spans="1:18" x14ac:dyDescent="0.35">
      <c r="A1600" s="5"/>
      <c r="L1600" s="71"/>
      <c r="R1600" s="5"/>
    </row>
    <row r="1601" spans="1:18" x14ac:dyDescent="0.35">
      <c r="A1601" s="5"/>
      <c r="L1601" s="71"/>
      <c r="R1601" s="5"/>
    </row>
    <row r="1602" spans="1:18" x14ac:dyDescent="0.35">
      <c r="A1602" s="5"/>
      <c r="L1602" s="71"/>
      <c r="R1602" s="5"/>
    </row>
    <row r="1603" spans="1:18" x14ac:dyDescent="0.35">
      <c r="A1603" s="5"/>
      <c r="L1603" s="71"/>
      <c r="R1603" s="5"/>
    </row>
    <row r="1604" spans="1:18" x14ac:dyDescent="0.35">
      <c r="A1604" s="5"/>
      <c r="L1604" s="71"/>
      <c r="R1604" s="5"/>
    </row>
    <row r="1605" spans="1:18" x14ac:dyDescent="0.35">
      <c r="A1605" s="5"/>
      <c r="L1605" s="71"/>
      <c r="R1605" s="5"/>
    </row>
    <row r="1606" spans="1:18" x14ac:dyDescent="0.35">
      <c r="A1606" s="5"/>
      <c r="L1606" s="71"/>
      <c r="R1606" s="5"/>
    </row>
    <row r="1607" spans="1:18" x14ac:dyDescent="0.35">
      <c r="A1607" s="5"/>
      <c r="L1607" s="71"/>
      <c r="R1607" s="5"/>
    </row>
    <row r="1608" spans="1:18" x14ac:dyDescent="0.35">
      <c r="A1608" s="5"/>
      <c r="L1608" s="71"/>
      <c r="R1608" s="5"/>
    </row>
    <row r="1609" spans="1:18" x14ac:dyDescent="0.35">
      <c r="A1609" s="5"/>
      <c r="L1609" s="71"/>
      <c r="R1609" s="5"/>
    </row>
    <row r="1610" spans="1:18" x14ac:dyDescent="0.35">
      <c r="A1610" s="5"/>
      <c r="L1610" s="71"/>
      <c r="R1610" s="5"/>
    </row>
    <row r="1611" spans="1:18" x14ac:dyDescent="0.35">
      <c r="A1611" s="5"/>
      <c r="L1611" s="71"/>
      <c r="R1611" s="5"/>
    </row>
    <row r="1612" spans="1:18" x14ac:dyDescent="0.35">
      <c r="A1612" s="5"/>
      <c r="L1612" s="71"/>
      <c r="R1612" s="5"/>
    </row>
    <row r="1613" spans="1:18" x14ac:dyDescent="0.35">
      <c r="A1613" s="5"/>
      <c r="L1613" s="71"/>
      <c r="R1613" s="5"/>
    </row>
    <row r="1614" spans="1:18" x14ac:dyDescent="0.35">
      <c r="A1614" s="5"/>
      <c r="L1614" s="71"/>
      <c r="R1614" s="5"/>
    </row>
    <row r="1615" spans="1:18" x14ac:dyDescent="0.35">
      <c r="A1615" s="5"/>
      <c r="L1615" s="71"/>
      <c r="R1615" s="5"/>
    </row>
    <row r="1616" spans="1:18" x14ac:dyDescent="0.35">
      <c r="A1616" s="5"/>
      <c r="L1616" s="71"/>
      <c r="R1616" s="5"/>
    </row>
    <row r="1617" spans="1:18" x14ac:dyDescent="0.35">
      <c r="A1617" s="5"/>
      <c r="L1617" s="71"/>
      <c r="R1617" s="5"/>
    </row>
    <row r="1618" spans="1:18" x14ac:dyDescent="0.35">
      <c r="A1618" s="5"/>
      <c r="L1618" s="71"/>
      <c r="R1618" s="5"/>
    </row>
    <row r="1619" spans="1:18" x14ac:dyDescent="0.35">
      <c r="A1619" s="5"/>
      <c r="L1619" s="71"/>
      <c r="R1619" s="5"/>
    </row>
    <row r="1620" spans="1:18" x14ac:dyDescent="0.35">
      <c r="A1620" s="5"/>
      <c r="L1620" s="71"/>
      <c r="R1620" s="5"/>
    </row>
    <row r="1621" spans="1:18" x14ac:dyDescent="0.35">
      <c r="A1621" s="5"/>
      <c r="L1621" s="71"/>
      <c r="R1621" s="5"/>
    </row>
    <row r="1622" spans="1:18" x14ac:dyDescent="0.35">
      <c r="A1622" s="5"/>
      <c r="L1622" s="71"/>
      <c r="R1622" s="5"/>
    </row>
    <row r="1623" spans="1:18" x14ac:dyDescent="0.35">
      <c r="A1623" s="5"/>
      <c r="L1623" s="71"/>
      <c r="R1623" s="5"/>
    </row>
    <row r="1624" spans="1:18" x14ac:dyDescent="0.35">
      <c r="A1624" s="5"/>
      <c r="L1624" s="71"/>
      <c r="R1624" s="5"/>
    </row>
    <row r="1625" spans="1:18" x14ac:dyDescent="0.35">
      <c r="A1625" s="5"/>
      <c r="L1625" s="71"/>
      <c r="R1625" s="5"/>
    </row>
    <row r="1626" spans="1:18" x14ac:dyDescent="0.35">
      <c r="A1626" s="5"/>
      <c r="L1626" s="71"/>
      <c r="R1626" s="5"/>
    </row>
    <row r="1627" spans="1:18" x14ac:dyDescent="0.35">
      <c r="A1627" s="5"/>
      <c r="L1627" s="71"/>
      <c r="R1627" s="5"/>
    </row>
    <row r="1628" spans="1:18" x14ac:dyDescent="0.35">
      <c r="A1628" s="5"/>
      <c r="L1628" s="71"/>
      <c r="R1628" s="5"/>
    </row>
    <row r="1629" spans="1:18" x14ac:dyDescent="0.35">
      <c r="A1629" s="5"/>
      <c r="L1629" s="71"/>
      <c r="R1629" s="5"/>
    </row>
    <row r="1630" spans="1:18" x14ac:dyDescent="0.35">
      <c r="A1630" s="5"/>
      <c r="L1630" s="71"/>
      <c r="R1630" s="5"/>
    </row>
    <row r="1631" spans="1:18" x14ac:dyDescent="0.35">
      <c r="A1631" s="5"/>
      <c r="L1631" s="71"/>
      <c r="R1631" s="5"/>
    </row>
    <row r="1632" spans="1:18" x14ac:dyDescent="0.35">
      <c r="A1632" s="5"/>
      <c r="L1632" s="71"/>
      <c r="R1632" s="5"/>
    </row>
    <row r="1633" spans="1:18" x14ac:dyDescent="0.35">
      <c r="A1633" s="5"/>
      <c r="L1633" s="71"/>
      <c r="R1633" s="5"/>
    </row>
    <row r="1634" spans="1:18" x14ac:dyDescent="0.35">
      <c r="A1634" s="5"/>
      <c r="L1634" s="71"/>
      <c r="R1634" s="5"/>
    </row>
    <row r="1635" spans="1:18" x14ac:dyDescent="0.35">
      <c r="A1635" s="5"/>
      <c r="L1635" s="71"/>
      <c r="R1635" s="5"/>
    </row>
    <row r="1636" spans="1:18" x14ac:dyDescent="0.35">
      <c r="A1636" s="5"/>
      <c r="L1636" s="71"/>
      <c r="R1636" s="5"/>
    </row>
    <row r="1637" spans="1:18" x14ac:dyDescent="0.35">
      <c r="A1637" s="5"/>
      <c r="L1637" s="71"/>
      <c r="R1637" s="5"/>
    </row>
    <row r="1638" spans="1:18" x14ac:dyDescent="0.35">
      <c r="A1638" s="5"/>
      <c r="L1638" s="71"/>
      <c r="R1638" s="5"/>
    </row>
    <row r="1639" spans="1:18" x14ac:dyDescent="0.35">
      <c r="L1639" s="71"/>
      <c r="R1639" s="5"/>
    </row>
    <row r="1640" spans="1:18" x14ac:dyDescent="0.35">
      <c r="L1640" s="71"/>
      <c r="R1640" s="5"/>
    </row>
    <row r="1641" spans="1:18" x14ac:dyDescent="0.35">
      <c r="L1641" s="71"/>
      <c r="R1641" s="5"/>
    </row>
    <row r="1642" spans="1:18" x14ac:dyDescent="0.35">
      <c r="L1642" s="71"/>
      <c r="R1642" s="5"/>
    </row>
    <row r="1643" spans="1:18" x14ac:dyDescent="0.35">
      <c r="L1643" s="71"/>
      <c r="R1643" s="5"/>
    </row>
    <row r="1644" spans="1:18" x14ac:dyDescent="0.35">
      <c r="L1644" s="71"/>
      <c r="R1644" s="5"/>
    </row>
    <row r="1645" spans="1:18" x14ac:dyDescent="0.35">
      <c r="L1645" s="71"/>
      <c r="R1645" s="5"/>
    </row>
    <row r="1646" spans="1:18" x14ac:dyDescent="0.35">
      <c r="L1646" s="71"/>
      <c r="R1646" s="5"/>
    </row>
    <row r="1647" spans="1:18" x14ac:dyDescent="0.35">
      <c r="L1647" s="71"/>
      <c r="R1647" s="5"/>
    </row>
    <row r="1648" spans="1:18" x14ac:dyDescent="0.35">
      <c r="L1648" s="71"/>
      <c r="R1648" s="5"/>
    </row>
    <row r="1649" spans="12:18" x14ac:dyDescent="0.35">
      <c r="L1649" s="71"/>
      <c r="R1649" s="5"/>
    </row>
    <row r="1650" spans="12:18" x14ac:dyDescent="0.35">
      <c r="L1650" s="71"/>
      <c r="R1650" s="5"/>
    </row>
    <row r="1651" spans="12:18" x14ac:dyDescent="0.35">
      <c r="L1651" s="71"/>
      <c r="R1651" s="5"/>
    </row>
    <row r="1652" spans="12:18" x14ac:dyDescent="0.35">
      <c r="L1652" s="71"/>
      <c r="R1652" s="5"/>
    </row>
    <row r="1653" spans="12:18" x14ac:dyDescent="0.35">
      <c r="L1653" s="71"/>
      <c r="R1653" s="5"/>
    </row>
    <row r="1654" spans="12:18" x14ac:dyDescent="0.35">
      <c r="L1654" s="71"/>
      <c r="R1654" s="5"/>
    </row>
    <row r="1655" spans="12:18" x14ac:dyDescent="0.35">
      <c r="L1655" s="71"/>
      <c r="R1655" s="5"/>
    </row>
    <row r="1656" spans="12:18" x14ac:dyDescent="0.35">
      <c r="L1656" s="71"/>
      <c r="R1656" s="5"/>
    </row>
    <row r="1657" spans="12:18" x14ac:dyDescent="0.35">
      <c r="L1657" s="71"/>
      <c r="R1657" s="5"/>
    </row>
    <row r="1658" spans="12:18" x14ac:dyDescent="0.35">
      <c r="L1658" s="71"/>
      <c r="R1658" s="5"/>
    </row>
    <row r="1659" spans="12:18" x14ac:dyDescent="0.35">
      <c r="L1659" s="71"/>
      <c r="R1659" s="5"/>
    </row>
    <row r="1660" spans="12:18" x14ac:dyDescent="0.35">
      <c r="L1660" s="71"/>
      <c r="R1660" s="5"/>
    </row>
    <row r="1661" spans="12:18" x14ac:dyDescent="0.35">
      <c r="L1661" s="71"/>
      <c r="R1661" s="5"/>
    </row>
    <row r="1662" spans="12:18" x14ac:dyDescent="0.35">
      <c r="L1662" s="71"/>
      <c r="R1662" s="5"/>
    </row>
    <row r="1663" spans="12:18" x14ac:dyDescent="0.35">
      <c r="L1663" s="71"/>
      <c r="R1663" s="5"/>
    </row>
    <row r="1664" spans="12:18" x14ac:dyDescent="0.35">
      <c r="L1664" s="71"/>
      <c r="R1664" s="5"/>
    </row>
    <row r="1665" spans="12:18" x14ac:dyDescent="0.35">
      <c r="L1665" s="71"/>
      <c r="R1665" s="5"/>
    </row>
    <row r="1666" spans="12:18" x14ac:dyDescent="0.35">
      <c r="L1666" s="71"/>
      <c r="R1666" s="5"/>
    </row>
    <row r="1667" spans="12:18" x14ac:dyDescent="0.35">
      <c r="L1667" s="71"/>
      <c r="R1667" s="5"/>
    </row>
    <row r="1668" spans="12:18" x14ac:dyDescent="0.35">
      <c r="L1668" s="71"/>
      <c r="R1668" s="5"/>
    </row>
    <row r="1669" spans="12:18" x14ac:dyDescent="0.35">
      <c r="L1669" s="71"/>
      <c r="R1669" s="5"/>
    </row>
    <row r="1670" spans="12:18" x14ac:dyDescent="0.35">
      <c r="L1670" s="71"/>
      <c r="R1670" s="5"/>
    </row>
    <row r="1671" spans="12:18" x14ac:dyDescent="0.35">
      <c r="L1671" s="71"/>
      <c r="R1671" s="5"/>
    </row>
    <row r="1672" spans="12:18" x14ac:dyDescent="0.35">
      <c r="L1672" s="71"/>
      <c r="R1672" s="5"/>
    </row>
    <row r="1673" spans="12:18" x14ac:dyDescent="0.35">
      <c r="L1673" s="71"/>
      <c r="R1673" s="5"/>
    </row>
    <row r="1674" spans="12:18" x14ac:dyDescent="0.35">
      <c r="L1674" s="71"/>
      <c r="R1674" s="5"/>
    </row>
    <row r="1675" spans="12:18" x14ac:dyDescent="0.35">
      <c r="L1675" s="71"/>
      <c r="R1675" s="5"/>
    </row>
    <row r="1676" spans="12:18" x14ac:dyDescent="0.35">
      <c r="L1676" s="71"/>
      <c r="R1676" s="5"/>
    </row>
    <row r="1677" spans="12:18" x14ac:dyDescent="0.35">
      <c r="L1677" s="71"/>
      <c r="R1677" s="5"/>
    </row>
    <row r="1678" spans="12:18" x14ac:dyDescent="0.35">
      <c r="L1678" s="71"/>
      <c r="R1678" s="5"/>
    </row>
    <row r="1679" spans="12:18" x14ac:dyDescent="0.35">
      <c r="L1679" s="71"/>
      <c r="R1679" s="5"/>
    </row>
    <row r="1680" spans="12:18" x14ac:dyDescent="0.35">
      <c r="L1680" s="71"/>
      <c r="R1680" s="5"/>
    </row>
    <row r="1681" spans="12:18" x14ac:dyDescent="0.35">
      <c r="L1681" s="71"/>
      <c r="R1681" s="5"/>
    </row>
    <row r="1682" spans="12:18" x14ac:dyDescent="0.35">
      <c r="L1682" s="71"/>
      <c r="R1682" s="5"/>
    </row>
    <row r="1683" spans="12:18" x14ac:dyDescent="0.35">
      <c r="L1683" s="71"/>
      <c r="R1683" s="5"/>
    </row>
    <row r="1684" spans="12:18" x14ac:dyDescent="0.35">
      <c r="L1684" s="71"/>
      <c r="R1684" s="5"/>
    </row>
    <row r="1685" spans="12:18" x14ac:dyDescent="0.35">
      <c r="L1685" s="71"/>
      <c r="R1685" s="5"/>
    </row>
    <row r="1686" spans="12:18" x14ac:dyDescent="0.35">
      <c r="L1686" s="71"/>
      <c r="R1686" s="5"/>
    </row>
    <row r="1687" spans="12:18" x14ac:dyDescent="0.35">
      <c r="L1687" s="71"/>
      <c r="R1687" s="5"/>
    </row>
    <row r="1688" spans="12:18" x14ac:dyDescent="0.35">
      <c r="L1688" s="71"/>
      <c r="R1688" s="5"/>
    </row>
    <row r="1689" spans="12:18" x14ac:dyDescent="0.35">
      <c r="L1689" s="71"/>
      <c r="R1689" s="5"/>
    </row>
    <row r="1690" spans="12:18" x14ac:dyDescent="0.35">
      <c r="L1690" s="71"/>
      <c r="R1690" s="5"/>
    </row>
    <row r="1691" spans="12:18" x14ac:dyDescent="0.35">
      <c r="L1691" s="71"/>
      <c r="R1691" s="5"/>
    </row>
    <row r="1692" spans="12:18" x14ac:dyDescent="0.35">
      <c r="L1692" s="71"/>
      <c r="R1692" s="5"/>
    </row>
    <row r="1693" spans="12:18" x14ac:dyDescent="0.35">
      <c r="L1693" s="71"/>
      <c r="R1693" s="5"/>
    </row>
    <row r="1694" spans="12:18" x14ac:dyDescent="0.35">
      <c r="L1694" s="71"/>
      <c r="R1694" s="5"/>
    </row>
    <row r="1695" spans="12:18" x14ac:dyDescent="0.35">
      <c r="L1695" s="71"/>
      <c r="R1695" s="5"/>
    </row>
    <row r="1696" spans="12:18" x14ac:dyDescent="0.35">
      <c r="L1696" s="71"/>
      <c r="R1696" s="5"/>
    </row>
    <row r="1697" spans="12:18" x14ac:dyDescent="0.35">
      <c r="L1697" s="71"/>
      <c r="R1697" s="5"/>
    </row>
    <row r="1698" spans="12:18" x14ac:dyDescent="0.35">
      <c r="L1698" s="71"/>
      <c r="R1698" s="5"/>
    </row>
    <row r="1699" spans="12:18" x14ac:dyDescent="0.35">
      <c r="L1699" s="71"/>
      <c r="R1699" s="5"/>
    </row>
    <row r="1700" spans="12:18" x14ac:dyDescent="0.35">
      <c r="L1700" s="71"/>
      <c r="R1700" s="5"/>
    </row>
    <row r="1701" spans="12:18" x14ac:dyDescent="0.35">
      <c r="L1701" s="71"/>
      <c r="R1701" s="5"/>
    </row>
    <row r="1702" spans="12:18" x14ac:dyDescent="0.35">
      <c r="L1702" s="71"/>
      <c r="R1702" s="5"/>
    </row>
    <row r="1703" spans="12:18" x14ac:dyDescent="0.35">
      <c r="L1703" s="71"/>
      <c r="R1703" s="5"/>
    </row>
    <row r="1704" spans="12:18" x14ac:dyDescent="0.35">
      <c r="L1704" s="71"/>
      <c r="R1704" s="5"/>
    </row>
    <row r="1705" spans="12:18" x14ac:dyDescent="0.35">
      <c r="L1705" s="71"/>
      <c r="R1705" s="5"/>
    </row>
    <row r="1706" spans="12:18" x14ac:dyDescent="0.35">
      <c r="L1706" s="71"/>
      <c r="R1706" s="5"/>
    </row>
    <row r="1707" spans="12:18" x14ac:dyDescent="0.35">
      <c r="L1707" s="71"/>
      <c r="R1707" s="5"/>
    </row>
    <row r="1708" spans="12:18" x14ac:dyDescent="0.35">
      <c r="L1708" s="71"/>
      <c r="R1708" s="5"/>
    </row>
    <row r="1709" spans="12:18" x14ac:dyDescent="0.35">
      <c r="L1709" s="71"/>
      <c r="R1709" s="5"/>
    </row>
    <row r="1710" spans="12:18" x14ac:dyDescent="0.35">
      <c r="L1710" s="71"/>
      <c r="R1710" s="5"/>
    </row>
    <row r="1711" spans="12:18" x14ac:dyDescent="0.35">
      <c r="L1711" s="71"/>
      <c r="R1711" s="5"/>
    </row>
    <row r="1712" spans="12:18" x14ac:dyDescent="0.35">
      <c r="L1712" s="71"/>
      <c r="R1712" s="5"/>
    </row>
    <row r="1713" spans="12:18" x14ac:dyDescent="0.35">
      <c r="L1713" s="71"/>
      <c r="R1713" s="5"/>
    </row>
    <row r="1714" spans="12:18" x14ac:dyDescent="0.35">
      <c r="L1714" s="71"/>
      <c r="R1714" s="5"/>
    </row>
    <row r="1715" spans="12:18" x14ac:dyDescent="0.35">
      <c r="L1715" s="71"/>
      <c r="R1715" s="5"/>
    </row>
    <row r="1716" spans="12:18" x14ac:dyDescent="0.35">
      <c r="L1716" s="71"/>
      <c r="R1716" s="5"/>
    </row>
    <row r="1717" spans="12:18" x14ac:dyDescent="0.35">
      <c r="L1717" s="71"/>
      <c r="R1717" s="5"/>
    </row>
    <row r="1718" spans="12:18" x14ac:dyDescent="0.35">
      <c r="L1718" s="71"/>
      <c r="R1718" s="5"/>
    </row>
    <row r="1719" spans="12:18" x14ac:dyDescent="0.35">
      <c r="L1719" s="71"/>
      <c r="R1719" s="5"/>
    </row>
    <row r="1720" spans="12:18" x14ac:dyDescent="0.35">
      <c r="L1720" s="71"/>
      <c r="R1720" s="5"/>
    </row>
    <row r="1721" spans="12:18" x14ac:dyDescent="0.35">
      <c r="L1721" s="71"/>
      <c r="R1721" s="5"/>
    </row>
    <row r="1722" spans="12:18" x14ac:dyDescent="0.35">
      <c r="L1722" s="71"/>
      <c r="R1722" s="5"/>
    </row>
    <row r="1723" spans="12:18" x14ac:dyDescent="0.35">
      <c r="L1723" s="71"/>
      <c r="R1723" s="5"/>
    </row>
    <row r="1724" spans="12:18" x14ac:dyDescent="0.35">
      <c r="L1724" s="71"/>
      <c r="R1724" s="5"/>
    </row>
    <row r="1725" spans="12:18" x14ac:dyDescent="0.35">
      <c r="L1725" s="71"/>
      <c r="R1725" s="5"/>
    </row>
    <row r="1726" spans="12:18" x14ac:dyDescent="0.35">
      <c r="L1726" s="71"/>
      <c r="R1726" s="5"/>
    </row>
    <row r="1727" spans="12:18" x14ac:dyDescent="0.35">
      <c r="L1727" s="71"/>
      <c r="R1727" s="5"/>
    </row>
    <row r="1728" spans="12:18" x14ac:dyDescent="0.35">
      <c r="L1728" s="71"/>
      <c r="R1728" s="5"/>
    </row>
    <row r="1729" spans="12:18" x14ac:dyDescent="0.35">
      <c r="L1729" s="71"/>
      <c r="R1729" s="5"/>
    </row>
    <row r="1730" spans="12:18" x14ac:dyDescent="0.35">
      <c r="L1730" s="71"/>
      <c r="R1730" s="5"/>
    </row>
    <row r="1731" spans="12:18" x14ac:dyDescent="0.35">
      <c r="L1731" s="71"/>
      <c r="R1731" s="5"/>
    </row>
    <row r="1732" spans="12:18" x14ac:dyDescent="0.35">
      <c r="L1732" s="71"/>
      <c r="R1732" s="5"/>
    </row>
    <row r="1733" spans="12:18" x14ac:dyDescent="0.35">
      <c r="L1733" s="71"/>
      <c r="R1733" s="5"/>
    </row>
    <row r="1734" spans="12:18" x14ac:dyDescent="0.35">
      <c r="L1734" s="71"/>
      <c r="R1734" s="5"/>
    </row>
    <row r="1735" spans="12:18" x14ac:dyDescent="0.35">
      <c r="L1735" s="71"/>
      <c r="R1735" s="5"/>
    </row>
    <row r="1736" spans="12:18" x14ac:dyDescent="0.35">
      <c r="L1736" s="71"/>
      <c r="R1736" s="5"/>
    </row>
    <row r="1737" spans="12:18" x14ac:dyDescent="0.35">
      <c r="L1737" s="71"/>
      <c r="R1737" s="5"/>
    </row>
    <row r="1738" spans="12:18" x14ac:dyDescent="0.35">
      <c r="L1738" s="71"/>
      <c r="R1738" s="5"/>
    </row>
    <row r="1739" spans="12:18" x14ac:dyDescent="0.35">
      <c r="L1739" s="71"/>
      <c r="R1739" s="5"/>
    </row>
    <row r="1740" spans="12:18" x14ac:dyDescent="0.35">
      <c r="L1740" s="71"/>
      <c r="R1740" s="5"/>
    </row>
    <row r="1741" spans="12:18" x14ac:dyDescent="0.35">
      <c r="L1741" s="71"/>
      <c r="R1741" s="5"/>
    </row>
    <row r="1742" spans="12:18" x14ac:dyDescent="0.35">
      <c r="L1742" s="71"/>
      <c r="R1742" s="5"/>
    </row>
    <row r="1743" spans="12:18" x14ac:dyDescent="0.35">
      <c r="L1743" s="71"/>
      <c r="R1743" s="5"/>
    </row>
    <row r="1744" spans="12:18" x14ac:dyDescent="0.35">
      <c r="L1744" s="71"/>
      <c r="R1744" s="5"/>
    </row>
    <row r="1745" spans="12:18" x14ac:dyDescent="0.35">
      <c r="L1745" s="71"/>
      <c r="R1745" s="5"/>
    </row>
    <row r="1746" spans="12:18" x14ac:dyDescent="0.35">
      <c r="L1746" s="71"/>
      <c r="R1746" s="5"/>
    </row>
    <row r="1747" spans="12:18" x14ac:dyDescent="0.35">
      <c r="L1747" s="71"/>
      <c r="R1747" s="5"/>
    </row>
    <row r="1748" spans="12:18" x14ac:dyDescent="0.35">
      <c r="L1748" s="71"/>
      <c r="R1748" s="5"/>
    </row>
    <row r="1749" spans="12:18" x14ac:dyDescent="0.35">
      <c r="L1749" s="71"/>
      <c r="R1749" s="5"/>
    </row>
    <row r="1750" spans="12:18" x14ac:dyDescent="0.35">
      <c r="L1750" s="71"/>
      <c r="R1750" s="5"/>
    </row>
    <row r="1751" spans="12:18" x14ac:dyDescent="0.35">
      <c r="L1751" s="71"/>
      <c r="R1751" s="5"/>
    </row>
    <row r="1752" spans="12:18" x14ac:dyDescent="0.35">
      <c r="L1752" s="71"/>
      <c r="R1752" s="5"/>
    </row>
    <row r="1753" spans="12:18" x14ac:dyDescent="0.35">
      <c r="L1753" s="71"/>
      <c r="R1753" s="5"/>
    </row>
    <row r="1754" spans="12:18" x14ac:dyDescent="0.35">
      <c r="L1754" s="71"/>
      <c r="R1754" s="5"/>
    </row>
    <row r="1755" spans="12:18" x14ac:dyDescent="0.35">
      <c r="L1755" s="71"/>
      <c r="R1755" s="5"/>
    </row>
    <row r="1756" spans="12:18" x14ac:dyDescent="0.35">
      <c r="L1756" s="71"/>
      <c r="R1756" s="5"/>
    </row>
    <row r="1757" spans="12:18" x14ac:dyDescent="0.35">
      <c r="L1757" s="71"/>
      <c r="R1757" s="5"/>
    </row>
    <row r="1758" spans="12:18" x14ac:dyDescent="0.35">
      <c r="L1758" s="71"/>
      <c r="R1758" s="5"/>
    </row>
    <row r="1759" spans="12:18" x14ac:dyDescent="0.35">
      <c r="L1759" s="71"/>
      <c r="R1759" s="5"/>
    </row>
    <row r="1760" spans="12:18" x14ac:dyDescent="0.35">
      <c r="L1760" s="71"/>
      <c r="R1760" s="5"/>
    </row>
    <row r="1761" spans="12:18" x14ac:dyDescent="0.35">
      <c r="L1761" s="71"/>
      <c r="R1761" s="5"/>
    </row>
    <row r="1762" spans="12:18" x14ac:dyDescent="0.35">
      <c r="L1762" s="71"/>
      <c r="R1762" s="5"/>
    </row>
    <row r="1763" spans="12:18" x14ac:dyDescent="0.35">
      <c r="L1763" s="71"/>
      <c r="R1763" s="5"/>
    </row>
    <row r="1764" spans="12:18" x14ac:dyDescent="0.35">
      <c r="L1764" s="71"/>
      <c r="R1764" s="5"/>
    </row>
    <row r="1765" spans="12:18" x14ac:dyDescent="0.35">
      <c r="L1765" s="71"/>
      <c r="R1765" s="5"/>
    </row>
    <row r="1766" spans="12:18" x14ac:dyDescent="0.35">
      <c r="L1766" s="71"/>
      <c r="R1766" s="5"/>
    </row>
    <row r="1767" spans="12:18" x14ac:dyDescent="0.35">
      <c r="L1767" s="71"/>
      <c r="R1767" s="5"/>
    </row>
    <row r="1768" spans="12:18" x14ac:dyDescent="0.35">
      <c r="L1768" s="71"/>
      <c r="R1768" s="5"/>
    </row>
    <row r="1769" spans="12:18" x14ac:dyDescent="0.35">
      <c r="L1769" s="71"/>
      <c r="R1769" s="5"/>
    </row>
    <row r="1770" spans="12:18" x14ac:dyDescent="0.35">
      <c r="L1770" s="71"/>
      <c r="R1770" s="5"/>
    </row>
    <row r="1771" spans="12:18" x14ac:dyDescent="0.35">
      <c r="L1771" s="71"/>
      <c r="R1771" s="5"/>
    </row>
    <row r="1772" spans="12:18" x14ac:dyDescent="0.35">
      <c r="L1772" s="71"/>
      <c r="R1772" s="5"/>
    </row>
    <row r="1773" spans="12:18" x14ac:dyDescent="0.35">
      <c r="L1773" s="71"/>
      <c r="R1773" s="5"/>
    </row>
    <row r="1774" spans="12:18" x14ac:dyDescent="0.35">
      <c r="L1774" s="71"/>
      <c r="R1774" s="5"/>
    </row>
    <row r="1775" spans="12:18" x14ac:dyDescent="0.35">
      <c r="L1775" s="71"/>
      <c r="R1775" s="5"/>
    </row>
    <row r="1776" spans="12:18" x14ac:dyDescent="0.35">
      <c r="L1776" s="71"/>
      <c r="R1776" s="5"/>
    </row>
    <row r="1777" spans="12:18" x14ac:dyDescent="0.35">
      <c r="L1777" s="71"/>
      <c r="R1777" s="5"/>
    </row>
    <row r="1778" spans="12:18" x14ac:dyDescent="0.35">
      <c r="L1778" s="71"/>
      <c r="R1778" s="5"/>
    </row>
    <row r="1779" spans="12:18" x14ac:dyDescent="0.35">
      <c r="L1779" s="71"/>
      <c r="R1779" s="5"/>
    </row>
    <row r="1780" spans="12:18" x14ac:dyDescent="0.35">
      <c r="L1780" s="71"/>
      <c r="R1780" s="5"/>
    </row>
    <row r="1781" spans="12:18" x14ac:dyDescent="0.35">
      <c r="L1781" s="71"/>
      <c r="R1781" s="5"/>
    </row>
    <row r="1782" spans="12:18" x14ac:dyDescent="0.35">
      <c r="L1782" s="71"/>
      <c r="R1782" s="5"/>
    </row>
    <row r="1783" spans="12:18" x14ac:dyDescent="0.35">
      <c r="L1783" s="71"/>
      <c r="R1783" s="5"/>
    </row>
    <row r="1784" spans="12:18" x14ac:dyDescent="0.35">
      <c r="L1784" s="71"/>
      <c r="R1784" s="5"/>
    </row>
    <row r="1785" spans="12:18" x14ac:dyDescent="0.35">
      <c r="L1785" s="71"/>
      <c r="R1785" s="5"/>
    </row>
    <row r="1786" spans="12:18" x14ac:dyDescent="0.35">
      <c r="L1786" s="71"/>
      <c r="R1786" s="5"/>
    </row>
    <row r="1787" spans="12:18" x14ac:dyDescent="0.35">
      <c r="L1787" s="71"/>
      <c r="R1787" s="5"/>
    </row>
    <row r="1788" spans="12:18" x14ac:dyDescent="0.35">
      <c r="L1788" s="71"/>
      <c r="R1788" s="5"/>
    </row>
    <row r="1789" spans="12:18" x14ac:dyDescent="0.35">
      <c r="L1789" s="71"/>
      <c r="R1789" s="5"/>
    </row>
    <row r="1790" spans="12:18" x14ac:dyDescent="0.35">
      <c r="L1790" s="71"/>
      <c r="R1790" s="5"/>
    </row>
    <row r="1791" spans="12:18" x14ac:dyDescent="0.35">
      <c r="L1791" s="71"/>
      <c r="R1791" s="5"/>
    </row>
    <row r="1792" spans="12:18" x14ac:dyDescent="0.35">
      <c r="L1792" s="71"/>
      <c r="R1792" s="5"/>
    </row>
    <row r="1793" spans="12:18" x14ac:dyDescent="0.35">
      <c r="L1793" s="71"/>
      <c r="R1793" s="5"/>
    </row>
    <row r="1794" spans="12:18" x14ac:dyDescent="0.35">
      <c r="L1794" s="71"/>
      <c r="R1794" s="5"/>
    </row>
    <row r="1795" spans="12:18" x14ac:dyDescent="0.35">
      <c r="L1795" s="71"/>
      <c r="R1795" s="5"/>
    </row>
    <row r="1796" spans="12:18" x14ac:dyDescent="0.35">
      <c r="L1796" s="71"/>
      <c r="R1796" s="5"/>
    </row>
    <row r="1797" spans="12:18" x14ac:dyDescent="0.35">
      <c r="L1797" s="71"/>
      <c r="R1797" s="5"/>
    </row>
    <row r="1798" spans="12:18" x14ac:dyDescent="0.35">
      <c r="L1798" s="71"/>
      <c r="R1798" s="5"/>
    </row>
    <row r="1799" spans="12:18" x14ac:dyDescent="0.35">
      <c r="L1799" s="71"/>
      <c r="R1799" s="5"/>
    </row>
    <row r="1800" spans="12:18" x14ac:dyDescent="0.35">
      <c r="L1800" s="71"/>
      <c r="R1800" s="5"/>
    </row>
    <row r="1801" spans="12:18" x14ac:dyDescent="0.35">
      <c r="L1801" s="71"/>
      <c r="R1801" s="5"/>
    </row>
    <row r="1802" spans="12:18" x14ac:dyDescent="0.35">
      <c r="L1802" s="71"/>
      <c r="R1802" s="5"/>
    </row>
    <row r="1803" spans="12:18" x14ac:dyDescent="0.35">
      <c r="L1803" s="71"/>
      <c r="R1803" s="5"/>
    </row>
    <row r="1804" spans="12:18" x14ac:dyDescent="0.35">
      <c r="L1804" s="71"/>
      <c r="R1804" s="5"/>
    </row>
    <row r="1805" spans="12:18" x14ac:dyDescent="0.35">
      <c r="L1805" s="71"/>
      <c r="R1805" s="5"/>
    </row>
    <row r="1806" spans="12:18" x14ac:dyDescent="0.35">
      <c r="L1806" s="71"/>
      <c r="R1806" s="5"/>
    </row>
    <row r="1807" spans="12:18" x14ac:dyDescent="0.35">
      <c r="L1807" s="71"/>
      <c r="R1807" s="5"/>
    </row>
    <row r="1808" spans="12:18" x14ac:dyDescent="0.35">
      <c r="L1808" s="71"/>
      <c r="R1808" s="5"/>
    </row>
    <row r="1809" spans="12:18" x14ac:dyDescent="0.35">
      <c r="L1809" s="71"/>
      <c r="R1809" s="5"/>
    </row>
    <row r="1810" spans="12:18" x14ac:dyDescent="0.35">
      <c r="L1810" s="71"/>
      <c r="R1810" s="5"/>
    </row>
    <row r="1811" spans="12:18" x14ac:dyDescent="0.35">
      <c r="L1811" s="71"/>
      <c r="R1811" s="5"/>
    </row>
    <row r="1812" spans="12:18" x14ac:dyDescent="0.35">
      <c r="L1812" s="71"/>
      <c r="R1812" s="5"/>
    </row>
    <row r="1813" spans="12:18" x14ac:dyDescent="0.35">
      <c r="L1813" s="71"/>
      <c r="R1813" s="5"/>
    </row>
    <row r="1814" spans="12:18" x14ac:dyDescent="0.35">
      <c r="L1814" s="71"/>
      <c r="R1814" s="5"/>
    </row>
    <row r="1815" spans="12:18" x14ac:dyDescent="0.35">
      <c r="L1815" s="71"/>
      <c r="R1815" s="5"/>
    </row>
    <row r="1816" spans="12:18" x14ac:dyDescent="0.35">
      <c r="L1816" s="71"/>
      <c r="R1816" s="5"/>
    </row>
    <row r="1817" spans="12:18" x14ac:dyDescent="0.35">
      <c r="L1817" s="71"/>
      <c r="R1817" s="5"/>
    </row>
    <row r="1818" spans="12:18" x14ac:dyDescent="0.35">
      <c r="L1818" s="71"/>
      <c r="R1818" s="5"/>
    </row>
    <row r="1819" spans="12:18" x14ac:dyDescent="0.35">
      <c r="L1819" s="71"/>
      <c r="R1819" s="5"/>
    </row>
    <row r="1820" spans="12:18" x14ac:dyDescent="0.35">
      <c r="L1820" s="71"/>
      <c r="R1820" s="5"/>
    </row>
    <row r="1821" spans="12:18" x14ac:dyDescent="0.35">
      <c r="L1821" s="71"/>
      <c r="R1821" s="5"/>
    </row>
    <row r="1822" spans="12:18" x14ac:dyDescent="0.35">
      <c r="L1822" s="71"/>
      <c r="R1822" s="5"/>
    </row>
    <row r="1823" spans="12:18" x14ac:dyDescent="0.35">
      <c r="L1823" s="71"/>
      <c r="R1823" s="5"/>
    </row>
    <row r="1824" spans="12:18" x14ac:dyDescent="0.35">
      <c r="L1824" s="71"/>
      <c r="R1824" s="5"/>
    </row>
    <row r="1825" spans="12:18" x14ac:dyDescent="0.35">
      <c r="L1825" s="71"/>
      <c r="R1825" s="5"/>
    </row>
    <row r="1826" spans="12:18" x14ac:dyDescent="0.35">
      <c r="L1826" s="71"/>
      <c r="R1826" s="5"/>
    </row>
    <row r="1827" spans="12:18" x14ac:dyDescent="0.35">
      <c r="L1827" s="71"/>
      <c r="R1827" s="5"/>
    </row>
    <row r="1828" spans="12:18" x14ac:dyDescent="0.35">
      <c r="L1828" s="71"/>
      <c r="R1828" s="5"/>
    </row>
    <row r="1829" spans="12:18" x14ac:dyDescent="0.35">
      <c r="L1829" s="71"/>
      <c r="R1829" s="5"/>
    </row>
    <row r="1830" spans="12:18" x14ac:dyDescent="0.35">
      <c r="L1830" s="71"/>
      <c r="R1830" s="5"/>
    </row>
    <row r="1831" spans="12:18" x14ac:dyDescent="0.35">
      <c r="L1831" s="71"/>
      <c r="R1831" s="5"/>
    </row>
    <row r="1832" spans="12:18" x14ac:dyDescent="0.35">
      <c r="L1832" s="71"/>
      <c r="R1832" s="5"/>
    </row>
    <row r="1833" spans="12:18" x14ac:dyDescent="0.35">
      <c r="L1833" s="71"/>
      <c r="R1833" s="5"/>
    </row>
    <row r="1834" spans="12:18" x14ac:dyDescent="0.35">
      <c r="L1834" s="71"/>
      <c r="R1834" s="5"/>
    </row>
    <row r="1835" spans="12:18" x14ac:dyDescent="0.35">
      <c r="L1835" s="71"/>
      <c r="R1835" s="5"/>
    </row>
    <row r="1836" spans="12:18" x14ac:dyDescent="0.35">
      <c r="L1836" s="71"/>
      <c r="R1836" s="5"/>
    </row>
    <row r="1837" spans="12:18" x14ac:dyDescent="0.35">
      <c r="L1837" s="71"/>
      <c r="R1837" s="5"/>
    </row>
    <row r="1838" spans="12:18" x14ac:dyDescent="0.35">
      <c r="L1838" s="71"/>
      <c r="R1838" s="5"/>
    </row>
    <row r="1839" spans="12:18" x14ac:dyDescent="0.35">
      <c r="L1839" s="71"/>
      <c r="R1839" s="5"/>
    </row>
    <row r="1840" spans="12:18" x14ac:dyDescent="0.35">
      <c r="L1840" s="71"/>
      <c r="R1840" s="5"/>
    </row>
    <row r="1841" spans="12:18" x14ac:dyDescent="0.35">
      <c r="L1841" s="71"/>
      <c r="R1841" s="5"/>
    </row>
    <row r="1842" spans="12:18" x14ac:dyDescent="0.35">
      <c r="L1842" s="71"/>
      <c r="R1842" s="5"/>
    </row>
    <row r="1843" spans="12:18" x14ac:dyDescent="0.35">
      <c r="L1843" s="71"/>
      <c r="R1843" s="5"/>
    </row>
    <row r="1844" spans="12:18" x14ac:dyDescent="0.35">
      <c r="L1844" s="71"/>
      <c r="R1844" s="5"/>
    </row>
    <row r="1845" spans="12:18" x14ac:dyDescent="0.35">
      <c r="L1845" s="71"/>
      <c r="R1845" s="5"/>
    </row>
    <row r="1846" spans="12:18" x14ac:dyDescent="0.35">
      <c r="L1846" s="71"/>
      <c r="R1846" s="5"/>
    </row>
    <row r="1847" spans="12:18" x14ac:dyDescent="0.35">
      <c r="L1847" s="71"/>
      <c r="R1847" s="5"/>
    </row>
    <row r="1848" spans="12:18" x14ac:dyDescent="0.35">
      <c r="L1848" s="71"/>
      <c r="R1848" s="5"/>
    </row>
    <row r="1849" spans="12:18" x14ac:dyDescent="0.35">
      <c r="L1849" s="71"/>
      <c r="R1849" s="5"/>
    </row>
    <row r="1850" spans="12:18" x14ac:dyDescent="0.35">
      <c r="L1850" s="71"/>
      <c r="R1850" s="5"/>
    </row>
    <row r="1851" spans="12:18" x14ac:dyDescent="0.35">
      <c r="L1851" s="71"/>
      <c r="R1851" s="5"/>
    </row>
    <row r="1852" spans="12:18" x14ac:dyDescent="0.35">
      <c r="L1852" s="71"/>
      <c r="R1852" s="5"/>
    </row>
    <row r="1853" spans="12:18" x14ac:dyDescent="0.35">
      <c r="L1853" s="71"/>
      <c r="R1853" s="5"/>
    </row>
    <row r="1854" spans="12:18" x14ac:dyDescent="0.35">
      <c r="L1854" s="71"/>
      <c r="R1854" s="5"/>
    </row>
    <row r="1855" spans="12:18" x14ac:dyDescent="0.35">
      <c r="L1855" s="71"/>
      <c r="R1855" s="5"/>
    </row>
    <row r="1856" spans="12:18" x14ac:dyDescent="0.35">
      <c r="L1856" s="71"/>
      <c r="R1856" s="5"/>
    </row>
    <row r="1857" spans="12:18" x14ac:dyDescent="0.35">
      <c r="L1857" s="71"/>
      <c r="R1857" s="5"/>
    </row>
    <row r="1858" spans="12:18" x14ac:dyDescent="0.35">
      <c r="L1858" s="71"/>
      <c r="R1858" s="5"/>
    </row>
    <row r="1859" spans="12:18" x14ac:dyDescent="0.35">
      <c r="L1859" s="71"/>
      <c r="R1859" s="5"/>
    </row>
    <row r="1860" spans="12:18" x14ac:dyDescent="0.35">
      <c r="L1860" s="71"/>
      <c r="R1860" s="5"/>
    </row>
    <row r="1861" spans="12:18" x14ac:dyDescent="0.35">
      <c r="L1861" s="71"/>
      <c r="R1861" s="5"/>
    </row>
    <row r="1862" spans="12:18" x14ac:dyDescent="0.35">
      <c r="L1862" s="71"/>
      <c r="R1862" s="5"/>
    </row>
    <row r="1863" spans="12:18" x14ac:dyDescent="0.35">
      <c r="L1863" s="71"/>
      <c r="R1863" s="5"/>
    </row>
    <row r="1864" spans="12:18" x14ac:dyDescent="0.35">
      <c r="L1864" s="71"/>
      <c r="R1864" s="5"/>
    </row>
    <row r="1865" spans="12:18" x14ac:dyDescent="0.35">
      <c r="L1865" s="71"/>
      <c r="R1865" s="5"/>
    </row>
    <row r="1866" spans="12:18" x14ac:dyDescent="0.35">
      <c r="L1866" s="71"/>
      <c r="R1866" s="5"/>
    </row>
    <row r="1867" spans="12:18" x14ac:dyDescent="0.35">
      <c r="L1867" s="71"/>
      <c r="R1867" s="5"/>
    </row>
    <row r="1868" spans="12:18" x14ac:dyDescent="0.35">
      <c r="L1868" s="71"/>
      <c r="R1868" s="5"/>
    </row>
    <row r="1869" spans="12:18" x14ac:dyDescent="0.35">
      <c r="L1869" s="71"/>
      <c r="R1869" s="5"/>
    </row>
    <row r="1870" spans="12:18" x14ac:dyDescent="0.35">
      <c r="L1870" s="71"/>
      <c r="R1870" s="5"/>
    </row>
    <row r="1871" spans="12:18" x14ac:dyDescent="0.35">
      <c r="L1871" s="71"/>
      <c r="R1871" s="5"/>
    </row>
    <row r="1872" spans="12:18" x14ac:dyDescent="0.35">
      <c r="L1872" s="71"/>
      <c r="R1872" s="5"/>
    </row>
    <row r="1873" spans="12:18" x14ac:dyDescent="0.35">
      <c r="L1873" s="71"/>
      <c r="R1873" s="5"/>
    </row>
    <row r="1874" spans="12:18" x14ac:dyDescent="0.35">
      <c r="L1874" s="71"/>
      <c r="R1874" s="5"/>
    </row>
    <row r="1875" spans="12:18" x14ac:dyDescent="0.35">
      <c r="L1875" s="71"/>
      <c r="R1875" s="5"/>
    </row>
    <row r="1876" spans="12:18" x14ac:dyDescent="0.35">
      <c r="L1876" s="71"/>
      <c r="R1876" s="5"/>
    </row>
    <row r="1877" spans="12:18" x14ac:dyDescent="0.35">
      <c r="L1877" s="71"/>
      <c r="R1877" s="5"/>
    </row>
    <row r="1878" spans="12:18" x14ac:dyDescent="0.35">
      <c r="L1878" s="71"/>
      <c r="R1878" s="5"/>
    </row>
    <row r="1879" spans="12:18" x14ac:dyDescent="0.35">
      <c r="L1879" s="71"/>
      <c r="R1879" s="5"/>
    </row>
    <row r="1880" spans="12:18" x14ac:dyDescent="0.35">
      <c r="L1880" s="71"/>
      <c r="R1880" s="5"/>
    </row>
    <row r="1881" spans="12:18" x14ac:dyDescent="0.35">
      <c r="L1881" s="71"/>
      <c r="R1881" s="5"/>
    </row>
    <row r="1882" spans="12:18" x14ac:dyDescent="0.35">
      <c r="L1882" s="71"/>
      <c r="R1882" s="5"/>
    </row>
    <row r="1883" spans="12:18" x14ac:dyDescent="0.35">
      <c r="L1883" s="71"/>
      <c r="R1883" s="5"/>
    </row>
    <row r="1884" spans="12:18" x14ac:dyDescent="0.35">
      <c r="L1884" s="71"/>
      <c r="R1884" s="5"/>
    </row>
    <row r="1885" spans="12:18" x14ac:dyDescent="0.35">
      <c r="L1885" s="71"/>
      <c r="R1885" s="5"/>
    </row>
    <row r="1886" spans="12:18" x14ac:dyDescent="0.35">
      <c r="L1886" s="71"/>
      <c r="R1886" s="5"/>
    </row>
    <row r="1887" spans="12:18" x14ac:dyDescent="0.35">
      <c r="L1887" s="71"/>
      <c r="R1887" s="5"/>
    </row>
    <row r="1888" spans="12:18" x14ac:dyDescent="0.35">
      <c r="L1888" s="71"/>
      <c r="R1888" s="5"/>
    </row>
    <row r="1889" spans="12:18" x14ac:dyDescent="0.35">
      <c r="L1889" s="71"/>
      <c r="R1889" s="5"/>
    </row>
    <row r="1890" spans="12:18" x14ac:dyDescent="0.35">
      <c r="L1890" s="71"/>
      <c r="R1890" s="5"/>
    </row>
    <row r="1891" spans="12:18" x14ac:dyDescent="0.35">
      <c r="L1891" s="71"/>
      <c r="R1891" s="5"/>
    </row>
    <row r="1892" spans="12:18" x14ac:dyDescent="0.35">
      <c r="L1892" s="71"/>
      <c r="R1892" s="5"/>
    </row>
    <row r="1893" spans="12:18" x14ac:dyDescent="0.35">
      <c r="L1893" s="71"/>
      <c r="R1893" s="5"/>
    </row>
    <row r="1894" spans="12:18" x14ac:dyDescent="0.35">
      <c r="L1894" s="71"/>
      <c r="R1894" s="5"/>
    </row>
    <row r="1895" spans="12:18" x14ac:dyDescent="0.35">
      <c r="L1895" s="71"/>
      <c r="R1895" s="5"/>
    </row>
    <row r="1896" spans="12:18" x14ac:dyDescent="0.35">
      <c r="L1896" s="71"/>
      <c r="R1896" s="5"/>
    </row>
    <row r="1897" spans="12:18" x14ac:dyDescent="0.35">
      <c r="L1897" s="71"/>
      <c r="R1897" s="5"/>
    </row>
    <row r="1898" spans="12:18" x14ac:dyDescent="0.35">
      <c r="L1898" s="71"/>
      <c r="R1898" s="5"/>
    </row>
    <row r="1899" spans="12:18" x14ac:dyDescent="0.35">
      <c r="L1899" s="71"/>
      <c r="R1899" s="5"/>
    </row>
    <row r="1900" spans="12:18" x14ac:dyDescent="0.35">
      <c r="L1900" s="71"/>
      <c r="R1900" s="5"/>
    </row>
    <row r="1901" spans="12:18" x14ac:dyDescent="0.35">
      <c r="L1901" s="71"/>
      <c r="R1901" s="5"/>
    </row>
    <row r="1902" spans="12:18" x14ac:dyDescent="0.35">
      <c r="L1902" s="71"/>
      <c r="R1902" s="5"/>
    </row>
    <row r="1903" spans="12:18" x14ac:dyDescent="0.35">
      <c r="L1903" s="71"/>
      <c r="R1903" s="5"/>
    </row>
    <row r="1904" spans="12:18" x14ac:dyDescent="0.35">
      <c r="L1904" s="71"/>
      <c r="R1904" s="5"/>
    </row>
    <row r="1905" spans="12:18" x14ac:dyDescent="0.35">
      <c r="L1905" s="71"/>
      <c r="R1905" s="5"/>
    </row>
    <row r="1906" spans="12:18" x14ac:dyDescent="0.35">
      <c r="L1906" s="71"/>
      <c r="R1906" s="5"/>
    </row>
    <row r="1907" spans="12:18" x14ac:dyDescent="0.35">
      <c r="L1907" s="71"/>
      <c r="R1907" s="5"/>
    </row>
    <row r="1908" spans="12:18" x14ac:dyDescent="0.35">
      <c r="L1908" s="71"/>
      <c r="R1908" s="5"/>
    </row>
    <row r="1909" spans="12:18" x14ac:dyDescent="0.35">
      <c r="L1909" s="71"/>
      <c r="R1909" s="5"/>
    </row>
    <row r="1910" spans="12:18" x14ac:dyDescent="0.35">
      <c r="L1910" s="71"/>
      <c r="R1910" s="5"/>
    </row>
    <row r="1911" spans="12:18" x14ac:dyDescent="0.35">
      <c r="L1911" s="71"/>
      <c r="R1911" s="5"/>
    </row>
    <row r="1912" spans="12:18" x14ac:dyDescent="0.35">
      <c r="L1912" s="71"/>
      <c r="R1912" s="5"/>
    </row>
    <row r="1913" spans="12:18" x14ac:dyDescent="0.35">
      <c r="L1913" s="71"/>
      <c r="R1913" s="5"/>
    </row>
    <row r="1914" spans="12:18" x14ac:dyDescent="0.35">
      <c r="L1914" s="71"/>
      <c r="R1914" s="5"/>
    </row>
    <row r="1915" spans="12:18" x14ac:dyDescent="0.35">
      <c r="L1915" s="71"/>
      <c r="R1915" s="5"/>
    </row>
    <row r="1916" spans="12:18" x14ac:dyDescent="0.35">
      <c r="L1916" s="71"/>
      <c r="R1916" s="5"/>
    </row>
    <row r="1917" spans="12:18" x14ac:dyDescent="0.35">
      <c r="L1917" s="71"/>
      <c r="R1917" s="5"/>
    </row>
    <row r="1918" spans="12:18" x14ac:dyDescent="0.35">
      <c r="L1918" s="71"/>
      <c r="R1918" s="5"/>
    </row>
    <row r="1919" spans="12:18" x14ac:dyDescent="0.35">
      <c r="L1919" s="71"/>
      <c r="R1919" s="5"/>
    </row>
    <row r="1920" spans="12:18" x14ac:dyDescent="0.35">
      <c r="L1920" s="71"/>
      <c r="R1920" s="5"/>
    </row>
    <row r="1921" spans="12:18" x14ac:dyDescent="0.35">
      <c r="L1921" s="71"/>
      <c r="R1921" s="5"/>
    </row>
    <row r="1922" spans="12:18" x14ac:dyDescent="0.35">
      <c r="L1922" s="71"/>
      <c r="R1922" s="5"/>
    </row>
    <row r="1923" spans="12:18" x14ac:dyDescent="0.35">
      <c r="L1923" s="71"/>
      <c r="R1923" s="5"/>
    </row>
    <row r="1924" spans="12:18" x14ac:dyDescent="0.35">
      <c r="L1924" s="71"/>
      <c r="R1924" s="5"/>
    </row>
    <row r="1925" spans="12:18" x14ac:dyDescent="0.35">
      <c r="L1925" s="71"/>
      <c r="R1925" s="5"/>
    </row>
    <row r="1926" spans="12:18" x14ac:dyDescent="0.35">
      <c r="L1926" s="71"/>
      <c r="R1926" s="5"/>
    </row>
    <row r="1927" spans="12:18" x14ac:dyDescent="0.35">
      <c r="L1927" s="71"/>
      <c r="R1927" s="5"/>
    </row>
    <row r="1928" spans="12:18" x14ac:dyDescent="0.35">
      <c r="L1928" s="71"/>
      <c r="R1928" s="5"/>
    </row>
    <row r="1929" spans="12:18" x14ac:dyDescent="0.35">
      <c r="L1929" s="71"/>
      <c r="R1929" s="5"/>
    </row>
    <row r="1930" spans="12:18" x14ac:dyDescent="0.35">
      <c r="L1930" s="71"/>
      <c r="R1930" s="5"/>
    </row>
    <row r="1931" spans="12:18" x14ac:dyDescent="0.35">
      <c r="L1931" s="71"/>
      <c r="R1931" s="5"/>
    </row>
    <row r="1932" spans="12:18" x14ac:dyDescent="0.35">
      <c r="L1932" s="71"/>
      <c r="R1932" s="5"/>
    </row>
    <row r="1933" spans="12:18" x14ac:dyDescent="0.35">
      <c r="L1933" s="71"/>
      <c r="R1933" s="5"/>
    </row>
    <row r="1934" spans="12:18" x14ac:dyDescent="0.35">
      <c r="L1934" s="71"/>
      <c r="R1934" s="5"/>
    </row>
    <row r="1935" spans="12:18" x14ac:dyDescent="0.35">
      <c r="L1935" s="71"/>
      <c r="R1935" s="5"/>
    </row>
    <row r="1936" spans="12:18" x14ac:dyDescent="0.35">
      <c r="L1936" s="71"/>
      <c r="R1936" s="5"/>
    </row>
    <row r="1937" spans="12:18" x14ac:dyDescent="0.35">
      <c r="L1937" s="71"/>
      <c r="R1937" s="5"/>
    </row>
    <row r="1938" spans="12:18" x14ac:dyDescent="0.35">
      <c r="L1938" s="71"/>
      <c r="R1938" s="5"/>
    </row>
    <row r="1939" spans="12:18" x14ac:dyDescent="0.35">
      <c r="L1939" s="71"/>
      <c r="R1939" s="5"/>
    </row>
    <row r="1940" spans="12:18" x14ac:dyDescent="0.35">
      <c r="L1940" s="71"/>
      <c r="R1940" s="5"/>
    </row>
    <row r="1941" spans="12:18" x14ac:dyDescent="0.35">
      <c r="L1941" s="71"/>
      <c r="R1941" s="5"/>
    </row>
    <row r="1942" spans="12:18" x14ac:dyDescent="0.35">
      <c r="L1942" s="71"/>
      <c r="R1942" s="5"/>
    </row>
    <row r="1943" spans="12:18" x14ac:dyDescent="0.35">
      <c r="L1943" s="71"/>
      <c r="R1943" s="5"/>
    </row>
    <row r="1944" spans="12:18" x14ac:dyDescent="0.35">
      <c r="L1944" s="71"/>
      <c r="R1944" s="5"/>
    </row>
    <row r="1945" spans="12:18" x14ac:dyDescent="0.35">
      <c r="L1945" s="71"/>
      <c r="R1945" s="5"/>
    </row>
    <row r="1946" spans="12:18" x14ac:dyDescent="0.35">
      <c r="L1946" s="71"/>
      <c r="R1946" s="5"/>
    </row>
    <row r="1947" spans="12:18" x14ac:dyDescent="0.35">
      <c r="L1947" s="71"/>
      <c r="R1947" s="5"/>
    </row>
    <row r="1948" spans="12:18" x14ac:dyDescent="0.35">
      <c r="L1948" s="71"/>
      <c r="R1948" s="5"/>
    </row>
    <row r="1949" spans="12:18" x14ac:dyDescent="0.35">
      <c r="L1949" s="71"/>
      <c r="R1949" s="5"/>
    </row>
    <row r="1950" spans="12:18" x14ac:dyDescent="0.35">
      <c r="L1950" s="71"/>
      <c r="R1950" s="5"/>
    </row>
    <row r="1951" spans="12:18" x14ac:dyDescent="0.35">
      <c r="L1951" s="71"/>
      <c r="R1951" s="5"/>
    </row>
    <row r="1952" spans="12:18" x14ac:dyDescent="0.35">
      <c r="L1952" s="71"/>
      <c r="R1952" s="5"/>
    </row>
    <row r="1953" spans="12:18" x14ac:dyDescent="0.35">
      <c r="L1953" s="71"/>
      <c r="R1953" s="5"/>
    </row>
    <row r="1954" spans="12:18" x14ac:dyDescent="0.35">
      <c r="L1954" s="71"/>
      <c r="R1954" s="5"/>
    </row>
    <row r="1955" spans="12:18" x14ac:dyDescent="0.35">
      <c r="L1955" s="71"/>
      <c r="R1955" s="5"/>
    </row>
    <row r="1956" spans="12:18" x14ac:dyDescent="0.35">
      <c r="L1956" s="71"/>
      <c r="R1956" s="5"/>
    </row>
    <row r="1957" spans="12:18" x14ac:dyDescent="0.35">
      <c r="L1957" s="71"/>
      <c r="R1957" s="5"/>
    </row>
    <row r="1958" spans="12:18" x14ac:dyDescent="0.35">
      <c r="L1958" s="71"/>
      <c r="R1958" s="5"/>
    </row>
    <row r="1959" spans="12:18" x14ac:dyDescent="0.35">
      <c r="L1959" s="71"/>
      <c r="R1959" s="5"/>
    </row>
    <row r="1960" spans="12:18" x14ac:dyDescent="0.35">
      <c r="L1960" s="71"/>
      <c r="R1960" s="5"/>
    </row>
    <row r="1961" spans="12:18" x14ac:dyDescent="0.35">
      <c r="L1961" s="71"/>
      <c r="R1961" s="5"/>
    </row>
    <row r="1962" spans="12:18" x14ac:dyDescent="0.35">
      <c r="L1962" s="71"/>
      <c r="R1962" s="5"/>
    </row>
    <row r="1963" spans="12:18" x14ac:dyDescent="0.35">
      <c r="L1963" s="71"/>
      <c r="R1963" s="5"/>
    </row>
    <row r="1964" spans="12:18" x14ac:dyDescent="0.35">
      <c r="L1964" s="71"/>
      <c r="R1964" s="5"/>
    </row>
    <row r="1965" spans="12:18" x14ac:dyDescent="0.35">
      <c r="L1965" s="71"/>
      <c r="R1965" s="5"/>
    </row>
    <row r="1966" spans="12:18" x14ac:dyDescent="0.35">
      <c r="L1966" s="71"/>
      <c r="R1966" s="5"/>
    </row>
    <row r="1967" spans="12:18" x14ac:dyDescent="0.35">
      <c r="L1967" s="71"/>
      <c r="R1967" s="5"/>
    </row>
    <row r="1968" spans="12:18" x14ac:dyDescent="0.35">
      <c r="L1968" s="71"/>
      <c r="R1968" s="5"/>
    </row>
    <row r="1969" spans="12:18" x14ac:dyDescent="0.35">
      <c r="L1969" s="71"/>
      <c r="R1969" s="5"/>
    </row>
    <row r="1970" spans="12:18" x14ac:dyDescent="0.35">
      <c r="L1970" s="71"/>
      <c r="R1970" s="5"/>
    </row>
    <row r="1971" spans="12:18" x14ac:dyDescent="0.35">
      <c r="L1971" s="71"/>
      <c r="R1971" s="5"/>
    </row>
    <row r="1972" spans="12:18" x14ac:dyDescent="0.35">
      <c r="L1972" s="71"/>
      <c r="R1972" s="5"/>
    </row>
    <row r="1973" spans="12:18" x14ac:dyDescent="0.35">
      <c r="L1973" s="71"/>
      <c r="R1973" s="5"/>
    </row>
    <row r="1974" spans="12:18" x14ac:dyDescent="0.35">
      <c r="L1974" s="71"/>
      <c r="R1974" s="5"/>
    </row>
    <row r="1975" spans="12:18" x14ac:dyDescent="0.35">
      <c r="L1975" s="71"/>
      <c r="R1975" s="5"/>
    </row>
    <row r="1976" spans="12:18" x14ac:dyDescent="0.35">
      <c r="L1976" s="71"/>
      <c r="R1976" s="5"/>
    </row>
    <row r="1977" spans="12:18" x14ac:dyDescent="0.35">
      <c r="L1977" s="71"/>
      <c r="R1977" s="5"/>
    </row>
    <row r="1978" spans="12:18" x14ac:dyDescent="0.35">
      <c r="L1978" s="71"/>
      <c r="R1978" s="5"/>
    </row>
    <row r="1979" spans="12:18" x14ac:dyDescent="0.35">
      <c r="L1979" s="71"/>
      <c r="R1979" s="5"/>
    </row>
    <row r="1980" spans="12:18" x14ac:dyDescent="0.35">
      <c r="L1980" s="71"/>
      <c r="R1980" s="5"/>
    </row>
    <row r="1981" spans="12:18" x14ac:dyDescent="0.35">
      <c r="L1981" s="71"/>
      <c r="R1981" s="5"/>
    </row>
    <row r="1982" spans="12:18" x14ac:dyDescent="0.35">
      <c r="L1982" s="71"/>
      <c r="R1982" s="5"/>
    </row>
    <row r="1983" spans="12:18" x14ac:dyDescent="0.35">
      <c r="L1983" s="71"/>
      <c r="R1983" s="5"/>
    </row>
    <row r="1984" spans="12:18" x14ac:dyDescent="0.35">
      <c r="L1984" s="71"/>
      <c r="R1984" s="5"/>
    </row>
    <row r="1985" spans="12:18" x14ac:dyDescent="0.35">
      <c r="L1985" s="71"/>
      <c r="R1985" s="5"/>
    </row>
    <row r="1986" spans="12:18" x14ac:dyDescent="0.35">
      <c r="L1986" s="71"/>
      <c r="R1986" s="5"/>
    </row>
    <row r="1987" spans="12:18" x14ac:dyDescent="0.35">
      <c r="L1987" s="71"/>
      <c r="R1987" s="5"/>
    </row>
    <row r="1988" spans="12:18" x14ac:dyDescent="0.35">
      <c r="L1988" s="71"/>
      <c r="R1988" s="5"/>
    </row>
    <row r="1989" spans="12:18" x14ac:dyDescent="0.35">
      <c r="L1989" s="71"/>
      <c r="R1989" s="5"/>
    </row>
    <row r="1990" spans="12:18" x14ac:dyDescent="0.35">
      <c r="L1990" s="71"/>
      <c r="R1990" s="5"/>
    </row>
    <row r="1991" spans="12:18" x14ac:dyDescent="0.35">
      <c r="L1991" s="71"/>
      <c r="R1991" s="5"/>
    </row>
    <row r="1992" spans="12:18" x14ac:dyDescent="0.35">
      <c r="L1992" s="71"/>
      <c r="R1992" s="5"/>
    </row>
    <row r="1993" spans="12:18" x14ac:dyDescent="0.35">
      <c r="L1993" s="71"/>
      <c r="R1993" s="5"/>
    </row>
    <row r="1994" spans="12:18" x14ac:dyDescent="0.35">
      <c r="L1994" s="71"/>
      <c r="R1994" s="5"/>
    </row>
    <row r="1995" spans="12:18" x14ac:dyDescent="0.35">
      <c r="L1995" s="71"/>
      <c r="R1995" s="5"/>
    </row>
    <row r="1996" spans="12:18" x14ac:dyDescent="0.35">
      <c r="L1996" s="71"/>
      <c r="R1996" s="5"/>
    </row>
    <row r="1997" spans="12:18" x14ac:dyDescent="0.35">
      <c r="L1997" s="71"/>
      <c r="R1997" s="5"/>
    </row>
    <row r="1998" spans="12:18" x14ac:dyDescent="0.35">
      <c r="L1998" s="71"/>
      <c r="R1998" s="5"/>
    </row>
    <row r="1999" spans="12:18" x14ac:dyDescent="0.35">
      <c r="L1999" s="71"/>
      <c r="R1999" s="5"/>
    </row>
    <row r="2000" spans="12:18" x14ac:dyDescent="0.35">
      <c r="L2000" s="71"/>
      <c r="R2000" s="5"/>
    </row>
    <row r="2001" spans="12:18" x14ac:dyDescent="0.35">
      <c r="L2001" s="71"/>
      <c r="R2001" s="5"/>
    </row>
    <row r="2002" spans="12:18" x14ac:dyDescent="0.35">
      <c r="L2002" s="71"/>
      <c r="R2002" s="5"/>
    </row>
    <row r="2003" spans="12:18" x14ac:dyDescent="0.35">
      <c r="L2003" s="71"/>
      <c r="R2003" s="5"/>
    </row>
    <row r="2004" spans="12:18" x14ac:dyDescent="0.35">
      <c r="L2004" s="71"/>
      <c r="R2004" s="5"/>
    </row>
    <row r="2005" spans="12:18" x14ac:dyDescent="0.35">
      <c r="L2005" s="71"/>
      <c r="R2005" s="5"/>
    </row>
    <row r="2006" spans="12:18" x14ac:dyDescent="0.35">
      <c r="L2006" s="71"/>
      <c r="R2006" s="5"/>
    </row>
    <row r="2007" spans="12:18" x14ac:dyDescent="0.35">
      <c r="L2007" s="71"/>
      <c r="R2007" s="5"/>
    </row>
    <row r="2008" spans="12:18" x14ac:dyDescent="0.35">
      <c r="L2008" s="71"/>
      <c r="R2008" s="5"/>
    </row>
    <row r="2009" spans="12:18" x14ac:dyDescent="0.35">
      <c r="L2009" s="71"/>
      <c r="R2009" s="5"/>
    </row>
    <row r="2010" spans="12:18" x14ac:dyDescent="0.35">
      <c r="L2010" s="71"/>
      <c r="R2010" s="5"/>
    </row>
    <row r="2011" spans="12:18" x14ac:dyDescent="0.35">
      <c r="L2011" s="71"/>
      <c r="R2011" s="5"/>
    </row>
    <row r="2012" spans="12:18" x14ac:dyDescent="0.35">
      <c r="L2012" s="71"/>
      <c r="R2012" s="5"/>
    </row>
    <row r="2013" spans="12:18" x14ac:dyDescent="0.35">
      <c r="L2013" s="71"/>
      <c r="R2013" s="5"/>
    </row>
    <row r="2014" spans="12:18" x14ac:dyDescent="0.35">
      <c r="L2014" s="71"/>
      <c r="R2014" s="5"/>
    </row>
    <row r="2015" spans="12:18" x14ac:dyDescent="0.35">
      <c r="L2015" s="71"/>
      <c r="R2015" s="5"/>
    </row>
    <row r="2016" spans="12:18" x14ac:dyDescent="0.35">
      <c r="L2016" s="71"/>
      <c r="R2016" s="5"/>
    </row>
    <row r="2017" spans="12:18" x14ac:dyDescent="0.35">
      <c r="L2017" s="71"/>
      <c r="R2017" s="5"/>
    </row>
    <row r="2018" spans="12:18" x14ac:dyDescent="0.35">
      <c r="L2018" s="71"/>
      <c r="R2018" s="5"/>
    </row>
    <row r="2019" spans="12:18" x14ac:dyDescent="0.35">
      <c r="L2019" s="71"/>
      <c r="R2019" s="5"/>
    </row>
    <row r="2020" spans="12:18" x14ac:dyDescent="0.35">
      <c r="L2020" s="71"/>
      <c r="R2020" s="5"/>
    </row>
    <row r="2021" spans="12:18" x14ac:dyDescent="0.35">
      <c r="L2021" s="71"/>
      <c r="R2021" s="5"/>
    </row>
    <row r="2022" spans="12:18" x14ac:dyDescent="0.35">
      <c r="L2022" s="71"/>
      <c r="R2022" s="5"/>
    </row>
    <row r="2023" spans="12:18" x14ac:dyDescent="0.35">
      <c r="L2023" s="71"/>
      <c r="R2023" s="5"/>
    </row>
    <row r="2024" spans="12:18" x14ac:dyDescent="0.35">
      <c r="L2024" s="71"/>
      <c r="R2024" s="5"/>
    </row>
    <row r="2025" spans="12:18" x14ac:dyDescent="0.35">
      <c r="L2025" s="71"/>
      <c r="R2025" s="5"/>
    </row>
    <row r="2026" spans="12:18" x14ac:dyDescent="0.35">
      <c r="L2026" s="71"/>
      <c r="R2026" s="5"/>
    </row>
    <row r="2027" spans="12:18" x14ac:dyDescent="0.35">
      <c r="L2027" s="71"/>
      <c r="R2027" s="5"/>
    </row>
    <row r="2028" spans="12:18" x14ac:dyDescent="0.35">
      <c r="L2028" s="71"/>
      <c r="R2028" s="5"/>
    </row>
    <row r="2029" spans="12:18" x14ac:dyDescent="0.35">
      <c r="L2029" s="71"/>
      <c r="R2029" s="5"/>
    </row>
    <row r="2030" spans="12:18" x14ac:dyDescent="0.35">
      <c r="L2030" s="71"/>
      <c r="R2030" s="5"/>
    </row>
    <row r="2031" spans="12:18" x14ac:dyDescent="0.35">
      <c r="L2031" s="71"/>
      <c r="R2031" s="5"/>
    </row>
    <row r="2032" spans="12:18" x14ac:dyDescent="0.35">
      <c r="L2032" s="71"/>
      <c r="R2032" s="5"/>
    </row>
    <row r="2033" spans="12:18" x14ac:dyDescent="0.35">
      <c r="L2033" s="71"/>
      <c r="R2033" s="5"/>
    </row>
    <row r="2034" spans="12:18" x14ac:dyDescent="0.35">
      <c r="L2034" s="71"/>
      <c r="R2034" s="5"/>
    </row>
    <row r="2035" spans="12:18" x14ac:dyDescent="0.35">
      <c r="L2035" s="71"/>
      <c r="R2035" s="5"/>
    </row>
    <row r="2036" spans="12:18" x14ac:dyDescent="0.35">
      <c r="L2036" s="71"/>
      <c r="R2036" s="5"/>
    </row>
    <row r="2037" spans="12:18" x14ac:dyDescent="0.35">
      <c r="L2037" s="71"/>
      <c r="R2037" s="5"/>
    </row>
    <row r="2038" spans="12:18" x14ac:dyDescent="0.35">
      <c r="L2038" s="71"/>
      <c r="R2038" s="5"/>
    </row>
    <row r="2039" spans="12:18" x14ac:dyDescent="0.35">
      <c r="L2039" s="71"/>
      <c r="R2039" s="5"/>
    </row>
    <row r="2040" spans="12:18" x14ac:dyDescent="0.35">
      <c r="L2040" s="71"/>
      <c r="R2040" s="5"/>
    </row>
    <row r="2041" spans="12:18" x14ac:dyDescent="0.35">
      <c r="L2041" s="71"/>
      <c r="R2041" s="5"/>
    </row>
    <row r="2042" spans="12:18" x14ac:dyDescent="0.35">
      <c r="L2042" s="71"/>
      <c r="R2042" s="5"/>
    </row>
    <row r="2043" spans="12:18" x14ac:dyDescent="0.35">
      <c r="L2043" s="71"/>
      <c r="R2043" s="5"/>
    </row>
    <row r="2044" spans="12:18" x14ac:dyDescent="0.35">
      <c r="L2044" s="71"/>
      <c r="R2044" s="5"/>
    </row>
    <row r="2045" spans="12:18" x14ac:dyDescent="0.35">
      <c r="L2045" s="71"/>
      <c r="R2045" s="5"/>
    </row>
    <row r="2046" spans="12:18" x14ac:dyDescent="0.35">
      <c r="L2046" s="71"/>
      <c r="R2046" s="5"/>
    </row>
    <row r="2047" spans="12:18" x14ac:dyDescent="0.35">
      <c r="L2047" s="71"/>
      <c r="R2047" s="5"/>
    </row>
    <row r="2048" spans="12:18" x14ac:dyDescent="0.35">
      <c r="L2048" s="71"/>
      <c r="R2048" s="5"/>
    </row>
    <row r="2049" spans="12:18" x14ac:dyDescent="0.35">
      <c r="L2049" s="71"/>
      <c r="R2049" s="5"/>
    </row>
    <row r="2050" spans="12:18" x14ac:dyDescent="0.35">
      <c r="L2050" s="71"/>
      <c r="R2050" s="5"/>
    </row>
    <row r="2051" spans="12:18" x14ac:dyDescent="0.35">
      <c r="L2051" s="71"/>
      <c r="R2051" s="5"/>
    </row>
    <row r="2052" spans="12:18" x14ac:dyDescent="0.35">
      <c r="L2052" s="71"/>
      <c r="R2052" s="5"/>
    </row>
    <row r="2053" spans="12:18" x14ac:dyDescent="0.35">
      <c r="L2053" s="71"/>
      <c r="R2053" s="5"/>
    </row>
    <row r="2054" spans="12:18" x14ac:dyDescent="0.35">
      <c r="L2054" s="71"/>
      <c r="R2054" s="5"/>
    </row>
    <row r="2055" spans="12:18" x14ac:dyDescent="0.35">
      <c r="L2055" s="71"/>
      <c r="R2055" s="5"/>
    </row>
    <row r="2056" spans="12:18" x14ac:dyDescent="0.35">
      <c r="L2056" s="71"/>
      <c r="R2056" s="5"/>
    </row>
    <row r="2057" spans="12:18" x14ac:dyDescent="0.35">
      <c r="L2057" s="71"/>
      <c r="R2057" s="5"/>
    </row>
    <row r="2058" spans="12:18" x14ac:dyDescent="0.35">
      <c r="L2058" s="71"/>
      <c r="R2058" s="5"/>
    </row>
    <row r="2059" spans="12:18" x14ac:dyDescent="0.35">
      <c r="L2059" s="71"/>
      <c r="R2059" s="5"/>
    </row>
    <row r="2060" spans="12:18" x14ac:dyDescent="0.35">
      <c r="L2060" s="71"/>
      <c r="R2060" s="5"/>
    </row>
    <row r="2061" spans="12:18" x14ac:dyDescent="0.35">
      <c r="L2061" s="71"/>
      <c r="R2061" s="5"/>
    </row>
    <row r="2062" spans="12:18" x14ac:dyDescent="0.35">
      <c r="L2062" s="71"/>
      <c r="R2062" s="5"/>
    </row>
    <row r="2063" spans="12:18" x14ac:dyDescent="0.35">
      <c r="L2063" s="71"/>
      <c r="R2063" s="5"/>
    </row>
    <row r="2064" spans="12:18" x14ac:dyDescent="0.35">
      <c r="L2064" s="71"/>
      <c r="R2064" s="5"/>
    </row>
    <row r="2065" spans="12:18" x14ac:dyDescent="0.35">
      <c r="L2065" s="71"/>
      <c r="R2065" s="5"/>
    </row>
    <row r="2066" spans="12:18" x14ac:dyDescent="0.35">
      <c r="L2066" s="71"/>
      <c r="R2066" s="5"/>
    </row>
    <row r="2067" spans="12:18" x14ac:dyDescent="0.35">
      <c r="L2067" s="71"/>
      <c r="R2067" s="5"/>
    </row>
    <row r="2068" spans="12:18" x14ac:dyDescent="0.35">
      <c r="L2068" s="71"/>
      <c r="R2068" s="5"/>
    </row>
    <row r="2069" spans="12:18" x14ac:dyDescent="0.35">
      <c r="L2069" s="71"/>
      <c r="R2069" s="5"/>
    </row>
    <row r="2070" spans="12:18" x14ac:dyDescent="0.35">
      <c r="L2070" s="71"/>
      <c r="R2070" s="5"/>
    </row>
    <row r="2071" spans="12:18" x14ac:dyDescent="0.35">
      <c r="L2071" s="71"/>
      <c r="R2071" s="5"/>
    </row>
    <row r="2072" spans="12:18" x14ac:dyDescent="0.35">
      <c r="L2072" s="71"/>
      <c r="R2072" s="5"/>
    </row>
    <row r="2073" spans="12:18" x14ac:dyDescent="0.35">
      <c r="L2073" s="71"/>
      <c r="R2073" s="5"/>
    </row>
    <row r="2074" spans="12:18" x14ac:dyDescent="0.35">
      <c r="L2074" s="71"/>
      <c r="R2074" s="5"/>
    </row>
    <row r="2075" spans="12:18" x14ac:dyDescent="0.35">
      <c r="L2075" s="71"/>
      <c r="R2075" s="5"/>
    </row>
    <row r="2076" spans="12:18" x14ac:dyDescent="0.35">
      <c r="L2076" s="71"/>
      <c r="R2076" s="5"/>
    </row>
    <row r="2077" spans="12:18" x14ac:dyDescent="0.35">
      <c r="L2077" s="71"/>
      <c r="R2077" s="5"/>
    </row>
    <row r="2078" spans="12:18" x14ac:dyDescent="0.35">
      <c r="L2078" s="71"/>
      <c r="R2078" s="5"/>
    </row>
    <row r="2079" spans="12:18" x14ac:dyDescent="0.35">
      <c r="L2079" s="71"/>
      <c r="R2079" s="5"/>
    </row>
    <row r="2080" spans="12:18" x14ac:dyDescent="0.35">
      <c r="L2080" s="71"/>
      <c r="R2080" s="5"/>
    </row>
    <row r="2081" spans="12:18" x14ac:dyDescent="0.35">
      <c r="L2081" s="71"/>
      <c r="R2081" s="5"/>
    </row>
    <row r="2082" spans="12:18" x14ac:dyDescent="0.35">
      <c r="L2082" s="71"/>
      <c r="R2082" s="5"/>
    </row>
    <row r="2083" spans="12:18" x14ac:dyDescent="0.35">
      <c r="L2083" s="71"/>
      <c r="R2083" s="5"/>
    </row>
    <row r="2084" spans="12:18" x14ac:dyDescent="0.35">
      <c r="L2084" s="71"/>
      <c r="R2084" s="5"/>
    </row>
    <row r="2085" spans="12:18" x14ac:dyDescent="0.35">
      <c r="L2085" s="71"/>
      <c r="R2085" s="5"/>
    </row>
    <row r="2086" spans="12:18" x14ac:dyDescent="0.35">
      <c r="L2086" s="71"/>
      <c r="R2086" s="5"/>
    </row>
    <row r="2087" spans="12:18" x14ac:dyDescent="0.35">
      <c r="L2087" s="71"/>
      <c r="R2087" s="5"/>
    </row>
    <row r="2088" spans="12:18" x14ac:dyDescent="0.35">
      <c r="L2088" s="71"/>
      <c r="R2088" s="5"/>
    </row>
    <row r="2089" spans="12:18" x14ac:dyDescent="0.35">
      <c r="L2089" s="71"/>
      <c r="R2089" s="5"/>
    </row>
    <row r="2090" spans="12:18" x14ac:dyDescent="0.35">
      <c r="L2090" s="71"/>
      <c r="R2090" s="5"/>
    </row>
    <row r="2091" spans="12:18" x14ac:dyDescent="0.35">
      <c r="L2091" s="71"/>
      <c r="R2091" s="5"/>
    </row>
    <row r="2092" spans="12:18" x14ac:dyDescent="0.35">
      <c r="L2092" s="71"/>
      <c r="R2092" s="5"/>
    </row>
    <row r="2093" spans="12:18" x14ac:dyDescent="0.35">
      <c r="L2093" s="71"/>
      <c r="R2093" s="5"/>
    </row>
    <row r="2094" spans="12:18" x14ac:dyDescent="0.35">
      <c r="L2094" s="71"/>
      <c r="R2094" s="5"/>
    </row>
    <row r="2095" spans="12:18" x14ac:dyDescent="0.35">
      <c r="L2095" s="71"/>
      <c r="R2095" s="5"/>
    </row>
    <row r="2096" spans="12:18" x14ac:dyDescent="0.35">
      <c r="L2096" s="71"/>
      <c r="R2096" s="5"/>
    </row>
    <row r="2097" spans="12:18" x14ac:dyDescent="0.35">
      <c r="L2097" s="71"/>
      <c r="R2097" s="5"/>
    </row>
    <row r="2098" spans="12:18" x14ac:dyDescent="0.35">
      <c r="L2098" s="71"/>
      <c r="R2098" s="5"/>
    </row>
    <row r="2099" spans="12:18" x14ac:dyDescent="0.35">
      <c r="L2099" s="71"/>
      <c r="R2099" s="5"/>
    </row>
    <row r="2100" spans="12:18" x14ac:dyDescent="0.35">
      <c r="L2100" s="71"/>
      <c r="R2100" s="5"/>
    </row>
    <row r="2101" spans="12:18" x14ac:dyDescent="0.35">
      <c r="L2101" s="71"/>
      <c r="R2101" s="5"/>
    </row>
    <row r="2102" spans="12:18" x14ac:dyDescent="0.35">
      <c r="L2102" s="71"/>
      <c r="R2102" s="5"/>
    </row>
    <row r="2103" spans="12:18" x14ac:dyDescent="0.35">
      <c r="L2103" s="71"/>
      <c r="R2103" s="5"/>
    </row>
    <row r="2104" spans="12:18" x14ac:dyDescent="0.35">
      <c r="L2104" s="71"/>
      <c r="R2104" s="5"/>
    </row>
    <row r="2105" spans="12:18" x14ac:dyDescent="0.35">
      <c r="L2105" s="71"/>
      <c r="R2105" s="5"/>
    </row>
    <row r="2106" spans="12:18" x14ac:dyDescent="0.35">
      <c r="L2106" s="71"/>
      <c r="R2106" s="5"/>
    </row>
    <row r="2107" spans="12:18" x14ac:dyDescent="0.35">
      <c r="L2107" s="71"/>
      <c r="R2107" s="5"/>
    </row>
    <row r="2108" spans="12:18" x14ac:dyDescent="0.35">
      <c r="L2108" s="71"/>
      <c r="R2108" s="5"/>
    </row>
    <row r="2109" spans="12:18" x14ac:dyDescent="0.35">
      <c r="L2109" s="71"/>
      <c r="R2109" s="5"/>
    </row>
    <row r="2110" spans="12:18" x14ac:dyDescent="0.35">
      <c r="L2110" s="71"/>
      <c r="R2110" s="5"/>
    </row>
    <row r="2111" spans="12:18" x14ac:dyDescent="0.35">
      <c r="L2111" s="71"/>
      <c r="R2111" s="5"/>
    </row>
    <row r="2112" spans="12:18" x14ac:dyDescent="0.35">
      <c r="L2112" s="71"/>
      <c r="R2112" s="5"/>
    </row>
    <row r="2113" spans="12:18" x14ac:dyDescent="0.35">
      <c r="L2113" s="71"/>
      <c r="R2113" s="5"/>
    </row>
    <row r="2114" spans="12:18" x14ac:dyDescent="0.35">
      <c r="L2114" s="71"/>
      <c r="R2114" s="5"/>
    </row>
    <row r="2115" spans="12:18" x14ac:dyDescent="0.35">
      <c r="L2115" s="71"/>
      <c r="R2115" s="5"/>
    </row>
    <row r="2116" spans="12:18" x14ac:dyDescent="0.35">
      <c r="L2116" s="71"/>
      <c r="R2116" s="5"/>
    </row>
    <row r="2117" spans="12:18" x14ac:dyDescent="0.35">
      <c r="L2117" s="71"/>
      <c r="R2117" s="5"/>
    </row>
    <row r="2118" spans="12:18" x14ac:dyDescent="0.35">
      <c r="L2118" s="71"/>
      <c r="R2118" s="5"/>
    </row>
    <row r="2119" spans="12:18" x14ac:dyDescent="0.35">
      <c r="L2119" s="71"/>
      <c r="R2119" s="5"/>
    </row>
    <row r="2120" spans="12:18" x14ac:dyDescent="0.35">
      <c r="L2120" s="71"/>
      <c r="R2120" s="5"/>
    </row>
    <row r="2121" spans="12:18" x14ac:dyDescent="0.35">
      <c r="L2121" s="71"/>
      <c r="R2121" s="5"/>
    </row>
    <row r="2122" spans="12:18" x14ac:dyDescent="0.35">
      <c r="L2122" s="71"/>
      <c r="R2122" s="5"/>
    </row>
    <row r="2123" spans="12:18" x14ac:dyDescent="0.35">
      <c r="L2123" s="71"/>
      <c r="R2123" s="5"/>
    </row>
    <row r="2124" spans="12:18" x14ac:dyDescent="0.35">
      <c r="L2124" s="71"/>
      <c r="R2124" s="5"/>
    </row>
    <row r="2125" spans="12:18" x14ac:dyDescent="0.35">
      <c r="L2125" s="71"/>
      <c r="R2125" s="5"/>
    </row>
    <row r="2126" spans="12:18" x14ac:dyDescent="0.35">
      <c r="L2126" s="71"/>
      <c r="R2126" s="5"/>
    </row>
    <row r="2127" spans="12:18" x14ac:dyDescent="0.35">
      <c r="L2127" s="71"/>
      <c r="R2127" s="5"/>
    </row>
    <row r="2128" spans="12:18" x14ac:dyDescent="0.35">
      <c r="L2128" s="71"/>
      <c r="R2128" s="5"/>
    </row>
    <row r="2129" spans="12:18" x14ac:dyDescent="0.35">
      <c r="L2129" s="71"/>
      <c r="R2129" s="5"/>
    </row>
    <row r="2130" spans="12:18" x14ac:dyDescent="0.35">
      <c r="L2130" s="71"/>
      <c r="R2130" s="5"/>
    </row>
    <row r="2131" spans="12:18" x14ac:dyDescent="0.35">
      <c r="L2131" s="71"/>
      <c r="R2131" s="5"/>
    </row>
    <row r="2132" spans="12:18" x14ac:dyDescent="0.35">
      <c r="L2132" s="71"/>
      <c r="R2132" s="5"/>
    </row>
    <row r="2133" spans="12:18" x14ac:dyDescent="0.35">
      <c r="L2133" s="71"/>
      <c r="R2133" s="5"/>
    </row>
    <row r="2134" spans="12:18" x14ac:dyDescent="0.35">
      <c r="L2134" s="71"/>
      <c r="R2134" s="5"/>
    </row>
    <row r="2135" spans="12:18" x14ac:dyDescent="0.35">
      <c r="L2135" s="71"/>
      <c r="R2135" s="5"/>
    </row>
    <row r="2136" spans="12:18" x14ac:dyDescent="0.35">
      <c r="L2136" s="71"/>
      <c r="R2136" s="5"/>
    </row>
    <row r="2137" spans="12:18" x14ac:dyDescent="0.35">
      <c r="L2137" s="71"/>
      <c r="R2137" s="5"/>
    </row>
    <row r="2138" spans="12:18" x14ac:dyDescent="0.35">
      <c r="L2138" s="71"/>
      <c r="R2138" s="5"/>
    </row>
    <row r="2139" spans="12:18" x14ac:dyDescent="0.35">
      <c r="L2139" s="71"/>
      <c r="R2139" s="5"/>
    </row>
    <row r="2140" spans="12:18" x14ac:dyDescent="0.35">
      <c r="L2140" s="71"/>
      <c r="R2140" s="5"/>
    </row>
    <row r="2141" spans="12:18" x14ac:dyDescent="0.35">
      <c r="L2141" s="71"/>
      <c r="R2141" s="5"/>
    </row>
    <row r="2142" spans="12:18" x14ac:dyDescent="0.35">
      <c r="L2142" s="71"/>
      <c r="R2142" s="5"/>
    </row>
    <row r="2143" spans="12:18" x14ac:dyDescent="0.35">
      <c r="L2143" s="71"/>
      <c r="R2143" s="5"/>
    </row>
    <row r="2144" spans="12:18" x14ac:dyDescent="0.35">
      <c r="L2144" s="71"/>
      <c r="R2144" s="5"/>
    </row>
    <row r="2145" spans="12:18" x14ac:dyDescent="0.35">
      <c r="L2145" s="71"/>
      <c r="R2145" s="5"/>
    </row>
    <row r="2146" spans="12:18" x14ac:dyDescent="0.35">
      <c r="L2146" s="71"/>
      <c r="R2146" s="5"/>
    </row>
    <row r="2147" spans="12:18" x14ac:dyDescent="0.35">
      <c r="L2147" s="71"/>
      <c r="R2147" s="5"/>
    </row>
    <row r="2148" spans="12:18" x14ac:dyDescent="0.35">
      <c r="L2148" s="71"/>
      <c r="R2148" s="5"/>
    </row>
    <row r="2149" spans="12:18" x14ac:dyDescent="0.35">
      <c r="L2149" s="71"/>
      <c r="R2149" s="5"/>
    </row>
    <row r="2150" spans="12:18" x14ac:dyDescent="0.35">
      <c r="L2150" s="71"/>
      <c r="R2150" s="5"/>
    </row>
    <row r="2151" spans="12:18" x14ac:dyDescent="0.35">
      <c r="L2151" s="71"/>
      <c r="R2151" s="5"/>
    </row>
    <row r="2152" spans="12:18" x14ac:dyDescent="0.35">
      <c r="L2152" s="71"/>
      <c r="R2152" s="5"/>
    </row>
    <row r="2153" spans="12:18" x14ac:dyDescent="0.35">
      <c r="L2153" s="71"/>
      <c r="R2153" s="5"/>
    </row>
    <row r="2154" spans="12:18" x14ac:dyDescent="0.35">
      <c r="L2154" s="71"/>
      <c r="R2154" s="5"/>
    </row>
    <row r="2155" spans="12:18" x14ac:dyDescent="0.35">
      <c r="L2155" s="71"/>
      <c r="R2155" s="5"/>
    </row>
    <row r="2156" spans="12:18" x14ac:dyDescent="0.35">
      <c r="L2156" s="71"/>
      <c r="R2156" s="5"/>
    </row>
    <row r="2157" spans="12:18" x14ac:dyDescent="0.35">
      <c r="L2157" s="71"/>
      <c r="R2157" s="5"/>
    </row>
    <row r="2158" spans="12:18" x14ac:dyDescent="0.35">
      <c r="L2158" s="71"/>
      <c r="R2158" s="5"/>
    </row>
    <row r="2159" spans="12:18" x14ac:dyDescent="0.35">
      <c r="L2159" s="71"/>
      <c r="R2159" s="5"/>
    </row>
    <row r="2160" spans="12:18" x14ac:dyDescent="0.35">
      <c r="L2160" s="71"/>
      <c r="R2160" s="5"/>
    </row>
    <row r="2161" spans="12:18" x14ac:dyDescent="0.35">
      <c r="L2161" s="71"/>
      <c r="R2161" s="5"/>
    </row>
    <row r="2162" spans="12:18" x14ac:dyDescent="0.35">
      <c r="L2162" s="71"/>
      <c r="R2162" s="5"/>
    </row>
    <row r="2163" spans="12:18" x14ac:dyDescent="0.35">
      <c r="L2163" s="71"/>
      <c r="R2163" s="5"/>
    </row>
    <row r="2164" spans="12:18" x14ac:dyDescent="0.35">
      <c r="L2164" s="71"/>
      <c r="R2164" s="5"/>
    </row>
    <row r="2165" spans="12:18" x14ac:dyDescent="0.35">
      <c r="L2165" s="71"/>
      <c r="R2165" s="5"/>
    </row>
    <row r="2166" spans="12:18" x14ac:dyDescent="0.35">
      <c r="L2166" s="71"/>
      <c r="R2166" s="5"/>
    </row>
    <row r="2167" spans="12:18" x14ac:dyDescent="0.35">
      <c r="L2167" s="71"/>
      <c r="R2167" s="5"/>
    </row>
    <row r="2168" spans="12:18" x14ac:dyDescent="0.35">
      <c r="L2168" s="71"/>
      <c r="R2168" s="5"/>
    </row>
    <row r="2169" spans="12:18" x14ac:dyDescent="0.35">
      <c r="L2169" s="71"/>
      <c r="R2169" s="5"/>
    </row>
    <row r="2170" spans="12:18" x14ac:dyDescent="0.35">
      <c r="L2170" s="71"/>
      <c r="R2170" s="5"/>
    </row>
    <row r="2171" spans="12:18" x14ac:dyDescent="0.35">
      <c r="L2171" s="71"/>
      <c r="R2171" s="5"/>
    </row>
    <row r="2172" spans="12:18" x14ac:dyDescent="0.35">
      <c r="L2172" s="71"/>
      <c r="R2172" s="5"/>
    </row>
    <row r="2173" spans="12:18" x14ac:dyDescent="0.35">
      <c r="L2173" s="71"/>
      <c r="R2173" s="5"/>
    </row>
    <row r="2174" spans="12:18" x14ac:dyDescent="0.35">
      <c r="L2174" s="71"/>
      <c r="R2174" s="5"/>
    </row>
    <row r="2175" spans="12:18" x14ac:dyDescent="0.35">
      <c r="L2175" s="71"/>
      <c r="R2175" s="5"/>
    </row>
    <row r="2176" spans="12:18" x14ac:dyDescent="0.35">
      <c r="L2176" s="71"/>
      <c r="R2176" s="5"/>
    </row>
    <row r="2177" spans="12:18" x14ac:dyDescent="0.35">
      <c r="L2177" s="71"/>
      <c r="R2177" s="5"/>
    </row>
    <row r="2178" spans="12:18" x14ac:dyDescent="0.35">
      <c r="L2178" s="71"/>
      <c r="R2178" s="5"/>
    </row>
    <row r="2179" spans="12:18" x14ac:dyDescent="0.35">
      <c r="L2179" s="71"/>
      <c r="R2179" s="5"/>
    </row>
    <row r="2180" spans="12:18" x14ac:dyDescent="0.35">
      <c r="L2180" s="71"/>
      <c r="R2180" s="5"/>
    </row>
    <row r="2181" spans="12:18" x14ac:dyDescent="0.35">
      <c r="L2181" s="71"/>
      <c r="R2181" s="5"/>
    </row>
    <row r="2182" spans="12:18" x14ac:dyDescent="0.35">
      <c r="L2182" s="71"/>
      <c r="R2182" s="5"/>
    </row>
    <row r="2183" spans="12:18" x14ac:dyDescent="0.35">
      <c r="L2183" s="71"/>
      <c r="R2183" s="5"/>
    </row>
    <row r="2184" spans="12:18" x14ac:dyDescent="0.35">
      <c r="L2184" s="71"/>
      <c r="R2184" s="5"/>
    </row>
    <row r="2185" spans="12:18" x14ac:dyDescent="0.35">
      <c r="L2185" s="71"/>
      <c r="R2185" s="5"/>
    </row>
    <row r="2186" spans="12:18" x14ac:dyDescent="0.35">
      <c r="L2186" s="71"/>
      <c r="R2186" s="5"/>
    </row>
    <row r="2187" spans="12:18" x14ac:dyDescent="0.35">
      <c r="L2187" s="71"/>
      <c r="R2187" s="5"/>
    </row>
    <row r="2188" spans="12:18" x14ac:dyDescent="0.35">
      <c r="L2188" s="71"/>
      <c r="R2188" s="5"/>
    </row>
    <row r="2189" spans="12:18" x14ac:dyDescent="0.35">
      <c r="L2189" s="71"/>
      <c r="R2189" s="5"/>
    </row>
    <row r="2190" spans="12:18" x14ac:dyDescent="0.35">
      <c r="L2190" s="71"/>
      <c r="R2190" s="5"/>
    </row>
    <row r="2191" spans="12:18" x14ac:dyDescent="0.35">
      <c r="L2191" s="71"/>
      <c r="R2191" s="5"/>
    </row>
    <row r="2192" spans="12:18" x14ac:dyDescent="0.35">
      <c r="L2192" s="71"/>
      <c r="R2192" s="5"/>
    </row>
    <row r="2193" spans="12:18" x14ac:dyDescent="0.35">
      <c r="L2193" s="71"/>
      <c r="R2193" s="5"/>
    </row>
    <row r="2194" spans="12:18" x14ac:dyDescent="0.35">
      <c r="L2194" s="71"/>
      <c r="R2194" s="5"/>
    </row>
    <row r="2195" spans="12:18" x14ac:dyDescent="0.35">
      <c r="L2195" s="71"/>
      <c r="R2195" s="5"/>
    </row>
    <row r="2196" spans="12:18" x14ac:dyDescent="0.35">
      <c r="L2196" s="71"/>
      <c r="R2196" s="5"/>
    </row>
    <row r="2197" spans="12:18" x14ac:dyDescent="0.35">
      <c r="L2197" s="71"/>
      <c r="R2197" s="5"/>
    </row>
    <row r="2198" spans="12:18" x14ac:dyDescent="0.35">
      <c r="L2198" s="71"/>
      <c r="R2198" s="5"/>
    </row>
    <row r="2199" spans="12:18" x14ac:dyDescent="0.35">
      <c r="L2199" s="71"/>
      <c r="R2199" s="5"/>
    </row>
    <row r="2200" spans="12:18" x14ac:dyDescent="0.35">
      <c r="L2200" s="71"/>
      <c r="R2200" s="5"/>
    </row>
    <row r="2201" spans="12:18" x14ac:dyDescent="0.35">
      <c r="L2201" s="71"/>
      <c r="R2201" s="5"/>
    </row>
    <row r="2202" spans="12:18" x14ac:dyDescent="0.35">
      <c r="L2202" s="71"/>
      <c r="R2202" s="5"/>
    </row>
    <row r="2203" spans="12:18" x14ac:dyDescent="0.35">
      <c r="L2203" s="71"/>
      <c r="R2203" s="5"/>
    </row>
    <row r="2204" spans="12:18" x14ac:dyDescent="0.35">
      <c r="L2204" s="71"/>
      <c r="R2204" s="5"/>
    </row>
    <row r="2205" spans="12:18" x14ac:dyDescent="0.35">
      <c r="L2205" s="71"/>
      <c r="R2205" s="5"/>
    </row>
    <row r="2206" spans="12:18" x14ac:dyDescent="0.35">
      <c r="L2206" s="71"/>
      <c r="R2206" s="5"/>
    </row>
    <row r="2207" spans="12:18" x14ac:dyDescent="0.35">
      <c r="L2207" s="71"/>
      <c r="R2207" s="5"/>
    </row>
    <row r="2208" spans="12:18" x14ac:dyDescent="0.35">
      <c r="L2208" s="71"/>
      <c r="R2208" s="5"/>
    </row>
    <row r="2209" spans="12:18" x14ac:dyDescent="0.35">
      <c r="L2209" s="71"/>
      <c r="R2209" s="5"/>
    </row>
    <row r="2210" spans="12:18" x14ac:dyDescent="0.35">
      <c r="L2210" s="71"/>
      <c r="R2210" s="5"/>
    </row>
    <row r="2211" spans="12:18" x14ac:dyDescent="0.35">
      <c r="L2211" s="71"/>
      <c r="R2211" s="5"/>
    </row>
    <row r="2212" spans="12:18" x14ac:dyDescent="0.35">
      <c r="L2212" s="71"/>
      <c r="R2212" s="5"/>
    </row>
    <row r="2213" spans="12:18" x14ac:dyDescent="0.35">
      <c r="L2213" s="71"/>
      <c r="R2213" s="5"/>
    </row>
    <row r="2214" spans="12:18" x14ac:dyDescent="0.35">
      <c r="L2214" s="71"/>
      <c r="R2214" s="5"/>
    </row>
    <row r="2215" spans="12:18" x14ac:dyDescent="0.35">
      <c r="L2215" s="71"/>
      <c r="R2215" s="5"/>
    </row>
    <row r="2216" spans="12:18" x14ac:dyDescent="0.35">
      <c r="L2216" s="71"/>
      <c r="R2216" s="5"/>
    </row>
    <row r="2217" spans="12:18" x14ac:dyDescent="0.35">
      <c r="L2217" s="71"/>
      <c r="R2217" s="5"/>
    </row>
    <row r="2218" spans="12:18" x14ac:dyDescent="0.35">
      <c r="L2218" s="71"/>
      <c r="R2218" s="5"/>
    </row>
    <row r="2219" spans="12:18" x14ac:dyDescent="0.35">
      <c r="L2219" s="71"/>
      <c r="R2219" s="5"/>
    </row>
    <row r="2220" spans="12:18" x14ac:dyDescent="0.35">
      <c r="L2220" s="71"/>
      <c r="R2220" s="5"/>
    </row>
    <row r="2221" spans="12:18" x14ac:dyDescent="0.35">
      <c r="L2221" s="71"/>
      <c r="R2221" s="5"/>
    </row>
    <row r="2222" spans="12:18" x14ac:dyDescent="0.35">
      <c r="L2222" s="71"/>
      <c r="R2222" s="5"/>
    </row>
    <row r="2223" spans="12:18" x14ac:dyDescent="0.35">
      <c r="L2223" s="71"/>
      <c r="R2223" s="5"/>
    </row>
    <row r="2224" spans="12:18" x14ac:dyDescent="0.35">
      <c r="L2224" s="71"/>
      <c r="R2224" s="5"/>
    </row>
    <row r="2225" spans="12:18" x14ac:dyDescent="0.35">
      <c r="L2225" s="71"/>
      <c r="R2225" s="5"/>
    </row>
    <row r="2226" spans="12:18" x14ac:dyDescent="0.35">
      <c r="L2226" s="71"/>
      <c r="R2226" s="5"/>
    </row>
    <row r="2227" spans="12:18" x14ac:dyDescent="0.35">
      <c r="L2227" s="71"/>
      <c r="R2227" s="5"/>
    </row>
    <row r="2228" spans="12:18" x14ac:dyDescent="0.35">
      <c r="L2228" s="71"/>
      <c r="R2228" s="5"/>
    </row>
    <row r="2229" spans="12:18" x14ac:dyDescent="0.35">
      <c r="L2229" s="71"/>
      <c r="R2229" s="5"/>
    </row>
    <row r="2230" spans="12:18" x14ac:dyDescent="0.35">
      <c r="L2230" s="71"/>
      <c r="R2230" s="5"/>
    </row>
    <row r="2231" spans="12:18" x14ac:dyDescent="0.35">
      <c r="L2231" s="71"/>
      <c r="R2231" s="5"/>
    </row>
    <row r="2232" spans="12:18" x14ac:dyDescent="0.35">
      <c r="L2232" s="71"/>
      <c r="R2232" s="5"/>
    </row>
    <row r="2233" spans="12:18" x14ac:dyDescent="0.35">
      <c r="L2233" s="71"/>
      <c r="R2233" s="5"/>
    </row>
    <row r="2234" spans="12:18" x14ac:dyDescent="0.35">
      <c r="L2234" s="71"/>
      <c r="R2234" s="5"/>
    </row>
    <row r="2235" spans="12:18" x14ac:dyDescent="0.35">
      <c r="L2235" s="71"/>
      <c r="R2235" s="5"/>
    </row>
    <row r="2236" spans="12:18" x14ac:dyDescent="0.35">
      <c r="L2236" s="71"/>
      <c r="R2236" s="5"/>
    </row>
    <row r="2237" spans="12:18" x14ac:dyDescent="0.35">
      <c r="L2237" s="71"/>
      <c r="R2237" s="5"/>
    </row>
    <row r="2238" spans="12:18" x14ac:dyDescent="0.35">
      <c r="L2238" s="71"/>
      <c r="R2238" s="5"/>
    </row>
    <row r="2239" spans="12:18" x14ac:dyDescent="0.35">
      <c r="L2239" s="71"/>
      <c r="R2239" s="5"/>
    </row>
    <row r="2240" spans="12:18" x14ac:dyDescent="0.35">
      <c r="L2240" s="71"/>
      <c r="R2240" s="5"/>
    </row>
    <row r="2241" spans="12:18" x14ac:dyDescent="0.35">
      <c r="L2241" s="71"/>
      <c r="R2241" s="5"/>
    </row>
    <row r="2242" spans="12:18" x14ac:dyDescent="0.35">
      <c r="L2242" s="71"/>
      <c r="R2242" s="5"/>
    </row>
    <row r="2243" spans="12:18" x14ac:dyDescent="0.35">
      <c r="L2243" s="71"/>
      <c r="R2243" s="5"/>
    </row>
    <row r="2244" spans="12:18" x14ac:dyDescent="0.35">
      <c r="L2244" s="71"/>
      <c r="R2244" s="5"/>
    </row>
    <row r="2245" spans="12:18" x14ac:dyDescent="0.35">
      <c r="L2245" s="71"/>
      <c r="R2245" s="5"/>
    </row>
    <row r="2246" spans="12:18" x14ac:dyDescent="0.35">
      <c r="L2246" s="71"/>
      <c r="R2246" s="5"/>
    </row>
    <row r="2247" spans="12:18" x14ac:dyDescent="0.35">
      <c r="L2247" s="71"/>
      <c r="R2247" s="5"/>
    </row>
    <row r="2248" spans="12:18" x14ac:dyDescent="0.35">
      <c r="L2248" s="71"/>
      <c r="R2248" s="5"/>
    </row>
    <row r="2249" spans="12:18" x14ac:dyDescent="0.35">
      <c r="L2249" s="71"/>
      <c r="R2249" s="5"/>
    </row>
    <row r="2250" spans="12:18" x14ac:dyDescent="0.35">
      <c r="L2250" s="71"/>
      <c r="R2250" s="5"/>
    </row>
    <row r="2251" spans="12:18" x14ac:dyDescent="0.35">
      <c r="L2251" s="71"/>
      <c r="R2251" s="5"/>
    </row>
    <row r="2252" spans="12:18" x14ac:dyDescent="0.35">
      <c r="L2252" s="71"/>
      <c r="R2252" s="5"/>
    </row>
    <row r="2253" spans="12:18" x14ac:dyDescent="0.35">
      <c r="L2253" s="71"/>
      <c r="R2253" s="5"/>
    </row>
    <row r="2254" spans="12:18" x14ac:dyDescent="0.35">
      <c r="L2254" s="71"/>
      <c r="R2254" s="5"/>
    </row>
    <row r="2255" spans="12:18" x14ac:dyDescent="0.35">
      <c r="L2255" s="71"/>
      <c r="R2255" s="5"/>
    </row>
    <row r="2256" spans="12:18" x14ac:dyDescent="0.35">
      <c r="L2256" s="71"/>
      <c r="R2256" s="5"/>
    </row>
    <row r="2257" spans="12:18" x14ac:dyDescent="0.35">
      <c r="L2257" s="71"/>
      <c r="R2257" s="5"/>
    </row>
    <row r="2258" spans="12:18" x14ac:dyDescent="0.35">
      <c r="L2258" s="71"/>
      <c r="R2258" s="5"/>
    </row>
    <row r="2259" spans="12:18" x14ac:dyDescent="0.35">
      <c r="L2259" s="71"/>
      <c r="R2259" s="5"/>
    </row>
    <row r="2260" spans="12:18" x14ac:dyDescent="0.35">
      <c r="L2260" s="71"/>
      <c r="R2260" s="5"/>
    </row>
    <row r="2261" spans="12:18" x14ac:dyDescent="0.35">
      <c r="L2261" s="71"/>
      <c r="R2261" s="5"/>
    </row>
    <row r="2262" spans="12:18" x14ac:dyDescent="0.35">
      <c r="L2262" s="71"/>
      <c r="R2262" s="5"/>
    </row>
    <row r="2263" spans="12:18" x14ac:dyDescent="0.35">
      <c r="L2263" s="71"/>
      <c r="R2263" s="5"/>
    </row>
    <row r="2264" spans="12:18" x14ac:dyDescent="0.35">
      <c r="L2264" s="71"/>
      <c r="R2264" s="5"/>
    </row>
    <row r="2265" spans="12:18" x14ac:dyDescent="0.35">
      <c r="L2265" s="71"/>
      <c r="R2265" s="5"/>
    </row>
    <row r="2266" spans="12:18" x14ac:dyDescent="0.35">
      <c r="L2266" s="71"/>
      <c r="R2266" s="5"/>
    </row>
    <row r="2267" spans="12:18" x14ac:dyDescent="0.35">
      <c r="L2267" s="71"/>
      <c r="R2267" s="5"/>
    </row>
    <row r="2268" spans="12:18" x14ac:dyDescent="0.35">
      <c r="L2268" s="71"/>
      <c r="R2268" s="5"/>
    </row>
    <row r="2269" spans="12:18" x14ac:dyDescent="0.35">
      <c r="L2269" s="71"/>
      <c r="R2269" s="5"/>
    </row>
    <row r="2270" spans="12:18" x14ac:dyDescent="0.35">
      <c r="L2270" s="71"/>
      <c r="R2270" s="5"/>
    </row>
    <row r="2271" spans="12:18" x14ac:dyDescent="0.35">
      <c r="L2271" s="71"/>
      <c r="R2271" s="5"/>
    </row>
    <row r="2272" spans="12:18" x14ac:dyDescent="0.35">
      <c r="L2272" s="71"/>
      <c r="R2272" s="5"/>
    </row>
    <row r="2273" spans="12:18" x14ac:dyDescent="0.35">
      <c r="L2273" s="71"/>
      <c r="R2273" s="5"/>
    </row>
    <row r="2274" spans="12:18" x14ac:dyDescent="0.35">
      <c r="L2274" s="71"/>
      <c r="R2274" s="5"/>
    </row>
    <row r="2275" spans="12:18" x14ac:dyDescent="0.35">
      <c r="L2275" s="71"/>
      <c r="R2275" s="5"/>
    </row>
    <row r="2276" spans="12:18" x14ac:dyDescent="0.35">
      <c r="L2276" s="71"/>
      <c r="R2276" s="5"/>
    </row>
    <row r="2277" spans="12:18" x14ac:dyDescent="0.35">
      <c r="L2277" s="71"/>
      <c r="R2277" s="5"/>
    </row>
    <row r="2278" spans="12:18" x14ac:dyDescent="0.35">
      <c r="L2278" s="71"/>
      <c r="R2278" s="5"/>
    </row>
    <row r="2279" spans="12:18" x14ac:dyDescent="0.35">
      <c r="L2279" s="71"/>
      <c r="R2279" s="5"/>
    </row>
    <row r="2280" spans="12:18" x14ac:dyDescent="0.35">
      <c r="L2280" s="71"/>
      <c r="R2280" s="5"/>
    </row>
    <row r="2281" spans="12:18" x14ac:dyDescent="0.35">
      <c r="L2281" s="71"/>
      <c r="R2281" s="5"/>
    </row>
    <row r="2282" spans="12:18" x14ac:dyDescent="0.35">
      <c r="L2282" s="71"/>
      <c r="R2282" s="5"/>
    </row>
    <row r="2283" spans="12:18" x14ac:dyDescent="0.35">
      <c r="L2283" s="71"/>
      <c r="R2283" s="5"/>
    </row>
    <row r="2284" spans="12:18" x14ac:dyDescent="0.35">
      <c r="L2284" s="71"/>
      <c r="R2284" s="5"/>
    </row>
    <row r="2285" spans="12:18" x14ac:dyDescent="0.35">
      <c r="L2285" s="71"/>
      <c r="R2285" s="5"/>
    </row>
    <row r="2286" spans="12:18" x14ac:dyDescent="0.35">
      <c r="L2286" s="71"/>
      <c r="R2286" s="5"/>
    </row>
    <row r="2287" spans="12:18" x14ac:dyDescent="0.35">
      <c r="L2287" s="71"/>
      <c r="R2287" s="5"/>
    </row>
    <row r="2288" spans="12:18" x14ac:dyDescent="0.35">
      <c r="L2288" s="71"/>
      <c r="R2288" s="5"/>
    </row>
    <row r="2289" spans="12:18" x14ac:dyDescent="0.35">
      <c r="L2289" s="71"/>
      <c r="R2289" s="5"/>
    </row>
    <row r="2290" spans="12:18" x14ac:dyDescent="0.35">
      <c r="L2290" s="71"/>
      <c r="R2290" s="5"/>
    </row>
    <row r="2291" spans="12:18" x14ac:dyDescent="0.35">
      <c r="L2291" s="71"/>
      <c r="R2291" s="5"/>
    </row>
    <row r="2292" spans="12:18" x14ac:dyDescent="0.35">
      <c r="L2292" s="71"/>
      <c r="R2292" s="5"/>
    </row>
    <row r="2293" spans="12:18" x14ac:dyDescent="0.35">
      <c r="L2293" s="71"/>
      <c r="R2293" s="5"/>
    </row>
    <row r="2294" spans="12:18" x14ac:dyDescent="0.35">
      <c r="L2294" s="71"/>
      <c r="R2294" s="5"/>
    </row>
    <row r="2295" spans="12:18" x14ac:dyDescent="0.35">
      <c r="L2295" s="71"/>
      <c r="R2295" s="5"/>
    </row>
    <row r="2296" spans="12:18" x14ac:dyDescent="0.35">
      <c r="L2296" s="71"/>
      <c r="R2296" s="5"/>
    </row>
    <row r="2297" spans="12:18" x14ac:dyDescent="0.35">
      <c r="L2297" s="71"/>
      <c r="R2297" s="5"/>
    </row>
    <row r="2298" spans="12:18" x14ac:dyDescent="0.35">
      <c r="L2298" s="71"/>
      <c r="R2298" s="5"/>
    </row>
    <row r="2299" spans="12:18" x14ac:dyDescent="0.35">
      <c r="L2299" s="71"/>
      <c r="R2299" s="5"/>
    </row>
    <row r="2300" spans="12:18" x14ac:dyDescent="0.35">
      <c r="L2300" s="71"/>
      <c r="R2300" s="5"/>
    </row>
    <row r="2301" spans="12:18" x14ac:dyDescent="0.35">
      <c r="L2301" s="71"/>
      <c r="R2301" s="5"/>
    </row>
    <row r="2302" spans="12:18" x14ac:dyDescent="0.35">
      <c r="L2302" s="71"/>
      <c r="R2302" s="5"/>
    </row>
    <row r="2303" spans="12:18" x14ac:dyDescent="0.35">
      <c r="L2303" s="71"/>
      <c r="R2303" s="5"/>
    </row>
    <row r="2304" spans="12:18" x14ac:dyDescent="0.35">
      <c r="L2304" s="71"/>
      <c r="R2304" s="5"/>
    </row>
    <row r="2305" spans="12:18" x14ac:dyDescent="0.35">
      <c r="L2305" s="71"/>
      <c r="R2305" s="5"/>
    </row>
    <row r="2306" spans="12:18" x14ac:dyDescent="0.35">
      <c r="L2306" s="71"/>
      <c r="R2306" s="5"/>
    </row>
    <row r="2307" spans="12:18" x14ac:dyDescent="0.35">
      <c r="L2307" s="71"/>
      <c r="R2307" s="5"/>
    </row>
    <row r="2308" spans="12:18" x14ac:dyDescent="0.35">
      <c r="L2308" s="71"/>
      <c r="R2308" s="5"/>
    </row>
    <row r="2309" spans="12:18" x14ac:dyDescent="0.35">
      <c r="L2309" s="71"/>
      <c r="R2309" s="5"/>
    </row>
    <row r="2310" spans="12:18" x14ac:dyDescent="0.35">
      <c r="L2310" s="71"/>
      <c r="R2310" s="5"/>
    </row>
    <row r="2311" spans="12:18" x14ac:dyDescent="0.35">
      <c r="L2311" s="71"/>
      <c r="R2311" s="5"/>
    </row>
    <row r="2312" spans="12:18" x14ac:dyDescent="0.35">
      <c r="L2312" s="71"/>
      <c r="R2312" s="5"/>
    </row>
    <row r="2313" spans="12:18" x14ac:dyDescent="0.35">
      <c r="L2313" s="71"/>
      <c r="R2313" s="5"/>
    </row>
    <row r="2314" spans="12:18" x14ac:dyDescent="0.35">
      <c r="L2314" s="71"/>
      <c r="R2314" s="5"/>
    </row>
    <row r="2315" spans="12:18" x14ac:dyDescent="0.35">
      <c r="L2315" s="71"/>
      <c r="R2315" s="5"/>
    </row>
    <row r="2316" spans="12:18" x14ac:dyDescent="0.35">
      <c r="L2316" s="71"/>
      <c r="R2316" s="5"/>
    </row>
    <row r="2317" spans="12:18" x14ac:dyDescent="0.35">
      <c r="L2317" s="71"/>
      <c r="R2317" s="5"/>
    </row>
    <row r="2318" spans="12:18" x14ac:dyDescent="0.35">
      <c r="L2318" s="71"/>
      <c r="R2318" s="5"/>
    </row>
    <row r="2319" spans="12:18" x14ac:dyDescent="0.35">
      <c r="L2319" s="71"/>
      <c r="R2319" s="5"/>
    </row>
    <row r="2320" spans="12:18" x14ac:dyDescent="0.35">
      <c r="L2320" s="71"/>
      <c r="R2320" s="5"/>
    </row>
    <row r="2321" spans="12:18" x14ac:dyDescent="0.35">
      <c r="L2321" s="71"/>
      <c r="R2321" s="5"/>
    </row>
    <row r="2322" spans="12:18" x14ac:dyDescent="0.35">
      <c r="L2322" s="71"/>
      <c r="R2322" s="5"/>
    </row>
    <row r="2323" spans="12:18" x14ac:dyDescent="0.35">
      <c r="L2323" s="71"/>
      <c r="R2323" s="5"/>
    </row>
    <row r="2324" spans="12:18" x14ac:dyDescent="0.35">
      <c r="L2324" s="71"/>
      <c r="R2324" s="5"/>
    </row>
    <row r="2325" spans="12:18" x14ac:dyDescent="0.35">
      <c r="L2325" s="71"/>
      <c r="R2325" s="5"/>
    </row>
    <row r="2326" spans="12:18" x14ac:dyDescent="0.35">
      <c r="L2326" s="71"/>
      <c r="R2326" s="5"/>
    </row>
    <row r="2327" spans="12:18" x14ac:dyDescent="0.35">
      <c r="L2327" s="71"/>
      <c r="R2327" s="5"/>
    </row>
    <row r="2328" spans="12:18" x14ac:dyDescent="0.35">
      <c r="L2328" s="71"/>
      <c r="R2328" s="5"/>
    </row>
    <row r="2329" spans="12:18" x14ac:dyDescent="0.35">
      <c r="L2329" s="71"/>
      <c r="R2329" s="5"/>
    </row>
    <row r="2330" spans="12:18" x14ac:dyDescent="0.35">
      <c r="L2330" s="71"/>
      <c r="R2330" s="5"/>
    </row>
    <row r="2331" spans="12:18" x14ac:dyDescent="0.35">
      <c r="L2331" s="71"/>
      <c r="R2331" s="5"/>
    </row>
    <row r="2332" spans="12:18" x14ac:dyDescent="0.35">
      <c r="L2332" s="71"/>
      <c r="R2332" s="5"/>
    </row>
    <row r="2333" spans="12:18" x14ac:dyDescent="0.35">
      <c r="L2333" s="71"/>
      <c r="R2333" s="5"/>
    </row>
    <row r="2334" spans="12:18" x14ac:dyDescent="0.35">
      <c r="L2334" s="71"/>
      <c r="R2334" s="5"/>
    </row>
    <row r="2335" spans="12:18" x14ac:dyDescent="0.35">
      <c r="L2335" s="71"/>
      <c r="R2335" s="5"/>
    </row>
    <row r="2336" spans="12:18" x14ac:dyDescent="0.35">
      <c r="L2336" s="71"/>
      <c r="R2336" s="5"/>
    </row>
    <row r="2337" spans="12:18" x14ac:dyDescent="0.35">
      <c r="L2337" s="71"/>
      <c r="R2337" s="5"/>
    </row>
    <row r="2338" spans="12:18" x14ac:dyDescent="0.35">
      <c r="L2338" s="71"/>
      <c r="R2338" s="5"/>
    </row>
    <row r="2339" spans="12:18" x14ac:dyDescent="0.35">
      <c r="L2339" s="71"/>
      <c r="R2339" s="5"/>
    </row>
    <row r="2340" spans="12:18" x14ac:dyDescent="0.35">
      <c r="L2340" s="71"/>
      <c r="R2340" s="5"/>
    </row>
    <row r="2341" spans="12:18" x14ac:dyDescent="0.35">
      <c r="L2341" s="71"/>
      <c r="R2341" s="5"/>
    </row>
    <row r="2342" spans="12:18" x14ac:dyDescent="0.35">
      <c r="L2342" s="71"/>
      <c r="R2342" s="5"/>
    </row>
    <row r="2343" spans="12:18" x14ac:dyDescent="0.35">
      <c r="L2343" s="71"/>
      <c r="R2343" s="5"/>
    </row>
    <row r="2344" spans="12:18" x14ac:dyDescent="0.35">
      <c r="L2344" s="71"/>
      <c r="R2344" s="5"/>
    </row>
    <row r="2345" spans="12:18" x14ac:dyDescent="0.35">
      <c r="L2345" s="71"/>
      <c r="R2345" s="5"/>
    </row>
    <row r="2346" spans="12:18" x14ac:dyDescent="0.35">
      <c r="L2346" s="71"/>
      <c r="R2346" s="5"/>
    </row>
    <row r="2347" spans="12:18" x14ac:dyDescent="0.35">
      <c r="L2347" s="71"/>
      <c r="R2347" s="5"/>
    </row>
    <row r="2348" spans="12:18" x14ac:dyDescent="0.35">
      <c r="L2348" s="71"/>
      <c r="R2348" s="5"/>
    </row>
    <row r="2349" spans="12:18" x14ac:dyDescent="0.35">
      <c r="L2349" s="71"/>
      <c r="R2349" s="5"/>
    </row>
    <row r="2350" spans="12:18" x14ac:dyDescent="0.35">
      <c r="L2350" s="71"/>
      <c r="R2350" s="5"/>
    </row>
    <row r="2351" spans="12:18" x14ac:dyDescent="0.35">
      <c r="L2351" s="71"/>
      <c r="R2351" s="5"/>
    </row>
    <row r="2352" spans="12:18" x14ac:dyDescent="0.35">
      <c r="L2352" s="71"/>
      <c r="R2352" s="5"/>
    </row>
    <row r="2353" spans="12:18" x14ac:dyDescent="0.35">
      <c r="L2353" s="71"/>
      <c r="R2353" s="5"/>
    </row>
    <row r="2354" spans="12:18" x14ac:dyDescent="0.35">
      <c r="L2354" s="71"/>
      <c r="R2354" s="5"/>
    </row>
    <row r="2355" spans="12:18" x14ac:dyDescent="0.35">
      <c r="L2355" s="71"/>
      <c r="R2355" s="5"/>
    </row>
    <row r="2356" spans="12:18" x14ac:dyDescent="0.35">
      <c r="L2356" s="71"/>
      <c r="R2356" s="5"/>
    </row>
    <row r="2357" spans="12:18" x14ac:dyDescent="0.35">
      <c r="L2357" s="71"/>
      <c r="R2357" s="5"/>
    </row>
    <row r="2358" spans="12:18" x14ac:dyDescent="0.35">
      <c r="L2358" s="71"/>
      <c r="R2358" s="5"/>
    </row>
    <row r="2359" spans="12:18" x14ac:dyDescent="0.35">
      <c r="L2359" s="71"/>
      <c r="R2359" s="5"/>
    </row>
    <row r="2360" spans="12:18" x14ac:dyDescent="0.35">
      <c r="L2360" s="71"/>
      <c r="R2360" s="5"/>
    </row>
    <row r="2361" spans="12:18" x14ac:dyDescent="0.35">
      <c r="L2361" s="71"/>
      <c r="R2361" s="5"/>
    </row>
    <row r="2362" spans="12:18" x14ac:dyDescent="0.35">
      <c r="L2362" s="71"/>
      <c r="R2362" s="5"/>
    </row>
    <row r="2363" spans="12:18" x14ac:dyDescent="0.35">
      <c r="L2363" s="71"/>
      <c r="R2363" s="5"/>
    </row>
    <row r="2364" spans="12:18" x14ac:dyDescent="0.35">
      <c r="L2364" s="71"/>
      <c r="R2364" s="5"/>
    </row>
    <row r="2365" spans="12:18" x14ac:dyDescent="0.35">
      <c r="L2365" s="71"/>
      <c r="R2365" s="5"/>
    </row>
    <row r="2366" spans="12:18" x14ac:dyDescent="0.35">
      <c r="L2366" s="71"/>
      <c r="R2366" s="5"/>
    </row>
    <row r="2367" spans="12:18" x14ac:dyDescent="0.35">
      <c r="L2367" s="71"/>
      <c r="R2367" s="5"/>
    </row>
    <row r="2368" spans="12:18" x14ac:dyDescent="0.35">
      <c r="L2368" s="71"/>
      <c r="R2368" s="5"/>
    </row>
    <row r="2369" spans="12:18" x14ac:dyDescent="0.35">
      <c r="L2369" s="71"/>
      <c r="R2369" s="5"/>
    </row>
    <row r="2370" spans="12:18" x14ac:dyDescent="0.35">
      <c r="L2370" s="71"/>
      <c r="R2370" s="5"/>
    </row>
    <row r="2371" spans="12:18" x14ac:dyDescent="0.35">
      <c r="L2371" s="71"/>
      <c r="R2371" s="5"/>
    </row>
    <row r="2372" spans="12:18" x14ac:dyDescent="0.35">
      <c r="L2372" s="71"/>
      <c r="R2372" s="5"/>
    </row>
    <row r="2373" spans="12:18" x14ac:dyDescent="0.35">
      <c r="L2373" s="71"/>
      <c r="R2373" s="5"/>
    </row>
    <row r="2374" spans="12:18" x14ac:dyDescent="0.35">
      <c r="L2374" s="71"/>
      <c r="R2374" s="5"/>
    </row>
    <row r="2375" spans="12:18" x14ac:dyDescent="0.35">
      <c r="L2375" s="71"/>
      <c r="R2375" s="5"/>
    </row>
    <row r="2376" spans="12:18" x14ac:dyDescent="0.35">
      <c r="L2376" s="71"/>
      <c r="R2376" s="5"/>
    </row>
    <row r="2377" spans="12:18" x14ac:dyDescent="0.35">
      <c r="L2377" s="71"/>
      <c r="R2377" s="5"/>
    </row>
    <row r="2378" spans="12:18" x14ac:dyDescent="0.35">
      <c r="L2378" s="71"/>
      <c r="R2378" s="5"/>
    </row>
    <row r="2379" spans="12:18" x14ac:dyDescent="0.35">
      <c r="L2379" s="71"/>
      <c r="R2379" s="5"/>
    </row>
    <row r="2380" spans="12:18" x14ac:dyDescent="0.35">
      <c r="L2380" s="71"/>
      <c r="R2380" s="5"/>
    </row>
    <row r="2381" spans="12:18" x14ac:dyDescent="0.35">
      <c r="L2381" s="71"/>
      <c r="R2381" s="5"/>
    </row>
    <row r="2382" spans="12:18" x14ac:dyDescent="0.35">
      <c r="L2382" s="71"/>
      <c r="R2382" s="5"/>
    </row>
    <row r="2383" spans="12:18" x14ac:dyDescent="0.35">
      <c r="L2383" s="71"/>
      <c r="R2383" s="5"/>
    </row>
    <row r="2384" spans="12:18" x14ac:dyDescent="0.35">
      <c r="L2384" s="71"/>
      <c r="R2384" s="5"/>
    </row>
    <row r="2385" spans="12:18" x14ac:dyDescent="0.35">
      <c r="L2385" s="71"/>
      <c r="R2385" s="5"/>
    </row>
    <row r="2386" spans="12:18" x14ac:dyDescent="0.35">
      <c r="L2386" s="71"/>
      <c r="R2386" s="5"/>
    </row>
    <row r="2387" spans="12:18" x14ac:dyDescent="0.35">
      <c r="L2387" s="71"/>
      <c r="R2387" s="5"/>
    </row>
    <row r="2388" spans="12:18" x14ac:dyDescent="0.35">
      <c r="L2388" s="71"/>
      <c r="R2388" s="5"/>
    </row>
    <row r="2389" spans="12:18" x14ac:dyDescent="0.35">
      <c r="L2389" s="71"/>
      <c r="R2389" s="5"/>
    </row>
    <row r="2390" spans="12:18" x14ac:dyDescent="0.35">
      <c r="L2390" s="71"/>
      <c r="R2390" s="5"/>
    </row>
    <row r="2391" spans="12:18" x14ac:dyDescent="0.35">
      <c r="L2391" s="71"/>
      <c r="R2391" s="5"/>
    </row>
    <row r="2392" spans="12:18" x14ac:dyDescent="0.35">
      <c r="L2392" s="71"/>
      <c r="R2392" s="5"/>
    </row>
    <row r="2393" spans="12:18" x14ac:dyDescent="0.35">
      <c r="L2393" s="71"/>
      <c r="R2393" s="5"/>
    </row>
    <row r="2394" spans="12:18" x14ac:dyDescent="0.35">
      <c r="L2394" s="71"/>
      <c r="R2394" s="5"/>
    </row>
    <row r="2395" spans="12:18" x14ac:dyDescent="0.35">
      <c r="L2395" s="71"/>
      <c r="R2395" s="5"/>
    </row>
    <row r="2396" spans="12:18" x14ac:dyDescent="0.35">
      <c r="L2396" s="71"/>
      <c r="R2396" s="5"/>
    </row>
    <row r="2397" spans="12:18" x14ac:dyDescent="0.35">
      <c r="L2397" s="71"/>
      <c r="R2397" s="5"/>
    </row>
    <row r="2398" spans="12:18" x14ac:dyDescent="0.35">
      <c r="L2398" s="71"/>
      <c r="R2398" s="5"/>
    </row>
    <row r="2399" spans="12:18" x14ac:dyDescent="0.35">
      <c r="L2399" s="71"/>
      <c r="R2399" s="5"/>
    </row>
    <row r="2400" spans="12:18" x14ac:dyDescent="0.35">
      <c r="L2400" s="71"/>
      <c r="R2400" s="5"/>
    </row>
    <row r="2401" spans="12:18" x14ac:dyDescent="0.35">
      <c r="L2401" s="71"/>
      <c r="R2401" s="5"/>
    </row>
    <row r="2402" spans="12:18" x14ac:dyDescent="0.35">
      <c r="L2402" s="71"/>
      <c r="R2402" s="5"/>
    </row>
    <row r="2403" spans="12:18" x14ac:dyDescent="0.35">
      <c r="L2403" s="71"/>
      <c r="R2403" s="5"/>
    </row>
    <row r="2404" spans="12:18" x14ac:dyDescent="0.35">
      <c r="L2404" s="71"/>
      <c r="R2404" s="5"/>
    </row>
    <row r="2405" spans="12:18" x14ac:dyDescent="0.35">
      <c r="L2405" s="71"/>
      <c r="R2405" s="5"/>
    </row>
    <row r="2406" spans="12:18" x14ac:dyDescent="0.35">
      <c r="L2406" s="71"/>
      <c r="R2406" s="5"/>
    </row>
    <row r="2407" spans="12:18" x14ac:dyDescent="0.35">
      <c r="L2407" s="71"/>
      <c r="R2407" s="5"/>
    </row>
    <row r="2408" spans="12:18" x14ac:dyDescent="0.35">
      <c r="L2408" s="71"/>
      <c r="R2408" s="5"/>
    </row>
    <row r="2409" spans="12:18" x14ac:dyDescent="0.35">
      <c r="L2409" s="71"/>
      <c r="R2409" s="5"/>
    </row>
    <row r="2410" spans="12:18" x14ac:dyDescent="0.35">
      <c r="L2410" s="71"/>
      <c r="R2410" s="5"/>
    </row>
    <row r="2411" spans="12:18" x14ac:dyDescent="0.35">
      <c r="L2411" s="71"/>
      <c r="R2411" s="5"/>
    </row>
    <row r="2412" spans="12:18" x14ac:dyDescent="0.35">
      <c r="L2412" s="71"/>
      <c r="R2412" s="5"/>
    </row>
    <row r="2413" spans="12:18" x14ac:dyDescent="0.35">
      <c r="L2413" s="71"/>
      <c r="R2413" s="5"/>
    </row>
    <row r="2414" spans="12:18" x14ac:dyDescent="0.35">
      <c r="L2414" s="71"/>
      <c r="R2414" s="5"/>
    </row>
    <row r="2415" spans="12:18" x14ac:dyDescent="0.35">
      <c r="L2415" s="71"/>
      <c r="R2415" s="5"/>
    </row>
    <row r="2416" spans="12:18" x14ac:dyDescent="0.35">
      <c r="L2416" s="71"/>
      <c r="R2416" s="5"/>
    </row>
    <row r="2417" spans="12:18" x14ac:dyDescent="0.35">
      <c r="L2417" s="71"/>
      <c r="R2417" s="5"/>
    </row>
    <row r="2418" spans="12:18" x14ac:dyDescent="0.35">
      <c r="L2418" s="71"/>
      <c r="R2418" s="5"/>
    </row>
    <row r="2419" spans="12:18" x14ac:dyDescent="0.35">
      <c r="L2419" s="71"/>
      <c r="R2419" s="5"/>
    </row>
    <row r="2420" spans="12:18" x14ac:dyDescent="0.35">
      <c r="L2420" s="71"/>
      <c r="R2420" s="5"/>
    </row>
    <row r="2421" spans="12:18" x14ac:dyDescent="0.35">
      <c r="L2421" s="71"/>
      <c r="R2421" s="5"/>
    </row>
    <row r="2422" spans="12:18" x14ac:dyDescent="0.35">
      <c r="L2422" s="71"/>
      <c r="R2422" s="5"/>
    </row>
    <row r="2423" spans="12:18" x14ac:dyDescent="0.35">
      <c r="L2423" s="71"/>
      <c r="R2423" s="5"/>
    </row>
    <row r="2424" spans="12:18" x14ac:dyDescent="0.35">
      <c r="L2424" s="71"/>
      <c r="R2424" s="5"/>
    </row>
    <row r="2425" spans="12:18" x14ac:dyDescent="0.35">
      <c r="L2425" s="71"/>
      <c r="R2425" s="5"/>
    </row>
    <row r="2426" spans="12:18" x14ac:dyDescent="0.35">
      <c r="L2426" s="71"/>
      <c r="R2426" s="5"/>
    </row>
    <row r="2427" spans="12:18" x14ac:dyDescent="0.35">
      <c r="L2427" s="71"/>
      <c r="R2427" s="5"/>
    </row>
    <row r="2428" spans="12:18" x14ac:dyDescent="0.35">
      <c r="L2428" s="71"/>
      <c r="R2428" s="5"/>
    </row>
    <row r="2429" spans="12:18" x14ac:dyDescent="0.35">
      <c r="L2429" s="71"/>
      <c r="R2429" s="5"/>
    </row>
    <row r="2430" spans="12:18" x14ac:dyDescent="0.35">
      <c r="L2430" s="71"/>
      <c r="R2430" s="5"/>
    </row>
    <row r="2431" spans="12:18" x14ac:dyDescent="0.35">
      <c r="L2431" s="71"/>
      <c r="R2431" s="5"/>
    </row>
    <row r="2432" spans="12:18" x14ac:dyDescent="0.35">
      <c r="L2432" s="71"/>
      <c r="R2432" s="5"/>
    </row>
    <row r="2433" spans="12:18" x14ac:dyDescent="0.35">
      <c r="L2433" s="71"/>
      <c r="R2433" s="5"/>
    </row>
    <row r="2434" spans="12:18" x14ac:dyDescent="0.35">
      <c r="L2434" s="71"/>
      <c r="R2434" s="5"/>
    </row>
    <row r="2435" spans="12:18" x14ac:dyDescent="0.35">
      <c r="L2435" s="71"/>
      <c r="R2435" s="5"/>
    </row>
    <row r="2436" spans="12:18" x14ac:dyDescent="0.35">
      <c r="L2436" s="71"/>
      <c r="R2436" s="5"/>
    </row>
    <row r="2437" spans="12:18" x14ac:dyDescent="0.35">
      <c r="L2437" s="71"/>
      <c r="R2437" s="5"/>
    </row>
    <row r="2438" spans="12:18" x14ac:dyDescent="0.35">
      <c r="L2438" s="71"/>
      <c r="R2438" s="5"/>
    </row>
    <row r="2439" spans="12:18" x14ac:dyDescent="0.35">
      <c r="L2439" s="71"/>
      <c r="R2439" s="5"/>
    </row>
    <row r="2440" spans="12:18" x14ac:dyDescent="0.35">
      <c r="L2440" s="71"/>
      <c r="R2440" s="5"/>
    </row>
    <row r="2441" spans="12:18" x14ac:dyDescent="0.35">
      <c r="L2441" s="71"/>
      <c r="R2441" s="5"/>
    </row>
    <row r="2442" spans="12:18" x14ac:dyDescent="0.35">
      <c r="L2442" s="71"/>
      <c r="R2442" s="5"/>
    </row>
    <row r="2443" spans="12:18" x14ac:dyDescent="0.35">
      <c r="L2443" s="71"/>
      <c r="R2443" s="5"/>
    </row>
    <row r="2444" spans="12:18" x14ac:dyDescent="0.35">
      <c r="L2444" s="71"/>
      <c r="R2444" s="5"/>
    </row>
    <row r="2445" spans="12:18" x14ac:dyDescent="0.35">
      <c r="L2445" s="71"/>
      <c r="R2445" s="5"/>
    </row>
    <row r="2446" spans="12:18" x14ac:dyDescent="0.35">
      <c r="L2446" s="71"/>
      <c r="R2446" s="5"/>
    </row>
    <row r="2447" spans="12:18" x14ac:dyDescent="0.35">
      <c r="L2447" s="71"/>
      <c r="R2447" s="5"/>
    </row>
    <row r="2448" spans="12:18" x14ac:dyDescent="0.35">
      <c r="L2448" s="71"/>
      <c r="R2448" s="5"/>
    </row>
    <row r="2449" spans="12:18" x14ac:dyDescent="0.35">
      <c r="L2449" s="71"/>
      <c r="R2449" s="5"/>
    </row>
    <row r="2450" spans="12:18" x14ac:dyDescent="0.35">
      <c r="L2450" s="71"/>
      <c r="R2450" s="5"/>
    </row>
    <row r="2451" spans="12:18" x14ac:dyDescent="0.35">
      <c r="L2451" s="71"/>
      <c r="R2451" s="5"/>
    </row>
    <row r="2452" spans="12:18" x14ac:dyDescent="0.35">
      <c r="L2452" s="71"/>
      <c r="R2452" s="5"/>
    </row>
    <row r="2453" spans="12:18" x14ac:dyDescent="0.35">
      <c r="L2453" s="71"/>
      <c r="R2453" s="5"/>
    </row>
    <row r="2454" spans="12:18" x14ac:dyDescent="0.35">
      <c r="L2454" s="71"/>
      <c r="R2454" s="5"/>
    </row>
    <row r="2455" spans="12:18" x14ac:dyDescent="0.35">
      <c r="L2455" s="71"/>
      <c r="R2455" s="5"/>
    </row>
    <row r="2456" spans="12:18" x14ac:dyDescent="0.35">
      <c r="L2456" s="71"/>
      <c r="R2456" s="5"/>
    </row>
    <row r="2457" spans="12:18" x14ac:dyDescent="0.35">
      <c r="L2457" s="71"/>
      <c r="R2457" s="5"/>
    </row>
    <row r="2458" spans="12:18" x14ac:dyDescent="0.35">
      <c r="L2458" s="71"/>
      <c r="R2458" s="5"/>
    </row>
    <row r="2459" spans="12:18" x14ac:dyDescent="0.35">
      <c r="L2459" s="71"/>
      <c r="R2459" s="5"/>
    </row>
    <row r="2460" spans="12:18" x14ac:dyDescent="0.35">
      <c r="L2460" s="71"/>
      <c r="R2460" s="5"/>
    </row>
    <row r="2461" spans="12:18" x14ac:dyDescent="0.35">
      <c r="L2461" s="71"/>
      <c r="R2461" s="5"/>
    </row>
    <row r="2462" spans="12:18" x14ac:dyDescent="0.35">
      <c r="L2462" s="71"/>
      <c r="R2462" s="5"/>
    </row>
    <row r="2463" spans="12:18" x14ac:dyDescent="0.35">
      <c r="L2463" s="71"/>
      <c r="R2463" s="5"/>
    </row>
    <row r="2464" spans="12:18" x14ac:dyDescent="0.35">
      <c r="L2464" s="71"/>
      <c r="R2464" s="5"/>
    </row>
    <row r="2465" spans="12:18" x14ac:dyDescent="0.35">
      <c r="L2465" s="71"/>
      <c r="R2465" s="5"/>
    </row>
    <row r="2466" spans="12:18" x14ac:dyDescent="0.35">
      <c r="L2466" s="71"/>
      <c r="R2466" s="5"/>
    </row>
    <row r="2467" spans="12:18" x14ac:dyDescent="0.35">
      <c r="L2467" s="71"/>
      <c r="R2467" s="5"/>
    </row>
    <row r="2468" spans="12:18" x14ac:dyDescent="0.35">
      <c r="L2468" s="71"/>
      <c r="R2468" s="5"/>
    </row>
    <row r="2469" spans="12:18" x14ac:dyDescent="0.35">
      <c r="L2469" s="71"/>
      <c r="R2469" s="5"/>
    </row>
    <row r="2470" spans="12:18" x14ac:dyDescent="0.35">
      <c r="L2470" s="71"/>
      <c r="R2470" s="5"/>
    </row>
    <row r="2471" spans="12:18" x14ac:dyDescent="0.35">
      <c r="L2471" s="71"/>
      <c r="R2471" s="5"/>
    </row>
    <row r="2472" spans="12:18" x14ac:dyDescent="0.35">
      <c r="L2472" s="71"/>
      <c r="R2472" s="5"/>
    </row>
    <row r="2473" spans="12:18" x14ac:dyDescent="0.35">
      <c r="L2473" s="71"/>
      <c r="R2473" s="5"/>
    </row>
    <row r="2474" spans="12:18" x14ac:dyDescent="0.35">
      <c r="L2474" s="71"/>
      <c r="R2474" s="5"/>
    </row>
    <row r="2475" spans="12:18" x14ac:dyDescent="0.35">
      <c r="L2475" s="71"/>
      <c r="R2475" s="5"/>
    </row>
    <row r="2476" spans="12:18" x14ac:dyDescent="0.35">
      <c r="L2476" s="71"/>
      <c r="R2476" s="5"/>
    </row>
    <row r="2477" spans="12:18" x14ac:dyDescent="0.35">
      <c r="L2477" s="71"/>
      <c r="R2477" s="5"/>
    </row>
    <row r="2478" spans="12:18" x14ac:dyDescent="0.35">
      <c r="L2478" s="71"/>
      <c r="R2478" s="5"/>
    </row>
    <row r="2479" spans="12:18" x14ac:dyDescent="0.35">
      <c r="L2479" s="71"/>
      <c r="R2479" s="5"/>
    </row>
    <row r="2480" spans="12:18" x14ac:dyDescent="0.35">
      <c r="L2480" s="71"/>
      <c r="R2480" s="5"/>
    </row>
    <row r="2481" spans="12:18" x14ac:dyDescent="0.35">
      <c r="L2481" s="71"/>
      <c r="R2481" s="5"/>
    </row>
    <row r="2482" spans="12:18" x14ac:dyDescent="0.35">
      <c r="L2482" s="71"/>
      <c r="R2482" s="5"/>
    </row>
    <row r="2483" spans="12:18" x14ac:dyDescent="0.35">
      <c r="L2483" s="71"/>
      <c r="R2483" s="5"/>
    </row>
    <row r="2484" spans="12:18" x14ac:dyDescent="0.35">
      <c r="L2484" s="71"/>
      <c r="R2484" s="5"/>
    </row>
    <row r="2485" spans="12:18" x14ac:dyDescent="0.35">
      <c r="L2485" s="71"/>
      <c r="R2485" s="5"/>
    </row>
    <row r="2486" spans="12:18" x14ac:dyDescent="0.35">
      <c r="L2486" s="71"/>
      <c r="R2486" s="5"/>
    </row>
    <row r="2487" spans="12:18" x14ac:dyDescent="0.35">
      <c r="L2487" s="71"/>
      <c r="R2487" s="5"/>
    </row>
    <row r="2488" spans="12:18" x14ac:dyDescent="0.35">
      <c r="L2488" s="71"/>
      <c r="R2488" s="5"/>
    </row>
    <row r="2489" spans="12:18" x14ac:dyDescent="0.35">
      <c r="L2489" s="71"/>
      <c r="R2489" s="5"/>
    </row>
    <row r="2490" spans="12:18" x14ac:dyDescent="0.35">
      <c r="L2490" s="71"/>
      <c r="R2490" s="5"/>
    </row>
    <row r="2491" spans="12:18" x14ac:dyDescent="0.35">
      <c r="L2491" s="71"/>
      <c r="R2491" s="5"/>
    </row>
    <row r="2492" spans="12:18" x14ac:dyDescent="0.35">
      <c r="L2492" s="71"/>
      <c r="R2492" s="5"/>
    </row>
    <row r="2493" spans="12:18" x14ac:dyDescent="0.35">
      <c r="L2493" s="71"/>
      <c r="R2493" s="5"/>
    </row>
    <row r="2494" spans="12:18" x14ac:dyDescent="0.35">
      <c r="L2494" s="71"/>
      <c r="R2494" s="5"/>
    </row>
    <row r="2495" spans="12:18" x14ac:dyDescent="0.35">
      <c r="L2495" s="71"/>
      <c r="R2495" s="5"/>
    </row>
    <row r="2496" spans="12:18" x14ac:dyDescent="0.35">
      <c r="L2496" s="71"/>
      <c r="R2496" s="5"/>
    </row>
    <row r="2497" spans="12:18" x14ac:dyDescent="0.35">
      <c r="L2497" s="71"/>
      <c r="R2497" s="5"/>
    </row>
    <row r="2498" spans="12:18" x14ac:dyDescent="0.35">
      <c r="L2498" s="71"/>
      <c r="R2498" s="5"/>
    </row>
    <row r="2499" spans="12:18" x14ac:dyDescent="0.35">
      <c r="L2499" s="71"/>
      <c r="R2499" s="5"/>
    </row>
    <row r="2500" spans="12:18" x14ac:dyDescent="0.35">
      <c r="L2500" s="71"/>
      <c r="R2500" s="5"/>
    </row>
    <row r="2501" spans="12:18" x14ac:dyDescent="0.35">
      <c r="L2501" s="71"/>
      <c r="R2501" s="5"/>
    </row>
    <row r="2502" spans="12:18" x14ac:dyDescent="0.35">
      <c r="L2502" s="71"/>
      <c r="R2502" s="5"/>
    </row>
    <row r="2503" spans="12:18" x14ac:dyDescent="0.35">
      <c r="L2503" s="71"/>
      <c r="R2503" s="5"/>
    </row>
    <row r="2504" spans="12:18" x14ac:dyDescent="0.35">
      <c r="L2504" s="71"/>
      <c r="R2504" s="5"/>
    </row>
    <row r="2505" spans="12:18" x14ac:dyDescent="0.35">
      <c r="L2505" s="71"/>
      <c r="R2505" s="5"/>
    </row>
    <row r="2506" spans="12:18" x14ac:dyDescent="0.35">
      <c r="L2506" s="71"/>
      <c r="R2506" s="5"/>
    </row>
    <row r="2507" spans="12:18" x14ac:dyDescent="0.35">
      <c r="L2507" s="71"/>
      <c r="R2507" s="5"/>
    </row>
    <row r="2508" spans="12:18" x14ac:dyDescent="0.35">
      <c r="L2508" s="71"/>
      <c r="R2508" s="5"/>
    </row>
    <row r="2509" spans="12:18" x14ac:dyDescent="0.35">
      <c r="L2509" s="71"/>
      <c r="R2509" s="5"/>
    </row>
    <row r="2510" spans="12:18" x14ac:dyDescent="0.35">
      <c r="L2510" s="71"/>
      <c r="R2510" s="5"/>
    </row>
    <row r="2511" spans="12:18" x14ac:dyDescent="0.35">
      <c r="L2511" s="71"/>
      <c r="R2511" s="5"/>
    </row>
    <row r="2512" spans="12:18" x14ac:dyDescent="0.35">
      <c r="L2512" s="71"/>
      <c r="R2512" s="5"/>
    </row>
    <row r="2513" spans="12:18" x14ac:dyDescent="0.35">
      <c r="L2513" s="71"/>
      <c r="R2513" s="5"/>
    </row>
    <row r="2514" spans="12:18" x14ac:dyDescent="0.35">
      <c r="L2514" s="71"/>
      <c r="R2514" s="5"/>
    </row>
    <row r="2515" spans="12:18" x14ac:dyDescent="0.35">
      <c r="L2515" s="71"/>
      <c r="R2515" s="5"/>
    </row>
    <row r="2516" spans="12:18" x14ac:dyDescent="0.35">
      <c r="L2516" s="71"/>
      <c r="R2516" s="5"/>
    </row>
    <row r="2517" spans="12:18" x14ac:dyDescent="0.35">
      <c r="L2517" s="71"/>
      <c r="R2517" s="5"/>
    </row>
    <row r="2518" spans="12:18" x14ac:dyDescent="0.35">
      <c r="L2518" s="71"/>
      <c r="R2518" s="5"/>
    </row>
    <row r="2519" spans="12:18" x14ac:dyDescent="0.35">
      <c r="L2519" s="71"/>
      <c r="R2519" s="5"/>
    </row>
    <row r="2520" spans="12:18" x14ac:dyDescent="0.35">
      <c r="L2520" s="71"/>
      <c r="R2520" s="5"/>
    </row>
    <row r="2521" spans="12:18" x14ac:dyDescent="0.35">
      <c r="L2521" s="71"/>
      <c r="R2521" s="5"/>
    </row>
    <row r="2522" spans="12:18" x14ac:dyDescent="0.35">
      <c r="L2522" s="71"/>
      <c r="R2522" s="5"/>
    </row>
    <row r="2523" spans="12:18" x14ac:dyDescent="0.35">
      <c r="L2523" s="71"/>
      <c r="R2523" s="5"/>
    </row>
    <row r="2524" spans="12:18" x14ac:dyDescent="0.35">
      <c r="L2524" s="71"/>
      <c r="R2524" s="5"/>
    </row>
    <row r="2525" spans="12:18" x14ac:dyDescent="0.35">
      <c r="L2525" s="71"/>
      <c r="R2525" s="5"/>
    </row>
    <row r="2526" spans="12:18" x14ac:dyDescent="0.35">
      <c r="L2526" s="71"/>
      <c r="R2526" s="5"/>
    </row>
    <row r="2527" spans="12:18" x14ac:dyDescent="0.35">
      <c r="L2527" s="71"/>
      <c r="R2527" s="5"/>
    </row>
    <row r="2528" spans="12:18" x14ac:dyDescent="0.35">
      <c r="L2528" s="71"/>
      <c r="R2528" s="5"/>
    </row>
    <row r="2529" spans="12:18" x14ac:dyDescent="0.35">
      <c r="L2529" s="71"/>
      <c r="R2529" s="5"/>
    </row>
    <row r="2530" spans="12:18" x14ac:dyDescent="0.35">
      <c r="L2530" s="71"/>
      <c r="R2530" s="5"/>
    </row>
    <row r="2531" spans="12:18" x14ac:dyDescent="0.35">
      <c r="L2531" s="71"/>
      <c r="R2531" s="5"/>
    </row>
    <row r="2532" spans="12:18" x14ac:dyDescent="0.35">
      <c r="L2532" s="71"/>
      <c r="R2532" s="5"/>
    </row>
    <row r="2533" spans="12:18" x14ac:dyDescent="0.35">
      <c r="L2533" s="71"/>
      <c r="R2533" s="5"/>
    </row>
    <row r="2534" spans="12:18" x14ac:dyDescent="0.35">
      <c r="L2534" s="71"/>
      <c r="R2534" s="5"/>
    </row>
    <row r="2535" spans="12:18" x14ac:dyDescent="0.35">
      <c r="L2535" s="71"/>
      <c r="R2535" s="5"/>
    </row>
    <row r="2536" spans="12:18" x14ac:dyDescent="0.35">
      <c r="L2536" s="71"/>
      <c r="R2536" s="5"/>
    </row>
    <row r="2537" spans="12:18" x14ac:dyDescent="0.35">
      <c r="L2537" s="71"/>
      <c r="R2537" s="5"/>
    </row>
    <row r="2538" spans="12:18" x14ac:dyDescent="0.35">
      <c r="L2538" s="71"/>
      <c r="R2538" s="5"/>
    </row>
    <row r="2539" spans="12:18" x14ac:dyDescent="0.35">
      <c r="L2539" s="71"/>
      <c r="R2539" s="5"/>
    </row>
    <row r="2540" spans="12:18" x14ac:dyDescent="0.35">
      <c r="L2540" s="71"/>
      <c r="R2540" s="5"/>
    </row>
    <row r="2541" spans="12:18" x14ac:dyDescent="0.35">
      <c r="L2541" s="71"/>
      <c r="R2541" s="5"/>
    </row>
    <row r="2542" spans="12:18" x14ac:dyDescent="0.35">
      <c r="L2542" s="71"/>
      <c r="R2542" s="5"/>
    </row>
    <row r="2543" spans="12:18" x14ac:dyDescent="0.35">
      <c r="L2543" s="71"/>
      <c r="R2543" s="5"/>
    </row>
    <row r="2544" spans="12:18" x14ac:dyDescent="0.35">
      <c r="L2544" s="71"/>
      <c r="R2544" s="5"/>
    </row>
    <row r="2545" spans="12:18" x14ac:dyDescent="0.35">
      <c r="L2545" s="71"/>
      <c r="R2545" s="5"/>
    </row>
    <row r="2546" spans="12:18" x14ac:dyDescent="0.35">
      <c r="L2546" s="71"/>
      <c r="R2546" s="5"/>
    </row>
    <row r="2547" spans="12:18" x14ac:dyDescent="0.35">
      <c r="L2547" s="71"/>
      <c r="R2547" s="5"/>
    </row>
    <row r="2548" spans="12:18" x14ac:dyDescent="0.35">
      <c r="L2548" s="71"/>
      <c r="R2548" s="5"/>
    </row>
    <row r="2549" spans="12:18" x14ac:dyDescent="0.35">
      <c r="L2549" s="71"/>
      <c r="R2549" s="5"/>
    </row>
    <row r="2550" spans="12:18" x14ac:dyDescent="0.35">
      <c r="L2550" s="71"/>
      <c r="R2550" s="5"/>
    </row>
    <row r="2551" spans="12:18" x14ac:dyDescent="0.35">
      <c r="L2551" s="71"/>
      <c r="R2551" s="5"/>
    </row>
    <row r="2552" spans="12:18" x14ac:dyDescent="0.35">
      <c r="L2552" s="71"/>
      <c r="R2552" s="5"/>
    </row>
    <row r="2553" spans="12:18" x14ac:dyDescent="0.35">
      <c r="L2553" s="71"/>
      <c r="R2553" s="5"/>
    </row>
    <row r="2554" spans="12:18" x14ac:dyDescent="0.35">
      <c r="L2554" s="71"/>
      <c r="R2554" s="5"/>
    </row>
    <row r="2555" spans="12:18" x14ac:dyDescent="0.35">
      <c r="L2555" s="71"/>
      <c r="R2555" s="5"/>
    </row>
    <row r="2556" spans="12:18" x14ac:dyDescent="0.35">
      <c r="L2556" s="71"/>
      <c r="R2556" s="5"/>
    </row>
    <row r="2557" spans="12:18" x14ac:dyDescent="0.35">
      <c r="L2557" s="71"/>
      <c r="R2557" s="5"/>
    </row>
    <row r="2558" spans="12:18" x14ac:dyDescent="0.35">
      <c r="L2558" s="71"/>
      <c r="R2558" s="5"/>
    </row>
    <row r="2559" spans="12:18" x14ac:dyDescent="0.35">
      <c r="L2559" s="71"/>
      <c r="R2559" s="5"/>
    </row>
    <row r="2560" spans="12:18" x14ac:dyDescent="0.35">
      <c r="L2560" s="71"/>
      <c r="R2560" s="5"/>
    </row>
    <row r="2561" spans="12:18" x14ac:dyDescent="0.35">
      <c r="L2561" s="71"/>
      <c r="R2561" s="5"/>
    </row>
    <row r="2562" spans="12:18" x14ac:dyDescent="0.35">
      <c r="L2562" s="71"/>
      <c r="R2562" s="5"/>
    </row>
    <row r="2563" spans="12:18" x14ac:dyDescent="0.35">
      <c r="L2563" s="71"/>
      <c r="R2563" s="5"/>
    </row>
    <row r="2564" spans="12:18" x14ac:dyDescent="0.35">
      <c r="L2564" s="71"/>
      <c r="R2564" s="5"/>
    </row>
    <row r="2565" spans="12:18" x14ac:dyDescent="0.35">
      <c r="L2565" s="71"/>
      <c r="R2565" s="5"/>
    </row>
    <row r="2566" spans="12:18" x14ac:dyDescent="0.35">
      <c r="L2566" s="71"/>
      <c r="R2566" s="5"/>
    </row>
    <row r="2567" spans="12:18" x14ac:dyDescent="0.35">
      <c r="L2567" s="71"/>
      <c r="R2567" s="5"/>
    </row>
    <row r="2568" spans="12:18" x14ac:dyDescent="0.35">
      <c r="L2568" s="71"/>
      <c r="R2568" s="5"/>
    </row>
    <row r="2569" spans="12:18" x14ac:dyDescent="0.35">
      <c r="L2569" s="71"/>
      <c r="R2569" s="5"/>
    </row>
    <row r="2570" spans="12:18" x14ac:dyDescent="0.35">
      <c r="L2570" s="71"/>
      <c r="R2570" s="5"/>
    </row>
    <row r="2571" spans="12:18" x14ac:dyDescent="0.35">
      <c r="L2571" s="71"/>
      <c r="R2571" s="5"/>
    </row>
    <row r="2572" spans="12:18" x14ac:dyDescent="0.35">
      <c r="L2572" s="71"/>
      <c r="R2572" s="5"/>
    </row>
    <row r="2573" spans="12:18" x14ac:dyDescent="0.35">
      <c r="L2573" s="71"/>
      <c r="R2573" s="5"/>
    </row>
    <row r="2574" spans="12:18" x14ac:dyDescent="0.35">
      <c r="L2574" s="71"/>
      <c r="R2574" s="5"/>
    </row>
    <row r="2575" spans="12:18" x14ac:dyDescent="0.35">
      <c r="L2575" s="71"/>
      <c r="R2575" s="5"/>
    </row>
    <row r="2576" spans="12:18" x14ac:dyDescent="0.35">
      <c r="L2576" s="71"/>
      <c r="R2576" s="5"/>
    </row>
    <row r="2577" spans="12:18" x14ac:dyDescent="0.35">
      <c r="L2577" s="71"/>
      <c r="R2577" s="5"/>
    </row>
    <row r="2578" spans="12:18" x14ac:dyDescent="0.35">
      <c r="L2578" s="71"/>
      <c r="R2578" s="5"/>
    </row>
    <row r="2579" spans="12:18" x14ac:dyDescent="0.35">
      <c r="L2579" s="71"/>
      <c r="R2579" s="5"/>
    </row>
    <row r="2580" spans="12:18" x14ac:dyDescent="0.35">
      <c r="L2580" s="71"/>
      <c r="R2580" s="5"/>
    </row>
    <row r="2581" spans="12:18" x14ac:dyDescent="0.35">
      <c r="L2581" s="71"/>
      <c r="R2581" s="5"/>
    </row>
    <row r="2582" spans="12:18" x14ac:dyDescent="0.35">
      <c r="L2582" s="71"/>
      <c r="R2582" s="5"/>
    </row>
    <row r="2583" spans="12:18" x14ac:dyDescent="0.35">
      <c r="L2583" s="71"/>
      <c r="R2583" s="5"/>
    </row>
    <row r="2584" spans="12:18" x14ac:dyDescent="0.35">
      <c r="L2584" s="71"/>
      <c r="R2584" s="5"/>
    </row>
    <row r="2585" spans="12:18" x14ac:dyDescent="0.35">
      <c r="L2585" s="71"/>
      <c r="R2585" s="5"/>
    </row>
    <row r="2586" spans="12:18" x14ac:dyDescent="0.35">
      <c r="L2586" s="71"/>
      <c r="R2586" s="5"/>
    </row>
    <row r="2587" spans="12:18" x14ac:dyDescent="0.35">
      <c r="L2587" s="71"/>
      <c r="R2587" s="5"/>
    </row>
    <row r="2588" spans="12:18" x14ac:dyDescent="0.35">
      <c r="L2588" s="71"/>
      <c r="R2588" s="5"/>
    </row>
    <row r="2589" spans="12:18" x14ac:dyDescent="0.35">
      <c r="L2589" s="71"/>
      <c r="R2589" s="5"/>
    </row>
    <row r="2590" spans="12:18" x14ac:dyDescent="0.35">
      <c r="L2590" s="71"/>
      <c r="R2590" s="5"/>
    </row>
    <row r="2591" spans="12:18" x14ac:dyDescent="0.35">
      <c r="L2591" s="71"/>
      <c r="R2591" s="5"/>
    </row>
    <row r="2592" spans="12:18" x14ac:dyDescent="0.35">
      <c r="L2592" s="71"/>
      <c r="R2592" s="5"/>
    </row>
    <row r="2593" spans="12:18" x14ac:dyDescent="0.35">
      <c r="L2593" s="71"/>
      <c r="R2593" s="5"/>
    </row>
    <row r="2594" spans="12:18" x14ac:dyDescent="0.35">
      <c r="L2594" s="71"/>
      <c r="R2594" s="5"/>
    </row>
    <row r="2595" spans="12:18" x14ac:dyDescent="0.35">
      <c r="L2595" s="71"/>
      <c r="R2595" s="5"/>
    </row>
    <row r="2596" spans="12:18" x14ac:dyDescent="0.35">
      <c r="L2596" s="71"/>
      <c r="R2596" s="5"/>
    </row>
    <row r="2597" spans="12:18" x14ac:dyDescent="0.35">
      <c r="L2597" s="71"/>
      <c r="R2597" s="5"/>
    </row>
    <row r="2598" spans="12:18" x14ac:dyDescent="0.35">
      <c r="L2598" s="71"/>
      <c r="R2598" s="5"/>
    </row>
    <row r="2599" spans="12:18" x14ac:dyDescent="0.35">
      <c r="L2599" s="71"/>
      <c r="R2599" s="5"/>
    </row>
    <row r="2600" spans="12:18" x14ac:dyDescent="0.35">
      <c r="L2600" s="71"/>
      <c r="R2600" s="5"/>
    </row>
    <row r="2601" spans="12:18" x14ac:dyDescent="0.35">
      <c r="L2601" s="71"/>
      <c r="R2601" s="5"/>
    </row>
    <row r="2602" spans="12:18" x14ac:dyDescent="0.35">
      <c r="L2602" s="71"/>
      <c r="R2602" s="5"/>
    </row>
    <row r="2603" spans="12:18" x14ac:dyDescent="0.35">
      <c r="L2603" s="71"/>
      <c r="R2603" s="5"/>
    </row>
    <row r="2604" spans="12:18" x14ac:dyDescent="0.35">
      <c r="L2604" s="71"/>
      <c r="R2604" s="5"/>
    </row>
    <row r="2605" spans="12:18" x14ac:dyDescent="0.35">
      <c r="L2605" s="71"/>
      <c r="R2605" s="5"/>
    </row>
    <row r="2606" spans="12:18" x14ac:dyDescent="0.35">
      <c r="L2606" s="71"/>
      <c r="R2606" s="5"/>
    </row>
    <row r="2607" spans="12:18" x14ac:dyDescent="0.35">
      <c r="L2607" s="71"/>
      <c r="R2607" s="5"/>
    </row>
    <row r="2608" spans="12:18" x14ac:dyDescent="0.35">
      <c r="L2608" s="71"/>
      <c r="R2608" s="5"/>
    </row>
    <row r="2609" spans="12:18" x14ac:dyDescent="0.35">
      <c r="L2609" s="71"/>
      <c r="R2609" s="5"/>
    </row>
    <row r="2610" spans="12:18" x14ac:dyDescent="0.35">
      <c r="L2610" s="71"/>
      <c r="R2610" s="5"/>
    </row>
    <row r="2611" spans="12:18" x14ac:dyDescent="0.35">
      <c r="L2611" s="71"/>
      <c r="R2611" s="5"/>
    </row>
    <row r="2612" spans="12:18" x14ac:dyDescent="0.35">
      <c r="L2612" s="71"/>
      <c r="R2612" s="5"/>
    </row>
    <row r="2613" spans="12:18" x14ac:dyDescent="0.35">
      <c r="L2613" s="71"/>
      <c r="R2613" s="5"/>
    </row>
    <row r="2614" spans="12:18" x14ac:dyDescent="0.35">
      <c r="L2614" s="71"/>
      <c r="R2614" s="5"/>
    </row>
    <row r="2615" spans="12:18" x14ac:dyDescent="0.35">
      <c r="L2615" s="71"/>
      <c r="R2615" s="5"/>
    </row>
    <row r="2616" spans="12:18" x14ac:dyDescent="0.35">
      <c r="L2616" s="71"/>
      <c r="R2616" s="5"/>
    </row>
    <row r="2617" spans="12:18" x14ac:dyDescent="0.35">
      <c r="L2617" s="71"/>
      <c r="R2617" s="5"/>
    </row>
    <row r="2618" spans="12:18" x14ac:dyDescent="0.35">
      <c r="L2618" s="71"/>
      <c r="R2618" s="5"/>
    </row>
    <row r="2619" spans="12:18" x14ac:dyDescent="0.35">
      <c r="L2619" s="71"/>
      <c r="R2619" s="5"/>
    </row>
    <row r="2620" spans="12:18" x14ac:dyDescent="0.35">
      <c r="L2620" s="71"/>
      <c r="R2620" s="5"/>
    </row>
    <row r="2621" spans="12:18" x14ac:dyDescent="0.35">
      <c r="L2621" s="71"/>
      <c r="R2621" s="5"/>
    </row>
    <row r="2622" spans="12:18" x14ac:dyDescent="0.35">
      <c r="L2622" s="71"/>
      <c r="R2622" s="5"/>
    </row>
    <row r="2623" spans="12:18" x14ac:dyDescent="0.35">
      <c r="L2623" s="71"/>
      <c r="R2623" s="5"/>
    </row>
    <row r="2624" spans="12:18" x14ac:dyDescent="0.35">
      <c r="L2624" s="71"/>
      <c r="R2624" s="5"/>
    </row>
    <row r="2625" spans="12:18" x14ac:dyDescent="0.35">
      <c r="L2625" s="71"/>
      <c r="R2625" s="5"/>
    </row>
    <row r="2626" spans="12:18" x14ac:dyDescent="0.35">
      <c r="L2626" s="71"/>
      <c r="R2626" s="5"/>
    </row>
    <row r="2627" spans="12:18" x14ac:dyDescent="0.35">
      <c r="L2627" s="71"/>
      <c r="R2627" s="5"/>
    </row>
    <row r="2628" spans="12:18" x14ac:dyDescent="0.35">
      <c r="L2628" s="71"/>
      <c r="R2628" s="5"/>
    </row>
    <row r="2629" spans="12:18" x14ac:dyDescent="0.35">
      <c r="L2629" s="71"/>
      <c r="R2629" s="5"/>
    </row>
    <row r="2630" spans="12:18" x14ac:dyDescent="0.35">
      <c r="L2630" s="71"/>
      <c r="R2630" s="5"/>
    </row>
    <row r="2631" spans="12:18" x14ac:dyDescent="0.35">
      <c r="L2631" s="71"/>
      <c r="R2631" s="5"/>
    </row>
    <row r="2632" spans="12:18" x14ac:dyDescent="0.35">
      <c r="L2632" s="71"/>
      <c r="R2632" s="5"/>
    </row>
    <row r="2633" spans="12:18" x14ac:dyDescent="0.35">
      <c r="L2633" s="71"/>
      <c r="R2633" s="5"/>
    </row>
    <row r="2634" spans="12:18" x14ac:dyDescent="0.35">
      <c r="L2634" s="71"/>
      <c r="R2634" s="5"/>
    </row>
    <row r="2635" spans="12:18" x14ac:dyDescent="0.35">
      <c r="L2635" s="71"/>
      <c r="R2635" s="5"/>
    </row>
    <row r="2636" spans="12:18" x14ac:dyDescent="0.35">
      <c r="L2636" s="71"/>
      <c r="R2636" s="5"/>
    </row>
    <row r="2637" spans="12:18" x14ac:dyDescent="0.35">
      <c r="L2637" s="71"/>
      <c r="R2637" s="5"/>
    </row>
    <row r="2638" spans="12:18" x14ac:dyDescent="0.35">
      <c r="L2638" s="71"/>
      <c r="R2638" s="5"/>
    </row>
    <row r="2639" spans="12:18" x14ac:dyDescent="0.35">
      <c r="L2639" s="71"/>
      <c r="R2639" s="5"/>
    </row>
    <row r="2640" spans="12:18" x14ac:dyDescent="0.35">
      <c r="L2640" s="71"/>
      <c r="R2640" s="5"/>
    </row>
    <row r="2641" spans="12:18" x14ac:dyDescent="0.35">
      <c r="L2641" s="71"/>
      <c r="R2641" s="5"/>
    </row>
    <row r="2642" spans="12:18" x14ac:dyDescent="0.35">
      <c r="L2642" s="71"/>
      <c r="R2642" s="5"/>
    </row>
    <row r="2643" spans="12:18" x14ac:dyDescent="0.35">
      <c r="L2643" s="71"/>
      <c r="R2643" s="5"/>
    </row>
    <row r="2644" spans="12:18" x14ac:dyDescent="0.35">
      <c r="L2644" s="71"/>
      <c r="R2644" s="5"/>
    </row>
    <row r="2645" spans="12:18" x14ac:dyDescent="0.35">
      <c r="L2645" s="71"/>
      <c r="R2645" s="5"/>
    </row>
    <row r="2646" spans="12:18" x14ac:dyDescent="0.35">
      <c r="L2646" s="71"/>
      <c r="R2646" s="5"/>
    </row>
    <row r="2647" spans="12:18" x14ac:dyDescent="0.35">
      <c r="L2647" s="71"/>
      <c r="R2647" s="5"/>
    </row>
    <row r="2648" spans="12:18" x14ac:dyDescent="0.35">
      <c r="L2648" s="71"/>
      <c r="R2648" s="5"/>
    </row>
    <row r="2649" spans="12:18" x14ac:dyDescent="0.35">
      <c r="L2649" s="71"/>
      <c r="R2649" s="5"/>
    </row>
    <row r="2650" spans="12:18" x14ac:dyDescent="0.35">
      <c r="L2650" s="71"/>
      <c r="R2650" s="5"/>
    </row>
    <row r="2651" spans="12:18" x14ac:dyDescent="0.35">
      <c r="L2651" s="71"/>
      <c r="R2651" s="5"/>
    </row>
    <row r="2652" spans="12:18" x14ac:dyDescent="0.35">
      <c r="L2652" s="71"/>
      <c r="R2652" s="5"/>
    </row>
    <row r="2653" spans="12:18" x14ac:dyDescent="0.35">
      <c r="L2653" s="71"/>
      <c r="R2653" s="5"/>
    </row>
    <row r="2654" spans="12:18" x14ac:dyDescent="0.35">
      <c r="L2654" s="71"/>
      <c r="R2654" s="5"/>
    </row>
    <row r="2655" spans="12:18" x14ac:dyDescent="0.35">
      <c r="L2655" s="71"/>
      <c r="R2655" s="5"/>
    </row>
    <row r="2656" spans="12:18" x14ac:dyDescent="0.35">
      <c r="L2656" s="71"/>
      <c r="R2656" s="5"/>
    </row>
    <row r="2657" spans="12:18" x14ac:dyDescent="0.35">
      <c r="L2657" s="71"/>
      <c r="R2657" s="5"/>
    </row>
    <row r="2658" spans="12:18" x14ac:dyDescent="0.35">
      <c r="L2658" s="71"/>
      <c r="R2658" s="5"/>
    </row>
    <row r="2659" spans="12:18" x14ac:dyDescent="0.35">
      <c r="L2659" s="71"/>
      <c r="R2659" s="5"/>
    </row>
    <row r="2660" spans="12:18" x14ac:dyDescent="0.35">
      <c r="L2660" s="71"/>
      <c r="R2660" s="5"/>
    </row>
    <row r="2661" spans="12:18" x14ac:dyDescent="0.35">
      <c r="L2661" s="71"/>
      <c r="R2661" s="5"/>
    </row>
    <row r="2662" spans="12:18" x14ac:dyDescent="0.35">
      <c r="L2662" s="71"/>
      <c r="R2662" s="5"/>
    </row>
    <row r="2663" spans="12:18" x14ac:dyDescent="0.35">
      <c r="L2663" s="71"/>
      <c r="R2663" s="5"/>
    </row>
    <row r="2664" spans="12:18" x14ac:dyDescent="0.35">
      <c r="L2664" s="71"/>
      <c r="R2664" s="5"/>
    </row>
    <row r="2665" spans="12:18" x14ac:dyDescent="0.35">
      <c r="L2665" s="71"/>
      <c r="R2665" s="5"/>
    </row>
    <row r="2666" spans="12:18" x14ac:dyDescent="0.35">
      <c r="L2666" s="71"/>
      <c r="R2666" s="5"/>
    </row>
    <row r="2667" spans="12:18" x14ac:dyDescent="0.35">
      <c r="L2667" s="71"/>
      <c r="R2667" s="5"/>
    </row>
    <row r="2668" spans="12:18" x14ac:dyDescent="0.35">
      <c r="L2668" s="71"/>
      <c r="R2668" s="5"/>
    </row>
    <row r="2669" spans="12:18" x14ac:dyDescent="0.35">
      <c r="L2669" s="71"/>
      <c r="R2669" s="5"/>
    </row>
    <row r="2670" spans="12:18" x14ac:dyDescent="0.35">
      <c r="L2670" s="71"/>
      <c r="R2670" s="5"/>
    </row>
    <row r="2671" spans="12:18" x14ac:dyDescent="0.35">
      <c r="L2671" s="71"/>
      <c r="R2671" s="5"/>
    </row>
    <row r="2672" spans="12:18" x14ac:dyDescent="0.35">
      <c r="L2672" s="71"/>
      <c r="R2672" s="5"/>
    </row>
    <row r="2673" spans="12:18" x14ac:dyDescent="0.35">
      <c r="L2673" s="71"/>
      <c r="R2673" s="5"/>
    </row>
    <row r="2674" spans="12:18" x14ac:dyDescent="0.35">
      <c r="L2674" s="71"/>
      <c r="R2674" s="5"/>
    </row>
    <row r="2675" spans="12:18" x14ac:dyDescent="0.35">
      <c r="L2675" s="71"/>
      <c r="R2675" s="5"/>
    </row>
    <row r="2676" spans="12:18" x14ac:dyDescent="0.35">
      <c r="L2676" s="71"/>
      <c r="R2676" s="5"/>
    </row>
    <row r="2677" spans="12:18" x14ac:dyDescent="0.35">
      <c r="L2677" s="71"/>
      <c r="R2677" s="5"/>
    </row>
    <row r="2678" spans="12:18" x14ac:dyDescent="0.35">
      <c r="L2678" s="71"/>
      <c r="R2678" s="5"/>
    </row>
    <row r="2679" spans="12:18" x14ac:dyDescent="0.35">
      <c r="L2679" s="71"/>
      <c r="R2679" s="5"/>
    </row>
    <row r="2680" spans="12:18" x14ac:dyDescent="0.35">
      <c r="L2680" s="71"/>
      <c r="R2680" s="5"/>
    </row>
    <row r="2681" spans="12:18" x14ac:dyDescent="0.35">
      <c r="L2681" s="71"/>
      <c r="R2681" s="5"/>
    </row>
    <row r="2682" spans="12:18" x14ac:dyDescent="0.35">
      <c r="L2682" s="71"/>
      <c r="R2682" s="5"/>
    </row>
    <row r="2683" spans="12:18" x14ac:dyDescent="0.35">
      <c r="L2683" s="71"/>
      <c r="R2683" s="5"/>
    </row>
    <row r="2684" spans="12:18" x14ac:dyDescent="0.35">
      <c r="L2684" s="71"/>
      <c r="R2684" s="5"/>
    </row>
    <row r="2685" spans="12:18" x14ac:dyDescent="0.35">
      <c r="L2685" s="71"/>
      <c r="R2685" s="5"/>
    </row>
    <row r="2686" spans="12:18" x14ac:dyDescent="0.35">
      <c r="L2686" s="71"/>
      <c r="R2686" s="5"/>
    </row>
    <row r="2687" spans="12:18" x14ac:dyDescent="0.35">
      <c r="L2687" s="71"/>
      <c r="R2687" s="5"/>
    </row>
    <row r="2688" spans="12:18" x14ac:dyDescent="0.35">
      <c r="L2688" s="71"/>
      <c r="R2688" s="5"/>
    </row>
    <row r="2689" spans="12:18" x14ac:dyDescent="0.35">
      <c r="L2689" s="71"/>
      <c r="R2689" s="5"/>
    </row>
    <row r="2690" spans="12:18" x14ac:dyDescent="0.35">
      <c r="L2690" s="71"/>
      <c r="R2690" s="5"/>
    </row>
    <row r="2691" spans="12:18" x14ac:dyDescent="0.35">
      <c r="L2691" s="71"/>
      <c r="R2691" s="5"/>
    </row>
    <row r="2692" spans="12:18" x14ac:dyDescent="0.35">
      <c r="L2692" s="71"/>
      <c r="R2692" s="5"/>
    </row>
    <row r="2693" spans="12:18" x14ac:dyDescent="0.35">
      <c r="L2693" s="71"/>
      <c r="R2693" s="5"/>
    </row>
    <row r="2694" spans="12:18" x14ac:dyDescent="0.35">
      <c r="L2694" s="71"/>
      <c r="R2694" s="5"/>
    </row>
    <row r="2695" spans="12:18" x14ac:dyDescent="0.35">
      <c r="L2695" s="71"/>
      <c r="R2695" s="5"/>
    </row>
    <row r="2696" spans="12:18" x14ac:dyDescent="0.35">
      <c r="L2696" s="71"/>
      <c r="R2696" s="5"/>
    </row>
    <row r="2697" spans="12:18" x14ac:dyDescent="0.35">
      <c r="L2697" s="71"/>
      <c r="R2697" s="5"/>
    </row>
    <row r="2698" spans="12:18" x14ac:dyDescent="0.35">
      <c r="L2698" s="71"/>
      <c r="R2698" s="5"/>
    </row>
    <row r="2699" spans="12:18" x14ac:dyDescent="0.35">
      <c r="L2699" s="71"/>
      <c r="R2699" s="5"/>
    </row>
    <row r="2700" spans="12:18" x14ac:dyDescent="0.35">
      <c r="L2700" s="71"/>
      <c r="R2700" s="5"/>
    </row>
    <row r="2701" spans="12:18" x14ac:dyDescent="0.35">
      <c r="L2701" s="71"/>
      <c r="R2701" s="5"/>
    </row>
    <row r="2702" spans="12:18" x14ac:dyDescent="0.35">
      <c r="L2702" s="71"/>
      <c r="R2702" s="5"/>
    </row>
    <row r="2703" spans="12:18" x14ac:dyDescent="0.35">
      <c r="L2703" s="71"/>
      <c r="R2703" s="5"/>
    </row>
    <row r="2704" spans="12:18" x14ac:dyDescent="0.35">
      <c r="L2704" s="71"/>
      <c r="R2704" s="5"/>
    </row>
    <row r="2705" spans="12:18" x14ac:dyDescent="0.35">
      <c r="L2705" s="71"/>
      <c r="R2705" s="5"/>
    </row>
    <row r="2706" spans="12:18" x14ac:dyDescent="0.35">
      <c r="L2706" s="71"/>
      <c r="R2706" s="5"/>
    </row>
    <row r="2707" spans="12:18" x14ac:dyDescent="0.35">
      <c r="L2707" s="71"/>
      <c r="R2707" s="5"/>
    </row>
    <row r="2708" spans="12:18" x14ac:dyDescent="0.35">
      <c r="L2708" s="71"/>
      <c r="R2708" s="5"/>
    </row>
    <row r="2709" spans="12:18" x14ac:dyDescent="0.35">
      <c r="L2709" s="71"/>
      <c r="R2709" s="5"/>
    </row>
    <row r="2710" spans="12:18" x14ac:dyDescent="0.35">
      <c r="L2710" s="71"/>
      <c r="R2710" s="5"/>
    </row>
    <row r="2711" spans="12:18" x14ac:dyDescent="0.35">
      <c r="L2711" s="71"/>
      <c r="R2711" s="5"/>
    </row>
    <row r="2712" spans="12:18" x14ac:dyDescent="0.35">
      <c r="L2712" s="71"/>
      <c r="R2712" s="5"/>
    </row>
    <row r="2713" spans="12:18" x14ac:dyDescent="0.35">
      <c r="L2713" s="71"/>
      <c r="R2713" s="5"/>
    </row>
    <row r="2714" spans="12:18" x14ac:dyDescent="0.35">
      <c r="L2714" s="71"/>
      <c r="R2714" s="5"/>
    </row>
    <row r="2715" spans="12:18" x14ac:dyDescent="0.35">
      <c r="L2715" s="71"/>
      <c r="R2715" s="5"/>
    </row>
    <row r="2716" spans="12:18" x14ac:dyDescent="0.35">
      <c r="L2716" s="71"/>
      <c r="R2716" s="5"/>
    </row>
    <row r="2717" spans="12:18" x14ac:dyDescent="0.35">
      <c r="L2717" s="71"/>
      <c r="R2717" s="5"/>
    </row>
    <row r="2718" spans="12:18" x14ac:dyDescent="0.35">
      <c r="L2718" s="71"/>
      <c r="R2718" s="5"/>
    </row>
    <row r="2719" spans="12:18" x14ac:dyDescent="0.35">
      <c r="L2719" s="71"/>
      <c r="R2719" s="5"/>
    </row>
    <row r="2720" spans="12:18" x14ac:dyDescent="0.35">
      <c r="L2720" s="71"/>
      <c r="R2720" s="5"/>
    </row>
    <row r="2721" spans="12:18" x14ac:dyDescent="0.35">
      <c r="L2721" s="71"/>
      <c r="R2721" s="5"/>
    </row>
    <row r="2722" spans="12:18" x14ac:dyDescent="0.35">
      <c r="L2722" s="71"/>
      <c r="R2722" s="5"/>
    </row>
    <row r="2723" spans="12:18" x14ac:dyDescent="0.35">
      <c r="L2723" s="71"/>
      <c r="R2723" s="5"/>
    </row>
    <row r="2724" spans="12:18" x14ac:dyDescent="0.35">
      <c r="L2724" s="71"/>
      <c r="R2724" s="5"/>
    </row>
    <row r="2725" spans="12:18" x14ac:dyDescent="0.35">
      <c r="L2725" s="71"/>
      <c r="R2725" s="5"/>
    </row>
    <row r="2726" spans="12:18" x14ac:dyDescent="0.35">
      <c r="L2726" s="71"/>
      <c r="R2726" s="5"/>
    </row>
    <row r="2727" spans="12:18" x14ac:dyDescent="0.35">
      <c r="L2727" s="71"/>
      <c r="R2727" s="5"/>
    </row>
    <row r="2728" spans="12:18" x14ac:dyDescent="0.35">
      <c r="L2728" s="71"/>
      <c r="R2728" s="5"/>
    </row>
    <row r="2729" spans="12:18" x14ac:dyDescent="0.35">
      <c r="L2729" s="71"/>
      <c r="R2729" s="5"/>
    </row>
    <row r="2730" spans="12:18" x14ac:dyDescent="0.35">
      <c r="L2730" s="71"/>
      <c r="R2730" s="5"/>
    </row>
    <row r="2731" spans="12:18" x14ac:dyDescent="0.35">
      <c r="L2731" s="71"/>
      <c r="R2731" s="5"/>
    </row>
    <row r="2732" spans="12:18" x14ac:dyDescent="0.35">
      <c r="L2732" s="71"/>
      <c r="R2732" s="5"/>
    </row>
    <row r="2733" spans="12:18" x14ac:dyDescent="0.35">
      <c r="L2733" s="71"/>
      <c r="R2733" s="5"/>
    </row>
    <row r="2734" spans="12:18" x14ac:dyDescent="0.35">
      <c r="L2734" s="71"/>
      <c r="R2734" s="5"/>
    </row>
    <row r="2735" spans="12:18" x14ac:dyDescent="0.35">
      <c r="L2735" s="71"/>
      <c r="R2735" s="5"/>
    </row>
    <row r="2736" spans="12:18" x14ac:dyDescent="0.35">
      <c r="L2736" s="71"/>
      <c r="R2736" s="5"/>
    </row>
    <row r="2737" spans="12:18" x14ac:dyDescent="0.35">
      <c r="L2737" s="71"/>
      <c r="R2737" s="5"/>
    </row>
    <row r="2738" spans="12:18" x14ac:dyDescent="0.35">
      <c r="L2738" s="71"/>
      <c r="R2738" s="5"/>
    </row>
    <row r="2739" spans="12:18" x14ac:dyDescent="0.35">
      <c r="L2739" s="71"/>
      <c r="R2739" s="5"/>
    </row>
    <row r="2740" spans="12:18" x14ac:dyDescent="0.35">
      <c r="L2740" s="71"/>
      <c r="R2740" s="5"/>
    </row>
    <row r="2741" spans="12:18" x14ac:dyDescent="0.35">
      <c r="L2741" s="71"/>
      <c r="R2741" s="5"/>
    </row>
    <row r="2742" spans="12:18" x14ac:dyDescent="0.35">
      <c r="L2742" s="71"/>
      <c r="R2742" s="5"/>
    </row>
    <row r="2743" spans="12:18" x14ac:dyDescent="0.35">
      <c r="L2743" s="71"/>
      <c r="R2743" s="5"/>
    </row>
    <row r="2744" spans="12:18" x14ac:dyDescent="0.35">
      <c r="L2744" s="71"/>
      <c r="R2744" s="5"/>
    </row>
    <row r="2745" spans="12:18" x14ac:dyDescent="0.35">
      <c r="L2745" s="71"/>
      <c r="R2745" s="5"/>
    </row>
    <row r="2746" spans="12:18" x14ac:dyDescent="0.35">
      <c r="L2746" s="71"/>
      <c r="R2746" s="5"/>
    </row>
    <row r="2747" spans="12:18" x14ac:dyDescent="0.35">
      <c r="L2747" s="71"/>
      <c r="R2747" s="5"/>
    </row>
    <row r="2748" spans="12:18" x14ac:dyDescent="0.35">
      <c r="L2748" s="71"/>
      <c r="R2748" s="5"/>
    </row>
    <row r="2749" spans="12:18" x14ac:dyDescent="0.35">
      <c r="L2749" s="71"/>
      <c r="R2749" s="5"/>
    </row>
    <row r="2750" spans="12:18" x14ac:dyDescent="0.35">
      <c r="L2750" s="71"/>
      <c r="R2750" s="5"/>
    </row>
    <row r="2751" spans="12:18" x14ac:dyDescent="0.35">
      <c r="L2751" s="71"/>
      <c r="R2751" s="5"/>
    </row>
    <row r="2752" spans="12:18" x14ac:dyDescent="0.35">
      <c r="L2752" s="71"/>
      <c r="R2752" s="5"/>
    </row>
    <row r="2753" spans="12:18" x14ac:dyDescent="0.35">
      <c r="L2753" s="71"/>
      <c r="R2753" s="5"/>
    </row>
    <row r="2754" spans="12:18" x14ac:dyDescent="0.35">
      <c r="L2754" s="71"/>
      <c r="R2754" s="5"/>
    </row>
    <row r="2755" spans="12:18" x14ac:dyDescent="0.35">
      <c r="L2755" s="71"/>
      <c r="R2755" s="5"/>
    </row>
    <row r="2756" spans="12:18" x14ac:dyDescent="0.35">
      <c r="L2756" s="71"/>
      <c r="R2756" s="5"/>
    </row>
    <row r="2757" spans="12:18" x14ac:dyDescent="0.35">
      <c r="L2757" s="71"/>
      <c r="R2757" s="5"/>
    </row>
    <row r="2758" spans="12:18" x14ac:dyDescent="0.35">
      <c r="L2758" s="71"/>
      <c r="R2758" s="5"/>
    </row>
    <row r="2759" spans="12:18" x14ac:dyDescent="0.35">
      <c r="L2759" s="71"/>
      <c r="R2759" s="5"/>
    </row>
    <row r="2760" spans="12:18" x14ac:dyDescent="0.35">
      <c r="L2760" s="71"/>
      <c r="R2760" s="5"/>
    </row>
    <row r="2761" spans="12:18" x14ac:dyDescent="0.35">
      <c r="L2761" s="71"/>
      <c r="R2761" s="5"/>
    </row>
    <row r="2762" spans="12:18" x14ac:dyDescent="0.35">
      <c r="L2762" s="71"/>
      <c r="R2762" s="5"/>
    </row>
    <row r="2763" spans="12:18" x14ac:dyDescent="0.35">
      <c r="L2763" s="71"/>
      <c r="R2763" s="5"/>
    </row>
    <row r="2764" spans="12:18" x14ac:dyDescent="0.35">
      <c r="L2764" s="71"/>
      <c r="R2764" s="5"/>
    </row>
    <row r="2765" spans="12:18" x14ac:dyDescent="0.35">
      <c r="L2765" s="71"/>
      <c r="R2765" s="5"/>
    </row>
    <row r="2766" spans="12:18" x14ac:dyDescent="0.35">
      <c r="L2766" s="71"/>
      <c r="R2766" s="5"/>
    </row>
    <row r="2767" spans="12:18" x14ac:dyDescent="0.35">
      <c r="L2767" s="71"/>
      <c r="R2767" s="5"/>
    </row>
    <row r="2768" spans="12:18" x14ac:dyDescent="0.35">
      <c r="L2768" s="71"/>
      <c r="R2768" s="5"/>
    </row>
    <row r="2769" spans="12:18" x14ac:dyDescent="0.35">
      <c r="L2769" s="71"/>
      <c r="R2769" s="5"/>
    </row>
    <row r="2770" spans="12:18" x14ac:dyDescent="0.35">
      <c r="L2770" s="71"/>
      <c r="R2770" s="5"/>
    </row>
    <row r="2771" spans="12:18" x14ac:dyDescent="0.35">
      <c r="L2771" s="71"/>
      <c r="R2771" s="5"/>
    </row>
    <row r="2772" spans="12:18" x14ac:dyDescent="0.35">
      <c r="L2772" s="71"/>
      <c r="R2772" s="5"/>
    </row>
    <row r="2773" spans="12:18" x14ac:dyDescent="0.35">
      <c r="L2773" s="71"/>
      <c r="R2773" s="5"/>
    </row>
    <row r="2774" spans="12:18" x14ac:dyDescent="0.35">
      <c r="L2774" s="71"/>
      <c r="R2774" s="5"/>
    </row>
    <row r="2775" spans="12:18" x14ac:dyDescent="0.35">
      <c r="L2775" s="71"/>
      <c r="R2775" s="5"/>
    </row>
    <row r="2776" spans="12:18" x14ac:dyDescent="0.35">
      <c r="L2776" s="71"/>
      <c r="R2776" s="5"/>
    </row>
    <row r="2777" spans="12:18" x14ac:dyDescent="0.35">
      <c r="L2777" s="71"/>
      <c r="R2777" s="5"/>
    </row>
    <row r="2778" spans="12:18" x14ac:dyDescent="0.35">
      <c r="L2778" s="71"/>
      <c r="R2778" s="5"/>
    </row>
    <row r="2779" spans="12:18" x14ac:dyDescent="0.35">
      <c r="L2779" s="71"/>
      <c r="R2779" s="5"/>
    </row>
    <row r="2780" spans="12:18" x14ac:dyDescent="0.35">
      <c r="L2780" s="71"/>
      <c r="R2780" s="5"/>
    </row>
    <row r="2781" spans="12:18" x14ac:dyDescent="0.35">
      <c r="L2781" s="71"/>
      <c r="R2781" s="5"/>
    </row>
    <row r="2782" spans="12:18" x14ac:dyDescent="0.35">
      <c r="L2782" s="71"/>
      <c r="R2782" s="5"/>
    </row>
    <row r="2783" spans="12:18" x14ac:dyDescent="0.35">
      <c r="L2783" s="71"/>
      <c r="R2783" s="5"/>
    </row>
    <row r="2784" spans="12:18" x14ac:dyDescent="0.35">
      <c r="L2784" s="71"/>
      <c r="R2784" s="5"/>
    </row>
    <row r="2785" spans="12:18" x14ac:dyDescent="0.35">
      <c r="L2785" s="71"/>
      <c r="R2785" s="5"/>
    </row>
    <row r="2786" spans="12:18" x14ac:dyDescent="0.35">
      <c r="L2786" s="71"/>
      <c r="R2786" s="5"/>
    </row>
    <row r="2787" spans="12:18" x14ac:dyDescent="0.35">
      <c r="L2787" s="71"/>
      <c r="R2787" s="5"/>
    </row>
    <row r="2788" spans="12:18" x14ac:dyDescent="0.35">
      <c r="L2788" s="71"/>
      <c r="R2788" s="5"/>
    </row>
    <row r="2789" spans="12:18" x14ac:dyDescent="0.35">
      <c r="L2789" s="71"/>
      <c r="R2789" s="5"/>
    </row>
    <row r="2790" spans="12:18" x14ac:dyDescent="0.35">
      <c r="L2790" s="71"/>
      <c r="R2790" s="5"/>
    </row>
    <row r="2791" spans="12:18" x14ac:dyDescent="0.35">
      <c r="L2791" s="71"/>
      <c r="R2791" s="5"/>
    </row>
    <row r="2792" spans="12:18" x14ac:dyDescent="0.35">
      <c r="L2792" s="71"/>
      <c r="R2792" s="5"/>
    </row>
    <row r="2793" spans="12:18" x14ac:dyDescent="0.35">
      <c r="L2793" s="71"/>
      <c r="R2793" s="5"/>
    </row>
    <row r="2794" spans="12:18" x14ac:dyDescent="0.35">
      <c r="L2794" s="71"/>
      <c r="R2794" s="5"/>
    </row>
    <row r="2795" spans="12:18" x14ac:dyDescent="0.35">
      <c r="L2795" s="71"/>
      <c r="R2795" s="5"/>
    </row>
    <row r="2796" spans="12:18" x14ac:dyDescent="0.35">
      <c r="L2796" s="71"/>
      <c r="R2796" s="5"/>
    </row>
    <row r="2797" spans="12:18" x14ac:dyDescent="0.35">
      <c r="L2797" s="71"/>
      <c r="R2797" s="5"/>
    </row>
    <row r="2798" spans="12:18" x14ac:dyDescent="0.35">
      <c r="L2798" s="71"/>
      <c r="R2798" s="5"/>
    </row>
    <row r="2799" spans="12:18" x14ac:dyDescent="0.35">
      <c r="L2799" s="71"/>
      <c r="R2799" s="5"/>
    </row>
    <row r="2800" spans="12:18" x14ac:dyDescent="0.35">
      <c r="L2800" s="71"/>
      <c r="R2800" s="5"/>
    </row>
    <row r="2801" spans="12:18" x14ac:dyDescent="0.35">
      <c r="L2801" s="71"/>
      <c r="R2801" s="5"/>
    </row>
    <row r="2802" spans="12:18" x14ac:dyDescent="0.35">
      <c r="L2802" s="71"/>
      <c r="R2802" s="5"/>
    </row>
    <row r="2803" spans="12:18" x14ac:dyDescent="0.35">
      <c r="L2803" s="71"/>
      <c r="R2803" s="5"/>
    </row>
    <row r="2804" spans="12:18" x14ac:dyDescent="0.35">
      <c r="L2804" s="71"/>
      <c r="R2804" s="5"/>
    </row>
    <row r="2805" spans="12:18" x14ac:dyDescent="0.35">
      <c r="L2805" s="71"/>
      <c r="R2805" s="5"/>
    </row>
    <row r="2806" spans="12:18" x14ac:dyDescent="0.35">
      <c r="L2806" s="71"/>
      <c r="R2806" s="5"/>
    </row>
    <row r="2807" spans="12:18" x14ac:dyDescent="0.35">
      <c r="L2807" s="71"/>
      <c r="R2807" s="5"/>
    </row>
    <row r="2808" spans="12:18" x14ac:dyDescent="0.35">
      <c r="L2808" s="71"/>
      <c r="R2808" s="5"/>
    </row>
    <row r="2809" spans="12:18" x14ac:dyDescent="0.35">
      <c r="L2809" s="71"/>
      <c r="R2809" s="5"/>
    </row>
    <row r="2810" spans="12:18" x14ac:dyDescent="0.35">
      <c r="L2810" s="71"/>
      <c r="R2810" s="5"/>
    </row>
    <row r="2811" spans="12:18" x14ac:dyDescent="0.35">
      <c r="L2811" s="71"/>
      <c r="R2811" s="5"/>
    </row>
    <row r="2812" spans="12:18" x14ac:dyDescent="0.35">
      <c r="L2812" s="71"/>
      <c r="R2812" s="5"/>
    </row>
    <row r="2813" spans="12:18" x14ac:dyDescent="0.35">
      <c r="L2813" s="71"/>
      <c r="R2813" s="5"/>
    </row>
    <row r="2814" spans="12:18" x14ac:dyDescent="0.35">
      <c r="L2814" s="71"/>
      <c r="R2814" s="5"/>
    </row>
    <row r="2815" spans="12:18" x14ac:dyDescent="0.35">
      <c r="L2815" s="71"/>
      <c r="R2815" s="5"/>
    </row>
    <row r="2816" spans="12:18" x14ac:dyDescent="0.35">
      <c r="L2816" s="71"/>
      <c r="R2816" s="5"/>
    </row>
    <row r="2817" spans="12:18" x14ac:dyDescent="0.35">
      <c r="L2817" s="71"/>
      <c r="R2817" s="5"/>
    </row>
    <row r="2818" spans="12:18" x14ac:dyDescent="0.35">
      <c r="L2818" s="71"/>
      <c r="R2818" s="5"/>
    </row>
    <row r="2819" spans="12:18" x14ac:dyDescent="0.35">
      <c r="L2819" s="71"/>
      <c r="R2819" s="5"/>
    </row>
    <row r="2820" spans="12:18" x14ac:dyDescent="0.35">
      <c r="L2820" s="71"/>
      <c r="R2820" s="5"/>
    </row>
    <row r="2821" spans="12:18" x14ac:dyDescent="0.35">
      <c r="L2821" s="71"/>
      <c r="R2821" s="5"/>
    </row>
    <row r="2822" spans="12:18" x14ac:dyDescent="0.35">
      <c r="L2822" s="71"/>
      <c r="R2822" s="5"/>
    </row>
    <row r="2823" spans="12:18" x14ac:dyDescent="0.35">
      <c r="L2823" s="71"/>
      <c r="R2823" s="5"/>
    </row>
    <row r="2824" spans="12:18" x14ac:dyDescent="0.35">
      <c r="L2824" s="71"/>
      <c r="R2824" s="5"/>
    </row>
    <row r="2825" spans="12:18" x14ac:dyDescent="0.35">
      <c r="L2825" s="71"/>
      <c r="R2825" s="5"/>
    </row>
    <row r="2826" spans="12:18" x14ac:dyDescent="0.35">
      <c r="L2826" s="71"/>
      <c r="R2826" s="5"/>
    </row>
    <row r="2827" spans="12:18" x14ac:dyDescent="0.35">
      <c r="L2827" s="71"/>
      <c r="R2827" s="5"/>
    </row>
    <row r="2828" spans="12:18" x14ac:dyDescent="0.35">
      <c r="L2828" s="71"/>
      <c r="R2828" s="5"/>
    </row>
    <row r="2829" spans="12:18" x14ac:dyDescent="0.35">
      <c r="L2829" s="71"/>
      <c r="R2829" s="5"/>
    </row>
    <row r="2830" spans="12:18" x14ac:dyDescent="0.35">
      <c r="L2830" s="71"/>
      <c r="R2830" s="5"/>
    </row>
    <row r="2831" spans="12:18" x14ac:dyDescent="0.35">
      <c r="L2831" s="71"/>
      <c r="R2831" s="5"/>
    </row>
    <row r="2832" spans="12:18" x14ac:dyDescent="0.35">
      <c r="L2832" s="71"/>
      <c r="R2832" s="5"/>
    </row>
    <row r="2833" spans="12:18" x14ac:dyDescent="0.35">
      <c r="L2833" s="71"/>
      <c r="R2833" s="5"/>
    </row>
    <row r="2834" spans="12:18" x14ac:dyDescent="0.35">
      <c r="L2834" s="71"/>
      <c r="R2834" s="5"/>
    </row>
    <row r="2835" spans="12:18" x14ac:dyDescent="0.35">
      <c r="L2835" s="71"/>
      <c r="R2835" s="5"/>
    </row>
    <row r="2836" spans="12:18" x14ac:dyDescent="0.35">
      <c r="L2836" s="71"/>
      <c r="R2836" s="5"/>
    </row>
    <row r="2837" spans="12:18" x14ac:dyDescent="0.35">
      <c r="L2837" s="71"/>
      <c r="R2837" s="5"/>
    </row>
    <row r="2838" spans="12:18" x14ac:dyDescent="0.35">
      <c r="L2838" s="71"/>
      <c r="R2838" s="5"/>
    </row>
    <row r="2839" spans="12:18" x14ac:dyDescent="0.35">
      <c r="L2839" s="71"/>
      <c r="R2839" s="5"/>
    </row>
    <row r="2840" spans="12:18" x14ac:dyDescent="0.35">
      <c r="L2840" s="71"/>
      <c r="R2840" s="5"/>
    </row>
    <row r="2841" spans="12:18" x14ac:dyDescent="0.35">
      <c r="L2841" s="71"/>
      <c r="R2841" s="5"/>
    </row>
    <row r="2842" spans="12:18" x14ac:dyDescent="0.35">
      <c r="L2842" s="71"/>
      <c r="R2842" s="5"/>
    </row>
    <row r="2843" spans="12:18" x14ac:dyDescent="0.35">
      <c r="L2843" s="71"/>
      <c r="R2843" s="5"/>
    </row>
    <row r="2844" spans="12:18" x14ac:dyDescent="0.35">
      <c r="L2844" s="71"/>
      <c r="R2844" s="5"/>
    </row>
    <row r="2845" spans="12:18" x14ac:dyDescent="0.35">
      <c r="L2845" s="71"/>
      <c r="R2845" s="5"/>
    </row>
    <row r="2846" spans="12:18" x14ac:dyDescent="0.35">
      <c r="L2846" s="71"/>
      <c r="R2846" s="5"/>
    </row>
    <row r="2847" spans="12:18" x14ac:dyDescent="0.35">
      <c r="L2847" s="71"/>
      <c r="R2847" s="5"/>
    </row>
    <row r="2848" spans="12:18" x14ac:dyDescent="0.35">
      <c r="L2848" s="71"/>
      <c r="R2848" s="5"/>
    </row>
    <row r="2849" spans="12:18" x14ac:dyDescent="0.35">
      <c r="L2849" s="71"/>
      <c r="R2849" s="5"/>
    </row>
    <row r="2850" spans="12:18" x14ac:dyDescent="0.35">
      <c r="L2850" s="71"/>
      <c r="R2850" s="5"/>
    </row>
    <row r="2851" spans="12:18" x14ac:dyDescent="0.35">
      <c r="L2851" s="71"/>
      <c r="R2851" s="5"/>
    </row>
    <row r="2852" spans="12:18" x14ac:dyDescent="0.35">
      <c r="L2852" s="71"/>
      <c r="R2852" s="5"/>
    </row>
    <row r="2853" spans="12:18" x14ac:dyDescent="0.35">
      <c r="L2853" s="71"/>
      <c r="R2853" s="5"/>
    </row>
    <row r="2854" spans="12:18" x14ac:dyDescent="0.35">
      <c r="L2854" s="71"/>
      <c r="R2854" s="5"/>
    </row>
    <row r="2855" spans="12:18" x14ac:dyDescent="0.35">
      <c r="L2855" s="71"/>
      <c r="R2855" s="5"/>
    </row>
    <row r="2856" spans="12:18" x14ac:dyDescent="0.35">
      <c r="L2856" s="71"/>
      <c r="R2856" s="5"/>
    </row>
    <row r="2857" spans="12:18" x14ac:dyDescent="0.35">
      <c r="L2857" s="71"/>
      <c r="R2857" s="5"/>
    </row>
    <row r="2858" spans="12:18" x14ac:dyDescent="0.35">
      <c r="L2858" s="71"/>
      <c r="R2858" s="5"/>
    </row>
    <row r="2859" spans="12:18" x14ac:dyDescent="0.35">
      <c r="L2859" s="71"/>
      <c r="R2859" s="5"/>
    </row>
    <row r="2860" spans="12:18" x14ac:dyDescent="0.35">
      <c r="L2860" s="71"/>
      <c r="R2860" s="5"/>
    </row>
    <row r="2861" spans="12:18" x14ac:dyDescent="0.35">
      <c r="L2861" s="71"/>
      <c r="R2861" s="5"/>
    </row>
    <row r="2862" spans="12:18" x14ac:dyDescent="0.35">
      <c r="L2862" s="71"/>
      <c r="R2862" s="5"/>
    </row>
    <row r="2863" spans="12:18" x14ac:dyDescent="0.35">
      <c r="L2863" s="71"/>
      <c r="R2863" s="5"/>
    </row>
    <row r="2864" spans="12:18" x14ac:dyDescent="0.35">
      <c r="L2864" s="71"/>
      <c r="R2864" s="5"/>
    </row>
    <row r="2865" spans="12:18" x14ac:dyDescent="0.35">
      <c r="L2865" s="71"/>
      <c r="R2865" s="5"/>
    </row>
    <row r="2866" spans="12:18" x14ac:dyDescent="0.35">
      <c r="L2866" s="71"/>
      <c r="R2866" s="5"/>
    </row>
    <row r="2867" spans="12:18" x14ac:dyDescent="0.35">
      <c r="L2867" s="71"/>
      <c r="R2867" s="5"/>
    </row>
    <row r="2868" spans="12:18" x14ac:dyDescent="0.35">
      <c r="L2868" s="71"/>
      <c r="R2868" s="5"/>
    </row>
    <row r="2869" spans="12:18" x14ac:dyDescent="0.35">
      <c r="L2869" s="71"/>
      <c r="R2869" s="5"/>
    </row>
    <row r="2870" spans="12:18" x14ac:dyDescent="0.35">
      <c r="L2870" s="71"/>
      <c r="R2870" s="5"/>
    </row>
    <row r="2871" spans="12:18" x14ac:dyDescent="0.35">
      <c r="L2871" s="71"/>
      <c r="R2871" s="5"/>
    </row>
    <row r="2872" spans="12:18" x14ac:dyDescent="0.35">
      <c r="L2872" s="71"/>
      <c r="R2872" s="5"/>
    </row>
    <row r="2873" spans="12:18" x14ac:dyDescent="0.35">
      <c r="L2873" s="71"/>
      <c r="R2873" s="5"/>
    </row>
    <row r="2874" spans="12:18" x14ac:dyDescent="0.35">
      <c r="L2874" s="71"/>
      <c r="R2874" s="5"/>
    </row>
    <row r="2875" spans="12:18" x14ac:dyDescent="0.35">
      <c r="L2875" s="71"/>
      <c r="R2875" s="5"/>
    </row>
    <row r="2876" spans="12:18" x14ac:dyDescent="0.35">
      <c r="L2876" s="71"/>
      <c r="R2876" s="5"/>
    </row>
    <row r="2877" spans="12:18" x14ac:dyDescent="0.35">
      <c r="L2877" s="71"/>
      <c r="R2877" s="5"/>
    </row>
    <row r="2878" spans="12:18" x14ac:dyDescent="0.35">
      <c r="L2878" s="71"/>
      <c r="R2878" s="5"/>
    </row>
    <row r="2879" spans="12:18" x14ac:dyDescent="0.35">
      <c r="L2879" s="71"/>
      <c r="R2879" s="5"/>
    </row>
    <row r="2880" spans="12:18" x14ac:dyDescent="0.35">
      <c r="L2880" s="71"/>
      <c r="R2880" s="5"/>
    </row>
    <row r="2881" spans="12:18" x14ac:dyDescent="0.35">
      <c r="L2881" s="71"/>
      <c r="R2881" s="5"/>
    </row>
    <row r="2882" spans="12:18" x14ac:dyDescent="0.35">
      <c r="L2882" s="71"/>
      <c r="R2882" s="5"/>
    </row>
    <row r="2883" spans="12:18" x14ac:dyDescent="0.35">
      <c r="L2883" s="71"/>
      <c r="R2883" s="5"/>
    </row>
    <row r="2884" spans="12:18" x14ac:dyDescent="0.35">
      <c r="L2884" s="71"/>
      <c r="R2884" s="5"/>
    </row>
    <row r="2885" spans="12:18" x14ac:dyDescent="0.35">
      <c r="L2885" s="71"/>
      <c r="R2885" s="5"/>
    </row>
    <row r="2886" spans="12:18" x14ac:dyDescent="0.35">
      <c r="L2886" s="71"/>
      <c r="R2886" s="5"/>
    </row>
    <row r="2887" spans="12:18" x14ac:dyDescent="0.35">
      <c r="L2887" s="71"/>
      <c r="R2887" s="5"/>
    </row>
    <row r="2888" spans="12:18" x14ac:dyDescent="0.35">
      <c r="L2888" s="71"/>
      <c r="R2888" s="5"/>
    </row>
    <row r="2889" spans="12:18" x14ac:dyDescent="0.35">
      <c r="L2889" s="71"/>
      <c r="R2889" s="5"/>
    </row>
    <row r="2890" spans="12:18" x14ac:dyDescent="0.35">
      <c r="L2890" s="71"/>
      <c r="R2890" s="5"/>
    </row>
    <row r="2891" spans="12:18" x14ac:dyDescent="0.35">
      <c r="L2891" s="71"/>
      <c r="R2891" s="5"/>
    </row>
    <row r="2892" spans="12:18" x14ac:dyDescent="0.35">
      <c r="L2892" s="71"/>
      <c r="R2892" s="5"/>
    </row>
    <row r="2893" spans="12:18" x14ac:dyDescent="0.35">
      <c r="L2893" s="71"/>
      <c r="R2893" s="5"/>
    </row>
    <row r="2894" spans="12:18" x14ac:dyDescent="0.35">
      <c r="L2894" s="71"/>
      <c r="R2894" s="5"/>
    </row>
    <row r="2895" spans="12:18" x14ac:dyDescent="0.35">
      <c r="L2895" s="71"/>
      <c r="R2895" s="5"/>
    </row>
    <row r="2896" spans="12:18" x14ac:dyDescent="0.35">
      <c r="L2896" s="71"/>
      <c r="R2896" s="5"/>
    </row>
    <row r="2897" spans="12:18" x14ac:dyDescent="0.35">
      <c r="L2897" s="71"/>
      <c r="R2897" s="5"/>
    </row>
    <row r="2898" spans="12:18" x14ac:dyDescent="0.35">
      <c r="L2898" s="71"/>
      <c r="R2898" s="5"/>
    </row>
    <row r="2899" spans="12:18" x14ac:dyDescent="0.35">
      <c r="L2899" s="71"/>
      <c r="R2899" s="5"/>
    </row>
    <row r="2900" spans="12:18" x14ac:dyDescent="0.35">
      <c r="L2900" s="71"/>
      <c r="R2900" s="5"/>
    </row>
    <row r="2901" spans="12:18" x14ac:dyDescent="0.35">
      <c r="L2901" s="71"/>
      <c r="R2901" s="5"/>
    </row>
    <row r="2902" spans="12:18" x14ac:dyDescent="0.35">
      <c r="L2902" s="71"/>
      <c r="R2902" s="5"/>
    </row>
    <row r="2903" spans="12:18" x14ac:dyDescent="0.35">
      <c r="L2903" s="71"/>
      <c r="R2903" s="5"/>
    </row>
    <row r="2904" spans="12:18" x14ac:dyDescent="0.35">
      <c r="L2904" s="71"/>
      <c r="R2904" s="5"/>
    </row>
    <row r="2905" spans="12:18" x14ac:dyDescent="0.35">
      <c r="L2905" s="71"/>
      <c r="R2905" s="5"/>
    </row>
    <row r="2906" spans="12:18" x14ac:dyDescent="0.35">
      <c r="L2906" s="71"/>
      <c r="R2906" s="5"/>
    </row>
    <row r="2907" spans="12:18" x14ac:dyDescent="0.35">
      <c r="L2907" s="71"/>
      <c r="R2907" s="5"/>
    </row>
    <row r="2908" spans="12:18" x14ac:dyDescent="0.35">
      <c r="L2908" s="71"/>
      <c r="R2908" s="5"/>
    </row>
    <row r="2909" spans="12:18" x14ac:dyDescent="0.35">
      <c r="L2909" s="71"/>
      <c r="R2909" s="5"/>
    </row>
    <row r="2910" spans="12:18" x14ac:dyDescent="0.35">
      <c r="L2910" s="71"/>
      <c r="R2910" s="5"/>
    </row>
    <row r="2911" spans="12:18" x14ac:dyDescent="0.35">
      <c r="L2911" s="71"/>
      <c r="R2911" s="5"/>
    </row>
    <row r="2912" spans="12:18" x14ac:dyDescent="0.35">
      <c r="L2912" s="71"/>
      <c r="R2912" s="5"/>
    </row>
    <row r="2913" spans="12:18" x14ac:dyDescent="0.35">
      <c r="L2913" s="71"/>
      <c r="R2913" s="5"/>
    </row>
    <row r="2914" spans="12:18" x14ac:dyDescent="0.35">
      <c r="L2914" s="71"/>
      <c r="R2914" s="5"/>
    </row>
    <row r="2915" spans="12:18" x14ac:dyDescent="0.35">
      <c r="L2915" s="71"/>
      <c r="R2915" s="5"/>
    </row>
    <row r="2916" spans="12:18" x14ac:dyDescent="0.35">
      <c r="L2916" s="71"/>
      <c r="R2916" s="5"/>
    </row>
    <row r="2917" spans="12:18" x14ac:dyDescent="0.35">
      <c r="L2917" s="71"/>
      <c r="R2917" s="5"/>
    </row>
    <row r="2918" spans="12:18" x14ac:dyDescent="0.35">
      <c r="L2918" s="71"/>
      <c r="R2918" s="5"/>
    </row>
    <row r="2919" spans="12:18" x14ac:dyDescent="0.35">
      <c r="L2919" s="71"/>
      <c r="R2919" s="5"/>
    </row>
    <row r="2920" spans="12:18" x14ac:dyDescent="0.35">
      <c r="L2920" s="71"/>
      <c r="R2920" s="5"/>
    </row>
    <row r="2921" spans="12:18" x14ac:dyDescent="0.35">
      <c r="L2921" s="71"/>
      <c r="R2921" s="5"/>
    </row>
    <row r="2922" spans="12:18" x14ac:dyDescent="0.35">
      <c r="L2922" s="71"/>
      <c r="R2922" s="5"/>
    </row>
    <row r="2923" spans="12:18" x14ac:dyDescent="0.35">
      <c r="L2923" s="71"/>
      <c r="R2923" s="5"/>
    </row>
    <row r="2924" spans="12:18" x14ac:dyDescent="0.35">
      <c r="L2924" s="71"/>
      <c r="R2924" s="5"/>
    </row>
    <row r="2925" spans="12:18" x14ac:dyDescent="0.35">
      <c r="L2925" s="71"/>
      <c r="R2925" s="5"/>
    </row>
    <row r="2926" spans="12:18" x14ac:dyDescent="0.35">
      <c r="L2926" s="71"/>
      <c r="R2926" s="5"/>
    </row>
    <row r="2927" spans="12:18" x14ac:dyDescent="0.35">
      <c r="L2927" s="71"/>
      <c r="R2927" s="5"/>
    </row>
    <row r="2928" spans="12:18" x14ac:dyDescent="0.35">
      <c r="L2928" s="71"/>
      <c r="R2928" s="5"/>
    </row>
    <row r="2929" spans="12:18" x14ac:dyDescent="0.35">
      <c r="L2929" s="71"/>
      <c r="R2929" s="5"/>
    </row>
    <row r="2930" spans="12:18" x14ac:dyDescent="0.35">
      <c r="L2930" s="71"/>
      <c r="R2930" s="5"/>
    </row>
    <row r="2931" spans="12:18" x14ac:dyDescent="0.35">
      <c r="L2931" s="71"/>
      <c r="R2931" s="5"/>
    </row>
    <row r="2932" spans="12:18" x14ac:dyDescent="0.35">
      <c r="L2932" s="71"/>
      <c r="R2932" s="5"/>
    </row>
    <row r="2933" spans="12:18" x14ac:dyDescent="0.35">
      <c r="L2933" s="71"/>
      <c r="R2933" s="5"/>
    </row>
    <row r="2934" spans="12:18" x14ac:dyDescent="0.35">
      <c r="L2934" s="71"/>
      <c r="R2934" s="5"/>
    </row>
    <row r="2935" spans="12:18" x14ac:dyDescent="0.35">
      <c r="L2935" s="71"/>
      <c r="R2935" s="5"/>
    </row>
    <row r="2936" spans="12:18" x14ac:dyDescent="0.35">
      <c r="L2936" s="71"/>
      <c r="R2936" s="5"/>
    </row>
    <row r="2937" spans="12:18" x14ac:dyDescent="0.35">
      <c r="L2937" s="71"/>
      <c r="R2937" s="5"/>
    </row>
    <row r="2938" spans="12:18" x14ac:dyDescent="0.35">
      <c r="L2938" s="71"/>
      <c r="R2938" s="5"/>
    </row>
    <row r="2939" spans="12:18" x14ac:dyDescent="0.35">
      <c r="L2939" s="71"/>
      <c r="R2939" s="5"/>
    </row>
    <row r="2940" spans="12:18" x14ac:dyDescent="0.35">
      <c r="L2940" s="71"/>
      <c r="R2940" s="5"/>
    </row>
    <row r="2941" spans="12:18" x14ac:dyDescent="0.35">
      <c r="L2941" s="71"/>
      <c r="R2941" s="5"/>
    </row>
    <row r="2942" spans="12:18" x14ac:dyDescent="0.35">
      <c r="L2942" s="71"/>
      <c r="R2942" s="5"/>
    </row>
    <row r="2943" spans="12:18" x14ac:dyDescent="0.35">
      <c r="L2943" s="71"/>
      <c r="R2943" s="5"/>
    </row>
    <row r="2944" spans="12:18" x14ac:dyDescent="0.35">
      <c r="L2944" s="71"/>
      <c r="R2944" s="5"/>
    </row>
    <row r="2945" spans="12:18" x14ac:dyDescent="0.35">
      <c r="L2945" s="71"/>
      <c r="R2945" s="5"/>
    </row>
    <row r="2946" spans="12:18" x14ac:dyDescent="0.35">
      <c r="L2946" s="71"/>
      <c r="R2946" s="5"/>
    </row>
    <row r="2947" spans="12:18" x14ac:dyDescent="0.35">
      <c r="L2947" s="71"/>
      <c r="R2947" s="5"/>
    </row>
    <row r="2948" spans="12:18" x14ac:dyDescent="0.35">
      <c r="L2948" s="71"/>
      <c r="R2948" s="5"/>
    </row>
    <row r="2949" spans="12:18" x14ac:dyDescent="0.35">
      <c r="L2949" s="71"/>
      <c r="R2949" s="5"/>
    </row>
    <row r="2950" spans="12:18" x14ac:dyDescent="0.35">
      <c r="L2950" s="71"/>
      <c r="R2950" s="5"/>
    </row>
    <row r="2951" spans="12:18" x14ac:dyDescent="0.35">
      <c r="L2951" s="71"/>
      <c r="R2951" s="5"/>
    </row>
    <row r="2952" spans="12:18" x14ac:dyDescent="0.35">
      <c r="L2952" s="71"/>
      <c r="R2952" s="5"/>
    </row>
    <row r="2953" spans="12:18" x14ac:dyDescent="0.35">
      <c r="L2953" s="71"/>
      <c r="R2953" s="5"/>
    </row>
    <row r="2954" spans="12:18" x14ac:dyDescent="0.35">
      <c r="L2954" s="71"/>
      <c r="R2954" s="5"/>
    </row>
    <row r="2955" spans="12:18" x14ac:dyDescent="0.35">
      <c r="L2955" s="71"/>
      <c r="R2955" s="5"/>
    </row>
    <row r="2956" spans="12:18" x14ac:dyDescent="0.35">
      <c r="L2956" s="71"/>
      <c r="R2956" s="5"/>
    </row>
    <row r="2957" spans="12:18" x14ac:dyDescent="0.35">
      <c r="L2957" s="71"/>
      <c r="R2957" s="5"/>
    </row>
    <row r="2958" spans="12:18" x14ac:dyDescent="0.35">
      <c r="L2958" s="71"/>
      <c r="R2958" s="5"/>
    </row>
    <row r="2959" spans="12:18" x14ac:dyDescent="0.35">
      <c r="L2959" s="71"/>
      <c r="R2959" s="5"/>
    </row>
    <row r="2960" spans="12:18" x14ac:dyDescent="0.35">
      <c r="L2960" s="71"/>
      <c r="R2960" s="5"/>
    </row>
    <row r="2961" spans="12:18" x14ac:dyDescent="0.35">
      <c r="L2961" s="71"/>
      <c r="R2961" s="5"/>
    </row>
    <row r="2962" spans="12:18" x14ac:dyDescent="0.35">
      <c r="L2962" s="71"/>
      <c r="R2962" s="5"/>
    </row>
    <row r="2963" spans="12:18" x14ac:dyDescent="0.35">
      <c r="L2963" s="71"/>
      <c r="R2963" s="5"/>
    </row>
    <row r="2964" spans="12:18" x14ac:dyDescent="0.35">
      <c r="L2964" s="71"/>
      <c r="R2964" s="5"/>
    </row>
    <row r="2965" spans="12:18" x14ac:dyDescent="0.35">
      <c r="L2965" s="71"/>
      <c r="R2965" s="5"/>
    </row>
    <row r="2966" spans="12:18" x14ac:dyDescent="0.35">
      <c r="L2966" s="71"/>
      <c r="R2966" s="5"/>
    </row>
    <row r="2967" spans="12:18" x14ac:dyDescent="0.35">
      <c r="L2967" s="71"/>
      <c r="R2967" s="5"/>
    </row>
    <row r="2968" spans="12:18" x14ac:dyDescent="0.35">
      <c r="L2968" s="71"/>
      <c r="R2968" s="5"/>
    </row>
    <row r="2969" spans="12:18" x14ac:dyDescent="0.35">
      <c r="L2969" s="71"/>
      <c r="R2969" s="5"/>
    </row>
    <row r="2970" spans="12:18" x14ac:dyDescent="0.35">
      <c r="L2970" s="71"/>
      <c r="R2970" s="5"/>
    </row>
    <row r="2971" spans="12:18" x14ac:dyDescent="0.35">
      <c r="L2971" s="71"/>
      <c r="R2971" s="5"/>
    </row>
    <row r="2972" spans="12:18" x14ac:dyDescent="0.35">
      <c r="L2972" s="71"/>
      <c r="R2972" s="5"/>
    </row>
    <row r="2973" spans="12:18" x14ac:dyDescent="0.35">
      <c r="L2973" s="71"/>
      <c r="R2973" s="5"/>
    </row>
    <row r="2974" spans="12:18" x14ac:dyDescent="0.35">
      <c r="L2974" s="71"/>
      <c r="R2974" s="5"/>
    </row>
    <row r="2975" spans="12:18" x14ac:dyDescent="0.35">
      <c r="L2975" s="71"/>
      <c r="R2975" s="5"/>
    </row>
    <row r="2976" spans="12:18" x14ac:dyDescent="0.35">
      <c r="L2976" s="71"/>
      <c r="R2976" s="5"/>
    </row>
    <row r="2977" spans="12:18" x14ac:dyDescent="0.35">
      <c r="L2977" s="71"/>
      <c r="R2977" s="5"/>
    </row>
    <row r="2978" spans="12:18" x14ac:dyDescent="0.35">
      <c r="L2978" s="71"/>
      <c r="R2978" s="5"/>
    </row>
    <row r="2979" spans="12:18" x14ac:dyDescent="0.35">
      <c r="L2979" s="71"/>
      <c r="R2979" s="5"/>
    </row>
    <row r="2980" spans="12:18" x14ac:dyDescent="0.35">
      <c r="L2980" s="71"/>
      <c r="R2980" s="5"/>
    </row>
    <row r="2981" spans="12:18" x14ac:dyDescent="0.35">
      <c r="L2981" s="71"/>
      <c r="R2981" s="5"/>
    </row>
    <row r="2982" spans="12:18" x14ac:dyDescent="0.35">
      <c r="L2982" s="71"/>
      <c r="R2982" s="5"/>
    </row>
    <row r="2983" spans="12:18" x14ac:dyDescent="0.35">
      <c r="L2983" s="71"/>
      <c r="R2983" s="5"/>
    </row>
    <row r="2984" spans="12:18" x14ac:dyDescent="0.35">
      <c r="L2984" s="71"/>
      <c r="R2984" s="5"/>
    </row>
    <row r="2985" spans="12:18" x14ac:dyDescent="0.35">
      <c r="L2985" s="71"/>
      <c r="R2985" s="5"/>
    </row>
    <row r="2986" spans="12:18" x14ac:dyDescent="0.35">
      <c r="L2986" s="71"/>
      <c r="R2986" s="5"/>
    </row>
    <row r="2987" spans="12:18" x14ac:dyDescent="0.35">
      <c r="L2987" s="71"/>
      <c r="R2987" s="5"/>
    </row>
    <row r="2988" spans="12:18" x14ac:dyDescent="0.35">
      <c r="L2988" s="71"/>
      <c r="R2988" s="5"/>
    </row>
    <row r="2989" spans="12:18" x14ac:dyDescent="0.35">
      <c r="L2989" s="71"/>
      <c r="R2989" s="5"/>
    </row>
    <row r="2990" spans="12:18" x14ac:dyDescent="0.35">
      <c r="L2990" s="71"/>
      <c r="R2990" s="5"/>
    </row>
    <row r="2991" spans="12:18" x14ac:dyDescent="0.35">
      <c r="L2991" s="71"/>
      <c r="R2991" s="5"/>
    </row>
    <row r="2992" spans="12:18" x14ac:dyDescent="0.35">
      <c r="L2992" s="71"/>
      <c r="R2992" s="5"/>
    </row>
    <row r="2993" spans="12:18" x14ac:dyDescent="0.35">
      <c r="L2993" s="71"/>
      <c r="R2993" s="5"/>
    </row>
    <row r="2994" spans="12:18" x14ac:dyDescent="0.35">
      <c r="L2994" s="71"/>
      <c r="R2994" s="5"/>
    </row>
    <row r="2995" spans="12:18" x14ac:dyDescent="0.35">
      <c r="L2995" s="71"/>
      <c r="R2995" s="5"/>
    </row>
    <row r="2996" spans="12:18" x14ac:dyDescent="0.35">
      <c r="L2996" s="71"/>
      <c r="R2996" s="5"/>
    </row>
    <row r="2997" spans="12:18" x14ac:dyDescent="0.35">
      <c r="L2997" s="71"/>
      <c r="R2997" s="5"/>
    </row>
    <row r="2998" spans="12:18" x14ac:dyDescent="0.35">
      <c r="L2998" s="71"/>
      <c r="R2998" s="5"/>
    </row>
    <row r="2999" spans="12:18" x14ac:dyDescent="0.35">
      <c r="L2999" s="71"/>
      <c r="R2999" s="5"/>
    </row>
    <row r="3000" spans="12:18" x14ac:dyDescent="0.35">
      <c r="L3000" s="71"/>
      <c r="R3000" s="5"/>
    </row>
    <row r="3001" spans="12:18" x14ac:dyDescent="0.35">
      <c r="L3001" s="71"/>
      <c r="R3001" s="5"/>
    </row>
    <row r="3002" spans="12:18" x14ac:dyDescent="0.35">
      <c r="L3002" s="71"/>
      <c r="R3002" s="5"/>
    </row>
    <row r="3003" spans="12:18" x14ac:dyDescent="0.35">
      <c r="L3003" s="71"/>
      <c r="R3003" s="5"/>
    </row>
    <row r="3004" spans="12:18" x14ac:dyDescent="0.35">
      <c r="L3004" s="71"/>
      <c r="R3004" s="5"/>
    </row>
    <row r="3005" spans="12:18" x14ac:dyDescent="0.35">
      <c r="L3005" s="71"/>
      <c r="R3005" s="5"/>
    </row>
    <row r="3006" spans="12:18" x14ac:dyDescent="0.35">
      <c r="L3006" s="71"/>
      <c r="R3006" s="5"/>
    </row>
    <row r="3007" spans="12:18" x14ac:dyDescent="0.35">
      <c r="L3007" s="71"/>
      <c r="R3007" s="5"/>
    </row>
    <row r="3008" spans="12:18" x14ac:dyDescent="0.35">
      <c r="L3008" s="71"/>
      <c r="R3008" s="5"/>
    </row>
    <row r="3009" spans="12:18" x14ac:dyDescent="0.35">
      <c r="L3009" s="71"/>
      <c r="R3009" s="5"/>
    </row>
    <row r="3010" spans="12:18" x14ac:dyDescent="0.35">
      <c r="L3010" s="71"/>
      <c r="R3010" s="5"/>
    </row>
    <row r="3011" spans="12:18" x14ac:dyDescent="0.35">
      <c r="L3011" s="71"/>
      <c r="R3011" s="5"/>
    </row>
    <row r="3012" spans="12:18" x14ac:dyDescent="0.35">
      <c r="L3012" s="71"/>
      <c r="R3012" s="5"/>
    </row>
    <row r="3013" spans="12:18" x14ac:dyDescent="0.35">
      <c r="L3013" s="71"/>
      <c r="R3013" s="5"/>
    </row>
    <row r="3014" spans="12:18" x14ac:dyDescent="0.35">
      <c r="L3014" s="71"/>
      <c r="R3014" s="5"/>
    </row>
    <row r="3015" spans="12:18" x14ac:dyDescent="0.35">
      <c r="L3015" s="71"/>
      <c r="R3015" s="5"/>
    </row>
    <row r="3016" spans="12:18" x14ac:dyDescent="0.35">
      <c r="L3016" s="71"/>
      <c r="R3016" s="5"/>
    </row>
    <row r="3017" spans="12:18" x14ac:dyDescent="0.35">
      <c r="L3017" s="71"/>
      <c r="R3017" s="5"/>
    </row>
    <row r="3018" spans="12:18" x14ac:dyDescent="0.35">
      <c r="L3018" s="71"/>
      <c r="R3018" s="5"/>
    </row>
    <row r="3019" spans="12:18" x14ac:dyDescent="0.35">
      <c r="L3019" s="71"/>
      <c r="R3019" s="5"/>
    </row>
    <row r="3020" spans="12:18" x14ac:dyDescent="0.35">
      <c r="L3020" s="71"/>
      <c r="R3020" s="5"/>
    </row>
    <row r="3021" spans="12:18" x14ac:dyDescent="0.35">
      <c r="L3021" s="71"/>
      <c r="R3021" s="5"/>
    </row>
    <row r="3022" spans="12:18" x14ac:dyDescent="0.35">
      <c r="L3022" s="71"/>
      <c r="R3022" s="5"/>
    </row>
    <row r="3023" spans="12:18" x14ac:dyDescent="0.35">
      <c r="L3023" s="71"/>
      <c r="R3023" s="5"/>
    </row>
    <row r="3024" spans="12:18" x14ac:dyDescent="0.35">
      <c r="L3024" s="71"/>
      <c r="R3024" s="5"/>
    </row>
    <row r="3025" spans="12:18" x14ac:dyDescent="0.35">
      <c r="L3025" s="71"/>
      <c r="R3025" s="5"/>
    </row>
    <row r="3026" spans="12:18" x14ac:dyDescent="0.35">
      <c r="L3026" s="71"/>
      <c r="R3026" s="5"/>
    </row>
    <row r="3027" spans="12:18" x14ac:dyDescent="0.35">
      <c r="L3027" s="71"/>
      <c r="R3027" s="5"/>
    </row>
    <row r="3028" spans="12:18" x14ac:dyDescent="0.35">
      <c r="L3028" s="71"/>
      <c r="R3028" s="5"/>
    </row>
    <row r="3029" spans="12:18" x14ac:dyDescent="0.35">
      <c r="L3029" s="71"/>
      <c r="R3029" s="5"/>
    </row>
    <row r="3030" spans="12:18" x14ac:dyDescent="0.35">
      <c r="L3030" s="71"/>
      <c r="R3030" s="5"/>
    </row>
    <row r="3031" spans="12:18" x14ac:dyDescent="0.35">
      <c r="L3031" s="71"/>
      <c r="R3031" s="5"/>
    </row>
    <row r="3032" spans="12:18" x14ac:dyDescent="0.35">
      <c r="L3032" s="71"/>
      <c r="R3032" s="5"/>
    </row>
    <row r="3033" spans="12:18" x14ac:dyDescent="0.35">
      <c r="L3033" s="71"/>
      <c r="R3033" s="5"/>
    </row>
    <row r="3034" spans="12:18" x14ac:dyDescent="0.35">
      <c r="L3034" s="71"/>
      <c r="R3034" s="5"/>
    </row>
    <row r="3035" spans="12:18" x14ac:dyDescent="0.35">
      <c r="L3035" s="71"/>
      <c r="R3035" s="5"/>
    </row>
    <row r="3036" spans="12:18" x14ac:dyDescent="0.35">
      <c r="L3036" s="71"/>
      <c r="R3036" s="5"/>
    </row>
    <row r="3037" spans="12:18" x14ac:dyDescent="0.35">
      <c r="L3037" s="71"/>
      <c r="R3037" s="5"/>
    </row>
    <row r="3038" spans="12:18" x14ac:dyDescent="0.35">
      <c r="L3038" s="71"/>
      <c r="R3038" s="5"/>
    </row>
    <row r="3039" spans="12:18" x14ac:dyDescent="0.35">
      <c r="L3039" s="71"/>
      <c r="R3039" s="5"/>
    </row>
    <row r="3040" spans="12:18" x14ac:dyDescent="0.35">
      <c r="L3040" s="71"/>
      <c r="R3040" s="5"/>
    </row>
    <row r="3041" spans="12:18" x14ac:dyDescent="0.35">
      <c r="L3041" s="71"/>
      <c r="R3041" s="5"/>
    </row>
    <row r="3042" spans="12:18" x14ac:dyDescent="0.35">
      <c r="L3042" s="71"/>
      <c r="R3042" s="5"/>
    </row>
    <row r="3043" spans="12:18" x14ac:dyDescent="0.35">
      <c r="L3043" s="71"/>
      <c r="R3043" s="5"/>
    </row>
    <row r="3044" spans="12:18" x14ac:dyDescent="0.35">
      <c r="L3044" s="71"/>
      <c r="R3044" s="5"/>
    </row>
    <row r="3045" spans="12:18" x14ac:dyDescent="0.35">
      <c r="L3045" s="71"/>
      <c r="R3045" s="5"/>
    </row>
    <row r="3046" spans="12:18" x14ac:dyDescent="0.35">
      <c r="L3046" s="71"/>
      <c r="R3046" s="5"/>
    </row>
    <row r="3047" spans="12:18" x14ac:dyDescent="0.35">
      <c r="L3047" s="71"/>
      <c r="R3047" s="5"/>
    </row>
    <row r="3048" spans="12:18" x14ac:dyDescent="0.35">
      <c r="L3048" s="71"/>
      <c r="R3048" s="5"/>
    </row>
    <row r="3049" spans="12:18" x14ac:dyDescent="0.35">
      <c r="L3049" s="71"/>
      <c r="R3049" s="5"/>
    </row>
    <row r="3050" spans="12:18" x14ac:dyDescent="0.35">
      <c r="L3050" s="71"/>
      <c r="R3050" s="5"/>
    </row>
    <row r="3051" spans="12:18" x14ac:dyDescent="0.35">
      <c r="L3051" s="71"/>
      <c r="R3051" s="5"/>
    </row>
    <row r="3052" spans="12:18" x14ac:dyDescent="0.35">
      <c r="L3052" s="71"/>
      <c r="R3052" s="5"/>
    </row>
    <row r="3053" spans="12:18" x14ac:dyDescent="0.35">
      <c r="L3053" s="71"/>
      <c r="R3053" s="5"/>
    </row>
    <row r="3054" spans="12:18" x14ac:dyDescent="0.35">
      <c r="L3054" s="71"/>
      <c r="R3054" s="5"/>
    </row>
    <row r="3055" spans="12:18" x14ac:dyDescent="0.35">
      <c r="L3055" s="71"/>
      <c r="R3055" s="5"/>
    </row>
    <row r="3056" spans="12:18" x14ac:dyDescent="0.35">
      <c r="L3056" s="71"/>
      <c r="R3056" s="5"/>
    </row>
    <row r="3057" spans="12:18" x14ac:dyDescent="0.35">
      <c r="L3057" s="71"/>
      <c r="R3057" s="5"/>
    </row>
    <row r="3058" spans="12:18" x14ac:dyDescent="0.35">
      <c r="L3058" s="71"/>
      <c r="R3058" s="5"/>
    </row>
    <row r="3059" spans="12:18" x14ac:dyDescent="0.35">
      <c r="L3059" s="71"/>
      <c r="R3059" s="5"/>
    </row>
    <row r="3060" spans="12:18" x14ac:dyDescent="0.35">
      <c r="L3060" s="71"/>
      <c r="R3060" s="5"/>
    </row>
    <row r="3061" spans="12:18" x14ac:dyDescent="0.35">
      <c r="L3061" s="71"/>
      <c r="R3061" s="5"/>
    </row>
    <row r="3062" spans="12:18" x14ac:dyDescent="0.35">
      <c r="L3062" s="71"/>
      <c r="R3062" s="5"/>
    </row>
    <row r="3063" spans="12:18" x14ac:dyDescent="0.35">
      <c r="L3063" s="71"/>
      <c r="R3063" s="5"/>
    </row>
    <row r="3064" spans="12:18" x14ac:dyDescent="0.35">
      <c r="L3064" s="71"/>
      <c r="R3064" s="5"/>
    </row>
    <row r="3065" spans="12:18" x14ac:dyDescent="0.35">
      <c r="L3065" s="71"/>
      <c r="R3065" s="5"/>
    </row>
    <row r="3066" spans="12:18" x14ac:dyDescent="0.35">
      <c r="L3066" s="71"/>
      <c r="R3066" s="5"/>
    </row>
    <row r="3067" spans="12:18" x14ac:dyDescent="0.35">
      <c r="L3067" s="71"/>
      <c r="R3067" s="5"/>
    </row>
    <row r="3068" spans="12:18" x14ac:dyDescent="0.35">
      <c r="L3068" s="71"/>
      <c r="R3068" s="5"/>
    </row>
    <row r="3069" spans="12:18" x14ac:dyDescent="0.35">
      <c r="L3069" s="71"/>
      <c r="R3069" s="5"/>
    </row>
    <row r="3070" spans="12:18" x14ac:dyDescent="0.35">
      <c r="L3070" s="71"/>
      <c r="R3070" s="5"/>
    </row>
    <row r="3071" spans="12:18" x14ac:dyDescent="0.35">
      <c r="L3071" s="71"/>
      <c r="R3071" s="5"/>
    </row>
    <row r="3072" spans="12:18" x14ac:dyDescent="0.35">
      <c r="L3072" s="71"/>
      <c r="R3072" s="5"/>
    </row>
    <row r="3073" spans="12:18" x14ac:dyDescent="0.35">
      <c r="L3073" s="71"/>
      <c r="R3073" s="5"/>
    </row>
    <row r="3074" spans="12:18" x14ac:dyDescent="0.35">
      <c r="L3074" s="71"/>
      <c r="R3074" s="5"/>
    </row>
    <row r="3075" spans="12:18" x14ac:dyDescent="0.35">
      <c r="L3075" s="71"/>
      <c r="R3075" s="5"/>
    </row>
    <row r="3076" spans="12:18" x14ac:dyDescent="0.35">
      <c r="L3076" s="71"/>
      <c r="R3076" s="5"/>
    </row>
    <row r="3077" spans="12:18" x14ac:dyDescent="0.35">
      <c r="L3077" s="71"/>
      <c r="R3077" s="5"/>
    </row>
    <row r="3078" spans="12:18" x14ac:dyDescent="0.35">
      <c r="L3078" s="71"/>
      <c r="R3078" s="5"/>
    </row>
    <row r="3079" spans="12:18" x14ac:dyDescent="0.35">
      <c r="L3079" s="71"/>
      <c r="R3079" s="5"/>
    </row>
    <row r="3080" spans="12:18" x14ac:dyDescent="0.35">
      <c r="L3080" s="71"/>
      <c r="R3080" s="5"/>
    </row>
    <row r="3081" spans="12:18" x14ac:dyDescent="0.35">
      <c r="L3081" s="71"/>
      <c r="R3081" s="5"/>
    </row>
    <row r="3082" spans="12:18" x14ac:dyDescent="0.35">
      <c r="L3082" s="71"/>
      <c r="R3082" s="5"/>
    </row>
    <row r="3083" spans="12:18" x14ac:dyDescent="0.35">
      <c r="L3083" s="71"/>
      <c r="R3083" s="5"/>
    </row>
    <row r="3084" spans="12:18" x14ac:dyDescent="0.35">
      <c r="L3084" s="71"/>
      <c r="R3084" s="5"/>
    </row>
    <row r="3085" spans="12:18" x14ac:dyDescent="0.35">
      <c r="L3085" s="71"/>
      <c r="R3085" s="5"/>
    </row>
    <row r="3086" spans="12:18" x14ac:dyDescent="0.35">
      <c r="L3086" s="71"/>
      <c r="R3086" s="5"/>
    </row>
    <row r="3087" spans="12:18" x14ac:dyDescent="0.35">
      <c r="L3087" s="71"/>
      <c r="R3087" s="5"/>
    </row>
    <row r="3088" spans="12:18" x14ac:dyDescent="0.35">
      <c r="L3088" s="71"/>
      <c r="R3088" s="5"/>
    </row>
    <row r="3089" spans="12:18" x14ac:dyDescent="0.35">
      <c r="L3089" s="71"/>
      <c r="R3089" s="5"/>
    </row>
    <row r="3090" spans="12:18" x14ac:dyDescent="0.35">
      <c r="L3090" s="71"/>
      <c r="R3090" s="5"/>
    </row>
    <row r="3091" spans="12:18" x14ac:dyDescent="0.35">
      <c r="L3091" s="71"/>
      <c r="R3091" s="5"/>
    </row>
    <row r="3092" spans="12:18" x14ac:dyDescent="0.35">
      <c r="L3092" s="71"/>
      <c r="R3092" s="5"/>
    </row>
    <row r="3093" spans="12:18" x14ac:dyDescent="0.35">
      <c r="L3093" s="71"/>
      <c r="R3093" s="5"/>
    </row>
    <row r="3094" spans="12:18" x14ac:dyDescent="0.35">
      <c r="L3094" s="71"/>
      <c r="R3094" s="5"/>
    </row>
    <row r="3095" spans="12:18" x14ac:dyDescent="0.35">
      <c r="L3095" s="71"/>
      <c r="R3095" s="5"/>
    </row>
    <row r="3096" spans="12:18" x14ac:dyDescent="0.35">
      <c r="L3096" s="71"/>
      <c r="R3096" s="5"/>
    </row>
    <row r="3097" spans="12:18" x14ac:dyDescent="0.35">
      <c r="L3097" s="71"/>
      <c r="R3097" s="5"/>
    </row>
    <row r="3098" spans="12:18" x14ac:dyDescent="0.35">
      <c r="L3098" s="71"/>
      <c r="R3098" s="5"/>
    </row>
    <row r="3099" spans="12:18" x14ac:dyDescent="0.35">
      <c r="L3099" s="71"/>
      <c r="R3099" s="5"/>
    </row>
    <row r="3100" spans="12:18" x14ac:dyDescent="0.35">
      <c r="L3100" s="71"/>
      <c r="R3100" s="5"/>
    </row>
    <row r="3101" spans="12:18" x14ac:dyDescent="0.35">
      <c r="L3101" s="71"/>
      <c r="R3101" s="5"/>
    </row>
    <row r="3102" spans="12:18" x14ac:dyDescent="0.35">
      <c r="L3102" s="71"/>
      <c r="R3102" s="5"/>
    </row>
    <row r="3103" spans="12:18" x14ac:dyDescent="0.35">
      <c r="L3103" s="71"/>
      <c r="R3103" s="5"/>
    </row>
    <row r="3104" spans="12:18" x14ac:dyDescent="0.35">
      <c r="L3104" s="71"/>
      <c r="R3104" s="5"/>
    </row>
    <row r="3105" spans="12:18" x14ac:dyDescent="0.35">
      <c r="L3105" s="71"/>
      <c r="R3105" s="5"/>
    </row>
    <row r="3106" spans="12:18" x14ac:dyDescent="0.35">
      <c r="L3106" s="71"/>
      <c r="R3106" s="5"/>
    </row>
    <row r="3107" spans="12:18" x14ac:dyDescent="0.35">
      <c r="L3107" s="71"/>
      <c r="R3107" s="5"/>
    </row>
    <row r="3108" spans="12:18" x14ac:dyDescent="0.35">
      <c r="L3108" s="71"/>
      <c r="R3108" s="5"/>
    </row>
    <row r="3109" spans="12:18" x14ac:dyDescent="0.35">
      <c r="L3109" s="71"/>
      <c r="R3109" s="5"/>
    </row>
    <row r="3110" spans="12:18" x14ac:dyDescent="0.35">
      <c r="L3110" s="71"/>
      <c r="R3110" s="5"/>
    </row>
    <row r="3111" spans="12:18" x14ac:dyDescent="0.35">
      <c r="L3111" s="71"/>
      <c r="R3111" s="5"/>
    </row>
    <row r="3112" spans="12:18" x14ac:dyDescent="0.35">
      <c r="L3112" s="71"/>
      <c r="R3112" s="5"/>
    </row>
    <row r="3113" spans="12:18" x14ac:dyDescent="0.35">
      <c r="L3113" s="71"/>
      <c r="R3113" s="5"/>
    </row>
    <row r="3114" spans="12:18" x14ac:dyDescent="0.35">
      <c r="L3114" s="71"/>
      <c r="R3114" s="5"/>
    </row>
    <row r="3115" spans="12:18" x14ac:dyDescent="0.35">
      <c r="L3115" s="71"/>
      <c r="R3115" s="5"/>
    </row>
    <row r="3116" spans="12:18" x14ac:dyDescent="0.35">
      <c r="L3116" s="71"/>
      <c r="R3116" s="5"/>
    </row>
    <row r="3117" spans="12:18" x14ac:dyDescent="0.35">
      <c r="L3117" s="71"/>
      <c r="R3117" s="5"/>
    </row>
    <row r="3118" spans="12:18" x14ac:dyDescent="0.35">
      <c r="L3118" s="71"/>
      <c r="R3118" s="5"/>
    </row>
    <row r="3119" spans="12:18" x14ac:dyDescent="0.35">
      <c r="L3119" s="71"/>
      <c r="R3119" s="5"/>
    </row>
    <row r="3120" spans="12:18" x14ac:dyDescent="0.35">
      <c r="L3120" s="71"/>
      <c r="R3120" s="5"/>
    </row>
    <row r="3121" spans="12:18" x14ac:dyDescent="0.35">
      <c r="L3121" s="71"/>
      <c r="R3121" s="5"/>
    </row>
    <row r="3122" spans="12:18" x14ac:dyDescent="0.35">
      <c r="L3122" s="71"/>
      <c r="R3122" s="5"/>
    </row>
    <row r="3123" spans="12:18" x14ac:dyDescent="0.35">
      <c r="L3123" s="71"/>
      <c r="R3123" s="5"/>
    </row>
    <row r="3124" spans="12:18" x14ac:dyDescent="0.35">
      <c r="L3124" s="71"/>
      <c r="R3124" s="5"/>
    </row>
    <row r="3125" spans="12:18" x14ac:dyDescent="0.35">
      <c r="L3125" s="71"/>
      <c r="R3125" s="5"/>
    </row>
    <row r="3126" spans="12:18" x14ac:dyDescent="0.35">
      <c r="L3126" s="71"/>
      <c r="R3126" s="5"/>
    </row>
    <row r="3127" spans="12:18" x14ac:dyDescent="0.35">
      <c r="L3127" s="71"/>
      <c r="R3127" s="5"/>
    </row>
    <row r="3128" spans="12:18" x14ac:dyDescent="0.35">
      <c r="L3128" s="71"/>
      <c r="R3128" s="5"/>
    </row>
    <row r="3129" spans="12:18" x14ac:dyDescent="0.35">
      <c r="L3129" s="71"/>
      <c r="R3129" s="5"/>
    </row>
    <row r="3130" spans="12:18" x14ac:dyDescent="0.35">
      <c r="L3130" s="71"/>
      <c r="R3130" s="5"/>
    </row>
    <row r="3131" spans="12:18" x14ac:dyDescent="0.35">
      <c r="L3131" s="71"/>
      <c r="R3131" s="5"/>
    </row>
    <row r="3132" spans="12:18" x14ac:dyDescent="0.35">
      <c r="L3132" s="71"/>
      <c r="R3132" s="5"/>
    </row>
    <row r="3133" spans="12:18" x14ac:dyDescent="0.35">
      <c r="L3133" s="71"/>
      <c r="R3133" s="5"/>
    </row>
    <row r="3134" spans="12:18" x14ac:dyDescent="0.35">
      <c r="L3134" s="71"/>
      <c r="R3134" s="5"/>
    </row>
    <row r="3135" spans="12:18" x14ac:dyDescent="0.35">
      <c r="L3135" s="71"/>
      <c r="R3135" s="5"/>
    </row>
    <row r="3136" spans="12:18" x14ac:dyDescent="0.35">
      <c r="L3136" s="71"/>
      <c r="R3136" s="5"/>
    </row>
    <row r="3137" spans="12:18" x14ac:dyDescent="0.35">
      <c r="L3137" s="71"/>
      <c r="R3137" s="5"/>
    </row>
    <row r="3138" spans="12:18" x14ac:dyDescent="0.35">
      <c r="L3138" s="71"/>
      <c r="R3138" s="5"/>
    </row>
    <row r="3139" spans="12:18" x14ac:dyDescent="0.35">
      <c r="L3139" s="71"/>
      <c r="R3139" s="5"/>
    </row>
    <row r="3140" spans="12:18" x14ac:dyDescent="0.35">
      <c r="L3140" s="71"/>
      <c r="R3140" s="5"/>
    </row>
    <row r="3141" spans="12:18" x14ac:dyDescent="0.35">
      <c r="L3141" s="71"/>
      <c r="R3141" s="5"/>
    </row>
    <row r="3142" spans="12:18" x14ac:dyDescent="0.35">
      <c r="L3142" s="71"/>
      <c r="R3142" s="5"/>
    </row>
    <row r="3143" spans="12:18" x14ac:dyDescent="0.35">
      <c r="L3143" s="71"/>
      <c r="R3143" s="5"/>
    </row>
    <row r="3144" spans="12:18" x14ac:dyDescent="0.35">
      <c r="L3144" s="71"/>
      <c r="R3144" s="5"/>
    </row>
    <row r="3145" spans="12:18" x14ac:dyDescent="0.35">
      <c r="L3145" s="71"/>
      <c r="R3145" s="5"/>
    </row>
    <row r="3146" spans="12:18" x14ac:dyDescent="0.35">
      <c r="L3146" s="71"/>
      <c r="R3146" s="5"/>
    </row>
    <row r="3147" spans="12:18" x14ac:dyDescent="0.35">
      <c r="L3147" s="71"/>
      <c r="R3147" s="5"/>
    </row>
    <row r="3148" spans="12:18" x14ac:dyDescent="0.35">
      <c r="L3148" s="71"/>
      <c r="R3148" s="5"/>
    </row>
    <row r="3149" spans="12:18" x14ac:dyDescent="0.35">
      <c r="L3149" s="71"/>
      <c r="R3149" s="5"/>
    </row>
    <row r="3150" spans="12:18" x14ac:dyDescent="0.35">
      <c r="L3150" s="71"/>
      <c r="R3150" s="5"/>
    </row>
    <row r="3151" spans="12:18" x14ac:dyDescent="0.35">
      <c r="L3151" s="71"/>
      <c r="R3151" s="5"/>
    </row>
    <row r="3152" spans="12:18" x14ac:dyDescent="0.35">
      <c r="L3152" s="71"/>
      <c r="R3152" s="5"/>
    </row>
    <row r="3153" spans="12:18" x14ac:dyDescent="0.35">
      <c r="L3153" s="71"/>
      <c r="R3153" s="5"/>
    </row>
    <row r="3154" spans="12:18" x14ac:dyDescent="0.35">
      <c r="L3154" s="71"/>
      <c r="R3154" s="5"/>
    </row>
    <row r="3155" spans="12:18" x14ac:dyDescent="0.35">
      <c r="L3155" s="71"/>
      <c r="R3155" s="5"/>
    </row>
    <row r="3156" spans="12:18" x14ac:dyDescent="0.35">
      <c r="L3156" s="71"/>
      <c r="R3156" s="5"/>
    </row>
    <row r="3157" spans="12:18" x14ac:dyDescent="0.35">
      <c r="L3157" s="71"/>
      <c r="R3157" s="5"/>
    </row>
    <row r="3158" spans="12:18" x14ac:dyDescent="0.35">
      <c r="L3158" s="71"/>
      <c r="R3158" s="5"/>
    </row>
    <row r="3159" spans="12:18" x14ac:dyDescent="0.35">
      <c r="L3159" s="71"/>
      <c r="R3159" s="5"/>
    </row>
    <row r="3160" spans="12:18" x14ac:dyDescent="0.35">
      <c r="L3160" s="71"/>
      <c r="R3160" s="5"/>
    </row>
    <row r="3161" spans="12:18" x14ac:dyDescent="0.35">
      <c r="L3161" s="71"/>
      <c r="R3161" s="5"/>
    </row>
    <row r="3162" spans="12:18" x14ac:dyDescent="0.35">
      <c r="L3162" s="71"/>
      <c r="R3162" s="5"/>
    </row>
    <row r="3163" spans="12:18" x14ac:dyDescent="0.35">
      <c r="L3163" s="71"/>
      <c r="R3163" s="5"/>
    </row>
    <row r="3164" spans="12:18" x14ac:dyDescent="0.35">
      <c r="L3164" s="71"/>
      <c r="R3164" s="5"/>
    </row>
    <row r="3165" spans="12:18" x14ac:dyDescent="0.35">
      <c r="L3165" s="71"/>
      <c r="R3165" s="5"/>
    </row>
    <row r="3166" spans="12:18" x14ac:dyDescent="0.35">
      <c r="L3166" s="71"/>
      <c r="R3166" s="5"/>
    </row>
    <row r="3167" spans="12:18" x14ac:dyDescent="0.35">
      <c r="L3167" s="71"/>
      <c r="R3167" s="5"/>
    </row>
    <row r="3168" spans="12:18" x14ac:dyDescent="0.35">
      <c r="L3168" s="71"/>
      <c r="R3168" s="5"/>
    </row>
    <row r="3169" spans="12:18" x14ac:dyDescent="0.35">
      <c r="L3169" s="71"/>
      <c r="R3169" s="5"/>
    </row>
    <row r="3170" spans="12:18" x14ac:dyDescent="0.35">
      <c r="L3170" s="71"/>
      <c r="R3170" s="5"/>
    </row>
    <row r="3171" spans="12:18" x14ac:dyDescent="0.35">
      <c r="L3171" s="71"/>
      <c r="R3171" s="5"/>
    </row>
    <row r="3172" spans="12:18" x14ac:dyDescent="0.35">
      <c r="L3172" s="71"/>
      <c r="R3172" s="5"/>
    </row>
    <row r="3173" spans="12:18" x14ac:dyDescent="0.35">
      <c r="L3173" s="71"/>
      <c r="R3173" s="5"/>
    </row>
    <row r="3174" spans="12:18" x14ac:dyDescent="0.35">
      <c r="L3174" s="71"/>
      <c r="R3174" s="5"/>
    </row>
    <row r="3175" spans="12:18" x14ac:dyDescent="0.35">
      <c r="L3175" s="71"/>
      <c r="R3175" s="5"/>
    </row>
    <row r="3176" spans="12:18" x14ac:dyDescent="0.35">
      <c r="L3176" s="71"/>
      <c r="R3176" s="5"/>
    </row>
    <row r="3177" spans="12:18" x14ac:dyDescent="0.35">
      <c r="L3177" s="71"/>
      <c r="R3177" s="5"/>
    </row>
    <row r="3178" spans="12:18" x14ac:dyDescent="0.35">
      <c r="L3178" s="71"/>
      <c r="R3178" s="5"/>
    </row>
    <row r="3179" spans="12:18" x14ac:dyDescent="0.35">
      <c r="L3179" s="71"/>
      <c r="R3179" s="5"/>
    </row>
    <row r="3180" spans="12:18" x14ac:dyDescent="0.35">
      <c r="L3180" s="71"/>
      <c r="R3180" s="5"/>
    </row>
    <row r="3181" spans="12:18" x14ac:dyDescent="0.35">
      <c r="L3181" s="71"/>
      <c r="R3181" s="5"/>
    </row>
    <row r="3182" spans="12:18" x14ac:dyDescent="0.35">
      <c r="L3182" s="71"/>
      <c r="R3182" s="5"/>
    </row>
    <row r="3183" spans="12:18" x14ac:dyDescent="0.35">
      <c r="L3183" s="71"/>
      <c r="R3183" s="5"/>
    </row>
    <row r="3184" spans="12:18" x14ac:dyDescent="0.35">
      <c r="L3184" s="71"/>
      <c r="R3184" s="5"/>
    </row>
    <row r="3185" spans="12:18" x14ac:dyDescent="0.35">
      <c r="L3185" s="71"/>
      <c r="R3185" s="5"/>
    </row>
    <row r="3186" spans="12:18" x14ac:dyDescent="0.35">
      <c r="L3186" s="71"/>
      <c r="R3186" s="5"/>
    </row>
    <row r="3187" spans="12:18" x14ac:dyDescent="0.35">
      <c r="L3187" s="71"/>
      <c r="R3187" s="5"/>
    </row>
    <row r="3188" spans="12:18" x14ac:dyDescent="0.35">
      <c r="L3188" s="71"/>
      <c r="R3188" s="5"/>
    </row>
    <row r="3189" spans="12:18" x14ac:dyDescent="0.35">
      <c r="L3189" s="71"/>
      <c r="R3189" s="5"/>
    </row>
    <row r="3190" spans="12:18" x14ac:dyDescent="0.35">
      <c r="L3190" s="71"/>
      <c r="R3190" s="5"/>
    </row>
    <row r="3191" spans="12:18" x14ac:dyDescent="0.35">
      <c r="L3191" s="71"/>
      <c r="R3191" s="5"/>
    </row>
    <row r="3192" spans="12:18" x14ac:dyDescent="0.35">
      <c r="L3192" s="71"/>
      <c r="R3192" s="5"/>
    </row>
    <row r="3193" spans="12:18" x14ac:dyDescent="0.35">
      <c r="L3193" s="71"/>
      <c r="R3193" s="5"/>
    </row>
    <row r="3194" spans="12:18" x14ac:dyDescent="0.35">
      <c r="L3194" s="71"/>
      <c r="R3194" s="5"/>
    </row>
    <row r="3195" spans="12:18" x14ac:dyDescent="0.35">
      <c r="L3195" s="71"/>
      <c r="R3195" s="5"/>
    </row>
    <row r="3196" spans="12:18" x14ac:dyDescent="0.35">
      <c r="L3196" s="71"/>
      <c r="R3196" s="5"/>
    </row>
    <row r="3197" spans="12:18" x14ac:dyDescent="0.35">
      <c r="L3197" s="71"/>
      <c r="R3197" s="5"/>
    </row>
    <row r="3198" spans="12:18" x14ac:dyDescent="0.35">
      <c r="L3198" s="71"/>
      <c r="R3198" s="5"/>
    </row>
    <row r="3199" spans="12:18" x14ac:dyDescent="0.35">
      <c r="L3199" s="71"/>
      <c r="R3199" s="5"/>
    </row>
    <row r="3200" spans="12:18" x14ac:dyDescent="0.35">
      <c r="L3200" s="71"/>
      <c r="R3200" s="5"/>
    </row>
    <row r="3201" spans="12:18" x14ac:dyDescent="0.35">
      <c r="L3201" s="71"/>
      <c r="R3201" s="5"/>
    </row>
    <row r="3202" spans="12:18" x14ac:dyDescent="0.35">
      <c r="L3202" s="71"/>
      <c r="R3202" s="5"/>
    </row>
    <row r="3203" spans="12:18" x14ac:dyDescent="0.35">
      <c r="L3203" s="71"/>
      <c r="R3203" s="5"/>
    </row>
    <row r="3204" spans="12:18" x14ac:dyDescent="0.35">
      <c r="L3204" s="71"/>
      <c r="R3204" s="5"/>
    </row>
    <row r="3205" spans="12:18" x14ac:dyDescent="0.35">
      <c r="L3205" s="71"/>
      <c r="R3205" s="5"/>
    </row>
    <row r="3206" spans="12:18" x14ac:dyDescent="0.35">
      <c r="L3206" s="71"/>
      <c r="R3206" s="5"/>
    </row>
    <row r="3207" spans="12:18" x14ac:dyDescent="0.35">
      <c r="L3207" s="71"/>
      <c r="R3207" s="5"/>
    </row>
    <row r="3208" spans="12:18" x14ac:dyDescent="0.35">
      <c r="L3208" s="71"/>
      <c r="R3208" s="5"/>
    </row>
    <row r="3209" spans="12:18" x14ac:dyDescent="0.35">
      <c r="L3209" s="71"/>
      <c r="R3209" s="5"/>
    </row>
    <row r="3210" spans="12:18" x14ac:dyDescent="0.35">
      <c r="L3210" s="71"/>
      <c r="R3210" s="5"/>
    </row>
    <row r="3211" spans="12:18" x14ac:dyDescent="0.35">
      <c r="L3211" s="71"/>
      <c r="R3211" s="5"/>
    </row>
    <row r="3212" spans="12:18" x14ac:dyDescent="0.35">
      <c r="L3212" s="71"/>
      <c r="R3212" s="5"/>
    </row>
    <row r="3213" spans="12:18" x14ac:dyDescent="0.35">
      <c r="L3213" s="71"/>
      <c r="R3213" s="5"/>
    </row>
    <row r="3214" spans="12:18" x14ac:dyDescent="0.35">
      <c r="L3214" s="71"/>
      <c r="R3214" s="5"/>
    </row>
    <row r="3215" spans="12:18" x14ac:dyDescent="0.35">
      <c r="L3215" s="71"/>
      <c r="R3215" s="5"/>
    </row>
    <row r="3216" spans="12:18" x14ac:dyDescent="0.35">
      <c r="L3216" s="71"/>
      <c r="R3216" s="5"/>
    </row>
    <row r="3217" spans="12:18" x14ac:dyDescent="0.35">
      <c r="L3217" s="71"/>
      <c r="R3217" s="5"/>
    </row>
    <row r="3218" spans="12:18" x14ac:dyDescent="0.35">
      <c r="L3218" s="71"/>
      <c r="R3218" s="5"/>
    </row>
    <row r="3219" spans="12:18" x14ac:dyDescent="0.35">
      <c r="L3219" s="71"/>
      <c r="R3219" s="5"/>
    </row>
    <row r="3220" spans="12:18" x14ac:dyDescent="0.35">
      <c r="L3220" s="71"/>
      <c r="R3220" s="5"/>
    </row>
    <row r="3221" spans="12:18" x14ac:dyDescent="0.35">
      <c r="L3221" s="71"/>
      <c r="R3221" s="5"/>
    </row>
    <row r="3222" spans="12:18" x14ac:dyDescent="0.35">
      <c r="L3222" s="71"/>
      <c r="R3222" s="5"/>
    </row>
    <row r="3223" spans="12:18" x14ac:dyDescent="0.35">
      <c r="L3223" s="71"/>
      <c r="R3223" s="5"/>
    </row>
    <row r="3224" spans="12:18" x14ac:dyDescent="0.35">
      <c r="L3224" s="71"/>
      <c r="R3224" s="5"/>
    </row>
    <row r="3225" spans="12:18" x14ac:dyDescent="0.35">
      <c r="L3225" s="71"/>
      <c r="R3225" s="5"/>
    </row>
    <row r="3226" spans="12:18" x14ac:dyDescent="0.35">
      <c r="L3226" s="71"/>
      <c r="R3226" s="5"/>
    </row>
    <row r="3227" spans="12:18" x14ac:dyDescent="0.35">
      <c r="L3227" s="71"/>
      <c r="R3227" s="5"/>
    </row>
    <row r="3228" spans="12:18" x14ac:dyDescent="0.35">
      <c r="L3228" s="71"/>
      <c r="R3228" s="5"/>
    </row>
    <row r="3229" spans="12:18" x14ac:dyDescent="0.35">
      <c r="L3229" s="71"/>
      <c r="R3229" s="5"/>
    </row>
    <row r="3230" spans="12:18" x14ac:dyDescent="0.35">
      <c r="L3230" s="71"/>
      <c r="R3230" s="5"/>
    </row>
    <row r="3231" spans="12:18" x14ac:dyDescent="0.35">
      <c r="L3231" s="71"/>
      <c r="R3231" s="5"/>
    </row>
    <row r="3232" spans="12:18" x14ac:dyDescent="0.35">
      <c r="L3232" s="71"/>
      <c r="R3232" s="5"/>
    </row>
    <row r="3233" spans="12:18" x14ac:dyDescent="0.35">
      <c r="L3233" s="71"/>
      <c r="R3233" s="5"/>
    </row>
    <row r="3234" spans="12:18" x14ac:dyDescent="0.35">
      <c r="L3234" s="71"/>
      <c r="R3234" s="5"/>
    </row>
    <row r="3235" spans="12:18" x14ac:dyDescent="0.35">
      <c r="L3235" s="71"/>
      <c r="R3235" s="5"/>
    </row>
    <row r="3236" spans="12:18" x14ac:dyDescent="0.35">
      <c r="L3236" s="71"/>
      <c r="R3236" s="5"/>
    </row>
    <row r="3237" spans="12:18" x14ac:dyDescent="0.35">
      <c r="L3237" s="71"/>
      <c r="R3237" s="5"/>
    </row>
    <row r="3238" spans="12:18" x14ac:dyDescent="0.35">
      <c r="L3238" s="71"/>
      <c r="R3238" s="5"/>
    </row>
    <row r="3239" spans="12:18" x14ac:dyDescent="0.35">
      <c r="L3239" s="71"/>
      <c r="R3239" s="5"/>
    </row>
    <row r="3240" spans="12:18" x14ac:dyDescent="0.35">
      <c r="L3240" s="71"/>
      <c r="R3240" s="5"/>
    </row>
    <row r="3241" spans="12:18" x14ac:dyDescent="0.35">
      <c r="L3241" s="71"/>
      <c r="R3241" s="5"/>
    </row>
    <row r="3242" spans="12:18" x14ac:dyDescent="0.35">
      <c r="L3242" s="71"/>
      <c r="R3242" s="5"/>
    </row>
    <row r="3243" spans="12:18" x14ac:dyDescent="0.35">
      <c r="L3243" s="71"/>
      <c r="R3243" s="5"/>
    </row>
    <row r="3244" spans="12:18" x14ac:dyDescent="0.35">
      <c r="L3244" s="71"/>
      <c r="R3244" s="5"/>
    </row>
    <row r="3245" spans="12:18" x14ac:dyDescent="0.35">
      <c r="L3245" s="71"/>
      <c r="R3245" s="5"/>
    </row>
    <row r="3246" spans="12:18" x14ac:dyDescent="0.35">
      <c r="L3246" s="71"/>
      <c r="R3246" s="5"/>
    </row>
    <row r="3247" spans="12:18" x14ac:dyDescent="0.35">
      <c r="L3247" s="71"/>
      <c r="R3247" s="5"/>
    </row>
    <row r="3248" spans="12:18" x14ac:dyDescent="0.35">
      <c r="L3248" s="71"/>
      <c r="R3248" s="5"/>
    </row>
    <row r="3249" spans="12:18" x14ac:dyDescent="0.35">
      <c r="L3249" s="71"/>
      <c r="R3249" s="5"/>
    </row>
    <row r="3250" spans="12:18" x14ac:dyDescent="0.35">
      <c r="L3250" s="71"/>
      <c r="R3250" s="5"/>
    </row>
    <row r="3251" spans="12:18" x14ac:dyDescent="0.35">
      <c r="L3251" s="71"/>
      <c r="R3251" s="5"/>
    </row>
    <row r="3252" spans="12:18" x14ac:dyDescent="0.35">
      <c r="L3252" s="71"/>
      <c r="R3252" s="5"/>
    </row>
    <row r="3253" spans="12:18" x14ac:dyDescent="0.35">
      <c r="L3253" s="71"/>
      <c r="R3253" s="5"/>
    </row>
    <row r="3254" spans="12:18" x14ac:dyDescent="0.35">
      <c r="L3254" s="71"/>
      <c r="R3254" s="5"/>
    </row>
    <row r="3255" spans="12:18" x14ac:dyDescent="0.35">
      <c r="L3255" s="71"/>
      <c r="R3255" s="5"/>
    </row>
    <row r="3256" spans="12:18" x14ac:dyDescent="0.35">
      <c r="L3256" s="71"/>
      <c r="R3256" s="5"/>
    </row>
    <row r="3257" spans="12:18" x14ac:dyDescent="0.35">
      <c r="L3257" s="71"/>
      <c r="R3257" s="5"/>
    </row>
    <row r="3258" spans="12:18" x14ac:dyDescent="0.35">
      <c r="L3258" s="71"/>
      <c r="R3258" s="5"/>
    </row>
    <row r="3259" spans="12:18" x14ac:dyDescent="0.35">
      <c r="L3259" s="71"/>
      <c r="R3259" s="5"/>
    </row>
    <row r="3260" spans="12:18" x14ac:dyDescent="0.35">
      <c r="L3260" s="71"/>
      <c r="R3260" s="5"/>
    </row>
    <row r="3261" spans="12:18" x14ac:dyDescent="0.35">
      <c r="L3261" s="71"/>
      <c r="R3261" s="5"/>
    </row>
    <row r="3262" spans="12:18" x14ac:dyDescent="0.35">
      <c r="L3262" s="71"/>
      <c r="R3262" s="5"/>
    </row>
    <row r="3263" spans="12:18" x14ac:dyDescent="0.35">
      <c r="L3263" s="71"/>
      <c r="R3263" s="5"/>
    </row>
    <row r="3264" spans="12:18" x14ac:dyDescent="0.35">
      <c r="L3264" s="71"/>
      <c r="R3264" s="5"/>
    </row>
    <row r="3265" spans="12:18" x14ac:dyDescent="0.35">
      <c r="L3265" s="71"/>
      <c r="R3265" s="5"/>
    </row>
    <row r="3266" spans="12:18" x14ac:dyDescent="0.35">
      <c r="L3266" s="71"/>
      <c r="R3266" s="5"/>
    </row>
    <row r="3267" spans="12:18" x14ac:dyDescent="0.35">
      <c r="L3267" s="71"/>
      <c r="R3267" s="5"/>
    </row>
    <row r="3268" spans="12:18" x14ac:dyDescent="0.35">
      <c r="L3268" s="71"/>
      <c r="R3268" s="5"/>
    </row>
    <row r="3269" spans="12:18" x14ac:dyDescent="0.35">
      <c r="L3269" s="71"/>
      <c r="R3269" s="5"/>
    </row>
    <row r="3270" spans="12:18" x14ac:dyDescent="0.35">
      <c r="L3270" s="71"/>
      <c r="R3270" s="5"/>
    </row>
    <row r="3271" spans="12:18" x14ac:dyDescent="0.35">
      <c r="L3271" s="71"/>
      <c r="R3271" s="5"/>
    </row>
    <row r="3272" spans="12:18" x14ac:dyDescent="0.35">
      <c r="L3272" s="71"/>
      <c r="R3272" s="5"/>
    </row>
    <row r="3273" spans="12:18" x14ac:dyDescent="0.35">
      <c r="L3273" s="71"/>
      <c r="R3273" s="5"/>
    </row>
    <row r="3274" spans="12:18" x14ac:dyDescent="0.35">
      <c r="L3274" s="71"/>
      <c r="R3274" s="5"/>
    </row>
    <row r="3275" spans="12:18" x14ac:dyDescent="0.35">
      <c r="L3275" s="71"/>
      <c r="R3275" s="5"/>
    </row>
    <row r="3276" spans="12:18" x14ac:dyDescent="0.35">
      <c r="L3276" s="71"/>
      <c r="R3276" s="5"/>
    </row>
    <row r="3277" spans="12:18" x14ac:dyDescent="0.35">
      <c r="L3277" s="71"/>
      <c r="R3277" s="5"/>
    </row>
    <row r="3278" spans="12:18" x14ac:dyDescent="0.35">
      <c r="L3278" s="71"/>
      <c r="R3278" s="5"/>
    </row>
    <row r="3279" spans="12:18" x14ac:dyDescent="0.35">
      <c r="L3279" s="71"/>
      <c r="R3279" s="5"/>
    </row>
    <row r="3280" spans="12:18" x14ac:dyDescent="0.35">
      <c r="L3280" s="71"/>
      <c r="R3280" s="5"/>
    </row>
    <row r="3281" spans="12:18" x14ac:dyDescent="0.35">
      <c r="L3281" s="71"/>
      <c r="R3281" s="5"/>
    </row>
    <row r="3282" spans="12:18" x14ac:dyDescent="0.35">
      <c r="L3282" s="71"/>
      <c r="R3282" s="5"/>
    </row>
    <row r="3283" spans="12:18" x14ac:dyDescent="0.35">
      <c r="L3283" s="71"/>
      <c r="R3283" s="5"/>
    </row>
    <row r="3284" spans="12:18" x14ac:dyDescent="0.35">
      <c r="L3284" s="71"/>
      <c r="R3284" s="5"/>
    </row>
    <row r="3285" spans="12:18" x14ac:dyDescent="0.35">
      <c r="L3285" s="71"/>
      <c r="R3285" s="5"/>
    </row>
    <row r="3286" spans="12:18" x14ac:dyDescent="0.35">
      <c r="L3286" s="71"/>
      <c r="R3286" s="5"/>
    </row>
    <row r="3287" spans="12:18" x14ac:dyDescent="0.35">
      <c r="L3287" s="71"/>
      <c r="R3287" s="5"/>
    </row>
    <row r="3288" spans="12:18" x14ac:dyDescent="0.35">
      <c r="L3288" s="71"/>
      <c r="R3288" s="5"/>
    </row>
    <row r="3289" spans="12:18" x14ac:dyDescent="0.35">
      <c r="L3289" s="71"/>
      <c r="R3289" s="5"/>
    </row>
    <row r="3290" spans="12:18" x14ac:dyDescent="0.35">
      <c r="L3290" s="71"/>
      <c r="R3290" s="5"/>
    </row>
    <row r="3291" spans="12:18" x14ac:dyDescent="0.35">
      <c r="L3291" s="71"/>
      <c r="R3291" s="5"/>
    </row>
    <row r="3292" spans="12:18" x14ac:dyDescent="0.35">
      <c r="L3292" s="71"/>
      <c r="R3292" s="5"/>
    </row>
    <row r="3293" spans="12:18" x14ac:dyDescent="0.35">
      <c r="L3293" s="71"/>
      <c r="R3293" s="5"/>
    </row>
    <row r="3294" spans="12:18" x14ac:dyDescent="0.35">
      <c r="L3294" s="71"/>
      <c r="R3294" s="5"/>
    </row>
    <row r="3295" spans="12:18" x14ac:dyDescent="0.35">
      <c r="L3295" s="71"/>
      <c r="R3295" s="5"/>
    </row>
    <row r="3296" spans="12:18" x14ac:dyDescent="0.35">
      <c r="L3296" s="71"/>
      <c r="R3296" s="5"/>
    </row>
    <row r="3297" spans="12:18" x14ac:dyDescent="0.35">
      <c r="L3297" s="71"/>
      <c r="R3297" s="5"/>
    </row>
    <row r="3298" spans="12:18" x14ac:dyDescent="0.35">
      <c r="L3298" s="71"/>
      <c r="R3298" s="5"/>
    </row>
    <row r="3299" spans="12:18" x14ac:dyDescent="0.35">
      <c r="L3299" s="71"/>
      <c r="R3299" s="5"/>
    </row>
    <row r="3300" spans="12:18" x14ac:dyDescent="0.35">
      <c r="L3300" s="71"/>
      <c r="R3300" s="5"/>
    </row>
    <row r="3301" spans="12:18" x14ac:dyDescent="0.35">
      <c r="L3301" s="71"/>
      <c r="R3301" s="5"/>
    </row>
    <row r="3302" spans="12:18" x14ac:dyDescent="0.35">
      <c r="L3302" s="71"/>
      <c r="R3302" s="5"/>
    </row>
    <row r="3303" spans="12:18" x14ac:dyDescent="0.35">
      <c r="L3303" s="71"/>
      <c r="R3303" s="5"/>
    </row>
    <row r="3304" spans="12:18" x14ac:dyDescent="0.35">
      <c r="L3304" s="71"/>
      <c r="R3304" s="5"/>
    </row>
    <row r="3305" spans="12:18" x14ac:dyDescent="0.35">
      <c r="L3305" s="71"/>
      <c r="R3305" s="5"/>
    </row>
    <row r="3306" spans="12:18" x14ac:dyDescent="0.35">
      <c r="L3306" s="71"/>
      <c r="R3306" s="5"/>
    </row>
    <row r="3307" spans="12:18" x14ac:dyDescent="0.35">
      <c r="L3307" s="71"/>
      <c r="R3307" s="5"/>
    </row>
    <row r="3308" spans="12:18" x14ac:dyDescent="0.35">
      <c r="L3308" s="71"/>
      <c r="R3308" s="5"/>
    </row>
    <row r="3309" spans="12:18" x14ac:dyDescent="0.35">
      <c r="L3309" s="71"/>
      <c r="R3309" s="5"/>
    </row>
    <row r="3310" spans="12:18" x14ac:dyDescent="0.35">
      <c r="L3310" s="71"/>
      <c r="R3310" s="5"/>
    </row>
    <row r="3311" spans="12:18" x14ac:dyDescent="0.35">
      <c r="L3311" s="71"/>
      <c r="R3311" s="5"/>
    </row>
    <row r="3312" spans="12:18" x14ac:dyDescent="0.35">
      <c r="L3312" s="71"/>
      <c r="R3312" s="5"/>
    </row>
    <row r="3313" spans="12:18" x14ac:dyDescent="0.35">
      <c r="L3313" s="71"/>
      <c r="R3313" s="5"/>
    </row>
    <row r="3314" spans="12:18" x14ac:dyDescent="0.35">
      <c r="L3314" s="71"/>
      <c r="R3314" s="5"/>
    </row>
    <row r="3315" spans="12:18" x14ac:dyDescent="0.35">
      <c r="L3315" s="71"/>
      <c r="R3315" s="5"/>
    </row>
    <row r="3316" spans="12:18" x14ac:dyDescent="0.35">
      <c r="L3316" s="71"/>
      <c r="R3316" s="5"/>
    </row>
    <row r="3317" spans="12:18" x14ac:dyDescent="0.35">
      <c r="L3317" s="71"/>
      <c r="R3317" s="5"/>
    </row>
    <row r="3318" spans="12:18" x14ac:dyDescent="0.35">
      <c r="L3318" s="71"/>
      <c r="R3318" s="5"/>
    </row>
    <row r="3319" spans="12:18" x14ac:dyDescent="0.35">
      <c r="L3319" s="71"/>
      <c r="R3319" s="5"/>
    </row>
    <row r="3320" spans="12:18" x14ac:dyDescent="0.35">
      <c r="L3320" s="71"/>
      <c r="R3320" s="5"/>
    </row>
    <row r="3321" spans="12:18" x14ac:dyDescent="0.35">
      <c r="L3321" s="71"/>
      <c r="R3321" s="5"/>
    </row>
    <row r="3322" spans="12:18" x14ac:dyDescent="0.35">
      <c r="L3322" s="71"/>
      <c r="R3322" s="5"/>
    </row>
    <row r="3323" spans="12:18" x14ac:dyDescent="0.35">
      <c r="L3323" s="71"/>
      <c r="R3323" s="5"/>
    </row>
    <row r="3324" spans="12:18" x14ac:dyDescent="0.35">
      <c r="L3324" s="71"/>
      <c r="R3324" s="5"/>
    </row>
    <row r="3325" spans="12:18" x14ac:dyDescent="0.35">
      <c r="L3325" s="71"/>
      <c r="R3325" s="5"/>
    </row>
    <row r="3326" spans="12:18" x14ac:dyDescent="0.35">
      <c r="L3326" s="71"/>
      <c r="R3326" s="5"/>
    </row>
    <row r="3327" spans="12:18" x14ac:dyDescent="0.35">
      <c r="L3327" s="71"/>
      <c r="R3327" s="5"/>
    </row>
    <row r="3328" spans="12:18" x14ac:dyDescent="0.35">
      <c r="L3328" s="71"/>
      <c r="R3328" s="5"/>
    </row>
    <row r="3329" spans="12:18" x14ac:dyDescent="0.35">
      <c r="L3329" s="71"/>
      <c r="R3329" s="5"/>
    </row>
    <row r="3330" spans="12:18" x14ac:dyDescent="0.35">
      <c r="L3330" s="71"/>
      <c r="R3330" s="5"/>
    </row>
    <row r="3331" spans="12:18" x14ac:dyDescent="0.35">
      <c r="L3331" s="71"/>
      <c r="R3331" s="5"/>
    </row>
    <row r="3332" spans="12:18" x14ac:dyDescent="0.35">
      <c r="L3332" s="71"/>
      <c r="R3332" s="5"/>
    </row>
    <row r="3333" spans="12:18" x14ac:dyDescent="0.35">
      <c r="L3333" s="71"/>
      <c r="R3333" s="5"/>
    </row>
    <row r="3334" spans="12:18" x14ac:dyDescent="0.35">
      <c r="L3334" s="71"/>
      <c r="R3334" s="5"/>
    </row>
    <row r="3335" spans="12:18" x14ac:dyDescent="0.35">
      <c r="L3335" s="71"/>
      <c r="R3335" s="5"/>
    </row>
    <row r="3336" spans="12:18" x14ac:dyDescent="0.35">
      <c r="L3336" s="71"/>
      <c r="R3336" s="5"/>
    </row>
    <row r="3337" spans="12:18" x14ac:dyDescent="0.35">
      <c r="L3337" s="71"/>
      <c r="R3337" s="5"/>
    </row>
    <row r="3338" spans="12:18" x14ac:dyDescent="0.35">
      <c r="L3338" s="71"/>
      <c r="R3338" s="5"/>
    </row>
    <row r="3339" spans="12:18" x14ac:dyDescent="0.35">
      <c r="L3339" s="71"/>
      <c r="R3339" s="5"/>
    </row>
    <row r="3340" spans="12:18" x14ac:dyDescent="0.35">
      <c r="L3340" s="71"/>
      <c r="R3340" s="5"/>
    </row>
    <row r="3341" spans="12:18" x14ac:dyDescent="0.35">
      <c r="L3341" s="71"/>
      <c r="R3341" s="5"/>
    </row>
    <row r="3342" spans="12:18" x14ac:dyDescent="0.35">
      <c r="L3342" s="71"/>
      <c r="R3342" s="5"/>
    </row>
    <row r="3343" spans="12:18" x14ac:dyDescent="0.35">
      <c r="L3343" s="71"/>
      <c r="R3343" s="5"/>
    </row>
    <row r="3344" spans="12:18" x14ac:dyDescent="0.35">
      <c r="L3344" s="71"/>
      <c r="R3344" s="5"/>
    </row>
    <row r="3345" spans="12:18" x14ac:dyDescent="0.35">
      <c r="L3345" s="71"/>
      <c r="R3345" s="5"/>
    </row>
    <row r="3346" spans="12:18" x14ac:dyDescent="0.35">
      <c r="L3346" s="71"/>
      <c r="R3346" s="5"/>
    </row>
    <row r="3347" spans="12:18" x14ac:dyDescent="0.35">
      <c r="L3347" s="71"/>
      <c r="R3347" s="5"/>
    </row>
    <row r="3348" spans="12:18" x14ac:dyDescent="0.35">
      <c r="L3348" s="71"/>
      <c r="R3348" s="5"/>
    </row>
    <row r="3349" spans="12:18" x14ac:dyDescent="0.35">
      <c r="L3349" s="71"/>
      <c r="R3349" s="5"/>
    </row>
    <row r="3350" spans="12:18" x14ac:dyDescent="0.35">
      <c r="L3350" s="71"/>
      <c r="R3350" s="5"/>
    </row>
    <row r="3351" spans="12:18" x14ac:dyDescent="0.35">
      <c r="L3351" s="71"/>
      <c r="R3351" s="5"/>
    </row>
    <row r="3352" spans="12:18" x14ac:dyDescent="0.35">
      <c r="L3352" s="71"/>
      <c r="R3352" s="5"/>
    </row>
    <row r="3353" spans="12:18" x14ac:dyDescent="0.35">
      <c r="L3353" s="71"/>
      <c r="R3353" s="5"/>
    </row>
    <row r="3354" spans="12:18" x14ac:dyDescent="0.35">
      <c r="L3354" s="71"/>
      <c r="R3354" s="5"/>
    </row>
    <row r="3355" spans="12:18" x14ac:dyDescent="0.35">
      <c r="L3355" s="71"/>
      <c r="R3355" s="5"/>
    </row>
    <row r="3356" spans="12:18" x14ac:dyDescent="0.35">
      <c r="L3356" s="71"/>
      <c r="R3356" s="5"/>
    </row>
    <row r="3357" spans="12:18" x14ac:dyDescent="0.35">
      <c r="L3357" s="71"/>
      <c r="R3357" s="5"/>
    </row>
    <row r="3358" spans="12:18" x14ac:dyDescent="0.35">
      <c r="L3358" s="71"/>
      <c r="R3358" s="5"/>
    </row>
    <row r="3359" spans="12:18" x14ac:dyDescent="0.35">
      <c r="L3359" s="71"/>
      <c r="R3359" s="5"/>
    </row>
    <row r="3360" spans="12:18" x14ac:dyDescent="0.35">
      <c r="L3360" s="71"/>
      <c r="R3360" s="5"/>
    </row>
    <row r="3361" spans="12:18" x14ac:dyDescent="0.35">
      <c r="L3361" s="71"/>
      <c r="R3361" s="5"/>
    </row>
    <row r="3362" spans="12:18" x14ac:dyDescent="0.35">
      <c r="L3362" s="71"/>
      <c r="R3362" s="5"/>
    </row>
    <row r="3363" spans="12:18" x14ac:dyDescent="0.35">
      <c r="L3363" s="71"/>
      <c r="R3363" s="5"/>
    </row>
    <row r="3364" spans="12:18" x14ac:dyDescent="0.35">
      <c r="L3364" s="71"/>
      <c r="R3364" s="5"/>
    </row>
    <row r="3365" spans="12:18" x14ac:dyDescent="0.35">
      <c r="L3365" s="71"/>
      <c r="R3365" s="5"/>
    </row>
    <row r="3366" spans="12:18" x14ac:dyDescent="0.35">
      <c r="L3366" s="71"/>
      <c r="R3366" s="5"/>
    </row>
    <row r="3367" spans="12:18" x14ac:dyDescent="0.35">
      <c r="L3367" s="71"/>
      <c r="R3367" s="5"/>
    </row>
    <row r="3368" spans="12:18" x14ac:dyDescent="0.35">
      <c r="L3368" s="71"/>
      <c r="R3368" s="5"/>
    </row>
    <row r="3369" spans="12:18" x14ac:dyDescent="0.35">
      <c r="L3369" s="71"/>
      <c r="R3369" s="5"/>
    </row>
    <row r="3370" spans="12:18" x14ac:dyDescent="0.35">
      <c r="L3370" s="71"/>
      <c r="R3370" s="5"/>
    </row>
    <row r="3371" spans="12:18" x14ac:dyDescent="0.35">
      <c r="L3371" s="71"/>
      <c r="R3371" s="5"/>
    </row>
    <row r="3372" spans="12:18" x14ac:dyDescent="0.35">
      <c r="L3372" s="71"/>
      <c r="R3372" s="5"/>
    </row>
    <row r="3373" spans="12:18" x14ac:dyDescent="0.35">
      <c r="L3373" s="71"/>
      <c r="R3373" s="5"/>
    </row>
    <row r="3374" spans="12:18" x14ac:dyDescent="0.35">
      <c r="L3374" s="71"/>
      <c r="R3374" s="5"/>
    </row>
    <row r="3375" spans="12:18" x14ac:dyDescent="0.35">
      <c r="L3375" s="71"/>
      <c r="R3375" s="5"/>
    </row>
    <row r="3376" spans="12:18" x14ac:dyDescent="0.35">
      <c r="L3376" s="71"/>
      <c r="R3376" s="5"/>
    </row>
    <row r="3377" spans="12:18" x14ac:dyDescent="0.35">
      <c r="L3377" s="71"/>
      <c r="R3377" s="5"/>
    </row>
    <row r="3378" spans="12:18" x14ac:dyDescent="0.35">
      <c r="L3378" s="71"/>
      <c r="R3378" s="5"/>
    </row>
    <row r="3379" spans="12:18" x14ac:dyDescent="0.35">
      <c r="L3379" s="71"/>
      <c r="R3379" s="5"/>
    </row>
    <row r="3380" spans="12:18" x14ac:dyDescent="0.35">
      <c r="L3380" s="71"/>
      <c r="R3380" s="5"/>
    </row>
    <row r="3381" spans="12:18" x14ac:dyDescent="0.35">
      <c r="L3381" s="71"/>
      <c r="R3381" s="5"/>
    </row>
    <row r="3382" spans="12:18" x14ac:dyDescent="0.35">
      <c r="L3382" s="71"/>
      <c r="R3382" s="5"/>
    </row>
    <row r="3383" spans="12:18" x14ac:dyDescent="0.35">
      <c r="L3383" s="71"/>
      <c r="R3383" s="5"/>
    </row>
    <row r="3384" spans="12:18" x14ac:dyDescent="0.35">
      <c r="L3384" s="71"/>
      <c r="R3384" s="5"/>
    </row>
    <row r="3385" spans="12:18" x14ac:dyDescent="0.35">
      <c r="L3385" s="71"/>
      <c r="R3385" s="5"/>
    </row>
    <row r="3386" spans="12:18" x14ac:dyDescent="0.35">
      <c r="L3386" s="71"/>
      <c r="R3386" s="5"/>
    </row>
    <row r="3387" spans="12:18" x14ac:dyDescent="0.35">
      <c r="L3387" s="71"/>
      <c r="R3387" s="5"/>
    </row>
    <row r="3388" spans="12:18" x14ac:dyDescent="0.35">
      <c r="L3388" s="71"/>
      <c r="R3388" s="5"/>
    </row>
    <row r="3389" spans="12:18" x14ac:dyDescent="0.35">
      <c r="L3389" s="71"/>
      <c r="R3389" s="5"/>
    </row>
    <row r="3390" spans="12:18" x14ac:dyDescent="0.35">
      <c r="L3390" s="71"/>
      <c r="R3390" s="5"/>
    </row>
    <row r="3391" spans="12:18" x14ac:dyDescent="0.35">
      <c r="L3391" s="71"/>
      <c r="R3391" s="5"/>
    </row>
    <row r="3392" spans="12:18" x14ac:dyDescent="0.35">
      <c r="L3392" s="71"/>
      <c r="R3392" s="5"/>
    </row>
    <row r="3393" spans="12:18" x14ac:dyDescent="0.35">
      <c r="L3393" s="71"/>
      <c r="R3393" s="5"/>
    </row>
    <row r="3394" spans="12:18" x14ac:dyDescent="0.35">
      <c r="L3394" s="71"/>
      <c r="R3394" s="5"/>
    </row>
    <row r="3395" spans="12:18" x14ac:dyDescent="0.35">
      <c r="L3395" s="71"/>
      <c r="R3395" s="5"/>
    </row>
    <row r="3396" spans="12:18" x14ac:dyDescent="0.35">
      <c r="L3396" s="71"/>
      <c r="R3396" s="5"/>
    </row>
    <row r="3397" spans="12:18" x14ac:dyDescent="0.35">
      <c r="L3397" s="71"/>
      <c r="R3397" s="5"/>
    </row>
    <row r="3398" spans="12:18" x14ac:dyDescent="0.35">
      <c r="L3398" s="71"/>
      <c r="R3398" s="5"/>
    </row>
    <row r="3399" spans="12:18" x14ac:dyDescent="0.35">
      <c r="L3399" s="71"/>
      <c r="R3399" s="5"/>
    </row>
    <row r="3400" spans="12:18" x14ac:dyDescent="0.35">
      <c r="L3400" s="71"/>
      <c r="R3400" s="5"/>
    </row>
    <row r="3401" spans="12:18" x14ac:dyDescent="0.35">
      <c r="L3401" s="71"/>
      <c r="R3401" s="5"/>
    </row>
    <row r="3402" spans="12:18" x14ac:dyDescent="0.35">
      <c r="L3402" s="71"/>
      <c r="R3402" s="5"/>
    </row>
    <row r="3403" spans="12:18" x14ac:dyDescent="0.35">
      <c r="L3403" s="71"/>
      <c r="R3403" s="5"/>
    </row>
    <row r="3404" spans="12:18" x14ac:dyDescent="0.35">
      <c r="L3404" s="71"/>
      <c r="R3404" s="5"/>
    </row>
    <row r="3405" spans="12:18" x14ac:dyDescent="0.35">
      <c r="L3405" s="71"/>
      <c r="R3405" s="5"/>
    </row>
    <row r="3406" spans="12:18" x14ac:dyDescent="0.35">
      <c r="L3406" s="71"/>
      <c r="R3406" s="5"/>
    </row>
    <row r="3407" spans="12:18" x14ac:dyDescent="0.35">
      <c r="L3407" s="71"/>
      <c r="R3407" s="5"/>
    </row>
    <row r="3408" spans="12:18" x14ac:dyDescent="0.35">
      <c r="L3408" s="71"/>
      <c r="R3408" s="5"/>
    </row>
    <row r="3409" spans="12:18" x14ac:dyDescent="0.35">
      <c r="L3409" s="71"/>
      <c r="R3409" s="5"/>
    </row>
    <row r="3410" spans="12:18" x14ac:dyDescent="0.35">
      <c r="L3410" s="71"/>
      <c r="R3410" s="5"/>
    </row>
    <row r="3411" spans="12:18" x14ac:dyDescent="0.35">
      <c r="L3411" s="71"/>
      <c r="R3411" s="5"/>
    </row>
    <row r="3412" spans="12:18" x14ac:dyDescent="0.35">
      <c r="L3412" s="71"/>
      <c r="R3412" s="5"/>
    </row>
    <row r="3413" spans="12:18" x14ac:dyDescent="0.35">
      <c r="L3413" s="71"/>
      <c r="R3413" s="5"/>
    </row>
    <row r="3414" spans="12:18" x14ac:dyDescent="0.35">
      <c r="L3414" s="71"/>
      <c r="R3414" s="5"/>
    </row>
    <row r="3415" spans="12:18" x14ac:dyDescent="0.35">
      <c r="L3415" s="71"/>
      <c r="R3415" s="5"/>
    </row>
    <row r="3416" spans="12:18" x14ac:dyDescent="0.35">
      <c r="L3416" s="71"/>
      <c r="R3416" s="5"/>
    </row>
    <row r="3417" spans="12:18" x14ac:dyDescent="0.35">
      <c r="L3417" s="71"/>
      <c r="R3417" s="5"/>
    </row>
    <row r="3418" spans="12:18" x14ac:dyDescent="0.35">
      <c r="L3418" s="71"/>
      <c r="R3418" s="5"/>
    </row>
    <row r="3419" spans="12:18" x14ac:dyDescent="0.35">
      <c r="L3419" s="71"/>
      <c r="R3419" s="5"/>
    </row>
    <row r="3420" spans="12:18" x14ac:dyDescent="0.35">
      <c r="L3420" s="71"/>
      <c r="R3420" s="5"/>
    </row>
    <row r="3421" spans="12:18" x14ac:dyDescent="0.35">
      <c r="L3421" s="71"/>
      <c r="R3421" s="5"/>
    </row>
    <row r="3422" spans="12:18" x14ac:dyDescent="0.35">
      <c r="L3422" s="71"/>
      <c r="R3422" s="5"/>
    </row>
    <row r="3423" spans="12:18" x14ac:dyDescent="0.35">
      <c r="L3423" s="71"/>
      <c r="R3423" s="5"/>
    </row>
    <row r="3424" spans="12:18" x14ac:dyDescent="0.35">
      <c r="L3424" s="71"/>
      <c r="R3424" s="5"/>
    </row>
    <row r="3425" spans="12:18" x14ac:dyDescent="0.35">
      <c r="L3425" s="71"/>
      <c r="R3425" s="5"/>
    </row>
    <row r="3426" spans="12:18" x14ac:dyDescent="0.35">
      <c r="L3426" s="71"/>
      <c r="R3426" s="5"/>
    </row>
    <row r="3427" spans="12:18" x14ac:dyDescent="0.35">
      <c r="L3427" s="71"/>
      <c r="R3427" s="5"/>
    </row>
    <row r="3428" spans="12:18" x14ac:dyDescent="0.35">
      <c r="L3428" s="71"/>
      <c r="R3428" s="5"/>
    </row>
    <row r="3429" spans="12:18" x14ac:dyDescent="0.35">
      <c r="L3429" s="71"/>
      <c r="R3429" s="5"/>
    </row>
    <row r="3430" spans="12:18" x14ac:dyDescent="0.35">
      <c r="L3430" s="71"/>
      <c r="R3430" s="5"/>
    </row>
    <row r="3431" spans="12:18" x14ac:dyDescent="0.35">
      <c r="L3431" s="71"/>
      <c r="R3431" s="5"/>
    </row>
    <row r="3432" spans="12:18" x14ac:dyDescent="0.35">
      <c r="L3432" s="71"/>
      <c r="R3432" s="5"/>
    </row>
    <row r="3433" spans="12:18" x14ac:dyDescent="0.35">
      <c r="L3433" s="71"/>
      <c r="R3433" s="5"/>
    </row>
    <row r="3434" spans="12:18" x14ac:dyDescent="0.35">
      <c r="L3434" s="71"/>
      <c r="R3434" s="5"/>
    </row>
    <row r="3435" spans="12:18" x14ac:dyDescent="0.35">
      <c r="L3435" s="71"/>
      <c r="R3435" s="5"/>
    </row>
    <row r="3436" spans="12:18" x14ac:dyDescent="0.35">
      <c r="L3436" s="71"/>
      <c r="R3436" s="5"/>
    </row>
    <row r="3437" spans="12:18" x14ac:dyDescent="0.35">
      <c r="L3437" s="71"/>
      <c r="R3437" s="5"/>
    </row>
    <row r="3438" spans="12:18" x14ac:dyDescent="0.35">
      <c r="L3438" s="71"/>
      <c r="R3438" s="5"/>
    </row>
    <row r="3439" spans="12:18" x14ac:dyDescent="0.35">
      <c r="L3439" s="71"/>
      <c r="R3439" s="5"/>
    </row>
    <row r="3440" spans="12:18" x14ac:dyDescent="0.35">
      <c r="L3440" s="71"/>
      <c r="R3440" s="5"/>
    </row>
    <row r="3441" spans="12:18" x14ac:dyDescent="0.35">
      <c r="L3441" s="71"/>
      <c r="R3441" s="5"/>
    </row>
    <row r="3442" spans="12:18" x14ac:dyDescent="0.35">
      <c r="L3442" s="71"/>
      <c r="R3442" s="5"/>
    </row>
    <row r="3443" spans="12:18" x14ac:dyDescent="0.35">
      <c r="L3443" s="71"/>
      <c r="R3443" s="5"/>
    </row>
    <row r="3444" spans="12:18" x14ac:dyDescent="0.35">
      <c r="L3444" s="71"/>
      <c r="R3444" s="5"/>
    </row>
    <row r="3445" spans="12:18" x14ac:dyDescent="0.35">
      <c r="L3445" s="71"/>
      <c r="R3445" s="5"/>
    </row>
    <row r="3446" spans="12:18" x14ac:dyDescent="0.35">
      <c r="L3446" s="71"/>
      <c r="R3446" s="5"/>
    </row>
    <row r="3447" spans="12:18" x14ac:dyDescent="0.35">
      <c r="L3447" s="71"/>
      <c r="R3447" s="5"/>
    </row>
    <row r="3448" spans="12:18" x14ac:dyDescent="0.35">
      <c r="L3448" s="71"/>
      <c r="R3448" s="5"/>
    </row>
    <row r="3449" spans="12:18" x14ac:dyDescent="0.35">
      <c r="L3449" s="71"/>
      <c r="R3449" s="5"/>
    </row>
    <row r="3450" spans="12:18" x14ac:dyDescent="0.35">
      <c r="L3450" s="71"/>
      <c r="R3450" s="5"/>
    </row>
    <row r="3451" spans="12:18" x14ac:dyDescent="0.35">
      <c r="L3451" s="71"/>
      <c r="R3451" s="5"/>
    </row>
    <row r="3452" spans="12:18" x14ac:dyDescent="0.35">
      <c r="L3452" s="71"/>
      <c r="R3452" s="5"/>
    </row>
    <row r="3453" spans="12:18" x14ac:dyDescent="0.35">
      <c r="L3453" s="71"/>
      <c r="R3453" s="5"/>
    </row>
    <row r="3454" spans="12:18" x14ac:dyDescent="0.35">
      <c r="L3454" s="71"/>
      <c r="R3454" s="5"/>
    </row>
    <row r="3455" spans="12:18" x14ac:dyDescent="0.35">
      <c r="L3455" s="71"/>
      <c r="R3455" s="5"/>
    </row>
    <row r="3456" spans="12:18" x14ac:dyDescent="0.35">
      <c r="L3456" s="71"/>
      <c r="R3456" s="5"/>
    </row>
    <row r="3457" spans="12:18" x14ac:dyDescent="0.35">
      <c r="L3457" s="71"/>
      <c r="R3457" s="5"/>
    </row>
    <row r="3458" spans="12:18" x14ac:dyDescent="0.35">
      <c r="L3458" s="71"/>
      <c r="R3458" s="5"/>
    </row>
    <row r="3459" spans="12:18" x14ac:dyDescent="0.35">
      <c r="L3459" s="71"/>
      <c r="R3459" s="5"/>
    </row>
    <row r="3460" spans="12:18" x14ac:dyDescent="0.35">
      <c r="L3460" s="71"/>
      <c r="R3460" s="5"/>
    </row>
    <row r="3461" spans="12:18" x14ac:dyDescent="0.35">
      <c r="L3461" s="71"/>
      <c r="R3461" s="5"/>
    </row>
    <row r="3462" spans="12:18" x14ac:dyDescent="0.35">
      <c r="L3462" s="71"/>
      <c r="R3462" s="5"/>
    </row>
    <row r="3463" spans="12:18" x14ac:dyDescent="0.35">
      <c r="L3463" s="71"/>
      <c r="R3463" s="5"/>
    </row>
    <row r="3464" spans="12:18" x14ac:dyDescent="0.35">
      <c r="L3464" s="71"/>
      <c r="R3464" s="5"/>
    </row>
    <row r="3465" spans="12:18" x14ac:dyDescent="0.35">
      <c r="L3465" s="71"/>
      <c r="R3465" s="5"/>
    </row>
    <row r="3466" spans="12:18" x14ac:dyDescent="0.35">
      <c r="L3466" s="71"/>
      <c r="R3466" s="5"/>
    </row>
    <row r="3467" spans="12:18" x14ac:dyDescent="0.35">
      <c r="L3467" s="71"/>
      <c r="R3467" s="5"/>
    </row>
    <row r="3468" spans="12:18" x14ac:dyDescent="0.35">
      <c r="L3468" s="71"/>
      <c r="R3468" s="5"/>
    </row>
    <row r="3469" spans="12:18" x14ac:dyDescent="0.35">
      <c r="L3469" s="71"/>
      <c r="R3469" s="5"/>
    </row>
    <row r="3470" spans="12:18" x14ac:dyDescent="0.35">
      <c r="L3470" s="71"/>
      <c r="R3470" s="5"/>
    </row>
    <row r="3471" spans="12:18" x14ac:dyDescent="0.35">
      <c r="L3471" s="71"/>
      <c r="R3471" s="5"/>
    </row>
    <row r="3472" spans="12:18" x14ac:dyDescent="0.35">
      <c r="L3472" s="71"/>
      <c r="R3472" s="5"/>
    </row>
    <row r="3473" spans="12:18" x14ac:dyDescent="0.35">
      <c r="L3473" s="71"/>
      <c r="R3473" s="5"/>
    </row>
    <row r="3474" spans="12:18" x14ac:dyDescent="0.35">
      <c r="L3474" s="71"/>
      <c r="R3474" s="5"/>
    </row>
    <row r="3475" spans="12:18" x14ac:dyDescent="0.35">
      <c r="L3475" s="71"/>
      <c r="R3475" s="5"/>
    </row>
    <row r="3476" spans="12:18" x14ac:dyDescent="0.35">
      <c r="L3476" s="71"/>
      <c r="R3476" s="5"/>
    </row>
    <row r="3477" spans="12:18" x14ac:dyDescent="0.35">
      <c r="L3477" s="71"/>
      <c r="R3477" s="5"/>
    </row>
    <row r="3478" spans="12:18" x14ac:dyDescent="0.35">
      <c r="L3478" s="71"/>
      <c r="R3478" s="5"/>
    </row>
    <row r="3479" spans="12:18" x14ac:dyDescent="0.35">
      <c r="L3479" s="71"/>
      <c r="R3479" s="5"/>
    </row>
    <row r="3480" spans="12:18" x14ac:dyDescent="0.35">
      <c r="L3480" s="71"/>
      <c r="R3480" s="5"/>
    </row>
    <row r="3481" spans="12:18" x14ac:dyDescent="0.35">
      <c r="L3481" s="71"/>
      <c r="R3481" s="5"/>
    </row>
    <row r="3482" spans="12:18" x14ac:dyDescent="0.35">
      <c r="L3482" s="71"/>
      <c r="R3482" s="5"/>
    </row>
    <row r="3483" spans="12:18" x14ac:dyDescent="0.35">
      <c r="L3483" s="71"/>
      <c r="R3483" s="5"/>
    </row>
    <row r="3484" spans="12:18" x14ac:dyDescent="0.35">
      <c r="L3484" s="71"/>
      <c r="R3484" s="5"/>
    </row>
    <row r="3485" spans="12:18" x14ac:dyDescent="0.35">
      <c r="L3485" s="71"/>
      <c r="R3485" s="5"/>
    </row>
    <row r="3486" spans="12:18" x14ac:dyDescent="0.35">
      <c r="L3486" s="71"/>
      <c r="R3486" s="5"/>
    </row>
    <row r="3487" spans="12:18" x14ac:dyDescent="0.35">
      <c r="L3487" s="71"/>
      <c r="R3487" s="5"/>
    </row>
    <row r="3488" spans="12:18" x14ac:dyDescent="0.35">
      <c r="L3488" s="71"/>
      <c r="R3488" s="5"/>
    </row>
    <row r="3489" spans="12:18" x14ac:dyDescent="0.35">
      <c r="L3489" s="71"/>
      <c r="R3489" s="5"/>
    </row>
    <row r="3490" spans="12:18" x14ac:dyDescent="0.35">
      <c r="L3490" s="71"/>
      <c r="R3490" s="5"/>
    </row>
    <row r="3491" spans="12:18" x14ac:dyDescent="0.35">
      <c r="L3491" s="71"/>
      <c r="R3491" s="5"/>
    </row>
    <row r="3492" spans="12:18" x14ac:dyDescent="0.35">
      <c r="L3492" s="71"/>
      <c r="R3492" s="5"/>
    </row>
    <row r="3493" spans="12:18" x14ac:dyDescent="0.35">
      <c r="L3493" s="71"/>
      <c r="R3493" s="5"/>
    </row>
    <row r="3494" spans="12:18" x14ac:dyDescent="0.35">
      <c r="L3494" s="71"/>
      <c r="R3494" s="5"/>
    </row>
    <row r="3495" spans="12:18" x14ac:dyDescent="0.35">
      <c r="L3495" s="71"/>
      <c r="R3495" s="5"/>
    </row>
    <row r="3496" spans="12:18" x14ac:dyDescent="0.35">
      <c r="L3496" s="71"/>
      <c r="R3496" s="5"/>
    </row>
    <row r="3497" spans="12:18" x14ac:dyDescent="0.35">
      <c r="L3497" s="71"/>
      <c r="R3497" s="5"/>
    </row>
    <row r="3498" spans="12:18" x14ac:dyDescent="0.35">
      <c r="L3498" s="71"/>
      <c r="R3498" s="5"/>
    </row>
    <row r="3499" spans="12:18" x14ac:dyDescent="0.35">
      <c r="L3499" s="71"/>
      <c r="R3499" s="5"/>
    </row>
    <row r="3500" spans="12:18" x14ac:dyDescent="0.35">
      <c r="L3500" s="71"/>
      <c r="R3500" s="5"/>
    </row>
    <row r="3501" spans="12:18" x14ac:dyDescent="0.35">
      <c r="L3501" s="71"/>
      <c r="R3501" s="5"/>
    </row>
    <row r="3502" spans="12:18" x14ac:dyDescent="0.35">
      <c r="L3502" s="71"/>
      <c r="R3502" s="5"/>
    </row>
    <row r="3503" spans="12:18" x14ac:dyDescent="0.35">
      <c r="L3503" s="71"/>
      <c r="R3503" s="5"/>
    </row>
    <row r="3504" spans="12:18" x14ac:dyDescent="0.35">
      <c r="L3504" s="71"/>
      <c r="R3504" s="5"/>
    </row>
    <row r="3505" spans="12:18" x14ac:dyDescent="0.35">
      <c r="L3505" s="71"/>
      <c r="R3505" s="5"/>
    </row>
    <row r="3506" spans="12:18" x14ac:dyDescent="0.35">
      <c r="L3506" s="71"/>
      <c r="R3506" s="5"/>
    </row>
    <row r="3507" spans="12:18" x14ac:dyDescent="0.35">
      <c r="L3507" s="71"/>
      <c r="R3507" s="5"/>
    </row>
    <row r="3508" spans="12:18" x14ac:dyDescent="0.35">
      <c r="L3508" s="71"/>
      <c r="R3508" s="5"/>
    </row>
    <row r="3509" spans="12:18" x14ac:dyDescent="0.35">
      <c r="L3509" s="71"/>
      <c r="R3509" s="5"/>
    </row>
    <row r="3510" spans="12:18" x14ac:dyDescent="0.35">
      <c r="L3510" s="71"/>
      <c r="R3510" s="5"/>
    </row>
    <row r="3511" spans="12:18" x14ac:dyDescent="0.35">
      <c r="L3511" s="71"/>
      <c r="R3511" s="5"/>
    </row>
    <row r="3512" spans="12:18" x14ac:dyDescent="0.35">
      <c r="L3512" s="71"/>
      <c r="R3512" s="5"/>
    </row>
    <row r="3513" spans="12:18" x14ac:dyDescent="0.35">
      <c r="L3513" s="71"/>
      <c r="R3513" s="5"/>
    </row>
    <row r="3514" spans="12:18" x14ac:dyDescent="0.35">
      <c r="L3514" s="71"/>
      <c r="R3514" s="5"/>
    </row>
    <row r="3515" spans="12:18" x14ac:dyDescent="0.35">
      <c r="L3515" s="71"/>
      <c r="R3515" s="5"/>
    </row>
    <row r="3516" spans="12:18" x14ac:dyDescent="0.35">
      <c r="L3516" s="71"/>
      <c r="R3516" s="5"/>
    </row>
    <row r="3517" spans="12:18" x14ac:dyDescent="0.35">
      <c r="L3517" s="71"/>
      <c r="R3517" s="5"/>
    </row>
    <row r="3518" spans="12:18" x14ac:dyDescent="0.35">
      <c r="L3518" s="71"/>
      <c r="R3518" s="5"/>
    </row>
    <row r="3519" spans="12:18" x14ac:dyDescent="0.35">
      <c r="L3519" s="71"/>
      <c r="R3519" s="5"/>
    </row>
    <row r="3520" spans="12:18" x14ac:dyDescent="0.35">
      <c r="L3520" s="71"/>
      <c r="R3520" s="5"/>
    </row>
    <row r="3521" spans="12:18" x14ac:dyDescent="0.35">
      <c r="L3521" s="71"/>
      <c r="R3521" s="5"/>
    </row>
    <row r="3522" spans="12:18" x14ac:dyDescent="0.35">
      <c r="L3522" s="71"/>
      <c r="R3522" s="5"/>
    </row>
    <row r="3523" spans="12:18" x14ac:dyDescent="0.35">
      <c r="L3523" s="71"/>
      <c r="R3523" s="5"/>
    </row>
    <row r="3524" spans="12:18" x14ac:dyDescent="0.35">
      <c r="L3524" s="71"/>
      <c r="R3524" s="5"/>
    </row>
    <row r="3525" spans="12:18" x14ac:dyDescent="0.35">
      <c r="L3525" s="71"/>
      <c r="R3525" s="5"/>
    </row>
    <row r="3526" spans="12:18" x14ac:dyDescent="0.35">
      <c r="L3526" s="71"/>
      <c r="R3526" s="5"/>
    </row>
    <row r="3527" spans="12:18" x14ac:dyDescent="0.35">
      <c r="L3527" s="71"/>
      <c r="R3527" s="5"/>
    </row>
    <row r="3528" spans="12:18" x14ac:dyDescent="0.35">
      <c r="L3528" s="71"/>
      <c r="R3528" s="5"/>
    </row>
    <row r="3529" spans="12:18" x14ac:dyDescent="0.35">
      <c r="L3529" s="71"/>
      <c r="R3529" s="5"/>
    </row>
    <row r="3530" spans="12:18" x14ac:dyDescent="0.35">
      <c r="L3530" s="71"/>
      <c r="R3530" s="5"/>
    </row>
    <row r="3531" spans="12:18" x14ac:dyDescent="0.35">
      <c r="L3531" s="71"/>
      <c r="R3531" s="5"/>
    </row>
    <row r="3532" spans="12:18" x14ac:dyDescent="0.35">
      <c r="L3532" s="71"/>
      <c r="R3532" s="5"/>
    </row>
    <row r="3533" spans="12:18" x14ac:dyDescent="0.35">
      <c r="L3533" s="71"/>
      <c r="R3533" s="5"/>
    </row>
    <row r="3534" spans="12:18" x14ac:dyDescent="0.35">
      <c r="L3534" s="71"/>
      <c r="R3534" s="5"/>
    </row>
    <row r="3535" spans="12:18" x14ac:dyDescent="0.35">
      <c r="L3535" s="71"/>
      <c r="R3535" s="5"/>
    </row>
    <row r="3536" spans="12:18" x14ac:dyDescent="0.35">
      <c r="L3536" s="71"/>
      <c r="R3536" s="5"/>
    </row>
    <row r="3537" spans="12:18" x14ac:dyDescent="0.35">
      <c r="L3537" s="71"/>
      <c r="R3537" s="5"/>
    </row>
    <row r="3538" spans="12:18" x14ac:dyDescent="0.35">
      <c r="L3538" s="71"/>
      <c r="R3538" s="5"/>
    </row>
    <row r="3539" spans="12:18" x14ac:dyDescent="0.35">
      <c r="L3539" s="71"/>
      <c r="R3539" s="5"/>
    </row>
    <row r="3540" spans="12:18" x14ac:dyDescent="0.35">
      <c r="L3540" s="71"/>
      <c r="R3540" s="5"/>
    </row>
    <row r="3541" spans="12:18" x14ac:dyDescent="0.35">
      <c r="L3541" s="71"/>
      <c r="R3541" s="5"/>
    </row>
    <row r="3542" spans="12:18" x14ac:dyDescent="0.35">
      <c r="L3542" s="71"/>
      <c r="R3542" s="5"/>
    </row>
    <row r="3543" spans="12:18" x14ac:dyDescent="0.35">
      <c r="L3543" s="71"/>
      <c r="R3543" s="5"/>
    </row>
    <row r="3544" spans="12:18" x14ac:dyDescent="0.35">
      <c r="L3544" s="71"/>
      <c r="R3544" s="5"/>
    </row>
    <row r="3545" spans="12:18" x14ac:dyDescent="0.35">
      <c r="L3545" s="71"/>
      <c r="R3545" s="5"/>
    </row>
    <row r="3546" spans="12:18" x14ac:dyDescent="0.35">
      <c r="L3546" s="71"/>
      <c r="R3546" s="5"/>
    </row>
    <row r="3547" spans="12:18" x14ac:dyDescent="0.35">
      <c r="L3547" s="71"/>
      <c r="R3547" s="5"/>
    </row>
    <row r="3548" spans="12:18" x14ac:dyDescent="0.35">
      <c r="L3548" s="71"/>
      <c r="R3548" s="5"/>
    </row>
    <row r="3549" spans="12:18" x14ac:dyDescent="0.35">
      <c r="L3549" s="71"/>
      <c r="R3549" s="5"/>
    </row>
    <row r="3550" spans="12:18" x14ac:dyDescent="0.35">
      <c r="L3550" s="71"/>
      <c r="R3550" s="5"/>
    </row>
    <row r="3551" spans="12:18" x14ac:dyDescent="0.35">
      <c r="L3551" s="71"/>
      <c r="R3551" s="5"/>
    </row>
    <row r="3552" spans="12:18" x14ac:dyDescent="0.35">
      <c r="L3552" s="71"/>
      <c r="R3552" s="5"/>
    </row>
    <row r="3553" spans="12:18" x14ac:dyDescent="0.35">
      <c r="L3553" s="71"/>
      <c r="R3553" s="5"/>
    </row>
    <row r="3554" spans="12:18" x14ac:dyDescent="0.35">
      <c r="L3554" s="71"/>
      <c r="R3554" s="5"/>
    </row>
    <row r="3555" spans="12:18" x14ac:dyDescent="0.35">
      <c r="L3555" s="71"/>
      <c r="R3555" s="5"/>
    </row>
    <row r="3556" spans="12:18" x14ac:dyDescent="0.35">
      <c r="L3556" s="71"/>
      <c r="R3556" s="5"/>
    </row>
    <row r="3557" spans="12:18" x14ac:dyDescent="0.35">
      <c r="L3557" s="71"/>
      <c r="R3557" s="5"/>
    </row>
    <row r="3558" spans="12:18" x14ac:dyDescent="0.35">
      <c r="L3558" s="71"/>
      <c r="R3558" s="5"/>
    </row>
    <row r="3559" spans="12:18" x14ac:dyDescent="0.35">
      <c r="L3559" s="71"/>
      <c r="R3559" s="5"/>
    </row>
    <row r="3560" spans="12:18" x14ac:dyDescent="0.35">
      <c r="L3560" s="71"/>
      <c r="R3560" s="5"/>
    </row>
    <row r="3561" spans="12:18" x14ac:dyDescent="0.35">
      <c r="L3561" s="71"/>
      <c r="R3561" s="5"/>
    </row>
    <row r="3562" spans="12:18" x14ac:dyDescent="0.35">
      <c r="L3562" s="71"/>
      <c r="R3562" s="5"/>
    </row>
    <row r="3563" spans="12:18" x14ac:dyDescent="0.35">
      <c r="L3563" s="71"/>
      <c r="R3563" s="5"/>
    </row>
    <row r="3564" spans="12:18" x14ac:dyDescent="0.35">
      <c r="L3564" s="71"/>
      <c r="R3564" s="5"/>
    </row>
    <row r="3565" spans="12:18" x14ac:dyDescent="0.35">
      <c r="L3565" s="71"/>
      <c r="R3565" s="5"/>
    </row>
    <row r="3566" spans="12:18" x14ac:dyDescent="0.35">
      <c r="L3566" s="71"/>
      <c r="R3566" s="5"/>
    </row>
    <row r="3567" spans="12:18" x14ac:dyDescent="0.35">
      <c r="L3567" s="71"/>
      <c r="R3567" s="5"/>
    </row>
    <row r="3568" spans="12:18" x14ac:dyDescent="0.35">
      <c r="L3568" s="71"/>
      <c r="R3568" s="5"/>
    </row>
    <row r="3569" spans="12:18" x14ac:dyDescent="0.35">
      <c r="L3569" s="71"/>
      <c r="R3569" s="5"/>
    </row>
    <row r="3570" spans="12:18" x14ac:dyDescent="0.35">
      <c r="L3570" s="71"/>
      <c r="R3570" s="5"/>
    </row>
    <row r="3571" spans="12:18" x14ac:dyDescent="0.35">
      <c r="L3571" s="71"/>
      <c r="R3571" s="5"/>
    </row>
    <row r="3572" spans="12:18" x14ac:dyDescent="0.35">
      <c r="L3572" s="71"/>
      <c r="R3572" s="5"/>
    </row>
    <row r="3573" spans="12:18" x14ac:dyDescent="0.35">
      <c r="L3573" s="71"/>
      <c r="R3573" s="5"/>
    </row>
    <row r="3574" spans="12:18" x14ac:dyDescent="0.35">
      <c r="L3574" s="71"/>
      <c r="R3574" s="5"/>
    </row>
    <row r="3575" spans="12:18" x14ac:dyDescent="0.35">
      <c r="L3575" s="71"/>
      <c r="R3575" s="5"/>
    </row>
    <row r="3576" spans="12:18" x14ac:dyDescent="0.35">
      <c r="L3576" s="71"/>
      <c r="R3576" s="5"/>
    </row>
    <row r="3577" spans="12:18" x14ac:dyDescent="0.35">
      <c r="L3577" s="71"/>
      <c r="R3577" s="5"/>
    </row>
    <row r="3578" spans="12:18" x14ac:dyDescent="0.35">
      <c r="L3578" s="71"/>
      <c r="R3578" s="5"/>
    </row>
    <row r="3579" spans="12:18" x14ac:dyDescent="0.35">
      <c r="L3579" s="71"/>
      <c r="R3579" s="5"/>
    </row>
    <row r="3580" spans="12:18" x14ac:dyDescent="0.35">
      <c r="L3580" s="71"/>
      <c r="R3580" s="5"/>
    </row>
    <row r="3581" spans="12:18" x14ac:dyDescent="0.35">
      <c r="L3581" s="71"/>
      <c r="R3581" s="5"/>
    </row>
    <row r="3582" spans="12:18" x14ac:dyDescent="0.35">
      <c r="L3582" s="71"/>
      <c r="R3582" s="5"/>
    </row>
    <row r="3583" spans="12:18" x14ac:dyDescent="0.35">
      <c r="L3583" s="71"/>
      <c r="R3583" s="5"/>
    </row>
    <row r="3584" spans="12:18" x14ac:dyDescent="0.35">
      <c r="L3584" s="71"/>
      <c r="R3584" s="5"/>
    </row>
    <row r="3585" spans="12:18" x14ac:dyDescent="0.35">
      <c r="L3585" s="71"/>
      <c r="R3585" s="5"/>
    </row>
    <row r="3586" spans="12:18" x14ac:dyDescent="0.35">
      <c r="L3586" s="71"/>
      <c r="R3586" s="5"/>
    </row>
    <row r="3587" spans="12:18" x14ac:dyDescent="0.35">
      <c r="L3587" s="71"/>
      <c r="R3587" s="5"/>
    </row>
    <row r="3588" spans="12:18" x14ac:dyDescent="0.35">
      <c r="L3588" s="71"/>
      <c r="R3588" s="5"/>
    </row>
    <row r="3589" spans="12:18" x14ac:dyDescent="0.35">
      <c r="L3589" s="71"/>
      <c r="R3589" s="5"/>
    </row>
    <row r="3590" spans="12:18" x14ac:dyDescent="0.35">
      <c r="L3590" s="71"/>
      <c r="R3590" s="5"/>
    </row>
    <row r="3591" spans="12:18" x14ac:dyDescent="0.35">
      <c r="L3591" s="71"/>
      <c r="R3591" s="5"/>
    </row>
    <row r="3592" spans="12:18" x14ac:dyDescent="0.35">
      <c r="L3592" s="71"/>
      <c r="R3592" s="5"/>
    </row>
    <row r="3593" spans="12:18" x14ac:dyDescent="0.35">
      <c r="L3593" s="71"/>
      <c r="R3593" s="5"/>
    </row>
    <row r="3594" spans="12:18" x14ac:dyDescent="0.35">
      <c r="L3594" s="71"/>
      <c r="R3594" s="5"/>
    </row>
    <row r="3595" spans="12:18" x14ac:dyDescent="0.35">
      <c r="L3595" s="71"/>
      <c r="R3595" s="5"/>
    </row>
    <row r="3596" spans="12:18" x14ac:dyDescent="0.35">
      <c r="L3596" s="71"/>
      <c r="R3596" s="5"/>
    </row>
    <row r="3597" spans="12:18" x14ac:dyDescent="0.35">
      <c r="L3597" s="71"/>
      <c r="R3597" s="5"/>
    </row>
    <row r="3598" spans="12:18" x14ac:dyDescent="0.35">
      <c r="L3598" s="71"/>
      <c r="R3598" s="5"/>
    </row>
    <row r="3599" spans="12:18" x14ac:dyDescent="0.35">
      <c r="L3599" s="71"/>
      <c r="R3599" s="5"/>
    </row>
    <row r="3600" spans="12:18" x14ac:dyDescent="0.35">
      <c r="L3600" s="71"/>
      <c r="R3600" s="5"/>
    </row>
    <row r="3601" spans="12:18" x14ac:dyDescent="0.35">
      <c r="L3601" s="71"/>
      <c r="R3601" s="5"/>
    </row>
    <row r="3602" spans="12:18" x14ac:dyDescent="0.35">
      <c r="L3602" s="71"/>
      <c r="R3602" s="5"/>
    </row>
    <row r="3603" spans="12:18" x14ac:dyDescent="0.35">
      <c r="L3603" s="71"/>
      <c r="R3603" s="5"/>
    </row>
    <row r="3604" spans="12:18" x14ac:dyDescent="0.35">
      <c r="L3604" s="71"/>
      <c r="R3604" s="5"/>
    </row>
    <row r="3605" spans="12:18" x14ac:dyDescent="0.35">
      <c r="L3605" s="71"/>
      <c r="R3605" s="5"/>
    </row>
    <row r="3606" spans="12:18" x14ac:dyDescent="0.35">
      <c r="L3606" s="71"/>
      <c r="R3606" s="5"/>
    </row>
    <row r="3607" spans="12:18" x14ac:dyDescent="0.35">
      <c r="L3607" s="71"/>
      <c r="R3607" s="5"/>
    </row>
    <row r="3608" spans="12:18" x14ac:dyDescent="0.35">
      <c r="L3608" s="71"/>
      <c r="R3608" s="5"/>
    </row>
    <row r="3609" spans="12:18" x14ac:dyDescent="0.35">
      <c r="L3609" s="71"/>
      <c r="R3609" s="5"/>
    </row>
    <row r="3610" spans="12:18" x14ac:dyDescent="0.35">
      <c r="L3610" s="71"/>
      <c r="R3610" s="5"/>
    </row>
    <row r="3611" spans="12:18" x14ac:dyDescent="0.35">
      <c r="L3611" s="71"/>
      <c r="R3611" s="5"/>
    </row>
    <row r="3612" spans="12:18" x14ac:dyDescent="0.35">
      <c r="L3612" s="71"/>
      <c r="R3612" s="5"/>
    </row>
    <row r="3613" spans="12:18" x14ac:dyDescent="0.35">
      <c r="L3613" s="71"/>
      <c r="R3613" s="5"/>
    </row>
    <row r="3614" spans="12:18" x14ac:dyDescent="0.35">
      <c r="L3614" s="71"/>
      <c r="R3614" s="5"/>
    </row>
    <row r="3615" spans="12:18" x14ac:dyDescent="0.35">
      <c r="L3615" s="71"/>
      <c r="R3615" s="5"/>
    </row>
    <row r="3616" spans="12:18" x14ac:dyDescent="0.35">
      <c r="L3616" s="71"/>
      <c r="R3616" s="5"/>
    </row>
    <row r="3617" spans="12:18" x14ac:dyDescent="0.35">
      <c r="L3617" s="71"/>
      <c r="R3617" s="5"/>
    </row>
    <row r="3618" spans="12:18" x14ac:dyDescent="0.35">
      <c r="L3618" s="71"/>
      <c r="R3618" s="5"/>
    </row>
    <row r="3619" spans="12:18" x14ac:dyDescent="0.35">
      <c r="L3619" s="71"/>
      <c r="R3619" s="5"/>
    </row>
    <row r="3620" spans="12:18" x14ac:dyDescent="0.35">
      <c r="L3620" s="71"/>
      <c r="R3620" s="5"/>
    </row>
    <row r="3621" spans="12:18" x14ac:dyDescent="0.35">
      <c r="L3621" s="71"/>
      <c r="R3621" s="5"/>
    </row>
    <row r="3622" spans="12:18" x14ac:dyDescent="0.35">
      <c r="L3622" s="71"/>
      <c r="R3622" s="5"/>
    </row>
    <row r="3623" spans="12:18" x14ac:dyDescent="0.35">
      <c r="L3623" s="71"/>
      <c r="R3623" s="5"/>
    </row>
    <row r="3624" spans="12:18" x14ac:dyDescent="0.35">
      <c r="L3624" s="71"/>
      <c r="R3624" s="5"/>
    </row>
    <row r="3625" spans="12:18" x14ac:dyDescent="0.35">
      <c r="L3625" s="71"/>
      <c r="R3625" s="5"/>
    </row>
    <row r="3626" spans="12:18" x14ac:dyDescent="0.35">
      <c r="L3626" s="71"/>
      <c r="R3626" s="5"/>
    </row>
    <row r="3627" spans="12:18" x14ac:dyDescent="0.35">
      <c r="L3627" s="71"/>
      <c r="R3627" s="5"/>
    </row>
    <row r="3628" spans="12:18" x14ac:dyDescent="0.35">
      <c r="L3628" s="71"/>
      <c r="R3628" s="5"/>
    </row>
    <row r="3629" spans="12:18" x14ac:dyDescent="0.35">
      <c r="L3629" s="71"/>
      <c r="R3629" s="5"/>
    </row>
    <row r="3630" spans="12:18" x14ac:dyDescent="0.35">
      <c r="L3630" s="71"/>
      <c r="R3630" s="5"/>
    </row>
    <row r="3631" spans="12:18" x14ac:dyDescent="0.35">
      <c r="L3631" s="71"/>
      <c r="R3631" s="5"/>
    </row>
    <row r="3632" spans="12:18" x14ac:dyDescent="0.35">
      <c r="L3632" s="71"/>
      <c r="R3632" s="5"/>
    </row>
    <row r="3633" spans="12:18" x14ac:dyDescent="0.35">
      <c r="L3633" s="71"/>
      <c r="R3633" s="5"/>
    </row>
    <row r="3634" spans="12:18" x14ac:dyDescent="0.35">
      <c r="L3634" s="71"/>
      <c r="R3634" s="5"/>
    </row>
    <row r="3635" spans="12:18" x14ac:dyDescent="0.35">
      <c r="L3635" s="71"/>
      <c r="R3635" s="5"/>
    </row>
    <row r="3636" spans="12:18" x14ac:dyDescent="0.35">
      <c r="L3636" s="71"/>
      <c r="R3636" s="5"/>
    </row>
    <row r="3637" spans="12:18" x14ac:dyDescent="0.35">
      <c r="L3637" s="71"/>
      <c r="R3637" s="5"/>
    </row>
    <row r="3638" spans="12:18" x14ac:dyDescent="0.35">
      <c r="L3638" s="71"/>
      <c r="R3638" s="5"/>
    </row>
    <row r="3639" spans="12:18" x14ac:dyDescent="0.35">
      <c r="L3639" s="71"/>
      <c r="R3639" s="5"/>
    </row>
    <row r="3640" spans="12:18" x14ac:dyDescent="0.35">
      <c r="L3640" s="71"/>
      <c r="R3640" s="5"/>
    </row>
    <row r="3641" spans="12:18" x14ac:dyDescent="0.35">
      <c r="L3641" s="71"/>
      <c r="R3641" s="5"/>
    </row>
    <row r="3642" spans="12:18" x14ac:dyDescent="0.35">
      <c r="L3642" s="71"/>
      <c r="R3642" s="5"/>
    </row>
    <row r="3643" spans="12:18" x14ac:dyDescent="0.35">
      <c r="L3643" s="71"/>
      <c r="R3643" s="5"/>
    </row>
    <row r="3644" spans="12:18" x14ac:dyDescent="0.35">
      <c r="L3644" s="71"/>
      <c r="R3644" s="5"/>
    </row>
    <row r="3645" spans="12:18" x14ac:dyDescent="0.35">
      <c r="L3645" s="71"/>
      <c r="R3645" s="5"/>
    </row>
    <row r="3646" spans="12:18" x14ac:dyDescent="0.35">
      <c r="L3646" s="71"/>
      <c r="R3646" s="5"/>
    </row>
    <row r="3647" spans="12:18" x14ac:dyDescent="0.35">
      <c r="L3647" s="71"/>
      <c r="R3647" s="5"/>
    </row>
    <row r="3648" spans="12:18" x14ac:dyDescent="0.35">
      <c r="L3648" s="71"/>
      <c r="R3648" s="5"/>
    </row>
    <row r="3649" spans="12:18" x14ac:dyDescent="0.35">
      <c r="L3649" s="71"/>
      <c r="R3649" s="5"/>
    </row>
    <row r="3650" spans="12:18" x14ac:dyDescent="0.35">
      <c r="L3650" s="71"/>
      <c r="R3650" s="5"/>
    </row>
    <row r="3651" spans="12:18" x14ac:dyDescent="0.35">
      <c r="L3651" s="71"/>
      <c r="R3651" s="5"/>
    </row>
    <row r="3652" spans="12:18" x14ac:dyDescent="0.35">
      <c r="L3652" s="71"/>
      <c r="R3652" s="5"/>
    </row>
    <row r="3653" spans="12:18" x14ac:dyDescent="0.35">
      <c r="L3653" s="71"/>
      <c r="R3653" s="5"/>
    </row>
    <row r="3654" spans="12:18" x14ac:dyDescent="0.35">
      <c r="L3654" s="71"/>
      <c r="R3654" s="5"/>
    </row>
    <row r="3655" spans="12:18" x14ac:dyDescent="0.35">
      <c r="L3655" s="71"/>
      <c r="R3655" s="5"/>
    </row>
    <row r="3656" spans="12:18" x14ac:dyDescent="0.35">
      <c r="L3656" s="71"/>
      <c r="R3656" s="5"/>
    </row>
    <row r="3657" spans="12:18" x14ac:dyDescent="0.35">
      <c r="L3657" s="71"/>
      <c r="R3657" s="5"/>
    </row>
    <row r="3658" spans="12:18" x14ac:dyDescent="0.35">
      <c r="L3658" s="71"/>
      <c r="R3658" s="5"/>
    </row>
    <row r="3659" spans="12:18" x14ac:dyDescent="0.35">
      <c r="L3659" s="71"/>
      <c r="R3659" s="5"/>
    </row>
    <row r="3660" spans="12:18" x14ac:dyDescent="0.35">
      <c r="L3660" s="71"/>
      <c r="R3660" s="5"/>
    </row>
    <row r="3661" spans="12:18" x14ac:dyDescent="0.35">
      <c r="L3661" s="71"/>
      <c r="R3661" s="5"/>
    </row>
    <row r="3662" spans="12:18" x14ac:dyDescent="0.35">
      <c r="L3662" s="71"/>
      <c r="R3662" s="5"/>
    </row>
    <row r="3663" spans="12:18" x14ac:dyDescent="0.35">
      <c r="L3663" s="71"/>
      <c r="R3663" s="5"/>
    </row>
    <row r="3664" spans="12:18" x14ac:dyDescent="0.35">
      <c r="L3664" s="71"/>
      <c r="R3664" s="5"/>
    </row>
    <row r="3665" spans="12:18" x14ac:dyDescent="0.35">
      <c r="L3665" s="71"/>
      <c r="R3665" s="5"/>
    </row>
    <row r="3666" spans="12:18" x14ac:dyDescent="0.35">
      <c r="L3666" s="71"/>
      <c r="R3666" s="5"/>
    </row>
    <row r="3667" spans="12:18" x14ac:dyDescent="0.35">
      <c r="L3667" s="71"/>
      <c r="R3667" s="5"/>
    </row>
    <row r="3668" spans="12:18" x14ac:dyDescent="0.35">
      <c r="L3668" s="71"/>
      <c r="R3668" s="5"/>
    </row>
    <row r="3669" spans="12:18" x14ac:dyDescent="0.35">
      <c r="L3669" s="71"/>
      <c r="R3669" s="5"/>
    </row>
    <row r="3670" spans="12:18" x14ac:dyDescent="0.35">
      <c r="L3670" s="71"/>
      <c r="R3670" s="5"/>
    </row>
    <row r="3671" spans="12:18" x14ac:dyDescent="0.35">
      <c r="L3671" s="71"/>
      <c r="R3671" s="5"/>
    </row>
    <row r="3672" spans="12:18" x14ac:dyDescent="0.35">
      <c r="L3672" s="71"/>
      <c r="R3672" s="5"/>
    </row>
    <row r="3673" spans="12:18" x14ac:dyDescent="0.35">
      <c r="L3673" s="71"/>
      <c r="R3673" s="5"/>
    </row>
    <row r="3674" spans="12:18" x14ac:dyDescent="0.35">
      <c r="L3674" s="71"/>
      <c r="R3674" s="5"/>
    </row>
    <row r="3675" spans="12:18" x14ac:dyDescent="0.35">
      <c r="L3675" s="71"/>
      <c r="R3675" s="5"/>
    </row>
    <row r="3676" spans="12:18" x14ac:dyDescent="0.35">
      <c r="L3676" s="71"/>
      <c r="R3676" s="5"/>
    </row>
    <row r="3677" spans="12:18" x14ac:dyDescent="0.35">
      <c r="L3677" s="71"/>
      <c r="R3677" s="5"/>
    </row>
    <row r="3678" spans="12:18" x14ac:dyDescent="0.35">
      <c r="L3678" s="71"/>
      <c r="R3678" s="5"/>
    </row>
    <row r="3679" spans="12:18" x14ac:dyDescent="0.35">
      <c r="L3679" s="71"/>
      <c r="R3679" s="5"/>
    </row>
    <row r="3680" spans="12:18" x14ac:dyDescent="0.35">
      <c r="L3680" s="71"/>
      <c r="R3680" s="5"/>
    </row>
    <row r="3681" spans="12:18" x14ac:dyDescent="0.35">
      <c r="L3681" s="71"/>
      <c r="R3681" s="5"/>
    </row>
    <row r="3682" spans="12:18" x14ac:dyDescent="0.35">
      <c r="L3682" s="71"/>
      <c r="R3682" s="5"/>
    </row>
    <row r="3683" spans="12:18" x14ac:dyDescent="0.35">
      <c r="L3683" s="71"/>
      <c r="R3683" s="5"/>
    </row>
    <row r="3684" spans="12:18" x14ac:dyDescent="0.35">
      <c r="L3684" s="71"/>
      <c r="R3684" s="5"/>
    </row>
    <row r="3685" spans="12:18" x14ac:dyDescent="0.35">
      <c r="L3685" s="71"/>
      <c r="R3685" s="5"/>
    </row>
    <row r="3686" spans="12:18" x14ac:dyDescent="0.35">
      <c r="L3686" s="71"/>
      <c r="R3686" s="5"/>
    </row>
    <row r="3687" spans="12:18" x14ac:dyDescent="0.35">
      <c r="L3687" s="71"/>
      <c r="R3687" s="5"/>
    </row>
    <row r="3688" spans="12:18" x14ac:dyDescent="0.35">
      <c r="L3688" s="71"/>
      <c r="R3688" s="5"/>
    </row>
    <row r="3689" spans="12:18" x14ac:dyDescent="0.35">
      <c r="L3689" s="71"/>
      <c r="R3689" s="5"/>
    </row>
    <row r="3690" spans="12:18" x14ac:dyDescent="0.35">
      <c r="L3690" s="71"/>
      <c r="R3690" s="5"/>
    </row>
    <row r="3691" spans="12:18" x14ac:dyDescent="0.35">
      <c r="L3691" s="71"/>
      <c r="R3691" s="5"/>
    </row>
    <row r="3692" spans="12:18" x14ac:dyDescent="0.35">
      <c r="L3692" s="71"/>
      <c r="R3692" s="5"/>
    </row>
    <row r="3693" spans="12:18" x14ac:dyDescent="0.35">
      <c r="L3693" s="71"/>
      <c r="R3693" s="5"/>
    </row>
    <row r="3694" spans="12:18" x14ac:dyDescent="0.35">
      <c r="L3694" s="71"/>
      <c r="R3694" s="5"/>
    </row>
    <row r="3695" spans="12:18" x14ac:dyDescent="0.35">
      <c r="L3695" s="71"/>
      <c r="R3695" s="5"/>
    </row>
    <row r="3696" spans="12:18" x14ac:dyDescent="0.35">
      <c r="L3696" s="71"/>
      <c r="R3696" s="5"/>
    </row>
    <row r="3697" spans="12:18" x14ac:dyDescent="0.35">
      <c r="L3697" s="71"/>
      <c r="R3697" s="5"/>
    </row>
    <row r="3698" spans="12:18" x14ac:dyDescent="0.35">
      <c r="L3698" s="71"/>
      <c r="R3698" s="5"/>
    </row>
    <row r="3699" spans="12:18" x14ac:dyDescent="0.35">
      <c r="L3699" s="71"/>
      <c r="R3699" s="5"/>
    </row>
    <row r="3700" spans="12:18" x14ac:dyDescent="0.35">
      <c r="L3700" s="71"/>
      <c r="R3700" s="5"/>
    </row>
    <row r="3701" spans="12:18" x14ac:dyDescent="0.35">
      <c r="L3701" s="71"/>
      <c r="R3701" s="5"/>
    </row>
    <row r="3702" spans="12:18" x14ac:dyDescent="0.35">
      <c r="L3702" s="71"/>
      <c r="R3702" s="5"/>
    </row>
    <row r="3703" spans="12:18" x14ac:dyDescent="0.35">
      <c r="L3703" s="71"/>
      <c r="R3703" s="5"/>
    </row>
    <row r="3704" spans="12:18" x14ac:dyDescent="0.35">
      <c r="L3704" s="71"/>
      <c r="R3704" s="5"/>
    </row>
    <row r="3705" spans="12:18" x14ac:dyDescent="0.35">
      <c r="L3705" s="71"/>
      <c r="R3705" s="5"/>
    </row>
    <row r="3706" spans="12:18" x14ac:dyDescent="0.35">
      <c r="L3706" s="71"/>
      <c r="R3706" s="5"/>
    </row>
    <row r="3707" spans="12:18" x14ac:dyDescent="0.35">
      <c r="L3707" s="71"/>
      <c r="R3707" s="5"/>
    </row>
    <row r="3708" spans="12:18" x14ac:dyDescent="0.35">
      <c r="L3708" s="71"/>
      <c r="R3708" s="5"/>
    </row>
    <row r="3709" spans="12:18" x14ac:dyDescent="0.35">
      <c r="L3709" s="71"/>
      <c r="R3709" s="5"/>
    </row>
    <row r="3710" spans="12:18" x14ac:dyDescent="0.35">
      <c r="L3710" s="71"/>
      <c r="R3710" s="5"/>
    </row>
    <row r="3711" spans="12:18" x14ac:dyDescent="0.35">
      <c r="L3711" s="71"/>
      <c r="R3711" s="5"/>
    </row>
    <row r="3712" spans="12:18" x14ac:dyDescent="0.35">
      <c r="L3712" s="71"/>
      <c r="R3712" s="5"/>
    </row>
    <row r="3713" spans="12:18" x14ac:dyDescent="0.35">
      <c r="L3713" s="71"/>
      <c r="R3713" s="5"/>
    </row>
    <row r="3714" spans="12:18" x14ac:dyDescent="0.35">
      <c r="L3714" s="71"/>
      <c r="R3714" s="5"/>
    </row>
    <row r="3715" spans="12:18" x14ac:dyDescent="0.35">
      <c r="L3715" s="71"/>
      <c r="R3715" s="5"/>
    </row>
    <row r="3716" spans="12:18" x14ac:dyDescent="0.35">
      <c r="L3716" s="71"/>
      <c r="R3716" s="5"/>
    </row>
    <row r="3717" spans="12:18" x14ac:dyDescent="0.35">
      <c r="L3717" s="71"/>
      <c r="R3717" s="5"/>
    </row>
    <row r="3718" spans="12:18" x14ac:dyDescent="0.35">
      <c r="L3718" s="71"/>
      <c r="R3718" s="5"/>
    </row>
    <row r="3719" spans="12:18" x14ac:dyDescent="0.35">
      <c r="L3719" s="71"/>
      <c r="R3719" s="5"/>
    </row>
    <row r="3720" spans="12:18" x14ac:dyDescent="0.35">
      <c r="L3720" s="71"/>
      <c r="R3720" s="5"/>
    </row>
    <row r="3721" spans="12:18" x14ac:dyDescent="0.35">
      <c r="L3721" s="71"/>
      <c r="R3721" s="5"/>
    </row>
    <row r="3722" spans="12:18" x14ac:dyDescent="0.35">
      <c r="L3722" s="71"/>
      <c r="R3722" s="5"/>
    </row>
    <row r="3723" spans="12:18" x14ac:dyDescent="0.35">
      <c r="L3723" s="71"/>
      <c r="R3723" s="5"/>
    </row>
    <row r="3724" spans="12:18" x14ac:dyDescent="0.35">
      <c r="L3724" s="71"/>
      <c r="R3724" s="5"/>
    </row>
    <row r="3725" spans="12:18" x14ac:dyDescent="0.35">
      <c r="L3725" s="71"/>
      <c r="R3725" s="5"/>
    </row>
    <row r="3726" spans="12:18" x14ac:dyDescent="0.35">
      <c r="L3726" s="71"/>
      <c r="R3726" s="5"/>
    </row>
    <row r="3727" spans="12:18" x14ac:dyDescent="0.35">
      <c r="L3727" s="71"/>
      <c r="R3727" s="5"/>
    </row>
    <row r="3728" spans="12:18" x14ac:dyDescent="0.35">
      <c r="L3728" s="71"/>
      <c r="R3728" s="5"/>
    </row>
    <row r="3729" spans="12:18" x14ac:dyDescent="0.35">
      <c r="L3729" s="71"/>
      <c r="R3729" s="5"/>
    </row>
    <row r="3730" spans="12:18" x14ac:dyDescent="0.35">
      <c r="L3730" s="71"/>
      <c r="R3730" s="5"/>
    </row>
    <row r="3731" spans="12:18" x14ac:dyDescent="0.35">
      <c r="L3731" s="71"/>
      <c r="R3731" s="5"/>
    </row>
    <row r="3732" spans="12:18" x14ac:dyDescent="0.35">
      <c r="L3732" s="71"/>
      <c r="R3732" s="5"/>
    </row>
    <row r="3733" spans="12:18" x14ac:dyDescent="0.35">
      <c r="L3733" s="71"/>
      <c r="R3733" s="5"/>
    </row>
    <row r="3734" spans="12:18" x14ac:dyDescent="0.35">
      <c r="L3734" s="71"/>
      <c r="R3734" s="5"/>
    </row>
    <row r="3735" spans="12:18" x14ac:dyDescent="0.35">
      <c r="L3735" s="71"/>
      <c r="R3735" s="5"/>
    </row>
    <row r="3736" spans="12:18" x14ac:dyDescent="0.35">
      <c r="L3736" s="71"/>
      <c r="R3736" s="5"/>
    </row>
    <row r="3737" spans="12:18" x14ac:dyDescent="0.35">
      <c r="L3737" s="71"/>
      <c r="R3737" s="5"/>
    </row>
    <row r="3738" spans="12:18" x14ac:dyDescent="0.35">
      <c r="L3738" s="71"/>
      <c r="R3738" s="5"/>
    </row>
    <row r="3739" spans="12:18" x14ac:dyDescent="0.35">
      <c r="L3739" s="71"/>
      <c r="R3739" s="5"/>
    </row>
    <row r="3740" spans="12:18" x14ac:dyDescent="0.35">
      <c r="L3740" s="71"/>
      <c r="R3740" s="5"/>
    </row>
    <row r="3741" spans="12:18" x14ac:dyDescent="0.35">
      <c r="L3741" s="71"/>
      <c r="R3741" s="5"/>
    </row>
    <row r="3742" spans="12:18" x14ac:dyDescent="0.35">
      <c r="L3742" s="71"/>
      <c r="R3742" s="5"/>
    </row>
    <row r="3743" spans="12:18" x14ac:dyDescent="0.35">
      <c r="L3743" s="71"/>
      <c r="R3743" s="5"/>
    </row>
    <row r="3744" spans="12:18" x14ac:dyDescent="0.35">
      <c r="L3744" s="71"/>
      <c r="R3744" s="5"/>
    </row>
    <row r="3745" spans="12:18" x14ac:dyDescent="0.35">
      <c r="L3745" s="71"/>
      <c r="R3745" s="5"/>
    </row>
    <row r="3746" spans="12:18" x14ac:dyDescent="0.35">
      <c r="L3746" s="71"/>
      <c r="R3746" s="5"/>
    </row>
    <row r="3747" spans="12:18" x14ac:dyDescent="0.35">
      <c r="L3747" s="71"/>
      <c r="R3747" s="5"/>
    </row>
    <row r="3748" spans="12:18" x14ac:dyDescent="0.35">
      <c r="L3748" s="71"/>
      <c r="R3748" s="5"/>
    </row>
    <row r="3749" spans="12:18" x14ac:dyDescent="0.35">
      <c r="L3749" s="71"/>
      <c r="R3749" s="5"/>
    </row>
    <row r="3750" spans="12:18" x14ac:dyDescent="0.35">
      <c r="L3750" s="71"/>
      <c r="R3750" s="5"/>
    </row>
    <row r="3751" spans="12:18" x14ac:dyDescent="0.35">
      <c r="L3751" s="71"/>
      <c r="R3751" s="5"/>
    </row>
    <row r="3752" spans="12:18" x14ac:dyDescent="0.35">
      <c r="L3752" s="71"/>
      <c r="R3752" s="5"/>
    </row>
    <row r="3753" spans="12:18" x14ac:dyDescent="0.35">
      <c r="L3753" s="71"/>
      <c r="R3753" s="5"/>
    </row>
    <row r="3754" spans="12:18" x14ac:dyDescent="0.35">
      <c r="L3754" s="71"/>
      <c r="R3754" s="5"/>
    </row>
    <row r="3755" spans="12:18" x14ac:dyDescent="0.35">
      <c r="L3755" s="71"/>
      <c r="R3755" s="5"/>
    </row>
    <row r="3756" spans="12:18" x14ac:dyDescent="0.35">
      <c r="L3756" s="71"/>
      <c r="R3756" s="5"/>
    </row>
    <row r="3757" spans="12:18" x14ac:dyDescent="0.35">
      <c r="L3757" s="71"/>
      <c r="R3757" s="5"/>
    </row>
    <row r="3758" spans="12:18" x14ac:dyDescent="0.35">
      <c r="L3758" s="71"/>
      <c r="R3758" s="5"/>
    </row>
    <row r="3759" spans="12:18" x14ac:dyDescent="0.35">
      <c r="L3759" s="71"/>
      <c r="R3759" s="5"/>
    </row>
    <row r="3760" spans="12:18" x14ac:dyDescent="0.35">
      <c r="L3760" s="71"/>
      <c r="R3760" s="5"/>
    </row>
    <row r="3761" spans="12:18" x14ac:dyDescent="0.35">
      <c r="L3761" s="71"/>
      <c r="R3761" s="5"/>
    </row>
    <row r="3762" spans="12:18" x14ac:dyDescent="0.35">
      <c r="L3762" s="71"/>
      <c r="R3762" s="5"/>
    </row>
    <row r="3763" spans="12:18" x14ac:dyDescent="0.35">
      <c r="L3763" s="71"/>
      <c r="R3763" s="5"/>
    </row>
    <row r="3764" spans="12:18" x14ac:dyDescent="0.35">
      <c r="L3764" s="71"/>
      <c r="R3764" s="5"/>
    </row>
    <row r="3765" spans="12:18" x14ac:dyDescent="0.35">
      <c r="L3765" s="71"/>
      <c r="R3765" s="5"/>
    </row>
    <row r="3766" spans="12:18" x14ac:dyDescent="0.35">
      <c r="L3766" s="71"/>
      <c r="R3766" s="5"/>
    </row>
    <row r="3767" spans="12:18" x14ac:dyDescent="0.35">
      <c r="L3767" s="71"/>
      <c r="R3767" s="5"/>
    </row>
    <row r="3768" spans="12:18" x14ac:dyDescent="0.35">
      <c r="L3768" s="71"/>
      <c r="R3768" s="5"/>
    </row>
    <row r="3769" spans="12:18" x14ac:dyDescent="0.35">
      <c r="L3769" s="71"/>
      <c r="R3769" s="5"/>
    </row>
    <row r="3770" spans="12:18" x14ac:dyDescent="0.35">
      <c r="L3770" s="71"/>
      <c r="R3770" s="5"/>
    </row>
    <row r="3771" spans="12:18" x14ac:dyDescent="0.35">
      <c r="L3771" s="71"/>
      <c r="R3771" s="5"/>
    </row>
    <row r="3772" spans="12:18" x14ac:dyDescent="0.35">
      <c r="L3772" s="71"/>
      <c r="R3772" s="5"/>
    </row>
    <row r="3773" spans="12:18" x14ac:dyDescent="0.35">
      <c r="L3773" s="71"/>
      <c r="R3773" s="5"/>
    </row>
    <row r="3774" spans="12:18" x14ac:dyDescent="0.35">
      <c r="L3774" s="71"/>
      <c r="R3774" s="5"/>
    </row>
    <row r="3775" spans="12:18" x14ac:dyDescent="0.35">
      <c r="L3775" s="71"/>
      <c r="R3775" s="5"/>
    </row>
    <row r="3776" spans="12:18" x14ac:dyDescent="0.35">
      <c r="L3776" s="71"/>
      <c r="R3776" s="5"/>
    </row>
    <row r="3777" spans="12:18" x14ac:dyDescent="0.35">
      <c r="L3777" s="71"/>
      <c r="R3777" s="5"/>
    </row>
    <row r="3778" spans="12:18" x14ac:dyDescent="0.35">
      <c r="L3778" s="71"/>
      <c r="R3778" s="5"/>
    </row>
    <row r="3779" spans="12:18" x14ac:dyDescent="0.35">
      <c r="L3779" s="71"/>
      <c r="R3779" s="5"/>
    </row>
    <row r="3780" spans="12:18" x14ac:dyDescent="0.35">
      <c r="L3780" s="71"/>
      <c r="R3780" s="5"/>
    </row>
    <row r="3781" spans="12:18" x14ac:dyDescent="0.35">
      <c r="L3781" s="71"/>
      <c r="R3781" s="5"/>
    </row>
    <row r="3782" spans="12:18" x14ac:dyDescent="0.35">
      <c r="L3782" s="71"/>
      <c r="R3782" s="5"/>
    </row>
    <row r="3783" spans="12:18" x14ac:dyDescent="0.35">
      <c r="L3783" s="71"/>
      <c r="R3783" s="5"/>
    </row>
    <row r="3784" spans="12:18" x14ac:dyDescent="0.35">
      <c r="L3784" s="71"/>
      <c r="R3784" s="5"/>
    </row>
    <row r="3785" spans="12:18" x14ac:dyDescent="0.35">
      <c r="L3785" s="71"/>
      <c r="R3785" s="5"/>
    </row>
    <row r="3786" spans="12:18" x14ac:dyDescent="0.35">
      <c r="L3786" s="71"/>
      <c r="R3786" s="5"/>
    </row>
    <row r="3787" spans="12:18" x14ac:dyDescent="0.35">
      <c r="L3787" s="71"/>
      <c r="R3787" s="5"/>
    </row>
    <row r="3788" spans="12:18" x14ac:dyDescent="0.35">
      <c r="L3788" s="71"/>
      <c r="R3788" s="5"/>
    </row>
    <row r="3789" spans="12:18" x14ac:dyDescent="0.35">
      <c r="L3789" s="71"/>
      <c r="R3789" s="5"/>
    </row>
    <row r="3790" spans="12:18" x14ac:dyDescent="0.35">
      <c r="L3790" s="71"/>
      <c r="R3790" s="5"/>
    </row>
    <row r="3791" spans="12:18" x14ac:dyDescent="0.35">
      <c r="L3791" s="71"/>
      <c r="R3791" s="5"/>
    </row>
    <row r="3792" spans="12:18" x14ac:dyDescent="0.35">
      <c r="L3792" s="71"/>
      <c r="R3792" s="5"/>
    </row>
    <row r="3793" spans="12:18" x14ac:dyDescent="0.35">
      <c r="L3793" s="71"/>
      <c r="R3793" s="5"/>
    </row>
    <row r="3794" spans="12:18" x14ac:dyDescent="0.35">
      <c r="L3794" s="71"/>
      <c r="R3794" s="5"/>
    </row>
    <row r="3795" spans="12:18" x14ac:dyDescent="0.35">
      <c r="L3795" s="71"/>
      <c r="R3795" s="5"/>
    </row>
    <row r="3796" spans="12:18" x14ac:dyDescent="0.35">
      <c r="L3796" s="71"/>
      <c r="R3796" s="5"/>
    </row>
    <row r="3797" spans="12:18" x14ac:dyDescent="0.35">
      <c r="L3797" s="71"/>
      <c r="R3797" s="5"/>
    </row>
    <row r="3798" spans="12:18" x14ac:dyDescent="0.35">
      <c r="L3798" s="71"/>
      <c r="R3798" s="5"/>
    </row>
    <row r="3799" spans="12:18" x14ac:dyDescent="0.35">
      <c r="L3799" s="71"/>
      <c r="R3799" s="5"/>
    </row>
    <row r="3800" spans="12:18" x14ac:dyDescent="0.35">
      <c r="L3800" s="71"/>
      <c r="R3800" s="5"/>
    </row>
    <row r="3801" spans="12:18" x14ac:dyDescent="0.35">
      <c r="L3801" s="71"/>
      <c r="R3801" s="5"/>
    </row>
    <row r="3802" spans="12:18" x14ac:dyDescent="0.35">
      <c r="L3802" s="71"/>
      <c r="R3802" s="5"/>
    </row>
    <row r="3803" spans="12:18" x14ac:dyDescent="0.35">
      <c r="L3803" s="71"/>
      <c r="R3803" s="5"/>
    </row>
    <row r="3804" spans="12:18" x14ac:dyDescent="0.35">
      <c r="L3804" s="71"/>
      <c r="R3804" s="5"/>
    </row>
    <row r="3805" spans="12:18" x14ac:dyDescent="0.35">
      <c r="L3805" s="71"/>
      <c r="R3805" s="5"/>
    </row>
    <row r="3806" spans="12:18" x14ac:dyDescent="0.35">
      <c r="L3806" s="71"/>
      <c r="R3806" s="5"/>
    </row>
    <row r="3807" spans="12:18" x14ac:dyDescent="0.35">
      <c r="L3807" s="71"/>
      <c r="R3807" s="5"/>
    </row>
    <row r="3808" spans="12:18" x14ac:dyDescent="0.35">
      <c r="L3808" s="71"/>
      <c r="R3808" s="5"/>
    </row>
    <row r="3809" spans="12:18" x14ac:dyDescent="0.35">
      <c r="L3809" s="71"/>
      <c r="R3809" s="5"/>
    </row>
    <row r="3810" spans="12:18" x14ac:dyDescent="0.35">
      <c r="L3810" s="71"/>
      <c r="R3810" s="5"/>
    </row>
    <row r="3811" spans="12:18" x14ac:dyDescent="0.35">
      <c r="L3811" s="71"/>
      <c r="R3811" s="5"/>
    </row>
    <row r="3812" spans="12:18" x14ac:dyDescent="0.35">
      <c r="L3812" s="71"/>
      <c r="R3812" s="5"/>
    </row>
    <row r="3813" spans="12:18" x14ac:dyDescent="0.35">
      <c r="L3813" s="71"/>
      <c r="R3813" s="5"/>
    </row>
    <row r="3814" spans="12:18" x14ac:dyDescent="0.35">
      <c r="L3814" s="71"/>
      <c r="R3814" s="5"/>
    </row>
    <row r="3815" spans="12:18" x14ac:dyDescent="0.35">
      <c r="L3815" s="71"/>
      <c r="R3815" s="5"/>
    </row>
    <row r="3816" spans="12:18" x14ac:dyDescent="0.35">
      <c r="L3816" s="71"/>
      <c r="R3816" s="5"/>
    </row>
    <row r="3817" spans="12:18" x14ac:dyDescent="0.35">
      <c r="L3817" s="71"/>
      <c r="R3817" s="5"/>
    </row>
    <row r="3818" spans="12:18" x14ac:dyDescent="0.35">
      <c r="L3818" s="71"/>
      <c r="R3818" s="5"/>
    </row>
    <row r="3819" spans="12:18" x14ac:dyDescent="0.35">
      <c r="L3819" s="71"/>
      <c r="R3819" s="5"/>
    </row>
    <row r="3820" spans="12:18" x14ac:dyDescent="0.35">
      <c r="L3820" s="71"/>
      <c r="R3820" s="5"/>
    </row>
    <row r="3821" spans="12:18" x14ac:dyDescent="0.35">
      <c r="L3821" s="71"/>
      <c r="R3821" s="5"/>
    </row>
    <row r="3822" spans="12:18" x14ac:dyDescent="0.35">
      <c r="L3822" s="71"/>
      <c r="R3822" s="5"/>
    </row>
    <row r="3823" spans="12:18" x14ac:dyDescent="0.35">
      <c r="L3823" s="71"/>
      <c r="R3823" s="5"/>
    </row>
    <row r="3824" spans="12:18" x14ac:dyDescent="0.35">
      <c r="L3824" s="71"/>
      <c r="R3824" s="5"/>
    </row>
    <row r="3825" spans="12:18" x14ac:dyDescent="0.35">
      <c r="L3825" s="71"/>
      <c r="R3825" s="5"/>
    </row>
    <row r="3826" spans="12:18" x14ac:dyDescent="0.35">
      <c r="L3826" s="71"/>
      <c r="R3826" s="5"/>
    </row>
    <row r="3827" spans="12:18" x14ac:dyDescent="0.35">
      <c r="L3827" s="71"/>
      <c r="R3827" s="5"/>
    </row>
    <row r="3828" spans="12:18" x14ac:dyDescent="0.35">
      <c r="L3828" s="71"/>
      <c r="R3828" s="5"/>
    </row>
    <row r="3829" spans="12:18" x14ac:dyDescent="0.35">
      <c r="L3829" s="71"/>
      <c r="R3829" s="5"/>
    </row>
    <row r="3830" spans="12:18" x14ac:dyDescent="0.35">
      <c r="L3830" s="71"/>
      <c r="R3830" s="5"/>
    </row>
    <row r="3831" spans="12:18" x14ac:dyDescent="0.35">
      <c r="L3831" s="71"/>
      <c r="R3831" s="5"/>
    </row>
    <row r="3832" spans="12:18" x14ac:dyDescent="0.35">
      <c r="L3832" s="71"/>
      <c r="R3832" s="5"/>
    </row>
    <row r="3833" spans="12:18" x14ac:dyDescent="0.35">
      <c r="L3833" s="71"/>
      <c r="R3833" s="5"/>
    </row>
    <row r="3834" spans="12:18" x14ac:dyDescent="0.35">
      <c r="L3834" s="71"/>
      <c r="R3834" s="5"/>
    </row>
    <row r="3835" spans="12:18" x14ac:dyDescent="0.35">
      <c r="L3835" s="71"/>
      <c r="R3835" s="5"/>
    </row>
    <row r="3836" spans="12:18" x14ac:dyDescent="0.35">
      <c r="L3836" s="71"/>
      <c r="R3836" s="5"/>
    </row>
    <row r="3837" spans="12:18" x14ac:dyDescent="0.35">
      <c r="L3837" s="71"/>
      <c r="R3837" s="5"/>
    </row>
    <row r="3838" spans="12:18" x14ac:dyDescent="0.35">
      <c r="L3838" s="71"/>
      <c r="R3838" s="5"/>
    </row>
    <row r="3839" spans="12:18" x14ac:dyDescent="0.35">
      <c r="L3839" s="71"/>
      <c r="R3839" s="5"/>
    </row>
    <row r="3840" spans="12:18" x14ac:dyDescent="0.35">
      <c r="L3840" s="71"/>
      <c r="R3840" s="5"/>
    </row>
    <row r="3841" spans="12:18" x14ac:dyDescent="0.35">
      <c r="L3841" s="71"/>
      <c r="R3841" s="5"/>
    </row>
    <row r="3842" spans="12:18" x14ac:dyDescent="0.35">
      <c r="L3842" s="71"/>
      <c r="R3842" s="5"/>
    </row>
    <row r="3843" spans="12:18" x14ac:dyDescent="0.35">
      <c r="L3843" s="71"/>
      <c r="R3843" s="5"/>
    </row>
    <row r="3844" spans="12:18" x14ac:dyDescent="0.35">
      <c r="L3844" s="71"/>
      <c r="R3844" s="5"/>
    </row>
    <row r="3845" spans="12:18" x14ac:dyDescent="0.35">
      <c r="L3845" s="71"/>
      <c r="R3845" s="5"/>
    </row>
    <row r="3846" spans="12:18" x14ac:dyDescent="0.35">
      <c r="L3846" s="71"/>
      <c r="R3846" s="5"/>
    </row>
    <row r="3847" spans="12:18" x14ac:dyDescent="0.35">
      <c r="L3847" s="71"/>
      <c r="R3847" s="5"/>
    </row>
    <row r="3848" spans="12:18" x14ac:dyDescent="0.35">
      <c r="L3848" s="71"/>
      <c r="R3848" s="5"/>
    </row>
    <row r="3849" spans="12:18" x14ac:dyDescent="0.35">
      <c r="L3849" s="71"/>
      <c r="R3849" s="5"/>
    </row>
    <row r="3850" spans="12:18" x14ac:dyDescent="0.35">
      <c r="L3850" s="71"/>
      <c r="R3850" s="5"/>
    </row>
    <row r="3851" spans="12:18" x14ac:dyDescent="0.35">
      <c r="L3851" s="71"/>
      <c r="R3851" s="5"/>
    </row>
    <row r="3852" spans="12:18" x14ac:dyDescent="0.35">
      <c r="L3852" s="71"/>
      <c r="R3852" s="5"/>
    </row>
    <row r="3853" spans="12:18" x14ac:dyDescent="0.35">
      <c r="L3853" s="71"/>
      <c r="R3853" s="5"/>
    </row>
    <row r="3854" spans="12:18" x14ac:dyDescent="0.35">
      <c r="L3854" s="71"/>
      <c r="R3854" s="5"/>
    </row>
    <row r="3855" spans="12:18" x14ac:dyDescent="0.35">
      <c r="L3855" s="71"/>
      <c r="R3855" s="5"/>
    </row>
    <row r="3856" spans="12:18" x14ac:dyDescent="0.35">
      <c r="L3856" s="71"/>
      <c r="R3856" s="5"/>
    </row>
    <row r="3857" spans="12:18" x14ac:dyDescent="0.35">
      <c r="L3857" s="71"/>
      <c r="R3857" s="5"/>
    </row>
    <row r="3858" spans="12:18" x14ac:dyDescent="0.35">
      <c r="L3858" s="71"/>
      <c r="R3858" s="5"/>
    </row>
    <row r="3859" spans="12:18" x14ac:dyDescent="0.35">
      <c r="L3859" s="71"/>
      <c r="R3859" s="5"/>
    </row>
    <row r="3860" spans="12:18" x14ac:dyDescent="0.35">
      <c r="L3860" s="71"/>
      <c r="R3860" s="5"/>
    </row>
    <row r="3861" spans="12:18" x14ac:dyDescent="0.35">
      <c r="L3861" s="71"/>
      <c r="R3861" s="5"/>
    </row>
    <row r="3862" spans="12:18" x14ac:dyDescent="0.35">
      <c r="L3862" s="71"/>
      <c r="R3862" s="5"/>
    </row>
    <row r="3863" spans="12:18" x14ac:dyDescent="0.35">
      <c r="L3863" s="71"/>
      <c r="R3863" s="5"/>
    </row>
    <row r="3864" spans="12:18" x14ac:dyDescent="0.35">
      <c r="L3864" s="71"/>
      <c r="R3864" s="5"/>
    </row>
    <row r="3865" spans="12:18" x14ac:dyDescent="0.35">
      <c r="L3865" s="71"/>
      <c r="R3865" s="5"/>
    </row>
    <row r="3866" spans="12:18" x14ac:dyDescent="0.35">
      <c r="L3866" s="71"/>
      <c r="R3866" s="5"/>
    </row>
    <row r="3867" spans="12:18" x14ac:dyDescent="0.35">
      <c r="L3867" s="71"/>
      <c r="R3867" s="5"/>
    </row>
    <row r="3868" spans="12:18" x14ac:dyDescent="0.35">
      <c r="L3868" s="71"/>
      <c r="R3868" s="5"/>
    </row>
    <row r="3869" spans="12:18" x14ac:dyDescent="0.35">
      <c r="L3869" s="71"/>
      <c r="R3869" s="5"/>
    </row>
    <row r="3870" spans="12:18" x14ac:dyDescent="0.35">
      <c r="L3870" s="71"/>
      <c r="R3870" s="5"/>
    </row>
    <row r="3871" spans="12:18" x14ac:dyDescent="0.35">
      <c r="L3871" s="71"/>
      <c r="R3871" s="5"/>
    </row>
    <row r="3872" spans="12:18" x14ac:dyDescent="0.35">
      <c r="L3872" s="71"/>
      <c r="R3872" s="5"/>
    </row>
    <row r="3873" spans="12:18" x14ac:dyDescent="0.35">
      <c r="L3873" s="71"/>
      <c r="R3873" s="5"/>
    </row>
    <row r="3874" spans="12:18" x14ac:dyDescent="0.35">
      <c r="L3874" s="71"/>
      <c r="R3874" s="5"/>
    </row>
    <row r="3875" spans="12:18" x14ac:dyDescent="0.35">
      <c r="L3875" s="71"/>
      <c r="R3875" s="5"/>
    </row>
    <row r="3876" spans="12:18" x14ac:dyDescent="0.35">
      <c r="L3876" s="71"/>
      <c r="R3876" s="5"/>
    </row>
    <row r="3877" spans="12:18" x14ac:dyDescent="0.35">
      <c r="L3877" s="71"/>
      <c r="R3877" s="5"/>
    </row>
    <row r="3878" spans="12:18" x14ac:dyDescent="0.35">
      <c r="L3878" s="71"/>
      <c r="R3878" s="5"/>
    </row>
    <row r="3879" spans="12:18" x14ac:dyDescent="0.35">
      <c r="L3879" s="71"/>
      <c r="R3879" s="5"/>
    </row>
    <row r="3880" spans="12:18" x14ac:dyDescent="0.35">
      <c r="L3880" s="71"/>
      <c r="R3880" s="5"/>
    </row>
    <row r="3881" spans="12:18" x14ac:dyDescent="0.35">
      <c r="L3881" s="71"/>
      <c r="R3881" s="5"/>
    </row>
    <row r="3882" spans="12:18" x14ac:dyDescent="0.35">
      <c r="L3882" s="71"/>
      <c r="R3882" s="5"/>
    </row>
    <row r="3883" spans="12:18" x14ac:dyDescent="0.35">
      <c r="L3883" s="71"/>
      <c r="R3883" s="5"/>
    </row>
    <row r="3884" spans="12:18" x14ac:dyDescent="0.35">
      <c r="L3884" s="71"/>
      <c r="R3884" s="5"/>
    </row>
    <row r="3885" spans="12:18" x14ac:dyDescent="0.35">
      <c r="L3885" s="71"/>
      <c r="R3885" s="5"/>
    </row>
    <row r="3886" spans="12:18" x14ac:dyDescent="0.35">
      <c r="L3886" s="71"/>
      <c r="R3886" s="5"/>
    </row>
    <row r="3887" spans="12:18" x14ac:dyDescent="0.35">
      <c r="L3887" s="71"/>
      <c r="R3887" s="5"/>
    </row>
    <row r="3888" spans="12:18" x14ac:dyDescent="0.35">
      <c r="L3888" s="71"/>
      <c r="R3888" s="5"/>
    </row>
    <row r="3889" spans="12:18" x14ac:dyDescent="0.35">
      <c r="L3889" s="71"/>
      <c r="R3889" s="5"/>
    </row>
    <row r="3890" spans="12:18" x14ac:dyDescent="0.35">
      <c r="L3890" s="71"/>
      <c r="R3890" s="5"/>
    </row>
    <row r="3891" spans="12:18" x14ac:dyDescent="0.35">
      <c r="L3891" s="71"/>
      <c r="R3891" s="5"/>
    </row>
    <row r="3892" spans="12:18" x14ac:dyDescent="0.35">
      <c r="L3892" s="71"/>
      <c r="R3892" s="5"/>
    </row>
    <row r="3893" spans="12:18" x14ac:dyDescent="0.35">
      <c r="L3893" s="71"/>
      <c r="R3893" s="5"/>
    </row>
    <row r="3894" spans="12:18" x14ac:dyDescent="0.35">
      <c r="L3894" s="71"/>
      <c r="R3894" s="5"/>
    </row>
    <row r="3895" spans="12:18" x14ac:dyDescent="0.35">
      <c r="L3895" s="71"/>
      <c r="R3895" s="5"/>
    </row>
    <row r="3896" spans="12:18" x14ac:dyDescent="0.35">
      <c r="L3896" s="71"/>
      <c r="R3896" s="5"/>
    </row>
    <row r="3897" spans="12:18" x14ac:dyDescent="0.35">
      <c r="L3897" s="71"/>
      <c r="R3897" s="5"/>
    </row>
    <row r="3898" spans="12:18" x14ac:dyDescent="0.35">
      <c r="L3898" s="71"/>
      <c r="R3898" s="5"/>
    </row>
    <row r="3899" spans="12:18" x14ac:dyDescent="0.35">
      <c r="L3899" s="71"/>
      <c r="R3899" s="5"/>
    </row>
    <row r="3900" spans="12:18" x14ac:dyDescent="0.35">
      <c r="L3900" s="71"/>
      <c r="R3900" s="5"/>
    </row>
    <row r="3901" spans="12:18" x14ac:dyDescent="0.35">
      <c r="L3901" s="71"/>
      <c r="R3901" s="5"/>
    </row>
    <row r="3902" spans="12:18" x14ac:dyDescent="0.35">
      <c r="L3902" s="71"/>
      <c r="R3902" s="5"/>
    </row>
    <row r="3903" spans="12:18" x14ac:dyDescent="0.35">
      <c r="L3903" s="71"/>
      <c r="R3903" s="5"/>
    </row>
    <row r="3904" spans="12:18" x14ac:dyDescent="0.35">
      <c r="L3904" s="71"/>
      <c r="R3904" s="5"/>
    </row>
    <row r="3905" spans="12:18" x14ac:dyDescent="0.35">
      <c r="L3905" s="71"/>
      <c r="R3905" s="5"/>
    </row>
    <row r="3906" spans="12:18" x14ac:dyDescent="0.35">
      <c r="L3906" s="71"/>
      <c r="R3906" s="5"/>
    </row>
    <row r="3907" spans="12:18" x14ac:dyDescent="0.35">
      <c r="L3907" s="71"/>
      <c r="R3907" s="5"/>
    </row>
    <row r="3908" spans="12:18" x14ac:dyDescent="0.35">
      <c r="L3908" s="71"/>
      <c r="R3908" s="5"/>
    </row>
    <row r="3909" spans="12:18" x14ac:dyDescent="0.35">
      <c r="L3909" s="71"/>
      <c r="R3909" s="5"/>
    </row>
    <row r="3910" spans="12:18" x14ac:dyDescent="0.35">
      <c r="L3910" s="71"/>
      <c r="R3910" s="5"/>
    </row>
    <row r="3911" spans="12:18" x14ac:dyDescent="0.35">
      <c r="L3911" s="71"/>
      <c r="R3911" s="5"/>
    </row>
    <row r="3912" spans="12:18" x14ac:dyDescent="0.35">
      <c r="L3912" s="71"/>
      <c r="R3912" s="5"/>
    </row>
    <row r="3913" spans="12:18" x14ac:dyDescent="0.35">
      <c r="L3913" s="71"/>
      <c r="R3913" s="5"/>
    </row>
    <row r="3914" spans="12:18" x14ac:dyDescent="0.35">
      <c r="L3914" s="71"/>
      <c r="R3914" s="5"/>
    </row>
    <row r="3915" spans="12:18" x14ac:dyDescent="0.35">
      <c r="L3915" s="71"/>
      <c r="R3915" s="5"/>
    </row>
    <row r="3916" spans="12:18" x14ac:dyDescent="0.35">
      <c r="L3916" s="71"/>
      <c r="R3916" s="5"/>
    </row>
    <row r="3917" spans="12:18" x14ac:dyDescent="0.35">
      <c r="L3917" s="71"/>
      <c r="R3917" s="5"/>
    </row>
    <row r="3918" spans="12:18" x14ac:dyDescent="0.35">
      <c r="L3918" s="71"/>
      <c r="R3918" s="5"/>
    </row>
    <row r="3919" spans="12:18" x14ac:dyDescent="0.35">
      <c r="L3919" s="71"/>
      <c r="R3919" s="5"/>
    </row>
    <row r="3920" spans="12:18" x14ac:dyDescent="0.35">
      <c r="L3920" s="71"/>
      <c r="R3920" s="5"/>
    </row>
    <row r="3921" spans="12:18" x14ac:dyDescent="0.35">
      <c r="L3921" s="71"/>
      <c r="R3921" s="5"/>
    </row>
    <row r="3922" spans="12:18" x14ac:dyDescent="0.35">
      <c r="L3922" s="71"/>
      <c r="R3922" s="5"/>
    </row>
    <row r="3923" spans="12:18" x14ac:dyDescent="0.35">
      <c r="L3923" s="71"/>
      <c r="R3923" s="5"/>
    </row>
    <row r="3924" spans="12:18" x14ac:dyDescent="0.35">
      <c r="L3924" s="71"/>
      <c r="R3924" s="5"/>
    </row>
    <row r="3925" spans="12:18" x14ac:dyDescent="0.35">
      <c r="L3925" s="71"/>
      <c r="R3925" s="5"/>
    </row>
    <row r="3926" spans="12:18" x14ac:dyDescent="0.35">
      <c r="L3926" s="71"/>
      <c r="R3926" s="5"/>
    </row>
    <row r="3927" spans="12:18" x14ac:dyDescent="0.35">
      <c r="L3927" s="71"/>
      <c r="R3927" s="5"/>
    </row>
    <row r="3928" spans="12:18" x14ac:dyDescent="0.35">
      <c r="L3928" s="71"/>
      <c r="R3928" s="5"/>
    </row>
    <row r="3929" spans="12:18" x14ac:dyDescent="0.35">
      <c r="L3929" s="71"/>
      <c r="R3929" s="5"/>
    </row>
    <row r="3930" spans="12:18" x14ac:dyDescent="0.35">
      <c r="L3930" s="71"/>
      <c r="R3930" s="5"/>
    </row>
    <row r="3931" spans="12:18" x14ac:dyDescent="0.35">
      <c r="L3931" s="71"/>
      <c r="R3931" s="5"/>
    </row>
    <row r="3932" spans="12:18" x14ac:dyDescent="0.35">
      <c r="L3932" s="71"/>
      <c r="R3932" s="5"/>
    </row>
    <row r="3933" spans="12:18" x14ac:dyDescent="0.35">
      <c r="L3933" s="71"/>
      <c r="R3933" s="5"/>
    </row>
    <row r="3934" spans="12:18" x14ac:dyDescent="0.35">
      <c r="L3934" s="71"/>
      <c r="R3934" s="5"/>
    </row>
    <row r="3935" spans="12:18" x14ac:dyDescent="0.35">
      <c r="L3935" s="71"/>
      <c r="R3935" s="5"/>
    </row>
    <row r="3936" spans="12:18" x14ac:dyDescent="0.35">
      <c r="L3936" s="71"/>
      <c r="R3936" s="5"/>
    </row>
    <row r="3937" spans="12:18" x14ac:dyDescent="0.35">
      <c r="L3937" s="71"/>
      <c r="R3937" s="5"/>
    </row>
    <row r="3938" spans="12:18" x14ac:dyDescent="0.35">
      <c r="L3938" s="71"/>
      <c r="R3938" s="5"/>
    </row>
    <row r="3939" spans="12:18" x14ac:dyDescent="0.35">
      <c r="L3939" s="71"/>
      <c r="R3939" s="5"/>
    </row>
    <row r="3940" spans="12:18" x14ac:dyDescent="0.35">
      <c r="L3940" s="71"/>
      <c r="R3940" s="5"/>
    </row>
    <row r="3941" spans="12:18" x14ac:dyDescent="0.35">
      <c r="L3941" s="71"/>
      <c r="R3941" s="5"/>
    </row>
    <row r="3942" spans="12:18" x14ac:dyDescent="0.35">
      <c r="L3942" s="71"/>
      <c r="R3942" s="5"/>
    </row>
    <row r="3943" spans="12:18" x14ac:dyDescent="0.35">
      <c r="L3943" s="71"/>
      <c r="R3943" s="5"/>
    </row>
    <row r="3944" spans="12:18" x14ac:dyDescent="0.35">
      <c r="L3944" s="71"/>
      <c r="R3944" s="5"/>
    </row>
    <row r="3945" spans="12:18" x14ac:dyDescent="0.35">
      <c r="L3945" s="71"/>
      <c r="R3945" s="5"/>
    </row>
    <row r="3946" spans="12:18" x14ac:dyDescent="0.35">
      <c r="L3946" s="71"/>
      <c r="R3946" s="5"/>
    </row>
    <row r="3947" spans="12:18" x14ac:dyDescent="0.35">
      <c r="L3947" s="71"/>
      <c r="R3947" s="5"/>
    </row>
    <row r="3948" spans="12:18" x14ac:dyDescent="0.35">
      <c r="L3948" s="71"/>
      <c r="R3948" s="5"/>
    </row>
    <row r="3949" spans="12:18" x14ac:dyDescent="0.35">
      <c r="L3949" s="71"/>
      <c r="R3949" s="5"/>
    </row>
    <row r="3950" spans="12:18" x14ac:dyDescent="0.35">
      <c r="L3950" s="71"/>
      <c r="R3950" s="5"/>
    </row>
    <row r="3951" spans="12:18" x14ac:dyDescent="0.35">
      <c r="L3951" s="71"/>
      <c r="R3951" s="5"/>
    </row>
    <row r="3952" spans="12:18" x14ac:dyDescent="0.35">
      <c r="L3952" s="71"/>
      <c r="R3952" s="5"/>
    </row>
    <row r="3953" spans="12:18" x14ac:dyDescent="0.35">
      <c r="L3953" s="71"/>
      <c r="R3953" s="5"/>
    </row>
    <row r="3954" spans="12:18" x14ac:dyDescent="0.35">
      <c r="L3954" s="71"/>
      <c r="R3954" s="5"/>
    </row>
    <row r="3955" spans="12:18" x14ac:dyDescent="0.35">
      <c r="L3955" s="71"/>
      <c r="R3955" s="5"/>
    </row>
    <row r="3956" spans="12:18" x14ac:dyDescent="0.35">
      <c r="L3956" s="71"/>
      <c r="R3956" s="5"/>
    </row>
    <row r="3957" spans="12:18" x14ac:dyDescent="0.35">
      <c r="L3957" s="71"/>
      <c r="R3957" s="5"/>
    </row>
    <row r="3958" spans="12:18" x14ac:dyDescent="0.35">
      <c r="L3958" s="71"/>
      <c r="R3958" s="5"/>
    </row>
    <row r="3959" spans="12:18" x14ac:dyDescent="0.35">
      <c r="L3959" s="71"/>
      <c r="R3959" s="5"/>
    </row>
    <row r="3960" spans="12:18" x14ac:dyDescent="0.35">
      <c r="L3960" s="71"/>
      <c r="R3960" s="5"/>
    </row>
    <row r="3961" spans="12:18" x14ac:dyDescent="0.35">
      <c r="L3961" s="71"/>
      <c r="R3961" s="5"/>
    </row>
    <row r="3962" spans="12:18" x14ac:dyDescent="0.35">
      <c r="L3962" s="71"/>
      <c r="R3962" s="5"/>
    </row>
    <row r="3963" spans="12:18" x14ac:dyDescent="0.35">
      <c r="L3963" s="71"/>
      <c r="R3963" s="5"/>
    </row>
    <row r="3964" spans="12:18" x14ac:dyDescent="0.35">
      <c r="L3964" s="71"/>
      <c r="R3964" s="5"/>
    </row>
    <row r="3965" spans="12:18" x14ac:dyDescent="0.35">
      <c r="L3965" s="71"/>
      <c r="R3965" s="5"/>
    </row>
    <row r="3966" spans="12:18" x14ac:dyDescent="0.35">
      <c r="L3966" s="71"/>
      <c r="R3966" s="5"/>
    </row>
    <row r="3967" spans="12:18" x14ac:dyDescent="0.35">
      <c r="L3967" s="71"/>
      <c r="R3967" s="5"/>
    </row>
    <row r="3968" spans="12:18" x14ac:dyDescent="0.35">
      <c r="L3968" s="71"/>
      <c r="R3968" s="5"/>
    </row>
    <row r="3969" spans="12:18" x14ac:dyDescent="0.35">
      <c r="L3969" s="71"/>
      <c r="R3969" s="5"/>
    </row>
    <row r="3970" spans="12:18" x14ac:dyDescent="0.35">
      <c r="L3970" s="71"/>
      <c r="R3970" s="5"/>
    </row>
    <row r="3971" spans="12:18" x14ac:dyDescent="0.35">
      <c r="L3971" s="71"/>
      <c r="R3971" s="5"/>
    </row>
    <row r="3972" spans="12:18" x14ac:dyDescent="0.35">
      <c r="L3972" s="71"/>
      <c r="R3972" s="5"/>
    </row>
    <row r="3973" spans="12:18" x14ac:dyDescent="0.35">
      <c r="L3973" s="71"/>
      <c r="R3973" s="5"/>
    </row>
    <row r="3974" spans="12:18" x14ac:dyDescent="0.35">
      <c r="L3974" s="71"/>
      <c r="R3974" s="5"/>
    </row>
    <row r="3975" spans="12:18" x14ac:dyDescent="0.35">
      <c r="L3975" s="71"/>
      <c r="R3975" s="5"/>
    </row>
    <row r="3976" spans="12:18" x14ac:dyDescent="0.35">
      <c r="L3976" s="71"/>
      <c r="R3976" s="5"/>
    </row>
    <row r="3977" spans="12:18" x14ac:dyDescent="0.35">
      <c r="L3977" s="71"/>
      <c r="R3977" s="5"/>
    </row>
    <row r="3978" spans="12:18" x14ac:dyDescent="0.35">
      <c r="L3978" s="71"/>
      <c r="R3978" s="5"/>
    </row>
    <row r="3979" spans="12:18" x14ac:dyDescent="0.35">
      <c r="L3979" s="71"/>
      <c r="R3979" s="5"/>
    </row>
    <row r="3980" spans="12:18" x14ac:dyDescent="0.35">
      <c r="L3980" s="71"/>
      <c r="R3980" s="5"/>
    </row>
    <row r="3981" spans="12:18" x14ac:dyDescent="0.35">
      <c r="L3981" s="71"/>
      <c r="R3981" s="5"/>
    </row>
    <row r="3982" spans="12:18" x14ac:dyDescent="0.35">
      <c r="L3982" s="71"/>
      <c r="R3982" s="5"/>
    </row>
    <row r="3983" spans="12:18" x14ac:dyDescent="0.35">
      <c r="L3983" s="71"/>
      <c r="R3983" s="5"/>
    </row>
    <row r="3984" spans="12:18" x14ac:dyDescent="0.35">
      <c r="L3984" s="71"/>
      <c r="R3984" s="5"/>
    </row>
    <row r="3985" spans="12:18" x14ac:dyDescent="0.35">
      <c r="L3985" s="71"/>
      <c r="R3985" s="5"/>
    </row>
    <row r="3986" spans="12:18" x14ac:dyDescent="0.35">
      <c r="L3986" s="71"/>
      <c r="R3986" s="5"/>
    </row>
    <row r="3987" spans="12:18" x14ac:dyDescent="0.35">
      <c r="L3987" s="71"/>
      <c r="R3987" s="5"/>
    </row>
    <row r="3988" spans="12:18" x14ac:dyDescent="0.35">
      <c r="L3988" s="71"/>
      <c r="R3988" s="5"/>
    </row>
    <row r="3989" spans="12:18" x14ac:dyDescent="0.35">
      <c r="L3989" s="71"/>
      <c r="R3989" s="5"/>
    </row>
    <row r="3990" spans="12:18" x14ac:dyDescent="0.35">
      <c r="L3990" s="71"/>
      <c r="R3990" s="5"/>
    </row>
    <row r="3991" spans="12:18" x14ac:dyDescent="0.35">
      <c r="L3991" s="71"/>
      <c r="R3991" s="5"/>
    </row>
    <row r="3992" spans="12:18" x14ac:dyDescent="0.35">
      <c r="L3992" s="71"/>
      <c r="R3992" s="5"/>
    </row>
    <row r="3993" spans="12:18" x14ac:dyDescent="0.35">
      <c r="L3993" s="71"/>
      <c r="R3993" s="5"/>
    </row>
    <row r="3994" spans="12:18" x14ac:dyDescent="0.35">
      <c r="L3994" s="71"/>
      <c r="R3994" s="5"/>
    </row>
    <row r="3995" spans="12:18" x14ac:dyDescent="0.35">
      <c r="L3995" s="71"/>
      <c r="R3995" s="5"/>
    </row>
    <row r="3996" spans="12:18" x14ac:dyDescent="0.35">
      <c r="L3996" s="71"/>
      <c r="R3996" s="5"/>
    </row>
    <row r="3997" spans="12:18" x14ac:dyDescent="0.35">
      <c r="L3997" s="71"/>
      <c r="R3997" s="5"/>
    </row>
    <row r="3998" spans="12:18" x14ac:dyDescent="0.35">
      <c r="L3998" s="71"/>
      <c r="R3998" s="5"/>
    </row>
    <row r="3999" spans="12:18" x14ac:dyDescent="0.35">
      <c r="L3999" s="71"/>
      <c r="R3999" s="5"/>
    </row>
    <row r="4000" spans="12:18" x14ac:dyDescent="0.35">
      <c r="L4000" s="71"/>
      <c r="R4000" s="5"/>
    </row>
    <row r="4001" spans="12:18" x14ac:dyDescent="0.35">
      <c r="L4001" s="71"/>
      <c r="R4001" s="5"/>
    </row>
    <row r="4002" spans="12:18" x14ac:dyDescent="0.35">
      <c r="L4002" s="71"/>
      <c r="R4002" s="5"/>
    </row>
    <row r="4003" spans="12:18" x14ac:dyDescent="0.35">
      <c r="L4003" s="71"/>
      <c r="R4003" s="5"/>
    </row>
    <row r="4004" spans="12:18" x14ac:dyDescent="0.35">
      <c r="L4004" s="71"/>
      <c r="R4004" s="5"/>
    </row>
    <row r="4005" spans="12:18" x14ac:dyDescent="0.35">
      <c r="L4005" s="71"/>
      <c r="R4005" s="5"/>
    </row>
    <row r="4006" spans="12:18" x14ac:dyDescent="0.35">
      <c r="L4006" s="71"/>
      <c r="R4006" s="5"/>
    </row>
    <row r="4007" spans="12:18" x14ac:dyDescent="0.35">
      <c r="L4007" s="71"/>
      <c r="R4007" s="5"/>
    </row>
    <row r="4008" spans="12:18" x14ac:dyDescent="0.35">
      <c r="L4008" s="71"/>
      <c r="R4008" s="5"/>
    </row>
    <row r="4009" spans="12:18" x14ac:dyDescent="0.35">
      <c r="L4009" s="71"/>
      <c r="R4009" s="5"/>
    </row>
    <row r="4010" spans="12:18" x14ac:dyDescent="0.35">
      <c r="L4010" s="71"/>
      <c r="R4010" s="5"/>
    </row>
    <row r="4011" spans="12:18" x14ac:dyDescent="0.35">
      <c r="L4011" s="71"/>
      <c r="R4011" s="5"/>
    </row>
    <row r="4012" spans="12:18" x14ac:dyDescent="0.35">
      <c r="L4012" s="71"/>
      <c r="R4012" s="5"/>
    </row>
    <row r="4013" spans="12:18" x14ac:dyDescent="0.35">
      <c r="L4013" s="71"/>
      <c r="R4013" s="5"/>
    </row>
    <row r="4014" spans="12:18" x14ac:dyDescent="0.35">
      <c r="L4014" s="71"/>
      <c r="R4014" s="5"/>
    </row>
    <row r="4015" spans="12:18" x14ac:dyDescent="0.35">
      <c r="L4015" s="71"/>
      <c r="R4015" s="5"/>
    </row>
    <row r="4016" spans="12:18" x14ac:dyDescent="0.35">
      <c r="L4016" s="71"/>
      <c r="R4016" s="5"/>
    </row>
    <row r="4017" spans="12:18" x14ac:dyDescent="0.35">
      <c r="L4017" s="71"/>
      <c r="R4017" s="5"/>
    </row>
    <row r="4018" spans="12:18" x14ac:dyDescent="0.35">
      <c r="L4018" s="71"/>
      <c r="R4018" s="5"/>
    </row>
    <row r="4019" spans="12:18" x14ac:dyDescent="0.35">
      <c r="L4019" s="71"/>
      <c r="R4019" s="5"/>
    </row>
    <row r="4020" spans="12:18" x14ac:dyDescent="0.35">
      <c r="L4020" s="71"/>
      <c r="R4020" s="5"/>
    </row>
    <row r="4021" spans="12:18" x14ac:dyDescent="0.35">
      <c r="L4021" s="71"/>
      <c r="R4021" s="5"/>
    </row>
    <row r="4022" spans="12:18" x14ac:dyDescent="0.35">
      <c r="L4022" s="71"/>
      <c r="R4022" s="5"/>
    </row>
    <row r="4023" spans="12:18" x14ac:dyDescent="0.35">
      <c r="L4023" s="71"/>
      <c r="R4023" s="5"/>
    </row>
    <row r="4024" spans="12:18" x14ac:dyDescent="0.35">
      <c r="L4024" s="71"/>
      <c r="R4024" s="5"/>
    </row>
    <row r="4025" spans="12:18" x14ac:dyDescent="0.35">
      <c r="L4025" s="71"/>
      <c r="R4025" s="5"/>
    </row>
    <row r="4026" spans="12:18" x14ac:dyDescent="0.35">
      <c r="L4026" s="71"/>
      <c r="R4026" s="5"/>
    </row>
    <row r="4027" spans="12:18" x14ac:dyDescent="0.35">
      <c r="L4027" s="71"/>
      <c r="R4027" s="5"/>
    </row>
    <row r="4028" spans="12:18" x14ac:dyDescent="0.35">
      <c r="L4028" s="71"/>
      <c r="R4028" s="5"/>
    </row>
    <row r="4029" spans="12:18" x14ac:dyDescent="0.35">
      <c r="L4029" s="71"/>
      <c r="R4029" s="5"/>
    </row>
    <row r="4030" spans="12:18" x14ac:dyDescent="0.35">
      <c r="L4030" s="71"/>
      <c r="R4030" s="5"/>
    </row>
    <row r="4031" spans="12:18" x14ac:dyDescent="0.35">
      <c r="L4031" s="71"/>
      <c r="R4031" s="5"/>
    </row>
    <row r="4032" spans="12:18" x14ac:dyDescent="0.35">
      <c r="L4032" s="71"/>
      <c r="R4032" s="5"/>
    </row>
    <row r="4033" spans="12:18" x14ac:dyDescent="0.35">
      <c r="L4033" s="71"/>
      <c r="R4033" s="5"/>
    </row>
    <row r="4034" spans="12:18" x14ac:dyDescent="0.35">
      <c r="L4034" s="71"/>
      <c r="R4034" s="5"/>
    </row>
    <row r="4035" spans="12:18" x14ac:dyDescent="0.35">
      <c r="L4035" s="71"/>
      <c r="R4035" s="5"/>
    </row>
    <row r="4036" spans="12:18" x14ac:dyDescent="0.35">
      <c r="L4036" s="71"/>
      <c r="R4036" s="5"/>
    </row>
    <row r="4037" spans="12:18" x14ac:dyDescent="0.35">
      <c r="L4037" s="71"/>
      <c r="R4037" s="5"/>
    </row>
    <row r="4038" spans="12:18" x14ac:dyDescent="0.35">
      <c r="L4038" s="71"/>
      <c r="R4038" s="5"/>
    </row>
    <row r="4039" spans="12:18" x14ac:dyDescent="0.35">
      <c r="L4039" s="71"/>
      <c r="R4039" s="5"/>
    </row>
    <row r="4040" spans="12:18" x14ac:dyDescent="0.35">
      <c r="L4040" s="71"/>
      <c r="R4040" s="5"/>
    </row>
    <row r="4041" spans="12:18" x14ac:dyDescent="0.35">
      <c r="L4041" s="71"/>
      <c r="R4041" s="5"/>
    </row>
    <row r="4042" spans="12:18" x14ac:dyDescent="0.35">
      <c r="L4042" s="71"/>
      <c r="R4042" s="5"/>
    </row>
    <row r="4043" spans="12:18" x14ac:dyDescent="0.35">
      <c r="L4043" s="71"/>
      <c r="R4043" s="5"/>
    </row>
    <row r="4044" spans="12:18" x14ac:dyDescent="0.35">
      <c r="L4044" s="71"/>
      <c r="R4044" s="5"/>
    </row>
    <row r="4045" spans="12:18" x14ac:dyDescent="0.35">
      <c r="L4045" s="71"/>
      <c r="R4045" s="5"/>
    </row>
    <row r="4046" spans="12:18" x14ac:dyDescent="0.35">
      <c r="L4046" s="71"/>
      <c r="R4046" s="5"/>
    </row>
    <row r="4047" spans="12:18" x14ac:dyDescent="0.35">
      <c r="L4047" s="71"/>
      <c r="R4047" s="5"/>
    </row>
    <row r="4048" spans="12:18" x14ac:dyDescent="0.35">
      <c r="L4048" s="71"/>
      <c r="R4048" s="5"/>
    </row>
    <row r="4049" spans="12:18" x14ac:dyDescent="0.35">
      <c r="L4049" s="71"/>
      <c r="R4049" s="5"/>
    </row>
    <row r="4050" spans="12:18" x14ac:dyDescent="0.35">
      <c r="L4050" s="71"/>
      <c r="R4050" s="5"/>
    </row>
    <row r="4051" spans="12:18" x14ac:dyDescent="0.35">
      <c r="L4051" s="71"/>
      <c r="R4051" s="5"/>
    </row>
    <row r="4052" spans="12:18" x14ac:dyDescent="0.35">
      <c r="L4052" s="71"/>
      <c r="R4052" s="5"/>
    </row>
    <row r="4053" spans="12:18" x14ac:dyDescent="0.35">
      <c r="L4053" s="71"/>
      <c r="R4053" s="5"/>
    </row>
    <row r="4054" spans="12:18" x14ac:dyDescent="0.35">
      <c r="L4054" s="71"/>
      <c r="R4054" s="5"/>
    </row>
    <row r="4055" spans="12:18" x14ac:dyDescent="0.35">
      <c r="L4055" s="71"/>
      <c r="R4055" s="5"/>
    </row>
    <row r="4056" spans="12:18" x14ac:dyDescent="0.35">
      <c r="L4056" s="71"/>
      <c r="R4056" s="5"/>
    </row>
    <row r="4057" spans="12:18" x14ac:dyDescent="0.35">
      <c r="L4057" s="71"/>
      <c r="R4057" s="5"/>
    </row>
    <row r="4058" spans="12:18" x14ac:dyDescent="0.35">
      <c r="L4058" s="71"/>
      <c r="R4058" s="5"/>
    </row>
    <row r="4059" spans="12:18" x14ac:dyDescent="0.35">
      <c r="L4059" s="71"/>
      <c r="R4059" s="5"/>
    </row>
    <row r="4060" spans="12:18" x14ac:dyDescent="0.35">
      <c r="L4060" s="71"/>
      <c r="R4060" s="5"/>
    </row>
    <row r="4061" spans="12:18" x14ac:dyDescent="0.35">
      <c r="L4061" s="71"/>
      <c r="R4061" s="5"/>
    </row>
    <row r="4062" spans="12:18" x14ac:dyDescent="0.35">
      <c r="L4062" s="71"/>
      <c r="R4062" s="5"/>
    </row>
    <row r="4063" spans="12:18" x14ac:dyDescent="0.35">
      <c r="L4063" s="71"/>
      <c r="R4063" s="5"/>
    </row>
    <row r="4064" spans="12:18" x14ac:dyDescent="0.35">
      <c r="L4064" s="71"/>
      <c r="R4064" s="5"/>
    </row>
    <row r="4065" spans="12:18" x14ac:dyDescent="0.35">
      <c r="L4065" s="71"/>
      <c r="R4065" s="5"/>
    </row>
    <row r="4066" spans="12:18" x14ac:dyDescent="0.35">
      <c r="L4066" s="71"/>
      <c r="R4066" s="5"/>
    </row>
    <row r="4067" spans="12:18" x14ac:dyDescent="0.35">
      <c r="L4067" s="71"/>
      <c r="R4067" s="5"/>
    </row>
    <row r="4068" spans="12:18" x14ac:dyDescent="0.35">
      <c r="L4068" s="71"/>
      <c r="R4068" s="5"/>
    </row>
    <row r="4069" spans="12:18" x14ac:dyDescent="0.35">
      <c r="L4069" s="71"/>
      <c r="R4069" s="5"/>
    </row>
    <row r="4070" spans="12:18" x14ac:dyDescent="0.35">
      <c r="L4070" s="71"/>
      <c r="R4070" s="5"/>
    </row>
    <row r="4071" spans="12:18" x14ac:dyDescent="0.35">
      <c r="L4071" s="71"/>
      <c r="R4071" s="5"/>
    </row>
    <row r="4072" spans="12:18" x14ac:dyDescent="0.35">
      <c r="L4072" s="71"/>
      <c r="R4072" s="5"/>
    </row>
    <row r="4073" spans="12:18" x14ac:dyDescent="0.35">
      <c r="L4073" s="71"/>
      <c r="R4073" s="5"/>
    </row>
    <row r="4074" spans="12:18" x14ac:dyDescent="0.35">
      <c r="L4074" s="71"/>
      <c r="R4074" s="5"/>
    </row>
    <row r="4075" spans="12:18" x14ac:dyDescent="0.35">
      <c r="L4075" s="71"/>
      <c r="R4075" s="5"/>
    </row>
    <row r="4076" spans="12:18" x14ac:dyDescent="0.35">
      <c r="L4076" s="71"/>
      <c r="R4076" s="5"/>
    </row>
    <row r="4077" spans="12:18" x14ac:dyDescent="0.35">
      <c r="L4077" s="71"/>
      <c r="R4077" s="5"/>
    </row>
    <row r="4078" spans="12:18" x14ac:dyDescent="0.35">
      <c r="L4078" s="71"/>
      <c r="R4078" s="5"/>
    </row>
    <row r="4079" spans="12:18" x14ac:dyDescent="0.35">
      <c r="L4079" s="71"/>
      <c r="R4079" s="5"/>
    </row>
    <row r="4080" spans="12:18" x14ac:dyDescent="0.35">
      <c r="L4080" s="71"/>
      <c r="R4080" s="5"/>
    </row>
    <row r="4081" spans="12:18" x14ac:dyDescent="0.35">
      <c r="L4081" s="71"/>
      <c r="R4081" s="5"/>
    </row>
    <row r="4082" spans="12:18" x14ac:dyDescent="0.35">
      <c r="L4082" s="71"/>
      <c r="R4082" s="5"/>
    </row>
    <row r="4083" spans="12:18" x14ac:dyDescent="0.35">
      <c r="L4083" s="71"/>
      <c r="R4083" s="5"/>
    </row>
    <row r="4084" spans="12:18" x14ac:dyDescent="0.35">
      <c r="L4084" s="71"/>
      <c r="R4084" s="5"/>
    </row>
    <row r="4085" spans="12:18" x14ac:dyDescent="0.35">
      <c r="L4085" s="71"/>
      <c r="R4085" s="5"/>
    </row>
    <row r="4086" spans="12:18" x14ac:dyDescent="0.35">
      <c r="L4086" s="71"/>
      <c r="R4086" s="5"/>
    </row>
    <row r="4087" spans="12:18" x14ac:dyDescent="0.35">
      <c r="L4087" s="71"/>
      <c r="R4087" s="5"/>
    </row>
    <row r="4088" spans="12:18" x14ac:dyDescent="0.35">
      <c r="L4088" s="71"/>
      <c r="R4088" s="5"/>
    </row>
    <row r="4089" spans="12:18" x14ac:dyDescent="0.35">
      <c r="L4089" s="71"/>
      <c r="R4089" s="5"/>
    </row>
    <row r="4090" spans="12:18" x14ac:dyDescent="0.35">
      <c r="L4090" s="71"/>
      <c r="R4090" s="5"/>
    </row>
    <row r="4091" spans="12:18" x14ac:dyDescent="0.35">
      <c r="L4091" s="71"/>
      <c r="R4091" s="5"/>
    </row>
    <row r="4092" spans="12:18" x14ac:dyDescent="0.35">
      <c r="L4092" s="71"/>
      <c r="R4092" s="5"/>
    </row>
    <row r="4093" spans="12:18" x14ac:dyDescent="0.35">
      <c r="L4093" s="71"/>
      <c r="R4093" s="5"/>
    </row>
    <row r="4094" spans="12:18" x14ac:dyDescent="0.35">
      <c r="L4094" s="71"/>
      <c r="R4094" s="5"/>
    </row>
    <row r="4095" spans="12:18" x14ac:dyDescent="0.35">
      <c r="L4095" s="71"/>
      <c r="R4095" s="5"/>
    </row>
    <row r="4096" spans="12:18" x14ac:dyDescent="0.35">
      <c r="L4096" s="71"/>
      <c r="R4096" s="5"/>
    </row>
    <row r="4097" spans="12:18" x14ac:dyDescent="0.35">
      <c r="L4097" s="71"/>
      <c r="R4097" s="5"/>
    </row>
    <row r="4098" spans="12:18" x14ac:dyDescent="0.35">
      <c r="L4098" s="71"/>
      <c r="R4098" s="5"/>
    </row>
    <row r="4099" spans="12:18" x14ac:dyDescent="0.35">
      <c r="L4099" s="71"/>
      <c r="R4099" s="5"/>
    </row>
    <row r="4100" spans="12:18" x14ac:dyDescent="0.35">
      <c r="L4100" s="71"/>
      <c r="R4100" s="5"/>
    </row>
    <row r="4101" spans="12:18" x14ac:dyDescent="0.35">
      <c r="L4101" s="71"/>
      <c r="R4101" s="5"/>
    </row>
    <row r="4102" spans="12:18" x14ac:dyDescent="0.35">
      <c r="L4102" s="71"/>
      <c r="R4102" s="5"/>
    </row>
    <row r="4103" spans="12:18" x14ac:dyDescent="0.35">
      <c r="L4103" s="71"/>
      <c r="R4103" s="5"/>
    </row>
    <row r="4104" spans="12:18" x14ac:dyDescent="0.35">
      <c r="L4104" s="71"/>
      <c r="R4104" s="5"/>
    </row>
    <row r="4105" spans="12:18" x14ac:dyDescent="0.35">
      <c r="L4105" s="71"/>
      <c r="R4105" s="5"/>
    </row>
    <row r="4106" spans="12:18" x14ac:dyDescent="0.35">
      <c r="L4106" s="71"/>
      <c r="R4106" s="5"/>
    </row>
    <row r="4107" spans="12:18" x14ac:dyDescent="0.35">
      <c r="L4107" s="71"/>
      <c r="R4107" s="5"/>
    </row>
    <row r="4108" spans="12:18" x14ac:dyDescent="0.35">
      <c r="L4108" s="71"/>
      <c r="R4108" s="5"/>
    </row>
    <row r="4109" spans="12:18" x14ac:dyDescent="0.35">
      <c r="L4109" s="71"/>
      <c r="R4109" s="5"/>
    </row>
    <row r="4110" spans="12:18" x14ac:dyDescent="0.35">
      <c r="L4110" s="71"/>
      <c r="R4110" s="5"/>
    </row>
    <row r="4111" spans="12:18" x14ac:dyDescent="0.35">
      <c r="L4111" s="71"/>
      <c r="R4111" s="5"/>
    </row>
    <row r="4112" spans="12:18" x14ac:dyDescent="0.35">
      <c r="L4112" s="71"/>
      <c r="R4112" s="5"/>
    </row>
    <row r="4113" spans="12:18" x14ac:dyDescent="0.35">
      <c r="L4113" s="71"/>
      <c r="R4113" s="5"/>
    </row>
    <row r="4114" spans="12:18" x14ac:dyDescent="0.35">
      <c r="L4114" s="71"/>
      <c r="R4114" s="5"/>
    </row>
    <row r="4115" spans="12:18" x14ac:dyDescent="0.35">
      <c r="L4115" s="71"/>
      <c r="R4115" s="5"/>
    </row>
    <row r="4116" spans="12:18" x14ac:dyDescent="0.35">
      <c r="L4116" s="71"/>
      <c r="R4116" s="5"/>
    </row>
    <row r="4117" spans="12:18" x14ac:dyDescent="0.35">
      <c r="L4117" s="71"/>
      <c r="R4117" s="5"/>
    </row>
    <row r="4118" spans="12:18" x14ac:dyDescent="0.35">
      <c r="L4118" s="71"/>
      <c r="R4118" s="5"/>
    </row>
    <row r="4119" spans="12:18" x14ac:dyDescent="0.35">
      <c r="L4119" s="71"/>
      <c r="R4119" s="5"/>
    </row>
    <row r="4120" spans="12:18" x14ac:dyDescent="0.35">
      <c r="L4120" s="71"/>
      <c r="R4120" s="5"/>
    </row>
    <row r="4121" spans="12:18" x14ac:dyDescent="0.35">
      <c r="L4121" s="71"/>
      <c r="R4121" s="5"/>
    </row>
    <row r="4122" spans="12:18" x14ac:dyDescent="0.35">
      <c r="L4122" s="71"/>
      <c r="R4122" s="5"/>
    </row>
    <row r="4123" spans="12:18" x14ac:dyDescent="0.35">
      <c r="L4123" s="71"/>
      <c r="R4123" s="5"/>
    </row>
    <row r="4124" spans="12:18" x14ac:dyDescent="0.35">
      <c r="L4124" s="71"/>
      <c r="R4124" s="5"/>
    </row>
    <row r="4125" spans="12:18" x14ac:dyDescent="0.35">
      <c r="L4125" s="71"/>
      <c r="R4125" s="5"/>
    </row>
    <row r="4126" spans="12:18" x14ac:dyDescent="0.35">
      <c r="L4126" s="71"/>
      <c r="R4126" s="5"/>
    </row>
    <row r="4127" spans="12:18" x14ac:dyDescent="0.35">
      <c r="L4127" s="71"/>
      <c r="R4127" s="5"/>
    </row>
    <row r="4128" spans="12:18" x14ac:dyDescent="0.35">
      <c r="L4128" s="71"/>
      <c r="R4128" s="5"/>
    </row>
    <row r="4129" spans="12:18" x14ac:dyDescent="0.35">
      <c r="L4129" s="71"/>
      <c r="R4129" s="5"/>
    </row>
    <row r="4130" spans="12:18" x14ac:dyDescent="0.35">
      <c r="L4130" s="71"/>
      <c r="R4130" s="5"/>
    </row>
    <row r="4131" spans="12:18" x14ac:dyDescent="0.35">
      <c r="L4131" s="71"/>
      <c r="R4131" s="5"/>
    </row>
    <row r="4132" spans="12:18" x14ac:dyDescent="0.35">
      <c r="L4132" s="71"/>
      <c r="R4132" s="5"/>
    </row>
    <row r="4133" spans="12:18" x14ac:dyDescent="0.35">
      <c r="L4133" s="71"/>
      <c r="R4133" s="5"/>
    </row>
    <row r="4134" spans="12:18" x14ac:dyDescent="0.35">
      <c r="L4134" s="71"/>
      <c r="R4134" s="5"/>
    </row>
    <row r="4135" spans="12:18" x14ac:dyDescent="0.35">
      <c r="L4135" s="71"/>
      <c r="R4135" s="5"/>
    </row>
    <row r="4136" spans="12:18" x14ac:dyDescent="0.35">
      <c r="L4136" s="71"/>
      <c r="R4136" s="5"/>
    </row>
    <row r="4137" spans="12:18" x14ac:dyDescent="0.35">
      <c r="L4137" s="71"/>
      <c r="R4137" s="5"/>
    </row>
    <row r="4138" spans="12:18" x14ac:dyDescent="0.35">
      <c r="L4138" s="71"/>
      <c r="R4138" s="5"/>
    </row>
    <row r="4139" spans="12:18" x14ac:dyDescent="0.35">
      <c r="L4139" s="71"/>
      <c r="R4139" s="5"/>
    </row>
    <row r="4140" spans="12:18" x14ac:dyDescent="0.35">
      <c r="L4140" s="71"/>
      <c r="R4140" s="5"/>
    </row>
    <row r="4141" spans="12:18" x14ac:dyDescent="0.35">
      <c r="L4141" s="71"/>
      <c r="R4141" s="5"/>
    </row>
    <row r="4142" spans="12:18" x14ac:dyDescent="0.35">
      <c r="L4142" s="71"/>
      <c r="R4142" s="5"/>
    </row>
    <row r="4143" spans="12:18" x14ac:dyDescent="0.35">
      <c r="L4143" s="71"/>
      <c r="R4143" s="5"/>
    </row>
    <row r="4144" spans="12:18" x14ac:dyDescent="0.35">
      <c r="L4144" s="71"/>
      <c r="R4144" s="5"/>
    </row>
    <row r="4145" spans="12:18" x14ac:dyDescent="0.35">
      <c r="L4145" s="71"/>
      <c r="R4145" s="5"/>
    </row>
    <row r="4146" spans="12:18" x14ac:dyDescent="0.35">
      <c r="L4146" s="71"/>
      <c r="R4146" s="5"/>
    </row>
    <row r="4147" spans="12:18" x14ac:dyDescent="0.35">
      <c r="L4147" s="71"/>
      <c r="R4147" s="5"/>
    </row>
    <row r="4148" spans="12:18" x14ac:dyDescent="0.35">
      <c r="L4148" s="71"/>
      <c r="R4148" s="5"/>
    </row>
    <row r="4149" spans="12:18" x14ac:dyDescent="0.35">
      <c r="L4149" s="71"/>
      <c r="R4149" s="5"/>
    </row>
    <row r="4150" spans="12:18" x14ac:dyDescent="0.35">
      <c r="L4150" s="71"/>
      <c r="R4150" s="5"/>
    </row>
    <row r="4151" spans="12:18" x14ac:dyDescent="0.35">
      <c r="L4151" s="71"/>
      <c r="R4151" s="5"/>
    </row>
    <row r="4152" spans="12:18" x14ac:dyDescent="0.35">
      <c r="L4152" s="71"/>
      <c r="R4152" s="5"/>
    </row>
    <row r="4153" spans="12:18" x14ac:dyDescent="0.35">
      <c r="L4153" s="71"/>
      <c r="R4153" s="5"/>
    </row>
    <row r="4154" spans="12:18" x14ac:dyDescent="0.35">
      <c r="L4154" s="71"/>
      <c r="R4154" s="5"/>
    </row>
    <row r="4155" spans="12:18" x14ac:dyDescent="0.35">
      <c r="L4155" s="71"/>
      <c r="R4155" s="5"/>
    </row>
    <row r="4156" spans="12:18" x14ac:dyDescent="0.35">
      <c r="L4156" s="71"/>
      <c r="R4156" s="5"/>
    </row>
    <row r="4157" spans="12:18" x14ac:dyDescent="0.35">
      <c r="L4157" s="71"/>
      <c r="R4157" s="5"/>
    </row>
    <row r="4158" spans="12:18" x14ac:dyDescent="0.35">
      <c r="L4158" s="71"/>
      <c r="R4158" s="5"/>
    </row>
    <row r="4159" spans="12:18" x14ac:dyDescent="0.35">
      <c r="L4159" s="71"/>
      <c r="R4159" s="5"/>
    </row>
    <row r="4160" spans="12:18" x14ac:dyDescent="0.35">
      <c r="L4160" s="71"/>
      <c r="R4160" s="5"/>
    </row>
    <row r="4161" spans="12:18" x14ac:dyDescent="0.35">
      <c r="L4161" s="71"/>
      <c r="R4161" s="5"/>
    </row>
    <row r="4162" spans="12:18" x14ac:dyDescent="0.35">
      <c r="L4162" s="71"/>
      <c r="R4162" s="5"/>
    </row>
    <row r="4163" spans="12:18" x14ac:dyDescent="0.35">
      <c r="L4163" s="71"/>
      <c r="R4163" s="5"/>
    </row>
    <row r="4164" spans="12:18" x14ac:dyDescent="0.35">
      <c r="L4164" s="71"/>
      <c r="R4164" s="5"/>
    </row>
    <row r="4165" spans="12:18" x14ac:dyDescent="0.35">
      <c r="L4165" s="71"/>
      <c r="R4165" s="5"/>
    </row>
    <row r="4166" spans="12:18" x14ac:dyDescent="0.35">
      <c r="L4166" s="71"/>
      <c r="R4166" s="5"/>
    </row>
    <row r="4167" spans="12:18" x14ac:dyDescent="0.35">
      <c r="L4167" s="71"/>
      <c r="R4167" s="5"/>
    </row>
    <row r="4168" spans="12:18" x14ac:dyDescent="0.35">
      <c r="L4168" s="71"/>
      <c r="R4168" s="5"/>
    </row>
    <row r="4169" spans="12:18" x14ac:dyDescent="0.35">
      <c r="L4169" s="71"/>
      <c r="R4169" s="5"/>
    </row>
    <row r="4170" spans="12:18" x14ac:dyDescent="0.35">
      <c r="L4170" s="71"/>
      <c r="R4170" s="5"/>
    </row>
    <row r="4171" spans="12:18" x14ac:dyDescent="0.35">
      <c r="L4171" s="71"/>
      <c r="R4171" s="5"/>
    </row>
    <row r="4172" spans="12:18" x14ac:dyDescent="0.35">
      <c r="L4172" s="71"/>
      <c r="R4172" s="5"/>
    </row>
    <row r="4173" spans="12:18" x14ac:dyDescent="0.35">
      <c r="L4173" s="71"/>
      <c r="R4173" s="5"/>
    </row>
    <row r="4174" spans="12:18" x14ac:dyDescent="0.35">
      <c r="L4174" s="71"/>
      <c r="R4174" s="5"/>
    </row>
    <row r="4175" spans="12:18" x14ac:dyDescent="0.35">
      <c r="L4175" s="71"/>
      <c r="R4175" s="5"/>
    </row>
    <row r="4176" spans="12:18" x14ac:dyDescent="0.35">
      <c r="L4176" s="71"/>
      <c r="R4176" s="5"/>
    </row>
    <row r="4177" spans="12:18" x14ac:dyDescent="0.35">
      <c r="L4177" s="71"/>
      <c r="R4177" s="5"/>
    </row>
    <row r="4178" spans="12:18" x14ac:dyDescent="0.35">
      <c r="L4178" s="71"/>
      <c r="R4178" s="5"/>
    </row>
    <row r="4179" spans="12:18" x14ac:dyDescent="0.35">
      <c r="L4179" s="71"/>
      <c r="R4179" s="5"/>
    </row>
    <row r="4180" spans="12:18" x14ac:dyDescent="0.35">
      <c r="L4180" s="71"/>
      <c r="R4180" s="5"/>
    </row>
    <row r="4181" spans="12:18" x14ac:dyDescent="0.35">
      <c r="L4181" s="71"/>
      <c r="R4181" s="5"/>
    </row>
    <row r="4182" spans="12:18" x14ac:dyDescent="0.35">
      <c r="L4182" s="71"/>
      <c r="R4182" s="5"/>
    </row>
    <row r="4183" spans="12:18" x14ac:dyDescent="0.35">
      <c r="L4183" s="71"/>
      <c r="R4183" s="5"/>
    </row>
    <row r="4184" spans="12:18" x14ac:dyDescent="0.35">
      <c r="L4184" s="71"/>
      <c r="R4184" s="5"/>
    </row>
    <row r="4185" spans="12:18" x14ac:dyDescent="0.35">
      <c r="L4185" s="71"/>
      <c r="R4185" s="5"/>
    </row>
    <row r="4186" spans="12:18" x14ac:dyDescent="0.35">
      <c r="L4186" s="71"/>
      <c r="R4186" s="5"/>
    </row>
    <row r="4187" spans="12:18" x14ac:dyDescent="0.35">
      <c r="L4187" s="71"/>
      <c r="R4187" s="5"/>
    </row>
    <row r="4188" spans="12:18" x14ac:dyDescent="0.35">
      <c r="L4188" s="71"/>
      <c r="R4188" s="5"/>
    </row>
    <row r="4189" spans="12:18" x14ac:dyDescent="0.35">
      <c r="L4189" s="71"/>
      <c r="R4189" s="5"/>
    </row>
    <row r="4190" spans="12:18" x14ac:dyDescent="0.35">
      <c r="L4190" s="71"/>
      <c r="R4190" s="5"/>
    </row>
    <row r="4191" spans="12:18" x14ac:dyDescent="0.35">
      <c r="L4191" s="71"/>
      <c r="R4191" s="5"/>
    </row>
    <row r="4192" spans="12:18" x14ac:dyDescent="0.35">
      <c r="L4192" s="71"/>
      <c r="R4192" s="5"/>
    </row>
    <row r="4193" spans="12:18" x14ac:dyDescent="0.35">
      <c r="L4193" s="71"/>
      <c r="R4193" s="5"/>
    </row>
    <row r="4194" spans="12:18" x14ac:dyDescent="0.35">
      <c r="L4194" s="71"/>
      <c r="R4194" s="5"/>
    </row>
    <row r="4195" spans="12:18" x14ac:dyDescent="0.35">
      <c r="L4195" s="71"/>
      <c r="R4195" s="5"/>
    </row>
    <row r="4196" spans="12:18" x14ac:dyDescent="0.35">
      <c r="L4196" s="71"/>
      <c r="R4196" s="5"/>
    </row>
    <row r="4197" spans="12:18" x14ac:dyDescent="0.35">
      <c r="L4197" s="71"/>
      <c r="R4197" s="5"/>
    </row>
    <row r="4198" spans="12:18" x14ac:dyDescent="0.35">
      <c r="L4198" s="71"/>
      <c r="R4198" s="5"/>
    </row>
    <row r="4199" spans="12:18" x14ac:dyDescent="0.35">
      <c r="L4199" s="71"/>
      <c r="R4199" s="5"/>
    </row>
    <row r="4200" spans="12:18" x14ac:dyDescent="0.35">
      <c r="L4200" s="71"/>
      <c r="R4200" s="5"/>
    </row>
    <row r="4201" spans="12:18" x14ac:dyDescent="0.35">
      <c r="L4201" s="71"/>
      <c r="R4201" s="5"/>
    </row>
    <row r="4202" spans="12:18" x14ac:dyDescent="0.35">
      <c r="L4202" s="71"/>
      <c r="R4202" s="5"/>
    </row>
    <row r="4203" spans="12:18" x14ac:dyDescent="0.35">
      <c r="L4203" s="71"/>
      <c r="R4203" s="5"/>
    </row>
    <row r="4204" spans="12:18" x14ac:dyDescent="0.35">
      <c r="L4204" s="71"/>
      <c r="R4204" s="5"/>
    </row>
    <row r="4205" spans="12:18" x14ac:dyDescent="0.35">
      <c r="L4205" s="71"/>
      <c r="R4205" s="5"/>
    </row>
    <row r="4206" spans="12:18" x14ac:dyDescent="0.35">
      <c r="L4206" s="71"/>
      <c r="R4206" s="5"/>
    </row>
    <row r="4207" spans="12:18" x14ac:dyDescent="0.35">
      <c r="L4207" s="71"/>
      <c r="R4207" s="5"/>
    </row>
    <row r="4208" spans="12:18" x14ac:dyDescent="0.35">
      <c r="L4208" s="71"/>
      <c r="R4208" s="5"/>
    </row>
    <row r="4209" spans="12:18" x14ac:dyDescent="0.35">
      <c r="L4209" s="71"/>
      <c r="R4209" s="5"/>
    </row>
    <row r="4210" spans="12:18" x14ac:dyDescent="0.35">
      <c r="L4210" s="71"/>
      <c r="R4210" s="5"/>
    </row>
    <row r="4211" spans="12:18" x14ac:dyDescent="0.35">
      <c r="L4211" s="71"/>
      <c r="R4211" s="5"/>
    </row>
    <row r="4212" spans="12:18" x14ac:dyDescent="0.35">
      <c r="L4212" s="71"/>
      <c r="R4212" s="5"/>
    </row>
    <row r="4213" spans="12:18" x14ac:dyDescent="0.35">
      <c r="L4213" s="71"/>
      <c r="R4213" s="5"/>
    </row>
    <row r="4214" spans="12:18" x14ac:dyDescent="0.35">
      <c r="L4214" s="71"/>
      <c r="R4214" s="5"/>
    </row>
    <row r="4215" spans="12:18" x14ac:dyDescent="0.35">
      <c r="L4215" s="71"/>
      <c r="R4215" s="5"/>
    </row>
    <row r="4216" spans="12:18" x14ac:dyDescent="0.35">
      <c r="L4216" s="71"/>
      <c r="R4216" s="5"/>
    </row>
    <row r="4217" spans="12:18" x14ac:dyDescent="0.35">
      <c r="L4217" s="71"/>
      <c r="R4217" s="5"/>
    </row>
    <row r="4218" spans="12:18" x14ac:dyDescent="0.35">
      <c r="L4218" s="71"/>
      <c r="R4218" s="5"/>
    </row>
    <row r="4219" spans="12:18" x14ac:dyDescent="0.35">
      <c r="L4219" s="71"/>
      <c r="R4219" s="5"/>
    </row>
    <row r="4220" spans="12:18" x14ac:dyDescent="0.35">
      <c r="L4220" s="71"/>
      <c r="R4220" s="5"/>
    </row>
    <row r="4221" spans="12:18" x14ac:dyDescent="0.35">
      <c r="L4221" s="71"/>
      <c r="R4221" s="5"/>
    </row>
    <row r="4222" spans="12:18" x14ac:dyDescent="0.35">
      <c r="L4222" s="71"/>
      <c r="R4222" s="5"/>
    </row>
    <row r="4223" spans="12:18" x14ac:dyDescent="0.35">
      <c r="L4223" s="71"/>
      <c r="R4223" s="5"/>
    </row>
    <row r="4224" spans="12:18" x14ac:dyDescent="0.35">
      <c r="L4224" s="71"/>
      <c r="R4224" s="5"/>
    </row>
    <row r="4225" spans="12:18" x14ac:dyDescent="0.35">
      <c r="L4225" s="71"/>
      <c r="R4225" s="5"/>
    </row>
    <row r="4226" spans="12:18" x14ac:dyDescent="0.35">
      <c r="L4226" s="71"/>
      <c r="R4226" s="5"/>
    </row>
    <row r="4227" spans="12:18" x14ac:dyDescent="0.35">
      <c r="L4227" s="71"/>
      <c r="R4227" s="5"/>
    </row>
    <row r="4228" spans="12:18" x14ac:dyDescent="0.35">
      <c r="L4228" s="71"/>
      <c r="R4228" s="5"/>
    </row>
    <row r="4229" spans="12:18" x14ac:dyDescent="0.35">
      <c r="L4229" s="71"/>
      <c r="R4229" s="5"/>
    </row>
    <row r="4230" spans="12:18" x14ac:dyDescent="0.35">
      <c r="L4230" s="71"/>
      <c r="R4230" s="5"/>
    </row>
    <row r="4231" spans="12:18" x14ac:dyDescent="0.35">
      <c r="L4231" s="71"/>
      <c r="R4231" s="5"/>
    </row>
    <row r="4232" spans="12:18" x14ac:dyDescent="0.35">
      <c r="L4232" s="71"/>
      <c r="R4232" s="5"/>
    </row>
    <row r="4233" spans="12:18" x14ac:dyDescent="0.35">
      <c r="L4233" s="71"/>
      <c r="R4233" s="5"/>
    </row>
    <row r="4234" spans="12:18" x14ac:dyDescent="0.35">
      <c r="L4234" s="71"/>
      <c r="R4234" s="5"/>
    </row>
    <row r="4235" spans="12:18" x14ac:dyDescent="0.35">
      <c r="L4235" s="71"/>
      <c r="R4235" s="5"/>
    </row>
    <row r="4236" spans="12:18" x14ac:dyDescent="0.35">
      <c r="L4236" s="71"/>
      <c r="R4236" s="5"/>
    </row>
    <row r="4237" spans="12:18" x14ac:dyDescent="0.35">
      <c r="L4237" s="71"/>
      <c r="R4237" s="5"/>
    </row>
    <row r="4238" spans="12:18" x14ac:dyDescent="0.35">
      <c r="L4238" s="71"/>
      <c r="R4238" s="5"/>
    </row>
    <row r="4239" spans="12:18" x14ac:dyDescent="0.35">
      <c r="L4239" s="71"/>
      <c r="R4239" s="5"/>
    </row>
    <row r="4240" spans="12:18" x14ac:dyDescent="0.35">
      <c r="L4240" s="71"/>
      <c r="R4240" s="5"/>
    </row>
    <row r="4241" spans="12:18" x14ac:dyDescent="0.35">
      <c r="L4241" s="71"/>
      <c r="R4241" s="5"/>
    </row>
    <row r="4242" spans="12:18" x14ac:dyDescent="0.35">
      <c r="L4242" s="71"/>
      <c r="R4242" s="5"/>
    </row>
    <row r="4243" spans="12:18" x14ac:dyDescent="0.35">
      <c r="L4243" s="71"/>
      <c r="R4243" s="5"/>
    </row>
    <row r="4244" spans="12:18" x14ac:dyDescent="0.35">
      <c r="L4244" s="71"/>
      <c r="R4244" s="5"/>
    </row>
    <row r="4245" spans="12:18" x14ac:dyDescent="0.35">
      <c r="L4245" s="71"/>
      <c r="R4245" s="5"/>
    </row>
    <row r="4246" spans="12:18" x14ac:dyDescent="0.35">
      <c r="L4246" s="71"/>
      <c r="R4246" s="5"/>
    </row>
    <row r="4247" spans="12:18" x14ac:dyDescent="0.35">
      <c r="L4247" s="71"/>
      <c r="R4247" s="5"/>
    </row>
    <row r="4248" spans="12:18" x14ac:dyDescent="0.35">
      <c r="L4248" s="71"/>
      <c r="R4248" s="5"/>
    </row>
    <row r="4249" spans="12:18" x14ac:dyDescent="0.35">
      <c r="L4249" s="71"/>
      <c r="R4249" s="5"/>
    </row>
    <row r="4250" spans="12:18" x14ac:dyDescent="0.35">
      <c r="L4250" s="71"/>
      <c r="R4250" s="5"/>
    </row>
    <row r="4251" spans="12:18" x14ac:dyDescent="0.35">
      <c r="L4251" s="71"/>
      <c r="R4251" s="5"/>
    </row>
    <row r="4252" spans="12:18" x14ac:dyDescent="0.35">
      <c r="L4252" s="71"/>
      <c r="R4252" s="5"/>
    </row>
    <row r="4253" spans="12:18" x14ac:dyDescent="0.35">
      <c r="L4253" s="71"/>
      <c r="R4253" s="5"/>
    </row>
    <row r="4254" spans="12:18" x14ac:dyDescent="0.35">
      <c r="L4254" s="71"/>
      <c r="R4254" s="5"/>
    </row>
    <row r="4255" spans="12:18" x14ac:dyDescent="0.35">
      <c r="L4255" s="71"/>
      <c r="R4255" s="5"/>
    </row>
    <row r="4256" spans="12:18" x14ac:dyDescent="0.35">
      <c r="L4256" s="71"/>
      <c r="R4256" s="5"/>
    </row>
    <row r="4257" spans="12:18" x14ac:dyDescent="0.35">
      <c r="L4257" s="71"/>
      <c r="R4257" s="5"/>
    </row>
    <row r="4258" spans="12:18" x14ac:dyDescent="0.35">
      <c r="L4258" s="71"/>
      <c r="R4258" s="5"/>
    </row>
    <row r="4259" spans="12:18" x14ac:dyDescent="0.35">
      <c r="L4259" s="71"/>
      <c r="R4259" s="5"/>
    </row>
    <row r="4260" spans="12:18" x14ac:dyDescent="0.35">
      <c r="L4260" s="71"/>
      <c r="R4260" s="5"/>
    </row>
    <row r="4261" spans="12:18" x14ac:dyDescent="0.35">
      <c r="L4261" s="71"/>
      <c r="R4261" s="5"/>
    </row>
    <row r="4262" spans="12:18" x14ac:dyDescent="0.35">
      <c r="L4262" s="71"/>
      <c r="R4262" s="5"/>
    </row>
    <row r="4263" spans="12:18" x14ac:dyDescent="0.35">
      <c r="L4263" s="71"/>
      <c r="R4263" s="5"/>
    </row>
    <row r="4264" spans="12:18" x14ac:dyDescent="0.35">
      <c r="L4264" s="71"/>
      <c r="R4264" s="5"/>
    </row>
    <row r="4265" spans="12:18" x14ac:dyDescent="0.35">
      <c r="L4265" s="71"/>
      <c r="R4265" s="5"/>
    </row>
    <row r="4266" spans="12:18" x14ac:dyDescent="0.35">
      <c r="L4266" s="71"/>
      <c r="R4266" s="5"/>
    </row>
    <row r="4267" spans="12:18" x14ac:dyDescent="0.35">
      <c r="L4267" s="71"/>
      <c r="R4267" s="5"/>
    </row>
    <row r="4268" spans="12:18" x14ac:dyDescent="0.35">
      <c r="L4268" s="71"/>
      <c r="R4268" s="5"/>
    </row>
    <row r="4269" spans="12:18" x14ac:dyDescent="0.35">
      <c r="L4269" s="71"/>
      <c r="R4269" s="5"/>
    </row>
    <row r="4270" spans="12:18" x14ac:dyDescent="0.35">
      <c r="L4270" s="71"/>
      <c r="R4270" s="5"/>
    </row>
    <row r="4271" spans="12:18" x14ac:dyDescent="0.35">
      <c r="L4271" s="71"/>
      <c r="R4271" s="5"/>
    </row>
    <row r="4272" spans="12:18" x14ac:dyDescent="0.35">
      <c r="L4272" s="71"/>
      <c r="R4272" s="5"/>
    </row>
    <row r="4273" spans="12:18" x14ac:dyDescent="0.35">
      <c r="L4273" s="71"/>
      <c r="R4273" s="5"/>
    </row>
    <row r="4274" spans="12:18" x14ac:dyDescent="0.35">
      <c r="L4274" s="71"/>
      <c r="R4274" s="5"/>
    </row>
    <row r="4275" spans="12:18" x14ac:dyDescent="0.35">
      <c r="L4275" s="71"/>
      <c r="R4275" s="5"/>
    </row>
    <row r="4276" spans="12:18" x14ac:dyDescent="0.35">
      <c r="L4276" s="71"/>
      <c r="R4276" s="5"/>
    </row>
    <row r="4277" spans="12:18" x14ac:dyDescent="0.35">
      <c r="L4277" s="71"/>
      <c r="R4277" s="5"/>
    </row>
    <row r="4278" spans="12:18" x14ac:dyDescent="0.35">
      <c r="L4278" s="71"/>
      <c r="R4278" s="5"/>
    </row>
    <row r="4279" spans="12:18" x14ac:dyDescent="0.35">
      <c r="L4279" s="71"/>
      <c r="R4279" s="5"/>
    </row>
    <row r="4280" spans="12:18" x14ac:dyDescent="0.35">
      <c r="L4280" s="71"/>
      <c r="R4280" s="5"/>
    </row>
    <row r="4281" spans="12:18" x14ac:dyDescent="0.35">
      <c r="L4281" s="71"/>
      <c r="R4281" s="5"/>
    </row>
    <row r="4282" spans="12:18" x14ac:dyDescent="0.35">
      <c r="L4282" s="71"/>
      <c r="R4282" s="5"/>
    </row>
    <row r="4283" spans="12:18" x14ac:dyDescent="0.35">
      <c r="L4283" s="71"/>
      <c r="R4283" s="5"/>
    </row>
    <row r="4284" spans="12:18" x14ac:dyDescent="0.35">
      <c r="L4284" s="71"/>
      <c r="R4284" s="5"/>
    </row>
    <row r="4285" spans="12:18" x14ac:dyDescent="0.35">
      <c r="L4285" s="71"/>
      <c r="R4285" s="5"/>
    </row>
    <row r="4286" spans="12:18" x14ac:dyDescent="0.35">
      <c r="L4286" s="71"/>
      <c r="R4286" s="5"/>
    </row>
    <row r="4287" spans="12:18" x14ac:dyDescent="0.35">
      <c r="L4287" s="71"/>
      <c r="R4287" s="5"/>
    </row>
    <row r="4288" spans="12:18" x14ac:dyDescent="0.35">
      <c r="L4288" s="71"/>
      <c r="R4288" s="5"/>
    </row>
    <row r="4289" spans="12:18" x14ac:dyDescent="0.35">
      <c r="L4289" s="71"/>
      <c r="R4289" s="5"/>
    </row>
    <row r="4290" spans="12:18" x14ac:dyDescent="0.35">
      <c r="L4290" s="71"/>
      <c r="R4290" s="5"/>
    </row>
    <row r="4291" spans="12:18" x14ac:dyDescent="0.35">
      <c r="L4291" s="71"/>
      <c r="R4291" s="5"/>
    </row>
    <row r="4292" spans="12:18" x14ac:dyDescent="0.35">
      <c r="L4292" s="71"/>
      <c r="R4292" s="5"/>
    </row>
    <row r="4293" spans="12:18" x14ac:dyDescent="0.35">
      <c r="L4293" s="71"/>
      <c r="R4293" s="5"/>
    </row>
    <row r="4294" spans="12:18" x14ac:dyDescent="0.35">
      <c r="L4294" s="71"/>
      <c r="R4294" s="5"/>
    </row>
    <row r="4295" spans="12:18" x14ac:dyDescent="0.35">
      <c r="L4295" s="71"/>
      <c r="R4295" s="5"/>
    </row>
    <row r="4296" spans="12:18" x14ac:dyDescent="0.35">
      <c r="L4296" s="71"/>
      <c r="R4296" s="5"/>
    </row>
    <row r="4297" spans="12:18" x14ac:dyDescent="0.35">
      <c r="L4297" s="71"/>
      <c r="R4297" s="5"/>
    </row>
    <row r="4298" spans="12:18" x14ac:dyDescent="0.35">
      <c r="L4298" s="71"/>
      <c r="R4298" s="5"/>
    </row>
    <row r="4299" spans="12:18" x14ac:dyDescent="0.35">
      <c r="L4299" s="71"/>
      <c r="R4299" s="5"/>
    </row>
    <row r="4300" spans="12:18" x14ac:dyDescent="0.35">
      <c r="L4300" s="71"/>
      <c r="R4300" s="5"/>
    </row>
    <row r="4301" spans="12:18" x14ac:dyDescent="0.35">
      <c r="L4301" s="71"/>
      <c r="R4301" s="5"/>
    </row>
    <row r="4302" spans="12:18" x14ac:dyDescent="0.35">
      <c r="L4302" s="71"/>
      <c r="R4302" s="5"/>
    </row>
    <row r="4303" spans="12:18" x14ac:dyDescent="0.35">
      <c r="L4303" s="71"/>
      <c r="R4303" s="5"/>
    </row>
    <row r="4304" spans="12:18" x14ac:dyDescent="0.35">
      <c r="L4304" s="71"/>
      <c r="R4304" s="5"/>
    </row>
    <row r="4305" spans="12:18" x14ac:dyDescent="0.35">
      <c r="L4305" s="71"/>
      <c r="R4305" s="5"/>
    </row>
    <row r="4306" spans="12:18" x14ac:dyDescent="0.35">
      <c r="L4306" s="71"/>
      <c r="R4306" s="5"/>
    </row>
    <row r="4307" spans="12:18" x14ac:dyDescent="0.35">
      <c r="L4307" s="71"/>
      <c r="R4307" s="5"/>
    </row>
    <row r="4308" spans="12:18" x14ac:dyDescent="0.35">
      <c r="L4308" s="71"/>
      <c r="R4308" s="5"/>
    </row>
    <row r="4309" spans="12:18" x14ac:dyDescent="0.35">
      <c r="L4309" s="71"/>
      <c r="R4309" s="5"/>
    </row>
    <row r="4310" spans="12:18" x14ac:dyDescent="0.35">
      <c r="L4310" s="71"/>
      <c r="R4310" s="5"/>
    </row>
    <row r="4311" spans="12:18" x14ac:dyDescent="0.35">
      <c r="L4311" s="71"/>
      <c r="R4311" s="5"/>
    </row>
    <row r="4312" spans="12:18" x14ac:dyDescent="0.35">
      <c r="L4312" s="71"/>
      <c r="R4312" s="5"/>
    </row>
    <row r="4313" spans="12:18" x14ac:dyDescent="0.35">
      <c r="L4313" s="71"/>
      <c r="R4313" s="5"/>
    </row>
    <row r="4314" spans="12:18" x14ac:dyDescent="0.35">
      <c r="L4314" s="71"/>
      <c r="R4314" s="5"/>
    </row>
    <row r="4315" spans="12:18" x14ac:dyDescent="0.35">
      <c r="L4315" s="71"/>
      <c r="R4315" s="5"/>
    </row>
    <row r="4316" spans="12:18" x14ac:dyDescent="0.35">
      <c r="L4316" s="71"/>
      <c r="R4316" s="5"/>
    </row>
    <row r="4317" spans="12:18" x14ac:dyDescent="0.35">
      <c r="L4317" s="71"/>
      <c r="R4317" s="5"/>
    </row>
    <row r="4318" spans="12:18" x14ac:dyDescent="0.35">
      <c r="L4318" s="71"/>
      <c r="R4318" s="5"/>
    </row>
    <row r="4319" spans="12:18" x14ac:dyDescent="0.35">
      <c r="L4319" s="71"/>
      <c r="R4319" s="5"/>
    </row>
    <row r="4320" spans="12:18" x14ac:dyDescent="0.35">
      <c r="L4320" s="71"/>
      <c r="R4320" s="5"/>
    </row>
    <row r="4321" spans="12:18" x14ac:dyDescent="0.35">
      <c r="L4321" s="71"/>
      <c r="R4321" s="5"/>
    </row>
    <row r="4322" spans="12:18" x14ac:dyDescent="0.35">
      <c r="L4322" s="71"/>
      <c r="R4322" s="5"/>
    </row>
    <row r="4323" spans="12:18" x14ac:dyDescent="0.35">
      <c r="L4323" s="71"/>
      <c r="R4323" s="5"/>
    </row>
    <row r="4324" spans="12:18" x14ac:dyDescent="0.35">
      <c r="L4324" s="71"/>
      <c r="R4324" s="5"/>
    </row>
    <row r="4325" spans="12:18" x14ac:dyDescent="0.35">
      <c r="L4325" s="71"/>
      <c r="R4325" s="5"/>
    </row>
    <row r="4326" spans="12:18" x14ac:dyDescent="0.35">
      <c r="L4326" s="71"/>
      <c r="R4326" s="5"/>
    </row>
    <row r="4327" spans="12:18" x14ac:dyDescent="0.35">
      <c r="L4327" s="71"/>
      <c r="R4327" s="5"/>
    </row>
    <row r="4328" spans="12:18" x14ac:dyDescent="0.35">
      <c r="L4328" s="71"/>
      <c r="R4328" s="5"/>
    </row>
    <row r="4329" spans="12:18" x14ac:dyDescent="0.35">
      <c r="L4329" s="71"/>
      <c r="R4329" s="5"/>
    </row>
    <row r="4330" spans="12:18" x14ac:dyDescent="0.35">
      <c r="L4330" s="71"/>
      <c r="R4330" s="5"/>
    </row>
    <row r="4331" spans="12:18" x14ac:dyDescent="0.35">
      <c r="L4331" s="71"/>
      <c r="R4331" s="5"/>
    </row>
    <row r="4332" spans="12:18" x14ac:dyDescent="0.35">
      <c r="L4332" s="71"/>
      <c r="R4332" s="5"/>
    </row>
    <row r="4333" spans="12:18" x14ac:dyDescent="0.35">
      <c r="L4333" s="71"/>
      <c r="R4333" s="5"/>
    </row>
    <row r="4334" spans="12:18" x14ac:dyDescent="0.35">
      <c r="L4334" s="71"/>
      <c r="R4334" s="5"/>
    </row>
    <row r="4335" spans="12:18" x14ac:dyDescent="0.35">
      <c r="L4335" s="71"/>
      <c r="R4335" s="5"/>
    </row>
    <row r="4336" spans="12:18" x14ac:dyDescent="0.35">
      <c r="L4336" s="71"/>
      <c r="R4336" s="5"/>
    </row>
    <row r="4337" spans="12:18" x14ac:dyDescent="0.35">
      <c r="L4337" s="71"/>
      <c r="R4337" s="5"/>
    </row>
    <row r="4338" spans="12:18" x14ac:dyDescent="0.35">
      <c r="L4338" s="71"/>
      <c r="R4338" s="5"/>
    </row>
    <row r="4339" spans="12:18" x14ac:dyDescent="0.35">
      <c r="L4339" s="71"/>
      <c r="R4339" s="5"/>
    </row>
    <row r="4340" spans="12:18" x14ac:dyDescent="0.35">
      <c r="L4340" s="71"/>
      <c r="R4340" s="5"/>
    </row>
    <row r="4341" spans="12:18" x14ac:dyDescent="0.35">
      <c r="L4341" s="71"/>
      <c r="R4341" s="5"/>
    </row>
    <row r="4342" spans="12:18" x14ac:dyDescent="0.35">
      <c r="L4342" s="71"/>
      <c r="R4342" s="5"/>
    </row>
    <row r="4343" spans="12:18" x14ac:dyDescent="0.35">
      <c r="L4343" s="71"/>
      <c r="R4343" s="5"/>
    </row>
    <row r="4344" spans="12:18" x14ac:dyDescent="0.35">
      <c r="L4344" s="71"/>
      <c r="R4344" s="5"/>
    </row>
    <row r="4345" spans="12:18" x14ac:dyDescent="0.35">
      <c r="L4345" s="71"/>
      <c r="R4345" s="5"/>
    </row>
    <row r="4346" spans="12:18" x14ac:dyDescent="0.35">
      <c r="L4346" s="71"/>
      <c r="R4346" s="5"/>
    </row>
    <row r="4347" spans="12:18" x14ac:dyDescent="0.35">
      <c r="L4347" s="71"/>
      <c r="R4347" s="5"/>
    </row>
    <row r="4348" spans="12:18" x14ac:dyDescent="0.35">
      <c r="L4348" s="71"/>
      <c r="R4348" s="5"/>
    </row>
    <row r="4349" spans="12:18" x14ac:dyDescent="0.35">
      <c r="L4349" s="71"/>
      <c r="R4349" s="5"/>
    </row>
    <row r="4350" spans="12:18" x14ac:dyDescent="0.35">
      <c r="L4350" s="71"/>
      <c r="R4350" s="5"/>
    </row>
    <row r="4351" spans="12:18" x14ac:dyDescent="0.35">
      <c r="L4351" s="71"/>
      <c r="R4351" s="5"/>
    </row>
    <row r="4352" spans="12:18" x14ac:dyDescent="0.35">
      <c r="L4352" s="71"/>
      <c r="R4352" s="5"/>
    </row>
    <row r="4353" spans="12:18" x14ac:dyDescent="0.35">
      <c r="L4353" s="71"/>
      <c r="R4353" s="5"/>
    </row>
    <row r="4354" spans="12:18" x14ac:dyDescent="0.35">
      <c r="L4354" s="71"/>
      <c r="R4354" s="5"/>
    </row>
    <row r="4355" spans="12:18" x14ac:dyDescent="0.35">
      <c r="L4355" s="71"/>
      <c r="R4355" s="5"/>
    </row>
    <row r="4356" spans="12:18" x14ac:dyDescent="0.35">
      <c r="L4356" s="71"/>
      <c r="R4356" s="5"/>
    </row>
    <row r="4357" spans="12:18" x14ac:dyDescent="0.35">
      <c r="L4357" s="71"/>
      <c r="R4357" s="5"/>
    </row>
    <row r="4358" spans="12:18" x14ac:dyDescent="0.35">
      <c r="L4358" s="71"/>
      <c r="R4358" s="5"/>
    </row>
    <row r="4359" spans="12:18" x14ac:dyDescent="0.35">
      <c r="L4359" s="71"/>
      <c r="R4359" s="5"/>
    </row>
    <row r="4360" spans="12:18" x14ac:dyDescent="0.35">
      <c r="L4360" s="71"/>
      <c r="R4360" s="5"/>
    </row>
    <row r="4361" spans="12:18" x14ac:dyDescent="0.35">
      <c r="L4361" s="71"/>
      <c r="R4361" s="5"/>
    </row>
    <row r="4362" spans="12:18" x14ac:dyDescent="0.35">
      <c r="L4362" s="71"/>
      <c r="R4362" s="5"/>
    </row>
    <row r="4363" spans="12:18" x14ac:dyDescent="0.35">
      <c r="L4363" s="71"/>
      <c r="R4363" s="5"/>
    </row>
    <row r="4364" spans="12:18" x14ac:dyDescent="0.35">
      <c r="L4364" s="71"/>
      <c r="R4364" s="5"/>
    </row>
    <row r="4365" spans="12:18" x14ac:dyDescent="0.35">
      <c r="L4365" s="71"/>
      <c r="R4365" s="5"/>
    </row>
    <row r="4366" spans="12:18" x14ac:dyDescent="0.35">
      <c r="L4366" s="71"/>
      <c r="R4366" s="5"/>
    </row>
    <row r="4367" spans="12:18" x14ac:dyDescent="0.35">
      <c r="L4367" s="71"/>
      <c r="R4367" s="5"/>
    </row>
    <row r="4368" spans="12:18" x14ac:dyDescent="0.35">
      <c r="L4368" s="71"/>
      <c r="R4368" s="5"/>
    </row>
    <row r="4369" spans="12:18" x14ac:dyDescent="0.35">
      <c r="L4369" s="71"/>
      <c r="R4369" s="5"/>
    </row>
    <row r="4370" spans="12:18" x14ac:dyDescent="0.35">
      <c r="L4370" s="71"/>
      <c r="R4370" s="5"/>
    </row>
    <row r="4371" spans="12:18" x14ac:dyDescent="0.35">
      <c r="L4371" s="71"/>
      <c r="R4371" s="5"/>
    </row>
    <row r="4372" spans="12:18" x14ac:dyDescent="0.35">
      <c r="L4372" s="71"/>
      <c r="R4372" s="5"/>
    </row>
    <row r="4373" spans="12:18" x14ac:dyDescent="0.35">
      <c r="L4373" s="71"/>
      <c r="R4373" s="5"/>
    </row>
    <row r="4374" spans="12:18" x14ac:dyDescent="0.35">
      <c r="L4374" s="71"/>
      <c r="R4374" s="5"/>
    </row>
    <row r="4375" spans="12:18" x14ac:dyDescent="0.35">
      <c r="L4375" s="71"/>
      <c r="R4375" s="5"/>
    </row>
    <row r="4376" spans="12:18" x14ac:dyDescent="0.35">
      <c r="L4376" s="71"/>
      <c r="R4376" s="5"/>
    </row>
    <row r="4377" spans="12:18" x14ac:dyDescent="0.35">
      <c r="L4377" s="71"/>
      <c r="R4377" s="5"/>
    </row>
    <row r="4378" spans="12:18" x14ac:dyDescent="0.35">
      <c r="L4378" s="71"/>
      <c r="R4378" s="5"/>
    </row>
    <row r="4379" spans="12:18" x14ac:dyDescent="0.35">
      <c r="L4379" s="71"/>
      <c r="R4379" s="5"/>
    </row>
    <row r="4380" spans="12:18" x14ac:dyDescent="0.35">
      <c r="L4380" s="71"/>
      <c r="R4380" s="5"/>
    </row>
    <row r="4381" spans="12:18" x14ac:dyDescent="0.35">
      <c r="L4381" s="71"/>
      <c r="R4381" s="5"/>
    </row>
    <row r="4382" spans="12:18" x14ac:dyDescent="0.35">
      <c r="L4382" s="71"/>
      <c r="R4382" s="5"/>
    </row>
    <row r="4383" spans="12:18" x14ac:dyDescent="0.35">
      <c r="L4383" s="71"/>
      <c r="R4383" s="5"/>
    </row>
    <row r="4384" spans="12:18" x14ac:dyDescent="0.35">
      <c r="L4384" s="71"/>
      <c r="R4384" s="5"/>
    </row>
    <row r="4385" spans="12:18" x14ac:dyDescent="0.35">
      <c r="L4385" s="71"/>
      <c r="R4385" s="5"/>
    </row>
    <row r="4386" spans="12:18" x14ac:dyDescent="0.35">
      <c r="L4386" s="71"/>
      <c r="R4386" s="5"/>
    </row>
    <row r="4387" spans="12:18" x14ac:dyDescent="0.35">
      <c r="L4387" s="71"/>
      <c r="R4387" s="5"/>
    </row>
    <row r="4388" spans="12:18" x14ac:dyDescent="0.35">
      <c r="L4388" s="71"/>
      <c r="R4388" s="5"/>
    </row>
    <row r="4389" spans="12:18" x14ac:dyDescent="0.35">
      <c r="L4389" s="71"/>
      <c r="R4389" s="5"/>
    </row>
    <row r="4390" spans="12:18" x14ac:dyDescent="0.35">
      <c r="L4390" s="71"/>
      <c r="R4390" s="5"/>
    </row>
    <row r="4391" spans="12:18" x14ac:dyDescent="0.35">
      <c r="L4391" s="71"/>
      <c r="R4391" s="5"/>
    </row>
    <row r="4392" spans="12:18" x14ac:dyDescent="0.35">
      <c r="L4392" s="71"/>
      <c r="R4392" s="5"/>
    </row>
    <row r="4393" spans="12:18" x14ac:dyDescent="0.35">
      <c r="L4393" s="71"/>
      <c r="R4393" s="5"/>
    </row>
    <row r="4394" spans="12:18" x14ac:dyDescent="0.35">
      <c r="L4394" s="71"/>
      <c r="R4394" s="5"/>
    </row>
    <row r="4395" spans="12:18" x14ac:dyDescent="0.35">
      <c r="L4395" s="71"/>
      <c r="R4395" s="5"/>
    </row>
    <row r="4396" spans="12:18" x14ac:dyDescent="0.35">
      <c r="L4396" s="71"/>
      <c r="R4396" s="5"/>
    </row>
    <row r="4397" spans="12:18" x14ac:dyDescent="0.35">
      <c r="L4397" s="71"/>
      <c r="R4397" s="5"/>
    </row>
    <row r="4398" spans="12:18" x14ac:dyDescent="0.35">
      <c r="L4398" s="71"/>
      <c r="R4398" s="5"/>
    </row>
    <row r="4399" spans="12:18" x14ac:dyDescent="0.35">
      <c r="L4399" s="71"/>
      <c r="R4399" s="5"/>
    </row>
    <row r="4400" spans="12:18" x14ac:dyDescent="0.35">
      <c r="L4400" s="71"/>
      <c r="R4400" s="5"/>
    </row>
    <row r="4401" spans="12:18" x14ac:dyDescent="0.35">
      <c r="L4401" s="71"/>
      <c r="R4401" s="5"/>
    </row>
    <row r="4402" spans="12:18" x14ac:dyDescent="0.35">
      <c r="L4402" s="71"/>
      <c r="R4402" s="5"/>
    </row>
    <row r="4403" spans="12:18" x14ac:dyDescent="0.35">
      <c r="L4403" s="71"/>
      <c r="R4403" s="5"/>
    </row>
    <row r="4404" spans="12:18" x14ac:dyDescent="0.35">
      <c r="L4404" s="71"/>
      <c r="R4404" s="5"/>
    </row>
    <row r="4405" spans="12:18" x14ac:dyDescent="0.35">
      <c r="L4405" s="71"/>
      <c r="R4405" s="5"/>
    </row>
    <row r="4406" spans="12:18" x14ac:dyDescent="0.35">
      <c r="L4406" s="71"/>
      <c r="R4406" s="5"/>
    </row>
    <row r="4407" spans="12:18" x14ac:dyDescent="0.35">
      <c r="L4407" s="71"/>
      <c r="R4407" s="5"/>
    </row>
    <row r="4408" spans="12:18" x14ac:dyDescent="0.35">
      <c r="L4408" s="71"/>
      <c r="R4408" s="5"/>
    </row>
    <row r="4409" spans="12:18" x14ac:dyDescent="0.35">
      <c r="L4409" s="71"/>
      <c r="R4409" s="5"/>
    </row>
    <row r="4410" spans="12:18" x14ac:dyDescent="0.35">
      <c r="L4410" s="71"/>
      <c r="R4410" s="5"/>
    </row>
    <row r="4411" spans="12:18" x14ac:dyDescent="0.35">
      <c r="L4411" s="71"/>
      <c r="R4411" s="5"/>
    </row>
    <row r="4412" spans="12:18" x14ac:dyDescent="0.35">
      <c r="L4412" s="71"/>
      <c r="R4412" s="5"/>
    </row>
    <row r="4413" spans="12:18" x14ac:dyDescent="0.35">
      <c r="L4413" s="71"/>
      <c r="R4413" s="5"/>
    </row>
    <row r="4414" spans="12:18" x14ac:dyDescent="0.35">
      <c r="L4414" s="71"/>
      <c r="R4414" s="5"/>
    </row>
    <row r="4415" spans="12:18" x14ac:dyDescent="0.35">
      <c r="L4415" s="71"/>
      <c r="R4415" s="5"/>
    </row>
    <row r="4416" spans="12:18" x14ac:dyDescent="0.35">
      <c r="L4416" s="71"/>
      <c r="R4416" s="5"/>
    </row>
    <row r="4417" spans="12:18" x14ac:dyDescent="0.35">
      <c r="L4417" s="71"/>
      <c r="R4417" s="5"/>
    </row>
    <row r="4418" spans="12:18" x14ac:dyDescent="0.35">
      <c r="L4418" s="71"/>
      <c r="R4418" s="5"/>
    </row>
    <row r="4419" spans="12:18" x14ac:dyDescent="0.35">
      <c r="L4419" s="71"/>
      <c r="R4419" s="5"/>
    </row>
    <row r="4420" spans="12:18" x14ac:dyDescent="0.35">
      <c r="L4420" s="71"/>
      <c r="R4420" s="5"/>
    </row>
    <row r="4421" spans="12:18" x14ac:dyDescent="0.35">
      <c r="L4421" s="71"/>
      <c r="R4421" s="5"/>
    </row>
    <row r="4422" spans="12:18" x14ac:dyDescent="0.35">
      <c r="L4422" s="71"/>
      <c r="R4422" s="5"/>
    </row>
    <row r="4423" spans="12:18" x14ac:dyDescent="0.35">
      <c r="L4423" s="71"/>
      <c r="R4423" s="5"/>
    </row>
    <row r="4424" spans="12:18" x14ac:dyDescent="0.35">
      <c r="L4424" s="71"/>
      <c r="R4424" s="5"/>
    </row>
    <row r="4425" spans="12:18" x14ac:dyDescent="0.35">
      <c r="L4425" s="71"/>
      <c r="R4425" s="5"/>
    </row>
    <row r="4426" spans="12:18" x14ac:dyDescent="0.35">
      <c r="L4426" s="71"/>
      <c r="R4426" s="5"/>
    </row>
    <row r="4427" spans="12:18" x14ac:dyDescent="0.35">
      <c r="L4427" s="71"/>
      <c r="R4427" s="5"/>
    </row>
    <row r="4428" spans="12:18" x14ac:dyDescent="0.35">
      <c r="L4428" s="71"/>
      <c r="R4428" s="5"/>
    </row>
    <row r="4429" spans="12:18" x14ac:dyDescent="0.35">
      <c r="L4429" s="71"/>
      <c r="R4429" s="5"/>
    </row>
    <row r="4430" spans="12:18" x14ac:dyDescent="0.35">
      <c r="L4430" s="71"/>
      <c r="R4430" s="5"/>
    </row>
    <row r="4431" spans="12:18" x14ac:dyDescent="0.35">
      <c r="L4431" s="71"/>
      <c r="R4431" s="5"/>
    </row>
    <row r="4432" spans="12:18" x14ac:dyDescent="0.35">
      <c r="L4432" s="71"/>
      <c r="R4432" s="5"/>
    </row>
    <row r="4433" spans="12:18" x14ac:dyDescent="0.35">
      <c r="L4433" s="71"/>
      <c r="R4433" s="5"/>
    </row>
    <row r="4434" spans="12:18" x14ac:dyDescent="0.35">
      <c r="L4434" s="71"/>
      <c r="R4434" s="5"/>
    </row>
    <row r="4435" spans="12:18" x14ac:dyDescent="0.35">
      <c r="L4435" s="71"/>
      <c r="R4435" s="5"/>
    </row>
    <row r="4436" spans="12:18" x14ac:dyDescent="0.35">
      <c r="L4436" s="71"/>
      <c r="R4436" s="5"/>
    </row>
    <row r="4437" spans="12:18" x14ac:dyDescent="0.35">
      <c r="L4437" s="71"/>
      <c r="R4437" s="5"/>
    </row>
    <row r="4438" spans="12:18" x14ac:dyDescent="0.35">
      <c r="L4438" s="71"/>
      <c r="R4438" s="5"/>
    </row>
    <row r="4439" spans="12:18" x14ac:dyDescent="0.35">
      <c r="L4439" s="71"/>
      <c r="R4439" s="5"/>
    </row>
    <row r="4440" spans="12:18" x14ac:dyDescent="0.35">
      <c r="L4440" s="71"/>
      <c r="R4440" s="5"/>
    </row>
    <row r="4441" spans="12:18" x14ac:dyDescent="0.35">
      <c r="L4441" s="71"/>
      <c r="R4441" s="5"/>
    </row>
    <row r="4442" spans="12:18" x14ac:dyDescent="0.35">
      <c r="L4442" s="71"/>
      <c r="R4442" s="5"/>
    </row>
    <row r="4443" spans="12:18" x14ac:dyDescent="0.35">
      <c r="L4443" s="71"/>
      <c r="R4443" s="5"/>
    </row>
    <row r="4444" spans="12:18" x14ac:dyDescent="0.35">
      <c r="L4444" s="71"/>
      <c r="R4444" s="5"/>
    </row>
    <row r="4445" spans="12:18" x14ac:dyDescent="0.35">
      <c r="L4445" s="71"/>
      <c r="R4445" s="5"/>
    </row>
    <row r="4446" spans="12:18" x14ac:dyDescent="0.35">
      <c r="L4446" s="71"/>
      <c r="R4446" s="5"/>
    </row>
    <row r="4447" spans="12:18" x14ac:dyDescent="0.35">
      <c r="L4447" s="71"/>
      <c r="R4447" s="5"/>
    </row>
    <row r="4448" spans="12:18" x14ac:dyDescent="0.35">
      <c r="L4448" s="71"/>
      <c r="R4448" s="5"/>
    </row>
    <row r="4449" spans="12:18" x14ac:dyDescent="0.35">
      <c r="L4449" s="71"/>
      <c r="R4449" s="5"/>
    </row>
    <row r="4450" spans="12:18" x14ac:dyDescent="0.35">
      <c r="L4450" s="71"/>
      <c r="R4450" s="5"/>
    </row>
    <row r="4451" spans="12:18" x14ac:dyDescent="0.35">
      <c r="L4451" s="71"/>
      <c r="R4451" s="5"/>
    </row>
    <row r="4452" spans="12:18" x14ac:dyDescent="0.35">
      <c r="L4452" s="71"/>
      <c r="R4452" s="5"/>
    </row>
    <row r="4453" spans="12:18" x14ac:dyDescent="0.35">
      <c r="L4453" s="71"/>
      <c r="R4453" s="5"/>
    </row>
    <row r="4454" spans="12:18" x14ac:dyDescent="0.35">
      <c r="L4454" s="71"/>
      <c r="R4454" s="5"/>
    </row>
    <row r="4455" spans="12:18" x14ac:dyDescent="0.35">
      <c r="L4455" s="71"/>
      <c r="R4455" s="5"/>
    </row>
    <row r="4456" spans="12:18" x14ac:dyDescent="0.35">
      <c r="L4456" s="71"/>
      <c r="R4456" s="5"/>
    </row>
    <row r="4457" spans="12:18" x14ac:dyDescent="0.35">
      <c r="L4457" s="71"/>
      <c r="R4457" s="5"/>
    </row>
    <row r="4458" spans="12:18" x14ac:dyDescent="0.35">
      <c r="L4458" s="71"/>
      <c r="R4458" s="5"/>
    </row>
    <row r="4459" spans="12:18" x14ac:dyDescent="0.35">
      <c r="L4459" s="71"/>
      <c r="R4459" s="5"/>
    </row>
    <row r="4460" spans="12:18" x14ac:dyDescent="0.35">
      <c r="L4460" s="71"/>
      <c r="R4460" s="5"/>
    </row>
    <row r="4461" spans="12:18" x14ac:dyDescent="0.35">
      <c r="L4461" s="71"/>
      <c r="R4461" s="5"/>
    </row>
    <row r="4462" spans="12:18" x14ac:dyDescent="0.35">
      <c r="L4462" s="71"/>
      <c r="R4462" s="5"/>
    </row>
    <row r="4463" spans="12:18" x14ac:dyDescent="0.35">
      <c r="L4463" s="71"/>
      <c r="R4463" s="5"/>
    </row>
    <row r="4464" spans="12:18" x14ac:dyDescent="0.35">
      <c r="L4464" s="71"/>
      <c r="R4464" s="5"/>
    </row>
    <row r="4465" spans="12:18" x14ac:dyDescent="0.35">
      <c r="L4465" s="71"/>
      <c r="R4465" s="5"/>
    </row>
    <row r="4466" spans="12:18" x14ac:dyDescent="0.35">
      <c r="L4466" s="71"/>
      <c r="R4466" s="5"/>
    </row>
    <row r="4467" spans="12:18" x14ac:dyDescent="0.35">
      <c r="L4467" s="71"/>
      <c r="R4467" s="5"/>
    </row>
    <row r="4468" spans="12:18" x14ac:dyDescent="0.35">
      <c r="L4468" s="71"/>
      <c r="R4468" s="5"/>
    </row>
    <row r="4469" spans="12:18" x14ac:dyDescent="0.35">
      <c r="L4469" s="71"/>
      <c r="R4469" s="5"/>
    </row>
    <row r="4470" spans="12:18" x14ac:dyDescent="0.35">
      <c r="L4470" s="71"/>
      <c r="R4470" s="5"/>
    </row>
    <row r="4471" spans="12:18" x14ac:dyDescent="0.35">
      <c r="L4471" s="71"/>
      <c r="R4471" s="5"/>
    </row>
    <row r="4472" spans="12:18" x14ac:dyDescent="0.35">
      <c r="L4472" s="71"/>
      <c r="R4472" s="5"/>
    </row>
    <row r="4473" spans="12:18" x14ac:dyDescent="0.35">
      <c r="L4473" s="71"/>
      <c r="R4473" s="5"/>
    </row>
    <row r="4474" spans="12:18" x14ac:dyDescent="0.35">
      <c r="L4474" s="71"/>
      <c r="R4474" s="5"/>
    </row>
    <row r="4475" spans="12:18" x14ac:dyDescent="0.35">
      <c r="L4475" s="71"/>
      <c r="R4475" s="5"/>
    </row>
    <row r="4476" spans="12:18" x14ac:dyDescent="0.35">
      <c r="L4476" s="71"/>
      <c r="R4476" s="5"/>
    </row>
    <row r="4477" spans="12:18" x14ac:dyDescent="0.35">
      <c r="L4477" s="71"/>
      <c r="R4477" s="5"/>
    </row>
    <row r="4478" spans="12:18" x14ac:dyDescent="0.35">
      <c r="L4478" s="71"/>
      <c r="R4478" s="5"/>
    </row>
    <row r="4479" spans="12:18" x14ac:dyDescent="0.35">
      <c r="L4479" s="71"/>
      <c r="R4479" s="5"/>
    </row>
    <row r="4480" spans="12:18" x14ac:dyDescent="0.35">
      <c r="L4480" s="71"/>
      <c r="R4480" s="5"/>
    </row>
    <row r="4481" spans="12:18" x14ac:dyDescent="0.35">
      <c r="L4481" s="71"/>
      <c r="R4481" s="5"/>
    </row>
    <row r="4482" spans="12:18" x14ac:dyDescent="0.35">
      <c r="L4482" s="71"/>
      <c r="R4482" s="5"/>
    </row>
    <row r="4483" spans="12:18" x14ac:dyDescent="0.35">
      <c r="L4483" s="71"/>
      <c r="R4483" s="5"/>
    </row>
    <row r="4484" spans="12:18" x14ac:dyDescent="0.35">
      <c r="L4484" s="71"/>
      <c r="R4484" s="5"/>
    </row>
    <row r="4485" spans="12:18" x14ac:dyDescent="0.35">
      <c r="L4485" s="71"/>
      <c r="R4485" s="5"/>
    </row>
    <row r="4486" spans="12:18" x14ac:dyDescent="0.35">
      <c r="L4486" s="71"/>
      <c r="R4486" s="5"/>
    </row>
    <row r="4487" spans="12:18" x14ac:dyDescent="0.35">
      <c r="L4487" s="71"/>
      <c r="R4487" s="5"/>
    </row>
    <row r="4488" spans="12:18" x14ac:dyDescent="0.35">
      <c r="L4488" s="71"/>
      <c r="R4488" s="5"/>
    </row>
    <row r="4489" spans="12:18" x14ac:dyDescent="0.35">
      <c r="L4489" s="71"/>
      <c r="R4489" s="5"/>
    </row>
    <row r="4490" spans="12:18" x14ac:dyDescent="0.35">
      <c r="L4490" s="71"/>
      <c r="R4490" s="5"/>
    </row>
    <row r="4491" spans="12:18" x14ac:dyDescent="0.35">
      <c r="L4491" s="71"/>
      <c r="R4491" s="5"/>
    </row>
    <row r="4492" spans="12:18" x14ac:dyDescent="0.35">
      <c r="L4492" s="71"/>
      <c r="R4492" s="5"/>
    </row>
    <row r="4493" spans="12:18" x14ac:dyDescent="0.35">
      <c r="L4493" s="71"/>
      <c r="R4493" s="5"/>
    </row>
    <row r="4494" spans="12:18" x14ac:dyDescent="0.35">
      <c r="L4494" s="71"/>
      <c r="R4494" s="5"/>
    </row>
    <row r="4495" spans="12:18" x14ac:dyDescent="0.35">
      <c r="L4495" s="71"/>
      <c r="R4495" s="5"/>
    </row>
    <row r="4496" spans="12:18" x14ac:dyDescent="0.35">
      <c r="L4496" s="71"/>
      <c r="R4496" s="5"/>
    </row>
    <row r="4497" spans="12:18" x14ac:dyDescent="0.35">
      <c r="L4497" s="71"/>
      <c r="R4497" s="5"/>
    </row>
    <row r="4498" spans="12:18" x14ac:dyDescent="0.35">
      <c r="L4498" s="71"/>
      <c r="R4498" s="5"/>
    </row>
    <row r="4499" spans="12:18" x14ac:dyDescent="0.35">
      <c r="L4499" s="71"/>
      <c r="R4499" s="5"/>
    </row>
    <row r="4500" spans="12:18" x14ac:dyDescent="0.35">
      <c r="L4500" s="71"/>
      <c r="R4500" s="5"/>
    </row>
    <row r="4501" spans="12:18" x14ac:dyDescent="0.35">
      <c r="L4501" s="71"/>
      <c r="R4501" s="5"/>
    </row>
    <row r="4502" spans="12:18" x14ac:dyDescent="0.35">
      <c r="L4502" s="71"/>
      <c r="R4502" s="5"/>
    </row>
    <row r="4503" spans="12:18" x14ac:dyDescent="0.35">
      <c r="L4503" s="71"/>
      <c r="R4503" s="5"/>
    </row>
    <row r="4504" spans="12:18" x14ac:dyDescent="0.35">
      <c r="L4504" s="71"/>
      <c r="R4504" s="5"/>
    </row>
    <row r="4505" spans="12:18" x14ac:dyDescent="0.35">
      <c r="L4505" s="71"/>
      <c r="R4505" s="5"/>
    </row>
    <row r="4506" spans="12:18" x14ac:dyDescent="0.35">
      <c r="L4506" s="71"/>
      <c r="R4506" s="5"/>
    </row>
    <row r="4507" spans="12:18" x14ac:dyDescent="0.35">
      <c r="L4507" s="71"/>
      <c r="R4507" s="5"/>
    </row>
    <row r="4508" spans="12:18" x14ac:dyDescent="0.35">
      <c r="L4508" s="71"/>
      <c r="R4508" s="5"/>
    </row>
    <row r="4509" spans="12:18" x14ac:dyDescent="0.35">
      <c r="L4509" s="71"/>
      <c r="R4509" s="5"/>
    </row>
    <row r="4510" spans="12:18" x14ac:dyDescent="0.35">
      <c r="L4510" s="71"/>
      <c r="R4510" s="5"/>
    </row>
    <row r="4511" spans="12:18" x14ac:dyDescent="0.35">
      <c r="L4511" s="71"/>
      <c r="R4511" s="5"/>
    </row>
    <row r="4512" spans="12:18" x14ac:dyDescent="0.35">
      <c r="L4512" s="71"/>
      <c r="R4512" s="5"/>
    </row>
    <row r="4513" spans="12:18" x14ac:dyDescent="0.35">
      <c r="L4513" s="71"/>
      <c r="R4513" s="5"/>
    </row>
    <row r="4514" spans="12:18" x14ac:dyDescent="0.35">
      <c r="L4514" s="71"/>
      <c r="R4514" s="5"/>
    </row>
    <row r="4515" spans="12:18" x14ac:dyDescent="0.35">
      <c r="L4515" s="71"/>
      <c r="R4515" s="5"/>
    </row>
    <row r="4516" spans="12:18" x14ac:dyDescent="0.35">
      <c r="L4516" s="71"/>
      <c r="R4516" s="5"/>
    </row>
    <row r="4517" spans="12:18" x14ac:dyDescent="0.35">
      <c r="L4517" s="71"/>
      <c r="R4517" s="5"/>
    </row>
    <row r="4518" spans="12:18" x14ac:dyDescent="0.35">
      <c r="L4518" s="71"/>
      <c r="R4518" s="5"/>
    </row>
    <row r="4519" spans="12:18" x14ac:dyDescent="0.35">
      <c r="L4519" s="71"/>
      <c r="R4519" s="5"/>
    </row>
    <row r="4520" spans="12:18" x14ac:dyDescent="0.35">
      <c r="L4520" s="71"/>
      <c r="R4520" s="5"/>
    </row>
    <row r="4521" spans="12:18" x14ac:dyDescent="0.35">
      <c r="L4521" s="71"/>
      <c r="R4521" s="5"/>
    </row>
    <row r="4522" spans="12:18" x14ac:dyDescent="0.35">
      <c r="L4522" s="71"/>
      <c r="R4522" s="5"/>
    </row>
    <row r="4523" spans="12:18" x14ac:dyDescent="0.35">
      <c r="L4523" s="71"/>
      <c r="R4523" s="5"/>
    </row>
    <row r="4524" spans="12:18" x14ac:dyDescent="0.35">
      <c r="L4524" s="71"/>
      <c r="R4524" s="5"/>
    </row>
    <row r="4525" spans="12:18" x14ac:dyDescent="0.35">
      <c r="L4525" s="71"/>
      <c r="R4525" s="5"/>
    </row>
    <row r="4526" spans="12:18" x14ac:dyDescent="0.35">
      <c r="L4526" s="71"/>
      <c r="R4526" s="5"/>
    </row>
    <row r="4527" spans="12:18" x14ac:dyDescent="0.35">
      <c r="L4527" s="71"/>
      <c r="R4527" s="5"/>
    </row>
    <row r="4528" spans="12:18" x14ac:dyDescent="0.35">
      <c r="L4528" s="71"/>
      <c r="R4528" s="5"/>
    </row>
    <row r="4529" spans="12:18" x14ac:dyDescent="0.35">
      <c r="L4529" s="71"/>
      <c r="R4529" s="5"/>
    </row>
    <row r="4530" spans="12:18" x14ac:dyDescent="0.35">
      <c r="L4530" s="71"/>
      <c r="R4530" s="5"/>
    </row>
    <row r="4531" spans="12:18" x14ac:dyDescent="0.35">
      <c r="L4531" s="71"/>
      <c r="R4531" s="5"/>
    </row>
    <row r="4532" spans="12:18" x14ac:dyDescent="0.35">
      <c r="L4532" s="71"/>
      <c r="R4532" s="5"/>
    </row>
    <row r="4533" spans="12:18" x14ac:dyDescent="0.35">
      <c r="L4533" s="71"/>
      <c r="R4533" s="5"/>
    </row>
    <row r="4534" spans="12:18" x14ac:dyDescent="0.35">
      <c r="L4534" s="71"/>
      <c r="R4534" s="5"/>
    </row>
    <row r="4535" spans="12:18" x14ac:dyDescent="0.35">
      <c r="L4535" s="71"/>
      <c r="R4535" s="5"/>
    </row>
    <row r="4536" spans="12:18" x14ac:dyDescent="0.35">
      <c r="L4536" s="71"/>
      <c r="R4536" s="5"/>
    </row>
    <row r="4537" spans="12:18" x14ac:dyDescent="0.35">
      <c r="L4537" s="71"/>
      <c r="R4537" s="5"/>
    </row>
    <row r="4538" spans="12:18" x14ac:dyDescent="0.35">
      <c r="L4538" s="71"/>
      <c r="R4538" s="5"/>
    </row>
    <row r="4539" spans="12:18" x14ac:dyDescent="0.35">
      <c r="L4539" s="71"/>
      <c r="R4539" s="5"/>
    </row>
    <row r="4540" spans="12:18" x14ac:dyDescent="0.35">
      <c r="L4540" s="71"/>
      <c r="R4540" s="5"/>
    </row>
    <row r="4541" spans="12:18" x14ac:dyDescent="0.35">
      <c r="L4541" s="71"/>
      <c r="R4541" s="5"/>
    </row>
    <row r="4542" spans="12:18" x14ac:dyDescent="0.35">
      <c r="L4542" s="71"/>
      <c r="R4542" s="5"/>
    </row>
    <row r="4543" spans="12:18" x14ac:dyDescent="0.35">
      <c r="L4543" s="71"/>
      <c r="R4543" s="5"/>
    </row>
    <row r="4544" spans="12:18" x14ac:dyDescent="0.35">
      <c r="L4544" s="71"/>
      <c r="R4544" s="5"/>
    </row>
    <row r="4545" spans="12:18" x14ac:dyDescent="0.35">
      <c r="L4545" s="71"/>
      <c r="R4545" s="5"/>
    </row>
    <row r="4546" spans="12:18" x14ac:dyDescent="0.35">
      <c r="L4546" s="71"/>
      <c r="R4546" s="5"/>
    </row>
    <row r="4547" spans="12:18" x14ac:dyDescent="0.35">
      <c r="L4547" s="71"/>
      <c r="R4547" s="5"/>
    </row>
    <row r="4548" spans="12:18" x14ac:dyDescent="0.35">
      <c r="L4548" s="71"/>
      <c r="R4548" s="5"/>
    </row>
    <row r="4549" spans="12:18" x14ac:dyDescent="0.35">
      <c r="L4549" s="71"/>
      <c r="R4549" s="5"/>
    </row>
    <row r="4550" spans="12:18" x14ac:dyDescent="0.35">
      <c r="L4550" s="71"/>
      <c r="R4550" s="5"/>
    </row>
    <row r="4551" spans="12:18" x14ac:dyDescent="0.35">
      <c r="L4551" s="71"/>
      <c r="R4551" s="5"/>
    </row>
    <row r="4552" spans="12:18" x14ac:dyDescent="0.35">
      <c r="L4552" s="71"/>
      <c r="R4552" s="5"/>
    </row>
    <row r="4553" spans="12:18" x14ac:dyDescent="0.35">
      <c r="L4553" s="71"/>
      <c r="R4553" s="5"/>
    </row>
    <row r="4554" spans="12:18" x14ac:dyDescent="0.35">
      <c r="L4554" s="71"/>
      <c r="R4554" s="5"/>
    </row>
    <row r="4555" spans="12:18" x14ac:dyDescent="0.35">
      <c r="L4555" s="71"/>
      <c r="R4555" s="5"/>
    </row>
    <row r="4556" spans="12:18" x14ac:dyDescent="0.35">
      <c r="L4556" s="71"/>
      <c r="R4556" s="5"/>
    </row>
    <row r="4557" spans="12:18" x14ac:dyDescent="0.35">
      <c r="L4557" s="71"/>
      <c r="R4557" s="5"/>
    </row>
    <row r="4558" spans="12:18" x14ac:dyDescent="0.35">
      <c r="L4558" s="71"/>
      <c r="R4558" s="5"/>
    </row>
    <row r="4559" spans="12:18" x14ac:dyDescent="0.35">
      <c r="L4559" s="71"/>
      <c r="R4559" s="5"/>
    </row>
    <row r="4560" spans="12:18" x14ac:dyDescent="0.35">
      <c r="L4560" s="71"/>
      <c r="R4560" s="5"/>
    </row>
    <row r="4561" spans="12:18" x14ac:dyDescent="0.35">
      <c r="L4561" s="71"/>
      <c r="R4561" s="5"/>
    </row>
    <row r="4562" spans="12:18" x14ac:dyDescent="0.35">
      <c r="L4562" s="71"/>
      <c r="R4562" s="5"/>
    </row>
    <row r="4563" spans="12:18" x14ac:dyDescent="0.35">
      <c r="L4563" s="71"/>
      <c r="R4563" s="5"/>
    </row>
    <row r="4564" spans="12:18" x14ac:dyDescent="0.35">
      <c r="L4564" s="71"/>
      <c r="R4564" s="5"/>
    </row>
    <row r="4565" spans="12:18" x14ac:dyDescent="0.35">
      <c r="L4565" s="71"/>
      <c r="R4565" s="5"/>
    </row>
    <row r="4566" spans="12:18" x14ac:dyDescent="0.35">
      <c r="L4566" s="71"/>
      <c r="R4566" s="5"/>
    </row>
    <row r="4567" spans="12:18" x14ac:dyDescent="0.35">
      <c r="L4567" s="71"/>
      <c r="R4567" s="5"/>
    </row>
    <row r="4568" spans="12:18" x14ac:dyDescent="0.35">
      <c r="L4568" s="71"/>
      <c r="R4568" s="5"/>
    </row>
    <row r="4569" spans="12:18" x14ac:dyDescent="0.35">
      <c r="L4569" s="71"/>
      <c r="R4569" s="5"/>
    </row>
    <row r="4570" spans="12:18" x14ac:dyDescent="0.35">
      <c r="L4570" s="71"/>
      <c r="R4570" s="5"/>
    </row>
    <row r="4571" spans="12:18" x14ac:dyDescent="0.35">
      <c r="L4571" s="71"/>
      <c r="R4571" s="5"/>
    </row>
    <row r="4572" spans="12:18" x14ac:dyDescent="0.35">
      <c r="L4572" s="71"/>
      <c r="R4572" s="5"/>
    </row>
    <row r="4573" spans="12:18" x14ac:dyDescent="0.35">
      <c r="L4573" s="71"/>
      <c r="R4573" s="5"/>
    </row>
    <row r="4574" spans="12:18" x14ac:dyDescent="0.35">
      <c r="L4574" s="71"/>
      <c r="R4574" s="5"/>
    </row>
    <row r="4575" spans="12:18" x14ac:dyDescent="0.35">
      <c r="L4575" s="71"/>
      <c r="R4575" s="5"/>
    </row>
    <row r="4576" spans="12:18" x14ac:dyDescent="0.35">
      <c r="L4576" s="71"/>
      <c r="R4576" s="5"/>
    </row>
    <row r="4577" spans="12:18" x14ac:dyDescent="0.35">
      <c r="L4577" s="71"/>
      <c r="R4577" s="5"/>
    </row>
    <row r="4578" spans="12:18" x14ac:dyDescent="0.35">
      <c r="L4578" s="71"/>
      <c r="R4578" s="5"/>
    </row>
    <row r="4579" spans="12:18" x14ac:dyDescent="0.35">
      <c r="L4579" s="71"/>
      <c r="R4579" s="5"/>
    </row>
    <row r="4580" spans="12:18" x14ac:dyDescent="0.35">
      <c r="L4580" s="71"/>
      <c r="R4580" s="5"/>
    </row>
    <row r="4581" spans="12:18" x14ac:dyDescent="0.35">
      <c r="L4581" s="71"/>
      <c r="R4581" s="5"/>
    </row>
    <row r="4582" spans="12:18" x14ac:dyDescent="0.35">
      <c r="L4582" s="71"/>
      <c r="R4582" s="5"/>
    </row>
    <row r="4583" spans="12:18" x14ac:dyDescent="0.35">
      <c r="L4583" s="71"/>
      <c r="R4583" s="5"/>
    </row>
    <row r="4584" spans="12:18" x14ac:dyDescent="0.35">
      <c r="L4584" s="71"/>
      <c r="R4584" s="5"/>
    </row>
    <row r="4585" spans="12:18" x14ac:dyDescent="0.35">
      <c r="L4585" s="71"/>
      <c r="R4585" s="5"/>
    </row>
    <row r="4586" spans="12:18" x14ac:dyDescent="0.35">
      <c r="L4586" s="71"/>
      <c r="R4586" s="5"/>
    </row>
    <row r="4587" spans="12:18" x14ac:dyDescent="0.35">
      <c r="L4587" s="71"/>
      <c r="R4587" s="5"/>
    </row>
    <row r="4588" spans="12:18" x14ac:dyDescent="0.35">
      <c r="L4588" s="71"/>
      <c r="R4588" s="5"/>
    </row>
    <row r="4589" spans="12:18" x14ac:dyDescent="0.35">
      <c r="L4589" s="71"/>
      <c r="R4589" s="5"/>
    </row>
    <row r="4590" spans="12:18" x14ac:dyDescent="0.35">
      <c r="L4590" s="71"/>
      <c r="R4590" s="5"/>
    </row>
    <row r="4591" spans="12:18" x14ac:dyDescent="0.35">
      <c r="L4591" s="71"/>
      <c r="R4591" s="5"/>
    </row>
    <row r="4592" spans="12:18" x14ac:dyDescent="0.35">
      <c r="L4592" s="71"/>
      <c r="R4592" s="5"/>
    </row>
    <row r="4593" spans="12:18" x14ac:dyDescent="0.35">
      <c r="L4593" s="71"/>
      <c r="R4593" s="5"/>
    </row>
    <row r="4594" spans="12:18" x14ac:dyDescent="0.35">
      <c r="L4594" s="71"/>
      <c r="R4594" s="5"/>
    </row>
    <row r="4595" spans="12:18" x14ac:dyDescent="0.35">
      <c r="L4595" s="71"/>
      <c r="R4595" s="5"/>
    </row>
    <row r="4596" spans="12:18" x14ac:dyDescent="0.35">
      <c r="L4596" s="71"/>
      <c r="R4596" s="5"/>
    </row>
    <row r="4597" spans="12:18" x14ac:dyDescent="0.35">
      <c r="L4597" s="71"/>
      <c r="R4597" s="5"/>
    </row>
    <row r="4598" spans="12:18" x14ac:dyDescent="0.35">
      <c r="L4598" s="71"/>
      <c r="R4598" s="5"/>
    </row>
    <row r="4599" spans="12:18" x14ac:dyDescent="0.35">
      <c r="L4599" s="71"/>
      <c r="R4599" s="5"/>
    </row>
    <row r="4600" spans="12:18" x14ac:dyDescent="0.35">
      <c r="L4600" s="71"/>
      <c r="R4600" s="5"/>
    </row>
    <row r="4601" spans="12:18" x14ac:dyDescent="0.35">
      <c r="L4601" s="71"/>
      <c r="R4601" s="5"/>
    </row>
    <row r="4602" spans="12:18" x14ac:dyDescent="0.35">
      <c r="L4602" s="71"/>
      <c r="R4602" s="5"/>
    </row>
    <row r="4603" spans="12:18" x14ac:dyDescent="0.35">
      <c r="L4603" s="71"/>
      <c r="R4603" s="5"/>
    </row>
    <row r="4604" spans="12:18" x14ac:dyDescent="0.35">
      <c r="L4604" s="71"/>
      <c r="R4604" s="5"/>
    </row>
    <row r="4605" spans="12:18" x14ac:dyDescent="0.35">
      <c r="L4605" s="71"/>
      <c r="R4605" s="5"/>
    </row>
    <row r="4606" spans="12:18" x14ac:dyDescent="0.35">
      <c r="L4606" s="71"/>
      <c r="R4606" s="5"/>
    </row>
    <row r="4607" spans="12:18" x14ac:dyDescent="0.35">
      <c r="L4607" s="71"/>
      <c r="R4607" s="5"/>
    </row>
    <row r="4608" spans="12:18" x14ac:dyDescent="0.35">
      <c r="L4608" s="71"/>
      <c r="R4608" s="5"/>
    </row>
    <row r="4609" spans="12:18" x14ac:dyDescent="0.35">
      <c r="L4609" s="71"/>
      <c r="R4609" s="5"/>
    </row>
    <row r="4610" spans="12:18" x14ac:dyDescent="0.35">
      <c r="L4610" s="71"/>
      <c r="R4610" s="5"/>
    </row>
    <row r="4611" spans="12:18" x14ac:dyDescent="0.35">
      <c r="L4611" s="71"/>
      <c r="R4611" s="5"/>
    </row>
    <row r="4612" spans="12:18" x14ac:dyDescent="0.35">
      <c r="L4612" s="71"/>
      <c r="R4612" s="5"/>
    </row>
    <row r="4613" spans="12:18" x14ac:dyDescent="0.35">
      <c r="L4613" s="71"/>
      <c r="R4613" s="5"/>
    </row>
    <row r="4614" spans="12:18" x14ac:dyDescent="0.35">
      <c r="L4614" s="71"/>
      <c r="R4614" s="5"/>
    </row>
    <row r="4615" spans="12:18" x14ac:dyDescent="0.35">
      <c r="L4615" s="71"/>
      <c r="R4615" s="5"/>
    </row>
    <row r="4616" spans="12:18" x14ac:dyDescent="0.35">
      <c r="L4616" s="71"/>
      <c r="R4616" s="5"/>
    </row>
    <row r="4617" spans="12:18" x14ac:dyDescent="0.35">
      <c r="L4617" s="71"/>
      <c r="R4617" s="5"/>
    </row>
    <row r="4618" spans="12:18" x14ac:dyDescent="0.35">
      <c r="L4618" s="71"/>
      <c r="R4618" s="5"/>
    </row>
    <row r="4619" spans="12:18" x14ac:dyDescent="0.35">
      <c r="L4619" s="71"/>
      <c r="R4619" s="5"/>
    </row>
    <row r="4620" spans="12:18" x14ac:dyDescent="0.35">
      <c r="L4620" s="71"/>
      <c r="R4620" s="5"/>
    </row>
    <row r="4621" spans="12:18" x14ac:dyDescent="0.35">
      <c r="L4621" s="71"/>
      <c r="R4621" s="5"/>
    </row>
    <row r="4622" spans="12:18" x14ac:dyDescent="0.35">
      <c r="L4622" s="71"/>
      <c r="R4622" s="5"/>
    </row>
    <row r="4623" spans="12:18" x14ac:dyDescent="0.35">
      <c r="L4623" s="71"/>
      <c r="R4623" s="5"/>
    </row>
    <row r="4624" spans="12:18" x14ac:dyDescent="0.35">
      <c r="L4624" s="71"/>
      <c r="R4624" s="5"/>
    </row>
    <row r="4625" spans="12:18" x14ac:dyDescent="0.35">
      <c r="L4625" s="71"/>
      <c r="R4625" s="5"/>
    </row>
    <row r="4626" spans="12:18" x14ac:dyDescent="0.35">
      <c r="L4626" s="71"/>
      <c r="R4626" s="5"/>
    </row>
    <row r="4627" spans="12:18" x14ac:dyDescent="0.35">
      <c r="L4627" s="71"/>
      <c r="R4627" s="5"/>
    </row>
    <row r="4628" spans="12:18" x14ac:dyDescent="0.35">
      <c r="L4628" s="71"/>
      <c r="R4628" s="5"/>
    </row>
    <row r="4629" spans="12:18" x14ac:dyDescent="0.35">
      <c r="L4629" s="71"/>
      <c r="R4629" s="5"/>
    </row>
    <row r="4630" spans="12:18" x14ac:dyDescent="0.35">
      <c r="L4630" s="71"/>
      <c r="R4630" s="5"/>
    </row>
    <row r="4631" spans="12:18" x14ac:dyDescent="0.35">
      <c r="L4631" s="71"/>
      <c r="R4631" s="5"/>
    </row>
    <row r="4632" spans="12:18" x14ac:dyDescent="0.35">
      <c r="L4632" s="71"/>
      <c r="R4632" s="5"/>
    </row>
    <row r="4633" spans="12:18" x14ac:dyDescent="0.35">
      <c r="L4633" s="71"/>
      <c r="R4633" s="5"/>
    </row>
    <row r="4634" spans="12:18" x14ac:dyDescent="0.35">
      <c r="L4634" s="71"/>
      <c r="R4634" s="5"/>
    </row>
    <row r="4635" spans="12:18" x14ac:dyDescent="0.35">
      <c r="L4635" s="71"/>
      <c r="R4635" s="5"/>
    </row>
    <row r="4636" spans="12:18" x14ac:dyDescent="0.35">
      <c r="L4636" s="71"/>
      <c r="R4636" s="5"/>
    </row>
    <row r="4637" spans="12:18" x14ac:dyDescent="0.35">
      <c r="L4637" s="71"/>
      <c r="R4637" s="5"/>
    </row>
    <row r="4638" spans="12:18" x14ac:dyDescent="0.35">
      <c r="L4638" s="71"/>
      <c r="R4638" s="5"/>
    </row>
    <row r="4639" spans="12:18" x14ac:dyDescent="0.35">
      <c r="L4639" s="71"/>
      <c r="R4639" s="5"/>
    </row>
    <row r="4640" spans="12:18" x14ac:dyDescent="0.35">
      <c r="L4640" s="71"/>
      <c r="R4640" s="5"/>
    </row>
    <row r="4641" spans="12:18" x14ac:dyDescent="0.35">
      <c r="L4641" s="71"/>
      <c r="R4641" s="5"/>
    </row>
    <row r="4642" spans="12:18" x14ac:dyDescent="0.35">
      <c r="L4642" s="71"/>
      <c r="R4642" s="5"/>
    </row>
    <row r="4643" spans="12:18" x14ac:dyDescent="0.35">
      <c r="L4643" s="71"/>
      <c r="R4643" s="5"/>
    </row>
    <row r="4644" spans="12:18" x14ac:dyDescent="0.35">
      <c r="L4644" s="71"/>
      <c r="R4644" s="5"/>
    </row>
    <row r="4645" spans="12:18" x14ac:dyDescent="0.35">
      <c r="L4645" s="71"/>
      <c r="R4645" s="5"/>
    </row>
    <row r="4646" spans="12:18" x14ac:dyDescent="0.35">
      <c r="L4646" s="71"/>
      <c r="R4646" s="5"/>
    </row>
    <row r="4647" spans="12:18" x14ac:dyDescent="0.35">
      <c r="L4647" s="71"/>
      <c r="R4647" s="5"/>
    </row>
    <row r="4648" spans="12:18" x14ac:dyDescent="0.35">
      <c r="L4648" s="71"/>
      <c r="R4648" s="5"/>
    </row>
    <row r="4649" spans="12:18" x14ac:dyDescent="0.35">
      <c r="L4649" s="71"/>
      <c r="R4649" s="5"/>
    </row>
    <row r="4650" spans="12:18" x14ac:dyDescent="0.35">
      <c r="L4650" s="71"/>
      <c r="R4650" s="5"/>
    </row>
    <row r="4651" spans="12:18" x14ac:dyDescent="0.35">
      <c r="L4651" s="71"/>
      <c r="R4651" s="5"/>
    </row>
    <row r="4652" spans="12:18" x14ac:dyDescent="0.35">
      <c r="L4652" s="71"/>
      <c r="R4652" s="5"/>
    </row>
    <row r="4653" spans="12:18" x14ac:dyDescent="0.35">
      <c r="L4653" s="71"/>
      <c r="R4653" s="5"/>
    </row>
    <row r="4654" spans="12:18" x14ac:dyDescent="0.35">
      <c r="L4654" s="71"/>
      <c r="R4654" s="5"/>
    </row>
    <row r="4655" spans="12:18" x14ac:dyDescent="0.35">
      <c r="L4655" s="71"/>
      <c r="R4655" s="5"/>
    </row>
    <row r="4656" spans="12:18" x14ac:dyDescent="0.35">
      <c r="L4656" s="71"/>
      <c r="R4656" s="5"/>
    </row>
    <row r="4657" spans="12:18" x14ac:dyDescent="0.35">
      <c r="L4657" s="71"/>
      <c r="R4657" s="5"/>
    </row>
    <row r="4658" spans="12:18" x14ac:dyDescent="0.35">
      <c r="L4658" s="71"/>
      <c r="R4658" s="5"/>
    </row>
    <row r="4659" spans="12:18" x14ac:dyDescent="0.35">
      <c r="L4659" s="71"/>
      <c r="R4659" s="5"/>
    </row>
    <row r="4660" spans="12:18" x14ac:dyDescent="0.35">
      <c r="L4660" s="71"/>
      <c r="R4660" s="5"/>
    </row>
    <row r="4661" spans="12:18" x14ac:dyDescent="0.35">
      <c r="L4661" s="71"/>
      <c r="R4661" s="5"/>
    </row>
    <row r="4662" spans="12:18" x14ac:dyDescent="0.35">
      <c r="L4662" s="71"/>
      <c r="R4662" s="5"/>
    </row>
    <row r="4663" spans="12:18" x14ac:dyDescent="0.35">
      <c r="L4663" s="71"/>
      <c r="R4663" s="5"/>
    </row>
    <row r="4664" spans="12:18" x14ac:dyDescent="0.35">
      <c r="L4664" s="71"/>
      <c r="R4664" s="5"/>
    </row>
    <row r="4665" spans="12:18" x14ac:dyDescent="0.35">
      <c r="L4665" s="71"/>
      <c r="R4665" s="5"/>
    </row>
    <row r="4666" spans="12:18" x14ac:dyDescent="0.35">
      <c r="L4666" s="71"/>
      <c r="R4666" s="5"/>
    </row>
    <row r="4667" spans="12:18" x14ac:dyDescent="0.35">
      <c r="L4667" s="71"/>
      <c r="R4667" s="5"/>
    </row>
    <row r="4668" spans="12:18" x14ac:dyDescent="0.35">
      <c r="L4668" s="71"/>
      <c r="R4668" s="5"/>
    </row>
    <row r="4669" spans="12:18" x14ac:dyDescent="0.35">
      <c r="L4669" s="71"/>
      <c r="R4669" s="5"/>
    </row>
    <row r="4670" spans="12:18" x14ac:dyDescent="0.35">
      <c r="L4670" s="71"/>
      <c r="R4670" s="5"/>
    </row>
    <row r="4671" spans="12:18" x14ac:dyDescent="0.35">
      <c r="L4671" s="71"/>
      <c r="R4671" s="5"/>
    </row>
    <row r="4672" spans="12:18" x14ac:dyDescent="0.35">
      <c r="L4672" s="71"/>
      <c r="R4672" s="5"/>
    </row>
    <row r="4673" spans="12:18" x14ac:dyDescent="0.35">
      <c r="L4673" s="71"/>
      <c r="R4673" s="5"/>
    </row>
    <row r="4674" spans="12:18" x14ac:dyDescent="0.35">
      <c r="L4674" s="71"/>
      <c r="R4674" s="5"/>
    </row>
    <row r="4675" spans="12:18" x14ac:dyDescent="0.35">
      <c r="L4675" s="71"/>
      <c r="R4675" s="5"/>
    </row>
    <row r="4676" spans="12:18" x14ac:dyDescent="0.35">
      <c r="L4676" s="71"/>
      <c r="R4676" s="5"/>
    </row>
    <row r="4677" spans="12:18" x14ac:dyDescent="0.35">
      <c r="L4677" s="71"/>
      <c r="R4677" s="5"/>
    </row>
    <row r="4678" spans="12:18" x14ac:dyDescent="0.35">
      <c r="L4678" s="71"/>
      <c r="R4678" s="5"/>
    </row>
    <row r="4679" spans="12:18" x14ac:dyDescent="0.35">
      <c r="L4679" s="71"/>
      <c r="R4679" s="5"/>
    </row>
    <row r="4680" spans="12:18" x14ac:dyDescent="0.35">
      <c r="L4680" s="71"/>
      <c r="R4680" s="5"/>
    </row>
    <row r="4681" spans="12:18" x14ac:dyDescent="0.35">
      <c r="L4681" s="71"/>
      <c r="R4681" s="5"/>
    </row>
    <row r="4682" spans="12:18" x14ac:dyDescent="0.35">
      <c r="L4682" s="71"/>
      <c r="R4682" s="5"/>
    </row>
    <row r="4683" spans="12:18" x14ac:dyDescent="0.35">
      <c r="L4683" s="71"/>
      <c r="R4683" s="5"/>
    </row>
    <row r="4684" spans="12:18" x14ac:dyDescent="0.35">
      <c r="L4684" s="71"/>
      <c r="R4684" s="5"/>
    </row>
    <row r="4685" spans="12:18" x14ac:dyDescent="0.35">
      <c r="L4685" s="71"/>
      <c r="R4685" s="5"/>
    </row>
    <row r="4686" spans="12:18" x14ac:dyDescent="0.35">
      <c r="L4686" s="71"/>
      <c r="R4686" s="5"/>
    </row>
    <row r="4687" spans="12:18" x14ac:dyDescent="0.35">
      <c r="L4687" s="71"/>
      <c r="R4687" s="5"/>
    </row>
    <row r="4688" spans="12:18" x14ac:dyDescent="0.35">
      <c r="L4688" s="71"/>
      <c r="R4688" s="5"/>
    </row>
    <row r="4689" spans="12:18" x14ac:dyDescent="0.35">
      <c r="L4689" s="71"/>
      <c r="R4689" s="5"/>
    </row>
    <row r="4690" spans="12:18" x14ac:dyDescent="0.35">
      <c r="L4690" s="71"/>
      <c r="R4690" s="5"/>
    </row>
    <row r="4691" spans="12:18" x14ac:dyDescent="0.35">
      <c r="L4691" s="71"/>
      <c r="R4691" s="5"/>
    </row>
    <row r="4692" spans="12:18" x14ac:dyDescent="0.35">
      <c r="L4692" s="71"/>
      <c r="R4692" s="5"/>
    </row>
    <row r="4693" spans="12:18" x14ac:dyDescent="0.35">
      <c r="L4693" s="71"/>
      <c r="R4693" s="5"/>
    </row>
    <row r="4694" spans="12:18" x14ac:dyDescent="0.35">
      <c r="L4694" s="71"/>
      <c r="R4694" s="5"/>
    </row>
    <row r="4695" spans="12:18" x14ac:dyDescent="0.35">
      <c r="L4695" s="71"/>
      <c r="R4695" s="5"/>
    </row>
    <row r="4696" spans="12:18" x14ac:dyDescent="0.35">
      <c r="L4696" s="71"/>
      <c r="R4696" s="5"/>
    </row>
    <row r="4697" spans="12:18" x14ac:dyDescent="0.35">
      <c r="L4697" s="71"/>
      <c r="R4697" s="5"/>
    </row>
    <row r="4698" spans="12:18" x14ac:dyDescent="0.35">
      <c r="L4698" s="71"/>
      <c r="R4698" s="5"/>
    </row>
    <row r="4699" spans="12:18" x14ac:dyDescent="0.35">
      <c r="L4699" s="71"/>
      <c r="R4699" s="5"/>
    </row>
    <row r="4700" spans="12:18" x14ac:dyDescent="0.35">
      <c r="L4700" s="71"/>
      <c r="R4700" s="5"/>
    </row>
    <row r="4701" spans="12:18" x14ac:dyDescent="0.35">
      <c r="L4701" s="71"/>
      <c r="R4701" s="5"/>
    </row>
    <row r="4702" spans="12:18" x14ac:dyDescent="0.35">
      <c r="L4702" s="71"/>
      <c r="R4702" s="5"/>
    </row>
    <row r="4703" spans="12:18" x14ac:dyDescent="0.35">
      <c r="L4703" s="71"/>
      <c r="R4703" s="5"/>
    </row>
    <row r="4704" spans="12:18" x14ac:dyDescent="0.35">
      <c r="L4704" s="71"/>
      <c r="R4704" s="5"/>
    </row>
    <row r="4705" spans="12:18" x14ac:dyDescent="0.35">
      <c r="L4705" s="71"/>
      <c r="R4705" s="5"/>
    </row>
    <row r="4706" spans="12:18" x14ac:dyDescent="0.35">
      <c r="L4706" s="71"/>
      <c r="R4706" s="5"/>
    </row>
    <row r="4707" spans="12:18" x14ac:dyDescent="0.35">
      <c r="L4707" s="71"/>
      <c r="R4707" s="5"/>
    </row>
    <row r="4708" spans="12:18" x14ac:dyDescent="0.35">
      <c r="L4708" s="71"/>
      <c r="R4708" s="5"/>
    </row>
    <row r="4709" spans="12:18" x14ac:dyDescent="0.35">
      <c r="L4709" s="71"/>
      <c r="R4709" s="5"/>
    </row>
    <row r="4710" spans="12:18" x14ac:dyDescent="0.35">
      <c r="L4710" s="71"/>
      <c r="R4710" s="5"/>
    </row>
    <row r="4711" spans="12:18" x14ac:dyDescent="0.35">
      <c r="L4711" s="71"/>
      <c r="R4711" s="5"/>
    </row>
    <row r="4712" spans="12:18" x14ac:dyDescent="0.35">
      <c r="L4712" s="71"/>
      <c r="R4712" s="5"/>
    </row>
    <row r="4713" spans="12:18" x14ac:dyDescent="0.35">
      <c r="L4713" s="71"/>
      <c r="R4713" s="5"/>
    </row>
    <row r="4714" spans="12:18" x14ac:dyDescent="0.35">
      <c r="L4714" s="71"/>
      <c r="R4714" s="5"/>
    </row>
    <row r="4715" spans="12:18" x14ac:dyDescent="0.35">
      <c r="L4715" s="71"/>
      <c r="R4715" s="5"/>
    </row>
    <row r="4716" spans="12:18" x14ac:dyDescent="0.35">
      <c r="L4716" s="71"/>
      <c r="R4716" s="5"/>
    </row>
    <row r="4717" spans="12:18" x14ac:dyDescent="0.35">
      <c r="L4717" s="71"/>
      <c r="R4717" s="5"/>
    </row>
    <row r="4718" spans="12:18" x14ac:dyDescent="0.35">
      <c r="L4718" s="71"/>
      <c r="R4718" s="5"/>
    </row>
    <row r="4719" spans="12:18" x14ac:dyDescent="0.35">
      <c r="L4719" s="71"/>
      <c r="R4719" s="5"/>
    </row>
    <row r="4720" spans="12:18" x14ac:dyDescent="0.35">
      <c r="L4720" s="71"/>
      <c r="R4720" s="5"/>
    </row>
    <row r="4721" spans="12:18" x14ac:dyDescent="0.35">
      <c r="L4721" s="71"/>
      <c r="R4721" s="5"/>
    </row>
    <row r="4722" spans="12:18" x14ac:dyDescent="0.35">
      <c r="L4722" s="71"/>
      <c r="R4722" s="5"/>
    </row>
    <row r="4723" spans="12:18" x14ac:dyDescent="0.35">
      <c r="L4723" s="71"/>
      <c r="R4723" s="5"/>
    </row>
    <row r="4724" spans="12:18" x14ac:dyDescent="0.35">
      <c r="L4724" s="71"/>
      <c r="R4724" s="5"/>
    </row>
    <row r="4725" spans="12:18" x14ac:dyDescent="0.35">
      <c r="L4725" s="71"/>
      <c r="R4725" s="5"/>
    </row>
    <row r="4726" spans="12:18" x14ac:dyDescent="0.35">
      <c r="L4726" s="71"/>
      <c r="R4726" s="5"/>
    </row>
    <row r="4727" spans="12:18" x14ac:dyDescent="0.35">
      <c r="L4727" s="71"/>
      <c r="R4727" s="5"/>
    </row>
    <row r="4728" spans="12:18" x14ac:dyDescent="0.35">
      <c r="L4728" s="71"/>
      <c r="R4728" s="5"/>
    </row>
    <row r="4729" spans="12:18" x14ac:dyDescent="0.35">
      <c r="L4729" s="71"/>
      <c r="R4729" s="5"/>
    </row>
    <row r="4730" spans="12:18" x14ac:dyDescent="0.35">
      <c r="L4730" s="71"/>
      <c r="R4730" s="5"/>
    </row>
    <row r="4731" spans="12:18" x14ac:dyDescent="0.35">
      <c r="L4731" s="71"/>
      <c r="R4731" s="5"/>
    </row>
    <row r="4732" spans="12:18" x14ac:dyDescent="0.35">
      <c r="L4732" s="71"/>
      <c r="R4732" s="5"/>
    </row>
    <row r="4733" spans="12:18" x14ac:dyDescent="0.35">
      <c r="L4733" s="71"/>
      <c r="R4733" s="5"/>
    </row>
    <row r="4734" spans="12:18" x14ac:dyDescent="0.35">
      <c r="L4734" s="71"/>
      <c r="R4734" s="5"/>
    </row>
    <row r="4735" spans="12:18" x14ac:dyDescent="0.35">
      <c r="L4735" s="71"/>
      <c r="R4735" s="5"/>
    </row>
    <row r="4736" spans="12:18" x14ac:dyDescent="0.35">
      <c r="L4736" s="71"/>
      <c r="R4736" s="5"/>
    </row>
    <row r="4737" spans="12:18" x14ac:dyDescent="0.35">
      <c r="L4737" s="71"/>
      <c r="R4737" s="5"/>
    </row>
    <row r="4738" spans="12:18" x14ac:dyDescent="0.35">
      <c r="L4738" s="71"/>
      <c r="R4738" s="5"/>
    </row>
    <row r="4739" spans="12:18" x14ac:dyDescent="0.35">
      <c r="L4739" s="71"/>
      <c r="R4739" s="5"/>
    </row>
    <row r="4740" spans="12:18" x14ac:dyDescent="0.35">
      <c r="L4740" s="71"/>
      <c r="R4740" s="5"/>
    </row>
    <row r="4741" spans="12:18" x14ac:dyDescent="0.35">
      <c r="L4741" s="71"/>
      <c r="R4741" s="5"/>
    </row>
    <row r="4742" spans="12:18" x14ac:dyDescent="0.35">
      <c r="L4742" s="71"/>
      <c r="R4742" s="5"/>
    </row>
    <row r="4743" spans="12:18" x14ac:dyDescent="0.35">
      <c r="L4743" s="71"/>
      <c r="R4743" s="5"/>
    </row>
    <row r="4744" spans="12:18" x14ac:dyDescent="0.35">
      <c r="L4744" s="71"/>
      <c r="R4744" s="5"/>
    </row>
    <row r="4745" spans="12:18" x14ac:dyDescent="0.35">
      <c r="L4745" s="71"/>
      <c r="R4745" s="5"/>
    </row>
    <row r="4746" spans="12:18" x14ac:dyDescent="0.35">
      <c r="L4746" s="71"/>
      <c r="R4746" s="5"/>
    </row>
    <row r="4747" spans="12:18" x14ac:dyDescent="0.35">
      <c r="L4747" s="71"/>
      <c r="R4747" s="5"/>
    </row>
    <row r="4748" spans="12:18" x14ac:dyDescent="0.35">
      <c r="L4748" s="71"/>
      <c r="R4748" s="5"/>
    </row>
    <row r="4749" spans="12:18" x14ac:dyDescent="0.35">
      <c r="L4749" s="71"/>
      <c r="R4749" s="5"/>
    </row>
    <row r="4750" spans="12:18" x14ac:dyDescent="0.35">
      <c r="L4750" s="71"/>
      <c r="R4750" s="5"/>
    </row>
    <row r="4751" spans="12:18" x14ac:dyDescent="0.35">
      <c r="L4751" s="71"/>
      <c r="R4751" s="5"/>
    </row>
    <row r="4752" spans="12:18" x14ac:dyDescent="0.35">
      <c r="L4752" s="71"/>
      <c r="R4752" s="5"/>
    </row>
    <row r="4753" spans="12:18" x14ac:dyDescent="0.35">
      <c r="L4753" s="71"/>
      <c r="R4753" s="5"/>
    </row>
    <row r="4754" spans="12:18" x14ac:dyDescent="0.35">
      <c r="L4754" s="71"/>
      <c r="R4754" s="5"/>
    </row>
    <row r="4755" spans="12:18" x14ac:dyDescent="0.35">
      <c r="L4755" s="71"/>
      <c r="R4755" s="5"/>
    </row>
    <row r="4756" spans="12:18" x14ac:dyDescent="0.35">
      <c r="L4756" s="71"/>
      <c r="R4756" s="5"/>
    </row>
    <row r="4757" spans="12:18" x14ac:dyDescent="0.35">
      <c r="L4757" s="71"/>
      <c r="R4757" s="5"/>
    </row>
    <row r="4758" spans="12:18" x14ac:dyDescent="0.35">
      <c r="L4758" s="71"/>
      <c r="R4758" s="5"/>
    </row>
    <row r="4759" spans="12:18" x14ac:dyDescent="0.35">
      <c r="L4759" s="71"/>
      <c r="R4759" s="5"/>
    </row>
    <row r="4760" spans="12:18" x14ac:dyDescent="0.35">
      <c r="L4760" s="71"/>
      <c r="R4760" s="5"/>
    </row>
    <row r="4761" spans="12:18" x14ac:dyDescent="0.35">
      <c r="L4761" s="71"/>
      <c r="R4761" s="5"/>
    </row>
    <row r="4762" spans="12:18" x14ac:dyDescent="0.35">
      <c r="L4762" s="71"/>
      <c r="R4762" s="5"/>
    </row>
    <row r="4763" spans="12:18" x14ac:dyDescent="0.35">
      <c r="L4763" s="71"/>
      <c r="R4763" s="5"/>
    </row>
    <row r="4764" spans="12:18" x14ac:dyDescent="0.35">
      <c r="L4764" s="71"/>
      <c r="R4764" s="5"/>
    </row>
    <row r="4765" spans="12:18" x14ac:dyDescent="0.35">
      <c r="L4765" s="71"/>
      <c r="R4765" s="5"/>
    </row>
    <row r="4766" spans="12:18" x14ac:dyDescent="0.35">
      <c r="L4766" s="71"/>
      <c r="R4766" s="5"/>
    </row>
    <row r="4767" spans="12:18" x14ac:dyDescent="0.35">
      <c r="L4767" s="71"/>
      <c r="R4767" s="5"/>
    </row>
    <row r="4768" spans="12:18" x14ac:dyDescent="0.35">
      <c r="L4768" s="71"/>
      <c r="R4768" s="5"/>
    </row>
    <row r="4769" spans="12:18" x14ac:dyDescent="0.35">
      <c r="L4769" s="71"/>
      <c r="R4769" s="5"/>
    </row>
    <row r="4770" spans="12:18" x14ac:dyDescent="0.35">
      <c r="L4770" s="71"/>
      <c r="R4770" s="5"/>
    </row>
    <row r="4771" spans="12:18" x14ac:dyDescent="0.35">
      <c r="L4771" s="71"/>
      <c r="R4771" s="5"/>
    </row>
    <row r="4772" spans="12:18" x14ac:dyDescent="0.35">
      <c r="L4772" s="71"/>
      <c r="R4772" s="5"/>
    </row>
    <row r="4773" spans="12:18" x14ac:dyDescent="0.35">
      <c r="L4773" s="71"/>
      <c r="R4773" s="5"/>
    </row>
    <row r="4774" spans="12:18" x14ac:dyDescent="0.35">
      <c r="L4774" s="71"/>
      <c r="R4774" s="5"/>
    </row>
    <row r="4775" spans="12:18" x14ac:dyDescent="0.35">
      <c r="L4775" s="71"/>
      <c r="R4775" s="5"/>
    </row>
    <row r="4776" spans="12:18" x14ac:dyDescent="0.35">
      <c r="L4776" s="71"/>
      <c r="R4776" s="5"/>
    </row>
    <row r="4777" spans="12:18" x14ac:dyDescent="0.35">
      <c r="L4777" s="71"/>
      <c r="R4777" s="5"/>
    </row>
    <row r="4778" spans="12:18" x14ac:dyDescent="0.35">
      <c r="L4778" s="71"/>
      <c r="R4778" s="5"/>
    </row>
    <row r="4779" spans="12:18" x14ac:dyDescent="0.35">
      <c r="L4779" s="71"/>
      <c r="R4779" s="5"/>
    </row>
    <row r="4780" spans="12:18" x14ac:dyDescent="0.35">
      <c r="L4780" s="71"/>
      <c r="R4780" s="5"/>
    </row>
    <row r="4781" spans="12:18" x14ac:dyDescent="0.35">
      <c r="L4781" s="71"/>
      <c r="R4781" s="5"/>
    </row>
    <row r="4782" spans="12:18" x14ac:dyDescent="0.35">
      <c r="L4782" s="71"/>
      <c r="R4782" s="5"/>
    </row>
    <row r="4783" spans="12:18" x14ac:dyDescent="0.35">
      <c r="L4783" s="71"/>
      <c r="R4783" s="5"/>
    </row>
    <row r="4784" spans="12:18" x14ac:dyDescent="0.35">
      <c r="L4784" s="71"/>
      <c r="R4784" s="5"/>
    </row>
    <row r="4785" spans="12:18" x14ac:dyDescent="0.35">
      <c r="L4785" s="71"/>
      <c r="R4785" s="5"/>
    </row>
    <row r="4786" spans="12:18" x14ac:dyDescent="0.35">
      <c r="L4786" s="71"/>
      <c r="R4786" s="5"/>
    </row>
    <row r="4787" spans="12:18" x14ac:dyDescent="0.35">
      <c r="L4787" s="71"/>
      <c r="R4787" s="5"/>
    </row>
    <row r="4788" spans="12:18" x14ac:dyDescent="0.35">
      <c r="L4788" s="71"/>
      <c r="R4788" s="5"/>
    </row>
    <row r="4789" spans="12:18" x14ac:dyDescent="0.35">
      <c r="L4789" s="71"/>
      <c r="R4789" s="5"/>
    </row>
    <row r="4790" spans="12:18" x14ac:dyDescent="0.35">
      <c r="L4790" s="71"/>
      <c r="R4790" s="5"/>
    </row>
    <row r="4791" spans="12:18" x14ac:dyDescent="0.35">
      <c r="L4791" s="71"/>
      <c r="R4791" s="5"/>
    </row>
    <row r="4792" spans="12:18" x14ac:dyDescent="0.35">
      <c r="L4792" s="71"/>
      <c r="R4792" s="5"/>
    </row>
    <row r="4793" spans="12:18" x14ac:dyDescent="0.35">
      <c r="L4793" s="71"/>
      <c r="R4793" s="5"/>
    </row>
    <row r="4794" spans="12:18" x14ac:dyDescent="0.35">
      <c r="L4794" s="71"/>
      <c r="R4794" s="5"/>
    </row>
    <row r="4795" spans="12:18" x14ac:dyDescent="0.35">
      <c r="L4795" s="71"/>
      <c r="R4795" s="5"/>
    </row>
    <row r="4796" spans="12:18" x14ac:dyDescent="0.35">
      <c r="L4796" s="71"/>
      <c r="R4796" s="5"/>
    </row>
    <row r="4797" spans="12:18" x14ac:dyDescent="0.35">
      <c r="L4797" s="71"/>
      <c r="R4797" s="5"/>
    </row>
    <row r="4798" spans="12:18" x14ac:dyDescent="0.35">
      <c r="L4798" s="71"/>
      <c r="R4798" s="5"/>
    </row>
    <row r="4799" spans="12:18" x14ac:dyDescent="0.35">
      <c r="L4799" s="71"/>
      <c r="R4799" s="5"/>
    </row>
    <row r="4800" spans="12:18" x14ac:dyDescent="0.35">
      <c r="L4800" s="71"/>
      <c r="R4800" s="5"/>
    </row>
    <row r="4801" spans="12:18" x14ac:dyDescent="0.35">
      <c r="L4801" s="71"/>
      <c r="R4801" s="5"/>
    </row>
    <row r="4802" spans="12:18" x14ac:dyDescent="0.35">
      <c r="L4802" s="71"/>
      <c r="R4802" s="5"/>
    </row>
    <row r="4803" spans="12:18" x14ac:dyDescent="0.35">
      <c r="L4803" s="71"/>
      <c r="R4803" s="5"/>
    </row>
    <row r="4804" spans="12:18" x14ac:dyDescent="0.35">
      <c r="L4804" s="71"/>
      <c r="R4804" s="5"/>
    </row>
    <row r="4805" spans="12:18" x14ac:dyDescent="0.35">
      <c r="L4805" s="71"/>
      <c r="R4805" s="5"/>
    </row>
    <row r="4806" spans="12:18" x14ac:dyDescent="0.35">
      <c r="L4806" s="71"/>
      <c r="R4806" s="5"/>
    </row>
    <row r="4807" spans="12:18" x14ac:dyDescent="0.35">
      <c r="L4807" s="71"/>
      <c r="R4807" s="5"/>
    </row>
    <row r="4808" spans="12:18" x14ac:dyDescent="0.35">
      <c r="L4808" s="71"/>
      <c r="R4808" s="5"/>
    </row>
    <row r="4809" spans="12:18" x14ac:dyDescent="0.35">
      <c r="L4809" s="71"/>
      <c r="R4809" s="5"/>
    </row>
    <row r="4810" spans="12:18" x14ac:dyDescent="0.35">
      <c r="L4810" s="71"/>
      <c r="R4810" s="5"/>
    </row>
    <row r="4811" spans="12:18" x14ac:dyDescent="0.35">
      <c r="L4811" s="71"/>
      <c r="R4811" s="5"/>
    </row>
    <row r="4812" spans="12:18" x14ac:dyDescent="0.35">
      <c r="L4812" s="71"/>
      <c r="R4812" s="5"/>
    </row>
    <row r="4813" spans="12:18" x14ac:dyDescent="0.35">
      <c r="L4813" s="71"/>
      <c r="R4813" s="5"/>
    </row>
    <row r="4814" spans="12:18" x14ac:dyDescent="0.35">
      <c r="L4814" s="71"/>
      <c r="R4814" s="5"/>
    </row>
    <row r="4815" spans="12:18" x14ac:dyDescent="0.35">
      <c r="L4815" s="71"/>
      <c r="R4815" s="5"/>
    </row>
    <row r="4816" spans="12:18" x14ac:dyDescent="0.35">
      <c r="L4816" s="71"/>
      <c r="R4816" s="5"/>
    </row>
    <row r="4817" spans="12:18" x14ac:dyDescent="0.35">
      <c r="L4817" s="71"/>
      <c r="R4817" s="5"/>
    </row>
    <row r="4818" spans="12:18" x14ac:dyDescent="0.35">
      <c r="L4818" s="71"/>
      <c r="R4818" s="5"/>
    </row>
    <row r="4819" spans="12:18" x14ac:dyDescent="0.35">
      <c r="L4819" s="71"/>
      <c r="R4819" s="5"/>
    </row>
    <row r="4820" spans="12:18" x14ac:dyDescent="0.35">
      <c r="L4820" s="71"/>
      <c r="R4820" s="5"/>
    </row>
    <row r="4821" spans="12:18" x14ac:dyDescent="0.35">
      <c r="L4821" s="71"/>
      <c r="R4821" s="5"/>
    </row>
    <row r="4822" spans="12:18" x14ac:dyDescent="0.35">
      <c r="L4822" s="71"/>
      <c r="R4822" s="5"/>
    </row>
    <row r="4823" spans="12:18" x14ac:dyDescent="0.35">
      <c r="L4823" s="71"/>
      <c r="R4823" s="5"/>
    </row>
    <row r="4824" spans="12:18" x14ac:dyDescent="0.35">
      <c r="L4824" s="71"/>
      <c r="R4824" s="5"/>
    </row>
    <row r="4825" spans="12:18" x14ac:dyDescent="0.35">
      <c r="L4825" s="71"/>
      <c r="R4825" s="5"/>
    </row>
    <row r="4826" spans="12:18" x14ac:dyDescent="0.35">
      <c r="L4826" s="71"/>
      <c r="R4826" s="5"/>
    </row>
    <row r="4827" spans="12:18" x14ac:dyDescent="0.35">
      <c r="L4827" s="71"/>
      <c r="R4827" s="5"/>
    </row>
    <row r="4828" spans="12:18" x14ac:dyDescent="0.35">
      <c r="L4828" s="71"/>
      <c r="R4828" s="5"/>
    </row>
    <row r="4829" spans="12:18" x14ac:dyDescent="0.35">
      <c r="L4829" s="71"/>
      <c r="R4829" s="5"/>
    </row>
    <row r="4830" spans="12:18" x14ac:dyDescent="0.35">
      <c r="L4830" s="71"/>
      <c r="R4830" s="5"/>
    </row>
    <row r="4831" spans="12:18" x14ac:dyDescent="0.35">
      <c r="L4831" s="71"/>
      <c r="R4831" s="5"/>
    </row>
    <row r="4832" spans="12:18" x14ac:dyDescent="0.35">
      <c r="L4832" s="71"/>
      <c r="R4832" s="5"/>
    </row>
    <row r="4833" spans="12:18" x14ac:dyDescent="0.35">
      <c r="L4833" s="71"/>
      <c r="R4833" s="5"/>
    </row>
    <row r="4834" spans="12:18" x14ac:dyDescent="0.35">
      <c r="L4834" s="71"/>
      <c r="R4834" s="5"/>
    </row>
    <row r="4835" spans="12:18" x14ac:dyDescent="0.35">
      <c r="L4835" s="71"/>
      <c r="R4835" s="5"/>
    </row>
    <row r="4836" spans="12:18" x14ac:dyDescent="0.35">
      <c r="L4836" s="71"/>
      <c r="R4836" s="5"/>
    </row>
    <row r="4837" spans="12:18" x14ac:dyDescent="0.35">
      <c r="L4837" s="71"/>
      <c r="R4837" s="5"/>
    </row>
    <row r="4838" spans="12:18" x14ac:dyDescent="0.35">
      <c r="L4838" s="71"/>
      <c r="R4838" s="5"/>
    </row>
    <row r="4839" spans="12:18" x14ac:dyDescent="0.35">
      <c r="L4839" s="71"/>
      <c r="R4839" s="5"/>
    </row>
    <row r="4840" spans="12:18" x14ac:dyDescent="0.35">
      <c r="L4840" s="71"/>
      <c r="R4840" s="5"/>
    </row>
    <row r="4841" spans="12:18" x14ac:dyDescent="0.35">
      <c r="L4841" s="71"/>
      <c r="R4841" s="5"/>
    </row>
    <row r="4842" spans="12:18" x14ac:dyDescent="0.35">
      <c r="L4842" s="71"/>
      <c r="R4842" s="5"/>
    </row>
    <row r="4843" spans="12:18" x14ac:dyDescent="0.35">
      <c r="L4843" s="71"/>
      <c r="R4843" s="5"/>
    </row>
    <row r="4844" spans="12:18" x14ac:dyDescent="0.35">
      <c r="L4844" s="71"/>
      <c r="R4844" s="5"/>
    </row>
    <row r="4845" spans="12:18" x14ac:dyDescent="0.35">
      <c r="L4845" s="71"/>
      <c r="R4845" s="5"/>
    </row>
    <row r="4846" spans="12:18" x14ac:dyDescent="0.35">
      <c r="L4846" s="71"/>
      <c r="R4846" s="5"/>
    </row>
    <row r="4847" spans="12:18" x14ac:dyDescent="0.35">
      <c r="L4847" s="71"/>
      <c r="R4847" s="5"/>
    </row>
    <row r="4848" spans="12:18" x14ac:dyDescent="0.35">
      <c r="L4848" s="71"/>
      <c r="R4848" s="5"/>
    </row>
    <row r="4849" spans="12:18" x14ac:dyDescent="0.35">
      <c r="L4849" s="71"/>
      <c r="R4849" s="5"/>
    </row>
    <row r="4850" spans="12:18" x14ac:dyDescent="0.35">
      <c r="L4850" s="71"/>
      <c r="R4850" s="5"/>
    </row>
    <row r="4851" spans="12:18" x14ac:dyDescent="0.35">
      <c r="L4851" s="71"/>
      <c r="R4851" s="5"/>
    </row>
    <row r="4852" spans="12:18" x14ac:dyDescent="0.35">
      <c r="L4852" s="71"/>
      <c r="R4852" s="5"/>
    </row>
    <row r="4853" spans="12:18" x14ac:dyDescent="0.35">
      <c r="L4853" s="71"/>
      <c r="R4853" s="5"/>
    </row>
    <row r="4854" spans="12:18" x14ac:dyDescent="0.35">
      <c r="L4854" s="71"/>
      <c r="R4854" s="5"/>
    </row>
    <row r="4855" spans="12:18" x14ac:dyDescent="0.35">
      <c r="L4855" s="71"/>
      <c r="R4855" s="5"/>
    </row>
    <row r="4856" spans="12:18" x14ac:dyDescent="0.35">
      <c r="L4856" s="71"/>
      <c r="R4856" s="5"/>
    </row>
    <row r="4857" spans="12:18" x14ac:dyDescent="0.35">
      <c r="L4857" s="71"/>
      <c r="R4857" s="5"/>
    </row>
    <row r="4858" spans="12:18" x14ac:dyDescent="0.35">
      <c r="L4858" s="71"/>
      <c r="R4858" s="5"/>
    </row>
    <row r="4859" spans="12:18" x14ac:dyDescent="0.35">
      <c r="L4859" s="71"/>
      <c r="R4859" s="5"/>
    </row>
    <row r="4860" spans="12:18" x14ac:dyDescent="0.35">
      <c r="L4860" s="71"/>
      <c r="R4860" s="5"/>
    </row>
    <row r="4861" spans="12:18" x14ac:dyDescent="0.35">
      <c r="L4861" s="71"/>
      <c r="R4861" s="5"/>
    </row>
    <row r="4862" spans="12:18" x14ac:dyDescent="0.35">
      <c r="L4862" s="71"/>
      <c r="R4862" s="5"/>
    </row>
    <row r="4863" spans="12:18" x14ac:dyDescent="0.35">
      <c r="L4863" s="71"/>
      <c r="R4863" s="5"/>
    </row>
    <row r="4864" spans="12:18" x14ac:dyDescent="0.35">
      <c r="L4864" s="71"/>
      <c r="R4864" s="5"/>
    </row>
    <row r="4865" spans="12:18" x14ac:dyDescent="0.35">
      <c r="L4865" s="71"/>
      <c r="R4865" s="5"/>
    </row>
    <row r="4866" spans="12:18" x14ac:dyDescent="0.35">
      <c r="L4866" s="71"/>
      <c r="R4866" s="5"/>
    </row>
    <row r="4867" spans="12:18" x14ac:dyDescent="0.35">
      <c r="L4867" s="71"/>
      <c r="R4867" s="5"/>
    </row>
    <row r="4868" spans="12:18" x14ac:dyDescent="0.35">
      <c r="L4868" s="71"/>
      <c r="R4868" s="5"/>
    </row>
    <row r="4869" spans="12:18" x14ac:dyDescent="0.35">
      <c r="L4869" s="71"/>
      <c r="R4869" s="5"/>
    </row>
    <row r="4870" spans="12:18" x14ac:dyDescent="0.35">
      <c r="L4870" s="71"/>
      <c r="R4870" s="5"/>
    </row>
    <row r="4871" spans="12:18" x14ac:dyDescent="0.35">
      <c r="L4871" s="71"/>
      <c r="R4871" s="5"/>
    </row>
    <row r="4872" spans="12:18" x14ac:dyDescent="0.35">
      <c r="L4872" s="71"/>
      <c r="R4872" s="5"/>
    </row>
    <row r="4873" spans="12:18" x14ac:dyDescent="0.35">
      <c r="L4873" s="71"/>
      <c r="R4873" s="5"/>
    </row>
    <row r="4874" spans="12:18" x14ac:dyDescent="0.35">
      <c r="L4874" s="71"/>
      <c r="R4874" s="5"/>
    </row>
    <row r="4875" spans="12:18" x14ac:dyDescent="0.35">
      <c r="L4875" s="71"/>
      <c r="R4875" s="5"/>
    </row>
    <row r="4876" spans="12:18" x14ac:dyDescent="0.35">
      <c r="L4876" s="71"/>
      <c r="R4876" s="5"/>
    </row>
    <row r="4877" spans="12:18" x14ac:dyDescent="0.35">
      <c r="L4877" s="71"/>
      <c r="R4877" s="5"/>
    </row>
    <row r="4878" spans="12:18" x14ac:dyDescent="0.35">
      <c r="L4878" s="71"/>
      <c r="R4878" s="5"/>
    </row>
    <row r="4879" spans="12:18" x14ac:dyDescent="0.35">
      <c r="L4879" s="71"/>
      <c r="R4879" s="5"/>
    </row>
    <row r="4880" spans="12:18" x14ac:dyDescent="0.35">
      <c r="L4880" s="71"/>
      <c r="R4880" s="5"/>
    </row>
    <row r="4881" spans="12:18" x14ac:dyDescent="0.35">
      <c r="L4881" s="71"/>
      <c r="R4881" s="5"/>
    </row>
    <row r="4882" spans="12:18" x14ac:dyDescent="0.35">
      <c r="L4882" s="71"/>
      <c r="R4882" s="5"/>
    </row>
    <row r="4883" spans="12:18" x14ac:dyDescent="0.35">
      <c r="L4883" s="71"/>
      <c r="R4883" s="5"/>
    </row>
    <row r="4884" spans="12:18" x14ac:dyDescent="0.35">
      <c r="L4884" s="71"/>
      <c r="R4884" s="5"/>
    </row>
    <row r="4885" spans="12:18" x14ac:dyDescent="0.35">
      <c r="L4885" s="71"/>
      <c r="R4885" s="5"/>
    </row>
    <row r="4886" spans="12:18" x14ac:dyDescent="0.35">
      <c r="L4886" s="71"/>
      <c r="R4886" s="5"/>
    </row>
    <row r="4887" spans="12:18" x14ac:dyDescent="0.35">
      <c r="L4887" s="71"/>
      <c r="R4887" s="5"/>
    </row>
    <row r="4888" spans="12:18" x14ac:dyDescent="0.35">
      <c r="L4888" s="71"/>
      <c r="R4888" s="5"/>
    </row>
    <row r="4889" spans="12:18" x14ac:dyDescent="0.35">
      <c r="L4889" s="71"/>
      <c r="R4889" s="5"/>
    </row>
    <row r="4890" spans="12:18" x14ac:dyDescent="0.35">
      <c r="L4890" s="71"/>
      <c r="R4890" s="5"/>
    </row>
    <row r="4891" spans="12:18" x14ac:dyDescent="0.35">
      <c r="L4891" s="71"/>
      <c r="R4891" s="5"/>
    </row>
    <row r="4892" spans="12:18" x14ac:dyDescent="0.35">
      <c r="L4892" s="71"/>
      <c r="R4892" s="5"/>
    </row>
    <row r="4893" spans="12:18" x14ac:dyDescent="0.35">
      <c r="L4893" s="71"/>
      <c r="R4893" s="5"/>
    </row>
    <row r="4894" spans="12:18" x14ac:dyDescent="0.35">
      <c r="L4894" s="71"/>
      <c r="R4894" s="5"/>
    </row>
    <row r="4895" spans="12:18" x14ac:dyDescent="0.35">
      <c r="L4895" s="71"/>
      <c r="R4895" s="5"/>
    </row>
    <row r="4896" spans="12:18" x14ac:dyDescent="0.35">
      <c r="L4896" s="71"/>
      <c r="R4896" s="5"/>
    </row>
    <row r="4897" spans="12:18" x14ac:dyDescent="0.35">
      <c r="L4897" s="71"/>
      <c r="R4897" s="5"/>
    </row>
    <row r="4898" spans="12:18" x14ac:dyDescent="0.35">
      <c r="L4898" s="71"/>
      <c r="R4898" s="5"/>
    </row>
    <row r="4899" spans="12:18" x14ac:dyDescent="0.35">
      <c r="L4899" s="71"/>
      <c r="R4899" s="5"/>
    </row>
    <row r="4900" spans="12:18" x14ac:dyDescent="0.35">
      <c r="L4900" s="71"/>
      <c r="R4900" s="5"/>
    </row>
    <row r="4901" spans="12:18" x14ac:dyDescent="0.35">
      <c r="L4901" s="71"/>
      <c r="R4901" s="5"/>
    </row>
    <row r="4902" spans="12:18" x14ac:dyDescent="0.35">
      <c r="L4902" s="71"/>
      <c r="R4902" s="5"/>
    </row>
    <row r="4903" spans="12:18" x14ac:dyDescent="0.35">
      <c r="L4903" s="71"/>
      <c r="R4903" s="5"/>
    </row>
    <row r="4904" spans="12:18" x14ac:dyDescent="0.35">
      <c r="L4904" s="71"/>
      <c r="R4904" s="5"/>
    </row>
    <row r="4905" spans="12:18" x14ac:dyDescent="0.35">
      <c r="L4905" s="71"/>
      <c r="R4905" s="5"/>
    </row>
    <row r="4906" spans="12:18" x14ac:dyDescent="0.35">
      <c r="L4906" s="71"/>
      <c r="R4906" s="5"/>
    </row>
    <row r="4907" spans="12:18" x14ac:dyDescent="0.35">
      <c r="L4907" s="71"/>
      <c r="R4907" s="5"/>
    </row>
    <row r="4908" spans="12:18" x14ac:dyDescent="0.35">
      <c r="L4908" s="71"/>
      <c r="R4908" s="5"/>
    </row>
    <row r="4909" spans="12:18" x14ac:dyDescent="0.35">
      <c r="L4909" s="71"/>
      <c r="R4909" s="5"/>
    </row>
    <row r="4910" spans="12:18" x14ac:dyDescent="0.35">
      <c r="L4910" s="71"/>
      <c r="R4910" s="5"/>
    </row>
    <row r="4911" spans="12:18" x14ac:dyDescent="0.35">
      <c r="L4911" s="71"/>
      <c r="R4911" s="5"/>
    </row>
    <row r="4912" spans="12:18" x14ac:dyDescent="0.35">
      <c r="L4912" s="71"/>
      <c r="R4912" s="5"/>
    </row>
    <row r="4913" spans="12:18" x14ac:dyDescent="0.35">
      <c r="L4913" s="71"/>
      <c r="R4913" s="5"/>
    </row>
    <row r="4914" spans="12:18" x14ac:dyDescent="0.35">
      <c r="L4914" s="71"/>
      <c r="R4914" s="5"/>
    </row>
    <row r="4915" spans="12:18" x14ac:dyDescent="0.35">
      <c r="L4915" s="71"/>
      <c r="R4915" s="5"/>
    </row>
    <row r="4916" spans="12:18" x14ac:dyDescent="0.35">
      <c r="L4916" s="71"/>
      <c r="R4916" s="5"/>
    </row>
    <row r="4917" spans="12:18" x14ac:dyDescent="0.35">
      <c r="L4917" s="71"/>
      <c r="R4917" s="5"/>
    </row>
    <row r="4918" spans="12:18" x14ac:dyDescent="0.35">
      <c r="L4918" s="71"/>
      <c r="R4918" s="5"/>
    </row>
    <row r="4919" spans="12:18" x14ac:dyDescent="0.35">
      <c r="L4919" s="71"/>
      <c r="R4919" s="5"/>
    </row>
    <row r="4920" spans="12:18" x14ac:dyDescent="0.35">
      <c r="L4920" s="71"/>
      <c r="R4920" s="5"/>
    </row>
    <row r="4921" spans="12:18" x14ac:dyDescent="0.35">
      <c r="L4921" s="71"/>
      <c r="R4921" s="5"/>
    </row>
    <row r="4922" spans="12:18" x14ac:dyDescent="0.35">
      <c r="L4922" s="71"/>
      <c r="R4922" s="5"/>
    </row>
    <row r="4923" spans="12:18" x14ac:dyDescent="0.35">
      <c r="L4923" s="71"/>
      <c r="R4923" s="5"/>
    </row>
    <row r="4924" spans="12:18" x14ac:dyDescent="0.35">
      <c r="L4924" s="71"/>
      <c r="R4924" s="5"/>
    </row>
    <row r="4925" spans="12:18" x14ac:dyDescent="0.35">
      <c r="L4925" s="71"/>
      <c r="R4925" s="5"/>
    </row>
    <row r="4926" spans="12:18" x14ac:dyDescent="0.35">
      <c r="L4926" s="71"/>
      <c r="R4926" s="5"/>
    </row>
    <row r="4927" spans="12:18" x14ac:dyDescent="0.35">
      <c r="L4927" s="71"/>
      <c r="R4927" s="5"/>
    </row>
    <row r="4928" spans="12:18" x14ac:dyDescent="0.35">
      <c r="L4928" s="71"/>
      <c r="R4928" s="5"/>
    </row>
    <row r="4929" spans="12:18" x14ac:dyDescent="0.35">
      <c r="L4929" s="71"/>
      <c r="R4929" s="5"/>
    </row>
    <row r="4930" spans="12:18" x14ac:dyDescent="0.35">
      <c r="L4930" s="71"/>
      <c r="R4930" s="5"/>
    </row>
    <row r="4931" spans="12:18" x14ac:dyDescent="0.35">
      <c r="L4931" s="71"/>
      <c r="R4931" s="5"/>
    </row>
    <row r="4932" spans="12:18" x14ac:dyDescent="0.35">
      <c r="L4932" s="71"/>
      <c r="R4932" s="5"/>
    </row>
    <row r="4933" spans="12:18" x14ac:dyDescent="0.35">
      <c r="L4933" s="71"/>
      <c r="R4933" s="5"/>
    </row>
    <row r="4934" spans="12:18" x14ac:dyDescent="0.35">
      <c r="L4934" s="71"/>
      <c r="R4934" s="5"/>
    </row>
    <row r="4935" spans="12:18" x14ac:dyDescent="0.35">
      <c r="L4935" s="71"/>
      <c r="R4935" s="5"/>
    </row>
    <row r="4936" spans="12:18" x14ac:dyDescent="0.35">
      <c r="L4936" s="71"/>
      <c r="R4936" s="5"/>
    </row>
    <row r="4937" spans="12:18" x14ac:dyDescent="0.35">
      <c r="L4937" s="71"/>
      <c r="R4937" s="5"/>
    </row>
    <row r="4938" spans="12:18" x14ac:dyDescent="0.35">
      <c r="L4938" s="71"/>
      <c r="R4938" s="5"/>
    </row>
    <row r="4939" spans="12:18" x14ac:dyDescent="0.35">
      <c r="L4939" s="71"/>
      <c r="R4939" s="5"/>
    </row>
    <row r="4940" spans="12:18" x14ac:dyDescent="0.35">
      <c r="L4940" s="71"/>
      <c r="R4940" s="5"/>
    </row>
    <row r="4941" spans="12:18" x14ac:dyDescent="0.35">
      <c r="L4941" s="71"/>
      <c r="R4941" s="5"/>
    </row>
    <row r="4942" spans="12:18" x14ac:dyDescent="0.35">
      <c r="L4942" s="71"/>
      <c r="R4942" s="5"/>
    </row>
    <row r="4943" spans="12:18" x14ac:dyDescent="0.35">
      <c r="L4943" s="71"/>
      <c r="R4943" s="5"/>
    </row>
    <row r="4944" spans="12:18" x14ac:dyDescent="0.35">
      <c r="L4944" s="71"/>
      <c r="R4944" s="5"/>
    </row>
    <row r="4945" spans="12:18" x14ac:dyDescent="0.35">
      <c r="L4945" s="71"/>
      <c r="R4945" s="5"/>
    </row>
    <row r="4946" spans="12:18" x14ac:dyDescent="0.35">
      <c r="L4946" s="71"/>
      <c r="R4946" s="5"/>
    </row>
    <row r="4947" spans="12:18" x14ac:dyDescent="0.35">
      <c r="L4947" s="71"/>
      <c r="R4947" s="5"/>
    </row>
    <row r="4948" spans="12:18" x14ac:dyDescent="0.35">
      <c r="L4948" s="71"/>
      <c r="R4948" s="5"/>
    </row>
    <row r="4949" spans="12:18" x14ac:dyDescent="0.35">
      <c r="L4949" s="71"/>
      <c r="R4949" s="5"/>
    </row>
    <row r="4950" spans="12:18" x14ac:dyDescent="0.35">
      <c r="L4950" s="71"/>
      <c r="R4950" s="5"/>
    </row>
    <row r="4951" spans="12:18" x14ac:dyDescent="0.35">
      <c r="L4951" s="71"/>
      <c r="R4951" s="5"/>
    </row>
    <row r="4952" spans="12:18" x14ac:dyDescent="0.35">
      <c r="L4952" s="71"/>
      <c r="R4952" s="5"/>
    </row>
    <row r="4953" spans="12:18" x14ac:dyDescent="0.35">
      <c r="L4953" s="71"/>
      <c r="R4953" s="5"/>
    </row>
    <row r="4954" spans="12:18" x14ac:dyDescent="0.35">
      <c r="L4954" s="71"/>
      <c r="R4954" s="5"/>
    </row>
    <row r="4955" spans="12:18" x14ac:dyDescent="0.35">
      <c r="L4955" s="71"/>
      <c r="R4955" s="5"/>
    </row>
    <row r="4956" spans="12:18" x14ac:dyDescent="0.35">
      <c r="L4956" s="71"/>
      <c r="R4956" s="5"/>
    </row>
    <row r="4957" spans="12:18" x14ac:dyDescent="0.35">
      <c r="L4957" s="71"/>
      <c r="R4957" s="5"/>
    </row>
    <row r="4958" spans="12:18" x14ac:dyDescent="0.35">
      <c r="L4958" s="71"/>
      <c r="R4958" s="5"/>
    </row>
    <row r="4959" spans="12:18" x14ac:dyDescent="0.35">
      <c r="L4959" s="71"/>
      <c r="R4959" s="5"/>
    </row>
    <row r="4960" spans="12:18" x14ac:dyDescent="0.35">
      <c r="L4960" s="71"/>
      <c r="R4960" s="5"/>
    </row>
    <row r="4961" spans="12:18" x14ac:dyDescent="0.35">
      <c r="L4961" s="71"/>
      <c r="R4961" s="5"/>
    </row>
    <row r="4962" spans="12:18" x14ac:dyDescent="0.35">
      <c r="L4962" s="71"/>
      <c r="R4962" s="5"/>
    </row>
    <row r="4963" spans="12:18" x14ac:dyDescent="0.35">
      <c r="L4963" s="71"/>
      <c r="R4963" s="5"/>
    </row>
    <row r="4964" spans="12:18" x14ac:dyDescent="0.35">
      <c r="L4964" s="71"/>
      <c r="R4964" s="5"/>
    </row>
    <row r="4965" spans="12:18" x14ac:dyDescent="0.35">
      <c r="L4965" s="71"/>
      <c r="R4965" s="5"/>
    </row>
    <row r="4966" spans="12:18" x14ac:dyDescent="0.35">
      <c r="L4966" s="71"/>
      <c r="R4966" s="5"/>
    </row>
    <row r="4967" spans="12:18" x14ac:dyDescent="0.35">
      <c r="L4967" s="71"/>
      <c r="R4967" s="5"/>
    </row>
    <row r="4968" spans="12:18" x14ac:dyDescent="0.35">
      <c r="L4968" s="71"/>
      <c r="R4968" s="5"/>
    </row>
    <row r="4969" spans="12:18" x14ac:dyDescent="0.35">
      <c r="L4969" s="71"/>
      <c r="R4969" s="5"/>
    </row>
    <row r="4970" spans="12:18" x14ac:dyDescent="0.35">
      <c r="L4970" s="71"/>
      <c r="R4970" s="5"/>
    </row>
    <row r="4971" spans="12:18" x14ac:dyDescent="0.35">
      <c r="L4971" s="71"/>
      <c r="R4971" s="5"/>
    </row>
    <row r="4972" spans="12:18" x14ac:dyDescent="0.35">
      <c r="L4972" s="71"/>
      <c r="R4972" s="5"/>
    </row>
    <row r="4973" spans="12:18" x14ac:dyDescent="0.35">
      <c r="L4973" s="71"/>
      <c r="R4973" s="5"/>
    </row>
    <row r="4974" spans="12:18" x14ac:dyDescent="0.35">
      <c r="L4974" s="71"/>
      <c r="R4974" s="5"/>
    </row>
    <row r="4975" spans="12:18" x14ac:dyDescent="0.35">
      <c r="L4975" s="71"/>
      <c r="R4975" s="5"/>
    </row>
    <row r="4976" spans="12:18" x14ac:dyDescent="0.35">
      <c r="L4976" s="71"/>
      <c r="R4976" s="5"/>
    </row>
    <row r="4977" spans="12:18" x14ac:dyDescent="0.35">
      <c r="L4977" s="71"/>
      <c r="R4977" s="5"/>
    </row>
    <row r="4978" spans="12:18" x14ac:dyDescent="0.35">
      <c r="L4978" s="71"/>
      <c r="R4978" s="5"/>
    </row>
    <row r="4979" spans="12:18" x14ac:dyDescent="0.35">
      <c r="L4979" s="71"/>
      <c r="R4979" s="5"/>
    </row>
    <row r="4980" spans="12:18" x14ac:dyDescent="0.35">
      <c r="L4980" s="71"/>
      <c r="R4980" s="5"/>
    </row>
    <row r="4981" spans="12:18" x14ac:dyDescent="0.35">
      <c r="L4981" s="71"/>
      <c r="R4981" s="5"/>
    </row>
    <row r="4982" spans="12:18" x14ac:dyDescent="0.35">
      <c r="L4982" s="71"/>
      <c r="R4982" s="5"/>
    </row>
    <row r="4983" spans="12:18" x14ac:dyDescent="0.35">
      <c r="L4983" s="71"/>
      <c r="R4983" s="5"/>
    </row>
    <row r="4984" spans="12:18" x14ac:dyDescent="0.35">
      <c r="L4984" s="71"/>
      <c r="R4984" s="5"/>
    </row>
    <row r="4985" spans="12:18" x14ac:dyDescent="0.35">
      <c r="L4985" s="71"/>
      <c r="R4985" s="5"/>
    </row>
    <row r="4986" spans="12:18" x14ac:dyDescent="0.35">
      <c r="L4986" s="71"/>
      <c r="R4986" s="5"/>
    </row>
    <row r="4987" spans="12:18" x14ac:dyDescent="0.35">
      <c r="L4987" s="71"/>
      <c r="R4987" s="5"/>
    </row>
    <row r="4988" spans="12:18" x14ac:dyDescent="0.35">
      <c r="L4988" s="71"/>
      <c r="R4988" s="5"/>
    </row>
    <row r="4989" spans="12:18" x14ac:dyDescent="0.35">
      <c r="L4989" s="71"/>
      <c r="R4989" s="5"/>
    </row>
    <row r="4990" spans="12:18" x14ac:dyDescent="0.35">
      <c r="L4990" s="71"/>
      <c r="R4990" s="5"/>
    </row>
    <row r="4991" spans="12:18" x14ac:dyDescent="0.35">
      <c r="L4991" s="71"/>
      <c r="R4991" s="5"/>
    </row>
    <row r="4992" spans="12:18" x14ac:dyDescent="0.35">
      <c r="L4992" s="71"/>
      <c r="R4992" s="5"/>
    </row>
    <row r="4993" spans="12:18" x14ac:dyDescent="0.35">
      <c r="L4993" s="71"/>
      <c r="R4993" s="5"/>
    </row>
    <row r="4994" spans="12:18" x14ac:dyDescent="0.35">
      <c r="L4994" s="71"/>
      <c r="R4994" s="5"/>
    </row>
    <row r="4995" spans="12:18" x14ac:dyDescent="0.35">
      <c r="L4995" s="71"/>
      <c r="R4995" s="5"/>
    </row>
    <row r="4996" spans="12:18" x14ac:dyDescent="0.35">
      <c r="L4996" s="71"/>
      <c r="R4996" s="5"/>
    </row>
    <row r="4997" spans="12:18" x14ac:dyDescent="0.35">
      <c r="L4997" s="71"/>
      <c r="R4997" s="5"/>
    </row>
    <row r="4998" spans="12:18" x14ac:dyDescent="0.35">
      <c r="L4998" s="71"/>
      <c r="R4998" s="5"/>
    </row>
    <row r="4999" spans="12:18" x14ac:dyDescent="0.35">
      <c r="L4999" s="71"/>
      <c r="R4999" s="5"/>
    </row>
    <row r="5000" spans="12:18" x14ac:dyDescent="0.35">
      <c r="L5000" s="71"/>
      <c r="R5000" s="5"/>
    </row>
    <row r="5001" spans="12:18" x14ac:dyDescent="0.35">
      <c r="L5001" s="71"/>
      <c r="R5001" s="5"/>
    </row>
    <row r="5002" spans="12:18" x14ac:dyDescent="0.35">
      <c r="L5002" s="71"/>
      <c r="R5002" s="5"/>
    </row>
    <row r="5003" spans="12:18" x14ac:dyDescent="0.35">
      <c r="L5003" s="71"/>
      <c r="R5003" s="5"/>
    </row>
    <row r="5004" spans="12:18" x14ac:dyDescent="0.35">
      <c r="L5004" s="71"/>
      <c r="R5004" s="5"/>
    </row>
    <row r="5005" spans="12:18" x14ac:dyDescent="0.35">
      <c r="L5005" s="71"/>
      <c r="R5005" s="5"/>
    </row>
    <row r="5006" spans="12:18" x14ac:dyDescent="0.35">
      <c r="L5006" s="71"/>
      <c r="R5006" s="5"/>
    </row>
    <row r="5007" spans="12:18" x14ac:dyDescent="0.35">
      <c r="L5007" s="71"/>
      <c r="R5007" s="5"/>
    </row>
    <row r="5008" spans="12:18" x14ac:dyDescent="0.35">
      <c r="L5008" s="71"/>
      <c r="R5008" s="5"/>
    </row>
    <row r="5009" spans="12:18" x14ac:dyDescent="0.35">
      <c r="L5009" s="71"/>
      <c r="R5009" s="5"/>
    </row>
    <row r="5010" spans="12:18" x14ac:dyDescent="0.35">
      <c r="L5010" s="71"/>
      <c r="R5010" s="5"/>
    </row>
    <row r="5011" spans="12:18" x14ac:dyDescent="0.35">
      <c r="L5011" s="71"/>
      <c r="R5011" s="5"/>
    </row>
    <row r="5012" spans="12:18" x14ac:dyDescent="0.35">
      <c r="L5012" s="71"/>
      <c r="R5012" s="5"/>
    </row>
    <row r="5013" spans="12:18" x14ac:dyDescent="0.35">
      <c r="L5013" s="71"/>
      <c r="R5013" s="5"/>
    </row>
    <row r="5014" spans="12:18" x14ac:dyDescent="0.35">
      <c r="L5014" s="71"/>
      <c r="R5014" s="5"/>
    </row>
    <row r="5015" spans="12:18" x14ac:dyDescent="0.35">
      <c r="L5015" s="71"/>
      <c r="R5015" s="5"/>
    </row>
    <row r="5016" spans="12:18" x14ac:dyDescent="0.35">
      <c r="L5016" s="71"/>
      <c r="R5016" s="5"/>
    </row>
    <row r="5017" spans="12:18" x14ac:dyDescent="0.35">
      <c r="L5017" s="71"/>
      <c r="R5017" s="5"/>
    </row>
    <row r="5018" spans="12:18" x14ac:dyDescent="0.35">
      <c r="L5018" s="71"/>
      <c r="R5018" s="5"/>
    </row>
    <row r="5019" spans="12:18" x14ac:dyDescent="0.35">
      <c r="L5019" s="71"/>
      <c r="R5019" s="5"/>
    </row>
    <row r="5020" spans="12:18" x14ac:dyDescent="0.35">
      <c r="L5020" s="71"/>
      <c r="R5020" s="5"/>
    </row>
    <row r="5021" spans="12:18" x14ac:dyDescent="0.35">
      <c r="L5021" s="71"/>
      <c r="R5021" s="5"/>
    </row>
    <row r="5022" spans="12:18" x14ac:dyDescent="0.35">
      <c r="L5022" s="71"/>
      <c r="R5022" s="5"/>
    </row>
    <row r="5023" spans="12:18" x14ac:dyDescent="0.35">
      <c r="L5023" s="71"/>
      <c r="R5023" s="5"/>
    </row>
    <row r="5024" spans="12:18" x14ac:dyDescent="0.35">
      <c r="L5024" s="71"/>
      <c r="R5024" s="5"/>
    </row>
    <row r="5025" spans="12:18" x14ac:dyDescent="0.35">
      <c r="L5025" s="71"/>
      <c r="R5025" s="5"/>
    </row>
    <row r="5026" spans="12:18" x14ac:dyDescent="0.35">
      <c r="L5026" s="71"/>
      <c r="R5026" s="5"/>
    </row>
    <row r="5027" spans="12:18" x14ac:dyDescent="0.35">
      <c r="L5027" s="71"/>
      <c r="R5027" s="5"/>
    </row>
    <row r="5028" spans="12:18" x14ac:dyDescent="0.35">
      <c r="L5028" s="71"/>
      <c r="R5028" s="5"/>
    </row>
    <row r="5029" spans="12:18" x14ac:dyDescent="0.35">
      <c r="L5029" s="71"/>
      <c r="R5029" s="5"/>
    </row>
    <row r="5030" spans="12:18" x14ac:dyDescent="0.35">
      <c r="L5030" s="71"/>
      <c r="R5030" s="5"/>
    </row>
    <row r="5031" spans="12:18" x14ac:dyDescent="0.35">
      <c r="L5031" s="71"/>
      <c r="R5031" s="5"/>
    </row>
    <row r="5032" spans="12:18" x14ac:dyDescent="0.35">
      <c r="L5032" s="71"/>
      <c r="R5032" s="5"/>
    </row>
    <row r="5033" spans="12:18" x14ac:dyDescent="0.35">
      <c r="L5033" s="71"/>
      <c r="R5033" s="5"/>
    </row>
    <row r="5034" spans="12:18" x14ac:dyDescent="0.35">
      <c r="L5034" s="71"/>
      <c r="R5034" s="5"/>
    </row>
    <row r="5035" spans="12:18" x14ac:dyDescent="0.35">
      <c r="L5035" s="71"/>
      <c r="R5035" s="5"/>
    </row>
    <row r="5036" spans="12:18" x14ac:dyDescent="0.35">
      <c r="L5036" s="71"/>
      <c r="R5036" s="5"/>
    </row>
    <row r="5037" spans="12:18" x14ac:dyDescent="0.35">
      <c r="L5037" s="71"/>
      <c r="R5037" s="5"/>
    </row>
    <row r="5038" spans="12:18" x14ac:dyDescent="0.35">
      <c r="L5038" s="71"/>
      <c r="R5038" s="5"/>
    </row>
    <row r="5039" spans="12:18" x14ac:dyDescent="0.35">
      <c r="L5039" s="71"/>
      <c r="R5039" s="5"/>
    </row>
    <row r="5040" spans="12:18" x14ac:dyDescent="0.35">
      <c r="L5040" s="71"/>
      <c r="R5040" s="5"/>
    </row>
    <row r="5041" spans="12:18" x14ac:dyDescent="0.35">
      <c r="L5041" s="71"/>
      <c r="R5041" s="5"/>
    </row>
    <row r="5042" spans="12:18" x14ac:dyDescent="0.35">
      <c r="L5042" s="71"/>
      <c r="R5042" s="5"/>
    </row>
    <row r="5043" spans="12:18" x14ac:dyDescent="0.35">
      <c r="L5043" s="71"/>
      <c r="R5043" s="5"/>
    </row>
    <row r="5044" spans="12:18" x14ac:dyDescent="0.35">
      <c r="L5044" s="71"/>
      <c r="R5044" s="5"/>
    </row>
    <row r="5045" spans="12:18" x14ac:dyDescent="0.35">
      <c r="L5045" s="71"/>
      <c r="R5045" s="5"/>
    </row>
    <row r="5046" spans="12:18" x14ac:dyDescent="0.35">
      <c r="L5046" s="71"/>
      <c r="R5046" s="5"/>
    </row>
    <row r="5047" spans="12:18" x14ac:dyDescent="0.35">
      <c r="L5047" s="71"/>
      <c r="R5047" s="5"/>
    </row>
    <row r="5048" spans="12:18" x14ac:dyDescent="0.35">
      <c r="L5048" s="71"/>
      <c r="R5048" s="5"/>
    </row>
    <row r="5049" spans="12:18" x14ac:dyDescent="0.35">
      <c r="L5049" s="71"/>
      <c r="R5049" s="5"/>
    </row>
    <row r="5050" spans="12:18" x14ac:dyDescent="0.35">
      <c r="L5050" s="71"/>
      <c r="R5050" s="5"/>
    </row>
    <row r="5051" spans="12:18" x14ac:dyDescent="0.35">
      <c r="L5051" s="71"/>
      <c r="R5051" s="5"/>
    </row>
    <row r="5052" spans="12:18" x14ac:dyDescent="0.35">
      <c r="L5052" s="71"/>
      <c r="R5052" s="5"/>
    </row>
    <row r="5053" spans="12:18" x14ac:dyDescent="0.35">
      <c r="L5053" s="71"/>
      <c r="R5053" s="5"/>
    </row>
    <row r="5054" spans="12:18" x14ac:dyDescent="0.35">
      <c r="L5054" s="71"/>
      <c r="R5054" s="5"/>
    </row>
    <row r="5055" spans="12:18" x14ac:dyDescent="0.35">
      <c r="L5055" s="71"/>
      <c r="R5055" s="5"/>
    </row>
    <row r="5056" spans="12:18" x14ac:dyDescent="0.35">
      <c r="L5056" s="71"/>
      <c r="R5056" s="5"/>
    </row>
    <row r="5057" spans="12:18" x14ac:dyDescent="0.35">
      <c r="L5057" s="71"/>
      <c r="R5057" s="5"/>
    </row>
    <row r="5058" spans="12:18" x14ac:dyDescent="0.35">
      <c r="L5058" s="71"/>
      <c r="R5058" s="5"/>
    </row>
    <row r="5059" spans="12:18" x14ac:dyDescent="0.35">
      <c r="L5059" s="71"/>
      <c r="R5059" s="5"/>
    </row>
    <row r="5060" spans="12:18" x14ac:dyDescent="0.35">
      <c r="L5060" s="71"/>
      <c r="R5060" s="5"/>
    </row>
    <row r="5061" spans="12:18" x14ac:dyDescent="0.35">
      <c r="L5061" s="71"/>
      <c r="R5061" s="5"/>
    </row>
    <row r="5062" spans="12:18" x14ac:dyDescent="0.35">
      <c r="L5062" s="71"/>
      <c r="R5062" s="5"/>
    </row>
    <row r="5063" spans="12:18" x14ac:dyDescent="0.35">
      <c r="L5063" s="71"/>
      <c r="R5063" s="5"/>
    </row>
    <row r="5064" spans="12:18" x14ac:dyDescent="0.35">
      <c r="L5064" s="71"/>
      <c r="R5064" s="5"/>
    </row>
    <row r="5065" spans="12:18" x14ac:dyDescent="0.35">
      <c r="L5065" s="71"/>
      <c r="R5065" s="5"/>
    </row>
    <row r="5066" spans="12:18" x14ac:dyDescent="0.35">
      <c r="L5066" s="71"/>
      <c r="R5066" s="5"/>
    </row>
    <row r="5067" spans="12:18" x14ac:dyDescent="0.35">
      <c r="L5067" s="71"/>
      <c r="R5067" s="5"/>
    </row>
    <row r="5068" spans="12:18" x14ac:dyDescent="0.35">
      <c r="L5068" s="71"/>
      <c r="R5068" s="5"/>
    </row>
    <row r="5069" spans="12:18" x14ac:dyDescent="0.35">
      <c r="L5069" s="71"/>
      <c r="R5069" s="5"/>
    </row>
    <row r="5070" spans="12:18" x14ac:dyDescent="0.35">
      <c r="L5070" s="71"/>
      <c r="R5070" s="5"/>
    </row>
    <row r="5071" spans="12:18" x14ac:dyDescent="0.35">
      <c r="L5071" s="71"/>
      <c r="R5071" s="5"/>
    </row>
    <row r="5072" spans="12:18" x14ac:dyDescent="0.35">
      <c r="L5072" s="71"/>
      <c r="R5072" s="5"/>
    </row>
    <row r="5073" spans="12:18" x14ac:dyDescent="0.35">
      <c r="L5073" s="71"/>
      <c r="R5073" s="5"/>
    </row>
    <row r="5074" spans="12:18" x14ac:dyDescent="0.35">
      <c r="L5074" s="71"/>
      <c r="R5074" s="5"/>
    </row>
    <row r="5075" spans="12:18" x14ac:dyDescent="0.35">
      <c r="L5075" s="71"/>
      <c r="R5075" s="5"/>
    </row>
    <row r="5076" spans="12:18" x14ac:dyDescent="0.35">
      <c r="L5076" s="71"/>
      <c r="R5076" s="5"/>
    </row>
    <row r="5077" spans="12:18" x14ac:dyDescent="0.35">
      <c r="L5077" s="71"/>
      <c r="R5077" s="5"/>
    </row>
    <row r="5078" spans="12:18" x14ac:dyDescent="0.35">
      <c r="L5078" s="71"/>
      <c r="R5078" s="5"/>
    </row>
    <row r="5079" spans="12:18" x14ac:dyDescent="0.35">
      <c r="L5079" s="71"/>
      <c r="R5079" s="5"/>
    </row>
    <row r="5080" spans="12:18" x14ac:dyDescent="0.35">
      <c r="L5080" s="71"/>
      <c r="R5080" s="5"/>
    </row>
    <row r="5081" spans="12:18" x14ac:dyDescent="0.35">
      <c r="L5081" s="71"/>
      <c r="R5081" s="5"/>
    </row>
    <row r="5082" spans="12:18" x14ac:dyDescent="0.35">
      <c r="L5082" s="71"/>
      <c r="R5082" s="5"/>
    </row>
    <row r="5083" spans="12:18" x14ac:dyDescent="0.35">
      <c r="L5083" s="71"/>
      <c r="R5083" s="5"/>
    </row>
    <row r="5084" spans="12:18" x14ac:dyDescent="0.35">
      <c r="L5084" s="71"/>
      <c r="R5084" s="5"/>
    </row>
    <row r="5085" spans="12:18" x14ac:dyDescent="0.35">
      <c r="L5085" s="71"/>
      <c r="R5085" s="5"/>
    </row>
    <row r="5086" spans="12:18" x14ac:dyDescent="0.35">
      <c r="L5086" s="71"/>
      <c r="R5086" s="5"/>
    </row>
    <row r="5087" spans="12:18" x14ac:dyDescent="0.35">
      <c r="L5087" s="71"/>
      <c r="R5087" s="5"/>
    </row>
    <row r="5088" spans="12:18" x14ac:dyDescent="0.35">
      <c r="L5088" s="71"/>
      <c r="R5088" s="5"/>
    </row>
    <row r="5089" spans="12:18" x14ac:dyDescent="0.35">
      <c r="L5089" s="71"/>
      <c r="R5089" s="5"/>
    </row>
    <row r="5090" spans="12:18" x14ac:dyDescent="0.35">
      <c r="L5090" s="71"/>
      <c r="R5090" s="5"/>
    </row>
    <row r="5091" spans="12:18" x14ac:dyDescent="0.35">
      <c r="L5091" s="71"/>
      <c r="R5091" s="5"/>
    </row>
    <row r="5092" spans="12:18" x14ac:dyDescent="0.35">
      <c r="L5092" s="71"/>
      <c r="R5092" s="5"/>
    </row>
    <row r="5093" spans="12:18" x14ac:dyDescent="0.35">
      <c r="L5093" s="71"/>
      <c r="R5093" s="5"/>
    </row>
    <row r="5094" spans="12:18" x14ac:dyDescent="0.35">
      <c r="L5094" s="71"/>
      <c r="R5094" s="5"/>
    </row>
    <row r="5095" spans="12:18" x14ac:dyDescent="0.35">
      <c r="L5095" s="71"/>
      <c r="R5095" s="5"/>
    </row>
    <row r="5096" spans="12:18" x14ac:dyDescent="0.35">
      <c r="L5096" s="71"/>
      <c r="R5096" s="5"/>
    </row>
    <row r="5097" spans="12:18" x14ac:dyDescent="0.35">
      <c r="L5097" s="71"/>
      <c r="R5097" s="5"/>
    </row>
    <row r="5098" spans="12:18" x14ac:dyDescent="0.35">
      <c r="L5098" s="71"/>
      <c r="R5098" s="5"/>
    </row>
    <row r="5099" spans="12:18" x14ac:dyDescent="0.35">
      <c r="L5099" s="71"/>
      <c r="R5099" s="5"/>
    </row>
    <row r="5100" spans="12:18" x14ac:dyDescent="0.35">
      <c r="L5100" s="71"/>
      <c r="R5100" s="5"/>
    </row>
    <row r="5101" spans="12:18" x14ac:dyDescent="0.35">
      <c r="L5101" s="71"/>
      <c r="R5101" s="5"/>
    </row>
    <row r="5102" spans="12:18" x14ac:dyDescent="0.35">
      <c r="L5102" s="71"/>
      <c r="R5102" s="5"/>
    </row>
    <row r="5103" spans="12:18" x14ac:dyDescent="0.35">
      <c r="L5103" s="71"/>
      <c r="R5103" s="5"/>
    </row>
    <row r="5104" spans="12:18" x14ac:dyDescent="0.35">
      <c r="L5104" s="71"/>
      <c r="R5104" s="5"/>
    </row>
    <row r="5105" spans="12:18" x14ac:dyDescent="0.35">
      <c r="L5105" s="71"/>
      <c r="R5105" s="5"/>
    </row>
    <row r="5106" spans="12:18" x14ac:dyDescent="0.35">
      <c r="L5106" s="71"/>
      <c r="R5106" s="5"/>
    </row>
    <row r="5107" spans="12:18" x14ac:dyDescent="0.35">
      <c r="L5107" s="71"/>
      <c r="R5107" s="5"/>
    </row>
    <row r="5108" spans="12:18" x14ac:dyDescent="0.35">
      <c r="L5108" s="71"/>
      <c r="R5108" s="5"/>
    </row>
    <row r="5109" spans="12:18" x14ac:dyDescent="0.35">
      <c r="L5109" s="71"/>
      <c r="R5109" s="5"/>
    </row>
    <row r="5110" spans="12:18" x14ac:dyDescent="0.35">
      <c r="L5110" s="71"/>
      <c r="R5110" s="5"/>
    </row>
    <row r="5111" spans="12:18" x14ac:dyDescent="0.35">
      <c r="L5111" s="71"/>
      <c r="R5111" s="5"/>
    </row>
    <row r="5112" spans="12:18" x14ac:dyDescent="0.35">
      <c r="L5112" s="71"/>
      <c r="R5112" s="5"/>
    </row>
    <row r="5113" spans="12:18" x14ac:dyDescent="0.35">
      <c r="L5113" s="71"/>
      <c r="R5113" s="5"/>
    </row>
    <row r="5114" spans="12:18" x14ac:dyDescent="0.35">
      <c r="L5114" s="71"/>
      <c r="R5114" s="5"/>
    </row>
    <row r="5115" spans="12:18" x14ac:dyDescent="0.35">
      <c r="L5115" s="71"/>
      <c r="R5115" s="5"/>
    </row>
    <row r="5116" spans="12:18" x14ac:dyDescent="0.35">
      <c r="L5116" s="71"/>
      <c r="R5116" s="5"/>
    </row>
    <row r="5117" spans="12:18" x14ac:dyDescent="0.35">
      <c r="L5117" s="71"/>
      <c r="R5117" s="5"/>
    </row>
    <row r="5118" spans="12:18" x14ac:dyDescent="0.35">
      <c r="L5118" s="71"/>
      <c r="R5118" s="5"/>
    </row>
    <row r="5119" spans="12:18" x14ac:dyDescent="0.35">
      <c r="L5119" s="71"/>
      <c r="R5119" s="5"/>
    </row>
    <row r="5120" spans="12:18" x14ac:dyDescent="0.35">
      <c r="L5120" s="71"/>
      <c r="R5120" s="5"/>
    </row>
    <row r="5121" spans="12:18" x14ac:dyDescent="0.35">
      <c r="L5121" s="71"/>
      <c r="R5121" s="5"/>
    </row>
    <row r="5122" spans="12:18" x14ac:dyDescent="0.35">
      <c r="L5122" s="71"/>
      <c r="R5122" s="5"/>
    </row>
    <row r="5123" spans="12:18" x14ac:dyDescent="0.35">
      <c r="L5123" s="71"/>
      <c r="R5123" s="5"/>
    </row>
    <row r="5124" spans="12:18" x14ac:dyDescent="0.35">
      <c r="L5124" s="71"/>
      <c r="R5124" s="5"/>
    </row>
    <row r="5125" spans="12:18" x14ac:dyDescent="0.35">
      <c r="L5125" s="71"/>
      <c r="R5125" s="5"/>
    </row>
    <row r="5126" spans="12:18" x14ac:dyDescent="0.35">
      <c r="L5126" s="71"/>
      <c r="R5126" s="5"/>
    </row>
    <row r="5127" spans="12:18" x14ac:dyDescent="0.35">
      <c r="L5127" s="71"/>
      <c r="R5127" s="5"/>
    </row>
    <row r="5128" spans="12:18" x14ac:dyDescent="0.35">
      <c r="L5128" s="71"/>
      <c r="R5128" s="5"/>
    </row>
    <row r="5129" spans="12:18" x14ac:dyDescent="0.35">
      <c r="L5129" s="71"/>
      <c r="R5129" s="5"/>
    </row>
    <row r="5130" spans="12:18" x14ac:dyDescent="0.35">
      <c r="L5130" s="71"/>
      <c r="R5130" s="5"/>
    </row>
    <row r="5131" spans="12:18" x14ac:dyDescent="0.35">
      <c r="L5131" s="71"/>
      <c r="R5131" s="5"/>
    </row>
    <row r="5132" spans="12:18" x14ac:dyDescent="0.35">
      <c r="L5132" s="71"/>
      <c r="R5132" s="5"/>
    </row>
    <row r="5133" spans="12:18" x14ac:dyDescent="0.35">
      <c r="L5133" s="71"/>
      <c r="R5133" s="5"/>
    </row>
    <row r="5134" spans="12:18" x14ac:dyDescent="0.35">
      <c r="L5134" s="71"/>
      <c r="R5134" s="5"/>
    </row>
    <row r="5135" spans="12:18" x14ac:dyDescent="0.35">
      <c r="L5135" s="71"/>
      <c r="R5135" s="5"/>
    </row>
    <row r="5136" spans="12:18" x14ac:dyDescent="0.35">
      <c r="L5136" s="71"/>
      <c r="R5136" s="5"/>
    </row>
    <row r="5137" spans="12:18" x14ac:dyDescent="0.35">
      <c r="L5137" s="71"/>
      <c r="R5137" s="5"/>
    </row>
    <row r="5138" spans="12:18" x14ac:dyDescent="0.35">
      <c r="L5138" s="71"/>
      <c r="R5138" s="5"/>
    </row>
    <row r="5139" spans="12:18" x14ac:dyDescent="0.35">
      <c r="L5139" s="71"/>
      <c r="R5139" s="5"/>
    </row>
    <row r="5140" spans="12:18" x14ac:dyDescent="0.35">
      <c r="L5140" s="71"/>
      <c r="R5140" s="5"/>
    </row>
    <row r="5141" spans="12:18" x14ac:dyDescent="0.35">
      <c r="L5141" s="71"/>
      <c r="R5141" s="5"/>
    </row>
    <row r="5142" spans="12:18" x14ac:dyDescent="0.35">
      <c r="L5142" s="71"/>
      <c r="R5142" s="5"/>
    </row>
    <row r="5143" spans="12:18" x14ac:dyDescent="0.35">
      <c r="L5143" s="71"/>
      <c r="R5143" s="5"/>
    </row>
    <row r="5144" spans="12:18" x14ac:dyDescent="0.35">
      <c r="L5144" s="71"/>
      <c r="R5144" s="5"/>
    </row>
    <row r="5145" spans="12:18" x14ac:dyDescent="0.35">
      <c r="L5145" s="71"/>
      <c r="R5145" s="5"/>
    </row>
    <row r="5146" spans="12:18" x14ac:dyDescent="0.35">
      <c r="L5146" s="71"/>
      <c r="R5146" s="5"/>
    </row>
    <row r="5147" spans="12:18" x14ac:dyDescent="0.35">
      <c r="L5147" s="71"/>
      <c r="R5147" s="5"/>
    </row>
    <row r="5148" spans="12:18" x14ac:dyDescent="0.35">
      <c r="L5148" s="71"/>
      <c r="R5148" s="5"/>
    </row>
    <row r="5149" spans="12:18" x14ac:dyDescent="0.35">
      <c r="L5149" s="71"/>
      <c r="R5149" s="5"/>
    </row>
    <row r="5150" spans="12:18" x14ac:dyDescent="0.35">
      <c r="L5150" s="71"/>
      <c r="R5150" s="5"/>
    </row>
    <row r="5151" spans="12:18" x14ac:dyDescent="0.35">
      <c r="L5151" s="71"/>
      <c r="R5151" s="5"/>
    </row>
    <row r="5152" spans="12:18" x14ac:dyDescent="0.35">
      <c r="L5152" s="71"/>
      <c r="R5152" s="5"/>
    </row>
    <row r="5153" spans="12:18" x14ac:dyDescent="0.35">
      <c r="L5153" s="71"/>
      <c r="R5153" s="5"/>
    </row>
    <row r="5154" spans="12:18" x14ac:dyDescent="0.35">
      <c r="L5154" s="71"/>
      <c r="R5154" s="5"/>
    </row>
    <row r="5155" spans="12:18" x14ac:dyDescent="0.35">
      <c r="L5155" s="71"/>
      <c r="R5155" s="5"/>
    </row>
    <row r="5156" spans="12:18" x14ac:dyDescent="0.35">
      <c r="L5156" s="71"/>
      <c r="R5156" s="5"/>
    </row>
    <row r="5157" spans="12:18" x14ac:dyDescent="0.35">
      <c r="L5157" s="71"/>
      <c r="R5157" s="5"/>
    </row>
    <row r="5158" spans="12:18" x14ac:dyDescent="0.35">
      <c r="L5158" s="71"/>
      <c r="R5158" s="5"/>
    </row>
    <row r="5159" spans="12:18" x14ac:dyDescent="0.35">
      <c r="L5159" s="71"/>
      <c r="R5159" s="5"/>
    </row>
    <row r="5160" spans="12:18" x14ac:dyDescent="0.35">
      <c r="L5160" s="71"/>
      <c r="R5160" s="5"/>
    </row>
    <row r="5161" spans="12:18" x14ac:dyDescent="0.35">
      <c r="L5161" s="71"/>
      <c r="R5161" s="5"/>
    </row>
    <row r="5162" spans="12:18" x14ac:dyDescent="0.35">
      <c r="L5162" s="71"/>
      <c r="R5162" s="5"/>
    </row>
    <row r="5163" spans="12:18" x14ac:dyDescent="0.35">
      <c r="L5163" s="71"/>
      <c r="R5163" s="5"/>
    </row>
    <row r="5164" spans="12:18" x14ac:dyDescent="0.35">
      <c r="L5164" s="71"/>
      <c r="R5164" s="5"/>
    </row>
    <row r="5165" spans="12:18" x14ac:dyDescent="0.35">
      <c r="L5165" s="71"/>
      <c r="R5165" s="5"/>
    </row>
    <row r="5166" spans="12:18" x14ac:dyDescent="0.35">
      <c r="L5166" s="71"/>
      <c r="R5166" s="5"/>
    </row>
    <row r="5167" spans="12:18" x14ac:dyDescent="0.35">
      <c r="L5167" s="71"/>
      <c r="R5167" s="5"/>
    </row>
    <row r="5168" spans="12:18" x14ac:dyDescent="0.35">
      <c r="L5168" s="71"/>
      <c r="R5168" s="5"/>
    </row>
    <row r="5169" spans="12:18" x14ac:dyDescent="0.35">
      <c r="L5169" s="71"/>
      <c r="R5169" s="5"/>
    </row>
    <row r="5170" spans="12:18" x14ac:dyDescent="0.35">
      <c r="L5170" s="71"/>
      <c r="R5170" s="5"/>
    </row>
    <row r="5171" spans="12:18" x14ac:dyDescent="0.35">
      <c r="L5171" s="71"/>
      <c r="R5171" s="5"/>
    </row>
    <row r="5172" spans="12:18" x14ac:dyDescent="0.35">
      <c r="L5172" s="71"/>
      <c r="R5172" s="5"/>
    </row>
    <row r="5173" spans="12:18" x14ac:dyDescent="0.35">
      <c r="L5173" s="71"/>
      <c r="R5173" s="5"/>
    </row>
    <row r="5174" spans="12:18" x14ac:dyDescent="0.35">
      <c r="L5174" s="71"/>
      <c r="R5174" s="5"/>
    </row>
    <row r="5175" spans="12:18" x14ac:dyDescent="0.35">
      <c r="L5175" s="71"/>
      <c r="R5175" s="5"/>
    </row>
    <row r="5176" spans="12:18" x14ac:dyDescent="0.35">
      <c r="L5176" s="71"/>
      <c r="R5176" s="5"/>
    </row>
    <row r="5177" spans="12:18" x14ac:dyDescent="0.35">
      <c r="L5177" s="71"/>
      <c r="R5177" s="5"/>
    </row>
    <row r="5178" spans="12:18" x14ac:dyDescent="0.35">
      <c r="L5178" s="71"/>
      <c r="R5178" s="5"/>
    </row>
    <row r="5179" spans="12:18" x14ac:dyDescent="0.35">
      <c r="L5179" s="71"/>
      <c r="R5179" s="5"/>
    </row>
    <row r="5180" spans="12:18" x14ac:dyDescent="0.35">
      <c r="L5180" s="71"/>
      <c r="R5180" s="5"/>
    </row>
    <row r="5181" spans="12:18" x14ac:dyDescent="0.35">
      <c r="L5181" s="71"/>
      <c r="R5181" s="5"/>
    </row>
    <row r="5182" spans="12:18" x14ac:dyDescent="0.35">
      <c r="L5182" s="71"/>
      <c r="R5182" s="5"/>
    </row>
    <row r="5183" spans="12:18" x14ac:dyDescent="0.35">
      <c r="L5183" s="71"/>
      <c r="R5183" s="5"/>
    </row>
    <row r="5184" spans="12:18" x14ac:dyDescent="0.35">
      <c r="L5184" s="71"/>
      <c r="R5184" s="5"/>
    </row>
    <row r="5185" spans="12:18" x14ac:dyDescent="0.35">
      <c r="L5185" s="71"/>
      <c r="R5185" s="5"/>
    </row>
    <row r="5186" spans="12:18" x14ac:dyDescent="0.35">
      <c r="L5186" s="71"/>
      <c r="R5186" s="5"/>
    </row>
    <row r="5187" spans="12:18" x14ac:dyDescent="0.35">
      <c r="L5187" s="71"/>
      <c r="R5187" s="5"/>
    </row>
    <row r="5188" spans="12:18" x14ac:dyDescent="0.35">
      <c r="L5188" s="71"/>
      <c r="R5188" s="5"/>
    </row>
    <row r="5189" spans="12:18" x14ac:dyDescent="0.35">
      <c r="L5189" s="71"/>
      <c r="R5189" s="5"/>
    </row>
    <row r="5190" spans="12:18" x14ac:dyDescent="0.35">
      <c r="L5190" s="71"/>
      <c r="R5190" s="5"/>
    </row>
    <row r="5191" spans="12:18" x14ac:dyDescent="0.35">
      <c r="L5191" s="71"/>
      <c r="R5191" s="5"/>
    </row>
    <row r="5192" spans="12:18" x14ac:dyDescent="0.35">
      <c r="L5192" s="71"/>
      <c r="R5192" s="5"/>
    </row>
    <row r="5193" spans="12:18" x14ac:dyDescent="0.35">
      <c r="L5193" s="71"/>
      <c r="R5193" s="5"/>
    </row>
    <row r="5194" spans="12:18" x14ac:dyDescent="0.35">
      <c r="L5194" s="71"/>
      <c r="R5194" s="5"/>
    </row>
    <row r="5195" spans="12:18" x14ac:dyDescent="0.35">
      <c r="L5195" s="71"/>
      <c r="R5195" s="5"/>
    </row>
    <row r="5196" spans="12:18" x14ac:dyDescent="0.35">
      <c r="L5196" s="71"/>
      <c r="R5196" s="5"/>
    </row>
    <row r="5197" spans="12:18" x14ac:dyDescent="0.35">
      <c r="L5197" s="71"/>
      <c r="R5197" s="5"/>
    </row>
    <row r="5198" spans="12:18" x14ac:dyDescent="0.35">
      <c r="L5198" s="71"/>
      <c r="R5198" s="5"/>
    </row>
    <row r="5199" spans="12:18" x14ac:dyDescent="0.35">
      <c r="L5199" s="71"/>
      <c r="R5199" s="5"/>
    </row>
    <row r="5200" spans="12:18" x14ac:dyDescent="0.35">
      <c r="L5200" s="71"/>
      <c r="R5200" s="5"/>
    </row>
    <row r="5201" spans="12:18" x14ac:dyDescent="0.35">
      <c r="L5201" s="71"/>
      <c r="R5201" s="5"/>
    </row>
    <row r="5202" spans="12:18" x14ac:dyDescent="0.35">
      <c r="L5202" s="71"/>
      <c r="R5202" s="5"/>
    </row>
    <row r="5203" spans="12:18" x14ac:dyDescent="0.35">
      <c r="L5203" s="71"/>
      <c r="R5203" s="5"/>
    </row>
    <row r="5204" spans="12:18" x14ac:dyDescent="0.35">
      <c r="L5204" s="71"/>
      <c r="R5204" s="5"/>
    </row>
    <row r="5205" spans="12:18" x14ac:dyDescent="0.35">
      <c r="L5205" s="71"/>
      <c r="R5205" s="5"/>
    </row>
    <row r="5206" spans="12:18" x14ac:dyDescent="0.35">
      <c r="L5206" s="71"/>
      <c r="R5206" s="5"/>
    </row>
    <row r="5207" spans="12:18" x14ac:dyDescent="0.35">
      <c r="L5207" s="71"/>
      <c r="R5207" s="5"/>
    </row>
    <row r="5208" spans="12:18" x14ac:dyDescent="0.35">
      <c r="L5208" s="71"/>
      <c r="R5208" s="5"/>
    </row>
    <row r="5209" spans="12:18" x14ac:dyDescent="0.35">
      <c r="L5209" s="71"/>
      <c r="R5209" s="5"/>
    </row>
    <row r="5210" spans="12:18" x14ac:dyDescent="0.35">
      <c r="L5210" s="71"/>
      <c r="R5210" s="5"/>
    </row>
    <row r="5211" spans="12:18" x14ac:dyDescent="0.35">
      <c r="L5211" s="71"/>
      <c r="R5211" s="5"/>
    </row>
    <row r="5212" spans="12:18" x14ac:dyDescent="0.35">
      <c r="L5212" s="71"/>
      <c r="R5212" s="5"/>
    </row>
    <row r="5213" spans="12:18" x14ac:dyDescent="0.35">
      <c r="L5213" s="71"/>
      <c r="R5213" s="5"/>
    </row>
    <row r="5214" spans="12:18" x14ac:dyDescent="0.35">
      <c r="L5214" s="71"/>
      <c r="R5214" s="5"/>
    </row>
    <row r="5215" spans="12:18" x14ac:dyDescent="0.35">
      <c r="L5215" s="71"/>
      <c r="R5215" s="5"/>
    </row>
    <row r="5216" spans="12:18" x14ac:dyDescent="0.35">
      <c r="L5216" s="71"/>
      <c r="R5216" s="5"/>
    </row>
    <row r="5217" spans="12:18" x14ac:dyDescent="0.35">
      <c r="L5217" s="71"/>
      <c r="R5217" s="5"/>
    </row>
    <row r="5218" spans="12:18" x14ac:dyDescent="0.35">
      <c r="L5218" s="71"/>
      <c r="R5218" s="5"/>
    </row>
    <row r="5219" spans="12:18" x14ac:dyDescent="0.35">
      <c r="L5219" s="71"/>
      <c r="R5219" s="5"/>
    </row>
    <row r="5220" spans="12:18" x14ac:dyDescent="0.35">
      <c r="L5220" s="71"/>
      <c r="R5220" s="5"/>
    </row>
    <row r="5221" spans="12:18" x14ac:dyDescent="0.35">
      <c r="L5221" s="71"/>
      <c r="R5221" s="5"/>
    </row>
    <row r="5222" spans="12:18" x14ac:dyDescent="0.35">
      <c r="L5222" s="71"/>
      <c r="R5222" s="5"/>
    </row>
    <row r="5223" spans="12:18" x14ac:dyDescent="0.35">
      <c r="L5223" s="71"/>
      <c r="R5223" s="5"/>
    </row>
    <row r="5224" spans="12:18" x14ac:dyDescent="0.35">
      <c r="L5224" s="71"/>
      <c r="R5224" s="5"/>
    </row>
    <row r="5225" spans="12:18" x14ac:dyDescent="0.35">
      <c r="L5225" s="71"/>
      <c r="R5225" s="5"/>
    </row>
    <row r="5226" spans="12:18" x14ac:dyDescent="0.35">
      <c r="L5226" s="71"/>
      <c r="R5226" s="5"/>
    </row>
    <row r="5227" spans="12:18" x14ac:dyDescent="0.35">
      <c r="L5227" s="71"/>
      <c r="R5227" s="5"/>
    </row>
    <row r="5228" spans="12:18" x14ac:dyDescent="0.35">
      <c r="L5228" s="71"/>
      <c r="R5228" s="5"/>
    </row>
    <row r="5229" spans="12:18" x14ac:dyDescent="0.35">
      <c r="L5229" s="71"/>
      <c r="R5229" s="5"/>
    </row>
    <row r="5230" spans="12:18" x14ac:dyDescent="0.35">
      <c r="L5230" s="71"/>
      <c r="R5230" s="5"/>
    </row>
    <row r="5231" spans="12:18" x14ac:dyDescent="0.35">
      <c r="L5231" s="71"/>
      <c r="R5231" s="5"/>
    </row>
    <row r="5232" spans="12:18" x14ac:dyDescent="0.35">
      <c r="L5232" s="71"/>
      <c r="R5232" s="5"/>
    </row>
    <row r="5233" spans="12:18" x14ac:dyDescent="0.35">
      <c r="L5233" s="71"/>
      <c r="R5233" s="5"/>
    </row>
    <row r="5234" spans="12:18" x14ac:dyDescent="0.35">
      <c r="L5234" s="71"/>
      <c r="R5234" s="5"/>
    </row>
    <row r="5235" spans="12:18" x14ac:dyDescent="0.35">
      <c r="L5235" s="71"/>
      <c r="R5235" s="5"/>
    </row>
    <row r="5236" spans="12:18" x14ac:dyDescent="0.35">
      <c r="L5236" s="71"/>
      <c r="R5236" s="5"/>
    </row>
    <row r="5237" spans="12:18" x14ac:dyDescent="0.35">
      <c r="L5237" s="71"/>
      <c r="R5237" s="5"/>
    </row>
    <row r="5238" spans="12:18" x14ac:dyDescent="0.35">
      <c r="L5238" s="71"/>
      <c r="R5238" s="5"/>
    </row>
    <row r="5239" spans="12:18" x14ac:dyDescent="0.35">
      <c r="L5239" s="71"/>
      <c r="R5239" s="5"/>
    </row>
    <row r="5240" spans="12:18" x14ac:dyDescent="0.35">
      <c r="L5240" s="71"/>
      <c r="R5240" s="5"/>
    </row>
    <row r="5241" spans="12:18" x14ac:dyDescent="0.35">
      <c r="L5241" s="71"/>
      <c r="R5241" s="5"/>
    </row>
    <row r="5242" spans="12:18" x14ac:dyDescent="0.35">
      <c r="L5242" s="71"/>
      <c r="R5242" s="5"/>
    </row>
    <row r="5243" spans="12:18" x14ac:dyDescent="0.35">
      <c r="L5243" s="71"/>
      <c r="R5243" s="5"/>
    </row>
    <row r="5244" spans="12:18" x14ac:dyDescent="0.35">
      <c r="L5244" s="71"/>
      <c r="R5244" s="5"/>
    </row>
    <row r="5245" spans="12:18" x14ac:dyDescent="0.35">
      <c r="L5245" s="71"/>
      <c r="R5245" s="5"/>
    </row>
    <row r="5246" spans="12:18" x14ac:dyDescent="0.35">
      <c r="L5246" s="71"/>
      <c r="R5246" s="5"/>
    </row>
    <row r="5247" spans="12:18" x14ac:dyDescent="0.35">
      <c r="L5247" s="71"/>
      <c r="R5247" s="5"/>
    </row>
    <row r="5248" spans="12:18" x14ac:dyDescent="0.35">
      <c r="L5248" s="71"/>
      <c r="R5248" s="5"/>
    </row>
    <row r="5249" spans="12:18" x14ac:dyDescent="0.35">
      <c r="L5249" s="71"/>
      <c r="R5249" s="5"/>
    </row>
    <row r="5250" spans="12:18" x14ac:dyDescent="0.35">
      <c r="L5250" s="71"/>
      <c r="R5250" s="5"/>
    </row>
    <row r="5251" spans="12:18" x14ac:dyDescent="0.35">
      <c r="L5251" s="71"/>
      <c r="R5251" s="5"/>
    </row>
    <row r="5252" spans="12:18" x14ac:dyDescent="0.35">
      <c r="L5252" s="71"/>
      <c r="R5252" s="5"/>
    </row>
    <row r="5253" spans="12:18" x14ac:dyDescent="0.35">
      <c r="L5253" s="71"/>
      <c r="R5253" s="5"/>
    </row>
    <row r="5254" spans="12:18" x14ac:dyDescent="0.35">
      <c r="L5254" s="71"/>
      <c r="R5254" s="5"/>
    </row>
    <row r="5255" spans="12:18" x14ac:dyDescent="0.35">
      <c r="L5255" s="71"/>
      <c r="R5255" s="5"/>
    </row>
    <row r="5256" spans="12:18" x14ac:dyDescent="0.35">
      <c r="L5256" s="71"/>
      <c r="R5256" s="5"/>
    </row>
    <row r="5257" spans="12:18" x14ac:dyDescent="0.35">
      <c r="L5257" s="71"/>
      <c r="R5257" s="5"/>
    </row>
    <row r="5258" spans="12:18" x14ac:dyDescent="0.35">
      <c r="L5258" s="71"/>
      <c r="R5258" s="5"/>
    </row>
    <row r="5259" spans="12:18" x14ac:dyDescent="0.35">
      <c r="L5259" s="71"/>
      <c r="R5259" s="5"/>
    </row>
    <row r="5260" spans="12:18" x14ac:dyDescent="0.35">
      <c r="L5260" s="71"/>
      <c r="R5260" s="5"/>
    </row>
    <row r="5261" spans="12:18" x14ac:dyDescent="0.35">
      <c r="L5261" s="71"/>
      <c r="R5261" s="5"/>
    </row>
    <row r="5262" spans="12:18" x14ac:dyDescent="0.35">
      <c r="L5262" s="71"/>
      <c r="R5262" s="5"/>
    </row>
    <row r="5263" spans="12:18" x14ac:dyDescent="0.35">
      <c r="L5263" s="71"/>
      <c r="R5263" s="5"/>
    </row>
    <row r="5264" spans="12:18" x14ac:dyDescent="0.35">
      <c r="L5264" s="71"/>
      <c r="R5264" s="5"/>
    </row>
    <row r="5265" spans="12:18" x14ac:dyDescent="0.35">
      <c r="L5265" s="71"/>
      <c r="R5265" s="5"/>
    </row>
    <row r="5266" spans="12:18" x14ac:dyDescent="0.35">
      <c r="L5266" s="71"/>
      <c r="R5266" s="5"/>
    </row>
    <row r="5267" spans="12:18" x14ac:dyDescent="0.35">
      <c r="L5267" s="71"/>
      <c r="R5267" s="5"/>
    </row>
    <row r="5268" spans="12:18" x14ac:dyDescent="0.35">
      <c r="L5268" s="71"/>
      <c r="R5268" s="5"/>
    </row>
    <row r="5269" spans="12:18" x14ac:dyDescent="0.35">
      <c r="L5269" s="71"/>
      <c r="R5269" s="5"/>
    </row>
    <row r="5270" spans="12:18" x14ac:dyDescent="0.35">
      <c r="L5270" s="71"/>
      <c r="R5270" s="5"/>
    </row>
    <row r="5271" spans="12:18" x14ac:dyDescent="0.35">
      <c r="L5271" s="71"/>
      <c r="R5271" s="5"/>
    </row>
    <row r="5272" spans="12:18" x14ac:dyDescent="0.35">
      <c r="L5272" s="71"/>
      <c r="R5272" s="5"/>
    </row>
    <row r="5273" spans="12:18" x14ac:dyDescent="0.35">
      <c r="L5273" s="71"/>
      <c r="R5273" s="5"/>
    </row>
    <row r="5274" spans="12:18" x14ac:dyDescent="0.35">
      <c r="L5274" s="71"/>
      <c r="R5274" s="5"/>
    </row>
    <row r="5275" spans="12:18" x14ac:dyDescent="0.35">
      <c r="L5275" s="71"/>
      <c r="R5275" s="5"/>
    </row>
    <row r="5276" spans="12:18" x14ac:dyDescent="0.35">
      <c r="L5276" s="71"/>
      <c r="R5276" s="5"/>
    </row>
    <row r="5277" spans="12:18" x14ac:dyDescent="0.35">
      <c r="L5277" s="71"/>
      <c r="R5277" s="5"/>
    </row>
    <row r="5278" spans="12:18" x14ac:dyDescent="0.35">
      <c r="L5278" s="71"/>
      <c r="R5278" s="5"/>
    </row>
    <row r="5279" spans="12:18" x14ac:dyDescent="0.35">
      <c r="L5279" s="71"/>
      <c r="R5279" s="5"/>
    </row>
    <row r="5280" spans="12:18" x14ac:dyDescent="0.35">
      <c r="L5280" s="71"/>
      <c r="R5280" s="5"/>
    </row>
    <row r="5281" spans="12:18" x14ac:dyDescent="0.35">
      <c r="L5281" s="71"/>
      <c r="R5281" s="5"/>
    </row>
    <row r="5282" spans="12:18" x14ac:dyDescent="0.35">
      <c r="L5282" s="71"/>
      <c r="R5282" s="5"/>
    </row>
    <row r="5283" spans="12:18" x14ac:dyDescent="0.35">
      <c r="L5283" s="71"/>
      <c r="R5283" s="5"/>
    </row>
    <row r="5284" spans="12:18" x14ac:dyDescent="0.35">
      <c r="L5284" s="71"/>
      <c r="R5284" s="5"/>
    </row>
    <row r="5285" spans="12:18" x14ac:dyDescent="0.35">
      <c r="L5285" s="71"/>
      <c r="R5285" s="5"/>
    </row>
    <row r="5286" spans="12:18" x14ac:dyDescent="0.35">
      <c r="L5286" s="71"/>
      <c r="R5286" s="5"/>
    </row>
    <row r="5287" spans="12:18" x14ac:dyDescent="0.35">
      <c r="L5287" s="71"/>
      <c r="R5287" s="5"/>
    </row>
    <row r="5288" spans="12:18" x14ac:dyDescent="0.35">
      <c r="L5288" s="71"/>
      <c r="R5288" s="5"/>
    </row>
    <row r="5289" spans="12:18" x14ac:dyDescent="0.35">
      <c r="L5289" s="71"/>
      <c r="R5289" s="5"/>
    </row>
    <row r="5290" spans="12:18" x14ac:dyDescent="0.35">
      <c r="L5290" s="71"/>
      <c r="R5290" s="5"/>
    </row>
    <row r="5291" spans="12:18" x14ac:dyDescent="0.35">
      <c r="L5291" s="71"/>
      <c r="R5291" s="5"/>
    </row>
    <row r="5292" spans="12:18" x14ac:dyDescent="0.35">
      <c r="L5292" s="71"/>
      <c r="R5292" s="5"/>
    </row>
    <row r="5293" spans="12:18" x14ac:dyDescent="0.35">
      <c r="L5293" s="71"/>
      <c r="R5293" s="5"/>
    </row>
    <row r="5294" spans="12:18" x14ac:dyDescent="0.35">
      <c r="L5294" s="71"/>
      <c r="R5294" s="5"/>
    </row>
    <row r="5295" spans="12:18" x14ac:dyDescent="0.35">
      <c r="L5295" s="71"/>
      <c r="R5295" s="5"/>
    </row>
    <row r="5296" spans="12:18" x14ac:dyDescent="0.35">
      <c r="L5296" s="71"/>
      <c r="R5296" s="5"/>
    </row>
    <row r="5297" spans="12:18" x14ac:dyDescent="0.35">
      <c r="L5297" s="71"/>
      <c r="R5297" s="5"/>
    </row>
    <row r="5298" spans="12:18" x14ac:dyDescent="0.35">
      <c r="L5298" s="71"/>
      <c r="R5298" s="5"/>
    </row>
    <row r="5299" spans="12:18" x14ac:dyDescent="0.35">
      <c r="L5299" s="71"/>
      <c r="R5299" s="5"/>
    </row>
    <row r="5300" spans="12:18" x14ac:dyDescent="0.35">
      <c r="L5300" s="71"/>
      <c r="R5300" s="5"/>
    </row>
    <row r="5301" spans="12:18" x14ac:dyDescent="0.35">
      <c r="L5301" s="71"/>
      <c r="R5301" s="5"/>
    </row>
    <row r="5302" spans="12:18" x14ac:dyDescent="0.35">
      <c r="L5302" s="71"/>
      <c r="R5302" s="5"/>
    </row>
    <row r="5303" spans="12:18" x14ac:dyDescent="0.35">
      <c r="L5303" s="71"/>
      <c r="R5303" s="5"/>
    </row>
    <row r="5304" spans="12:18" x14ac:dyDescent="0.35">
      <c r="L5304" s="71"/>
      <c r="R5304" s="5"/>
    </row>
    <row r="5305" spans="12:18" x14ac:dyDescent="0.35">
      <c r="L5305" s="71"/>
      <c r="R5305" s="5"/>
    </row>
    <row r="5306" spans="12:18" x14ac:dyDescent="0.35">
      <c r="L5306" s="71"/>
      <c r="R5306" s="5"/>
    </row>
    <row r="5307" spans="12:18" x14ac:dyDescent="0.35">
      <c r="L5307" s="71"/>
      <c r="R5307" s="5"/>
    </row>
    <row r="5308" spans="12:18" x14ac:dyDescent="0.35">
      <c r="L5308" s="71"/>
      <c r="R5308" s="5"/>
    </row>
    <row r="5309" spans="12:18" x14ac:dyDescent="0.35">
      <c r="L5309" s="71"/>
      <c r="R5309" s="5"/>
    </row>
    <row r="5310" spans="12:18" x14ac:dyDescent="0.35">
      <c r="L5310" s="71"/>
      <c r="R5310" s="5"/>
    </row>
    <row r="5311" spans="12:18" x14ac:dyDescent="0.35">
      <c r="L5311" s="71"/>
      <c r="R5311" s="5"/>
    </row>
    <row r="5312" spans="12:18" x14ac:dyDescent="0.35">
      <c r="L5312" s="71"/>
      <c r="R5312" s="5"/>
    </row>
    <row r="5313" spans="12:18" x14ac:dyDescent="0.35">
      <c r="L5313" s="71"/>
      <c r="R5313" s="5"/>
    </row>
    <row r="5314" spans="12:18" x14ac:dyDescent="0.35">
      <c r="L5314" s="71"/>
      <c r="R5314" s="5"/>
    </row>
    <row r="5315" spans="12:18" x14ac:dyDescent="0.35">
      <c r="L5315" s="71"/>
      <c r="R5315" s="5"/>
    </row>
    <row r="5316" spans="12:18" x14ac:dyDescent="0.35">
      <c r="L5316" s="71"/>
      <c r="R5316" s="5"/>
    </row>
    <row r="5317" spans="12:18" x14ac:dyDescent="0.35">
      <c r="L5317" s="71"/>
      <c r="R5317" s="5"/>
    </row>
    <row r="5318" spans="12:18" x14ac:dyDescent="0.35">
      <c r="L5318" s="71"/>
      <c r="R5318" s="5"/>
    </row>
    <row r="5319" spans="12:18" x14ac:dyDescent="0.35">
      <c r="L5319" s="71"/>
      <c r="R5319" s="5"/>
    </row>
    <row r="5320" spans="12:18" x14ac:dyDescent="0.35">
      <c r="L5320" s="71"/>
      <c r="R5320" s="5"/>
    </row>
    <row r="5321" spans="12:18" x14ac:dyDescent="0.35">
      <c r="L5321" s="71"/>
      <c r="R5321" s="5"/>
    </row>
    <row r="5322" spans="12:18" x14ac:dyDescent="0.35">
      <c r="L5322" s="71"/>
      <c r="R5322" s="5"/>
    </row>
    <row r="5323" spans="12:18" x14ac:dyDescent="0.35">
      <c r="L5323" s="71"/>
      <c r="R5323" s="5"/>
    </row>
    <row r="5324" spans="12:18" x14ac:dyDescent="0.35">
      <c r="L5324" s="71"/>
      <c r="R5324" s="5"/>
    </row>
    <row r="5325" spans="12:18" x14ac:dyDescent="0.35">
      <c r="L5325" s="71"/>
      <c r="R5325" s="5"/>
    </row>
    <row r="5326" spans="12:18" x14ac:dyDescent="0.35">
      <c r="L5326" s="71"/>
      <c r="R5326" s="5"/>
    </row>
    <row r="5327" spans="12:18" x14ac:dyDescent="0.35">
      <c r="L5327" s="71"/>
      <c r="R5327" s="5"/>
    </row>
    <row r="5328" spans="12:18" x14ac:dyDescent="0.35">
      <c r="L5328" s="71"/>
      <c r="R5328" s="5"/>
    </row>
    <row r="5329" spans="12:18" x14ac:dyDescent="0.35">
      <c r="L5329" s="71"/>
      <c r="R5329" s="5"/>
    </row>
    <row r="5330" spans="12:18" x14ac:dyDescent="0.35">
      <c r="L5330" s="71"/>
      <c r="R5330" s="5"/>
    </row>
    <row r="5331" spans="12:18" x14ac:dyDescent="0.35">
      <c r="L5331" s="71"/>
      <c r="R5331" s="5"/>
    </row>
    <row r="5332" spans="12:18" x14ac:dyDescent="0.35">
      <c r="L5332" s="71"/>
      <c r="R5332" s="5"/>
    </row>
    <row r="5333" spans="12:18" x14ac:dyDescent="0.35">
      <c r="L5333" s="71"/>
      <c r="R5333" s="5"/>
    </row>
    <row r="5334" spans="12:18" x14ac:dyDescent="0.35">
      <c r="L5334" s="71"/>
      <c r="R5334" s="5"/>
    </row>
    <row r="5335" spans="12:18" x14ac:dyDescent="0.35">
      <c r="L5335" s="71"/>
      <c r="R5335" s="5"/>
    </row>
    <row r="5336" spans="12:18" x14ac:dyDescent="0.35">
      <c r="L5336" s="71"/>
      <c r="R5336" s="5"/>
    </row>
    <row r="5337" spans="12:18" x14ac:dyDescent="0.35">
      <c r="L5337" s="71"/>
      <c r="R5337" s="5"/>
    </row>
    <row r="5338" spans="12:18" x14ac:dyDescent="0.35">
      <c r="L5338" s="71"/>
      <c r="R5338" s="5"/>
    </row>
    <row r="5339" spans="12:18" x14ac:dyDescent="0.35">
      <c r="L5339" s="71"/>
      <c r="R5339" s="5"/>
    </row>
    <row r="5340" spans="12:18" x14ac:dyDescent="0.35">
      <c r="L5340" s="71"/>
      <c r="R5340" s="5"/>
    </row>
    <row r="5341" spans="12:18" x14ac:dyDescent="0.35">
      <c r="L5341" s="71"/>
      <c r="R5341" s="5"/>
    </row>
    <row r="5342" spans="12:18" x14ac:dyDescent="0.35">
      <c r="L5342" s="71"/>
      <c r="R5342" s="5"/>
    </row>
    <row r="5343" spans="12:18" x14ac:dyDescent="0.35">
      <c r="L5343" s="71"/>
      <c r="R5343" s="5"/>
    </row>
    <row r="5344" spans="12:18" x14ac:dyDescent="0.35">
      <c r="L5344" s="71"/>
      <c r="R5344" s="5"/>
    </row>
    <row r="5345" spans="12:18" x14ac:dyDescent="0.35">
      <c r="L5345" s="71"/>
      <c r="R5345" s="5"/>
    </row>
    <row r="5346" spans="12:18" x14ac:dyDescent="0.35">
      <c r="L5346" s="71"/>
      <c r="R5346" s="5"/>
    </row>
    <row r="5347" spans="12:18" x14ac:dyDescent="0.35">
      <c r="L5347" s="71"/>
      <c r="R5347" s="5"/>
    </row>
    <row r="5348" spans="12:18" x14ac:dyDescent="0.35">
      <c r="L5348" s="71"/>
      <c r="R5348" s="5"/>
    </row>
    <row r="5349" spans="12:18" x14ac:dyDescent="0.35">
      <c r="L5349" s="71"/>
      <c r="R5349" s="5"/>
    </row>
    <row r="5350" spans="12:18" x14ac:dyDescent="0.35">
      <c r="L5350" s="71"/>
      <c r="R5350" s="5"/>
    </row>
    <row r="5351" spans="12:18" x14ac:dyDescent="0.35">
      <c r="L5351" s="71"/>
      <c r="R5351" s="5"/>
    </row>
    <row r="5352" spans="12:18" x14ac:dyDescent="0.35">
      <c r="L5352" s="71"/>
      <c r="R5352" s="5"/>
    </row>
    <row r="5353" spans="12:18" x14ac:dyDescent="0.35">
      <c r="L5353" s="71"/>
      <c r="R5353" s="5"/>
    </row>
    <row r="5354" spans="12:18" x14ac:dyDescent="0.35">
      <c r="L5354" s="71"/>
      <c r="R5354" s="5"/>
    </row>
    <row r="5355" spans="12:18" x14ac:dyDescent="0.35">
      <c r="L5355" s="71"/>
      <c r="R5355" s="5"/>
    </row>
    <row r="5356" spans="12:18" x14ac:dyDescent="0.35">
      <c r="L5356" s="71"/>
      <c r="R5356" s="5"/>
    </row>
    <row r="5357" spans="12:18" x14ac:dyDescent="0.35">
      <c r="L5357" s="71"/>
      <c r="R5357" s="5"/>
    </row>
    <row r="5358" spans="12:18" x14ac:dyDescent="0.35">
      <c r="L5358" s="71"/>
      <c r="R5358" s="5"/>
    </row>
    <row r="5359" spans="12:18" x14ac:dyDescent="0.35">
      <c r="L5359" s="71"/>
      <c r="R5359" s="5"/>
    </row>
    <row r="5360" spans="12:18" x14ac:dyDescent="0.35">
      <c r="L5360" s="71"/>
      <c r="R5360" s="5"/>
    </row>
    <row r="5361" spans="12:18" x14ac:dyDescent="0.35">
      <c r="L5361" s="71"/>
      <c r="R5361" s="5"/>
    </row>
    <row r="5362" spans="12:18" x14ac:dyDescent="0.35">
      <c r="L5362" s="71"/>
      <c r="R5362" s="5"/>
    </row>
    <row r="5363" spans="12:18" x14ac:dyDescent="0.35">
      <c r="L5363" s="71"/>
      <c r="R5363" s="5"/>
    </row>
    <row r="5364" spans="12:18" x14ac:dyDescent="0.35">
      <c r="L5364" s="71"/>
      <c r="R5364" s="5"/>
    </row>
    <row r="5365" spans="12:18" x14ac:dyDescent="0.35">
      <c r="L5365" s="71"/>
      <c r="R5365" s="5"/>
    </row>
    <row r="5366" spans="12:18" x14ac:dyDescent="0.35">
      <c r="L5366" s="71"/>
      <c r="R5366" s="5"/>
    </row>
    <row r="5367" spans="12:18" x14ac:dyDescent="0.35">
      <c r="L5367" s="71"/>
      <c r="R5367" s="5"/>
    </row>
    <row r="5368" spans="12:18" x14ac:dyDescent="0.35">
      <c r="L5368" s="71"/>
      <c r="R5368" s="5"/>
    </row>
    <row r="5369" spans="12:18" x14ac:dyDescent="0.35">
      <c r="L5369" s="71"/>
      <c r="R5369" s="5"/>
    </row>
    <row r="5370" spans="12:18" x14ac:dyDescent="0.35">
      <c r="L5370" s="71"/>
      <c r="R5370" s="5"/>
    </row>
    <row r="5371" spans="12:18" x14ac:dyDescent="0.35">
      <c r="L5371" s="71"/>
      <c r="R5371" s="5"/>
    </row>
    <row r="5372" spans="12:18" x14ac:dyDescent="0.35">
      <c r="L5372" s="71"/>
      <c r="R5372" s="5"/>
    </row>
    <row r="5373" spans="12:18" x14ac:dyDescent="0.35">
      <c r="L5373" s="71"/>
      <c r="R5373" s="5"/>
    </row>
    <row r="5374" spans="12:18" x14ac:dyDescent="0.35">
      <c r="L5374" s="71"/>
      <c r="R5374" s="5"/>
    </row>
    <row r="5375" spans="12:18" x14ac:dyDescent="0.35">
      <c r="L5375" s="71"/>
      <c r="R5375" s="5"/>
    </row>
    <row r="5376" spans="12:18" x14ac:dyDescent="0.35">
      <c r="L5376" s="71"/>
      <c r="R5376" s="5"/>
    </row>
    <row r="5377" spans="12:18" x14ac:dyDescent="0.35">
      <c r="L5377" s="71"/>
      <c r="R5377" s="5"/>
    </row>
    <row r="5378" spans="12:18" x14ac:dyDescent="0.35">
      <c r="L5378" s="71"/>
      <c r="R5378" s="5"/>
    </row>
    <row r="5379" spans="12:18" x14ac:dyDescent="0.35">
      <c r="L5379" s="71"/>
      <c r="R5379" s="5"/>
    </row>
    <row r="5380" spans="12:18" x14ac:dyDescent="0.35">
      <c r="L5380" s="71"/>
      <c r="R5380" s="5"/>
    </row>
    <row r="5381" spans="12:18" x14ac:dyDescent="0.35">
      <c r="L5381" s="71"/>
      <c r="R5381" s="5"/>
    </row>
    <row r="5382" spans="12:18" x14ac:dyDescent="0.35">
      <c r="L5382" s="71"/>
      <c r="R5382" s="5"/>
    </row>
    <row r="5383" spans="12:18" x14ac:dyDescent="0.35">
      <c r="L5383" s="71"/>
      <c r="R5383" s="5"/>
    </row>
    <row r="5384" spans="12:18" x14ac:dyDescent="0.35">
      <c r="L5384" s="71"/>
      <c r="R5384" s="5"/>
    </row>
    <row r="5385" spans="12:18" x14ac:dyDescent="0.35">
      <c r="L5385" s="71"/>
      <c r="R5385" s="5"/>
    </row>
    <row r="5386" spans="12:18" x14ac:dyDescent="0.35">
      <c r="L5386" s="71"/>
      <c r="R5386" s="5"/>
    </row>
    <row r="5387" spans="12:18" x14ac:dyDescent="0.35">
      <c r="L5387" s="71"/>
      <c r="R5387" s="5"/>
    </row>
    <row r="5388" spans="12:18" x14ac:dyDescent="0.35">
      <c r="L5388" s="71"/>
      <c r="R5388" s="5"/>
    </row>
    <row r="5389" spans="12:18" x14ac:dyDescent="0.35">
      <c r="L5389" s="71"/>
      <c r="R5389" s="5"/>
    </row>
    <row r="5390" spans="12:18" x14ac:dyDescent="0.35">
      <c r="L5390" s="71"/>
      <c r="R5390" s="5"/>
    </row>
    <row r="5391" spans="12:18" x14ac:dyDescent="0.35">
      <c r="L5391" s="71"/>
      <c r="R5391" s="5"/>
    </row>
    <row r="5392" spans="12:18" x14ac:dyDescent="0.35">
      <c r="L5392" s="71"/>
      <c r="R5392" s="5"/>
    </row>
    <row r="5393" spans="12:18" x14ac:dyDescent="0.35">
      <c r="L5393" s="71"/>
      <c r="R5393" s="5"/>
    </row>
    <row r="5394" spans="12:18" x14ac:dyDescent="0.35">
      <c r="L5394" s="71"/>
      <c r="R5394" s="5"/>
    </row>
    <row r="5395" spans="12:18" x14ac:dyDescent="0.35">
      <c r="L5395" s="71"/>
      <c r="R5395" s="5"/>
    </row>
    <row r="5396" spans="12:18" x14ac:dyDescent="0.35">
      <c r="L5396" s="71"/>
      <c r="R5396" s="5"/>
    </row>
    <row r="5397" spans="12:18" x14ac:dyDescent="0.35">
      <c r="L5397" s="71"/>
      <c r="R5397" s="5"/>
    </row>
    <row r="5398" spans="12:18" x14ac:dyDescent="0.35">
      <c r="L5398" s="71"/>
      <c r="R5398" s="5"/>
    </row>
    <row r="5399" spans="12:18" x14ac:dyDescent="0.35">
      <c r="L5399" s="71"/>
      <c r="R5399" s="5"/>
    </row>
    <row r="5400" spans="12:18" x14ac:dyDescent="0.35">
      <c r="L5400" s="71"/>
      <c r="R5400" s="5"/>
    </row>
    <row r="5401" spans="12:18" x14ac:dyDescent="0.35">
      <c r="L5401" s="71"/>
      <c r="R5401" s="5"/>
    </row>
    <row r="5402" spans="12:18" x14ac:dyDescent="0.35">
      <c r="L5402" s="71"/>
      <c r="R5402" s="5"/>
    </row>
    <row r="5403" spans="12:18" x14ac:dyDescent="0.35">
      <c r="L5403" s="71"/>
      <c r="R5403" s="5"/>
    </row>
    <row r="5404" spans="12:18" x14ac:dyDescent="0.35">
      <c r="L5404" s="71"/>
      <c r="R5404" s="5"/>
    </row>
    <row r="5405" spans="12:18" x14ac:dyDescent="0.35">
      <c r="L5405" s="71"/>
      <c r="R5405" s="5"/>
    </row>
    <row r="5406" spans="12:18" x14ac:dyDescent="0.35">
      <c r="L5406" s="71"/>
      <c r="R5406" s="5"/>
    </row>
    <row r="5407" spans="12:18" x14ac:dyDescent="0.35">
      <c r="L5407" s="71"/>
      <c r="R5407" s="5"/>
    </row>
    <row r="5408" spans="12:18" x14ac:dyDescent="0.35">
      <c r="L5408" s="71"/>
      <c r="R5408" s="5"/>
    </row>
    <row r="5409" spans="12:18" x14ac:dyDescent="0.35">
      <c r="L5409" s="71"/>
      <c r="R5409" s="5"/>
    </row>
    <row r="5410" spans="12:18" x14ac:dyDescent="0.35">
      <c r="L5410" s="71"/>
      <c r="R5410" s="5"/>
    </row>
    <row r="5411" spans="12:18" x14ac:dyDescent="0.35">
      <c r="L5411" s="71"/>
      <c r="R5411" s="5"/>
    </row>
    <row r="5412" spans="12:18" x14ac:dyDescent="0.35">
      <c r="L5412" s="71"/>
      <c r="R5412" s="5"/>
    </row>
    <row r="5413" spans="12:18" x14ac:dyDescent="0.35">
      <c r="L5413" s="71"/>
      <c r="R5413" s="5"/>
    </row>
    <row r="5414" spans="12:18" x14ac:dyDescent="0.35">
      <c r="L5414" s="71"/>
      <c r="R5414" s="5"/>
    </row>
    <row r="5415" spans="12:18" x14ac:dyDescent="0.35">
      <c r="L5415" s="71"/>
      <c r="R5415" s="5"/>
    </row>
    <row r="5416" spans="12:18" x14ac:dyDescent="0.35">
      <c r="L5416" s="71"/>
      <c r="R5416" s="5"/>
    </row>
    <row r="5417" spans="12:18" x14ac:dyDescent="0.35">
      <c r="L5417" s="71"/>
      <c r="R5417" s="5"/>
    </row>
    <row r="5418" spans="12:18" x14ac:dyDescent="0.35">
      <c r="L5418" s="71"/>
      <c r="R5418" s="5"/>
    </row>
    <row r="5419" spans="12:18" x14ac:dyDescent="0.35">
      <c r="L5419" s="71"/>
      <c r="R5419" s="5"/>
    </row>
    <row r="5420" spans="12:18" x14ac:dyDescent="0.35">
      <c r="L5420" s="71"/>
      <c r="R5420" s="5"/>
    </row>
    <row r="5421" spans="12:18" x14ac:dyDescent="0.35">
      <c r="L5421" s="71"/>
      <c r="R5421" s="5"/>
    </row>
    <row r="5422" spans="12:18" x14ac:dyDescent="0.35">
      <c r="L5422" s="71"/>
      <c r="R5422" s="5"/>
    </row>
    <row r="5423" spans="12:18" x14ac:dyDescent="0.35">
      <c r="L5423" s="71"/>
      <c r="R5423" s="5"/>
    </row>
    <row r="5424" spans="12:18" x14ac:dyDescent="0.35">
      <c r="L5424" s="71"/>
      <c r="R5424" s="5"/>
    </row>
    <row r="5425" spans="12:18" x14ac:dyDescent="0.35">
      <c r="L5425" s="71"/>
      <c r="R5425" s="5"/>
    </row>
    <row r="5426" spans="12:18" x14ac:dyDescent="0.35">
      <c r="L5426" s="71"/>
      <c r="R5426" s="5"/>
    </row>
    <row r="5427" spans="12:18" x14ac:dyDescent="0.35">
      <c r="L5427" s="71"/>
      <c r="R5427" s="5"/>
    </row>
    <row r="5428" spans="12:18" x14ac:dyDescent="0.35">
      <c r="L5428" s="71"/>
      <c r="R5428" s="5"/>
    </row>
    <row r="5429" spans="12:18" x14ac:dyDescent="0.35">
      <c r="L5429" s="71"/>
      <c r="R5429" s="5"/>
    </row>
    <row r="5430" spans="12:18" x14ac:dyDescent="0.35">
      <c r="L5430" s="71"/>
      <c r="R5430" s="5"/>
    </row>
    <row r="5431" spans="12:18" x14ac:dyDescent="0.35">
      <c r="L5431" s="71"/>
      <c r="R5431" s="5"/>
    </row>
    <row r="5432" spans="12:18" x14ac:dyDescent="0.35">
      <c r="L5432" s="71"/>
      <c r="R5432" s="5"/>
    </row>
    <row r="5433" spans="12:18" x14ac:dyDescent="0.35">
      <c r="L5433" s="71"/>
      <c r="R5433" s="5"/>
    </row>
    <row r="5434" spans="12:18" x14ac:dyDescent="0.35">
      <c r="L5434" s="71"/>
      <c r="R5434" s="5"/>
    </row>
    <row r="5435" spans="12:18" x14ac:dyDescent="0.35">
      <c r="L5435" s="71"/>
      <c r="R5435" s="5"/>
    </row>
    <row r="5436" spans="12:18" x14ac:dyDescent="0.35">
      <c r="L5436" s="71"/>
      <c r="R5436" s="5"/>
    </row>
    <row r="5437" spans="12:18" x14ac:dyDescent="0.35">
      <c r="L5437" s="71"/>
      <c r="R5437" s="5"/>
    </row>
    <row r="5438" spans="12:18" x14ac:dyDescent="0.35">
      <c r="L5438" s="71"/>
      <c r="R5438" s="5"/>
    </row>
    <row r="5439" spans="12:18" x14ac:dyDescent="0.35">
      <c r="L5439" s="71"/>
      <c r="R5439" s="5"/>
    </row>
    <row r="5440" spans="12:18" x14ac:dyDescent="0.35">
      <c r="L5440" s="71"/>
      <c r="R5440" s="5"/>
    </row>
    <row r="5441" spans="12:18" x14ac:dyDescent="0.35">
      <c r="L5441" s="71"/>
      <c r="R5441" s="5"/>
    </row>
    <row r="5442" spans="12:18" x14ac:dyDescent="0.35">
      <c r="L5442" s="71"/>
      <c r="R5442" s="5"/>
    </row>
    <row r="5443" spans="12:18" x14ac:dyDescent="0.35">
      <c r="L5443" s="71"/>
      <c r="R5443" s="5"/>
    </row>
    <row r="5444" spans="12:18" x14ac:dyDescent="0.35">
      <c r="L5444" s="71"/>
      <c r="R5444" s="5"/>
    </row>
    <row r="5445" spans="12:18" x14ac:dyDescent="0.35">
      <c r="L5445" s="71"/>
      <c r="R5445" s="5"/>
    </row>
    <row r="5446" spans="12:18" x14ac:dyDescent="0.35">
      <c r="L5446" s="71"/>
      <c r="R5446" s="5"/>
    </row>
    <row r="5447" spans="12:18" x14ac:dyDescent="0.35">
      <c r="L5447" s="71"/>
      <c r="R5447" s="5"/>
    </row>
    <row r="5448" spans="12:18" x14ac:dyDescent="0.35">
      <c r="L5448" s="71"/>
      <c r="R5448" s="5"/>
    </row>
    <row r="5449" spans="12:18" x14ac:dyDescent="0.35">
      <c r="L5449" s="71"/>
      <c r="R5449" s="5"/>
    </row>
    <row r="5450" spans="12:18" x14ac:dyDescent="0.35">
      <c r="L5450" s="71"/>
      <c r="R5450" s="5"/>
    </row>
    <row r="5451" spans="12:18" x14ac:dyDescent="0.35">
      <c r="L5451" s="71"/>
      <c r="R5451" s="5"/>
    </row>
    <row r="5452" spans="12:18" x14ac:dyDescent="0.35">
      <c r="L5452" s="71"/>
      <c r="R5452" s="5"/>
    </row>
    <row r="5453" spans="12:18" x14ac:dyDescent="0.35">
      <c r="L5453" s="71"/>
      <c r="R5453" s="5"/>
    </row>
    <row r="5454" spans="12:18" x14ac:dyDescent="0.35">
      <c r="L5454" s="71"/>
      <c r="R5454" s="5"/>
    </row>
    <row r="5455" spans="12:18" x14ac:dyDescent="0.35">
      <c r="L5455" s="71"/>
      <c r="R5455" s="5"/>
    </row>
    <row r="5456" spans="12:18" x14ac:dyDescent="0.35">
      <c r="L5456" s="71"/>
      <c r="R5456" s="5"/>
    </row>
    <row r="5457" spans="12:18" x14ac:dyDescent="0.35">
      <c r="L5457" s="71"/>
      <c r="R5457" s="5"/>
    </row>
    <row r="5458" spans="12:18" x14ac:dyDescent="0.35">
      <c r="L5458" s="71"/>
      <c r="R5458" s="5"/>
    </row>
    <row r="5459" spans="12:18" x14ac:dyDescent="0.35">
      <c r="L5459" s="71"/>
      <c r="R5459" s="5"/>
    </row>
    <row r="5460" spans="12:18" x14ac:dyDescent="0.35">
      <c r="L5460" s="71"/>
      <c r="R5460" s="5"/>
    </row>
    <row r="5461" spans="12:18" x14ac:dyDescent="0.35">
      <c r="L5461" s="71"/>
      <c r="R5461" s="5"/>
    </row>
    <row r="5462" spans="12:18" x14ac:dyDescent="0.35">
      <c r="L5462" s="71"/>
      <c r="R5462" s="5"/>
    </row>
    <row r="5463" spans="12:18" x14ac:dyDescent="0.35">
      <c r="L5463" s="71"/>
      <c r="R5463" s="5"/>
    </row>
    <row r="5464" spans="12:18" x14ac:dyDescent="0.35">
      <c r="L5464" s="71"/>
      <c r="R5464" s="5"/>
    </row>
    <row r="5465" spans="12:18" x14ac:dyDescent="0.35">
      <c r="L5465" s="71"/>
      <c r="R5465" s="5"/>
    </row>
    <row r="5466" spans="12:18" x14ac:dyDescent="0.35">
      <c r="L5466" s="71"/>
      <c r="R5466" s="5"/>
    </row>
    <row r="5467" spans="12:18" x14ac:dyDescent="0.35">
      <c r="L5467" s="71"/>
      <c r="R5467" s="5"/>
    </row>
    <row r="5468" spans="12:18" x14ac:dyDescent="0.35">
      <c r="L5468" s="71"/>
      <c r="R5468" s="5"/>
    </row>
    <row r="5469" spans="12:18" x14ac:dyDescent="0.35">
      <c r="L5469" s="71"/>
      <c r="R5469" s="5"/>
    </row>
    <row r="5470" spans="12:18" x14ac:dyDescent="0.35">
      <c r="L5470" s="71"/>
      <c r="R5470" s="5"/>
    </row>
    <row r="5471" spans="12:18" x14ac:dyDescent="0.35">
      <c r="L5471" s="71"/>
      <c r="R5471" s="5"/>
    </row>
    <row r="5472" spans="12:18" x14ac:dyDescent="0.35">
      <c r="L5472" s="71"/>
      <c r="R5472" s="5"/>
    </row>
    <row r="5473" spans="12:18" x14ac:dyDescent="0.35">
      <c r="L5473" s="71"/>
      <c r="R5473" s="5"/>
    </row>
    <row r="5474" spans="12:18" x14ac:dyDescent="0.35">
      <c r="L5474" s="71"/>
      <c r="R5474" s="5"/>
    </row>
    <row r="5475" spans="12:18" x14ac:dyDescent="0.35">
      <c r="L5475" s="71"/>
      <c r="R5475" s="5"/>
    </row>
    <row r="5476" spans="12:18" x14ac:dyDescent="0.35">
      <c r="L5476" s="71"/>
      <c r="R5476" s="5"/>
    </row>
    <row r="5477" spans="12:18" x14ac:dyDescent="0.35">
      <c r="L5477" s="71"/>
      <c r="R5477" s="5"/>
    </row>
    <row r="5478" spans="12:18" x14ac:dyDescent="0.35">
      <c r="L5478" s="71"/>
      <c r="R5478" s="5"/>
    </row>
    <row r="5479" spans="12:18" x14ac:dyDescent="0.35">
      <c r="L5479" s="71"/>
      <c r="R5479" s="5"/>
    </row>
    <row r="5480" spans="12:18" x14ac:dyDescent="0.35">
      <c r="L5480" s="71"/>
      <c r="R5480" s="5"/>
    </row>
    <row r="5481" spans="12:18" x14ac:dyDescent="0.35">
      <c r="L5481" s="71"/>
      <c r="R5481" s="5"/>
    </row>
    <row r="5482" spans="12:18" x14ac:dyDescent="0.35">
      <c r="L5482" s="71"/>
      <c r="R5482" s="5"/>
    </row>
    <row r="5483" spans="12:18" x14ac:dyDescent="0.35">
      <c r="L5483" s="71"/>
      <c r="R5483" s="5"/>
    </row>
    <row r="5484" spans="12:18" x14ac:dyDescent="0.35">
      <c r="L5484" s="71"/>
      <c r="R5484" s="5"/>
    </row>
    <row r="5485" spans="12:18" x14ac:dyDescent="0.35">
      <c r="L5485" s="71"/>
      <c r="R5485" s="5"/>
    </row>
    <row r="5486" spans="12:18" x14ac:dyDescent="0.35">
      <c r="L5486" s="71"/>
      <c r="R5486" s="5"/>
    </row>
    <row r="5487" spans="12:18" x14ac:dyDescent="0.35">
      <c r="L5487" s="71"/>
      <c r="R5487" s="5"/>
    </row>
    <row r="5488" spans="12:18" x14ac:dyDescent="0.35">
      <c r="L5488" s="71"/>
      <c r="R5488" s="5"/>
    </row>
    <row r="5489" spans="12:18" x14ac:dyDescent="0.35">
      <c r="L5489" s="71"/>
      <c r="R5489" s="5"/>
    </row>
    <row r="5490" spans="12:18" x14ac:dyDescent="0.35">
      <c r="L5490" s="71"/>
      <c r="R5490" s="5"/>
    </row>
    <row r="5491" spans="12:18" x14ac:dyDescent="0.35">
      <c r="L5491" s="71"/>
      <c r="R5491" s="5"/>
    </row>
    <row r="5492" spans="12:18" x14ac:dyDescent="0.35">
      <c r="L5492" s="71"/>
      <c r="R5492" s="5"/>
    </row>
    <row r="5493" spans="12:18" x14ac:dyDescent="0.35">
      <c r="L5493" s="71"/>
      <c r="R5493" s="5"/>
    </row>
    <row r="5494" spans="12:18" x14ac:dyDescent="0.35">
      <c r="L5494" s="71"/>
      <c r="R5494" s="5"/>
    </row>
    <row r="5495" spans="12:18" x14ac:dyDescent="0.35">
      <c r="L5495" s="71"/>
      <c r="R5495" s="5"/>
    </row>
    <row r="5496" spans="12:18" x14ac:dyDescent="0.35">
      <c r="L5496" s="71"/>
      <c r="R5496" s="5"/>
    </row>
    <row r="5497" spans="12:18" x14ac:dyDescent="0.35">
      <c r="L5497" s="71"/>
      <c r="R5497" s="5"/>
    </row>
    <row r="5498" spans="12:18" x14ac:dyDescent="0.35">
      <c r="L5498" s="71"/>
      <c r="R5498" s="5"/>
    </row>
    <row r="5499" spans="12:18" x14ac:dyDescent="0.35">
      <c r="L5499" s="71"/>
      <c r="R5499" s="5"/>
    </row>
    <row r="5500" spans="12:18" x14ac:dyDescent="0.35">
      <c r="L5500" s="71"/>
      <c r="R5500" s="5"/>
    </row>
    <row r="5501" spans="12:18" x14ac:dyDescent="0.35">
      <c r="L5501" s="71"/>
      <c r="R5501" s="5"/>
    </row>
    <row r="5502" spans="12:18" x14ac:dyDescent="0.35">
      <c r="L5502" s="71"/>
      <c r="R5502" s="5"/>
    </row>
    <row r="5503" spans="12:18" x14ac:dyDescent="0.35">
      <c r="L5503" s="71"/>
      <c r="R5503" s="5"/>
    </row>
    <row r="5504" spans="12:18" x14ac:dyDescent="0.35">
      <c r="L5504" s="71"/>
      <c r="R5504" s="5"/>
    </row>
    <row r="5505" spans="12:18" x14ac:dyDescent="0.35">
      <c r="L5505" s="71"/>
      <c r="R5505" s="5"/>
    </row>
    <row r="5506" spans="12:18" x14ac:dyDescent="0.35">
      <c r="L5506" s="71"/>
      <c r="R5506" s="5"/>
    </row>
    <row r="5507" spans="12:18" x14ac:dyDescent="0.35">
      <c r="L5507" s="71"/>
      <c r="R5507" s="5"/>
    </row>
    <row r="5508" spans="12:18" x14ac:dyDescent="0.35">
      <c r="L5508" s="71"/>
      <c r="R5508" s="5"/>
    </row>
    <row r="5509" spans="12:18" x14ac:dyDescent="0.35">
      <c r="L5509" s="71"/>
      <c r="R5509" s="5"/>
    </row>
    <row r="5510" spans="12:18" x14ac:dyDescent="0.35">
      <c r="L5510" s="71"/>
      <c r="R5510" s="5"/>
    </row>
    <row r="5511" spans="12:18" x14ac:dyDescent="0.35">
      <c r="L5511" s="71"/>
      <c r="R5511" s="5"/>
    </row>
    <row r="5512" spans="12:18" x14ac:dyDescent="0.35">
      <c r="L5512" s="71"/>
      <c r="R5512" s="5"/>
    </row>
    <row r="5513" spans="12:18" x14ac:dyDescent="0.35">
      <c r="L5513" s="71"/>
      <c r="R5513" s="5"/>
    </row>
    <row r="5514" spans="12:18" x14ac:dyDescent="0.35">
      <c r="L5514" s="71"/>
      <c r="R5514" s="5"/>
    </row>
    <row r="5515" spans="12:18" x14ac:dyDescent="0.35">
      <c r="L5515" s="71"/>
      <c r="R5515" s="5"/>
    </row>
    <row r="5516" spans="12:18" x14ac:dyDescent="0.35">
      <c r="L5516" s="71"/>
      <c r="R5516" s="5"/>
    </row>
    <row r="5517" spans="12:18" x14ac:dyDescent="0.35">
      <c r="L5517" s="71"/>
      <c r="R5517" s="5"/>
    </row>
    <row r="5518" spans="12:18" x14ac:dyDescent="0.35">
      <c r="L5518" s="71"/>
      <c r="R5518" s="5"/>
    </row>
    <row r="5519" spans="12:18" x14ac:dyDescent="0.35">
      <c r="L5519" s="71"/>
      <c r="R5519" s="5"/>
    </row>
    <row r="5520" spans="12:18" x14ac:dyDescent="0.35">
      <c r="L5520" s="71"/>
      <c r="R5520" s="5"/>
    </row>
    <row r="5521" spans="12:18" x14ac:dyDescent="0.35">
      <c r="L5521" s="71"/>
      <c r="R5521" s="5"/>
    </row>
    <row r="5522" spans="12:18" x14ac:dyDescent="0.35">
      <c r="L5522" s="71"/>
      <c r="R5522" s="5"/>
    </row>
    <row r="5523" spans="12:18" x14ac:dyDescent="0.35">
      <c r="L5523" s="71"/>
      <c r="R5523" s="5"/>
    </row>
    <row r="5524" spans="12:18" x14ac:dyDescent="0.35">
      <c r="L5524" s="71"/>
      <c r="R5524" s="5"/>
    </row>
    <row r="5525" spans="12:18" x14ac:dyDescent="0.35">
      <c r="L5525" s="71"/>
      <c r="R5525" s="5"/>
    </row>
    <row r="5526" spans="12:18" x14ac:dyDescent="0.35">
      <c r="L5526" s="71"/>
      <c r="R5526" s="5"/>
    </row>
    <row r="5527" spans="12:18" x14ac:dyDescent="0.35">
      <c r="L5527" s="71"/>
      <c r="R5527" s="5"/>
    </row>
    <row r="5528" spans="12:18" x14ac:dyDescent="0.35">
      <c r="L5528" s="71"/>
      <c r="R5528" s="5"/>
    </row>
    <row r="5529" spans="12:18" x14ac:dyDescent="0.35">
      <c r="L5529" s="71"/>
      <c r="R5529" s="5"/>
    </row>
    <row r="5530" spans="12:18" x14ac:dyDescent="0.35">
      <c r="L5530" s="71"/>
      <c r="R5530" s="5"/>
    </row>
    <row r="5531" spans="12:18" x14ac:dyDescent="0.35">
      <c r="L5531" s="71"/>
      <c r="R5531" s="5"/>
    </row>
    <row r="5532" spans="12:18" x14ac:dyDescent="0.35">
      <c r="L5532" s="71"/>
      <c r="R5532" s="5"/>
    </row>
    <row r="5533" spans="12:18" x14ac:dyDescent="0.35">
      <c r="L5533" s="71"/>
      <c r="R5533" s="5"/>
    </row>
    <row r="5534" spans="12:18" x14ac:dyDescent="0.35">
      <c r="L5534" s="71"/>
      <c r="R5534" s="5"/>
    </row>
    <row r="5535" spans="12:18" x14ac:dyDescent="0.35">
      <c r="L5535" s="71"/>
      <c r="R5535" s="5"/>
    </row>
    <row r="5536" spans="12:18" x14ac:dyDescent="0.35">
      <c r="L5536" s="71"/>
      <c r="R5536" s="5"/>
    </row>
    <row r="5537" spans="12:18" x14ac:dyDescent="0.35">
      <c r="L5537" s="71"/>
      <c r="R5537" s="5"/>
    </row>
    <row r="5538" spans="12:18" x14ac:dyDescent="0.35">
      <c r="L5538" s="71"/>
      <c r="R5538" s="5"/>
    </row>
    <row r="5539" spans="12:18" x14ac:dyDescent="0.35">
      <c r="L5539" s="71"/>
      <c r="R5539" s="5"/>
    </row>
    <row r="5540" spans="12:18" x14ac:dyDescent="0.35">
      <c r="L5540" s="71"/>
      <c r="R5540" s="5"/>
    </row>
    <row r="5541" spans="12:18" x14ac:dyDescent="0.35">
      <c r="L5541" s="71"/>
      <c r="R5541" s="5"/>
    </row>
    <row r="5542" spans="12:18" x14ac:dyDescent="0.35">
      <c r="L5542" s="71"/>
      <c r="R5542" s="5"/>
    </row>
    <row r="5543" spans="12:18" x14ac:dyDescent="0.35">
      <c r="L5543" s="71"/>
      <c r="R5543" s="5"/>
    </row>
    <row r="5544" spans="12:18" x14ac:dyDescent="0.35">
      <c r="L5544" s="71"/>
      <c r="R5544" s="5"/>
    </row>
    <row r="5545" spans="12:18" x14ac:dyDescent="0.35">
      <c r="L5545" s="71"/>
      <c r="R5545" s="5"/>
    </row>
    <row r="5546" spans="12:18" x14ac:dyDescent="0.35">
      <c r="L5546" s="71"/>
      <c r="R5546" s="5"/>
    </row>
    <row r="5547" spans="12:18" x14ac:dyDescent="0.35">
      <c r="L5547" s="71"/>
      <c r="R5547" s="5"/>
    </row>
    <row r="5548" spans="12:18" x14ac:dyDescent="0.35">
      <c r="L5548" s="71"/>
      <c r="R5548" s="5"/>
    </row>
    <row r="5549" spans="12:18" x14ac:dyDescent="0.35">
      <c r="L5549" s="71"/>
      <c r="R5549" s="5"/>
    </row>
    <row r="5550" spans="12:18" x14ac:dyDescent="0.35">
      <c r="L5550" s="71"/>
      <c r="R5550" s="5"/>
    </row>
    <row r="5551" spans="12:18" x14ac:dyDescent="0.35">
      <c r="L5551" s="71"/>
      <c r="R5551" s="5"/>
    </row>
    <row r="5552" spans="12:18" x14ac:dyDescent="0.35">
      <c r="L5552" s="71"/>
      <c r="R5552" s="5"/>
    </row>
    <row r="5553" spans="12:18" x14ac:dyDescent="0.35">
      <c r="L5553" s="71"/>
      <c r="R5553" s="5"/>
    </row>
    <row r="5554" spans="12:18" x14ac:dyDescent="0.35">
      <c r="L5554" s="71"/>
      <c r="R5554" s="5"/>
    </row>
    <row r="5555" spans="12:18" x14ac:dyDescent="0.35">
      <c r="L5555" s="71"/>
      <c r="R5555" s="5"/>
    </row>
    <row r="5556" spans="12:18" x14ac:dyDescent="0.35">
      <c r="L5556" s="71"/>
      <c r="R5556" s="5"/>
    </row>
    <row r="5557" spans="12:18" x14ac:dyDescent="0.35">
      <c r="L5557" s="71"/>
      <c r="R5557" s="5"/>
    </row>
    <row r="5558" spans="12:18" x14ac:dyDescent="0.35">
      <c r="L5558" s="71"/>
      <c r="R5558" s="5"/>
    </row>
    <row r="5559" spans="12:18" x14ac:dyDescent="0.35">
      <c r="L5559" s="71"/>
      <c r="R5559" s="5"/>
    </row>
    <row r="5560" spans="12:18" x14ac:dyDescent="0.35">
      <c r="L5560" s="71"/>
      <c r="R5560" s="5"/>
    </row>
    <row r="5561" spans="12:18" x14ac:dyDescent="0.35">
      <c r="L5561" s="71"/>
      <c r="R5561" s="5"/>
    </row>
    <row r="5562" spans="12:18" x14ac:dyDescent="0.35">
      <c r="L5562" s="71"/>
      <c r="R5562" s="5"/>
    </row>
    <row r="5563" spans="12:18" x14ac:dyDescent="0.35">
      <c r="L5563" s="71"/>
      <c r="R5563" s="5"/>
    </row>
    <row r="5564" spans="12:18" x14ac:dyDescent="0.35">
      <c r="L5564" s="71"/>
      <c r="R5564" s="5"/>
    </row>
    <row r="5565" spans="12:18" x14ac:dyDescent="0.35">
      <c r="L5565" s="71"/>
      <c r="R5565" s="5"/>
    </row>
    <row r="5566" spans="12:18" x14ac:dyDescent="0.35">
      <c r="L5566" s="71"/>
      <c r="R5566" s="5"/>
    </row>
    <row r="5567" spans="12:18" x14ac:dyDescent="0.35">
      <c r="L5567" s="71"/>
      <c r="R5567" s="5"/>
    </row>
    <row r="5568" spans="12:18" x14ac:dyDescent="0.35">
      <c r="L5568" s="71"/>
      <c r="R5568" s="5"/>
    </row>
    <row r="5569" spans="12:18" x14ac:dyDescent="0.35">
      <c r="L5569" s="71"/>
      <c r="R5569" s="5"/>
    </row>
    <row r="5570" spans="12:18" x14ac:dyDescent="0.35">
      <c r="L5570" s="71"/>
      <c r="R5570" s="5"/>
    </row>
    <row r="5571" spans="12:18" x14ac:dyDescent="0.35">
      <c r="L5571" s="71"/>
      <c r="R5571" s="5"/>
    </row>
    <row r="5572" spans="12:18" x14ac:dyDescent="0.35">
      <c r="L5572" s="71"/>
      <c r="R5572" s="5"/>
    </row>
    <row r="5573" spans="12:18" x14ac:dyDescent="0.35">
      <c r="L5573" s="71"/>
      <c r="R5573" s="5"/>
    </row>
    <row r="5574" spans="12:18" x14ac:dyDescent="0.35">
      <c r="L5574" s="71"/>
      <c r="R5574" s="5"/>
    </row>
    <row r="5575" spans="12:18" x14ac:dyDescent="0.35">
      <c r="L5575" s="71"/>
      <c r="R5575" s="5"/>
    </row>
    <row r="5576" spans="12:18" x14ac:dyDescent="0.35">
      <c r="L5576" s="71"/>
      <c r="R5576" s="5"/>
    </row>
    <row r="5577" spans="12:18" x14ac:dyDescent="0.35">
      <c r="L5577" s="71"/>
      <c r="R5577" s="5"/>
    </row>
    <row r="5578" spans="12:18" x14ac:dyDescent="0.35">
      <c r="L5578" s="71"/>
      <c r="R5578" s="5"/>
    </row>
    <row r="5579" spans="12:18" x14ac:dyDescent="0.35">
      <c r="L5579" s="71"/>
      <c r="R5579" s="5"/>
    </row>
    <row r="5580" spans="12:18" x14ac:dyDescent="0.35">
      <c r="L5580" s="71"/>
      <c r="R5580" s="5"/>
    </row>
    <row r="5581" spans="12:18" x14ac:dyDescent="0.35">
      <c r="L5581" s="71"/>
      <c r="R5581" s="5"/>
    </row>
    <row r="5582" spans="12:18" x14ac:dyDescent="0.35">
      <c r="L5582" s="71"/>
      <c r="R5582" s="5"/>
    </row>
    <row r="5583" spans="12:18" x14ac:dyDescent="0.35">
      <c r="L5583" s="71"/>
      <c r="R5583" s="5"/>
    </row>
    <row r="5584" spans="12:18" x14ac:dyDescent="0.35">
      <c r="L5584" s="71"/>
      <c r="R5584" s="5"/>
    </row>
    <row r="5585" spans="12:18" x14ac:dyDescent="0.35">
      <c r="L5585" s="71"/>
      <c r="R5585" s="5"/>
    </row>
    <row r="5586" spans="12:18" x14ac:dyDescent="0.35">
      <c r="L5586" s="71"/>
      <c r="R5586" s="5"/>
    </row>
    <row r="5587" spans="12:18" x14ac:dyDescent="0.35">
      <c r="L5587" s="71"/>
      <c r="R5587" s="5"/>
    </row>
    <row r="5588" spans="12:18" x14ac:dyDescent="0.35">
      <c r="L5588" s="71"/>
      <c r="R5588" s="5"/>
    </row>
    <row r="5589" spans="12:18" x14ac:dyDescent="0.35">
      <c r="L5589" s="71"/>
      <c r="R5589" s="5"/>
    </row>
    <row r="5590" spans="12:18" x14ac:dyDescent="0.35">
      <c r="L5590" s="71"/>
      <c r="R5590" s="5"/>
    </row>
    <row r="5591" spans="12:18" x14ac:dyDescent="0.35">
      <c r="L5591" s="71"/>
      <c r="R5591" s="5"/>
    </row>
    <row r="5592" spans="12:18" x14ac:dyDescent="0.35">
      <c r="L5592" s="71"/>
      <c r="R5592" s="5"/>
    </row>
    <row r="5593" spans="12:18" x14ac:dyDescent="0.35">
      <c r="L5593" s="71"/>
      <c r="R5593" s="5"/>
    </row>
    <row r="5594" spans="12:18" x14ac:dyDescent="0.35">
      <c r="L5594" s="71"/>
      <c r="R5594" s="5"/>
    </row>
    <row r="5595" spans="12:18" x14ac:dyDescent="0.35">
      <c r="L5595" s="71"/>
      <c r="R5595" s="5"/>
    </row>
    <row r="5596" spans="12:18" x14ac:dyDescent="0.35">
      <c r="L5596" s="71"/>
      <c r="R5596" s="5"/>
    </row>
    <row r="5597" spans="12:18" x14ac:dyDescent="0.35">
      <c r="L5597" s="71"/>
      <c r="R5597" s="5"/>
    </row>
    <row r="5598" spans="12:18" x14ac:dyDescent="0.35">
      <c r="L5598" s="71"/>
      <c r="R5598" s="5"/>
    </row>
    <row r="5599" spans="12:18" x14ac:dyDescent="0.35">
      <c r="L5599" s="71"/>
      <c r="R5599" s="5"/>
    </row>
    <row r="5600" spans="12:18" x14ac:dyDescent="0.35">
      <c r="L5600" s="71"/>
      <c r="R5600" s="5"/>
    </row>
    <row r="5601" spans="12:18" x14ac:dyDescent="0.35">
      <c r="L5601" s="71"/>
      <c r="R5601" s="5"/>
    </row>
    <row r="5602" spans="12:18" x14ac:dyDescent="0.35">
      <c r="L5602" s="71"/>
      <c r="R5602" s="5"/>
    </row>
    <row r="5603" spans="12:18" x14ac:dyDescent="0.35">
      <c r="L5603" s="71"/>
      <c r="R5603" s="5"/>
    </row>
    <row r="5604" spans="12:18" x14ac:dyDescent="0.35">
      <c r="L5604" s="71"/>
      <c r="R5604" s="5"/>
    </row>
    <row r="5605" spans="12:18" x14ac:dyDescent="0.35">
      <c r="L5605" s="71"/>
      <c r="R5605" s="5"/>
    </row>
    <row r="5606" spans="12:18" x14ac:dyDescent="0.35">
      <c r="L5606" s="71"/>
      <c r="R5606" s="5"/>
    </row>
    <row r="5607" spans="12:18" x14ac:dyDescent="0.35">
      <c r="L5607" s="71"/>
      <c r="R5607" s="5"/>
    </row>
    <row r="5608" spans="12:18" x14ac:dyDescent="0.35">
      <c r="L5608" s="71"/>
      <c r="R5608" s="5"/>
    </row>
    <row r="5609" spans="12:18" x14ac:dyDescent="0.35">
      <c r="L5609" s="71"/>
      <c r="R5609" s="5"/>
    </row>
    <row r="5610" spans="12:18" x14ac:dyDescent="0.35">
      <c r="L5610" s="71"/>
      <c r="R5610" s="5"/>
    </row>
    <row r="5611" spans="12:18" x14ac:dyDescent="0.35">
      <c r="L5611" s="71"/>
      <c r="R5611" s="5"/>
    </row>
    <row r="5612" spans="12:18" x14ac:dyDescent="0.35">
      <c r="L5612" s="71"/>
      <c r="R5612" s="5"/>
    </row>
    <row r="5613" spans="12:18" x14ac:dyDescent="0.35">
      <c r="L5613" s="71"/>
      <c r="R5613" s="5"/>
    </row>
    <row r="5614" spans="12:18" x14ac:dyDescent="0.35">
      <c r="L5614" s="71"/>
      <c r="R5614" s="5"/>
    </row>
    <row r="5615" spans="12:18" x14ac:dyDescent="0.35">
      <c r="L5615" s="71"/>
      <c r="R5615" s="5"/>
    </row>
    <row r="5616" spans="12:18" x14ac:dyDescent="0.35">
      <c r="L5616" s="71"/>
      <c r="R5616" s="5"/>
    </row>
    <row r="5617" spans="12:18" x14ac:dyDescent="0.35">
      <c r="L5617" s="71"/>
      <c r="R5617" s="5"/>
    </row>
    <row r="5618" spans="12:18" x14ac:dyDescent="0.35">
      <c r="L5618" s="71"/>
      <c r="R5618" s="5"/>
    </row>
    <row r="5619" spans="12:18" x14ac:dyDescent="0.35">
      <c r="L5619" s="71"/>
      <c r="R5619" s="5"/>
    </row>
    <row r="5620" spans="12:18" x14ac:dyDescent="0.35">
      <c r="L5620" s="71"/>
      <c r="R5620" s="5"/>
    </row>
    <row r="5621" spans="12:18" x14ac:dyDescent="0.35">
      <c r="L5621" s="71"/>
      <c r="R5621" s="5"/>
    </row>
    <row r="5622" spans="12:18" x14ac:dyDescent="0.35">
      <c r="L5622" s="71"/>
      <c r="R5622" s="5"/>
    </row>
    <row r="5623" spans="12:18" x14ac:dyDescent="0.35">
      <c r="L5623" s="71"/>
      <c r="R5623" s="5"/>
    </row>
    <row r="5624" spans="12:18" x14ac:dyDescent="0.35">
      <c r="L5624" s="71"/>
      <c r="R5624" s="5"/>
    </row>
    <row r="5625" spans="12:18" x14ac:dyDescent="0.35">
      <c r="L5625" s="71"/>
      <c r="R5625" s="5"/>
    </row>
    <row r="5626" spans="12:18" x14ac:dyDescent="0.35">
      <c r="L5626" s="71"/>
      <c r="R5626" s="5"/>
    </row>
    <row r="5627" spans="12:18" x14ac:dyDescent="0.35">
      <c r="L5627" s="71"/>
      <c r="R5627" s="5"/>
    </row>
    <row r="5628" spans="12:18" x14ac:dyDescent="0.35">
      <c r="L5628" s="71"/>
      <c r="R5628" s="5"/>
    </row>
    <row r="5629" spans="12:18" x14ac:dyDescent="0.35">
      <c r="L5629" s="71"/>
      <c r="R5629" s="5"/>
    </row>
    <row r="5630" spans="12:18" x14ac:dyDescent="0.35">
      <c r="L5630" s="71"/>
      <c r="R5630" s="5"/>
    </row>
    <row r="5631" spans="12:18" x14ac:dyDescent="0.35">
      <c r="L5631" s="71"/>
      <c r="R5631" s="5"/>
    </row>
    <row r="5632" spans="12:18" x14ac:dyDescent="0.35">
      <c r="L5632" s="71"/>
      <c r="R5632" s="5"/>
    </row>
    <row r="5633" spans="12:18" x14ac:dyDescent="0.35">
      <c r="L5633" s="71"/>
      <c r="R5633" s="5"/>
    </row>
    <row r="5634" spans="12:18" x14ac:dyDescent="0.35">
      <c r="L5634" s="71"/>
      <c r="R5634" s="5"/>
    </row>
    <row r="5635" spans="12:18" x14ac:dyDescent="0.35">
      <c r="L5635" s="71"/>
      <c r="R5635" s="5"/>
    </row>
    <row r="5636" spans="12:18" x14ac:dyDescent="0.35">
      <c r="L5636" s="71"/>
      <c r="R5636" s="5"/>
    </row>
    <row r="5637" spans="12:18" x14ac:dyDescent="0.35">
      <c r="L5637" s="71"/>
      <c r="R5637" s="5"/>
    </row>
    <row r="5638" spans="12:18" x14ac:dyDescent="0.35">
      <c r="L5638" s="71"/>
      <c r="R5638" s="5"/>
    </row>
    <row r="5639" spans="12:18" x14ac:dyDescent="0.35">
      <c r="L5639" s="71"/>
      <c r="R5639" s="5"/>
    </row>
    <row r="5640" spans="12:18" x14ac:dyDescent="0.35">
      <c r="L5640" s="71"/>
      <c r="R5640" s="5"/>
    </row>
    <row r="5641" spans="12:18" x14ac:dyDescent="0.35">
      <c r="L5641" s="71"/>
      <c r="R5641" s="5"/>
    </row>
    <row r="5642" spans="12:18" x14ac:dyDescent="0.35">
      <c r="L5642" s="71"/>
      <c r="R5642" s="5"/>
    </row>
    <row r="5643" spans="12:18" x14ac:dyDescent="0.35">
      <c r="L5643" s="71"/>
      <c r="R5643" s="5"/>
    </row>
    <row r="5644" spans="12:18" x14ac:dyDescent="0.35">
      <c r="L5644" s="71"/>
      <c r="R5644" s="5"/>
    </row>
    <row r="5645" spans="12:18" x14ac:dyDescent="0.35">
      <c r="L5645" s="71"/>
      <c r="R5645" s="5"/>
    </row>
    <row r="5646" spans="12:18" x14ac:dyDescent="0.35">
      <c r="L5646" s="71"/>
      <c r="R5646" s="5"/>
    </row>
    <row r="5647" spans="12:18" x14ac:dyDescent="0.35">
      <c r="L5647" s="71"/>
      <c r="R5647" s="5"/>
    </row>
    <row r="5648" spans="12:18" x14ac:dyDescent="0.35">
      <c r="L5648" s="71"/>
      <c r="R5648" s="5"/>
    </row>
    <row r="5649" spans="12:18" x14ac:dyDescent="0.35">
      <c r="L5649" s="71"/>
      <c r="R5649" s="5"/>
    </row>
    <row r="5650" spans="12:18" x14ac:dyDescent="0.35">
      <c r="L5650" s="71"/>
      <c r="R5650" s="5"/>
    </row>
    <row r="5651" spans="12:18" x14ac:dyDescent="0.35">
      <c r="L5651" s="71"/>
      <c r="R5651" s="5"/>
    </row>
    <row r="5652" spans="12:18" x14ac:dyDescent="0.35">
      <c r="L5652" s="71"/>
      <c r="R5652" s="5"/>
    </row>
    <row r="5653" spans="12:18" x14ac:dyDescent="0.35">
      <c r="L5653" s="71"/>
      <c r="R5653" s="5"/>
    </row>
    <row r="5654" spans="12:18" x14ac:dyDescent="0.35">
      <c r="L5654" s="71"/>
      <c r="R5654" s="5"/>
    </row>
    <row r="5655" spans="12:18" x14ac:dyDescent="0.35">
      <c r="L5655" s="71"/>
      <c r="R5655" s="5"/>
    </row>
    <row r="5656" spans="12:18" x14ac:dyDescent="0.35">
      <c r="L5656" s="71"/>
      <c r="R5656" s="5"/>
    </row>
    <row r="5657" spans="12:18" x14ac:dyDescent="0.35">
      <c r="L5657" s="71"/>
      <c r="R5657" s="5"/>
    </row>
    <row r="5658" spans="12:18" x14ac:dyDescent="0.35">
      <c r="L5658" s="71"/>
      <c r="R5658" s="5"/>
    </row>
    <row r="5659" spans="12:18" x14ac:dyDescent="0.35">
      <c r="L5659" s="71"/>
      <c r="R5659" s="5"/>
    </row>
    <row r="5660" spans="12:18" x14ac:dyDescent="0.35">
      <c r="L5660" s="71"/>
      <c r="R5660" s="5"/>
    </row>
    <row r="5661" spans="12:18" x14ac:dyDescent="0.35">
      <c r="L5661" s="71"/>
      <c r="R5661" s="5"/>
    </row>
    <row r="5662" spans="12:18" x14ac:dyDescent="0.35">
      <c r="L5662" s="71"/>
      <c r="R5662" s="5"/>
    </row>
    <row r="5663" spans="12:18" x14ac:dyDescent="0.35">
      <c r="L5663" s="71"/>
      <c r="R5663" s="5"/>
    </row>
    <row r="5664" spans="12:18" x14ac:dyDescent="0.35">
      <c r="L5664" s="71"/>
      <c r="R5664" s="5"/>
    </row>
    <row r="5665" spans="12:18" x14ac:dyDescent="0.35">
      <c r="L5665" s="71"/>
      <c r="R5665" s="5"/>
    </row>
    <row r="5666" spans="12:18" x14ac:dyDescent="0.35">
      <c r="L5666" s="71"/>
      <c r="R5666" s="5"/>
    </row>
    <row r="5667" spans="12:18" x14ac:dyDescent="0.35">
      <c r="L5667" s="71"/>
      <c r="R5667" s="5"/>
    </row>
    <row r="5668" spans="12:18" x14ac:dyDescent="0.35">
      <c r="L5668" s="71"/>
      <c r="R5668" s="5"/>
    </row>
    <row r="5669" spans="12:18" x14ac:dyDescent="0.35">
      <c r="L5669" s="71"/>
      <c r="R5669" s="5"/>
    </row>
    <row r="5670" spans="12:18" x14ac:dyDescent="0.35">
      <c r="L5670" s="71"/>
      <c r="R5670" s="5"/>
    </row>
    <row r="5671" spans="12:18" x14ac:dyDescent="0.35">
      <c r="L5671" s="71"/>
      <c r="R5671" s="5"/>
    </row>
    <row r="5672" spans="12:18" x14ac:dyDescent="0.35">
      <c r="L5672" s="71"/>
      <c r="R5672" s="5"/>
    </row>
    <row r="5673" spans="12:18" x14ac:dyDescent="0.35">
      <c r="L5673" s="71"/>
      <c r="R5673" s="5"/>
    </row>
    <row r="5674" spans="12:18" x14ac:dyDescent="0.35">
      <c r="L5674" s="71"/>
      <c r="R5674" s="5"/>
    </row>
    <row r="5675" spans="12:18" x14ac:dyDescent="0.35">
      <c r="L5675" s="71"/>
      <c r="R5675" s="5"/>
    </row>
    <row r="5676" spans="12:18" x14ac:dyDescent="0.35">
      <c r="L5676" s="71"/>
      <c r="R5676" s="5"/>
    </row>
    <row r="5677" spans="12:18" x14ac:dyDescent="0.35">
      <c r="L5677" s="71"/>
      <c r="R5677" s="5"/>
    </row>
    <row r="5678" spans="12:18" x14ac:dyDescent="0.35">
      <c r="L5678" s="71"/>
      <c r="R5678" s="5"/>
    </row>
    <row r="5679" spans="12:18" x14ac:dyDescent="0.35">
      <c r="L5679" s="71"/>
      <c r="R5679" s="5"/>
    </row>
    <row r="5680" spans="12:18" x14ac:dyDescent="0.35">
      <c r="L5680" s="71"/>
      <c r="R5680" s="5"/>
    </row>
    <row r="5681" spans="12:18" x14ac:dyDescent="0.35">
      <c r="L5681" s="71"/>
      <c r="R5681" s="5"/>
    </row>
    <row r="5682" spans="12:18" x14ac:dyDescent="0.35">
      <c r="L5682" s="71"/>
      <c r="R5682" s="5"/>
    </row>
    <row r="5683" spans="12:18" x14ac:dyDescent="0.35">
      <c r="L5683" s="71"/>
      <c r="R5683" s="5"/>
    </row>
    <row r="5684" spans="12:18" x14ac:dyDescent="0.35">
      <c r="L5684" s="71"/>
      <c r="R5684" s="5"/>
    </row>
    <row r="5685" spans="12:18" x14ac:dyDescent="0.35">
      <c r="L5685" s="71"/>
      <c r="R5685" s="5"/>
    </row>
    <row r="5686" spans="12:18" x14ac:dyDescent="0.35">
      <c r="L5686" s="71"/>
      <c r="R5686" s="5"/>
    </row>
    <row r="5687" spans="12:18" x14ac:dyDescent="0.35">
      <c r="L5687" s="71"/>
      <c r="R5687" s="5"/>
    </row>
    <row r="5688" spans="12:18" x14ac:dyDescent="0.35">
      <c r="L5688" s="71"/>
      <c r="R5688" s="5"/>
    </row>
    <row r="5689" spans="12:18" x14ac:dyDescent="0.35">
      <c r="L5689" s="71"/>
      <c r="R5689" s="5"/>
    </row>
    <row r="5690" spans="12:18" x14ac:dyDescent="0.35">
      <c r="L5690" s="71"/>
      <c r="R5690" s="5"/>
    </row>
    <row r="5691" spans="12:18" x14ac:dyDescent="0.35">
      <c r="L5691" s="71"/>
      <c r="R5691" s="5"/>
    </row>
    <row r="5692" spans="12:18" x14ac:dyDescent="0.35">
      <c r="L5692" s="71"/>
      <c r="R5692" s="5"/>
    </row>
    <row r="5693" spans="12:18" x14ac:dyDescent="0.35">
      <c r="L5693" s="71"/>
      <c r="R5693" s="5"/>
    </row>
    <row r="5694" spans="12:18" x14ac:dyDescent="0.35">
      <c r="L5694" s="71"/>
      <c r="R5694" s="5"/>
    </row>
    <row r="5695" spans="12:18" x14ac:dyDescent="0.35">
      <c r="L5695" s="71"/>
      <c r="R5695" s="5"/>
    </row>
    <row r="5696" spans="12:18" x14ac:dyDescent="0.35">
      <c r="L5696" s="71"/>
      <c r="R5696" s="5"/>
    </row>
    <row r="5697" spans="12:18" x14ac:dyDescent="0.35">
      <c r="L5697" s="71"/>
      <c r="R5697" s="5"/>
    </row>
    <row r="5698" spans="12:18" x14ac:dyDescent="0.35">
      <c r="L5698" s="71"/>
      <c r="R5698" s="5"/>
    </row>
    <row r="5699" spans="12:18" x14ac:dyDescent="0.35">
      <c r="L5699" s="71"/>
      <c r="R5699" s="5"/>
    </row>
    <row r="5700" spans="12:18" x14ac:dyDescent="0.35">
      <c r="L5700" s="71"/>
      <c r="R5700" s="5"/>
    </row>
    <row r="5701" spans="12:18" x14ac:dyDescent="0.35">
      <c r="L5701" s="71"/>
      <c r="R5701" s="5"/>
    </row>
    <row r="5702" spans="12:18" x14ac:dyDescent="0.35">
      <c r="L5702" s="71"/>
      <c r="R5702" s="5"/>
    </row>
    <row r="5703" spans="12:18" x14ac:dyDescent="0.35">
      <c r="L5703" s="71"/>
      <c r="R5703" s="5"/>
    </row>
    <row r="5704" spans="12:18" x14ac:dyDescent="0.35">
      <c r="L5704" s="71"/>
      <c r="R5704" s="5"/>
    </row>
    <row r="5705" spans="12:18" x14ac:dyDescent="0.35">
      <c r="L5705" s="71"/>
      <c r="R5705" s="5"/>
    </row>
    <row r="5706" spans="12:18" x14ac:dyDescent="0.35">
      <c r="L5706" s="71"/>
      <c r="R5706" s="5"/>
    </row>
    <row r="5707" spans="12:18" x14ac:dyDescent="0.35">
      <c r="L5707" s="71"/>
      <c r="R5707" s="5"/>
    </row>
    <row r="5708" spans="12:18" x14ac:dyDescent="0.35">
      <c r="L5708" s="71"/>
      <c r="R5708" s="5"/>
    </row>
    <row r="5709" spans="12:18" x14ac:dyDescent="0.35">
      <c r="L5709" s="71"/>
      <c r="R5709" s="5"/>
    </row>
    <row r="5710" spans="12:18" x14ac:dyDescent="0.35">
      <c r="L5710" s="71"/>
      <c r="R5710" s="5"/>
    </row>
    <row r="5711" spans="12:18" x14ac:dyDescent="0.35">
      <c r="L5711" s="71"/>
      <c r="R5711" s="5"/>
    </row>
    <row r="5712" spans="12:18" x14ac:dyDescent="0.35">
      <c r="L5712" s="71"/>
      <c r="R5712" s="5"/>
    </row>
    <row r="5713" spans="12:18" x14ac:dyDescent="0.35">
      <c r="L5713" s="71"/>
      <c r="R5713" s="5"/>
    </row>
    <row r="5714" spans="12:18" x14ac:dyDescent="0.35">
      <c r="L5714" s="71"/>
      <c r="R5714" s="5"/>
    </row>
    <row r="5715" spans="12:18" x14ac:dyDescent="0.35">
      <c r="L5715" s="71"/>
      <c r="R5715" s="5"/>
    </row>
    <row r="5716" spans="12:18" x14ac:dyDescent="0.35">
      <c r="L5716" s="71"/>
      <c r="R5716" s="5"/>
    </row>
    <row r="5717" spans="12:18" x14ac:dyDescent="0.35">
      <c r="L5717" s="71"/>
      <c r="R5717" s="5"/>
    </row>
    <row r="5718" spans="12:18" x14ac:dyDescent="0.35">
      <c r="L5718" s="71"/>
      <c r="R5718" s="5"/>
    </row>
    <row r="5719" spans="12:18" x14ac:dyDescent="0.35">
      <c r="L5719" s="71"/>
      <c r="R5719" s="5"/>
    </row>
    <row r="5720" spans="12:18" x14ac:dyDescent="0.35">
      <c r="L5720" s="71"/>
      <c r="R5720" s="5"/>
    </row>
    <row r="5721" spans="12:18" x14ac:dyDescent="0.35">
      <c r="L5721" s="71"/>
      <c r="R5721" s="5"/>
    </row>
    <row r="5722" spans="12:18" x14ac:dyDescent="0.35">
      <c r="L5722" s="71"/>
      <c r="R5722" s="5"/>
    </row>
    <row r="5723" spans="12:18" x14ac:dyDescent="0.35">
      <c r="L5723" s="71"/>
      <c r="R5723" s="5"/>
    </row>
    <row r="5724" spans="12:18" x14ac:dyDescent="0.35">
      <c r="L5724" s="71"/>
      <c r="R5724" s="5"/>
    </row>
    <row r="5725" spans="12:18" x14ac:dyDescent="0.35">
      <c r="L5725" s="71"/>
      <c r="R5725" s="5"/>
    </row>
    <row r="5726" spans="12:18" x14ac:dyDescent="0.35">
      <c r="L5726" s="71"/>
      <c r="R5726" s="5"/>
    </row>
    <row r="5727" spans="12:18" x14ac:dyDescent="0.35">
      <c r="L5727" s="71"/>
      <c r="R5727" s="5"/>
    </row>
    <row r="5728" spans="12:18" x14ac:dyDescent="0.35">
      <c r="L5728" s="71"/>
      <c r="R5728" s="5"/>
    </row>
    <row r="5729" spans="12:18" x14ac:dyDescent="0.35">
      <c r="L5729" s="71"/>
      <c r="R5729" s="5"/>
    </row>
    <row r="5730" spans="12:18" x14ac:dyDescent="0.35">
      <c r="L5730" s="71"/>
      <c r="R5730" s="5"/>
    </row>
    <row r="5731" spans="12:18" x14ac:dyDescent="0.35">
      <c r="L5731" s="71"/>
      <c r="R5731" s="5"/>
    </row>
    <row r="5732" spans="12:18" x14ac:dyDescent="0.35">
      <c r="L5732" s="71"/>
      <c r="R5732" s="5"/>
    </row>
    <row r="5733" spans="12:18" x14ac:dyDescent="0.35">
      <c r="L5733" s="71"/>
      <c r="R5733" s="5"/>
    </row>
    <row r="5734" spans="12:18" x14ac:dyDescent="0.35">
      <c r="L5734" s="71"/>
      <c r="R5734" s="5"/>
    </row>
    <row r="5735" spans="12:18" x14ac:dyDescent="0.35">
      <c r="L5735" s="71"/>
      <c r="R5735" s="5"/>
    </row>
    <row r="5736" spans="12:18" x14ac:dyDescent="0.35">
      <c r="L5736" s="71"/>
      <c r="R5736" s="5"/>
    </row>
    <row r="5737" spans="12:18" x14ac:dyDescent="0.35">
      <c r="L5737" s="71"/>
      <c r="R5737" s="5"/>
    </row>
    <row r="5738" spans="12:18" x14ac:dyDescent="0.35">
      <c r="L5738" s="71"/>
      <c r="R5738" s="5"/>
    </row>
    <row r="5739" spans="12:18" x14ac:dyDescent="0.35">
      <c r="L5739" s="71"/>
      <c r="R5739" s="5"/>
    </row>
    <row r="5740" spans="12:18" x14ac:dyDescent="0.35">
      <c r="L5740" s="71"/>
      <c r="R5740" s="5"/>
    </row>
    <row r="5741" spans="12:18" x14ac:dyDescent="0.35">
      <c r="L5741" s="71"/>
      <c r="R5741" s="5"/>
    </row>
    <row r="5742" spans="12:18" x14ac:dyDescent="0.35">
      <c r="L5742" s="71"/>
      <c r="R5742" s="5"/>
    </row>
    <row r="5743" spans="12:18" x14ac:dyDescent="0.35">
      <c r="L5743" s="71"/>
      <c r="R5743" s="5"/>
    </row>
    <row r="5744" spans="12:18" x14ac:dyDescent="0.35">
      <c r="L5744" s="71"/>
      <c r="R5744" s="5"/>
    </row>
    <row r="5745" spans="12:18" x14ac:dyDescent="0.35">
      <c r="L5745" s="71"/>
      <c r="R5745" s="5"/>
    </row>
    <row r="5746" spans="12:18" x14ac:dyDescent="0.35">
      <c r="L5746" s="71"/>
      <c r="R5746" s="5"/>
    </row>
    <row r="5747" spans="12:18" x14ac:dyDescent="0.35">
      <c r="L5747" s="71"/>
      <c r="R5747" s="5"/>
    </row>
    <row r="5748" spans="12:18" x14ac:dyDescent="0.35">
      <c r="L5748" s="71"/>
      <c r="R5748" s="5"/>
    </row>
    <row r="5749" spans="12:18" x14ac:dyDescent="0.35">
      <c r="L5749" s="71"/>
      <c r="R5749" s="5"/>
    </row>
    <row r="5750" spans="12:18" x14ac:dyDescent="0.35">
      <c r="L5750" s="71"/>
      <c r="R5750" s="5"/>
    </row>
    <row r="5751" spans="12:18" x14ac:dyDescent="0.35">
      <c r="L5751" s="71"/>
      <c r="R5751" s="5"/>
    </row>
    <row r="5752" spans="12:18" x14ac:dyDescent="0.35">
      <c r="L5752" s="71"/>
      <c r="R5752" s="5"/>
    </row>
    <row r="5753" spans="12:18" x14ac:dyDescent="0.35">
      <c r="L5753" s="71"/>
      <c r="R5753" s="5"/>
    </row>
    <row r="5754" spans="12:18" x14ac:dyDescent="0.35">
      <c r="L5754" s="71"/>
      <c r="R5754" s="5"/>
    </row>
    <row r="5755" spans="12:18" x14ac:dyDescent="0.35">
      <c r="L5755" s="71"/>
      <c r="R5755" s="5"/>
    </row>
    <row r="5756" spans="12:18" x14ac:dyDescent="0.35">
      <c r="L5756" s="71"/>
      <c r="R5756" s="5"/>
    </row>
    <row r="5757" spans="12:18" x14ac:dyDescent="0.35">
      <c r="L5757" s="71"/>
      <c r="R5757" s="5"/>
    </row>
    <row r="5758" spans="12:18" x14ac:dyDescent="0.35">
      <c r="L5758" s="71"/>
      <c r="R5758" s="5"/>
    </row>
    <row r="5759" spans="12:18" x14ac:dyDescent="0.35">
      <c r="L5759" s="71"/>
      <c r="R5759" s="5"/>
    </row>
    <row r="5760" spans="12:18" x14ac:dyDescent="0.35">
      <c r="L5760" s="71"/>
      <c r="R5760" s="5"/>
    </row>
    <row r="5761" spans="12:18" x14ac:dyDescent="0.35">
      <c r="L5761" s="71"/>
      <c r="R5761" s="5"/>
    </row>
    <row r="5762" spans="12:18" x14ac:dyDescent="0.35">
      <c r="L5762" s="71"/>
      <c r="R5762" s="5"/>
    </row>
    <row r="5763" spans="12:18" x14ac:dyDescent="0.35">
      <c r="L5763" s="71"/>
      <c r="R5763" s="5"/>
    </row>
    <row r="5764" spans="12:18" x14ac:dyDescent="0.35">
      <c r="L5764" s="71"/>
      <c r="R5764" s="5"/>
    </row>
    <row r="5765" spans="12:18" x14ac:dyDescent="0.35">
      <c r="L5765" s="71"/>
      <c r="R5765" s="5"/>
    </row>
    <row r="5766" spans="12:18" x14ac:dyDescent="0.35">
      <c r="L5766" s="71"/>
      <c r="R5766" s="5"/>
    </row>
    <row r="5767" spans="12:18" x14ac:dyDescent="0.35">
      <c r="L5767" s="71"/>
      <c r="R5767" s="5"/>
    </row>
    <row r="5768" spans="12:18" x14ac:dyDescent="0.35">
      <c r="L5768" s="71"/>
      <c r="R5768" s="5"/>
    </row>
    <row r="5769" spans="12:18" x14ac:dyDescent="0.35">
      <c r="L5769" s="71"/>
      <c r="R5769" s="5"/>
    </row>
    <row r="5770" spans="12:18" x14ac:dyDescent="0.35">
      <c r="L5770" s="71"/>
      <c r="R5770" s="5"/>
    </row>
    <row r="5771" spans="12:18" x14ac:dyDescent="0.35">
      <c r="L5771" s="71"/>
      <c r="R5771" s="5"/>
    </row>
    <row r="5772" spans="12:18" x14ac:dyDescent="0.35">
      <c r="L5772" s="71"/>
      <c r="R5772" s="5"/>
    </row>
    <row r="5773" spans="12:18" x14ac:dyDescent="0.35">
      <c r="L5773" s="71"/>
      <c r="R5773" s="5"/>
    </row>
    <row r="5774" spans="12:18" x14ac:dyDescent="0.35">
      <c r="L5774" s="71"/>
      <c r="R5774" s="5"/>
    </row>
    <row r="5775" spans="12:18" x14ac:dyDescent="0.35">
      <c r="L5775" s="71"/>
      <c r="R5775" s="5"/>
    </row>
    <row r="5776" spans="12:18" x14ac:dyDescent="0.35">
      <c r="L5776" s="71"/>
      <c r="R5776" s="5"/>
    </row>
    <row r="5777" spans="12:18" x14ac:dyDescent="0.35">
      <c r="L5777" s="71"/>
      <c r="R5777" s="5"/>
    </row>
    <row r="5778" spans="12:18" x14ac:dyDescent="0.35">
      <c r="L5778" s="71"/>
      <c r="R5778" s="5"/>
    </row>
    <row r="5779" spans="12:18" x14ac:dyDescent="0.35">
      <c r="L5779" s="71"/>
      <c r="R5779" s="5"/>
    </row>
    <row r="5780" spans="12:18" x14ac:dyDescent="0.35">
      <c r="L5780" s="71"/>
      <c r="R5780" s="5"/>
    </row>
    <row r="5781" spans="12:18" x14ac:dyDescent="0.35">
      <c r="L5781" s="71"/>
      <c r="R5781" s="5"/>
    </row>
    <row r="5782" spans="12:18" x14ac:dyDescent="0.35">
      <c r="L5782" s="71"/>
      <c r="R5782" s="5"/>
    </row>
    <row r="5783" spans="12:18" x14ac:dyDescent="0.35">
      <c r="L5783" s="71"/>
      <c r="R5783" s="5"/>
    </row>
    <row r="5784" spans="12:18" x14ac:dyDescent="0.35">
      <c r="L5784" s="71"/>
      <c r="R5784" s="5"/>
    </row>
    <row r="5785" spans="12:18" x14ac:dyDescent="0.35">
      <c r="L5785" s="71"/>
      <c r="R5785" s="5"/>
    </row>
    <row r="5786" spans="12:18" x14ac:dyDescent="0.35">
      <c r="L5786" s="71"/>
      <c r="R5786" s="5"/>
    </row>
    <row r="5787" spans="12:18" x14ac:dyDescent="0.35">
      <c r="L5787" s="71"/>
      <c r="R5787" s="5"/>
    </row>
    <row r="5788" spans="12:18" x14ac:dyDescent="0.35">
      <c r="L5788" s="71"/>
      <c r="R5788" s="5"/>
    </row>
    <row r="5789" spans="12:18" x14ac:dyDescent="0.35">
      <c r="L5789" s="71"/>
      <c r="R5789" s="5"/>
    </row>
    <row r="5790" spans="12:18" x14ac:dyDescent="0.35">
      <c r="L5790" s="71"/>
      <c r="R5790" s="5"/>
    </row>
    <row r="5791" spans="12:18" x14ac:dyDescent="0.35">
      <c r="L5791" s="71"/>
      <c r="R5791" s="5"/>
    </row>
    <row r="5792" spans="12:18" x14ac:dyDescent="0.35">
      <c r="L5792" s="71"/>
      <c r="R5792" s="5"/>
    </row>
    <row r="5793" spans="12:18" x14ac:dyDescent="0.35">
      <c r="L5793" s="71"/>
      <c r="R5793" s="5"/>
    </row>
    <row r="5794" spans="12:18" x14ac:dyDescent="0.35">
      <c r="L5794" s="71"/>
      <c r="R5794" s="5"/>
    </row>
    <row r="5795" spans="12:18" x14ac:dyDescent="0.35">
      <c r="L5795" s="71"/>
      <c r="R5795" s="5"/>
    </row>
    <row r="5796" spans="12:18" x14ac:dyDescent="0.35">
      <c r="L5796" s="71"/>
      <c r="R5796" s="5"/>
    </row>
    <row r="5797" spans="12:18" x14ac:dyDescent="0.35">
      <c r="L5797" s="71"/>
      <c r="R5797" s="5"/>
    </row>
    <row r="5798" spans="12:18" x14ac:dyDescent="0.35">
      <c r="L5798" s="71"/>
      <c r="R5798" s="5"/>
    </row>
    <row r="5799" spans="12:18" x14ac:dyDescent="0.35">
      <c r="L5799" s="71"/>
      <c r="R5799" s="5"/>
    </row>
    <row r="5800" spans="12:18" x14ac:dyDescent="0.35">
      <c r="L5800" s="71"/>
      <c r="R5800" s="5"/>
    </row>
    <row r="5801" spans="12:18" x14ac:dyDescent="0.35">
      <c r="L5801" s="71"/>
      <c r="R5801" s="5"/>
    </row>
    <row r="5802" spans="12:18" x14ac:dyDescent="0.35">
      <c r="L5802" s="71"/>
      <c r="R5802" s="5"/>
    </row>
    <row r="5803" spans="12:18" x14ac:dyDescent="0.35">
      <c r="L5803" s="71"/>
      <c r="R5803" s="5"/>
    </row>
    <row r="5804" spans="12:18" x14ac:dyDescent="0.35">
      <c r="L5804" s="71"/>
      <c r="R5804" s="5"/>
    </row>
    <row r="5805" spans="12:18" x14ac:dyDescent="0.35">
      <c r="L5805" s="71"/>
      <c r="R5805" s="5"/>
    </row>
    <row r="5806" spans="12:18" x14ac:dyDescent="0.35">
      <c r="L5806" s="71"/>
      <c r="R5806" s="5"/>
    </row>
    <row r="5807" spans="12:18" x14ac:dyDescent="0.35">
      <c r="L5807" s="71"/>
      <c r="R5807" s="5"/>
    </row>
    <row r="5808" spans="12:18" x14ac:dyDescent="0.35">
      <c r="L5808" s="71"/>
      <c r="R5808" s="5"/>
    </row>
    <row r="5809" spans="12:18" x14ac:dyDescent="0.35">
      <c r="L5809" s="71"/>
      <c r="R5809" s="5"/>
    </row>
    <row r="5810" spans="12:18" x14ac:dyDescent="0.35">
      <c r="L5810" s="71"/>
      <c r="R5810" s="5"/>
    </row>
    <row r="5811" spans="12:18" x14ac:dyDescent="0.35">
      <c r="L5811" s="71"/>
      <c r="R5811" s="5"/>
    </row>
    <row r="5812" spans="12:18" x14ac:dyDescent="0.35">
      <c r="L5812" s="71"/>
      <c r="R5812" s="5"/>
    </row>
    <row r="5813" spans="12:18" x14ac:dyDescent="0.35">
      <c r="L5813" s="71"/>
      <c r="R5813" s="5"/>
    </row>
    <row r="5814" spans="12:18" x14ac:dyDescent="0.35">
      <c r="L5814" s="71"/>
      <c r="R5814" s="5"/>
    </row>
    <row r="5815" spans="12:18" x14ac:dyDescent="0.35">
      <c r="L5815" s="71"/>
      <c r="R5815" s="5"/>
    </row>
    <row r="5816" spans="12:18" x14ac:dyDescent="0.35">
      <c r="L5816" s="71"/>
      <c r="R5816" s="5"/>
    </row>
    <row r="5817" spans="12:18" x14ac:dyDescent="0.35">
      <c r="L5817" s="71"/>
      <c r="R5817" s="5"/>
    </row>
    <row r="5818" spans="12:18" x14ac:dyDescent="0.35">
      <c r="L5818" s="71"/>
      <c r="R5818" s="5"/>
    </row>
    <row r="5819" spans="12:18" x14ac:dyDescent="0.35">
      <c r="L5819" s="71"/>
      <c r="R5819" s="5"/>
    </row>
    <row r="5820" spans="12:18" x14ac:dyDescent="0.35">
      <c r="L5820" s="71"/>
      <c r="R5820" s="5"/>
    </row>
    <row r="5821" spans="12:18" x14ac:dyDescent="0.35">
      <c r="L5821" s="71"/>
      <c r="R5821" s="5"/>
    </row>
    <row r="5822" spans="12:18" x14ac:dyDescent="0.35">
      <c r="L5822" s="71"/>
      <c r="R5822" s="5"/>
    </row>
    <row r="5823" spans="12:18" x14ac:dyDescent="0.35">
      <c r="L5823" s="71"/>
      <c r="R5823" s="5"/>
    </row>
    <row r="5824" spans="12:18" x14ac:dyDescent="0.35">
      <c r="L5824" s="71"/>
      <c r="R5824" s="5"/>
    </row>
    <row r="5825" spans="12:18" x14ac:dyDescent="0.35">
      <c r="L5825" s="71"/>
      <c r="R5825" s="5"/>
    </row>
    <row r="5826" spans="12:18" x14ac:dyDescent="0.35">
      <c r="L5826" s="71"/>
      <c r="R5826" s="5"/>
    </row>
    <row r="5827" spans="12:18" x14ac:dyDescent="0.35">
      <c r="L5827" s="71"/>
      <c r="R5827" s="5"/>
    </row>
    <row r="5828" spans="12:18" x14ac:dyDescent="0.35">
      <c r="L5828" s="71"/>
      <c r="R5828" s="5"/>
    </row>
    <row r="5829" spans="12:18" x14ac:dyDescent="0.35">
      <c r="L5829" s="71"/>
      <c r="R5829" s="5"/>
    </row>
    <row r="5830" spans="12:18" x14ac:dyDescent="0.35">
      <c r="L5830" s="71"/>
      <c r="R5830" s="5"/>
    </row>
    <row r="5831" spans="12:18" x14ac:dyDescent="0.35">
      <c r="L5831" s="71"/>
      <c r="R5831" s="5"/>
    </row>
    <row r="5832" spans="12:18" x14ac:dyDescent="0.35">
      <c r="L5832" s="71"/>
      <c r="R5832" s="5"/>
    </row>
    <row r="5833" spans="12:18" x14ac:dyDescent="0.35">
      <c r="L5833" s="71"/>
      <c r="R5833" s="5"/>
    </row>
    <row r="5834" spans="12:18" x14ac:dyDescent="0.35">
      <c r="L5834" s="71"/>
      <c r="R5834" s="5"/>
    </row>
    <row r="5835" spans="12:18" x14ac:dyDescent="0.35">
      <c r="L5835" s="71"/>
      <c r="R5835" s="5"/>
    </row>
    <row r="5836" spans="12:18" x14ac:dyDescent="0.35">
      <c r="L5836" s="71"/>
      <c r="R5836" s="5"/>
    </row>
    <row r="5837" spans="12:18" x14ac:dyDescent="0.35">
      <c r="L5837" s="71"/>
      <c r="R5837" s="5"/>
    </row>
    <row r="5838" spans="12:18" x14ac:dyDescent="0.35">
      <c r="L5838" s="71"/>
      <c r="R5838" s="5"/>
    </row>
    <row r="5839" spans="12:18" x14ac:dyDescent="0.35">
      <c r="L5839" s="71"/>
      <c r="R5839" s="5"/>
    </row>
    <row r="5840" spans="12:18" x14ac:dyDescent="0.35">
      <c r="L5840" s="71"/>
      <c r="R5840" s="5"/>
    </row>
    <row r="5841" spans="12:18" x14ac:dyDescent="0.35">
      <c r="L5841" s="71"/>
      <c r="R5841" s="5"/>
    </row>
    <row r="5842" spans="12:18" x14ac:dyDescent="0.35">
      <c r="L5842" s="71"/>
      <c r="R5842" s="5"/>
    </row>
    <row r="5843" spans="12:18" x14ac:dyDescent="0.35">
      <c r="L5843" s="71"/>
      <c r="R5843" s="5"/>
    </row>
    <row r="5844" spans="12:18" x14ac:dyDescent="0.35">
      <c r="L5844" s="71"/>
      <c r="R5844" s="5"/>
    </row>
    <row r="5845" spans="12:18" x14ac:dyDescent="0.35">
      <c r="L5845" s="71"/>
      <c r="R5845" s="5"/>
    </row>
    <row r="5846" spans="12:18" x14ac:dyDescent="0.35">
      <c r="L5846" s="71"/>
      <c r="R5846" s="5"/>
    </row>
    <row r="5847" spans="12:18" x14ac:dyDescent="0.35">
      <c r="L5847" s="71"/>
      <c r="R5847" s="5"/>
    </row>
    <row r="5848" spans="12:18" x14ac:dyDescent="0.35">
      <c r="L5848" s="71"/>
      <c r="R5848" s="5"/>
    </row>
    <row r="5849" spans="12:18" x14ac:dyDescent="0.35">
      <c r="L5849" s="71"/>
      <c r="R5849" s="5"/>
    </row>
    <row r="5850" spans="12:18" x14ac:dyDescent="0.35">
      <c r="L5850" s="71"/>
      <c r="R5850" s="5"/>
    </row>
    <row r="5851" spans="12:18" x14ac:dyDescent="0.35">
      <c r="L5851" s="71"/>
      <c r="R5851" s="5"/>
    </row>
    <row r="5852" spans="12:18" x14ac:dyDescent="0.35">
      <c r="L5852" s="71"/>
      <c r="R5852" s="5"/>
    </row>
    <row r="5853" spans="12:18" x14ac:dyDescent="0.35">
      <c r="L5853" s="71"/>
      <c r="R5853" s="5"/>
    </row>
    <row r="5854" spans="12:18" x14ac:dyDescent="0.35">
      <c r="L5854" s="71"/>
      <c r="R5854" s="5"/>
    </row>
    <row r="5855" spans="12:18" x14ac:dyDescent="0.35">
      <c r="L5855" s="71"/>
      <c r="R5855" s="5"/>
    </row>
    <row r="5856" spans="12:18" x14ac:dyDescent="0.35">
      <c r="L5856" s="71"/>
      <c r="R5856" s="5"/>
    </row>
    <row r="5857" spans="12:18" x14ac:dyDescent="0.35">
      <c r="L5857" s="71"/>
      <c r="R5857" s="5"/>
    </row>
    <row r="5858" spans="12:18" x14ac:dyDescent="0.35">
      <c r="L5858" s="71"/>
      <c r="R5858" s="5"/>
    </row>
    <row r="5859" spans="12:18" x14ac:dyDescent="0.35">
      <c r="L5859" s="71"/>
      <c r="R5859" s="5"/>
    </row>
    <row r="5860" spans="12:18" x14ac:dyDescent="0.35">
      <c r="L5860" s="71"/>
      <c r="R5860" s="5"/>
    </row>
    <row r="5861" spans="12:18" x14ac:dyDescent="0.35">
      <c r="L5861" s="71"/>
      <c r="R5861" s="5"/>
    </row>
    <row r="5862" spans="12:18" x14ac:dyDescent="0.35">
      <c r="L5862" s="71"/>
      <c r="R5862" s="5"/>
    </row>
    <row r="5863" spans="12:18" x14ac:dyDescent="0.35">
      <c r="L5863" s="71"/>
      <c r="R5863" s="5"/>
    </row>
    <row r="5864" spans="12:18" x14ac:dyDescent="0.35">
      <c r="L5864" s="71"/>
      <c r="R5864" s="5"/>
    </row>
    <row r="5865" spans="12:18" x14ac:dyDescent="0.35">
      <c r="L5865" s="71"/>
      <c r="R5865" s="5"/>
    </row>
    <row r="5866" spans="12:18" x14ac:dyDescent="0.35">
      <c r="L5866" s="71"/>
      <c r="R5866" s="5"/>
    </row>
    <row r="5867" spans="12:18" x14ac:dyDescent="0.35">
      <c r="L5867" s="71"/>
      <c r="R5867" s="5"/>
    </row>
    <row r="5868" spans="12:18" x14ac:dyDescent="0.35">
      <c r="L5868" s="71"/>
      <c r="R5868" s="5"/>
    </row>
    <row r="5869" spans="12:18" x14ac:dyDescent="0.35">
      <c r="L5869" s="71"/>
      <c r="R5869" s="5"/>
    </row>
    <row r="5870" spans="12:18" x14ac:dyDescent="0.35">
      <c r="L5870" s="71"/>
      <c r="R5870" s="5"/>
    </row>
    <row r="5871" spans="12:18" x14ac:dyDescent="0.35">
      <c r="L5871" s="71"/>
      <c r="R5871" s="5"/>
    </row>
    <row r="5872" spans="12:18" x14ac:dyDescent="0.35">
      <c r="L5872" s="71"/>
      <c r="R5872" s="5"/>
    </row>
    <row r="5873" spans="12:18" x14ac:dyDescent="0.35">
      <c r="L5873" s="71"/>
      <c r="R5873" s="5"/>
    </row>
    <row r="5874" spans="12:18" x14ac:dyDescent="0.35">
      <c r="L5874" s="71"/>
      <c r="R5874" s="5"/>
    </row>
    <row r="5875" spans="12:18" x14ac:dyDescent="0.35">
      <c r="L5875" s="71"/>
      <c r="R5875" s="5"/>
    </row>
    <row r="5876" spans="12:18" x14ac:dyDescent="0.35">
      <c r="L5876" s="71"/>
      <c r="R5876" s="5"/>
    </row>
    <row r="5877" spans="12:18" x14ac:dyDescent="0.35">
      <c r="L5877" s="71"/>
      <c r="R5877" s="5"/>
    </row>
    <row r="5878" spans="12:18" x14ac:dyDescent="0.35">
      <c r="L5878" s="71"/>
      <c r="R5878" s="5"/>
    </row>
    <row r="5879" spans="12:18" x14ac:dyDescent="0.35">
      <c r="L5879" s="71"/>
      <c r="R5879" s="5"/>
    </row>
    <row r="5880" spans="12:18" x14ac:dyDescent="0.35">
      <c r="L5880" s="71"/>
      <c r="R5880" s="5"/>
    </row>
    <row r="5881" spans="12:18" x14ac:dyDescent="0.35">
      <c r="L5881" s="71"/>
      <c r="R5881" s="5"/>
    </row>
    <row r="5882" spans="12:18" x14ac:dyDescent="0.35">
      <c r="L5882" s="71"/>
      <c r="R5882" s="5"/>
    </row>
    <row r="5883" spans="12:18" x14ac:dyDescent="0.35">
      <c r="L5883" s="71"/>
      <c r="R5883" s="5"/>
    </row>
    <row r="5884" spans="12:18" x14ac:dyDescent="0.35">
      <c r="L5884" s="71"/>
      <c r="R5884" s="5"/>
    </row>
    <row r="5885" spans="12:18" x14ac:dyDescent="0.35">
      <c r="L5885" s="71"/>
      <c r="R5885" s="5"/>
    </row>
    <row r="5886" spans="12:18" x14ac:dyDescent="0.35">
      <c r="L5886" s="71"/>
      <c r="R5886" s="5"/>
    </row>
    <row r="5887" spans="12:18" x14ac:dyDescent="0.35">
      <c r="L5887" s="71"/>
      <c r="R5887" s="5"/>
    </row>
    <row r="5888" spans="12:18" x14ac:dyDescent="0.35">
      <c r="L5888" s="71"/>
      <c r="R5888" s="5"/>
    </row>
    <row r="5889" spans="12:18" x14ac:dyDescent="0.35">
      <c r="L5889" s="71"/>
      <c r="R5889" s="5"/>
    </row>
    <row r="5890" spans="12:18" x14ac:dyDescent="0.35">
      <c r="L5890" s="71"/>
      <c r="R5890" s="5"/>
    </row>
    <row r="5891" spans="12:18" x14ac:dyDescent="0.35">
      <c r="L5891" s="71"/>
      <c r="R5891" s="5"/>
    </row>
    <row r="5892" spans="12:18" x14ac:dyDescent="0.35">
      <c r="L5892" s="71"/>
      <c r="R5892" s="5"/>
    </row>
    <row r="5893" spans="12:18" x14ac:dyDescent="0.35">
      <c r="L5893" s="71"/>
      <c r="R5893" s="5"/>
    </row>
    <row r="5894" spans="12:18" x14ac:dyDescent="0.35">
      <c r="L5894" s="71"/>
      <c r="R5894" s="5"/>
    </row>
    <row r="5895" spans="12:18" x14ac:dyDescent="0.35">
      <c r="L5895" s="71"/>
      <c r="R5895" s="5"/>
    </row>
    <row r="5896" spans="12:18" x14ac:dyDescent="0.35">
      <c r="L5896" s="71"/>
      <c r="R5896" s="5"/>
    </row>
    <row r="5897" spans="12:18" x14ac:dyDescent="0.35">
      <c r="L5897" s="71"/>
      <c r="R5897" s="5"/>
    </row>
    <row r="5898" spans="12:18" x14ac:dyDescent="0.35">
      <c r="L5898" s="71"/>
      <c r="R5898" s="5"/>
    </row>
    <row r="5899" spans="12:18" x14ac:dyDescent="0.35">
      <c r="L5899" s="71"/>
      <c r="R5899" s="5"/>
    </row>
    <row r="5900" spans="12:18" x14ac:dyDescent="0.35">
      <c r="L5900" s="71"/>
      <c r="R5900" s="5"/>
    </row>
    <row r="5901" spans="12:18" x14ac:dyDescent="0.35">
      <c r="L5901" s="71"/>
      <c r="R5901" s="5"/>
    </row>
    <row r="5902" spans="12:18" x14ac:dyDescent="0.35">
      <c r="L5902" s="71"/>
      <c r="R5902" s="5"/>
    </row>
    <row r="5903" spans="12:18" x14ac:dyDescent="0.35">
      <c r="L5903" s="71"/>
      <c r="R5903" s="5"/>
    </row>
    <row r="5904" spans="12:18" x14ac:dyDescent="0.35">
      <c r="L5904" s="71"/>
      <c r="R5904" s="5"/>
    </row>
    <row r="5905" spans="12:18" x14ac:dyDescent="0.35">
      <c r="L5905" s="71"/>
      <c r="R5905" s="5"/>
    </row>
    <row r="5906" spans="12:18" x14ac:dyDescent="0.35">
      <c r="L5906" s="71"/>
      <c r="R5906" s="5"/>
    </row>
    <row r="5907" spans="12:18" x14ac:dyDescent="0.35">
      <c r="L5907" s="71"/>
      <c r="R5907" s="5"/>
    </row>
    <row r="5908" spans="12:18" x14ac:dyDescent="0.35">
      <c r="L5908" s="71"/>
      <c r="R5908" s="5"/>
    </row>
    <row r="5909" spans="12:18" x14ac:dyDescent="0.35">
      <c r="L5909" s="71"/>
      <c r="R5909" s="5"/>
    </row>
    <row r="5910" spans="12:18" x14ac:dyDescent="0.35">
      <c r="L5910" s="71"/>
      <c r="R5910" s="5"/>
    </row>
    <row r="5911" spans="12:18" x14ac:dyDescent="0.35">
      <c r="L5911" s="71"/>
      <c r="R5911" s="5"/>
    </row>
    <row r="5912" spans="12:18" x14ac:dyDescent="0.35">
      <c r="L5912" s="71"/>
      <c r="R5912" s="5"/>
    </row>
    <row r="5913" spans="12:18" x14ac:dyDescent="0.35">
      <c r="L5913" s="71"/>
      <c r="R5913" s="5"/>
    </row>
    <row r="5914" spans="12:18" x14ac:dyDescent="0.35">
      <c r="L5914" s="71"/>
      <c r="R5914" s="5"/>
    </row>
    <row r="5915" spans="12:18" x14ac:dyDescent="0.35">
      <c r="L5915" s="71"/>
      <c r="R5915" s="5"/>
    </row>
    <row r="5916" spans="12:18" x14ac:dyDescent="0.35">
      <c r="L5916" s="71"/>
      <c r="R5916" s="5"/>
    </row>
    <row r="5917" spans="12:18" x14ac:dyDescent="0.35">
      <c r="L5917" s="71"/>
      <c r="R5917" s="5"/>
    </row>
    <row r="5918" spans="12:18" x14ac:dyDescent="0.35">
      <c r="L5918" s="71"/>
      <c r="R5918" s="5"/>
    </row>
    <row r="5919" spans="12:18" x14ac:dyDescent="0.35">
      <c r="L5919" s="71"/>
      <c r="R5919" s="5"/>
    </row>
    <row r="5920" spans="12:18" x14ac:dyDescent="0.35">
      <c r="L5920" s="71"/>
      <c r="R5920" s="5"/>
    </row>
    <row r="5921" spans="12:18" x14ac:dyDescent="0.35">
      <c r="L5921" s="71"/>
      <c r="R5921" s="5"/>
    </row>
    <row r="5922" spans="12:18" x14ac:dyDescent="0.35">
      <c r="L5922" s="71"/>
      <c r="R5922" s="5"/>
    </row>
    <row r="5923" spans="12:18" x14ac:dyDescent="0.35">
      <c r="L5923" s="71"/>
      <c r="R5923" s="5"/>
    </row>
    <row r="5924" spans="12:18" x14ac:dyDescent="0.35">
      <c r="L5924" s="71"/>
      <c r="R5924" s="5"/>
    </row>
    <row r="5925" spans="12:18" x14ac:dyDescent="0.35">
      <c r="L5925" s="71"/>
      <c r="R5925" s="5"/>
    </row>
    <row r="5926" spans="12:18" x14ac:dyDescent="0.35">
      <c r="L5926" s="71"/>
      <c r="R5926" s="5"/>
    </row>
    <row r="5927" spans="12:18" x14ac:dyDescent="0.35">
      <c r="L5927" s="71"/>
      <c r="R5927" s="5"/>
    </row>
    <row r="5928" spans="12:18" x14ac:dyDescent="0.35">
      <c r="L5928" s="71"/>
      <c r="R5928" s="5"/>
    </row>
    <row r="5929" spans="12:18" x14ac:dyDescent="0.35">
      <c r="L5929" s="71"/>
      <c r="R5929" s="5"/>
    </row>
    <row r="5930" spans="12:18" x14ac:dyDescent="0.35">
      <c r="L5930" s="71"/>
      <c r="R5930" s="5"/>
    </row>
    <row r="5931" spans="12:18" x14ac:dyDescent="0.35">
      <c r="L5931" s="71"/>
      <c r="R5931" s="5"/>
    </row>
    <row r="5932" spans="12:18" x14ac:dyDescent="0.35">
      <c r="L5932" s="71"/>
      <c r="R5932" s="5"/>
    </row>
    <row r="5933" spans="12:18" x14ac:dyDescent="0.35">
      <c r="L5933" s="71"/>
      <c r="R5933" s="5"/>
    </row>
    <row r="5934" spans="12:18" x14ac:dyDescent="0.35">
      <c r="L5934" s="71"/>
      <c r="R5934" s="5"/>
    </row>
    <row r="5935" spans="12:18" x14ac:dyDescent="0.35">
      <c r="L5935" s="71"/>
      <c r="R5935" s="5"/>
    </row>
    <row r="5936" spans="12:18" x14ac:dyDescent="0.35">
      <c r="L5936" s="71"/>
      <c r="R5936" s="5"/>
    </row>
    <row r="5937" spans="12:18" x14ac:dyDescent="0.35">
      <c r="L5937" s="71"/>
      <c r="R5937" s="5"/>
    </row>
    <row r="5938" spans="12:18" x14ac:dyDescent="0.35">
      <c r="L5938" s="71"/>
      <c r="R5938" s="5"/>
    </row>
    <row r="5939" spans="12:18" x14ac:dyDescent="0.35">
      <c r="L5939" s="71"/>
      <c r="R5939" s="5"/>
    </row>
    <row r="5940" spans="12:18" x14ac:dyDescent="0.35">
      <c r="L5940" s="71"/>
      <c r="R5940" s="5"/>
    </row>
    <row r="5941" spans="12:18" x14ac:dyDescent="0.35">
      <c r="L5941" s="71"/>
      <c r="R5941" s="5"/>
    </row>
    <row r="5942" spans="12:18" x14ac:dyDescent="0.35">
      <c r="L5942" s="71"/>
      <c r="R5942" s="5"/>
    </row>
    <row r="5943" spans="12:18" x14ac:dyDescent="0.35">
      <c r="L5943" s="71"/>
      <c r="R5943" s="5"/>
    </row>
    <row r="5944" spans="12:18" x14ac:dyDescent="0.35">
      <c r="L5944" s="71"/>
      <c r="R5944" s="5"/>
    </row>
    <row r="5945" spans="12:18" x14ac:dyDescent="0.35">
      <c r="L5945" s="71"/>
      <c r="R5945" s="5"/>
    </row>
    <row r="5946" spans="12:18" x14ac:dyDescent="0.35">
      <c r="L5946" s="71"/>
      <c r="R5946" s="5"/>
    </row>
    <row r="5947" spans="12:18" x14ac:dyDescent="0.35">
      <c r="L5947" s="71"/>
      <c r="R5947" s="5"/>
    </row>
    <row r="5948" spans="12:18" x14ac:dyDescent="0.35">
      <c r="L5948" s="71"/>
      <c r="R5948" s="5"/>
    </row>
    <row r="5949" spans="12:18" x14ac:dyDescent="0.35">
      <c r="L5949" s="71"/>
      <c r="R5949" s="5"/>
    </row>
    <row r="5950" spans="12:18" x14ac:dyDescent="0.35">
      <c r="L5950" s="71"/>
      <c r="R5950" s="5"/>
    </row>
    <row r="5951" spans="12:18" x14ac:dyDescent="0.35">
      <c r="L5951" s="71"/>
      <c r="R5951" s="5"/>
    </row>
    <row r="5952" spans="12:18" x14ac:dyDescent="0.35">
      <c r="L5952" s="71"/>
      <c r="R5952" s="5"/>
    </row>
    <row r="5953" spans="12:18" x14ac:dyDescent="0.35">
      <c r="L5953" s="71"/>
      <c r="R5953" s="5"/>
    </row>
    <row r="5954" spans="12:18" x14ac:dyDescent="0.35">
      <c r="L5954" s="71"/>
      <c r="R5954" s="5"/>
    </row>
    <row r="5955" spans="12:18" x14ac:dyDescent="0.35">
      <c r="L5955" s="71"/>
      <c r="R5955" s="5"/>
    </row>
    <row r="5956" spans="12:18" x14ac:dyDescent="0.35">
      <c r="L5956" s="71"/>
      <c r="R5956" s="5"/>
    </row>
    <row r="5957" spans="12:18" x14ac:dyDescent="0.35">
      <c r="L5957" s="71"/>
      <c r="R5957" s="5"/>
    </row>
    <row r="5958" spans="12:18" x14ac:dyDescent="0.35">
      <c r="L5958" s="71"/>
      <c r="R5958" s="5"/>
    </row>
    <row r="5959" spans="12:18" x14ac:dyDescent="0.35">
      <c r="L5959" s="71"/>
      <c r="R5959" s="5"/>
    </row>
    <row r="5960" spans="12:18" x14ac:dyDescent="0.35">
      <c r="L5960" s="71"/>
      <c r="R5960" s="5"/>
    </row>
    <row r="5961" spans="12:18" x14ac:dyDescent="0.35">
      <c r="L5961" s="71"/>
      <c r="R5961" s="5"/>
    </row>
    <row r="5962" spans="12:18" x14ac:dyDescent="0.35">
      <c r="L5962" s="71"/>
      <c r="R5962" s="5"/>
    </row>
    <row r="5963" spans="12:18" x14ac:dyDescent="0.35">
      <c r="L5963" s="71"/>
      <c r="R5963" s="5"/>
    </row>
    <row r="5964" spans="12:18" x14ac:dyDescent="0.35">
      <c r="L5964" s="71"/>
      <c r="R5964" s="5"/>
    </row>
    <row r="5965" spans="12:18" x14ac:dyDescent="0.35">
      <c r="L5965" s="71"/>
      <c r="R5965" s="5"/>
    </row>
    <row r="5966" spans="12:18" x14ac:dyDescent="0.35">
      <c r="L5966" s="71"/>
      <c r="R5966" s="5"/>
    </row>
    <row r="5967" spans="12:18" x14ac:dyDescent="0.35">
      <c r="L5967" s="71"/>
      <c r="R5967" s="5"/>
    </row>
    <row r="5968" spans="12:18" x14ac:dyDescent="0.35">
      <c r="L5968" s="71"/>
      <c r="R5968" s="5"/>
    </row>
    <row r="5969" spans="12:18" x14ac:dyDescent="0.35">
      <c r="L5969" s="71"/>
      <c r="R5969" s="5"/>
    </row>
    <row r="5970" spans="12:18" x14ac:dyDescent="0.35">
      <c r="L5970" s="71"/>
      <c r="R5970" s="5"/>
    </row>
    <row r="5971" spans="12:18" x14ac:dyDescent="0.35">
      <c r="L5971" s="71"/>
      <c r="R5971" s="5"/>
    </row>
    <row r="5972" spans="12:18" x14ac:dyDescent="0.35">
      <c r="L5972" s="71"/>
      <c r="R5972" s="5"/>
    </row>
    <row r="5973" spans="12:18" x14ac:dyDescent="0.35">
      <c r="L5973" s="71"/>
      <c r="R5973" s="5"/>
    </row>
    <row r="5974" spans="12:18" x14ac:dyDescent="0.35">
      <c r="L5974" s="71"/>
      <c r="R5974" s="5"/>
    </row>
    <row r="5975" spans="12:18" x14ac:dyDescent="0.35">
      <c r="L5975" s="71"/>
      <c r="R5975" s="5"/>
    </row>
    <row r="5976" spans="12:18" x14ac:dyDescent="0.35">
      <c r="L5976" s="71"/>
      <c r="R5976" s="5"/>
    </row>
    <row r="5977" spans="12:18" x14ac:dyDescent="0.35">
      <c r="L5977" s="71"/>
      <c r="R5977" s="5"/>
    </row>
    <row r="5978" spans="12:18" x14ac:dyDescent="0.35">
      <c r="L5978" s="71"/>
      <c r="R5978" s="5"/>
    </row>
    <row r="5979" spans="12:18" x14ac:dyDescent="0.35">
      <c r="L5979" s="71"/>
      <c r="R5979" s="5"/>
    </row>
    <row r="5980" spans="12:18" x14ac:dyDescent="0.35">
      <c r="L5980" s="71"/>
      <c r="R5980" s="5"/>
    </row>
    <row r="5981" spans="12:18" x14ac:dyDescent="0.35">
      <c r="L5981" s="71"/>
      <c r="R5981" s="5"/>
    </row>
    <row r="5982" spans="12:18" x14ac:dyDescent="0.35">
      <c r="L5982" s="71"/>
      <c r="R5982" s="5"/>
    </row>
    <row r="5983" spans="12:18" x14ac:dyDescent="0.35">
      <c r="L5983" s="71"/>
      <c r="R5983" s="5"/>
    </row>
    <row r="5984" spans="12:18" x14ac:dyDescent="0.35">
      <c r="L5984" s="71"/>
      <c r="R5984" s="5"/>
    </row>
    <row r="5985" spans="12:18" x14ac:dyDescent="0.35">
      <c r="L5985" s="71"/>
      <c r="R5985" s="5"/>
    </row>
    <row r="5986" spans="12:18" x14ac:dyDescent="0.35">
      <c r="L5986" s="71"/>
      <c r="R5986" s="5"/>
    </row>
    <row r="5987" spans="12:18" x14ac:dyDescent="0.35">
      <c r="L5987" s="71"/>
      <c r="R5987" s="5"/>
    </row>
    <row r="5988" spans="12:18" x14ac:dyDescent="0.35">
      <c r="L5988" s="71"/>
      <c r="R5988" s="5"/>
    </row>
    <row r="5989" spans="12:18" x14ac:dyDescent="0.35">
      <c r="L5989" s="71"/>
      <c r="R5989" s="5"/>
    </row>
    <row r="5990" spans="12:18" x14ac:dyDescent="0.35">
      <c r="L5990" s="71"/>
      <c r="R5990" s="5"/>
    </row>
    <row r="5991" spans="12:18" x14ac:dyDescent="0.35">
      <c r="L5991" s="71"/>
      <c r="R5991" s="5"/>
    </row>
    <row r="5992" spans="12:18" x14ac:dyDescent="0.35">
      <c r="L5992" s="71"/>
      <c r="R5992" s="5"/>
    </row>
    <row r="5993" spans="12:18" x14ac:dyDescent="0.35">
      <c r="L5993" s="71"/>
      <c r="R5993" s="5"/>
    </row>
    <row r="5994" spans="12:18" x14ac:dyDescent="0.35">
      <c r="L5994" s="71"/>
      <c r="R5994" s="5"/>
    </row>
    <row r="5995" spans="12:18" x14ac:dyDescent="0.35">
      <c r="L5995" s="71"/>
      <c r="R5995" s="5"/>
    </row>
    <row r="5996" spans="12:18" x14ac:dyDescent="0.35">
      <c r="L5996" s="71"/>
      <c r="R5996" s="5"/>
    </row>
    <row r="5997" spans="12:18" x14ac:dyDescent="0.35">
      <c r="L5997" s="71"/>
      <c r="R5997" s="5"/>
    </row>
    <row r="5998" spans="12:18" x14ac:dyDescent="0.35">
      <c r="L5998" s="71"/>
      <c r="R5998" s="5"/>
    </row>
    <row r="5999" spans="12:18" x14ac:dyDescent="0.35">
      <c r="L5999" s="71"/>
      <c r="R5999" s="5"/>
    </row>
    <row r="6000" spans="12:18" x14ac:dyDescent="0.35">
      <c r="L6000" s="71"/>
      <c r="R6000" s="5"/>
    </row>
    <row r="6001" spans="12:18" x14ac:dyDescent="0.35">
      <c r="L6001" s="71"/>
      <c r="R6001" s="5"/>
    </row>
    <row r="6002" spans="12:18" x14ac:dyDescent="0.35">
      <c r="L6002" s="71"/>
      <c r="R6002" s="5"/>
    </row>
    <row r="6003" spans="12:18" x14ac:dyDescent="0.35">
      <c r="L6003" s="71"/>
      <c r="R6003" s="5"/>
    </row>
    <row r="6004" spans="12:18" x14ac:dyDescent="0.35">
      <c r="L6004" s="71"/>
      <c r="R6004" s="5"/>
    </row>
    <row r="6005" spans="12:18" x14ac:dyDescent="0.35">
      <c r="L6005" s="71"/>
      <c r="R6005" s="5"/>
    </row>
    <row r="6006" spans="12:18" x14ac:dyDescent="0.35">
      <c r="L6006" s="71"/>
      <c r="R6006" s="5"/>
    </row>
    <row r="6007" spans="12:18" x14ac:dyDescent="0.35">
      <c r="L6007" s="71"/>
      <c r="R6007" s="5"/>
    </row>
    <row r="6008" spans="12:18" x14ac:dyDescent="0.35">
      <c r="L6008" s="71"/>
      <c r="R6008" s="5"/>
    </row>
    <row r="6009" spans="12:18" x14ac:dyDescent="0.35">
      <c r="L6009" s="71"/>
      <c r="R6009" s="5"/>
    </row>
    <row r="6010" spans="12:18" x14ac:dyDescent="0.35">
      <c r="L6010" s="71"/>
      <c r="R6010" s="5"/>
    </row>
    <row r="6011" spans="12:18" x14ac:dyDescent="0.35">
      <c r="L6011" s="71"/>
      <c r="R6011" s="5"/>
    </row>
    <row r="6012" spans="12:18" x14ac:dyDescent="0.35">
      <c r="L6012" s="71"/>
      <c r="R6012" s="5"/>
    </row>
    <row r="6013" spans="12:18" x14ac:dyDescent="0.35">
      <c r="L6013" s="71"/>
      <c r="R6013" s="5"/>
    </row>
    <row r="6014" spans="12:18" x14ac:dyDescent="0.35">
      <c r="L6014" s="71"/>
      <c r="R6014" s="5"/>
    </row>
    <row r="6015" spans="12:18" x14ac:dyDescent="0.35">
      <c r="L6015" s="71"/>
      <c r="R6015" s="5"/>
    </row>
    <row r="6016" spans="12:18" x14ac:dyDescent="0.35">
      <c r="L6016" s="71"/>
      <c r="R6016" s="5"/>
    </row>
    <row r="6017" spans="12:18" x14ac:dyDescent="0.35">
      <c r="L6017" s="71"/>
      <c r="R6017" s="5"/>
    </row>
    <row r="6018" spans="12:18" x14ac:dyDescent="0.35">
      <c r="L6018" s="71"/>
      <c r="R6018" s="5"/>
    </row>
    <row r="6019" spans="12:18" x14ac:dyDescent="0.35">
      <c r="L6019" s="71"/>
      <c r="R6019" s="5"/>
    </row>
    <row r="6020" spans="12:18" x14ac:dyDescent="0.35">
      <c r="L6020" s="71"/>
      <c r="R6020" s="5"/>
    </row>
    <row r="6021" spans="12:18" x14ac:dyDescent="0.35">
      <c r="L6021" s="71"/>
      <c r="R6021" s="5"/>
    </row>
    <row r="6022" spans="12:18" x14ac:dyDescent="0.35">
      <c r="L6022" s="71"/>
      <c r="R6022" s="5"/>
    </row>
    <row r="6023" spans="12:18" x14ac:dyDescent="0.35">
      <c r="L6023" s="71"/>
      <c r="R6023" s="5"/>
    </row>
    <row r="6024" spans="12:18" x14ac:dyDescent="0.35">
      <c r="L6024" s="71"/>
      <c r="R6024" s="5"/>
    </row>
    <row r="6025" spans="12:18" x14ac:dyDescent="0.35">
      <c r="L6025" s="71"/>
      <c r="R6025" s="5"/>
    </row>
    <row r="6026" spans="12:18" x14ac:dyDescent="0.35">
      <c r="L6026" s="71"/>
      <c r="R6026" s="5"/>
    </row>
    <row r="6027" spans="12:18" x14ac:dyDescent="0.35">
      <c r="L6027" s="71"/>
      <c r="R6027" s="5"/>
    </row>
    <row r="6028" spans="12:18" x14ac:dyDescent="0.35">
      <c r="L6028" s="71"/>
      <c r="R6028" s="5"/>
    </row>
    <row r="6029" spans="12:18" x14ac:dyDescent="0.35">
      <c r="L6029" s="71"/>
      <c r="R6029" s="5"/>
    </row>
    <row r="6030" spans="12:18" x14ac:dyDescent="0.35">
      <c r="L6030" s="71"/>
      <c r="R6030" s="5"/>
    </row>
    <row r="6031" spans="12:18" x14ac:dyDescent="0.35">
      <c r="L6031" s="71"/>
      <c r="R6031" s="5"/>
    </row>
    <row r="6032" spans="12:18" x14ac:dyDescent="0.35">
      <c r="L6032" s="71"/>
      <c r="R6032" s="5"/>
    </row>
    <row r="6033" spans="12:18" x14ac:dyDescent="0.35">
      <c r="L6033" s="71"/>
      <c r="R6033" s="5"/>
    </row>
    <row r="6034" spans="12:18" x14ac:dyDescent="0.35">
      <c r="L6034" s="71"/>
      <c r="R6034" s="5"/>
    </row>
    <row r="6035" spans="12:18" x14ac:dyDescent="0.35">
      <c r="L6035" s="71"/>
      <c r="R6035" s="5"/>
    </row>
    <row r="6036" spans="12:18" x14ac:dyDescent="0.35">
      <c r="L6036" s="71"/>
      <c r="R6036" s="5"/>
    </row>
    <row r="6037" spans="12:18" x14ac:dyDescent="0.35">
      <c r="L6037" s="71"/>
      <c r="R6037" s="5"/>
    </row>
    <row r="6038" spans="12:18" x14ac:dyDescent="0.35">
      <c r="L6038" s="71"/>
      <c r="R6038" s="5"/>
    </row>
    <row r="6039" spans="12:18" x14ac:dyDescent="0.35">
      <c r="L6039" s="71"/>
      <c r="R6039" s="5"/>
    </row>
    <row r="6040" spans="12:18" x14ac:dyDescent="0.35">
      <c r="L6040" s="71"/>
      <c r="R6040" s="5"/>
    </row>
    <row r="6041" spans="12:18" x14ac:dyDescent="0.35">
      <c r="L6041" s="71"/>
      <c r="R6041" s="5"/>
    </row>
    <row r="6042" spans="12:18" x14ac:dyDescent="0.35">
      <c r="L6042" s="71"/>
      <c r="R6042" s="5"/>
    </row>
    <row r="6043" spans="12:18" x14ac:dyDescent="0.35">
      <c r="L6043" s="71"/>
      <c r="R6043" s="5"/>
    </row>
    <row r="6044" spans="12:18" x14ac:dyDescent="0.35">
      <c r="L6044" s="71"/>
      <c r="R6044" s="5"/>
    </row>
    <row r="6045" spans="12:18" x14ac:dyDescent="0.35">
      <c r="L6045" s="71"/>
      <c r="R6045" s="5"/>
    </row>
    <row r="6046" spans="12:18" x14ac:dyDescent="0.35">
      <c r="L6046" s="71"/>
      <c r="R6046" s="5"/>
    </row>
    <row r="6047" spans="12:18" x14ac:dyDescent="0.35">
      <c r="L6047" s="71"/>
      <c r="R6047" s="5"/>
    </row>
    <row r="6048" spans="12:18" x14ac:dyDescent="0.35">
      <c r="L6048" s="71"/>
      <c r="R6048" s="5"/>
    </row>
    <row r="6049" spans="12:18" x14ac:dyDescent="0.35">
      <c r="L6049" s="71"/>
      <c r="R6049" s="5"/>
    </row>
    <row r="6050" spans="12:18" x14ac:dyDescent="0.35">
      <c r="L6050" s="71"/>
      <c r="R6050" s="5"/>
    </row>
    <row r="6051" spans="12:18" x14ac:dyDescent="0.35">
      <c r="L6051" s="71"/>
      <c r="R6051" s="5"/>
    </row>
    <row r="6052" spans="12:18" x14ac:dyDescent="0.35">
      <c r="L6052" s="71"/>
      <c r="R6052" s="5"/>
    </row>
    <row r="6053" spans="12:18" x14ac:dyDescent="0.35">
      <c r="L6053" s="71"/>
      <c r="R6053" s="5"/>
    </row>
    <row r="6054" spans="12:18" x14ac:dyDescent="0.35">
      <c r="L6054" s="71"/>
      <c r="R6054" s="5"/>
    </row>
    <row r="6055" spans="12:18" x14ac:dyDescent="0.35">
      <c r="L6055" s="71"/>
      <c r="R6055" s="5"/>
    </row>
    <row r="6056" spans="12:18" x14ac:dyDescent="0.35">
      <c r="L6056" s="71"/>
      <c r="R6056" s="5"/>
    </row>
    <row r="6057" spans="12:18" x14ac:dyDescent="0.35">
      <c r="L6057" s="71"/>
      <c r="R6057" s="5"/>
    </row>
    <row r="6058" spans="12:18" x14ac:dyDescent="0.35">
      <c r="L6058" s="71"/>
      <c r="R6058" s="5"/>
    </row>
    <row r="6059" spans="12:18" x14ac:dyDescent="0.35">
      <c r="L6059" s="71"/>
      <c r="R6059" s="5"/>
    </row>
    <row r="6060" spans="12:18" x14ac:dyDescent="0.35">
      <c r="L6060" s="71"/>
      <c r="R6060" s="5"/>
    </row>
    <row r="6061" spans="12:18" x14ac:dyDescent="0.35">
      <c r="L6061" s="71"/>
      <c r="R6061" s="5"/>
    </row>
    <row r="6062" spans="12:18" x14ac:dyDescent="0.35">
      <c r="L6062" s="71"/>
      <c r="R6062" s="5"/>
    </row>
    <row r="6063" spans="12:18" x14ac:dyDescent="0.35">
      <c r="L6063" s="71"/>
      <c r="R6063" s="5"/>
    </row>
    <row r="6064" spans="12:18" x14ac:dyDescent="0.35">
      <c r="L6064" s="71"/>
      <c r="R6064" s="5"/>
    </row>
    <row r="6065" spans="12:18" x14ac:dyDescent="0.35">
      <c r="L6065" s="71"/>
      <c r="R6065" s="5"/>
    </row>
    <row r="6066" spans="12:18" x14ac:dyDescent="0.35">
      <c r="L6066" s="71"/>
      <c r="R6066" s="5"/>
    </row>
    <row r="6067" spans="12:18" x14ac:dyDescent="0.35">
      <c r="L6067" s="71"/>
      <c r="R6067" s="5"/>
    </row>
    <row r="6068" spans="12:18" x14ac:dyDescent="0.35">
      <c r="L6068" s="71"/>
      <c r="R6068" s="5"/>
    </row>
    <row r="6069" spans="12:18" x14ac:dyDescent="0.35">
      <c r="L6069" s="71"/>
      <c r="R6069" s="5"/>
    </row>
    <row r="6070" spans="12:18" x14ac:dyDescent="0.35">
      <c r="L6070" s="71"/>
      <c r="R6070" s="5"/>
    </row>
    <row r="6071" spans="12:18" x14ac:dyDescent="0.35">
      <c r="L6071" s="71"/>
      <c r="R6071" s="5"/>
    </row>
    <row r="6072" spans="12:18" x14ac:dyDescent="0.35">
      <c r="L6072" s="71"/>
      <c r="R6072" s="5"/>
    </row>
    <row r="6073" spans="12:18" x14ac:dyDescent="0.35">
      <c r="L6073" s="71"/>
      <c r="R6073" s="5"/>
    </row>
    <row r="6074" spans="12:18" x14ac:dyDescent="0.35">
      <c r="L6074" s="71"/>
      <c r="R6074" s="5"/>
    </row>
    <row r="6075" spans="12:18" x14ac:dyDescent="0.35">
      <c r="L6075" s="71"/>
      <c r="R6075" s="5"/>
    </row>
    <row r="6076" spans="12:18" x14ac:dyDescent="0.35">
      <c r="L6076" s="71"/>
      <c r="R6076" s="5"/>
    </row>
    <row r="6077" spans="12:18" x14ac:dyDescent="0.35">
      <c r="L6077" s="71"/>
      <c r="R6077" s="5"/>
    </row>
    <row r="6078" spans="12:18" x14ac:dyDescent="0.35">
      <c r="L6078" s="71"/>
      <c r="R6078" s="5"/>
    </row>
    <row r="6079" spans="12:18" x14ac:dyDescent="0.35">
      <c r="L6079" s="71"/>
      <c r="R6079" s="5"/>
    </row>
    <row r="6080" spans="12:18" x14ac:dyDescent="0.35">
      <c r="L6080" s="71"/>
      <c r="R6080" s="5"/>
    </row>
    <row r="6081" spans="12:18" x14ac:dyDescent="0.35">
      <c r="L6081" s="71"/>
      <c r="R6081" s="5"/>
    </row>
    <row r="6082" spans="12:18" x14ac:dyDescent="0.35">
      <c r="L6082" s="71"/>
      <c r="R6082" s="5"/>
    </row>
    <row r="6083" spans="12:18" x14ac:dyDescent="0.35">
      <c r="L6083" s="71"/>
      <c r="R6083" s="5"/>
    </row>
    <row r="6084" spans="12:18" x14ac:dyDescent="0.35">
      <c r="L6084" s="71"/>
      <c r="R6084" s="5"/>
    </row>
    <row r="6085" spans="12:18" x14ac:dyDescent="0.35">
      <c r="L6085" s="71"/>
      <c r="R6085" s="5"/>
    </row>
    <row r="6086" spans="12:18" x14ac:dyDescent="0.35">
      <c r="L6086" s="71"/>
      <c r="R6086" s="5"/>
    </row>
    <row r="6087" spans="12:18" x14ac:dyDescent="0.35">
      <c r="L6087" s="71"/>
      <c r="R6087" s="5"/>
    </row>
    <row r="6088" spans="12:18" x14ac:dyDescent="0.35">
      <c r="L6088" s="71"/>
      <c r="R6088" s="5"/>
    </row>
    <row r="6089" spans="12:18" x14ac:dyDescent="0.35">
      <c r="L6089" s="71"/>
      <c r="R6089" s="5"/>
    </row>
    <row r="6090" spans="12:18" x14ac:dyDescent="0.35">
      <c r="L6090" s="71"/>
      <c r="R6090" s="5"/>
    </row>
    <row r="6091" spans="12:18" x14ac:dyDescent="0.35">
      <c r="L6091" s="71"/>
      <c r="R6091" s="5"/>
    </row>
    <row r="6092" spans="12:18" x14ac:dyDescent="0.35">
      <c r="L6092" s="71"/>
      <c r="R6092" s="5"/>
    </row>
    <row r="6093" spans="12:18" x14ac:dyDescent="0.35">
      <c r="L6093" s="71"/>
      <c r="R6093" s="5"/>
    </row>
    <row r="6094" spans="12:18" x14ac:dyDescent="0.35">
      <c r="L6094" s="71"/>
      <c r="R6094" s="5"/>
    </row>
    <row r="6095" spans="12:18" x14ac:dyDescent="0.35">
      <c r="L6095" s="71"/>
      <c r="R6095" s="5"/>
    </row>
    <row r="6096" spans="12:18" x14ac:dyDescent="0.35">
      <c r="L6096" s="71"/>
      <c r="R6096" s="5"/>
    </row>
    <row r="6097" spans="12:18" x14ac:dyDescent="0.35">
      <c r="L6097" s="71"/>
      <c r="R6097" s="5"/>
    </row>
    <row r="6098" spans="12:18" x14ac:dyDescent="0.35">
      <c r="L6098" s="71"/>
      <c r="R6098" s="5"/>
    </row>
    <row r="6099" spans="12:18" x14ac:dyDescent="0.35">
      <c r="L6099" s="71"/>
      <c r="R6099" s="5"/>
    </row>
    <row r="6100" spans="12:18" x14ac:dyDescent="0.35">
      <c r="L6100" s="71"/>
      <c r="R6100" s="5"/>
    </row>
    <row r="6101" spans="12:18" x14ac:dyDescent="0.35">
      <c r="L6101" s="71"/>
      <c r="R6101" s="5"/>
    </row>
    <row r="6102" spans="12:18" x14ac:dyDescent="0.35">
      <c r="L6102" s="71"/>
      <c r="R6102" s="5"/>
    </row>
    <row r="6103" spans="12:18" x14ac:dyDescent="0.35">
      <c r="L6103" s="71"/>
      <c r="R6103" s="5"/>
    </row>
    <row r="6104" spans="12:18" x14ac:dyDescent="0.35">
      <c r="L6104" s="71"/>
      <c r="R6104" s="5"/>
    </row>
    <row r="6105" spans="12:18" x14ac:dyDescent="0.35">
      <c r="L6105" s="71"/>
      <c r="R6105" s="5"/>
    </row>
    <row r="6106" spans="12:18" x14ac:dyDescent="0.35">
      <c r="L6106" s="71"/>
      <c r="R6106" s="5"/>
    </row>
    <row r="6107" spans="12:18" x14ac:dyDescent="0.35">
      <c r="L6107" s="71"/>
      <c r="R6107" s="5"/>
    </row>
    <row r="6108" spans="12:18" x14ac:dyDescent="0.35">
      <c r="L6108" s="71"/>
      <c r="R6108" s="5"/>
    </row>
    <row r="6109" spans="12:18" x14ac:dyDescent="0.35">
      <c r="L6109" s="71"/>
      <c r="R6109" s="5"/>
    </row>
    <row r="6110" spans="12:18" x14ac:dyDescent="0.35">
      <c r="L6110" s="71"/>
      <c r="R6110" s="5"/>
    </row>
    <row r="6111" spans="12:18" x14ac:dyDescent="0.35">
      <c r="L6111" s="71"/>
      <c r="R6111" s="5"/>
    </row>
    <row r="6112" spans="12:18" x14ac:dyDescent="0.35">
      <c r="L6112" s="71"/>
      <c r="R6112" s="5"/>
    </row>
    <row r="6113" spans="12:18" x14ac:dyDescent="0.35">
      <c r="L6113" s="71"/>
      <c r="R6113" s="5"/>
    </row>
    <row r="6114" spans="12:18" x14ac:dyDescent="0.35">
      <c r="L6114" s="71"/>
      <c r="R6114" s="5"/>
    </row>
    <row r="6115" spans="12:18" x14ac:dyDescent="0.35">
      <c r="L6115" s="71"/>
      <c r="R6115" s="5"/>
    </row>
    <row r="6116" spans="12:18" x14ac:dyDescent="0.35">
      <c r="L6116" s="71"/>
      <c r="R6116" s="5"/>
    </row>
    <row r="6117" spans="12:18" x14ac:dyDescent="0.35">
      <c r="L6117" s="71"/>
      <c r="R6117" s="5"/>
    </row>
    <row r="6118" spans="12:18" x14ac:dyDescent="0.35">
      <c r="L6118" s="71"/>
      <c r="R6118" s="5"/>
    </row>
    <row r="6119" spans="12:18" x14ac:dyDescent="0.35">
      <c r="L6119" s="71"/>
      <c r="R6119" s="5"/>
    </row>
    <row r="6120" spans="12:18" x14ac:dyDescent="0.35">
      <c r="L6120" s="71"/>
      <c r="R6120" s="5"/>
    </row>
    <row r="6121" spans="12:18" x14ac:dyDescent="0.35">
      <c r="L6121" s="71"/>
      <c r="R6121" s="5"/>
    </row>
    <row r="6122" spans="12:18" x14ac:dyDescent="0.35">
      <c r="L6122" s="71"/>
      <c r="R6122" s="5"/>
    </row>
    <row r="6123" spans="12:18" x14ac:dyDescent="0.35">
      <c r="L6123" s="71"/>
      <c r="R6123" s="5"/>
    </row>
    <row r="6124" spans="12:18" x14ac:dyDescent="0.35">
      <c r="L6124" s="71"/>
      <c r="R6124" s="5"/>
    </row>
    <row r="6125" spans="12:18" x14ac:dyDescent="0.35">
      <c r="L6125" s="71"/>
      <c r="R6125" s="5"/>
    </row>
    <row r="6126" spans="12:18" x14ac:dyDescent="0.35">
      <c r="L6126" s="71"/>
      <c r="R6126" s="5"/>
    </row>
    <row r="6127" spans="12:18" x14ac:dyDescent="0.35">
      <c r="L6127" s="71"/>
      <c r="R6127" s="5"/>
    </row>
    <row r="6128" spans="12:18" x14ac:dyDescent="0.35">
      <c r="L6128" s="71"/>
      <c r="R6128" s="5"/>
    </row>
    <row r="6129" spans="12:18" x14ac:dyDescent="0.35">
      <c r="L6129" s="71"/>
      <c r="R6129" s="5"/>
    </row>
    <row r="6130" spans="12:18" x14ac:dyDescent="0.35">
      <c r="L6130" s="71"/>
      <c r="R6130" s="5"/>
    </row>
    <row r="6131" spans="12:18" x14ac:dyDescent="0.35">
      <c r="L6131" s="71"/>
      <c r="R6131" s="5"/>
    </row>
    <row r="6132" spans="12:18" x14ac:dyDescent="0.35">
      <c r="L6132" s="71"/>
      <c r="R6132" s="5"/>
    </row>
    <row r="6133" spans="12:18" x14ac:dyDescent="0.35">
      <c r="L6133" s="71"/>
      <c r="R6133" s="5"/>
    </row>
    <row r="6134" spans="12:18" x14ac:dyDescent="0.35">
      <c r="L6134" s="71"/>
      <c r="R6134" s="5"/>
    </row>
    <row r="6135" spans="12:18" x14ac:dyDescent="0.35">
      <c r="L6135" s="71"/>
      <c r="R6135" s="5"/>
    </row>
    <row r="6136" spans="12:18" x14ac:dyDescent="0.35">
      <c r="L6136" s="71"/>
      <c r="R6136" s="5"/>
    </row>
    <row r="6137" spans="12:18" x14ac:dyDescent="0.35">
      <c r="L6137" s="71"/>
      <c r="R6137" s="5"/>
    </row>
    <row r="6138" spans="12:18" x14ac:dyDescent="0.35">
      <c r="L6138" s="71"/>
      <c r="R6138" s="5"/>
    </row>
    <row r="6139" spans="12:18" x14ac:dyDescent="0.35">
      <c r="L6139" s="71"/>
      <c r="R6139" s="5"/>
    </row>
    <row r="6140" spans="12:18" x14ac:dyDescent="0.35">
      <c r="L6140" s="71"/>
      <c r="R6140" s="5"/>
    </row>
    <row r="6141" spans="12:18" x14ac:dyDescent="0.35">
      <c r="L6141" s="71"/>
      <c r="R6141" s="5"/>
    </row>
    <row r="6142" spans="12:18" x14ac:dyDescent="0.35">
      <c r="L6142" s="71"/>
      <c r="R6142" s="5"/>
    </row>
    <row r="6143" spans="12:18" x14ac:dyDescent="0.35">
      <c r="L6143" s="71"/>
      <c r="R6143" s="5"/>
    </row>
    <row r="6144" spans="12:18" x14ac:dyDescent="0.35">
      <c r="L6144" s="71"/>
      <c r="R6144" s="5"/>
    </row>
    <row r="6145" spans="12:18" x14ac:dyDescent="0.35">
      <c r="L6145" s="71"/>
      <c r="R6145" s="5"/>
    </row>
    <row r="6146" spans="12:18" x14ac:dyDescent="0.35">
      <c r="L6146" s="71"/>
      <c r="R6146" s="5"/>
    </row>
    <row r="6147" spans="12:18" x14ac:dyDescent="0.35">
      <c r="L6147" s="71"/>
      <c r="R6147" s="5"/>
    </row>
    <row r="6148" spans="12:18" x14ac:dyDescent="0.35">
      <c r="L6148" s="71"/>
      <c r="R6148" s="5"/>
    </row>
    <row r="6149" spans="12:18" x14ac:dyDescent="0.35">
      <c r="L6149" s="71"/>
      <c r="R6149" s="5"/>
    </row>
    <row r="6150" spans="12:18" x14ac:dyDescent="0.35">
      <c r="L6150" s="71"/>
      <c r="R6150" s="5"/>
    </row>
    <row r="6151" spans="12:18" x14ac:dyDescent="0.35">
      <c r="L6151" s="71"/>
      <c r="R6151" s="5"/>
    </row>
    <row r="6152" spans="12:18" x14ac:dyDescent="0.35">
      <c r="L6152" s="71"/>
      <c r="R6152" s="5"/>
    </row>
    <row r="6153" spans="12:18" x14ac:dyDescent="0.35">
      <c r="L6153" s="71"/>
      <c r="R6153" s="5"/>
    </row>
    <row r="6154" spans="12:18" x14ac:dyDescent="0.35">
      <c r="L6154" s="71"/>
      <c r="R6154" s="5"/>
    </row>
    <row r="6155" spans="12:18" x14ac:dyDescent="0.35">
      <c r="L6155" s="71"/>
      <c r="R6155" s="5"/>
    </row>
    <row r="6156" spans="12:18" x14ac:dyDescent="0.35">
      <c r="L6156" s="71"/>
      <c r="R6156" s="5"/>
    </row>
    <row r="6157" spans="12:18" x14ac:dyDescent="0.35">
      <c r="L6157" s="71"/>
      <c r="R6157" s="5"/>
    </row>
    <row r="6158" spans="12:18" x14ac:dyDescent="0.35">
      <c r="L6158" s="71"/>
      <c r="R6158" s="5"/>
    </row>
    <row r="6159" spans="12:18" x14ac:dyDescent="0.35">
      <c r="L6159" s="71"/>
      <c r="R6159" s="5"/>
    </row>
    <row r="6160" spans="12:18" x14ac:dyDescent="0.35">
      <c r="L6160" s="71"/>
      <c r="R6160" s="5"/>
    </row>
    <row r="6161" spans="12:18" x14ac:dyDescent="0.35">
      <c r="L6161" s="71"/>
      <c r="R6161" s="5"/>
    </row>
    <row r="6162" spans="12:18" x14ac:dyDescent="0.35">
      <c r="L6162" s="71"/>
      <c r="R6162" s="5"/>
    </row>
    <row r="6163" spans="12:18" x14ac:dyDescent="0.35">
      <c r="L6163" s="71"/>
      <c r="R6163" s="5"/>
    </row>
    <row r="6164" spans="12:18" x14ac:dyDescent="0.35">
      <c r="L6164" s="71"/>
      <c r="R6164" s="5"/>
    </row>
    <row r="6165" spans="12:18" x14ac:dyDescent="0.35">
      <c r="L6165" s="71"/>
      <c r="R6165" s="5"/>
    </row>
    <row r="6166" spans="12:18" x14ac:dyDescent="0.35">
      <c r="L6166" s="71"/>
      <c r="R6166" s="5"/>
    </row>
    <row r="6167" spans="12:18" x14ac:dyDescent="0.35">
      <c r="L6167" s="71"/>
      <c r="R6167" s="5"/>
    </row>
    <row r="6168" spans="12:18" x14ac:dyDescent="0.35">
      <c r="L6168" s="71"/>
      <c r="R6168" s="5"/>
    </row>
    <row r="6169" spans="12:18" x14ac:dyDescent="0.35">
      <c r="L6169" s="71"/>
      <c r="R6169" s="5"/>
    </row>
    <row r="6170" spans="12:18" x14ac:dyDescent="0.35">
      <c r="L6170" s="71"/>
      <c r="R6170" s="5"/>
    </row>
    <row r="6171" spans="12:18" x14ac:dyDescent="0.35">
      <c r="L6171" s="71"/>
      <c r="R6171" s="5"/>
    </row>
    <row r="6172" spans="12:18" x14ac:dyDescent="0.35">
      <c r="L6172" s="71"/>
      <c r="R6172" s="5"/>
    </row>
    <row r="6173" spans="12:18" x14ac:dyDescent="0.35">
      <c r="L6173" s="71"/>
      <c r="R6173" s="5"/>
    </row>
    <row r="6174" spans="12:18" x14ac:dyDescent="0.35">
      <c r="L6174" s="71"/>
      <c r="R6174" s="5"/>
    </row>
    <row r="6175" spans="12:18" x14ac:dyDescent="0.35">
      <c r="L6175" s="71"/>
      <c r="R6175" s="5"/>
    </row>
    <row r="6176" spans="12:18" x14ac:dyDescent="0.35">
      <c r="L6176" s="71"/>
      <c r="R6176" s="5"/>
    </row>
    <row r="6177" spans="12:18" x14ac:dyDescent="0.35">
      <c r="L6177" s="71"/>
      <c r="R6177" s="5"/>
    </row>
    <row r="6178" spans="12:18" x14ac:dyDescent="0.35">
      <c r="L6178" s="71"/>
      <c r="R6178" s="5"/>
    </row>
    <row r="6179" spans="12:18" x14ac:dyDescent="0.35">
      <c r="L6179" s="71"/>
      <c r="R6179" s="5"/>
    </row>
    <row r="6180" spans="12:18" x14ac:dyDescent="0.35">
      <c r="L6180" s="71"/>
      <c r="R6180" s="5"/>
    </row>
    <row r="6181" spans="12:18" x14ac:dyDescent="0.35">
      <c r="L6181" s="71"/>
      <c r="R6181" s="5"/>
    </row>
    <row r="6182" spans="12:18" x14ac:dyDescent="0.35">
      <c r="L6182" s="71"/>
      <c r="R6182" s="5"/>
    </row>
    <row r="6183" spans="12:18" x14ac:dyDescent="0.35">
      <c r="L6183" s="71"/>
      <c r="R6183" s="5"/>
    </row>
    <row r="6184" spans="12:18" x14ac:dyDescent="0.35">
      <c r="L6184" s="71"/>
      <c r="R6184" s="5"/>
    </row>
    <row r="6185" spans="12:18" x14ac:dyDescent="0.35">
      <c r="L6185" s="71"/>
      <c r="R6185" s="5"/>
    </row>
    <row r="6186" spans="12:18" x14ac:dyDescent="0.35">
      <c r="L6186" s="71"/>
      <c r="R6186" s="5"/>
    </row>
    <row r="6187" spans="12:18" x14ac:dyDescent="0.35">
      <c r="L6187" s="71"/>
      <c r="R6187" s="5"/>
    </row>
    <row r="6188" spans="12:18" x14ac:dyDescent="0.35">
      <c r="L6188" s="71"/>
      <c r="R6188" s="5"/>
    </row>
    <row r="6189" spans="12:18" x14ac:dyDescent="0.35">
      <c r="L6189" s="71"/>
      <c r="R6189" s="5"/>
    </row>
    <row r="6190" spans="12:18" x14ac:dyDescent="0.35">
      <c r="L6190" s="71"/>
      <c r="R6190" s="5"/>
    </row>
    <row r="6191" spans="12:18" x14ac:dyDescent="0.35">
      <c r="L6191" s="71"/>
      <c r="R6191" s="5"/>
    </row>
    <row r="6192" spans="12:18" x14ac:dyDescent="0.35">
      <c r="L6192" s="71"/>
      <c r="R6192" s="5"/>
    </row>
    <row r="6193" spans="12:18" x14ac:dyDescent="0.35">
      <c r="L6193" s="71"/>
      <c r="R6193" s="5"/>
    </row>
    <row r="6194" spans="12:18" x14ac:dyDescent="0.35">
      <c r="L6194" s="71"/>
      <c r="R6194" s="5"/>
    </row>
    <row r="6195" spans="12:18" x14ac:dyDescent="0.35">
      <c r="L6195" s="71"/>
      <c r="R6195" s="5"/>
    </row>
    <row r="6196" spans="12:18" x14ac:dyDescent="0.35">
      <c r="L6196" s="71"/>
      <c r="R6196" s="5"/>
    </row>
    <row r="6197" spans="12:18" x14ac:dyDescent="0.35">
      <c r="L6197" s="71"/>
      <c r="R6197" s="5"/>
    </row>
    <row r="6198" spans="12:18" x14ac:dyDescent="0.35">
      <c r="L6198" s="71"/>
      <c r="R6198" s="5"/>
    </row>
    <row r="6199" spans="12:18" x14ac:dyDescent="0.35">
      <c r="L6199" s="71"/>
      <c r="R6199" s="5"/>
    </row>
    <row r="6200" spans="12:18" x14ac:dyDescent="0.35">
      <c r="L6200" s="71"/>
      <c r="R6200" s="5"/>
    </row>
    <row r="6201" spans="12:18" x14ac:dyDescent="0.35">
      <c r="L6201" s="71"/>
      <c r="R6201" s="5"/>
    </row>
    <row r="6202" spans="12:18" x14ac:dyDescent="0.35">
      <c r="L6202" s="71"/>
      <c r="R6202" s="5"/>
    </row>
    <row r="6203" spans="12:18" x14ac:dyDescent="0.35">
      <c r="L6203" s="71"/>
      <c r="R6203" s="5"/>
    </row>
    <row r="6204" spans="12:18" x14ac:dyDescent="0.35">
      <c r="L6204" s="71"/>
      <c r="R6204" s="5"/>
    </row>
    <row r="6205" spans="12:18" x14ac:dyDescent="0.35">
      <c r="L6205" s="71"/>
      <c r="R6205" s="5"/>
    </row>
    <row r="6206" spans="12:18" x14ac:dyDescent="0.35">
      <c r="L6206" s="71"/>
      <c r="R6206" s="5"/>
    </row>
    <row r="6207" spans="12:18" x14ac:dyDescent="0.35">
      <c r="L6207" s="71"/>
      <c r="R6207" s="5"/>
    </row>
    <row r="6208" spans="12:18" x14ac:dyDescent="0.35">
      <c r="L6208" s="71"/>
      <c r="R6208" s="5"/>
    </row>
    <row r="6209" spans="12:18" x14ac:dyDescent="0.35">
      <c r="L6209" s="71"/>
      <c r="R6209" s="5"/>
    </row>
    <row r="6210" spans="12:18" x14ac:dyDescent="0.35">
      <c r="L6210" s="71"/>
      <c r="R6210" s="5"/>
    </row>
    <row r="6211" spans="12:18" x14ac:dyDescent="0.35">
      <c r="L6211" s="71"/>
      <c r="R6211" s="5"/>
    </row>
    <row r="6212" spans="12:18" x14ac:dyDescent="0.35">
      <c r="L6212" s="71"/>
      <c r="R6212" s="5"/>
    </row>
    <row r="6213" spans="12:18" x14ac:dyDescent="0.35">
      <c r="L6213" s="71"/>
      <c r="R6213" s="5"/>
    </row>
    <row r="6214" spans="12:18" x14ac:dyDescent="0.35">
      <c r="L6214" s="71"/>
      <c r="R6214" s="5"/>
    </row>
    <row r="6215" spans="12:18" x14ac:dyDescent="0.35">
      <c r="L6215" s="71"/>
      <c r="R6215" s="5"/>
    </row>
    <row r="6216" spans="12:18" x14ac:dyDescent="0.35">
      <c r="L6216" s="71"/>
      <c r="R6216" s="5"/>
    </row>
    <row r="6217" spans="12:18" x14ac:dyDescent="0.35">
      <c r="L6217" s="71"/>
      <c r="R6217" s="5"/>
    </row>
    <row r="6218" spans="12:18" x14ac:dyDescent="0.35">
      <c r="L6218" s="71"/>
      <c r="R6218" s="5"/>
    </row>
    <row r="6219" spans="12:18" x14ac:dyDescent="0.35">
      <c r="L6219" s="71"/>
      <c r="R6219" s="5"/>
    </row>
    <row r="6220" spans="12:18" x14ac:dyDescent="0.35">
      <c r="L6220" s="71"/>
      <c r="R6220" s="5"/>
    </row>
    <row r="6221" spans="12:18" x14ac:dyDescent="0.35">
      <c r="L6221" s="71"/>
      <c r="R6221" s="5"/>
    </row>
    <row r="6222" spans="12:18" x14ac:dyDescent="0.35">
      <c r="L6222" s="71"/>
      <c r="R6222" s="5"/>
    </row>
    <row r="6223" spans="12:18" x14ac:dyDescent="0.35">
      <c r="L6223" s="71"/>
      <c r="R6223" s="5"/>
    </row>
    <row r="6224" spans="12:18" x14ac:dyDescent="0.35">
      <c r="L6224" s="71"/>
      <c r="R6224" s="5"/>
    </row>
    <row r="6225" spans="12:18" x14ac:dyDescent="0.35">
      <c r="L6225" s="71"/>
      <c r="R6225" s="5"/>
    </row>
    <row r="6226" spans="12:18" x14ac:dyDescent="0.35">
      <c r="L6226" s="71"/>
      <c r="R6226" s="5"/>
    </row>
    <row r="6227" spans="12:18" x14ac:dyDescent="0.35">
      <c r="L6227" s="71"/>
      <c r="R6227" s="5"/>
    </row>
    <row r="6228" spans="12:18" x14ac:dyDescent="0.35">
      <c r="L6228" s="71"/>
      <c r="R6228" s="5"/>
    </row>
    <row r="6229" spans="12:18" x14ac:dyDescent="0.35">
      <c r="L6229" s="71"/>
      <c r="R6229" s="5"/>
    </row>
    <row r="6230" spans="12:18" x14ac:dyDescent="0.35">
      <c r="L6230" s="71"/>
      <c r="R6230" s="5"/>
    </row>
    <row r="6231" spans="12:18" x14ac:dyDescent="0.35">
      <c r="L6231" s="71"/>
      <c r="R6231" s="5"/>
    </row>
    <row r="6232" spans="12:18" x14ac:dyDescent="0.35">
      <c r="L6232" s="71"/>
      <c r="R6232" s="5"/>
    </row>
    <row r="6233" spans="12:18" x14ac:dyDescent="0.35">
      <c r="L6233" s="71"/>
      <c r="R6233" s="5"/>
    </row>
    <row r="6234" spans="12:18" x14ac:dyDescent="0.35">
      <c r="L6234" s="71"/>
      <c r="R6234" s="5"/>
    </row>
    <row r="6235" spans="12:18" x14ac:dyDescent="0.35">
      <c r="L6235" s="71"/>
      <c r="R6235" s="5"/>
    </row>
    <row r="6236" spans="12:18" x14ac:dyDescent="0.35">
      <c r="L6236" s="71"/>
      <c r="R6236" s="5"/>
    </row>
    <row r="6237" spans="12:18" x14ac:dyDescent="0.35">
      <c r="L6237" s="71"/>
      <c r="R6237" s="5"/>
    </row>
    <row r="6238" spans="12:18" x14ac:dyDescent="0.35">
      <c r="L6238" s="71"/>
      <c r="R6238" s="5"/>
    </row>
    <row r="6239" spans="12:18" x14ac:dyDescent="0.35">
      <c r="L6239" s="71"/>
      <c r="R6239" s="5"/>
    </row>
    <row r="6240" spans="12:18" x14ac:dyDescent="0.35">
      <c r="L6240" s="71"/>
      <c r="R6240" s="5"/>
    </row>
    <row r="6241" spans="12:18" x14ac:dyDescent="0.35">
      <c r="L6241" s="71"/>
      <c r="R6241" s="5"/>
    </row>
    <row r="6242" spans="12:18" x14ac:dyDescent="0.35">
      <c r="L6242" s="71"/>
      <c r="R6242" s="5"/>
    </row>
    <row r="6243" spans="12:18" x14ac:dyDescent="0.35">
      <c r="L6243" s="71"/>
      <c r="R6243" s="5"/>
    </row>
    <row r="6244" spans="12:18" x14ac:dyDescent="0.35">
      <c r="L6244" s="71"/>
      <c r="R6244" s="5"/>
    </row>
    <row r="6245" spans="12:18" x14ac:dyDescent="0.35">
      <c r="L6245" s="71"/>
      <c r="R6245" s="5"/>
    </row>
    <row r="6246" spans="12:18" x14ac:dyDescent="0.35">
      <c r="L6246" s="71"/>
      <c r="R6246" s="5"/>
    </row>
    <row r="6247" spans="12:18" x14ac:dyDescent="0.35">
      <c r="L6247" s="71"/>
      <c r="R6247" s="5"/>
    </row>
    <row r="6248" spans="12:18" x14ac:dyDescent="0.35">
      <c r="L6248" s="71"/>
      <c r="R6248" s="5"/>
    </row>
    <row r="6249" spans="12:18" x14ac:dyDescent="0.35">
      <c r="L6249" s="71"/>
      <c r="R6249" s="5"/>
    </row>
    <row r="6250" spans="12:18" x14ac:dyDescent="0.35">
      <c r="L6250" s="71"/>
      <c r="R6250" s="5"/>
    </row>
    <row r="6251" spans="12:18" x14ac:dyDescent="0.35">
      <c r="L6251" s="71"/>
      <c r="R6251" s="5"/>
    </row>
    <row r="6252" spans="12:18" x14ac:dyDescent="0.35">
      <c r="L6252" s="71"/>
      <c r="R6252" s="5"/>
    </row>
    <row r="6253" spans="12:18" x14ac:dyDescent="0.35">
      <c r="L6253" s="71"/>
      <c r="R6253" s="5"/>
    </row>
    <row r="6254" spans="12:18" x14ac:dyDescent="0.35">
      <c r="L6254" s="71"/>
      <c r="R6254" s="5"/>
    </row>
    <row r="6255" spans="12:18" x14ac:dyDescent="0.35">
      <c r="L6255" s="71"/>
      <c r="R6255" s="5"/>
    </row>
    <row r="6256" spans="12:18" x14ac:dyDescent="0.35">
      <c r="L6256" s="71"/>
      <c r="R6256" s="5"/>
    </row>
    <row r="6257" spans="12:18" x14ac:dyDescent="0.35">
      <c r="L6257" s="71"/>
      <c r="R6257" s="5"/>
    </row>
    <row r="6258" spans="12:18" x14ac:dyDescent="0.35">
      <c r="L6258" s="71"/>
      <c r="R6258" s="5"/>
    </row>
    <row r="6259" spans="12:18" x14ac:dyDescent="0.35">
      <c r="L6259" s="71"/>
      <c r="R6259" s="5"/>
    </row>
    <row r="6260" spans="12:18" x14ac:dyDescent="0.35">
      <c r="L6260" s="71"/>
      <c r="R6260" s="5"/>
    </row>
    <row r="6261" spans="12:18" x14ac:dyDescent="0.35">
      <c r="L6261" s="71"/>
      <c r="R6261" s="5"/>
    </row>
    <row r="6262" spans="12:18" x14ac:dyDescent="0.35">
      <c r="L6262" s="71"/>
      <c r="R6262" s="5"/>
    </row>
    <row r="6263" spans="12:18" x14ac:dyDescent="0.35">
      <c r="L6263" s="71"/>
      <c r="R6263" s="5"/>
    </row>
    <row r="6264" spans="12:18" x14ac:dyDescent="0.35">
      <c r="L6264" s="71"/>
      <c r="R6264" s="5"/>
    </row>
    <row r="6265" spans="12:18" x14ac:dyDescent="0.35">
      <c r="L6265" s="71"/>
      <c r="R6265" s="5"/>
    </row>
    <row r="6266" spans="12:18" x14ac:dyDescent="0.35">
      <c r="L6266" s="71"/>
      <c r="R6266" s="5"/>
    </row>
    <row r="6267" spans="12:18" x14ac:dyDescent="0.35">
      <c r="L6267" s="71"/>
      <c r="R6267" s="5"/>
    </row>
    <row r="6268" spans="12:18" x14ac:dyDescent="0.35">
      <c r="L6268" s="71"/>
      <c r="R6268" s="5"/>
    </row>
    <row r="6269" spans="12:18" x14ac:dyDescent="0.35">
      <c r="L6269" s="71"/>
      <c r="R6269" s="5"/>
    </row>
    <row r="6270" spans="12:18" x14ac:dyDescent="0.35">
      <c r="L6270" s="71"/>
      <c r="R6270" s="5"/>
    </row>
    <row r="6271" spans="12:18" x14ac:dyDescent="0.35">
      <c r="L6271" s="71"/>
      <c r="R6271" s="5"/>
    </row>
    <row r="6272" spans="12:18" x14ac:dyDescent="0.35">
      <c r="L6272" s="71"/>
      <c r="R6272" s="5"/>
    </row>
    <row r="6273" spans="12:18" x14ac:dyDescent="0.35">
      <c r="L6273" s="71"/>
      <c r="R6273" s="5"/>
    </row>
    <row r="6274" spans="12:18" x14ac:dyDescent="0.35">
      <c r="L6274" s="71"/>
      <c r="R6274" s="5"/>
    </row>
    <row r="6275" spans="12:18" x14ac:dyDescent="0.35">
      <c r="L6275" s="71"/>
      <c r="R6275" s="5"/>
    </row>
    <row r="6276" spans="12:18" x14ac:dyDescent="0.35">
      <c r="L6276" s="71"/>
      <c r="R6276" s="5"/>
    </row>
    <row r="6277" spans="12:18" x14ac:dyDescent="0.35">
      <c r="L6277" s="71"/>
      <c r="R6277" s="5"/>
    </row>
    <row r="6278" spans="12:18" x14ac:dyDescent="0.35">
      <c r="L6278" s="71"/>
      <c r="R6278" s="5"/>
    </row>
    <row r="6279" spans="12:18" x14ac:dyDescent="0.35">
      <c r="L6279" s="71"/>
      <c r="R6279" s="5"/>
    </row>
    <row r="6280" spans="12:18" x14ac:dyDescent="0.35">
      <c r="L6280" s="71"/>
      <c r="R6280" s="5"/>
    </row>
    <row r="6281" spans="12:18" x14ac:dyDescent="0.35">
      <c r="L6281" s="71"/>
      <c r="R6281" s="5"/>
    </row>
    <row r="6282" spans="12:18" x14ac:dyDescent="0.35">
      <c r="L6282" s="71"/>
      <c r="R6282" s="5"/>
    </row>
    <row r="6283" spans="12:18" x14ac:dyDescent="0.35">
      <c r="L6283" s="71"/>
      <c r="R6283" s="5"/>
    </row>
    <row r="6284" spans="12:18" x14ac:dyDescent="0.35">
      <c r="L6284" s="71"/>
      <c r="R6284" s="5"/>
    </row>
    <row r="6285" spans="12:18" x14ac:dyDescent="0.35">
      <c r="L6285" s="71"/>
      <c r="R6285" s="5"/>
    </row>
    <row r="6286" spans="12:18" x14ac:dyDescent="0.35">
      <c r="L6286" s="71"/>
      <c r="R6286" s="5"/>
    </row>
    <row r="6287" spans="12:18" x14ac:dyDescent="0.35">
      <c r="L6287" s="71"/>
      <c r="R6287" s="5"/>
    </row>
    <row r="6288" spans="12:18" x14ac:dyDescent="0.35">
      <c r="L6288" s="71"/>
      <c r="R6288" s="5"/>
    </row>
    <row r="6289" spans="12:18" x14ac:dyDescent="0.35">
      <c r="L6289" s="71"/>
      <c r="R6289" s="5"/>
    </row>
    <row r="6290" spans="12:18" x14ac:dyDescent="0.35">
      <c r="L6290" s="71"/>
      <c r="R6290" s="5"/>
    </row>
    <row r="6291" spans="12:18" x14ac:dyDescent="0.35">
      <c r="L6291" s="71"/>
      <c r="R6291" s="5"/>
    </row>
    <row r="6292" spans="12:18" x14ac:dyDescent="0.35">
      <c r="L6292" s="71"/>
      <c r="R6292" s="5"/>
    </row>
    <row r="6293" spans="12:18" x14ac:dyDescent="0.35">
      <c r="L6293" s="71"/>
      <c r="R6293" s="5"/>
    </row>
    <row r="6294" spans="12:18" x14ac:dyDescent="0.35">
      <c r="L6294" s="71"/>
      <c r="R6294" s="5"/>
    </row>
    <row r="6295" spans="12:18" x14ac:dyDescent="0.35">
      <c r="L6295" s="71"/>
      <c r="R6295" s="5"/>
    </row>
    <row r="6296" spans="12:18" x14ac:dyDescent="0.35">
      <c r="L6296" s="71"/>
      <c r="R6296" s="5"/>
    </row>
    <row r="6297" spans="12:18" x14ac:dyDescent="0.35">
      <c r="L6297" s="71"/>
      <c r="R6297" s="5"/>
    </row>
    <row r="6298" spans="12:18" x14ac:dyDescent="0.35">
      <c r="L6298" s="71"/>
      <c r="R6298" s="5"/>
    </row>
    <row r="6299" spans="12:18" x14ac:dyDescent="0.35">
      <c r="L6299" s="71"/>
      <c r="R6299" s="5"/>
    </row>
    <row r="6300" spans="12:18" x14ac:dyDescent="0.35">
      <c r="L6300" s="71"/>
      <c r="R6300" s="5"/>
    </row>
    <row r="6301" spans="12:18" x14ac:dyDescent="0.35">
      <c r="L6301" s="71"/>
      <c r="R6301" s="5"/>
    </row>
    <row r="6302" spans="12:18" x14ac:dyDescent="0.35">
      <c r="L6302" s="71"/>
      <c r="R6302" s="5"/>
    </row>
    <row r="6303" spans="12:18" x14ac:dyDescent="0.35">
      <c r="L6303" s="71"/>
      <c r="R6303" s="5"/>
    </row>
    <row r="6304" spans="12:18" x14ac:dyDescent="0.35">
      <c r="L6304" s="71"/>
      <c r="R6304" s="5"/>
    </row>
    <row r="6305" spans="12:18" x14ac:dyDescent="0.35">
      <c r="L6305" s="71"/>
      <c r="R6305" s="5"/>
    </row>
    <row r="6306" spans="12:18" x14ac:dyDescent="0.35">
      <c r="L6306" s="71"/>
      <c r="R6306" s="5"/>
    </row>
    <row r="6307" spans="12:18" x14ac:dyDescent="0.35">
      <c r="L6307" s="71"/>
      <c r="R6307" s="5"/>
    </row>
    <row r="6308" spans="12:18" x14ac:dyDescent="0.35">
      <c r="L6308" s="71"/>
      <c r="R6308" s="5"/>
    </row>
    <row r="6309" spans="12:18" x14ac:dyDescent="0.35">
      <c r="L6309" s="71"/>
      <c r="R6309" s="5"/>
    </row>
    <row r="6310" spans="12:18" x14ac:dyDescent="0.35">
      <c r="L6310" s="71"/>
      <c r="R6310" s="5"/>
    </row>
    <row r="6311" spans="12:18" x14ac:dyDescent="0.35">
      <c r="L6311" s="71"/>
      <c r="R6311" s="5"/>
    </row>
    <row r="6312" spans="12:18" x14ac:dyDescent="0.35">
      <c r="L6312" s="71"/>
      <c r="R6312" s="5"/>
    </row>
    <row r="6313" spans="12:18" x14ac:dyDescent="0.35">
      <c r="L6313" s="71"/>
      <c r="R6313" s="5"/>
    </row>
    <row r="6314" spans="12:18" x14ac:dyDescent="0.35">
      <c r="L6314" s="71"/>
      <c r="R6314" s="5"/>
    </row>
    <row r="6315" spans="12:18" x14ac:dyDescent="0.35">
      <c r="L6315" s="71"/>
      <c r="R6315" s="5"/>
    </row>
    <row r="6316" spans="12:18" x14ac:dyDescent="0.35">
      <c r="L6316" s="71"/>
      <c r="R6316" s="5"/>
    </row>
    <row r="6317" spans="12:18" x14ac:dyDescent="0.35">
      <c r="L6317" s="71"/>
      <c r="R6317" s="5"/>
    </row>
    <row r="6318" spans="12:18" x14ac:dyDescent="0.35">
      <c r="L6318" s="71"/>
      <c r="R6318" s="5"/>
    </row>
    <row r="6319" spans="12:18" x14ac:dyDescent="0.35">
      <c r="L6319" s="71"/>
      <c r="R6319" s="5"/>
    </row>
    <row r="6320" spans="12:18" x14ac:dyDescent="0.35">
      <c r="L6320" s="71"/>
      <c r="R6320" s="5"/>
    </row>
    <row r="6321" spans="12:18" x14ac:dyDescent="0.35">
      <c r="L6321" s="71"/>
      <c r="R6321" s="5"/>
    </row>
    <row r="6322" spans="12:18" x14ac:dyDescent="0.35">
      <c r="L6322" s="71"/>
      <c r="R6322" s="5"/>
    </row>
    <row r="6323" spans="12:18" x14ac:dyDescent="0.35">
      <c r="L6323" s="71"/>
      <c r="R6323" s="5"/>
    </row>
    <row r="6324" spans="12:18" x14ac:dyDescent="0.35">
      <c r="L6324" s="71"/>
      <c r="R6324" s="5"/>
    </row>
    <row r="6325" spans="12:18" x14ac:dyDescent="0.35">
      <c r="L6325" s="71"/>
      <c r="R6325" s="5"/>
    </row>
    <row r="6326" spans="12:18" x14ac:dyDescent="0.35">
      <c r="L6326" s="71"/>
      <c r="R6326" s="5"/>
    </row>
    <row r="6327" spans="12:18" x14ac:dyDescent="0.35">
      <c r="L6327" s="71"/>
      <c r="R6327" s="5"/>
    </row>
    <row r="6328" spans="12:18" x14ac:dyDescent="0.35">
      <c r="L6328" s="71"/>
      <c r="R6328" s="5"/>
    </row>
    <row r="6329" spans="12:18" x14ac:dyDescent="0.35">
      <c r="L6329" s="71"/>
      <c r="R6329" s="5"/>
    </row>
    <row r="6330" spans="12:18" x14ac:dyDescent="0.35">
      <c r="L6330" s="71"/>
      <c r="R6330" s="5"/>
    </row>
    <row r="6331" spans="12:18" x14ac:dyDescent="0.35">
      <c r="L6331" s="71"/>
      <c r="R6331" s="5"/>
    </row>
    <row r="6332" spans="12:18" x14ac:dyDescent="0.35">
      <c r="L6332" s="71"/>
      <c r="R6332" s="5"/>
    </row>
    <row r="6333" spans="12:18" x14ac:dyDescent="0.35">
      <c r="L6333" s="71"/>
      <c r="R6333" s="5"/>
    </row>
    <row r="6334" spans="12:18" x14ac:dyDescent="0.35">
      <c r="L6334" s="71"/>
      <c r="R6334" s="5"/>
    </row>
    <row r="6335" spans="12:18" x14ac:dyDescent="0.35">
      <c r="L6335" s="71"/>
      <c r="R6335" s="5"/>
    </row>
    <row r="6336" spans="12:18" x14ac:dyDescent="0.35">
      <c r="L6336" s="71"/>
      <c r="R6336" s="5"/>
    </row>
    <row r="6337" spans="12:18" x14ac:dyDescent="0.35">
      <c r="L6337" s="71"/>
      <c r="R6337" s="5"/>
    </row>
    <row r="6338" spans="12:18" x14ac:dyDescent="0.35">
      <c r="L6338" s="71"/>
      <c r="R6338" s="5"/>
    </row>
    <row r="6339" spans="12:18" x14ac:dyDescent="0.35">
      <c r="L6339" s="71"/>
      <c r="R6339" s="5"/>
    </row>
    <row r="6340" spans="12:18" x14ac:dyDescent="0.35">
      <c r="L6340" s="71"/>
      <c r="R6340" s="5"/>
    </row>
    <row r="6341" spans="12:18" x14ac:dyDescent="0.35">
      <c r="L6341" s="71"/>
      <c r="R6341" s="5"/>
    </row>
    <row r="6342" spans="12:18" x14ac:dyDescent="0.35">
      <c r="L6342" s="71"/>
      <c r="R6342" s="5"/>
    </row>
    <row r="6343" spans="12:18" x14ac:dyDescent="0.35">
      <c r="L6343" s="71"/>
      <c r="R6343" s="5"/>
    </row>
    <row r="6344" spans="12:18" x14ac:dyDescent="0.35">
      <c r="L6344" s="71"/>
      <c r="R6344" s="5"/>
    </row>
    <row r="6345" spans="12:18" x14ac:dyDescent="0.35">
      <c r="L6345" s="71"/>
      <c r="R6345" s="5"/>
    </row>
    <row r="6346" spans="12:18" x14ac:dyDescent="0.35">
      <c r="L6346" s="71"/>
      <c r="R6346" s="5"/>
    </row>
    <row r="6347" spans="12:18" x14ac:dyDescent="0.35">
      <c r="L6347" s="71"/>
      <c r="R6347" s="5"/>
    </row>
    <row r="6348" spans="12:18" x14ac:dyDescent="0.35">
      <c r="L6348" s="71"/>
      <c r="R6348" s="5"/>
    </row>
    <row r="6349" spans="12:18" x14ac:dyDescent="0.35">
      <c r="L6349" s="71"/>
      <c r="R6349" s="5"/>
    </row>
    <row r="6350" spans="12:18" x14ac:dyDescent="0.35">
      <c r="L6350" s="71"/>
      <c r="R6350" s="5"/>
    </row>
    <row r="6351" spans="12:18" x14ac:dyDescent="0.35">
      <c r="L6351" s="71"/>
      <c r="R6351" s="5"/>
    </row>
    <row r="6352" spans="12:18" x14ac:dyDescent="0.35">
      <c r="L6352" s="71"/>
      <c r="R6352" s="5"/>
    </row>
    <row r="6353" spans="12:18" x14ac:dyDescent="0.35">
      <c r="L6353" s="71"/>
      <c r="R6353" s="5"/>
    </row>
    <row r="6354" spans="12:18" x14ac:dyDescent="0.35">
      <c r="L6354" s="71"/>
      <c r="R6354" s="5"/>
    </row>
    <row r="6355" spans="12:18" x14ac:dyDescent="0.35">
      <c r="L6355" s="71"/>
      <c r="R6355" s="5"/>
    </row>
    <row r="6356" spans="12:18" x14ac:dyDescent="0.35">
      <c r="L6356" s="71"/>
      <c r="R6356" s="5"/>
    </row>
    <row r="6357" spans="12:18" x14ac:dyDescent="0.35">
      <c r="L6357" s="71"/>
      <c r="R6357" s="5"/>
    </row>
    <row r="6358" spans="12:18" x14ac:dyDescent="0.35">
      <c r="L6358" s="71"/>
      <c r="R6358" s="5"/>
    </row>
    <row r="6359" spans="12:18" x14ac:dyDescent="0.35">
      <c r="L6359" s="71"/>
      <c r="R6359" s="5"/>
    </row>
    <row r="6360" spans="12:18" x14ac:dyDescent="0.35">
      <c r="L6360" s="71"/>
      <c r="R6360" s="5"/>
    </row>
    <row r="6361" spans="12:18" x14ac:dyDescent="0.35">
      <c r="L6361" s="71"/>
      <c r="R6361" s="5"/>
    </row>
    <row r="6362" spans="12:18" x14ac:dyDescent="0.35">
      <c r="L6362" s="71"/>
      <c r="R6362" s="5"/>
    </row>
    <row r="6363" spans="12:18" x14ac:dyDescent="0.35">
      <c r="L6363" s="71"/>
      <c r="R6363" s="5"/>
    </row>
    <row r="6364" spans="12:18" x14ac:dyDescent="0.35">
      <c r="L6364" s="71"/>
      <c r="R6364" s="5"/>
    </row>
    <row r="6365" spans="12:18" x14ac:dyDescent="0.35">
      <c r="L6365" s="71"/>
      <c r="R6365" s="5"/>
    </row>
    <row r="6366" spans="12:18" x14ac:dyDescent="0.35">
      <c r="L6366" s="71"/>
      <c r="R6366" s="5"/>
    </row>
    <row r="6367" spans="12:18" x14ac:dyDescent="0.35">
      <c r="L6367" s="71"/>
      <c r="R6367" s="5"/>
    </row>
    <row r="6368" spans="12:18" x14ac:dyDescent="0.35">
      <c r="L6368" s="71"/>
      <c r="R6368" s="5"/>
    </row>
    <row r="6369" spans="12:18" x14ac:dyDescent="0.35">
      <c r="L6369" s="71"/>
      <c r="R6369" s="5"/>
    </row>
    <row r="6370" spans="12:18" x14ac:dyDescent="0.35">
      <c r="L6370" s="71"/>
      <c r="R6370" s="5"/>
    </row>
    <row r="6371" spans="12:18" x14ac:dyDescent="0.35">
      <c r="L6371" s="71"/>
      <c r="R6371" s="5"/>
    </row>
    <row r="6372" spans="12:18" x14ac:dyDescent="0.35">
      <c r="L6372" s="71"/>
      <c r="R6372" s="5"/>
    </row>
    <row r="6373" spans="12:18" x14ac:dyDescent="0.35">
      <c r="L6373" s="71"/>
      <c r="R6373" s="5"/>
    </row>
    <row r="6374" spans="12:18" x14ac:dyDescent="0.35">
      <c r="L6374" s="71"/>
      <c r="R6374" s="5"/>
    </row>
    <row r="6375" spans="12:18" x14ac:dyDescent="0.35">
      <c r="L6375" s="71"/>
      <c r="R6375" s="5"/>
    </row>
    <row r="6376" spans="12:18" x14ac:dyDescent="0.35">
      <c r="L6376" s="71"/>
      <c r="R6376" s="5"/>
    </row>
    <row r="6377" spans="12:18" x14ac:dyDescent="0.35">
      <c r="L6377" s="71"/>
      <c r="R6377" s="5"/>
    </row>
    <row r="6378" spans="12:18" x14ac:dyDescent="0.35">
      <c r="L6378" s="71"/>
      <c r="R6378" s="5"/>
    </row>
    <row r="6379" spans="12:18" x14ac:dyDescent="0.35">
      <c r="L6379" s="71"/>
      <c r="R6379" s="5"/>
    </row>
    <row r="6380" spans="12:18" x14ac:dyDescent="0.35">
      <c r="L6380" s="71"/>
      <c r="R6380" s="5"/>
    </row>
    <row r="6381" spans="12:18" x14ac:dyDescent="0.35">
      <c r="L6381" s="71"/>
      <c r="R6381" s="5"/>
    </row>
    <row r="6382" spans="12:18" x14ac:dyDescent="0.35">
      <c r="L6382" s="71"/>
      <c r="R6382" s="5"/>
    </row>
    <row r="6383" spans="12:18" x14ac:dyDescent="0.35">
      <c r="L6383" s="71"/>
      <c r="R6383" s="5"/>
    </row>
    <row r="6384" spans="12:18" x14ac:dyDescent="0.35">
      <c r="L6384" s="71"/>
      <c r="R6384" s="5"/>
    </row>
    <row r="6385" spans="12:18" x14ac:dyDescent="0.35">
      <c r="L6385" s="71"/>
      <c r="R6385" s="5"/>
    </row>
    <row r="6386" spans="12:18" x14ac:dyDescent="0.35">
      <c r="L6386" s="71"/>
      <c r="R6386" s="5"/>
    </row>
    <row r="6387" spans="12:18" x14ac:dyDescent="0.35">
      <c r="L6387" s="71"/>
      <c r="R6387" s="5"/>
    </row>
    <row r="6388" spans="12:18" x14ac:dyDescent="0.35">
      <c r="L6388" s="71"/>
      <c r="R6388" s="5"/>
    </row>
    <row r="6389" spans="12:18" x14ac:dyDescent="0.35">
      <c r="L6389" s="71"/>
      <c r="R6389" s="5"/>
    </row>
    <row r="6390" spans="12:18" x14ac:dyDescent="0.35">
      <c r="L6390" s="71"/>
      <c r="R6390" s="5"/>
    </row>
    <row r="6391" spans="12:18" x14ac:dyDescent="0.35">
      <c r="L6391" s="71"/>
      <c r="R6391" s="5"/>
    </row>
    <row r="6392" spans="12:18" x14ac:dyDescent="0.35">
      <c r="L6392" s="71"/>
      <c r="R6392" s="5"/>
    </row>
    <row r="6393" spans="12:18" x14ac:dyDescent="0.35">
      <c r="L6393" s="71"/>
      <c r="R6393" s="5"/>
    </row>
    <row r="6394" spans="12:18" x14ac:dyDescent="0.35">
      <c r="L6394" s="71"/>
      <c r="R6394" s="5"/>
    </row>
    <row r="6395" spans="12:18" x14ac:dyDescent="0.35">
      <c r="L6395" s="71"/>
      <c r="R6395" s="5"/>
    </row>
    <row r="6396" spans="12:18" x14ac:dyDescent="0.35">
      <c r="L6396" s="71"/>
      <c r="R6396" s="5"/>
    </row>
    <row r="6397" spans="12:18" x14ac:dyDescent="0.35">
      <c r="L6397" s="71"/>
      <c r="R6397" s="5"/>
    </row>
    <row r="6398" spans="12:18" x14ac:dyDescent="0.35">
      <c r="L6398" s="71"/>
      <c r="R6398" s="5"/>
    </row>
    <row r="6399" spans="12:18" x14ac:dyDescent="0.35">
      <c r="L6399" s="71"/>
      <c r="R6399" s="5"/>
    </row>
    <row r="6400" spans="12:18" x14ac:dyDescent="0.35">
      <c r="L6400" s="71"/>
      <c r="R6400" s="5"/>
    </row>
    <row r="6401" spans="12:18" x14ac:dyDescent="0.35">
      <c r="L6401" s="71"/>
      <c r="R6401" s="5"/>
    </row>
    <row r="6402" spans="12:18" x14ac:dyDescent="0.35">
      <c r="L6402" s="71"/>
      <c r="R6402" s="5"/>
    </row>
    <row r="6403" spans="12:18" x14ac:dyDescent="0.35">
      <c r="L6403" s="71"/>
      <c r="R6403" s="5"/>
    </row>
    <row r="6404" spans="12:18" x14ac:dyDescent="0.35">
      <c r="L6404" s="71"/>
      <c r="R6404" s="5"/>
    </row>
    <row r="6405" spans="12:18" x14ac:dyDescent="0.35">
      <c r="L6405" s="71"/>
      <c r="R6405" s="5"/>
    </row>
    <row r="6406" spans="12:18" x14ac:dyDescent="0.35">
      <c r="L6406" s="71"/>
      <c r="R6406" s="5"/>
    </row>
    <row r="6407" spans="12:18" x14ac:dyDescent="0.35">
      <c r="L6407" s="71"/>
      <c r="R6407" s="5"/>
    </row>
    <row r="6408" spans="12:18" x14ac:dyDescent="0.35">
      <c r="L6408" s="71"/>
      <c r="R6408" s="5"/>
    </row>
    <row r="6409" spans="12:18" x14ac:dyDescent="0.35">
      <c r="L6409" s="71"/>
      <c r="R6409" s="5"/>
    </row>
    <row r="6410" spans="12:18" x14ac:dyDescent="0.35">
      <c r="L6410" s="71"/>
      <c r="R6410" s="5"/>
    </row>
    <row r="6411" spans="12:18" x14ac:dyDescent="0.35">
      <c r="L6411" s="71"/>
      <c r="R6411" s="5"/>
    </row>
    <row r="6412" spans="12:18" x14ac:dyDescent="0.35">
      <c r="L6412" s="71"/>
      <c r="R6412" s="5"/>
    </row>
    <row r="6413" spans="12:18" x14ac:dyDescent="0.35">
      <c r="L6413" s="71"/>
      <c r="R6413" s="5"/>
    </row>
    <row r="6414" spans="12:18" x14ac:dyDescent="0.35">
      <c r="L6414" s="71"/>
      <c r="R6414" s="5"/>
    </row>
    <row r="6415" spans="12:18" x14ac:dyDescent="0.35">
      <c r="L6415" s="71"/>
      <c r="R6415" s="5"/>
    </row>
    <row r="6416" spans="12:18" x14ac:dyDescent="0.35">
      <c r="L6416" s="71"/>
      <c r="R6416" s="5"/>
    </row>
    <row r="6417" spans="12:18" x14ac:dyDescent="0.35">
      <c r="L6417" s="71"/>
      <c r="R6417" s="5"/>
    </row>
    <row r="6418" spans="12:18" x14ac:dyDescent="0.35">
      <c r="L6418" s="71"/>
      <c r="R6418" s="5"/>
    </row>
    <row r="6419" spans="12:18" x14ac:dyDescent="0.35">
      <c r="L6419" s="71"/>
      <c r="R6419" s="5"/>
    </row>
    <row r="6420" spans="12:18" x14ac:dyDescent="0.35">
      <c r="L6420" s="71"/>
      <c r="R6420" s="5"/>
    </row>
    <row r="6421" spans="12:18" x14ac:dyDescent="0.35">
      <c r="L6421" s="71"/>
      <c r="R6421" s="5"/>
    </row>
    <row r="6422" spans="12:18" x14ac:dyDescent="0.35">
      <c r="L6422" s="71"/>
      <c r="R6422" s="5"/>
    </row>
    <row r="6423" spans="12:18" x14ac:dyDescent="0.35">
      <c r="L6423" s="71"/>
      <c r="R6423" s="5"/>
    </row>
    <row r="6424" spans="12:18" x14ac:dyDescent="0.35">
      <c r="L6424" s="71"/>
      <c r="R6424" s="5"/>
    </row>
    <row r="6425" spans="12:18" x14ac:dyDescent="0.35">
      <c r="L6425" s="71"/>
      <c r="R6425" s="5"/>
    </row>
    <row r="6426" spans="12:18" x14ac:dyDescent="0.35">
      <c r="L6426" s="71"/>
      <c r="R6426" s="5"/>
    </row>
    <row r="6427" spans="12:18" x14ac:dyDescent="0.35">
      <c r="L6427" s="71"/>
      <c r="R6427" s="5"/>
    </row>
    <row r="6428" spans="12:18" x14ac:dyDescent="0.35">
      <c r="L6428" s="71"/>
      <c r="R6428" s="5"/>
    </row>
    <row r="6429" spans="12:18" x14ac:dyDescent="0.35">
      <c r="L6429" s="71"/>
      <c r="R6429" s="5"/>
    </row>
    <row r="6430" spans="12:18" x14ac:dyDescent="0.35">
      <c r="L6430" s="71"/>
      <c r="R6430" s="5"/>
    </row>
    <row r="6431" spans="12:18" x14ac:dyDescent="0.35">
      <c r="L6431" s="71"/>
      <c r="R6431" s="5"/>
    </row>
    <row r="6432" spans="12:18" x14ac:dyDescent="0.35">
      <c r="L6432" s="71"/>
      <c r="R6432" s="5"/>
    </row>
    <row r="6433" spans="12:18" x14ac:dyDescent="0.35">
      <c r="L6433" s="71"/>
      <c r="R6433" s="5"/>
    </row>
    <row r="6434" spans="12:18" x14ac:dyDescent="0.35">
      <c r="L6434" s="71"/>
      <c r="R6434" s="5"/>
    </row>
    <row r="6435" spans="12:18" x14ac:dyDescent="0.35">
      <c r="L6435" s="71"/>
      <c r="R6435" s="5"/>
    </row>
    <row r="6436" spans="12:18" x14ac:dyDescent="0.35">
      <c r="L6436" s="71"/>
      <c r="R6436" s="5"/>
    </row>
    <row r="6437" spans="12:18" x14ac:dyDescent="0.35">
      <c r="L6437" s="71"/>
      <c r="R6437" s="5"/>
    </row>
    <row r="6438" spans="12:18" x14ac:dyDescent="0.35">
      <c r="L6438" s="71"/>
      <c r="R6438" s="5"/>
    </row>
    <row r="6439" spans="12:18" x14ac:dyDescent="0.35">
      <c r="L6439" s="71"/>
      <c r="R6439" s="5"/>
    </row>
    <row r="6440" spans="12:18" x14ac:dyDescent="0.35">
      <c r="L6440" s="71"/>
      <c r="R6440" s="5"/>
    </row>
    <row r="6441" spans="12:18" x14ac:dyDescent="0.35">
      <c r="L6441" s="71"/>
      <c r="R6441" s="5"/>
    </row>
    <row r="6442" spans="12:18" x14ac:dyDescent="0.35">
      <c r="L6442" s="71"/>
      <c r="R6442" s="5"/>
    </row>
    <row r="6443" spans="12:18" x14ac:dyDescent="0.35">
      <c r="L6443" s="71"/>
      <c r="R6443" s="5"/>
    </row>
    <row r="6444" spans="12:18" x14ac:dyDescent="0.35">
      <c r="L6444" s="71"/>
      <c r="R6444" s="5"/>
    </row>
    <row r="6445" spans="12:18" x14ac:dyDescent="0.35">
      <c r="L6445" s="71"/>
      <c r="R6445" s="5"/>
    </row>
    <row r="6446" spans="12:18" x14ac:dyDescent="0.35">
      <c r="L6446" s="71"/>
      <c r="R6446" s="5"/>
    </row>
    <row r="6447" spans="12:18" x14ac:dyDescent="0.35">
      <c r="L6447" s="71"/>
      <c r="R6447" s="5"/>
    </row>
    <row r="6448" spans="12:18" x14ac:dyDescent="0.35">
      <c r="L6448" s="71"/>
      <c r="R6448" s="5"/>
    </row>
    <row r="6449" spans="12:18" x14ac:dyDescent="0.35">
      <c r="L6449" s="71"/>
      <c r="R6449" s="5"/>
    </row>
    <row r="6450" spans="12:18" x14ac:dyDescent="0.35">
      <c r="L6450" s="71"/>
      <c r="R6450" s="5"/>
    </row>
    <row r="6451" spans="12:18" x14ac:dyDescent="0.35">
      <c r="L6451" s="71"/>
      <c r="R6451" s="5"/>
    </row>
    <row r="6452" spans="12:18" x14ac:dyDescent="0.35">
      <c r="L6452" s="71"/>
      <c r="R6452" s="5"/>
    </row>
    <row r="6453" spans="12:18" x14ac:dyDescent="0.35">
      <c r="L6453" s="71"/>
      <c r="R6453" s="5"/>
    </row>
    <row r="6454" spans="12:18" x14ac:dyDescent="0.35">
      <c r="L6454" s="71"/>
      <c r="R6454" s="5"/>
    </row>
    <row r="6455" spans="12:18" x14ac:dyDescent="0.35">
      <c r="L6455" s="71"/>
      <c r="R6455" s="5"/>
    </row>
    <row r="6456" spans="12:18" x14ac:dyDescent="0.35">
      <c r="L6456" s="71"/>
      <c r="R6456" s="5"/>
    </row>
    <row r="6457" spans="12:18" x14ac:dyDescent="0.35">
      <c r="L6457" s="71"/>
      <c r="R6457" s="5"/>
    </row>
    <row r="6458" spans="12:18" x14ac:dyDescent="0.35">
      <c r="L6458" s="71"/>
      <c r="R6458" s="5"/>
    </row>
    <row r="6459" spans="12:18" x14ac:dyDescent="0.35">
      <c r="L6459" s="71"/>
      <c r="R6459" s="5"/>
    </row>
    <row r="6460" spans="12:18" x14ac:dyDescent="0.35">
      <c r="L6460" s="71"/>
      <c r="R6460" s="5"/>
    </row>
    <row r="6461" spans="12:18" x14ac:dyDescent="0.35">
      <c r="L6461" s="71"/>
      <c r="R6461" s="5"/>
    </row>
    <row r="6462" spans="12:18" x14ac:dyDescent="0.35">
      <c r="L6462" s="71"/>
      <c r="R6462" s="5"/>
    </row>
    <row r="6463" spans="12:18" x14ac:dyDescent="0.35">
      <c r="L6463" s="71"/>
      <c r="R6463" s="5"/>
    </row>
    <row r="6464" spans="12:18" x14ac:dyDescent="0.35">
      <c r="L6464" s="71"/>
      <c r="R6464" s="5"/>
    </row>
    <row r="6465" spans="12:18" x14ac:dyDescent="0.35">
      <c r="L6465" s="71"/>
      <c r="R6465" s="5"/>
    </row>
    <row r="6466" spans="12:18" x14ac:dyDescent="0.35">
      <c r="L6466" s="71"/>
      <c r="R6466" s="5"/>
    </row>
    <row r="6467" spans="12:18" x14ac:dyDescent="0.35">
      <c r="L6467" s="71"/>
      <c r="R6467" s="5"/>
    </row>
    <row r="6468" spans="12:18" x14ac:dyDescent="0.35">
      <c r="L6468" s="71"/>
      <c r="R6468" s="5"/>
    </row>
    <row r="6469" spans="12:18" x14ac:dyDescent="0.35">
      <c r="L6469" s="71"/>
      <c r="R6469" s="5"/>
    </row>
    <row r="6470" spans="12:18" x14ac:dyDescent="0.35">
      <c r="L6470" s="71"/>
      <c r="R6470" s="5"/>
    </row>
    <row r="6471" spans="12:18" x14ac:dyDescent="0.35">
      <c r="L6471" s="71"/>
      <c r="R6471" s="5"/>
    </row>
    <row r="6472" spans="12:18" x14ac:dyDescent="0.35">
      <c r="L6472" s="71"/>
      <c r="R6472" s="5"/>
    </row>
    <row r="6473" spans="12:18" x14ac:dyDescent="0.35">
      <c r="L6473" s="71"/>
      <c r="R6473" s="5"/>
    </row>
    <row r="6474" spans="12:18" x14ac:dyDescent="0.35">
      <c r="L6474" s="71"/>
      <c r="R6474" s="5"/>
    </row>
    <row r="6475" spans="12:18" x14ac:dyDescent="0.35">
      <c r="L6475" s="71"/>
      <c r="R6475" s="5"/>
    </row>
    <row r="6476" spans="12:18" x14ac:dyDescent="0.35">
      <c r="L6476" s="71"/>
      <c r="R6476" s="5"/>
    </row>
    <row r="6477" spans="12:18" x14ac:dyDescent="0.35">
      <c r="L6477" s="71"/>
      <c r="R6477" s="5"/>
    </row>
    <row r="6478" spans="12:18" x14ac:dyDescent="0.35">
      <c r="L6478" s="71"/>
      <c r="R6478" s="5"/>
    </row>
    <row r="6479" spans="12:18" x14ac:dyDescent="0.35">
      <c r="L6479" s="71"/>
      <c r="R6479" s="5"/>
    </row>
    <row r="6480" spans="12:18" x14ac:dyDescent="0.35">
      <c r="L6480" s="71"/>
      <c r="R6480" s="5"/>
    </row>
    <row r="6481" spans="12:18" x14ac:dyDescent="0.35">
      <c r="L6481" s="71"/>
      <c r="R6481" s="5"/>
    </row>
    <row r="6482" spans="12:18" x14ac:dyDescent="0.35">
      <c r="L6482" s="71"/>
      <c r="R6482" s="5"/>
    </row>
    <row r="6483" spans="12:18" x14ac:dyDescent="0.35">
      <c r="L6483" s="71"/>
      <c r="R6483" s="5"/>
    </row>
    <row r="6484" spans="12:18" x14ac:dyDescent="0.35">
      <c r="L6484" s="71"/>
      <c r="R6484" s="5"/>
    </row>
    <row r="6485" spans="12:18" x14ac:dyDescent="0.35">
      <c r="L6485" s="71"/>
      <c r="R6485" s="5"/>
    </row>
    <row r="6486" spans="12:18" x14ac:dyDescent="0.35">
      <c r="L6486" s="71"/>
      <c r="R6486" s="5"/>
    </row>
    <row r="6487" spans="12:18" x14ac:dyDescent="0.35">
      <c r="L6487" s="71"/>
      <c r="R6487" s="5"/>
    </row>
    <row r="6488" spans="12:18" x14ac:dyDescent="0.35">
      <c r="L6488" s="71"/>
      <c r="R6488" s="5"/>
    </row>
    <row r="6489" spans="12:18" x14ac:dyDescent="0.35">
      <c r="L6489" s="71"/>
      <c r="R6489" s="5"/>
    </row>
    <row r="6490" spans="12:18" x14ac:dyDescent="0.35">
      <c r="L6490" s="71"/>
      <c r="R6490" s="5"/>
    </row>
    <row r="6491" spans="12:18" x14ac:dyDescent="0.35">
      <c r="L6491" s="71"/>
      <c r="R6491" s="5"/>
    </row>
    <row r="6492" spans="12:18" x14ac:dyDescent="0.35">
      <c r="L6492" s="71"/>
      <c r="R6492" s="5"/>
    </row>
    <row r="6493" spans="12:18" x14ac:dyDescent="0.35">
      <c r="L6493" s="71"/>
      <c r="R6493" s="5"/>
    </row>
    <row r="6494" spans="12:18" x14ac:dyDescent="0.35">
      <c r="L6494" s="71"/>
      <c r="R6494" s="5"/>
    </row>
    <row r="6495" spans="12:18" x14ac:dyDescent="0.35">
      <c r="L6495" s="71"/>
      <c r="R6495" s="5"/>
    </row>
    <row r="6496" spans="12:18" x14ac:dyDescent="0.35">
      <c r="L6496" s="71"/>
      <c r="R6496" s="5"/>
    </row>
    <row r="6497" spans="12:18" x14ac:dyDescent="0.35">
      <c r="L6497" s="71"/>
      <c r="R6497" s="5"/>
    </row>
    <row r="6498" spans="12:18" x14ac:dyDescent="0.35">
      <c r="L6498" s="71"/>
      <c r="R6498" s="5"/>
    </row>
    <row r="6499" spans="12:18" x14ac:dyDescent="0.35">
      <c r="L6499" s="71"/>
      <c r="R6499" s="5"/>
    </row>
    <row r="6500" spans="12:18" x14ac:dyDescent="0.35">
      <c r="L6500" s="71"/>
      <c r="R6500" s="5"/>
    </row>
    <row r="6501" spans="12:18" x14ac:dyDescent="0.35">
      <c r="L6501" s="71"/>
      <c r="R6501" s="5"/>
    </row>
    <row r="6502" spans="12:18" x14ac:dyDescent="0.35">
      <c r="L6502" s="71"/>
      <c r="R6502" s="5"/>
    </row>
    <row r="6503" spans="12:18" x14ac:dyDescent="0.35">
      <c r="L6503" s="71"/>
      <c r="R6503" s="5"/>
    </row>
    <row r="6504" spans="12:18" x14ac:dyDescent="0.35">
      <c r="L6504" s="71"/>
      <c r="R6504" s="5"/>
    </row>
    <row r="6505" spans="12:18" x14ac:dyDescent="0.35">
      <c r="L6505" s="71"/>
      <c r="R6505" s="5"/>
    </row>
    <row r="6506" spans="12:18" x14ac:dyDescent="0.35">
      <c r="L6506" s="71"/>
      <c r="R6506" s="5"/>
    </row>
    <row r="6507" spans="12:18" x14ac:dyDescent="0.35">
      <c r="L6507" s="71"/>
      <c r="R6507" s="5"/>
    </row>
    <row r="6508" spans="12:18" x14ac:dyDescent="0.35">
      <c r="L6508" s="71"/>
      <c r="R6508" s="5"/>
    </row>
    <row r="6509" spans="12:18" x14ac:dyDescent="0.35">
      <c r="L6509" s="71"/>
      <c r="R6509" s="5"/>
    </row>
    <row r="6510" spans="12:18" x14ac:dyDescent="0.35">
      <c r="L6510" s="71"/>
      <c r="R6510" s="5"/>
    </row>
    <row r="6511" spans="12:18" x14ac:dyDescent="0.35">
      <c r="L6511" s="71"/>
      <c r="R6511" s="5"/>
    </row>
    <row r="6512" spans="12:18" x14ac:dyDescent="0.35">
      <c r="L6512" s="71"/>
      <c r="R6512" s="5"/>
    </row>
    <row r="6513" spans="12:18" x14ac:dyDescent="0.35">
      <c r="L6513" s="71"/>
      <c r="R6513" s="5"/>
    </row>
    <row r="6514" spans="12:18" x14ac:dyDescent="0.35">
      <c r="L6514" s="71"/>
      <c r="R6514" s="5"/>
    </row>
    <row r="6515" spans="12:18" x14ac:dyDescent="0.35">
      <c r="L6515" s="71"/>
      <c r="R6515" s="5"/>
    </row>
    <row r="6516" spans="12:18" x14ac:dyDescent="0.35">
      <c r="L6516" s="71"/>
      <c r="R6516" s="5"/>
    </row>
    <row r="6517" spans="12:18" x14ac:dyDescent="0.35">
      <c r="L6517" s="71"/>
      <c r="R6517" s="5"/>
    </row>
    <row r="6518" spans="12:18" x14ac:dyDescent="0.35">
      <c r="L6518" s="71"/>
      <c r="R6518" s="5"/>
    </row>
    <row r="6519" spans="12:18" x14ac:dyDescent="0.35">
      <c r="L6519" s="71"/>
      <c r="R6519" s="5"/>
    </row>
    <row r="6520" spans="12:18" x14ac:dyDescent="0.35">
      <c r="L6520" s="71"/>
      <c r="R6520" s="5"/>
    </row>
    <row r="6521" spans="12:18" x14ac:dyDescent="0.35">
      <c r="L6521" s="71"/>
      <c r="R6521" s="5"/>
    </row>
    <row r="6522" spans="12:18" x14ac:dyDescent="0.35">
      <c r="L6522" s="71"/>
      <c r="R6522" s="5"/>
    </row>
    <row r="6523" spans="12:18" x14ac:dyDescent="0.35">
      <c r="L6523" s="71"/>
      <c r="R6523" s="5"/>
    </row>
    <row r="6524" spans="12:18" x14ac:dyDescent="0.35">
      <c r="L6524" s="71"/>
      <c r="R6524" s="5"/>
    </row>
    <row r="6525" spans="12:18" x14ac:dyDescent="0.35">
      <c r="L6525" s="71"/>
      <c r="R6525" s="5"/>
    </row>
    <row r="6526" spans="12:18" x14ac:dyDescent="0.35">
      <c r="L6526" s="71"/>
      <c r="R6526" s="5"/>
    </row>
    <row r="6527" spans="12:18" x14ac:dyDescent="0.35">
      <c r="L6527" s="71"/>
      <c r="R6527" s="5"/>
    </row>
    <row r="6528" spans="12:18" x14ac:dyDescent="0.35">
      <c r="L6528" s="71"/>
      <c r="R6528" s="5"/>
    </row>
    <row r="6529" spans="12:18" x14ac:dyDescent="0.35">
      <c r="L6529" s="71"/>
      <c r="R6529" s="5"/>
    </row>
    <row r="6530" spans="12:18" x14ac:dyDescent="0.35">
      <c r="L6530" s="71"/>
      <c r="R6530" s="5"/>
    </row>
    <row r="6531" spans="12:18" x14ac:dyDescent="0.35">
      <c r="L6531" s="71"/>
      <c r="R6531" s="5"/>
    </row>
    <row r="6532" spans="12:18" x14ac:dyDescent="0.35">
      <c r="L6532" s="71"/>
      <c r="R6532" s="5"/>
    </row>
    <row r="6533" spans="12:18" x14ac:dyDescent="0.35">
      <c r="L6533" s="71"/>
      <c r="R6533" s="5"/>
    </row>
    <row r="6534" spans="12:18" x14ac:dyDescent="0.35">
      <c r="L6534" s="71"/>
      <c r="R6534" s="5"/>
    </row>
    <row r="6535" spans="12:18" x14ac:dyDescent="0.35">
      <c r="L6535" s="71"/>
      <c r="R6535" s="5"/>
    </row>
    <row r="6536" spans="12:18" x14ac:dyDescent="0.35">
      <c r="L6536" s="71"/>
      <c r="R6536" s="5"/>
    </row>
    <row r="6537" spans="12:18" x14ac:dyDescent="0.35">
      <c r="L6537" s="71"/>
      <c r="R6537" s="5"/>
    </row>
    <row r="6538" spans="12:18" x14ac:dyDescent="0.35">
      <c r="L6538" s="71"/>
      <c r="R6538" s="5"/>
    </row>
    <row r="6539" spans="12:18" x14ac:dyDescent="0.35">
      <c r="L6539" s="71"/>
      <c r="R6539" s="5"/>
    </row>
    <row r="6540" spans="12:18" x14ac:dyDescent="0.35">
      <c r="L6540" s="71"/>
      <c r="R6540" s="5"/>
    </row>
    <row r="6541" spans="12:18" x14ac:dyDescent="0.35">
      <c r="L6541" s="71"/>
      <c r="R6541" s="5"/>
    </row>
    <row r="6542" spans="12:18" x14ac:dyDescent="0.35">
      <c r="L6542" s="71"/>
      <c r="R6542" s="5"/>
    </row>
    <row r="6543" spans="12:18" x14ac:dyDescent="0.35">
      <c r="L6543" s="71"/>
      <c r="R6543" s="5"/>
    </row>
    <row r="6544" spans="12:18" x14ac:dyDescent="0.35">
      <c r="L6544" s="71"/>
      <c r="R6544" s="5"/>
    </row>
    <row r="6545" spans="12:18" x14ac:dyDescent="0.35">
      <c r="L6545" s="71"/>
      <c r="R6545" s="5"/>
    </row>
    <row r="6546" spans="12:18" x14ac:dyDescent="0.35">
      <c r="L6546" s="71"/>
      <c r="R6546" s="5"/>
    </row>
    <row r="6547" spans="12:18" x14ac:dyDescent="0.35">
      <c r="L6547" s="71"/>
      <c r="R6547" s="5"/>
    </row>
    <row r="6548" spans="12:18" x14ac:dyDescent="0.35">
      <c r="L6548" s="71"/>
      <c r="R6548" s="5"/>
    </row>
    <row r="6549" spans="12:18" x14ac:dyDescent="0.35">
      <c r="L6549" s="71"/>
      <c r="R6549" s="5"/>
    </row>
    <row r="6550" spans="12:18" x14ac:dyDescent="0.35">
      <c r="L6550" s="71"/>
      <c r="R6550" s="5"/>
    </row>
    <row r="6551" spans="12:18" x14ac:dyDescent="0.35">
      <c r="L6551" s="71"/>
      <c r="R6551" s="5"/>
    </row>
    <row r="6552" spans="12:18" x14ac:dyDescent="0.35">
      <c r="L6552" s="71"/>
      <c r="R6552" s="5"/>
    </row>
    <row r="6553" spans="12:18" x14ac:dyDescent="0.35">
      <c r="L6553" s="71"/>
      <c r="R6553" s="5"/>
    </row>
    <row r="6554" spans="12:18" x14ac:dyDescent="0.35">
      <c r="L6554" s="71"/>
      <c r="R6554" s="5"/>
    </row>
    <row r="6555" spans="12:18" x14ac:dyDescent="0.35">
      <c r="L6555" s="71"/>
      <c r="R6555" s="5"/>
    </row>
    <row r="6556" spans="12:18" x14ac:dyDescent="0.35">
      <c r="L6556" s="71"/>
      <c r="R6556" s="5"/>
    </row>
    <row r="6557" spans="12:18" x14ac:dyDescent="0.35">
      <c r="L6557" s="71"/>
      <c r="R6557" s="5"/>
    </row>
    <row r="6558" spans="12:18" x14ac:dyDescent="0.35">
      <c r="L6558" s="71"/>
      <c r="R6558" s="5"/>
    </row>
    <row r="6559" spans="12:18" x14ac:dyDescent="0.35">
      <c r="L6559" s="71"/>
      <c r="R6559" s="5"/>
    </row>
    <row r="6560" spans="12:18" x14ac:dyDescent="0.35">
      <c r="L6560" s="71"/>
      <c r="R6560" s="5"/>
    </row>
    <row r="6561" spans="12:18" x14ac:dyDescent="0.35">
      <c r="L6561" s="71"/>
      <c r="R6561" s="5"/>
    </row>
    <row r="6562" spans="12:18" x14ac:dyDescent="0.35">
      <c r="L6562" s="71"/>
      <c r="R6562" s="5"/>
    </row>
    <row r="6563" spans="12:18" x14ac:dyDescent="0.35">
      <c r="L6563" s="71"/>
      <c r="R6563" s="5"/>
    </row>
    <row r="6564" spans="12:18" x14ac:dyDescent="0.35">
      <c r="L6564" s="71"/>
      <c r="R6564" s="5"/>
    </row>
    <row r="6565" spans="12:18" x14ac:dyDescent="0.35">
      <c r="L6565" s="71"/>
      <c r="R6565" s="5"/>
    </row>
    <row r="6566" spans="12:18" x14ac:dyDescent="0.35">
      <c r="L6566" s="71"/>
      <c r="R6566" s="5"/>
    </row>
    <row r="6567" spans="12:18" x14ac:dyDescent="0.35">
      <c r="L6567" s="71"/>
      <c r="R6567" s="5"/>
    </row>
    <row r="6568" spans="12:18" x14ac:dyDescent="0.35">
      <c r="L6568" s="71"/>
      <c r="R6568" s="5"/>
    </row>
    <row r="6569" spans="12:18" x14ac:dyDescent="0.35">
      <c r="L6569" s="71"/>
      <c r="R6569" s="5"/>
    </row>
    <row r="6570" spans="12:18" x14ac:dyDescent="0.35">
      <c r="L6570" s="71"/>
      <c r="R6570" s="5"/>
    </row>
    <row r="6571" spans="12:18" x14ac:dyDescent="0.35">
      <c r="L6571" s="71"/>
      <c r="R6571" s="5"/>
    </row>
    <row r="6572" spans="12:18" x14ac:dyDescent="0.35">
      <c r="L6572" s="71"/>
      <c r="R6572" s="5"/>
    </row>
    <row r="6573" spans="12:18" x14ac:dyDescent="0.35">
      <c r="L6573" s="71"/>
      <c r="R6573" s="5"/>
    </row>
    <row r="6574" spans="12:18" x14ac:dyDescent="0.35">
      <c r="L6574" s="71"/>
      <c r="R6574" s="5"/>
    </row>
    <row r="6575" spans="12:18" x14ac:dyDescent="0.35">
      <c r="L6575" s="71"/>
      <c r="R6575" s="5"/>
    </row>
    <row r="6576" spans="12:18" x14ac:dyDescent="0.35">
      <c r="L6576" s="71"/>
      <c r="R6576" s="5"/>
    </row>
    <row r="6577" spans="12:18" x14ac:dyDescent="0.35">
      <c r="L6577" s="71"/>
      <c r="R6577" s="5"/>
    </row>
    <row r="6578" spans="12:18" x14ac:dyDescent="0.35">
      <c r="L6578" s="71"/>
      <c r="R6578" s="5"/>
    </row>
    <row r="6579" spans="12:18" x14ac:dyDescent="0.35">
      <c r="L6579" s="71"/>
      <c r="R6579" s="5"/>
    </row>
    <row r="6580" spans="12:18" x14ac:dyDescent="0.35">
      <c r="L6580" s="71"/>
      <c r="R6580" s="5"/>
    </row>
    <row r="6581" spans="12:18" x14ac:dyDescent="0.35">
      <c r="L6581" s="71"/>
      <c r="R6581" s="5"/>
    </row>
    <row r="6582" spans="12:18" x14ac:dyDescent="0.35">
      <c r="L6582" s="71"/>
      <c r="R6582" s="5"/>
    </row>
    <row r="6583" spans="12:18" x14ac:dyDescent="0.35">
      <c r="L6583" s="71"/>
      <c r="R6583" s="5"/>
    </row>
    <row r="6584" spans="12:18" x14ac:dyDescent="0.35">
      <c r="L6584" s="71"/>
      <c r="R6584" s="5"/>
    </row>
    <row r="6585" spans="12:18" x14ac:dyDescent="0.35">
      <c r="L6585" s="71"/>
      <c r="R6585" s="5"/>
    </row>
    <row r="6586" spans="12:18" x14ac:dyDescent="0.35">
      <c r="L6586" s="71"/>
      <c r="R6586" s="5"/>
    </row>
    <row r="6587" spans="12:18" x14ac:dyDescent="0.35">
      <c r="L6587" s="71"/>
      <c r="R6587" s="5"/>
    </row>
    <row r="6588" spans="12:18" x14ac:dyDescent="0.35">
      <c r="L6588" s="71"/>
      <c r="R6588" s="5"/>
    </row>
    <row r="6589" spans="12:18" x14ac:dyDescent="0.35">
      <c r="L6589" s="71"/>
      <c r="R6589" s="5"/>
    </row>
    <row r="6590" spans="12:18" x14ac:dyDescent="0.35">
      <c r="L6590" s="71"/>
      <c r="R6590" s="5"/>
    </row>
    <row r="6591" spans="12:18" x14ac:dyDescent="0.35">
      <c r="L6591" s="71"/>
      <c r="R6591" s="5"/>
    </row>
    <row r="6592" spans="12:18" x14ac:dyDescent="0.35">
      <c r="L6592" s="71"/>
      <c r="R6592" s="5"/>
    </row>
    <row r="6593" spans="12:18" x14ac:dyDescent="0.35">
      <c r="L6593" s="71"/>
      <c r="R6593" s="5"/>
    </row>
    <row r="6594" spans="12:18" x14ac:dyDescent="0.35">
      <c r="L6594" s="71"/>
      <c r="R6594" s="5"/>
    </row>
    <row r="6595" spans="12:18" x14ac:dyDescent="0.35">
      <c r="L6595" s="71"/>
      <c r="R6595" s="5"/>
    </row>
    <row r="6596" spans="12:18" x14ac:dyDescent="0.35">
      <c r="L6596" s="71"/>
      <c r="R6596" s="5"/>
    </row>
    <row r="6597" spans="12:18" x14ac:dyDescent="0.35">
      <c r="L6597" s="71"/>
      <c r="R6597" s="5"/>
    </row>
    <row r="6598" spans="12:18" x14ac:dyDescent="0.35">
      <c r="L6598" s="71"/>
      <c r="R6598" s="5"/>
    </row>
    <row r="6599" spans="12:18" x14ac:dyDescent="0.35">
      <c r="L6599" s="71"/>
      <c r="R6599" s="5"/>
    </row>
    <row r="6600" spans="12:18" x14ac:dyDescent="0.35">
      <c r="L6600" s="71"/>
      <c r="R6600" s="5"/>
    </row>
    <row r="6601" spans="12:18" x14ac:dyDescent="0.35">
      <c r="L6601" s="71"/>
      <c r="R6601" s="5"/>
    </row>
    <row r="6602" spans="12:18" x14ac:dyDescent="0.35">
      <c r="L6602" s="71"/>
      <c r="R6602" s="5"/>
    </row>
    <row r="6603" spans="12:18" x14ac:dyDescent="0.35">
      <c r="L6603" s="71"/>
      <c r="R6603" s="5"/>
    </row>
    <row r="6604" spans="12:18" x14ac:dyDescent="0.35">
      <c r="L6604" s="71"/>
      <c r="R6604" s="5"/>
    </row>
    <row r="6605" spans="12:18" x14ac:dyDescent="0.35">
      <c r="L6605" s="71"/>
      <c r="R6605" s="5"/>
    </row>
    <row r="6606" spans="12:18" x14ac:dyDescent="0.35">
      <c r="L6606" s="71"/>
      <c r="R6606" s="5"/>
    </row>
    <row r="6607" spans="12:18" x14ac:dyDescent="0.35">
      <c r="L6607" s="71"/>
      <c r="R6607" s="5"/>
    </row>
    <row r="6608" spans="12:18" x14ac:dyDescent="0.35">
      <c r="L6608" s="71"/>
      <c r="R6608" s="5"/>
    </row>
    <row r="6609" spans="12:18" x14ac:dyDescent="0.35">
      <c r="L6609" s="71"/>
      <c r="R6609" s="5"/>
    </row>
    <row r="6610" spans="12:18" x14ac:dyDescent="0.35">
      <c r="L6610" s="71"/>
      <c r="R6610" s="5"/>
    </row>
    <row r="6611" spans="12:18" x14ac:dyDescent="0.35">
      <c r="L6611" s="71"/>
      <c r="R6611" s="5"/>
    </row>
    <row r="6612" spans="12:18" x14ac:dyDescent="0.35">
      <c r="L6612" s="71"/>
      <c r="R6612" s="5"/>
    </row>
    <row r="6613" spans="12:18" x14ac:dyDescent="0.35">
      <c r="L6613" s="71"/>
      <c r="R6613" s="5"/>
    </row>
    <row r="6614" spans="12:18" x14ac:dyDescent="0.35">
      <c r="L6614" s="71"/>
      <c r="R6614" s="5"/>
    </row>
    <row r="6615" spans="12:18" x14ac:dyDescent="0.35">
      <c r="L6615" s="71"/>
      <c r="R6615" s="5"/>
    </row>
    <row r="6616" spans="12:18" x14ac:dyDescent="0.35">
      <c r="L6616" s="71"/>
      <c r="R6616" s="5"/>
    </row>
    <row r="6617" spans="12:18" x14ac:dyDescent="0.35">
      <c r="L6617" s="71"/>
      <c r="R6617" s="5"/>
    </row>
    <row r="6618" spans="12:18" x14ac:dyDescent="0.35">
      <c r="L6618" s="71"/>
      <c r="R6618" s="5"/>
    </row>
    <row r="6619" spans="12:18" x14ac:dyDescent="0.35">
      <c r="L6619" s="71"/>
      <c r="R6619" s="5"/>
    </row>
    <row r="6620" spans="12:18" x14ac:dyDescent="0.35">
      <c r="L6620" s="71"/>
      <c r="R6620" s="5"/>
    </row>
    <row r="6621" spans="12:18" x14ac:dyDescent="0.35">
      <c r="L6621" s="71"/>
      <c r="R6621" s="5"/>
    </row>
    <row r="6622" spans="12:18" x14ac:dyDescent="0.35">
      <c r="L6622" s="71"/>
      <c r="R6622" s="5"/>
    </row>
    <row r="6623" spans="12:18" x14ac:dyDescent="0.35">
      <c r="L6623" s="71"/>
      <c r="R6623" s="5"/>
    </row>
    <row r="6624" spans="12:18" x14ac:dyDescent="0.35">
      <c r="L6624" s="71"/>
      <c r="R6624" s="5"/>
    </row>
    <row r="6625" spans="12:18" x14ac:dyDescent="0.35">
      <c r="L6625" s="71"/>
      <c r="R6625" s="5"/>
    </row>
    <row r="6626" spans="12:18" x14ac:dyDescent="0.35">
      <c r="L6626" s="71"/>
      <c r="R6626" s="5"/>
    </row>
    <row r="6627" spans="12:18" x14ac:dyDescent="0.35">
      <c r="L6627" s="71"/>
      <c r="R6627" s="5"/>
    </row>
    <row r="6628" spans="12:18" x14ac:dyDescent="0.35">
      <c r="L6628" s="71"/>
      <c r="R6628" s="5"/>
    </row>
    <row r="6629" spans="12:18" x14ac:dyDescent="0.35">
      <c r="L6629" s="71"/>
      <c r="R6629" s="5"/>
    </row>
    <row r="6630" spans="12:18" x14ac:dyDescent="0.35">
      <c r="L6630" s="71"/>
      <c r="R6630" s="5"/>
    </row>
    <row r="6631" spans="12:18" x14ac:dyDescent="0.35">
      <c r="L6631" s="71"/>
      <c r="R6631" s="5"/>
    </row>
    <row r="6632" spans="12:18" x14ac:dyDescent="0.35">
      <c r="L6632" s="71"/>
      <c r="R6632" s="5"/>
    </row>
    <row r="6633" spans="12:18" x14ac:dyDescent="0.35">
      <c r="L6633" s="71"/>
      <c r="R6633" s="5"/>
    </row>
    <row r="6634" spans="12:18" x14ac:dyDescent="0.35">
      <c r="L6634" s="71"/>
      <c r="R6634" s="5"/>
    </row>
    <row r="6635" spans="12:18" x14ac:dyDescent="0.35">
      <c r="L6635" s="71"/>
      <c r="R6635" s="5"/>
    </row>
    <row r="6636" spans="12:18" x14ac:dyDescent="0.35">
      <c r="L6636" s="71"/>
      <c r="R6636" s="5"/>
    </row>
    <row r="6637" spans="12:18" x14ac:dyDescent="0.35">
      <c r="L6637" s="71"/>
      <c r="R6637" s="5"/>
    </row>
    <row r="6638" spans="12:18" x14ac:dyDescent="0.35">
      <c r="L6638" s="71"/>
      <c r="R6638" s="5"/>
    </row>
    <row r="6639" spans="12:18" x14ac:dyDescent="0.35">
      <c r="L6639" s="71"/>
      <c r="R6639" s="5"/>
    </row>
    <row r="6640" spans="12:18" x14ac:dyDescent="0.35">
      <c r="L6640" s="71"/>
      <c r="R6640" s="5"/>
    </row>
    <row r="6641" spans="12:18" x14ac:dyDescent="0.35">
      <c r="L6641" s="71"/>
      <c r="R6641" s="5"/>
    </row>
    <row r="6642" spans="12:18" x14ac:dyDescent="0.35">
      <c r="L6642" s="71"/>
      <c r="R6642" s="5"/>
    </row>
    <row r="6643" spans="12:18" x14ac:dyDescent="0.35">
      <c r="L6643" s="71"/>
      <c r="R6643" s="5"/>
    </row>
    <row r="6644" spans="12:18" x14ac:dyDescent="0.35">
      <c r="L6644" s="71"/>
      <c r="R6644" s="5"/>
    </row>
    <row r="6645" spans="12:18" x14ac:dyDescent="0.35">
      <c r="L6645" s="71"/>
      <c r="R6645" s="5"/>
    </row>
    <row r="6646" spans="12:18" x14ac:dyDescent="0.35">
      <c r="L6646" s="71"/>
      <c r="R6646" s="5"/>
    </row>
    <row r="6647" spans="12:18" x14ac:dyDescent="0.35">
      <c r="L6647" s="71"/>
      <c r="R6647" s="5"/>
    </row>
    <row r="6648" spans="12:18" x14ac:dyDescent="0.35">
      <c r="L6648" s="71"/>
      <c r="R6648" s="5"/>
    </row>
    <row r="6649" spans="12:18" x14ac:dyDescent="0.35">
      <c r="L6649" s="71"/>
      <c r="R6649" s="5"/>
    </row>
    <row r="6650" spans="12:18" x14ac:dyDescent="0.35">
      <c r="L6650" s="71"/>
      <c r="R6650" s="5"/>
    </row>
    <row r="6651" spans="12:18" x14ac:dyDescent="0.35">
      <c r="L6651" s="71"/>
      <c r="R6651" s="5"/>
    </row>
    <row r="6652" spans="12:18" x14ac:dyDescent="0.35">
      <c r="L6652" s="71"/>
      <c r="R6652" s="5"/>
    </row>
    <row r="6653" spans="12:18" x14ac:dyDescent="0.35">
      <c r="L6653" s="71"/>
      <c r="R6653" s="5"/>
    </row>
    <row r="6654" spans="12:18" x14ac:dyDescent="0.35">
      <c r="L6654" s="71"/>
      <c r="R6654" s="5"/>
    </row>
    <row r="6655" spans="12:18" x14ac:dyDescent="0.35">
      <c r="L6655" s="71"/>
      <c r="R6655" s="5"/>
    </row>
    <row r="6656" spans="12:18" x14ac:dyDescent="0.35">
      <c r="L6656" s="71"/>
      <c r="R6656" s="5"/>
    </row>
    <row r="6657" spans="12:18" x14ac:dyDescent="0.35">
      <c r="L6657" s="71"/>
      <c r="R6657" s="5"/>
    </row>
    <row r="6658" spans="12:18" x14ac:dyDescent="0.35">
      <c r="L6658" s="71"/>
      <c r="R6658" s="5"/>
    </row>
    <row r="6659" spans="12:18" x14ac:dyDescent="0.35">
      <c r="L6659" s="71"/>
      <c r="R6659" s="5"/>
    </row>
    <row r="6660" spans="12:18" x14ac:dyDescent="0.35">
      <c r="L6660" s="71"/>
      <c r="R6660" s="5"/>
    </row>
    <row r="6661" spans="12:18" x14ac:dyDescent="0.35">
      <c r="L6661" s="71"/>
      <c r="R6661" s="5"/>
    </row>
    <row r="6662" spans="12:18" x14ac:dyDescent="0.35">
      <c r="L6662" s="71"/>
      <c r="R6662" s="5"/>
    </row>
    <row r="6663" spans="12:18" x14ac:dyDescent="0.35">
      <c r="L6663" s="71"/>
      <c r="R6663" s="5"/>
    </row>
    <row r="6664" spans="12:18" x14ac:dyDescent="0.35">
      <c r="L6664" s="71"/>
      <c r="R6664" s="5"/>
    </row>
    <row r="6665" spans="12:18" x14ac:dyDescent="0.35">
      <c r="L6665" s="71"/>
      <c r="R6665" s="5"/>
    </row>
    <row r="6666" spans="12:18" x14ac:dyDescent="0.35">
      <c r="L6666" s="71"/>
      <c r="R6666" s="5"/>
    </row>
    <row r="6667" spans="12:18" x14ac:dyDescent="0.35">
      <c r="L6667" s="71"/>
      <c r="R6667" s="5"/>
    </row>
    <row r="6668" spans="12:18" x14ac:dyDescent="0.35">
      <c r="L6668" s="71"/>
      <c r="R6668" s="5"/>
    </row>
    <row r="6669" spans="12:18" x14ac:dyDescent="0.35">
      <c r="L6669" s="71"/>
      <c r="R6669" s="5"/>
    </row>
    <row r="6670" spans="12:18" x14ac:dyDescent="0.35">
      <c r="L6670" s="71"/>
      <c r="R6670" s="5"/>
    </row>
    <row r="6671" spans="12:18" x14ac:dyDescent="0.35">
      <c r="L6671" s="71"/>
      <c r="R6671" s="5"/>
    </row>
    <row r="6672" spans="12:18" x14ac:dyDescent="0.35">
      <c r="L6672" s="71"/>
      <c r="R6672" s="5"/>
    </row>
    <row r="6673" spans="12:18" x14ac:dyDescent="0.35">
      <c r="L6673" s="71"/>
      <c r="R6673" s="5"/>
    </row>
    <row r="6674" spans="12:18" x14ac:dyDescent="0.35">
      <c r="L6674" s="71"/>
      <c r="R6674" s="5"/>
    </row>
    <row r="6675" spans="12:18" x14ac:dyDescent="0.35">
      <c r="L6675" s="71"/>
      <c r="R6675" s="5"/>
    </row>
    <row r="6676" spans="12:18" x14ac:dyDescent="0.35">
      <c r="L6676" s="71"/>
      <c r="R6676" s="5"/>
    </row>
    <row r="6677" spans="12:18" x14ac:dyDescent="0.35">
      <c r="L6677" s="71"/>
      <c r="R6677" s="5"/>
    </row>
    <row r="6678" spans="12:18" x14ac:dyDescent="0.35">
      <c r="L6678" s="71"/>
      <c r="R6678" s="5"/>
    </row>
    <row r="6679" spans="12:18" x14ac:dyDescent="0.35">
      <c r="L6679" s="71"/>
      <c r="R6679" s="5"/>
    </row>
    <row r="6680" spans="12:18" x14ac:dyDescent="0.35">
      <c r="L6680" s="71"/>
      <c r="R6680" s="5"/>
    </row>
    <row r="6681" spans="12:18" x14ac:dyDescent="0.35">
      <c r="L6681" s="71"/>
      <c r="R6681" s="5"/>
    </row>
    <row r="6682" spans="12:18" x14ac:dyDescent="0.35">
      <c r="L6682" s="71"/>
      <c r="R6682" s="5"/>
    </row>
    <row r="6683" spans="12:18" x14ac:dyDescent="0.35">
      <c r="L6683" s="71"/>
      <c r="R6683" s="5"/>
    </row>
    <row r="6684" spans="12:18" x14ac:dyDescent="0.35">
      <c r="L6684" s="71"/>
      <c r="R6684" s="5"/>
    </row>
    <row r="6685" spans="12:18" x14ac:dyDescent="0.35">
      <c r="L6685" s="71"/>
      <c r="R6685" s="5"/>
    </row>
    <row r="6686" spans="12:18" x14ac:dyDescent="0.35">
      <c r="L6686" s="71"/>
      <c r="R6686" s="5"/>
    </row>
    <row r="6687" spans="12:18" x14ac:dyDescent="0.35">
      <c r="L6687" s="71"/>
      <c r="R6687" s="5"/>
    </row>
    <row r="6688" spans="12:18" x14ac:dyDescent="0.35">
      <c r="L6688" s="71"/>
      <c r="R6688" s="5"/>
    </row>
    <row r="6689" spans="12:18" x14ac:dyDescent="0.35">
      <c r="L6689" s="71"/>
      <c r="R6689" s="5"/>
    </row>
    <row r="6690" spans="12:18" x14ac:dyDescent="0.35">
      <c r="L6690" s="71"/>
      <c r="R6690" s="5"/>
    </row>
    <row r="6691" spans="12:18" x14ac:dyDescent="0.35">
      <c r="L6691" s="71"/>
      <c r="R6691" s="5"/>
    </row>
    <row r="6692" spans="12:18" x14ac:dyDescent="0.35">
      <c r="L6692" s="71"/>
      <c r="R6692" s="5"/>
    </row>
    <row r="6693" spans="12:18" x14ac:dyDescent="0.35">
      <c r="L6693" s="71"/>
      <c r="R6693" s="5"/>
    </row>
    <row r="6694" spans="12:18" x14ac:dyDescent="0.35">
      <c r="L6694" s="71"/>
      <c r="R6694" s="5"/>
    </row>
    <row r="6695" spans="12:18" x14ac:dyDescent="0.35">
      <c r="L6695" s="71"/>
      <c r="R6695" s="5"/>
    </row>
    <row r="6696" spans="12:18" x14ac:dyDescent="0.35">
      <c r="L6696" s="71"/>
      <c r="R6696" s="5"/>
    </row>
    <row r="6697" spans="12:18" x14ac:dyDescent="0.35">
      <c r="L6697" s="71"/>
      <c r="R6697" s="5"/>
    </row>
    <row r="6698" spans="12:18" x14ac:dyDescent="0.35">
      <c r="L6698" s="71"/>
      <c r="R6698" s="5"/>
    </row>
    <row r="6699" spans="12:18" x14ac:dyDescent="0.35">
      <c r="L6699" s="71"/>
      <c r="R6699" s="5"/>
    </row>
    <row r="6700" spans="12:18" x14ac:dyDescent="0.35">
      <c r="L6700" s="71"/>
      <c r="R6700" s="5"/>
    </row>
    <row r="6701" spans="12:18" x14ac:dyDescent="0.35">
      <c r="L6701" s="71"/>
      <c r="R6701" s="5"/>
    </row>
    <row r="6702" spans="12:18" x14ac:dyDescent="0.35">
      <c r="L6702" s="71"/>
      <c r="R6702" s="5"/>
    </row>
    <row r="6703" spans="12:18" x14ac:dyDescent="0.35">
      <c r="L6703" s="71"/>
      <c r="R6703" s="5"/>
    </row>
    <row r="6704" spans="12:18" x14ac:dyDescent="0.35">
      <c r="L6704" s="71"/>
      <c r="R6704" s="5"/>
    </row>
    <row r="6705" spans="12:18" x14ac:dyDescent="0.35">
      <c r="L6705" s="71"/>
      <c r="R6705" s="5"/>
    </row>
    <row r="6706" spans="12:18" x14ac:dyDescent="0.35">
      <c r="L6706" s="71"/>
      <c r="R6706" s="5"/>
    </row>
    <row r="6707" spans="12:18" x14ac:dyDescent="0.35">
      <c r="L6707" s="71"/>
      <c r="R6707" s="5"/>
    </row>
    <row r="6708" spans="12:18" x14ac:dyDescent="0.35">
      <c r="L6708" s="71"/>
      <c r="R6708" s="5"/>
    </row>
    <row r="6709" spans="12:18" x14ac:dyDescent="0.35">
      <c r="L6709" s="71"/>
      <c r="R6709" s="5"/>
    </row>
    <row r="6710" spans="12:18" x14ac:dyDescent="0.35">
      <c r="L6710" s="71"/>
      <c r="R6710" s="5"/>
    </row>
    <row r="6711" spans="12:18" x14ac:dyDescent="0.35">
      <c r="L6711" s="71"/>
      <c r="R6711" s="5"/>
    </row>
    <row r="6712" spans="12:18" x14ac:dyDescent="0.35">
      <c r="L6712" s="71"/>
      <c r="R6712" s="5"/>
    </row>
    <row r="6713" spans="12:18" x14ac:dyDescent="0.35">
      <c r="L6713" s="71"/>
      <c r="R6713" s="5"/>
    </row>
    <row r="6714" spans="12:18" x14ac:dyDescent="0.35">
      <c r="L6714" s="71"/>
      <c r="R6714" s="5"/>
    </row>
    <row r="6715" spans="12:18" x14ac:dyDescent="0.35">
      <c r="L6715" s="71"/>
      <c r="R6715" s="5"/>
    </row>
    <row r="6716" spans="12:18" x14ac:dyDescent="0.35">
      <c r="L6716" s="71"/>
      <c r="R6716" s="5"/>
    </row>
    <row r="6717" spans="12:18" x14ac:dyDescent="0.35">
      <c r="L6717" s="71"/>
      <c r="R6717" s="5"/>
    </row>
    <row r="6718" spans="12:18" x14ac:dyDescent="0.35">
      <c r="L6718" s="71"/>
      <c r="R6718" s="5"/>
    </row>
    <row r="6719" spans="12:18" x14ac:dyDescent="0.35">
      <c r="L6719" s="71"/>
      <c r="R6719" s="5"/>
    </row>
    <row r="6720" spans="12:18" x14ac:dyDescent="0.35">
      <c r="L6720" s="71"/>
      <c r="R6720" s="5"/>
    </row>
    <row r="6721" spans="12:18" x14ac:dyDescent="0.35">
      <c r="L6721" s="71"/>
      <c r="R6721" s="5"/>
    </row>
    <row r="6722" spans="12:18" x14ac:dyDescent="0.35">
      <c r="L6722" s="71"/>
      <c r="R6722" s="5"/>
    </row>
    <row r="6723" spans="12:18" x14ac:dyDescent="0.35">
      <c r="L6723" s="71"/>
      <c r="R6723" s="5"/>
    </row>
    <row r="6724" spans="12:18" x14ac:dyDescent="0.35">
      <c r="L6724" s="71"/>
      <c r="R6724" s="5"/>
    </row>
    <row r="6725" spans="12:18" x14ac:dyDescent="0.35">
      <c r="L6725" s="71"/>
      <c r="R6725" s="5"/>
    </row>
    <row r="6726" spans="12:18" x14ac:dyDescent="0.35">
      <c r="L6726" s="71"/>
      <c r="R6726" s="5"/>
    </row>
    <row r="6727" spans="12:18" x14ac:dyDescent="0.35">
      <c r="L6727" s="71"/>
      <c r="R6727" s="5"/>
    </row>
    <row r="6728" spans="12:18" x14ac:dyDescent="0.35">
      <c r="L6728" s="71"/>
      <c r="R6728" s="5"/>
    </row>
    <row r="6729" spans="12:18" x14ac:dyDescent="0.35">
      <c r="L6729" s="71"/>
      <c r="R6729" s="5"/>
    </row>
    <row r="6730" spans="12:18" x14ac:dyDescent="0.35">
      <c r="L6730" s="71"/>
      <c r="R6730" s="5"/>
    </row>
    <row r="6731" spans="12:18" x14ac:dyDescent="0.35">
      <c r="L6731" s="71"/>
      <c r="R6731" s="5"/>
    </row>
    <row r="6732" spans="12:18" x14ac:dyDescent="0.35">
      <c r="L6732" s="71"/>
      <c r="R6732" s="5"/>
    </row>
    <row r="6733" spans="12:18" x14ac:dyDescent="0.35">
      <c r="L6733" s="71"/>
      <c r="R6733" s="5"/>
    </row>
    <row r="6734" spans="12:18" x14ac:dyDescent="0.35">
      <c r="L6734" s="71"/>
      <c r="R6734" s="5"/>
    </row>
    <row r="6735" spans="12:18" x14ac:dyDescent="0.35">
      <c r="L6735" s="71"/>
      <c r="R6735" s="5"/>
    </row>
    <row r="6736" spans="12:18" x14ac:dyDescent="0.35">
      <c r="L6736" s="71"/>
      <c r="R6736" s="5"/>
    </row>
    <row r="6737" spans="12:18" x14ac:dyDescent="0.35">
      <c r="L6737" s="71"/>
      <c r="R6737" s="5"/>
    </row>
    <row r="6738" spans="12:18" x14ac:dyDescent="0.35">
      <c r="L6738" s="71"/>
      <c r="R6738" s="5"/>
    </row>
    <row r="6739" spans="12:18" x14ac:dyDescent="0.35">
      <c r="L6739" s="71"/>
      <c r="R6739" s="5"/>
    </row>
    <row r="6740" spans="12:18" x14ac:dyDescent="0.35">
      <c r="L6740" s="71"/>
      <c r="R6740" s="5"/>
    </row>
    <row r="6741" spans="12:18" x14ac:dyDescent="0.35">
      <c r="L6741" s="71"/>
      <c r="R6741" s="5"/>
    </row>
    <row r="6742" spans="12:18" x14ac:dyDescent="0.35">
      <c r="L6742" s="71"/>
      <c r="R6742" s="5"/>
    </row>
    <row r="6743" spans="12:18" x14ac:dyDescent="0.35">
      <c r="L6743" s="71"/>
      <c r="R6743" s="5"/>
    </row>
    <row r="6744" spans="12:18" x14ac:dyDescent="0.35">
      <c r="L6744" s="71"/>
      <c r="R6744" s="5"/>
    </row>
    <row r="6745" spans="12:18" x14ac:dyDescent="0.35">
      <c r="L6745" s="71"/>
      <c r="R6745" s="5"/>
    </row>
    <row r="6746" spans="12:18" x14ac:dyDescent="0.35">
      <c r="L6746" s="71"/>
      <c r="R6746" s="5"/>
    </row>
    <row r="6747" spans="12:18" x14ac:dyDescent="0.35">
      <c r="L6747" s="71"/>
      <c r="R6747" s="5"/>
    </row>
    <row r="6748" spans="12:18" x14ac:dyDescent="0.35">
      <c r="L6748" s="71"/>
      <c r="R6748" s="5"/>
    </row>
    <row r="6749" spans="12:18" x14ac:dyDescent="0.35">
      <c r="L6749" s="71"/>
      <c r="R6749" s="5"/>
    </row>
    <row r="6750" spans="12:18" x14ac:dyDescent="0.35">
      <c r="L6750" s="71"/>
      <c r="R6750" s="5"/>
    </row>
    <row r="6751" spans="12:18" x14ac:dyDescent="0.35">
      <c r="L6751" s="71"/>
      <c r="R6751" s="5"/>
    </row>
    <row r="6752" spans="12:18" x14ac:dyDescent="0.35">
      <c r="L6752" s="71"/>
      <c r="R6752" s="5"/>
    </row>
    <row r="6753" spans="12:18" x14ac:dyDescent="0.35">
      <c r="L6753" s="71"/>
      <c r="R6753" s="5"/>
    </row>
    <row r="6754" spans="12:18" x14ac:dyDescent="0.35">
      <c r="L6754" s="71"/>
      <c r="R6754" s="5"/>
    </row>
    <row r="6755" spans="12:18" x14ac:dyDescent="0.35">
      <c r="L6755" s="71"/>
      <c r="R6755" s="5"/>
    </row>
    <row r="6756" spans="12:18" x14ac:dyDescent="0.35">
      <c r="L6756" s="71"/>
      <c r="R6756" s="5"/>
    </row>
    <row r="6757" spans="12:18" x14ac:dyDescent="0.35">
      <c r="L6757" s="71"/>
      <c r="R6757" s="5"/>
    </row>
    <row r="6758" spans="12:18" x14ac:dyDescent="0.35">
      <c r="L6758" s="71"/>
      <c r="R6758" s="5"/>
    </row>
    <row r="6759" spans="12:18" x14ac:dyDescent="0.35">
      <c r="L6759" s="71"/>
      <c r="R6759" s="5"/>
    </row>
    <row r="6760" spans="12:18" x14ac:dyDescent="0.35">
      <c r="L6760" s="71"/>
      <c r="R6760" s="5"/>
    </row>
    <row r="6761" spans="12:18" x14ac:dyDescent="0.35">
      <c r="L6761" s="71"/>
      <c r="R6761" s="5"/>
    </row>
    <row r="6762" spans="12:18" x14ac:dyDescent="0.35">
      <c r="L6762" s="71"/>
      <c r="R6762" s="5"/>
    </row>
    <row r="6763" spans="12:18" x14ac:dyDescent="0.35">
      <c r="L6763" s="71"/>
      <c r="R6763" s="5"/>
    </row>
    <row r="6764" spans="12:18" x14ac:dyDescent="0.35">
      <c r="L6764" s="71"/>
      <c r="R6764" s="5"/>
    </row>
    <row r="6765" spans="12:18" x14ac:dyDescent="0.35">
      <c r="L6765" s="71"/>
      <c r="R6765" s="5"/>
    </row>
    <row r="6766" spans="12:18" x14ac:dyDescent="0.35">
      <c r="L6766" s="71"/>
      <c r="R6766" s="5"/>
    </row>
    <row r="6767" spans="12:18" x14ac:dyDescent="0.35">
      <c r="L6767" s="71"/>
      <c r="R6767" s="5"/>
    </row>
    <row r="6768" spans="12:18" x14ac:dyDescent="0.35">
      <c r="L6768" s="71"/>
      <c r="R6768" s="5"/>
    </row>
    <row r="6769" spans="12:18" x14ac:dyDescent="0.35">
      <c r="L6769" s="71"/>
      <c r="R6769" s="5"/>
    </row>
    <row r="6770" spans="12:18" x14ac:dyDescent="0.35">
      <c r="L6770" s="71"/>
      <c r="R6770" s="5"/>
    </row>
    <row r="6771" spans="12:18" x14ac:dyDescent="0.35">
      <c r="L6771" s="71"/>
      <c r="R6771" s="5"/>
    </row>
    <row r="6772" spans="12:18" x14ac:dyDescent="0.35">
      <c r="L6772" s="71"/>
      <c r="R6772" s="5"/>
    </row>
    <row r="6773" spans="12:18" x14ac:dyDescent="0.35">
      <c r="L6773" s="71"/>
      <c r="R6773" s="5"/>
    </row>
    <row r="6774" spans="12:18" x14ac:dyDescent="0.35">
      <c r="L6774" s="71"/>
      <c r="R6774" s="5"/>
    </row>
    <row r="6775" spans="12:18" x14ac:dyDescent="0.35">
      <c r="L6775" s="71"/>
      <c r="R6775" s="5"/>
    </row>
    <row r="6776" spans="12:18" x14ac:dyDescent="0.35">
      <c r="L6776" s="71"/>
      <c r="R6776" s="5"/>
    </row>
    <row r="6777" spans="12:18" x14ac:dyDescent="0.35">
      <c r="L6777" s="71"/>
      <c r="R6777" s="5"/>
    </row>
    <row r="6778" spans="12:18" x14ac:dyDescent="0.35">
      <c r="L6778" s="71"/>
      <c r="R6778" s="5"/>
    </row>
    <row r="6779" spans="12:18" x14ac:dyDescent="0.35">
      <c r="L6779" s="71"/>
      <c r="R6779" s="5"/>
    </row>
    <row r="6780" spans="12:18" x14ac:dyDescent="0.35">
      <c r="L6780" s="71"/>
      <c r="R6780" s="5"/>
    </row>
    <row r="6781" spans="12:18" x14ac:dyDescent="0.35">
      <c r="L6781" s="71"/>
      <c r="R6781" s="5"/>
    </row>
    <row r="6782" spans="12:18" x14ac:dyDescent="0.35">
      <c r="L6782" s="71"/>
      <c r="R6782" s="5"/>
    </row>
    <row r="6783" spans="12:18" x14ac:dyDescent="0.35">
      <c r="L6783" s="71"/>
      <c r="R6783" s="5"/>
    </row>
    <row r="6784" spans="12:18" x14ac:dyDescent="0.35">
      <c r="L6784" s="71"/>
      <c r="R6784" s="5"/>
    </row>
    <row r="6785" spans="12:18" x14ac:dyDescent="0.35">
      <c r="L6785" s="71"/>
      <c r="R6785" s="5"/>
    </row>
    <row r="6786" spans="12:18" x14ac:dyDescent="0.35">
      <c r="L6786" s="71"/>
      <c r="R6786" s="5"/>
    </row>
    <row r="6787" spans="12:18" x14ac:dyDescent="0.35">
      <c r="L6787" s="71"/>
      <c r="R6787" s="5"/>
    </row>
    <row r="6788" spans="12:18" x14ac:dyDescent="0.35">
      <c r="L6788" s="71"/>
      <c r="R6788" s="5"/>
    </row>
    <row r="6789" spans="12:18" x14ac:dyDescent="0.35">
      <c r="L6789" s="71"/>
      <c r="R6789" s="5"/>
    </row>
    <row r="6790" spans="12:18" x14ac:dyDescent="0.35">
      <c r="L6790" s="71"/>
      <c r="R6790" s="5"/>
    </row>
    <row r="6791" spans="12:18" x14ac:dyDescent="0.35">
      <c r="L6791" s="71"/>
      <c r="R6791" s="5"/>
    </row>
    <row r="6792" spans="12:18" x14ac:dyDescent="0.35">
      <c r="L6792" s="71"/>
      <c r="R6792" s="5"/>
    </row>
    <row r="6793" spans="12:18" x14ac:dyDescent="0.35">
      <c r="L6793" s="71"/>
      <c r="R6793" s="5"/>
    </row>
    <row r="6794" spans="12:18" x14ac:dyDescent="0.35">
      <c r="L6794" s="71"/>
      <c r="R6794" s="5"/>
    </row>
    <row r="6795" spans="12:18" x14ac:dyDescent="0.35">
      <c r="L6795" s="71"/>
      <c r="R6795" s="5"/>
    </row>
    <row r="6796" spans="12:18" x14ac:dyDescent="0.35">
      <c r="L6796" s="71"/>
      <c r="R6796" s="5"/>
    </row>
    <row r="6797" spans="12:18" x14ac:dyDescent="0.35">
      <c r="L6797" s="71"/>
      <c r="R6797" s="5"/>
    </row>
    <row r="6798" spans="12:18" x14ac:dyDescent="0.35">
      <c r="L6798" s="71"/>
      <c r="R6798" s="5"/>
    </row>
    <row r="6799" spans="12:18" x14ac:dyDescent="0.35">
      <c r="L6799" s="71"/>
      <c r="R6799" s="5"/>
    </row>
    <row r="6800" spans="12:18" x14ac:dyDescent="0.35">
      <c r="L6800" s="71"/>
      <c r="R6800" s="5"/>
    </row>
    <row r="6801" spans="12:18" x14ac:dyDescent="0.35">
      <c r="L6801" s="71"/>
      <c r="R6801" s="5"/>
    </row>
    <row r="6802" spans="12:18" x14ac:dyDescent="0.35">
      <c r="L6802" s="71"/>
      <c r="R6802" s="5"/>
    </row>
    <row r="6803" spans="12:18" x14ac:dyDescent="0.35">
      <c r="L6803" s="71"/>
      <c r="R6803" s="5"/>
    </row>
    <row r="6804" spans="12:18" x14ac:dyDescent="0.35">
      <c r="L6804" s="71"/>
      <c r="R6804" s="5"/>
    </row>
    <row r="6805" spans="12:18" x14ac:dyDescent="0.35">
      <c r="L6805" s="71"/>
      <c r="R6805" s="5"/>
    </row>
    <row r="6806" spans="12:18" x14ac:dyDescent="0.35">
      <c r="L6806" s="71"/>
      <c r="R6806" s="5"/>
    </row>
    <row r="6807" spans="12:18" x14ac:dyDescent="0.35">
      <c r="L6807" s="71"/>
      <c r="R6807" s="5"/>
    </row>
    <row r="6808" spans="12:18" x14ac:dyDescent="0.35">
      <c r="L6808" s="71"/>
      <c r="R6808" s="5"/>
    </row>
    <row r="6809" spans="12:18" x14ac:dyDescent="0.35">
      <c r="L6809" s="71"/>
      <c r="R6809" s="5"/>
    </row>
    <row r="6810" spans="12:18" x14ac:dyDescent="0.35">
      <c r="L6810" s="71"/>
      <c r="R6810" s="5"/>
    </row>
    <row r="6811" spans="12:18" x14ac:dyDescent="0.35">
      <c r="L6811" s="71"/>
      <c r="R6811" s="5"/>
    </row>
    <row r="6812" spans="12:18" x14ac:dyDescent="0.35">
      <c r="L6812" s="71"/>
      <c r="R6812" s="5"/>
    </row>
    <row r="6813" spans="12:18" x14ac:dyDescent="0.35">
      <c r="L6813" s="71"/>
      <c r="R6813" s="5"/>
    </row>
    <row r="6814" spans="12:18" x14ac:dyDescent="0.35">
      <c r="L6814" s="71"/>
      <c r="R6814" s="5"/>
    </row>
    <row r="6815" spans="12:18" x14ac:dyDescent="0.35">
      <c r="L6815" s="71"/>
      <c r="R6815" s="5"/>
    </row>
    <row r="6816" spans="12:18" x14ac:dyDescent="0.35">
      <c r="L6816" s="71"/>
      <c r="R6816" s="5"/>
    </row>
    <row r="6817" spans="12:18" x14ac:dyDescent="0.35">
      <c r="L6817" s="71"/>
      <c r="R6817" s="5"/>
    </row>
    <row r="6818" spans="12:18" x14ac:dyDescent="0.35">
      <c r="L6818" s="71"/>
      <c r="R6818" s="5"/>
    </row>
    <row r="6819" spans="12:18" x14ac:dyDescent="0.35">
      <c r="L6819" s="71"/>
      <c r="R6819" s="5"/>
    </row>
    <row r="6820" spans="12:18" x14ac:dyDescent="0.35">
      <c r="L6820" s="71"/>
      <c r="R6820" s="5"/>
    </row>
    <row r="6821" spans="12:18" x14ac:dyDescent="0.35">
      <c r="L6821" s="71"/>
      <c r="R6821" s="5"/>
    </row>
    <row r="6822" spans="12:18" x14ac:dyDescent="0.35">
      <c r="L6822" s="71"/>
      <c r="R6822" s="5"/>
    </row>
    <row r="6823" spans="12:18" x14ac:dyDescent="0.35">
      <c r="L6823" s="71"/>
      <c r="R6823" s="5"/>
    </row>
    <row r="6824" spans="12:18" x14ac:dyDescent="0.35">
      <c r="L6824" s="71"/>
      <c r="R6824" s="5"/>
    </row>
    <row r="6825" spans="12:18" x14ac:dyDescent="0.35">
      <c r="L6825" s="71"/>
      <c r="R6825" s="5"/>
    </row>
    <row r="6826" spans="12:18" x14ac:dyDescent="0.35">
      <c r="L6826" s="71"/>
      <c r="R6826" s="5"/>
    </row>
    <row r="6827" spans="12:18" x14ac:dyDescent="0.35">
      <c r="L6827" s="71"/>
      <c r="R6827" s="5"/>
    </row>
    <row r="6828" spans="12:18" x14ac:dyDescent="0.35">
      <c r="L6828" s="71"/>
      <c r="R6828" s="5"/>
    </row>
    <row r="6829" spans="12:18" x14ac:dyDescent="0.35">
      <c r="L6829" s="71"/>
      <c r="R6829" s="5"/>
    </row>
    <row r="6830" spans="12:18" x14ac:dyDescent="0.35">
      <c r="L6830" s="71"/>
      <c r="R6830" s="5"/>
    </row>
    <row r="6831" spans="12:18" x14ac:dyDescent="0.35">
      <c r="L6831" s="71"/>
      <c r="R6831" s="5"/>
    </row>
    <row r="6832" spans="12:18" x14ac:dyDescent="0.35">
      <c r="L6832" s="71"/>
      <c r="R6832" s="5"/>
    </row>
    <row r="6833" spans="12:18" x14ac:dyDescent="0.35">
      <c r="L6833" s="71"/>
      <c r="R6833" s="5"/>
    </row>
    <row r="6834" spans="12:18" x14ac:dyDescent="0.35">
      <c r="L6834" s="71"/>
      <c r="R6834" s="5"/>
    </row>
    <row r="6835" spans="12:18" x14ac:dyDescent="0.35">
      <c r="L6835" s="71"/>
      <c r="R6835" s="5"/>
    </row>
    <row r="6836" spans="12:18" x14ac:dyDescent="0.35">
      <c r="L6836" s="71"/>
      <c r="R6836" s="5"/>
    </row>
    <row r="6837" spans="12:18" x14ac:dyDescent="0.35">
      <c r="L6837" s="71"/>
      <c r="R6837" s="5"/>
    </row>
    <row r="6838" spans="12:18" x14ac:dyDescent="0.35">
      <c r="L6838" s="71"/>
      <c r="R6838" s="5"/>
    </row>
    <row r="6839" spans="12:18" x14ac:dyDescent="0.35">
      <c r="L6839" s="71"/>
      <c r="R6839" s="5"/>
    </row>
    <row r="6840" spans="12:18" x14ac:dyDescent="0.35">
      <c r="L6840" s="71"/>
      <c r="R6840" s="5"/>
    </row>
    <row r="6841" spans="12:18" x14ac:dyDescent="0.35">
      <c r="L6841" s="71"/>
      <c r="R6841" s="5"/>
    </row>
    <row r="6842" spans="12:18" x14ac:dyDescent="0.35">
      <c r="L6842" s="71"/>
      <c r="R6842" s="5"/>
    </row>
    <row r="6843" spans="12:18" x14ac:dyDescent="0.35">
      <c r="L6843" s="71"/>
      <c r="R6843" s="5"/>
    </row>
    <row r="6844" spans="12:18" x14ac:dyDescent="0.35">
      <c r="L6844" s="71"/>
      <c r="R6844" s="5"/>
    </row>
    <row r="6845" spans="12:18" x14ac:dyDescent="0.35">
      <c r="L6845" s="71"/>
      <c r="R6845" s="5"/>
    </row>
    <row r="6846" spans="12:18" x14ac:dyDescent="0.35">
      <c r="L6846" s="71"/>
      <c r="R6846" s="5"/>
    </row>
    <row r="6847" spans="12:18" x14ac:dyDescent="0.35">
      <c r="L6847" s="71"/>
      <c r="R6847" s="5"/>
    </row>
    <row r="6848" spans="12:18" x14ac:dyDescent="0.35">
      <c r="L6848" s="71"/>
      <c r="R6848" s="5"/>
    </row>
    <row r="6849" spans="12:18" x14ac:dyDescent="0.35">
      <c r="L6849" s="71"/>
      <c r="R6849" s="5"/>
    </row>
    <row r="6850" spans="12:18" x14ac:dyDescent="0.35">
      <c r="L6850" s="71"/>
      <c r="R6850" s="5"/>
    </row>
    <row r="6851" spans="12:18" x14ac:dyDescent="0.35">
      <c r="L6851" s="71"/>
      <c r="R6851" s="5"/>
    </row>
    <row r="6852" spans="12:18" x14ac:dyDescent="0.35">
      <c r="L6852" s="71"/>
      <c r="R6852" s="5"/>
    </row>
    <row r="6853" spans="12:18" x14ac:dyDescent="0.35">
      <c r="L6853" s="71"/>
      <c r="R6853" s="5"/>
    </row>
    <row r="6854" spans="12:18" x14ac:dyDescent="0.35">
      <c r="L6854" s="71"/>
      <c r="R6854" s="5"/>
    </row>
    <row r="6855" spans="12:18" x14ac:dyDescent="0.35">
      <c r="L6855" s="71"/>
      <c r="R6855" s="5"/>
    </row>
    <row r="6856" spans="12:18" x14ac:dyDescent="0.35">
      <c r="L6856" s="71"/>
      <c r="R6856" s="5"/>
    </row>
    <row r="6857" spans="12:18" x14ac:dyDescent="0.35">
      <c r="L6857" s="71"/>
      <c r="R6857" s="5"/>
    </row>
    <row r="6858" spans="12:18" x14ac:dyDescent="0.35">
      <c r="L6858" s="71"/>
      <c r="R6858" s="5"/>
    </row>
    <row r="6859" spans="12:18" x14ac:dyDescent="0.35">
      <c r="L6859" s="71"/>
      <c r="R6859" s="5"/>
    </row>
    <row r="6860" spans="12:18" x14ac:dyDescent="0.35">
      <c r="L6860" s="71"/>
      <c r="R6860" s="5"/>
    </row>
    <row r="6861" spans="12:18" x14ac:dyDescent="0.35">
      <c r="L6861" s="71"/>
      <c r="R6861" s="5"/>
    </row>
    <row r="6862" spans="12:18" x14ac:dyDescent="0.35">
      <c r="L6862" s="71"/>
      <c r="R6862" s="5"/>
    </row>
    <row r="6863" spans="12:18" x14ac:dyDescent="0.35">
      <c r="L6863" s="71"/>
      <c r="R6863" s="5"/>
    </row>
    <row r="6864" spans="12:18" x14ac:dyDescent="0.35">
      <c r="L6864" s="71"/>
      <c r="R6864" s="5"/>
    </row>
    <row r="6865" spans="12:18" x14ac:dyDescent="0.35">
      <c r="L6865" s="71"/>
      <c r="R6865" s="5"/>
    </row>
    <row r="6866" spans="12:18" x14ac:dyDescent="0.35">
      <c r="L6866" s="71"/>
      <c r="R6866" s="5"/>
    </row>
    <row r="6867" spans="12:18" x14ac:dyDescent="0.35">
      <c r="L6867" s="71"/>
      <c r="R6867" s="5"/>
    </row>
    <row r="6868" spans="12:18" x14ac:dyDescent="0.35">
      <c r="L6868" s="71"/>
      <c r="R6868" s="5"/>
    </row>
    <row r="6869" spans="12:18" x14ac:dyDescent="0.35">
      <c r="L6869" s="71"/>
      <c r="R6869" s="5"/>
    </row>
    <row r="6870" spans="12:18" x14ac:dyDescent="0.35">
      <c r="L6870" s="71"/>
      <c r="R6870" s="5"/>
    </row>
    <row r="6871" spans="12:18" x14ac:dyDescent="0.35">
      <c r="L6871" s="71"/>
      <c r="R6871" s="5"/>
    </row>
    <row r="6872" spans="12:18" x14ac:dyDescent="0.35">
      <c r="L6872" s="71"/>
      <c r="R6872" s="5"/>
    </row>
    <row r="6873" spans="12:18" x14ac:dyDescent="0.35">
      <c r="L6873" s="71"/>
      <c r="R6873" s="5"/>
    </row>
    <row r="6874" spans="12:18" x14ac:dyDescent="0.35">
      <c r="L6874" s="71"/>
      <c r="R6874" s="5"/>
    </row>
    <row r="6875" spans="12:18" x14ac:dyDescent="0.35">
      <c r="L6875" s="71"/>
      <c r="R6875" s="5"/>
    </row>
    <row r="6876" spans="12:18" x14ac:dyDescent="0.35">
      <c r="L6876" s="71"/>
      <c r="R6876" s="5"/>
    </row>
    <row r="6877" spans="12:18" x14ac:dyDescent="0.35">
      <c r="L6877" s="71"/>
      <c r="R6877" s="5"/>
    </row>
    <row r="6878" spans="12:18" x14ac:dyDescent="0.35">
      <c r="L6878" s="71"/>
      <c r="R6878" s="5"/>
    </row>
    <row r="6879" spans="12:18" x14ac:dyDescent="0.35">
      <c r="L6879" s="71"/>
      <c r="R6879" s="5"/>
    </row>
    <row r="6880" spans="12:18" x14ac:dyDescent="0.35">
      <c r="L6880" s="71"/>
      <c r="R6880" s="5"/>
    </row>
    <row r="6881" spans="12:18" x14ac:dyDescent="0.35">
      <c r="L6881" s="71"/>
      <c r="R6881" s="5"/>
    </row>
    <row r="6882" spans="12:18" x14ac:dyDescent="0.35">
      <c r="L6882" s="71"/>
      <c r="R6882" s="5"/>
    </row>
    <row r="6883" spans="12:18" x14ac:dyDescent="0.35">
      <c r="L6883" s="71"/>
      <c r="R6883" s="5"/>
    </row>
    <row r="6884" spans="12:18" x14ac:dyDescent="0.35">
      <c r="L6884" s="71"/>
      <c r="R6884" s="5"/>
    </row>
    <row r="6885" spans="12:18" x14ac:dyDescent="0.35">
      <c r="L6885" s="71"/>
      <c r="R6885" s="5"/>
    </row>
    <row r="6886" spans="12:18" x14ac:dyDescent="0.35">
      <c r="L6886" s="71"/>
      <c r="R6886" s="5"/>
    </row>
    <row r="6887" spans="12:18" x14ac:dyDescent="0.35">
      <c r="L6887" s="71"/>
      <c r="R6887" s="5"/>
    </row>
    <row r="6888" spans="12:18" x14ac:dyDescent="0.35">
      <c r="L6888" s="71"/>
      <c r="R6888" s="5"/>
    </row>
    <row r="6889" spans="12:18" x14ac:dyDescent="0.35">
      <c r="L6889" s="71"/>
      <c r="R6889" s="5"/>
    </row>
    <row r="6890" spans="12:18" x14ac:dyDescent="0.35">
      <c r="L6890" s="71"/>
      <c r="R6890" s="5"/>
    </row>
    <row r="6891" spans="12:18" x14ac:dyDescent="0.35">
      <c r="L6891" s="71"/>
      <c r="R6891" s="5"/>
    </row>
    <row r="6892" spans="12:18" x14ac:dyDescent="0.35">
      <c r="L6892" s="71"/>
      <c r="R6892" s="5"/>
    </row>
    <row r="6893" spans="12:18" x14ac:dyDescent="0.35">
      <c r="L6893" s="71"/>
      <c r="R6893" s="5"/>
    </row>
    <row r="6894" spans="12:18" x14ac:dyDescent="0.35">
      <c r="L6894" s="71"/>
      <c r="R6894" s="5"/>
    </row>
    <row r="6895" spans="12:18" x14ac:dyDescent="0.35">
      <c r="L6895" s="71"/>
      <c r="R6895" s="5"/>
    </row>
    <row r="6896" spans="12:18" x14ac:dyDescent="0.35">
      <c r="L6896" s="71"/>
      <c r="R6896" s="5"/>
    </row>
    <row r="6897" spans="12:18" x14ac:dyDescent="0.35">
      <c r="L6897" s="71"/>
      <c r="R6897" s="5"/>
    </row>
    <row r="6898" spans="12:18" x14ac:dyDescent="0.35">
      <c r="L6898" s="71"/>
      <c r="R6898" s="5"/>
    </row>
    <row r="6899" spans="12:18" x14ac:dyDescent="0.35">
      <c r="L6899" s="71"/>
      <c r="R6899" s="5"/>
    </row>
    <row r="6900" spans="12:18" x14ac:dyDescent="0.35">
      <c r="L6900" s="71"/>
      <c r="R6900" s="5"/>
    </row>
    <row r="6901" spans="12:18" x14ac:dyDescent="0.35">
      <c r="L6901" s="71"/>
      <c r="R6901" s="5"/>
    </row>
    <row r="6902" spans="12:18" x14ac:dyDescent="0.35">
      <c r="L6902" s="71"/>
      <c r="R6902" s="5"/>
    </row>
    <row r="6903" spans="12:18" x14ac:dyDescent="0.35">
      <c r="L6903" s="71"/>
      <c r="R6903" s="5"/>
    </row>
    <row r="6904" spans="12:18" x14ac:dyDescent="0.35">
      <c r="L6904" s="71"/>
      <c r="R6904" s="5"/>
    </row>
    <row r="6905" spans="12:18" x14ac:dyDescent="0.35">
      <c r="L6905" s="71"/>
      <c r="R6905" s="5"/>
    </row>
    <row r="6906" spans="12:18" x14ac:dyDescent="0.35">
      <c r="L6906" s="71"/>
      <c r="R6906" s="5"/>
    </row>
    <row r="6907" spans="12:18" x14ac:dyDescent="0.35">
      <c r="L6907" s="71"/>
      <c r="R6907" s="5"/>
    </row>
    <row r="6908" spans="12:18" x14ac:dyDescent="0.35">
      <c r="L6908" s="71"/>
      <c r="R6908" s="5"/>
    </row>
    <row r="6909" spans="12:18" x14ac:dyDescent="0.35">
      <c r="L6909" s="71"/>
      <c r="R6909" s="5"/>
    </row>
    <row r="6910" spans="12:18" x14ac:dyDescent="0.35">
      <c r="L6910" s="71"/>
      <c r="R6910" s="5"/>
    </row>
    <row r="6911" spans="12:18" x14ac:dyDescent="0.35">
      <c r="L6911" s="71"/>
      <c r="R6911" s="5"/>
    </row>
    <row r="6912" spans="12:18" x14ac:dyDescent="0.35">
      <c r="L6912" s="71"/>
      <c r="R6912" s="5"/>
    </row>
    <row r="6913" spans="12:18" x14ac:dyDescent="0.35">
      <c r="L6913" s="71"/>
      <c r="R6913" s="5"/>
    </row>
    <row r="6914" spans="12:18" x14ac:dyDescent="0.35">
      <c r="L6914" s="71"/>
      <c r="R6914" s="5"/>
    </row>
    <row r="6915" spans="12:18" x14ac:dyDescent="0.35">
      <c r="L6915" s="71"/>
      <c r="R6915" s="5"/>
    </row>
    <row r="6916" spans="12:18" x14ac:dyDescent="0.35">
      <c r="L6916" s="71"/>
      <c r="R6916" s="5"/>
    </row>
    <row r="6917" spans="12:18" x14ac:dyDescent="0.35">
      <c r="L6917" s="71"/>
      <c r="R6917" s="5"/>
    </row>
    <row r="6918" spans="12:18" x14ac:dyDescent="0.35">
      <c r="L6918" s="71"/>
      <c r="R6918" s="5"/>
    </row>
    <row r="6919" spans="12:18" x14ac:dyDescent="0.35">
      <c r="L6919" s="71"/>
      <c r="R6919" s="5"/>
    </row>
    <row r="6920" spans="12:18" x14ac:dyDescent="0.35">
      <c r="L6920" s="71"/>
      <c r="R6920" s="5"/>
    </row>
    <row r="6921" spans="12:18" x14ac:dyDescent="0.35">
      <c r="L6921" s="71"/>
      <c r="R6921" s="5"/>
    </row>
    <row r="6922" spans="12:18" x14ac:dyDescent="0.35">
      <c r="L6922" s="71"/>
      <c r="R6922" s="5"/>
    </row>
    <row r="6923" spans="12:18" x14ac:dyDescent="0.35">
      <c r="L6923" s="71"/>
      <c r="R6923" s="5"/>
    </row>
    <row r="6924" spans="12:18" x14ac:dyDescent="0.35">
      <c r="L6924" s="71"/>
      <c r="R6924" s="5"/>
    </row>
    <row r="6925" spans="12:18" x14ac:dyDescent="0.35">
      <c r="L6925" s="71"/>
      <c r="R6925" s="5"/>
    </row>
    <row r="6926" spans="12:18" x14ac:dyDescent="0.35">
      <c r="L6926" s="71"/>
      <c r="R6926" s="5"/>
    </row>
    <row r="6927" spans="12:18" x14ac:dyDescent="0.35">
      <c r="L6927" s="71"/>
      <c r="R6927" s="5"/>
    </row>
    <row r="6928" spans="12:18" x14ac:dyDescent="0.35">
      <c r="L6928" s="71"/>
      <c r="R6928" s="5"/>
    </row>
    <row r="6929" spans="12:18" x14ac:dyDescent="0.35">
      <c r="L6929" s="71"/>
      <c r="R6929" s="5"/>
    </row>
    <row r="6930" spans="12:18" x14ac:dyDescent="0.35">
      <c r="L6930" s="71"/>
      <c r="R6930" s="5"/>
    </row>
    <row r="6931" spans="12:18" x14ac:dyDescent="0.35">
      <c r="L6931" s="71"/>
      <c r="R6931" s="5"/>
    </row>
    <row r="6932" spans="12:18" x14ac:dyDescent="0.35">
      <c r="L6932" s="71"/>
      <c r="R6932" s="5"/>
    </row>
    <row r="6933" spans="12:18" x14ac:dyDescent="0.35">
      <c r="L6933" s="71"/>
      <c r="R6933" s="5"/>
    </row>
    <row r="6934" spans="12:18" x14ac:dyDescent="0.35">
      <c r="L6934" s="71"/>
      <c r="R6934" s="5"/>
    </row>
    <row r="6935" spans="12:18" x14ac:dyDescent="0.35">
      <c r="L6935" s="71"/>
      <c r="R6935" s="5"/>
    </row>
    <row r="6936" spans="12:18" x14ac:dyDescent="0.35">
      <c r="L6936" s="71"/>
      <c r="R6936" s="5"/>
    </row>
    <row r="6937" spans="12:18" x14ac:dyDescent="0.35">
      <c r="L6937" s="71"/>
      <c r="R6937" s="5"/>
    </row>
    <row r="6938" spans="12:18" x14ac:dyDescent="0.35">
      <c r="L6938" s="71"/>
      <c r="R6938" s="5"/>
    </row>
    <row r="6939" spans="12:18" x14ac:dyDescent="0.35">
      <c r="L6939" s="71"/>
      <c r="R6939" s="5"/>
    </row>
    <row r="6940" spans="12:18" x14ac:dyDescent="0.35">
      <c r="L6940" s="71"/>
      <c r="R6940" s="5"/>
    </row>
    <row r="6941" spans="12:18" x14ac:dyDescent="0.35">
      <c r="L6941" s="71"/>
      <c r="R6941" s="5"/>
    </row>
    <row r="6942" spans="12:18" x14ac:dyDescent="0.35">
      <c r="L6942" s="71"/>
      <c r="R6942" s="5"/>
    </row>
    <row r="6943" spans="12:18" x14ac:dyDescent="0.35">
      <c r="L6943" s="71"/>
      <c r="R6943" s="5"/>
    </row>
    <row r="6944" spans="12:18" x14ac:dyDescent="0.35">
      <c r="L6944" s="71"/>
      <c r="R6944" s="5"/>
    </row>
    <row r="6945" spans="12:18" x14ac:dyDescent="0.35">
      <c r="L6945" s="71"/>
      <c r="R6945" s="5"/>
    </row>
    <row r="6946" spans="12:18" x14ac:dyDescent="0.35">
      <c r="L6946" s="71"/>
      <c r="R6946" s="5"/>
    </row>
    <row r="6947" spans="12:18" x14ac:dyDescent="0.35">
      <c r="L6947" s="71"/>
      <c r="R6947" s="5"/>
    </row>
    <row r="6948" spans="12:18" x14ac:dyDescent="0.35">
      <c r="L6948" s="71"/>
      <c r="R6948" s="5"/>
    </row>
    <row r="6949" spans="12:18" x14ac:dyDescent="0.35">
      <c r="L6949" s="71"/>
      <c r="R6949" s="5"/>
    </row>
    <row r="6950" spans="12:18" x14ac:dyDescent="0.35">
      <c r="L6950" s="71"/>
      <c r="R6950" s="5"/>
    </row>
    <row r="6951" spans="12:18" x14ac:dyDescent="0.35">
      <c r="L6951" s="71"/>
      <c r="R6951" s="5"/>
    </row>
    <row r="6952" spans="12:18" x14ac:dyDescent="0.35">
      <c r="L6952" s="71"/>
      <c r="R6952" s="5"/>
    </row>
    <row r="6953" spans="12:18" x14ac:dyDescent="0.35">
      <c r="L6953" s="71"/>
      <c r="R6953" s="5"/>
    </row>
    <row r="6954" spans="12:18" x14ac:dyDescent="0.35">
      <c r="L6954" s="71"/>
      <c r="R6954" s="5"/>
    </row>
    <row r="6955" spans="12:18" x14ac:dyDescent="0.35">
      <c r="L6955" s="71"/>
      <c r="R6955" s="5"/>
    </row>
    <row r="6956" spans="12:18" x14ac:dyDescent="0.35">
      <c r="L6956" s="71"/>
      <c r="R6956" s="5"/>
    </row>
    <row r="6957" spans="12:18" x14ac:dyDescent="0.35">
      <c r="L6957" s="71"/>
      <c r="R6957" s="5"/>
    </row>
    <row r="6958" spans="12:18" x14ac:dyDescent="0.35">
      <c r="L6958" s="71"/>
      <c r="R6958" s="5"/>
    </row>
    <row r="6959" spans="12:18" x14ac:dyDescent="0.35">
      <c r="L6959" s="71"/>
      <c r="R6959" s="5"/>
    </row>
    <row r="6960" spans="12:18" x14ac:dyDescent="0.35">
      <c r="L6960" s="71"/>
      <c r="R6960" s="5"/>
    </row>
    <row r="6961" spans="12:18" x14ac:dyDescent="0.35">
      <c r="L6961" s="71"/>
      <c r="R6961" s="5"/>
    </row>
    <row r="6962" spans="12:18" x14ac:dyDescent="0.35">
      <c r="L6962" s="71"/>
      <c r="R6962" s="5"/>
    </row>
    <row r="6963" spans="12:18" x14ac:dyDescent="0.35">
      <c r="L6963" s="71"/>
      <c r="R6963" s="5"/>
    </row>
    <row r="6964" spans="12:18" x14ac:dyDescent="0.35">
      <c r="L6964" s="71"/>
      <c r="R6964" s="5"/>
    </row>
    <row r="6965" spans="12:18" x14ac:dyDescent="0.35">
      <c r="L6965" s="71"/>
      <c r="R6965" s="5"/>
    </row>
    <row r="6966" spans="12:18" x14ac:dyDescent="0.35">
      <c r="L6966" s="71"/>
      <c r="R6966" s="5"/>
    </row>
    <row r="6967" spans="12:18" x14ac:dyDescent="0.35">
      <c r="L6967" s="71"/>
      <c r="R6967" s="5"/>
    </row>
    <row r="6968" spans="12:18" x14ac:dyDescent="0.35">
      <c r="L6968" s="71"/>
      <c r="R6968" s="5"/>
    </row>
    <row r="6969" spans="12:18" x14ac:dyDescent="0.35">
      <c r="L6969" s="71"/>
      <c r="R6969" s="5"/>
    </row>
    <row r="6970" spans="12:18" x14ac:dyDescent="0.35">
      <c r="L6970" s="71"/>
      <c r="R6970" s="5"/>
    </row>
    <row r="6971" spans="12:18" x14ac:dyDescent="0.35">
      <c r="L6971" s="71"/>
      <c r="R6971" s="5"/>
    </row>
    <row r="6972" spans="12:18" x14ac:dyDescent="0.35">
      <c r="L6972" s="71"/>
      <c r="R6972" s="5"/>
    </row>
    <row r="6973" spans="12:18" x14ac:dyDescent="0.35">
      <c r="L6973" s="71"/>
      <c r="R6973" s="5"/>
    </row>
    <row r="6974" spans="12:18" x14ac:dyDescent="0.35">
      <c r="L6974" s="71"/>
      <c r="R6974" s="5"/>
    </row>
    <row r="6975" spans="12:18" x14ac:dyDescent="0.35">
      <c r="L6975" s="71"/>
      <c r="R6975" s="5"/>
    </row>
    <row r="6976" spans="12:18" x14ac:dyDescent="0.35">
      <c r="L6976" s="71"/>
      <c r="R6976" s="5"/>
    </row>
    <row r="6977" spans="12:18" x14ac:dyDescent="0.35">
      <c r="L6977" s="71"/>
      <c r="R6977" s="5"/>
    </row>
    <row r="6978" spans="12:18" x14ac:dyDescent="0.35">
      <c r="L6978" s="71"/>
      <c r="R6978" s="5"/>
    </row>
    <row r="6979" spans="12:18" x14ac:dyDescent="0.35">
      <c r="L6979" s="71"/>
      <c r="R6979" s="5"/>
    </row>
    <row r="6980" spans="12:18" x14ac:dyDescent="0.35">
      <c r="L6980" s="71"/>
      <c r="R6980" s="5"/>
    </row>
    <row r="6981" spans="12:18" x14ac:dyDescent="0.35">
      <c r="L6981" s="71"/>
      <c r="R6981" s="5"/>
    </row>
    <row r="6982" spans="12:18" x14ac:dyDescent="0.35">
      <c r="L6982" s="71"/>
      <c r="R6982" s="5"/>
    </row>
    <row r="6983" spans="12:18" x14ac:dyDescent="0.35">
      <c r="L6983" s="71"/>
      <c r="R6983" s="5"/>
    </row>
    <row r="6984" spans="12:18" x14ac:dyDescent="0.35">
      <c r="L6984" s="71"/>
      <c r="R6984" s="5"/>
    </row>
    <row r="6985" spans="12:18" x14ac:dyDescent="0.35">
      <c r="L6985" s="71"/>
      <c r="R6985" s="5"/>
    </row>
    <row r="6986" spans="12:18" x14ac:dyDescent="0.35">
      <c r="L6986" s="71"/>
      <c r="R6986" s="5"/>
    </row>
    <row r="6987" spans="12:18" x14ac:dyDescent="0.35">
      <c r="L6987" s="71"/>
      <c r="R6987" s="5"/>
    </row>
    <row r="6988" spans="12:18" x14ac:dyDescent="0.35">
      <c r="L6988" s="71"/>
      <c r="R6988" s="5"/>
    </row>
    <row r="6989" spans="12:18" x14ac:dyDescent="0.35">
      <c r="L6989" s="71"/>
      <c r="R6989" s="5"/>
    </row>
    <row r="6990" spans="12:18" x14ac:dyDescent="0.35">
      <c r="L6990" s="71"/>
      <c r="R6990" s="5"/>
    </row>
    <row r="6991" spans="12:18" x14ac:dyDescent="0.35">
      <c r="L6991" s="71"/>
      <c r="R6991" s="5"/>
    </row>
    <row r="6992" spans="12:18" x14ac:dyDescent="0.35">
      <c r="L6992" s="71"/>
      <c r="R6992" s="5"/>
    </row>
    <row r="6993" spans="12:18" x14ac:dyDescent="0.35">
      <c r="L6993" s="71"/>
      <c r="R6993" s="5"/>
    </row>
    <row r="6994" spans="12:18" x14ac:dyDescent="0.35">
      <c r="L6994" s="71"/>
      <c r="R6994" s="5"/>
    </row>
    <row r="6995" spans="12:18" x14ac:dyDescent="0.35">
      <c r="L6995" s="71"/>
      <c r="R6995" s="5"/>
    </row>
    <row r="6996" spans="12:18" x14ac:dyDescent="0.35">
      <c r="L6996" s="71"/>
      <c r="R6996" s="5"/>
    </row>
    <row r="6997" spans="12:18" x14ac:dyDescent="0.35">
      <c r="L6997" s="71"/>
      <c r="R6997" s="5"/>
    </row>
    <row r="6998" spans="12:18" x14ac:dyDescent="0.35">
      <c r="L6998" s="71"/>
      <c r="R6998" s="5"/>
    </row>
    <row r="6999" spans="12:18" x14ac:dyDescent="0.35">
      <c r="L6999" s="71"/>
      <c r="R6999" s="5"/>
    </row>
    <row r="7000" spans="12:18" x14ac:dyDescent="0.35">
      <c r="L7000" s="71"/>
      <c r="R7000" s="5"/>
    </row>
    <row r="7001" spans="12:18" x14ac:dyDescent="0.35">
      <c r="L7001" s="71"/>
      <c r="R7001" s="5"/>
    </row>
    <row r="7002" spans="12:18" x14ac:dyDescent="0.35">
      <c r="L7002" s="71"/>
      <c r="R7002" s="5"/>
    </row>
    <row r="7003" spans="12:18" x14ac:dyDescent="0.35">
      <c r="L7003" s="71"/>
      <c r="R7003" s="5"/>
    </row>
    <row r="7004" spans="12:18" x14ac:dyDescent="0.35">
      <c r="L7004" s="71"/>
      <c r="R7004" s="5"/>
    </row>
    <row r="7005" spans="12:18" x14ac:dyDescent="0.35">
      <c r="L7005" s="71"/>
      <c r="R7005" s="5"/>
    </row>
    <row r="7006" spans="12:18" x14ac:dyDescent="0.35">
      <c r="L7006" s="71"/>
      <c r="R7006" s="5"/>
    </row>
    <row r="7007" spans="12:18" x14ac:dyDescent="0.35">
      <c r="L7007" s="71"/>
      <c r="R7007" s="5"/>
    </row>
    <row r="7008" spans="12:18" x14ac:dyDescent="0.35">
      <c r="L7008" s="71"/>
      <c r="R7008" s="5"/>
    </row>
    <row r="7009" spans="12:18" x14ac:dyDescent="0.35">
      <c r="L7009" s="71"/>
      <c r="R7009" s="5"/>
    </row>
    <row r="7010" spans="12:18" x14ac:dyDescent="0.35">
      <c r="L7010" s="71"/>
      <c r="R7010" s="5"/>
    </row>
    <row r="7011" spans="12:18" x14ac:dyDescent="0.35">
      <c r="L7011" s="71"/>
      <c r="R7011" s="5"/>
    </row>
    <row r="7012" spans="12:18" x14ac:dyDescent="0.35">
      <c r="L7012" s="71"/>
      <c r="R7012" s="5"/>
    </row>
    <row r="7013" spans="12:18" x14ac:dyDescent="0.35">
      <c r="L7013" s="71"/>
      <c r="R7013" s="5"/>
    </row>
    <row r="7014" spans="12:18" x14ac:dyDescent="0.35">
      <c r="L7014" s="71"/>
      <c r="R7014" s="5"/>
    </row>
    <row r="7015" spans="12:18" x14ac:dyDescent="0.35">
      <c r="L7015" s="71"/>
      <c r="R7015" s="5"/>
    </row>
    <row r="7016" spans="12:18" x14ac:dyDescent="0.35">
      <c r="L7016" s="71"/>
      <c r="R7016" s="5"/>
    </row>
    <row r="7017" spans="12:18" x14ac:dyDescent="0.35">
      <c r="L7017" s="71"/>
      <c r="R7017" s="5"/>
    </row>
    <row r="7018" spans="12:18" x14ac:dyDescent="0.35">
      <c r="L7018" s="71"/>
      <c r="R7018" s="5"/>
    </row>
    <row r="7019" spans="12:18" x14ac:dyDescent="0.35">
      <c r="L7019" s="71"/>
      <c r="R7019" s="5"/>
    </row>
    <row r="7020" spans="12:18" x14ac:dyDescent="0.35">
      <c r="L7020" s="71"/>
      <c r="R7020" s="5"/>
    </row>
    <row r="7021" spans="12:18" x14ac:dyDescent="0.35">
      <c r="L7021" s="71"/>
      <c r="R7021" s="5"/>
    </row>
    <row r="7022" spans="12:18" x14ac:dyDescent="0.35">
      <c r="L7022" s="71"/>
      <c r="R7022" s="5"/>
    </row>
    <row r="7023" spans="12:18" x14ac:dyDescent="0.35">
      <c r="L7023" s="71"/>
      <c r="R7023" s="5"/>
    </row>
    <row r="7024" spans="12:18" x14ac:dyDescent="0.35">
      <c r="L7024" s="71"/>
      <c r="R7024" s="5"/>
    </row>
    <row r="7025" spans="12:18" x14ac:dyDescent="0.35">
      <c r="L7025" s="71"/>
      <c r="R7025" s="5"/>
    </row>
    <row r="7026" spans="12:18" x14ac:dyDescent="0.35">
      <c r="L7026" s="71"/>
      <c r="R7026" s="5"/>
    </row>
    <row r="7027" spans="12:18" x14ac:dyDescent="0.35">
      <c r="L7027" s="71"/>
      <c r="R7027" s="5"/>
    </row>
    <row r="7028" spans="12:18" x14ac:dyDescent="0.35">
      <c r="L7028" s="71"/>
      <c r="R7028" s="5"/>
    </row>
    <row r="7029" spans="12:18" x14ac:dyDescent="0.35">
      <c r="L7029" s="71"/>
      <c r="R7029" s="5"/>
    </row>
    <row r="7030" spans="12:18" x14ac:dyDescent="0.35">
      <c r="L7030" s="71"/>
      <c r="R7030" s="5"/>
    </row>
    <row r="7031" spans="12:18" x14ac:dyDescent="0.35">
      <c r="L7031" s="71"/>
      <c r="R7031" s="5"/>
    </row>
    <row r="7032" spans="12:18" x14ac:dyDescent="0.35">
      <c r="L7032" s="71"/>
      <c r="R7032" s="5"/>
    </row>
    <row r="7033" spans="12:18" x14ac:dyDescent="0.35">
      <c r="L7033" s="71"/>
      <c r="R7033" s="5"/>
    </row>
    <row r="7034" spans="12:18" x14ac:dyDescent="0.35">
      <c r="L7034" s="71"/>
      <c r="R7034" s="5"/>
    </row>
    <row r="7035" spans="12:18" x14ac:dyDescent="0.35">
      <c r="L7035" s="71"/>
      <c r="R7035" s="5"/>
    </row>
    <row r="7036" spans="12:18" x14ac:dyDescent="0.35">
      <c r="L7036" s="71"/>
      <c r="R7036" s="5"/>
    </row>
    <row r="7037" spans="12:18" x14ac:dyDescent="0.35">
      <c r="L7037" s="71"/>
      <c r="R7037" s="5"/>
    </row>
    <row r="7038" spans="12:18" x14ac:dyDescent="0.35">
      <c r="L7038" s="71"/>
      <c r="R7038" s="5"/>
    </row>
    <row r="7039" spans="12:18" x14ac:dyDescent="0.35">
      <c r="L7039" s="71"/>
      <c r="R7039" s="5"/>
    </row>
    <row r="7040" spans="12:18" x14ac:dyDescent="0.35">
      <c r="L7040" s="71"/>
      <c r="R7040" s="5"/>
    </row>
    <row r="7041" spans="12:18" x14ac:dyDescent="0.35">
      <c r="L7041" s="71"/>
      <c r="R7041" s="5"/>
    </row>
    <row r="7042" spans="12:18" x14ac:dyDescent="0.35">
      <c r="L7042" s="71"/>
      <c r="R7042" s="5"/>
    </row>
    <row r="7043" spans="12:18" x14ac:dyDescent="0.35">
      <c r="L7043" s="71"/>
      <c r="R7043" s="5"/>
    </row>
    <row r="7044" spans="12:18" x14ac:dyDescent="0.35">
      <c r="L7044" s="71"/>
      <c r="R7044" s="5"/>
    </row>
    <row r="7045" spans="12:18" x14ac:dyDescent="0.35">
      <c r="L7045" s="71"/>
      <c r="R7045" s="5"/>
    </row>
    <row r="7046" spans="12:18" x14ac:dyDescent="0.35">
      <c r="L7046" s="71"/>
      <c r="R7046" s="5"/>
    </row>
    <row r="7047" spans="12:18" x14ac:dyDescent="0.35">
      <c r="L7047" s="71"/>
      <c r="R7047" s="5"/>
    </row>
    <row r="7048" spans="12:18" x14ac:dyDescent="0.35">
      <c r="L7048" s="71"/>
      <c r="R7048" s="5"/>
    </row>
    <row r="7049" spans="12:18" x14ac:dyDescent="0.35">
      <c r="L7049" s="71"/>
      <c r="R7049" s="5"/>
    </row>
    <row r="7050" spans="12:18" x14ac:dyDescent="0.35">
      <c r="L7050" s="71"/>
      <c r="R7050" s="5"/>
    </row>
    <row r="7051" spans="12:18" x14ac:dyDescent="0.35">
      <c r="L7051" s="71"/>
      <c r="R7051" s="5"/>
    </row>
    <row r="7052" spans="12:18" x14ac:dyDescent="0.35">
      <c r="L7052" s="71"/>
      <c r="R7052" s="5"/>
    </row>
    <row r="7053" spans="12:18" x14ac:dyDescent="0.35">
      <c r="L7053" s="71"/>
      <c r="R7053" s="5"/>
    </row>
    <row r="7054" spans="12:18" x14ac:dyDescent="0.35">
      <c r="L7054" s="71"/>
      <c r="R7054" s="5"/>
    </row>
    <row r="7055" spans="12:18" x14ac:dyDescent="0.35">
      <c r="L7055" s="71"/>
      <c r="R7055" s="5"/>
    </row>
    <row r="7056" spans="12:18" x14ac:dyDescent="0.35">
      <c r="L7056" s="71"/>
      <c r="R7056" s="5"/>
    </row>
    <row r="7057" spans="12:18" x14ac:dyDescent="0.35">
      <c r="L7057" s="71"/>
      <c r="R7057" s="5"/>
    </row>
    <row r="7058" spans="12:18" x14ac:dyDescent="0.35">
      <c r="L7058" s="71"/>
      <c r="R7058" s="5"/>
    </row>
    <row r="7059" spans="12:18" x14ac:dyDescent="0.35">
      <c r="L7059" s="71"/>
      <c r="R7059" s="5"/>
    </row>
    <row r="7060" spans="12:18" x14ac:dyDescent="0.35">
      <c r="L7060" s="71"/>
      <c r="R7060" s="5"/>
    </row>
    <row r="7061" spans="12:18" x14ac:dyDescent="0.35">
      <c r="L7061" s="71"/>
      <c r="R7061" s="5"/>
    </row>
    <row r="7062" spans="12:18" x14ac:dyDescent="0.35">
      <c r="L7062" s="71"/>
      <c r="R7062" s="5"/>
    </row>
    <row r="7063" spans="12:18" x14ac:dyDescent="0.35">
      <c r="L7063" s="71"/>
      <c r="R7063" s="5"/>
    </row>
    <row r="7064" spans="12:18" x14ac:dyDescent="0.35">
      <c r="L7064" s="71"/>
      <c r="R7064" s="5"/>
    </row>
    <row r="7065" spans="12:18" x14ac:dyDescent="0.35">
      <c r="L7065" s="71"/>
      <c r="R7065" s="5"/>
    </row>
    <row r="7066" spans="12:18" x14ac:dyDescent="0.35">
      <c r="L7066" s="71"/>
      <c r="R7066" s="5"/>
    </row>
    <row r="7067" spans="12:18" x14ac:dyDescent="0.35">
      <c r="L7067" s="71"/>
      <c r="R7067" s="5"/>
    </row>
    <row r="7068" spans="12:18" x14ac:dyDescent="0.35">
      <c r="L7068" s="71"/>
      <c r="R7068" s="5"/>
    </row>
    <row r="7069" spans="12:18" x14ac:dyDescent="0.35">
      <c r="L7069" s="71"/>
      <c r="R7069" s="5"/>
    </row>
    <row r="7070" spans="12:18" x14ac:dyDescent="0.35">
      <c r="L7070" s="71"/>
      <c r="R7070" s="5"/>
    </row>
    <row r="7071" spans="12:18" x14ac:dyDescent="0.35">
      <c r="L7071" s="71"/>
      <c r="R7071" s="5"/>
    </row>
    <row r="7072" spans="12:18" x14ac:dyDescent="0.35">
      <c r="L7072" s="71"/>
      <c r="R7072" s="5"/>
    </row>
    <row r="7073" spans="12:18" x14ac:dyDescent="0.35">
      <c r="L7073" s="71"/>
      <c r="R7073" s="5"/>
    </row>
    <row r="7074" spans="12:18" x14ac:dyDescent="0.35">
      <c r="L7074" s="71"/>
      <c r="R7074" s="5"/>
    </row>
    <row r="7075" spans="12:18" x14ac:dyDescent="0.35">
      <c r="L7075" s="71"/>
      <c r="R7075" s="5"/>
    </row>
    <row r="7076" spans="12:18" x14ac:dyDescent="0.35">
      <c r="L7076" s="71"/>
      <c r="R7076" s="5"/>
    </row>
    <row r="7077" spans="12:18" x14ac:dyDescent="0.35">
      <c r="L7077" s="71"/>
      <c r="R7077" s="5"/>
    </row>
    <row r="7078" spans="12:18" x14ac:dyDescent="0.35">
      <c r="L7078" s="71"/>
      <c r="R7078" s="5"/>
    </row>
    <row r="7079" spans="12:18" x14ac:dyDescent="0.35">
      <c r="L7079" s="71"/>
      <c r="R7079" s="5"/>
    </row>
    <row r="7080" spans="12:18" x14ac:dyDescent="0.35">
      <c r="L7080" s="71"/>
      <c r="R7080" s="5"/>
    </row>
    <row r="7081" spans="12:18" x14ac:dyDescent="0.35">
      <c r="L7081" s="71"/>
      <c r="R7081" s="5"/>
    </row>
    <row r="7082" spans="12:18" x14ac:dyDescent="0.35">
      <c r="L7082" s="71"/>
      <c r="R7082" s="5"/>
    </row>
    <row r="7083" spans="12:18" x14ac:dyDescent="0.35">
      <c r="L7083" s="71"/>
      <c r="R7083" s="5"/>
    </row>
    <row r="7084" spans="12:18" x14ac:dyDescent="0.35">
      <c r="L7084" s="71"/>
      <c r="R7084" s="5"/>
    </row>
    <row r="7085" spans="12:18" x14ac:dyDescent="0.35">
      <c r="L7085" s="71"/>
      <c r="R7085" s="5"/>
    </row>
    <row r="7086" spans="12:18" x14ac:dyDescent="0.35">
      <c r="L7086" s="71"/>
      <c r="R7086" s="5"/>
    </row>
    <row r="7087" spans="12:18" x14ac:dyDescent="0.35">
      <c r="L7087" s="71"/>
      <c r="R7087" s="5"/>
    </row>
    <row r="7088" spans="12:18" x14ac:dyDescent="0.35">
      <c r="L7088" s="71"/>
      <c r="R7088" s="5"/>
    </row>
    <row r="7089" spans="12:18" x14ac:dyDescent="0.35">
      <c r="L7089" s="71"/>
      <c r="R7089" s="5"/>
    </row>
    <row r="7090" spans="12:18" x14ac:dyDescent="0.35">
      <c r="L7090" s="71"/>
      <c r="R7090" s="5"/>
    </row>
    <row r="7091" spans="12:18" x14ac:dyDescent="0.35">
      <c r="L7091" s="71"/>
      <c r="R7091" s="5"/>
    </row>
    <row r="7092" spans="12:18" x14ac:dyDescent="0.35">
      <c r="L7092" s="71"/>
      <c r="R7092" s="5"/>
    </row>
    <row r="7093" spans="12:18" x14ac:dyDescent="0.35">
      <c r="L7093" s="71"/>
      <c r="R7093" s="5"/>
    </row>
    <row r="7094" spans="12:18" x14ac:dyDescent="0.35">
      <c r="L7094" s="71"/>
      <c r="R7094" s="5"/>
    </row>
    <row r="7095" spans="12:18" x14ac:dyDescent="0.35">
      <c r="L7095" s="71"/>
      <c r="R7095" s="5"/>
    </row>
    <row r="7096" spans="12:18" x14ac:dyDescent="0.35">
      <c r="L7096" s="71"/>
      <c r="R7096" s="5"/>
    </row>
    <row r="7097" spans="12:18" x14ac:dyDescent="0.35">
      <c r="L7097" s="71"/>
      <c r="R7097" s="5"/>
    </row>
    <row r="7098" spans="12:18" x14ac:dyDescent="0.35">
      <c r="L7098" s="71"/>
      <c r="R7098" s="5"/>
    </row>
    <row r="7099" spans="12:18" x14ac:dyDescent="0.35">
      <c r="L7099" s="71"/>
      <c r="R7099" s="5"/>
    </row>
    <row r="7100" spans="12:18" x14ac:dyDescent="0.35">
      <c r="L7100" s="71"/>
      <c r="R7100" s="5"/>
    </row>
    <row r="7101" spans="12:18" x14ac:dyDescent="0.35">
      <c r="L7101" s="71"/>
      <c r="R7101" s="5"/>
    </row>
    <row r="7102" spans="12:18" x14ac:dyDescent="0.35">
      <c r="L7102" s="71"/>
      <c r="R7102" s="5"/>
    </row>
    <row r="7103" spans="12:18" x14ac:dyDescent="0.35">
      <c r="L7103" s="71"/>
      <c r="R7103" s="5"/>
    </row>
    <row r="7104" spans="12:18" x14ac:dyDescent="0.35">
      <c r="L7104" s="71"/>
      <c r="R7104" s="5"/>
    </row>
    <row r="7105" spans="12:18" x14ac:dyDescent="0.35">
      <c r="L7105" s="71"/>
      <c r="R7105" s="5"/>
    </row>
    <row r="7106" spans="12:18" x14ac:dyDescent="0.35">
      <c r="L7106" s="71"/>
      <c r="R7106" s="5"/>
    </row>
    <row r="7107" spans="12:18" x14ac:dyDescent="0.35">
      <c r="L7107" s="71"/>
      <c r="R7107" s="5"/>
    </row>
    <row r="7108" spans="12:18" x14ac:dyDescent="0.35">
      <c r="L7108" s="71"/>
      <c r="R7108" s="5"/>
    </row>
    <row r="7109" spans="12:18" x14ac:dyDescent="0.35">
      <c r="L7109" s="71"/>
      <c r="R7109" s="5"/>
    </row>
    <row r="7110" spans="12:18" x14ac:dyDescent="0.35">
      <c r="L7110" s="71"/>
      <c r="R7110" s="5"/>
    </row>
    <row r="7111" spans="12:18" x14ac:dyDescent="0.35">
      <c r="L7111" s="71"/>
      <c r="R7111" s="5"/>
    </row>
    <row r="7112" spans="12:18" x14ac:dyDescent="0.35">
      <c r="L7112" s="71"/>
      <c r="R7112" s="5"/>
    </row>
    <row r="7113" spans="12:18" x14ac:dyDescent="0.35">
      <c r="L7113" s="71"/>
      <c r="R7113" s="5"/>
    </row>
    <row r="7114" spans="12:18" x14ac:dyDescent="0.35">
      <c r="L7114" s="71"/>
      <c r="R7114" s="5"/>
    </row>
    <row r="7115" spans="12:18" x14ac:dyDescent="0.35">
      <c r="L7115" s="71"/>
      <c r="R7115" s="5"/>
    </row>
    <row r="7116" spans="12:18" x14ac:dyDescent="0.35">
      <c r="L7116" s="71"/>
      <c r="R7116" s="5"/>
    </row>
    <row r="7117" spans="12:18" x14ac:dyDescent="0.35">
      <c r="L7117" s="71"/>
      <c r="R7117" s="5"/>
    </row>
    <row r="7118" spans="12:18" x14ac:dyDescent="0.35">
      <c r="L7118" s="71"/>
      <c r="R7118" s="5"/>
    </row>
    <row r="7119" spans="12:18" x14ac:dyDescent="0.35">
      <c r="L7119" s="71"/>
      <c r="R7119" s="5"/>
    </row>
    <row r="7120" spans="12:18" x14ac:dyDescent="0.35">
      <c r="L7120" s="71"/>
      <c r="R7120" s="5"/>
    </row>
    <row r="7121" spans="12:18" x14ac:dyDescent="0.35">
      <c r="L7121" s="71"/>
      <c r="R7121" s="5"/>
    </row>
    <row r="7122" spans="12:18" x14ac:dyDescent="0.35">
      <c r="L7122" s="71"/>
      <c r="R7122" s="5"/>
    </row>
    <row r="7123" spans="12:18" x14ac:dyDescent="0.35">
      <c r="L7123" s="71"/>
      <c r="R7123" s="5"/>
    </row>
    <row r="7124" spans="12:18" x14ac:dyDescent="0.35">
      <c r="L7124" s="71"/>
      <c r="R7124" s="5"/>
    </row>
    <row r="7125" spans="12:18" x14ac:dyDescent="0.35">
      <c r="L7125" s="71"/>
      <c r="R7125" s="5"/>
    </row>
    <row r="7126" spans="12:18" x14ac:dyDescent="0.35">
      <c r="L7126" s="71"/>
      <c r="R7126" s="5"/>
    </row>
    <row r="7127" spans="12:18" x14ac:dyDescent="0.35">
      <c r="L7127" s="71"/>
      <c r="R7127" s="5"/>
    </row>
    <row r="7128" spans="12:18" x14ac:dyDescent="0.35">
      <c r="L7128" s="71"/>
      <c r="R7128" s="5"/>
    </row>
    <row r="7129" spans="12:18" x14ac:dyDescent="0.35">
      <c r="L7129" s="71"/>
      <c r="R7129" s="5"/>
    </row>
    <row r="7130" spans="12:18" x14ac:dyDescent="0.35">
      <c r="L7130" s="71"/>
      <c r="R7130" s="5"/>
    </row>
    <row r="7131" spans="12:18" x14ac:dyDescent="0.35">
      <c r="L7131" s="71"/>
      <c r="R7131" s="5"/>
    </row>
    <row r="7132" spans="12:18" x14ac:dyDescent="0.35">
      <c r="L7132" s="71"/>
      <c r="R7132" s="5"/>
    </row>
    <row r="7133" spans="12:18" x14ac:dyDescent="0.35">
      <c r="L7133" s="71"/>
      <c r="R7133" s="5"/>
    </row>
    <row r="7134" spans="12:18" x14ac:dyDescent="0.35">
      <c r="L7134" s="71"/>
      <c r="R7134" s="5"/>
    </row>
    <row r="7135" spans="12:18" x14ac:dyDescent="0.35">
      <c r="L7135" s="71"/>
      <c r="R7135" s="5"/>
    </row>
    <row r="7136" spans="12:18" x14ac:dyDescent="0.35">
      <c r="L7136" s="71"/>
      <c r="R7136" s="5"/>
    </row>
    <row r="7137" spans="12:18" x14ac:dyDescent="0.35">
      <c r="L7137" s="71"/>
      <c r="R7137" s="5"/>
    </row>
    <row r="7138" spans="12:18" x14ac:dyDescent="0.35">
      <c r="L7138" s="71"/>
      <c r="R7138" s="5"/>
    </row>
    <row r="7139" spans="12:18" x14ac:dyDescent="0.35">
      <c r="L7139" s="71"/>
      <c r="R7139" s="5"/>
    </row>
    <row r="7140" spans="12:18" x14ac:dyDescent="0.35">
      <c r="L7140" s="71"/>
      <c r="R7140" s="5"/>
    </row>
    <row r="7141" spans="12:18" x14ac:dyDescent="0.35">
      <c r="L7141" s="71"/>
      <c r="R7141" s="5"/>
    </row>
    <row r="7142" spans="12:18" x14ac:dyDescent="0.35">
      <c r="L7142" s="71"/>
      <c r="R7142" s="5"/>
    </row>
    <row r="7143" spans="12:18" x14ac:dyDescent="0.35">
      <c r="L7143" s="71"/>
      <c r="R7143" s="5"/>
    </row>
    <row r="7144" spans="12:18" x14ac:dyDescent="0.35">
      <c r="L7144" s="71"/>
      <c r="R7144" s="5"/>
    </row>
    <row r="7145" spans="12:18" x14ac:dyDescent="0.35">
      <c r="L7145" s="71"/>
      <c r="R7145" s="5"/>
    </row>
    <row r="7146" spans="12:18" x14ac:dyDescent="0.35">
      <c r="L7146" s="71"/>
      <c r="R7146" s="5"/>
    </row>
    <row r="7147" spans="12:18" x14ac:dyDescent="0.35">
      <c r="L7147" s="71"/>
      <c r="R7147" s="5"/>
    </row>
    <row r="7148" spans="12:18" x14ac:dyDescent="0.35">
      <c r="L7148" s="71"/>
      <c r="R7148" s="5"/>
    </row>
    <row r="7149" spans="12:18" x14ac:dyDescent="0.35">
      <c r="L7149" s="71"/>
      <c r="R7149" s="5"/>
    </row>
    <row r="7150" spans="12:18" x14ac:dyDescent="0.35">
      <c r="L7150" s="71"/>
      <c r="R7150" s="5"/>
    </row>
    <row r="7151" spans="12:18" x14ac:dyDescent="0.35">
      <c r="L7151" s="71"/>
      <c r="R7151" s="5"/>
    </row>
    <row r="7152" spans="12:18" x14ac:dyDescent="0.35">
      <c r="L7152" s="71"/>
      <c r="R7152" s="5"/>
    </row>
    <row r="7153" spans="12:18" x14ac:dyDescent="0.35">
      <c r="L7153" s="71"/>
      <c r="R7153" s="5"/>
    </row>
    <row r="7154" spans="12:18" x14ac:dyDescent="0.35">
      <c r="L7154" s="71"/>
      <c r="R7154" s="5"/>
    </row>
    <row r="7155" spans="12:18" x14ac:dyDescent="0.35">
      <c r="L7155" s="71"/>
      <c r="R7155" s="5"/>
    </row>
    <row r="7156" spans="12:18" x14ac:dyDescent="0.35">
      <c r="L7156" s="71"/>
      <c r="R7156" s="5"/>
    </row>
    <row r="7157" spans="12:18" x14ac:dyDescent="0.35">
      <c r="L7157" s="71"/>
      <c r="R7157" s="5"/>
    </row>
    <row r="7158" spans="12:18" x14ac:dyDescent="0.35">
      <c r="L7158" s="71"/>
      <c r="R7158" s="5"/>
    </row>
    <row r="7159" spans="12:18" x14ac:dyDescent="0.35">
      <c r="L7159" s="71"/>
      <c r="R7159" s="5"/>
    </row>
    <row r="7160" spans="12:18" x14ac:dyDescent="0.35">
      <c r="L7160" s="71"/>
      <c r="R7160" s="5"/>
    </row>
    <row r="7161" spans="12:18" x14ac:dyDescent="0.35">
      <c r="L7161" s="71"/>
      <c r="R7161" s="5"/>
    </row>
    <row r="7162" spans="12:18" x14ac:dyDescent="0.35">
      <c r="L7162" s="71"/>
      <c r="R7162" s="5"/>
    </row>
    <row r="7163" spans="12:18" x14ac:dyDescent="0.35">
      <c r="L7163" s="71"/>
      <c r="R7163" s="5"/>
    </row>
    <row r="7164" spans="12:18" x14ac:dyDescent="0.35">
      <c r="L7164" s="71"/>
      <c r="R7164" s="5"/>
    </row>
    <row r="7165" spans="12:18" x14ac:dyDescent="0.35">
      <c r="L7165" s="71"/>
      <c r="R7165" s="5"/>
    </row>
    <row r="7166" spans="12:18" x14ac:dyDescent="0.35">
      <c r="L7166" s="71"/>
      <c r="R7166" s="5"/>
    </row>
    <row r="7167" spans="12:18" x14ac:dyDescent="0.35">
      <c r="L7167" s="71"/>
      <c r="R7167" s="5"/>
    </row>
    <row r="7168" spans="12:18" x14ac:dyDescent="0.35">
      <c r="L7168" s="71"/>
      <c r="R7168" s="5"/>
    </row>
    <row r="7169" spans="12:18" x14ac:dyDescent="0.35">
      <c r="L7169" s="71"/>
      <c r="R7169" s="5"/>
    </row>
    <row r="7170" spans="12:18" x14ac:dyDescent="0.35">
      <c r="L7170" s="71"/>
      <c r="R7170" s="5"/>
    </row>
    <row r="7171" spans="12:18" x14ac:dyDescent="0.35">
      <c r="L7171" s="71"/>
      <c r="R7171" s="5"/>
    </row>
    <row r="7172" spans="12:18" x14ac:dyDescent="0.35">
      <c r="L7172" s="71"/>
      <c r="R7172" s="5"/>
    </row>
    <row r="7173" spans="12:18" x14ac:dyDescent="0.35">
      <c r="L7173" s="71"/>
      <c r="R7173" s="5"/>
    </row>
    <row r="7174" spans="12:18" x14ac:dyDescent="0.35">
      <c r="L7174" s="71"/>
      <c r="R7174" s="5"/>
    </row>
    <row r="7175" spans="12:18" x14ac:dyDescent="0.35">
      <c r="L7175" s="71"/>
      <c r="R7175" s="5"/>
    </row>
    <row r="7176" spans="12:18" x14ac:dyDescent="0.35">
      <c r="L7176" s="71"/>
      <c r="R7176" s="5"/>
    </row>
    <row r="7177" spans="12:18" x14ac:dyDescent="0.35">
      <c r="L7177" s="71"/>
      <c r="R7177" s="5"/>
    </row>
    <row r="7178" spans="12:18" x14ac:dyDescent="0.35">
      <c r="L7178" s="71"/>
      <c r="R7178" s="5"/>
    </row>
    <row r="7179" spans="12:18" x14ac:dyDescent="0.35">
      <c r="L7179" s="71"/>
      <c r="R7179" s="5"/>
    </row>
    <row r="7180" spans="12:18" x14ac:dyDescent="0.35">
      <c r="L7180" s="71"/>
      <c r="R7180" s="5"/>
    </row>
    <row r="7181" spans="12:18" x14ac:dyDescent="0.35">
      <c r="L7181" s="71"/>
      <c r="R7181" s="5"/>
    </row>
    <row r="7182" spans="12:18" x14ac:dyDescent="0.35">
      <c r="L7182" s="71"/>
      <c r="R7182" s="5"/>
    </row>
    <row r="7183" spans="12:18" x14ac:dyDescent="0.35">
      <c r="L7183" s="71"/>
      <c r="R7183" s="5"/>
    </row>
    <row r="7184" spans="12:18" x14ac:dyDescent="0.35">
      <c r="L7184" s="71"/>
      <c r="R7184" s="5"/>
    </row>
    <row r="7185" spans="12:18" x14ac:dyDescent="0.35">
      <c r="L7185" s="71"/>
      <c r="R7185" s="5"/>
    </row>
    <row r="7186" spans="12:18" x14ac:dyDescent="0.35">
      <c r="L7186" s="71"/>
      <c r="R7186" s="5"/>
    </row>
    <row r="7187" spans="12:18" x14ac:dyDescent="0.35">
      <c r="L7187" s="71"/>
      <c r="R7187" s="5"/>
    </row>
    <row r="7188" spans="12:18" x14ac:dyDescent="0.35">
      <c r="L7188" s="71"/>
      <c r="R7188" s="5"/>
    </row>
    <row r="7189" spans="12:18" x14ac:dyDescent="0.35">
      <c r="L7189" s="71"/>
      <c r="R7189" s="5"/>
    </row>
    <row r="7190" spans="12:18" x14ac:dyDescent="0.35">
      <c r="L7190" s="71"/>
      <c r="R7190" s="5"/>
    </row>
    <row r="7191" spans="12:18" x14ac:dyDescent="0.35">
      <c r="L7191" s="71"/>
      <c r="R7191" s="5"/>
    </row>
    <row r="7192" spans="12:18" x14ac:dyDescent="0.35">
      <c r="L7192" s="71"/>
      <c r="R7192" s="5"/>
    </row>
    <row r="7193" spans="12:18" x14ac:dyDescent="0.35">
      <c r="L7193" s="71"/>
      <c r="R7193" s="5"/>
    </row>
    <row r="7194" spans="12:18" x14ac:dyDescent="0.35">
      <c r="L7194" s="71"/>
      <c r="R7194" s="5"/>
    </row>
    <row r="7195" spans="12:18" x14ac:dyDescent="0.35">
      <c r="L7195" s="71"/>
      <c r="R7195" s="5"/>
    </row>
    <row r="7196" spans="12:18" x14ac:dyDescent="0.35">
      <c r="L7196" s="71"/>
      <c r="R7196" s="5"/>
    </row>
    <row r="7197" spans="12:18" x14ac:dyDescent="0.35">
      <c r="L7197" s="71"/>
      <c r="R7197" s="5"/>
    </row>
    <row r="7198" spans="12:18" x14ac:dyDescent="0.35">
      <c r="L7198" s="71"/>
      <c r="R7198" s="5"/>
    </row>
    <row r="7199" spans="12:18" x14ac:dyDescent="0.35">
      <c r="L7199" s="71"/>
      <c r="R7199" s="5"/>
    </row>
    <row r="7200" spans="12:18" x14ac:dyDescent="0.35">
      <c r="L7200" s="71"/>
      <c r="R7200" s="5"/>
    </row>
    <row r="7201" spans="12:18" x14ac:dyDescent="0.35">
      <c r="L7201" s="71"/>
      <c r="R7201" s="5"/>
    </row>
    <row r="7202" spans="12:18" x14ac:dyDescent="0.35">
      <c r="L7202" s="71"/>
      <c r="R7202" s="5"/>
    </row>
    <row r="7203" spans="12:18" x14ac:dyDescent="0.35">
      <c r="L7203" s="71"/>
      <c r="R7203" s="5"/>
    </row>
    <row r="7204" spans="12:18" x14ac:dyDescent="0.35">
      <c r="L7204" s="71"/>
      <c r="R7204" s="5"/>
    </row>
    <row r="7205" spans="12:18" x14ac:dyDescent="0.35">
      <c r="L7205" s="71"/>
      <c r="R7205" s="5"/>
    </row>
    <row r="7206" spans="12:18" x14ac:dyDescent="0.35">
      <c r="L7206" s="71"/>
      <c r="R7206" s="5"/>
    </row>
    <row r="7207" spans="12:18" x14ac:dyDescent="0.35">
      <c r="L7207" s="71"/>
      <c r="R7207" s="5"/>
    </row>
    <row r="7208" spans="12:18" x14ac:dyDescent="0.35">
      <c r="L7208" s="71"/>
      <c r="R7208" s="5"/>
    </row>
    <row r="7209" spans="12:18" x14ac:dyDescent="0.35">
      <c r="L7209" s="71"/>
      <c r="R7209" s="5"/>
    </row>
    <row r="7210" spans="12:18" x14ac:dyDescent="0.35">
      <c r="L7210" s="71"/>
      <c r="R7210" s="5"/>
    </row>
    <row r="7211" spans="12:18" x14ac:dyDescent="0.35">
      <c r="L7211" s="71"/>
      <c r="R7211" s="5"/>
    </row>
    <row r="7212" spans="12:18" x14ac:dyDescent="0.35">
      <c r="L7212" s="71"/>
      <c r="R7212" s="5"/>
    </row>
    <row r="7213" spans="12:18" x14ac:dyDescent="0.35">
      <c r="L7213" s="71"/>
      <c r="R7213" s="5"/>
    </row>
    <row r="7214" spans="12:18" x14ac:dyDescent="0.35">
      <c r="L7214" s="71"/>
      <c r="R7214" s="5"/>
    </row>
    <row r="7215" spans="12:18" x14ac:dyDescent="0.35">
      <c r="L7215" s="71"/>
      <c r="R7215" s="5"/>
    </row>
    <row r="7216" spans="12:18" x14ac:dyDescent="0.35">
      <c r="L7216" s="71"/>
      <c r="R7216" s="5"/>
    </row>
    <row r="7217" spans="12:18" x14ac:dyDescent="0.35">
      <c r="L7217" s="71"/>
      <c r="R7217" s="5"/>
    </row>
    <row r="7218" spans="12:18" x14ac:dyDescent="0.35">
      <c r="L7218" s="71"/>
      <c r="R7218" s="5"/>
    </row>
    <row r="7219" spans="12:18" x14ac:dyDescent="0.35">
      <c r="L7219" s="71"/>
      <c r="R7219" s="5"/>
    </row>
    <row r="7220" spans="12:18" x14ac:dyDescent="0.35">
      <c r="L7220" s="71"/>
      <c r="R7220" s="5"/>
    </row>
    <row r="7221" spans="12:18" x14ac:dyDescent="0.35">
      <c r="L7221" s="71"/>
      <c r="R7221" s="5"/>
    </row>
    <row r="7222" spans="12:18" x14ac:dyDescent="0.35">
      <c r="L7222" s="71"/>
      <c r="R7222" s="5"/>
    </row>
    <row r="7223" spans="12:18" x14ac:dyDescent="0.35">
      <c r="L7223" s="71"/>
      <c r="R7223" s="5"/>
    </row>
    <row r="7224" spans="12:18" x14ac:dyDescent="0.35">
      <c r="L7224" s="71"/>
      <c r="R7224" s="5"/>
    </row>
    <row r="7225" spans="12:18" x14ac:dyDescent="0.35">
      <c r="L7225" s="71"/>
      <c r="R7225" s="5"/>
    </row>
    <row r="7226" spans="12:18" x14ac:dyDescent="0.35">
      <c r="L7226" s="71"/>
      <c r="R7226" s="5"/>
    </row>
    <row r="7227" spans="12:18" x14ac:dyDescent="0.35">
      <c r="L7227" s="71"/>
      <c r="R7227" s="5"/>
    </row>
    <row r="7228" spans="12:18" x14ac:dyDescent="0.35">
      <c r="L7228" s="71"/>
      <c r="R7228" s="5"/>
    </row>
    <row r="7229" spans="12:18" x14ac:dyDescent="0.35">
      <c r="L7229" s="71"/>
      <c r="R7229" s="5"/>
    </row>
    <row r="7230" spans="12:18" x14ac:dyDescent="0.35">
      <c r="L7230" s="71"/>
      <c r="R7230" s="5"/>
    </row>
    <row r="7231" spans="12:18" x14ac:dyDescent="0.35">
      <c r="L7231" s="71"/>
      <c r="R7231" s="5"/>
    </row>
    <row r="7232" spans="12:18" x14ac:dyDescent="0.35">
      <c r="L7232" s="71"/>
      <c r="R7232" s="5"/>
    </row>
    <row r="7233" spans="12:18" x14ac:dyDescent="0.35">
      <c r="L7233" s="71"/>
      <c r="R7233" s="5"/>
    </row>
    <row r="7234" spans="12:18" x14ac:dyDescent="0.35">
      <c r="L7234" s="71"/>
      <c r="R7234" s="5"/>
    </row>
    <row r="7235" spans="12:18" x14ac:dyDescent="0.35">
      <c r="L7235" s="71"/>
      <c r="R7235" s="5"/>
    </row>
    <row r="7236" spans="12:18" x14ac:dyDescent="0.35">
      <c r="L7236" s="71"/>
      <c r="R7236" s="5"/>
    </row>
    <row r="7237" spans="12:18" x14ac:dyDescent="0.35">
      <c r="L7237" s="71"/>
      <c r="R7237" s="5"/>
    </row>
    <row r="7238" spans="12:18" x14ac:dyDescent="0.35">
      <c r="L7238" s="71"/>
      <c r="R7238" s="5"/>
    </row>
    <row r="7239" spans="12:18" x14ac:dyDescent="0.35">
      <c r="L7239" s="71"/>
      <c r="R7239" s="5"/>
    </row>
    <row r="7240" spans="12:18" x14ac:dyDescent="0.35">
      <c r="L7240" s="71"/>
      <c r="R7240" s="5"/>
    </row>
    <row r="7241" spans="12:18" x14ac:dyDescent="0.35">
      <c r="L7241" s="71"/>
      <c r="R7241" s="5"/>
    </row>
    <row r="7242" spans="12:18" x14ac:dyDescent="0.35">
      <c r="L7242" s="71"/>
      <c r="R7242" s="5"/>
    </row>
    <row r="7243" spans="12:18" x14ac:dyDescent="0.35">
      <c r="L7243" s="71"/>
      <c r="R7243" s="5"/>
    </row>
    <row r="7244" spans="12:18" x14ac:dyDescent="0.35">
      <c r="L7244" s="71"/>
      <c r="R7244" s="5"/>
    </row>
    <row r="7245" spans="12:18" x14ac:dyDescent="0.35">
      <c r="L7245" s="71"/>
      <c r="R7245" s="5"/>
    </row>
    <row r="7246" spans="12:18" x14ac:dyDescent="0.35">
      <c r="L7246" s="71"/>
      <c r="R7246" s="5"/>
    </row>
    <row r="7247" spans="12:18" x14ac:dyDescent="0.35">
      <c r="L7247" s="71"/>
      <c r="R7247" s="5"/>
    </row>
    <row r="7248" spans="12:18" x14ac:dyDescent="0.35">
      <c r="L7248" s="71"/>
      <c r="R7248" s="5"/>
    </row>
    <row r="7249" spans="12:18" x14ac:dyDescent="0.35">
      <c r="L7249" s="71"/>
      <c r="R7249" s="5"/>
    </row>
    <row r="7250" spans="12:18" x14ac:dyDescent="0.35">
      <c r="L7250" s="71"/>
      <c r="R7250" s="5"/>
    </row>
    <row r="7251" spans="12:18" x14ac:dyDescent="0.35">
      <c r="L7251" s="71"/>
      <c r="R7251" s="5"/>
    </row>
    <row r="7252" spans="12:18" x14ac:dyDescent="0.35">
      <c r="L7252" s="71"/>
      <c r="R7252" s="5"/>
    </row>
    <row r="7253" spans="12:18" x14ac:dyDescent="0.35">
      <c r="L7253" s="71"/>
      <c r="R7253" s="5"/>
    </row>
    <row r="7254" spans="12:18" x14ac:dyDescent="0.35">
      <c r="L7254" s="71"/>
      <c r="R7254" s="5"/>
    </row>
    <row r="7255" spans="12:18" x14ac:dyDescent="0.35">
      <c r="L7255" s="71"/>
      <c r="R7255" s="5"/>
    </row>
    <row r="7256" spans="12:18" x14ac:dyDescent="0.35">
      <c r="L7256" s="71"/>
      <c r="R7256" s="5"/>
    </row>
    <row r="7257" spans="12:18" x14ac:dyDescent="0.35">
      <c r="L7257" s="71"/>
      <c r="R7257" s="5"/>
    </row>
    <row r="7258" spans="12:18" x14ac:dyDescent="0.35">
      <c r="L7258" s="71"/>
      <c r="R7258" s="5"/>
    </row>
    <row r="7259" spans="12:18" x14ac:dyDescent="0.35">
      <c r="L7259" s="71"/>
      <c r="R7259" s="5"/>
    </row>
    <row r="7260" spans="12:18" x14ac:dyDescent="0.35">
      <c r="L7260" s="71"/>
      <c r="R7260" s="5"/>
    </row>
    <row r="7261" spans="12:18" x14ac:dyDescent="0.35">
      <c r="L7261" s="71"/>
      <c r="R7261" s="5"/>
    </row>
    <row r="7262" spans="12:18" x14ac:dyDescent="0.35">
      <c r="L7262" s="71"/>
      <c r="R7262" s="5"/>
    </row>
    <row r="7263" spans="12:18" x14ac:dyDescent="0.35">
      <c r="L7263" s="71"/>
      <c r="R7263" s="5"/>
    </row>
    <row r="7264" spans="12:18" x14ac:dyDescent="0.35">
      <c r="L7264" s="71"/>
      <c r="R7264" s="5"/>
    </row>
    <row r="7265" spans="12:18" x14ac:dyDescent="0.35">
      <c r="L7265" s="71"/>
      <c r="R7265" s="5"/>
    </row>
    <row r="7266" spans="12:18" x14ac:dyDescent="0.35">
      <c r="L7266" s="71"/>
      <c r="R7266" s="5"/>
    </row>
    <row r="7267" spans="12:18" x14ac:dyDescent="0.35">
      <c r="L7267" s="71"/>
      <c r="R7267" s="5"/>
    </row>
    <row r="7268" spans="12:18" x14ac:dyDescent="0.35">
      <c r="L7268" s="71"/>
      <c r="R7268" s="5"/>
    </row>
    <row r="7269" spans="12:18" x14ac:dyDescent="0.35">
      <c r="L7269" s="71"/>
      <c r="R7269" s="5"/>
    </row>
    <row r="7270" spans="12:18" x14ac:dyDescent="0.35">
      <c r="L7270" s="71"/>
      <c r="R7270" s="5"/>
    </row>
    <row r="7271" spans="12:18" x14ac:dyDescent="0.35">
      <c r="L7271" s="71"/>
      <c r="R7271" s="5"/>
    </row>
    <row r="7272" spans="12:18" x14ac:dyDescent="0.35">
      <c r="L7272" s="71"/>
      <c r="R7272" s="5"/>
    </row>
    <row r="7273" spans="12:18" x14ac:dyDescent="0.35">
      <c r="L7273" s="71"/>
      <c r="R7273" s="5"/>
    </row>
    <row r="7274" spans="12:18" x14ac:dyDescent="0.35">
      <c r="L7274" s="71"/>
      <c r="R7274" s="5"/>
    </row>
    <row r="7275" spans="12:18" x14ac:dyDescent="0.35">
      <c r="L7275" s="71"/>
      <c r="R7275" s="5"/>
    </row>
    <row r="7276" spans="12:18" x14ac:dyDescent="0.35">
      <c r="L7276" s="71"/>
      <c r="R7276" s="5"/>
    </row>
    <row r="7277" spans="12:18" x14ac:dyDescent="0.35">
      <c r="L7277" s="71"/>
      <c r="R7277" s="5"/>
    </row>
    <row r="7278" spans="12:18" x14ac:dyDescent="0.35">
      <c r="L7278" s="71"/>
      <c r="R7278" s="5"/>
    </row>
    <row r="7279" spans="12:18" x14ac:dyDescent="0.35">
      <c r="L7279" s="71"/>
      <c r="R7279" s="5"/>
    </row>
    <row r="7280" spans="12:18" x14ac:dyDescent="0.35">
      <c r="L7280" s="71"/>
      <c r="R7280" s="5"/>
    </row>
    <row r="7281" spans="12:18" x14ac:dyDescent="0.35">
      <c r="L7281" s="71"/>
      <c r="R7281" s="5"/>
    </row>
    <row r="7282" spans="12:18" x14ac:dyDescent="0.35">
      <c r="L7282" s="71"/>
      <c r="R7282" s="5"/>
    </row>
    <row r="7283" spans="12:18" x14ac:dyDescent="0.35">
      <c r="L7283" s="71"/>
      <c r="R7283" s="5"/>
    </row>
    <row r="7284" spans="12:18" x14ac:dyDescent="0.35">
      <c r="L7284" s="71"/>
      <c r="R7284" s="5"/>
    </row>
    <row r="7285" spans="12:18" x14ac:dyDescent="0.35">
      <c r="L7285" s="71"/>
      <c r="R7285" s="5"/>
    </row>
    <row r="7286" spans="12:18" x14ac:dyDescent="0.35">
      <c r="L7286" s="71"/>
      <c r="R7286" s="5"/>
    </row>
    <row r="7287" spans="12:18" x14ac:dyDescent="0.35">
      <c r="L7287" s="71"/>
      <c r="R7287" s="5"/>
    </row>
    <row r="7288" spans="12:18" x14ac:dyDescent="0.35">
      <c r="L7288" s="71"/>
      <c r="R7288" s="5"/>
    </row>
    <row r="7289" spans="12:18" x14ac:dyDescent="0.35">
      <c r="L7289" s="71"/>
      <c r="R7289" s="5"/>
    </row>
    <row r="7290" spans="12:18" x14ac:dyDescent="0.35">
      <c r="L7290" s="71"/>
      <c r="R7290" s="5"/>
    </row>
    <row r="7291" spans="12:18" x14ac:dyDescent="0.35">
      <c r="L7291" s="71"/>
      <c r="R7291" s="5"/>
    </row>
    <row r="7292" spans="12:18" x14ac:dyDescent="0.35">
      <c r="L7292" s="71"/>
      <c r="R7292" s="5"/>
    </row>
    <row r="7293" spans="12:18" x14ac:dyDescent="0.35">
      <c r="L7293" s="71"/>
      <c r="R7293" s="5"/>
    </row>
    <row r="7294" spans="12:18" x14ac:dyDescent="0.35">
      <c r="L7294" s="71"/>
      <c r="R7294" s="5"/>
    </row>
    <row r="7295" spans="12:18" x14ac:dyDescent="0.35">
      <c r="L7295" s="71"/>
      <c r="R7295" s="5"/>
    </row>
    <row r="7296" spans="12:18" x14ac:dyDescent="0.35">
      <c r="L7296" s="71"/>
      <c r="R7296" s="5"/>
    </row>
    <row r="7297" spans="12:18" x14ac:dyDescent="0.35">
      <c r="L7297" s="71"/>
      <c r="R7297" s="5"/>
    </row>
    <row r="7298" spans="12:18" x14ac:dyDescent="0.35">
      <c r="L7298" s="71"/>
      <c r="R7298" s="5"/>
    </row>
    <row r="7299" spans="12:18" x14ac:dyDescent="0.35">
      <c r="L7299" s="71"/>
      <c r="R7299" s="5"/>
    </row>
    <row r="7300" spans="12:18" x14ac:dyDescent="0.35">
      <c r="L7300" s="71"/>
      <c r="R7300" s="5"/>
    </row>
    <row r="7301" spans="12:18" x14ac:dyDescent="0.35">
      <c r="L7301" s="71"/>
      <c r="R7301" s="5"/>
    </row>
    <row r="7302" spans="12:18" x14ac:dyDescent="0.35">
      <c r="L7302" s="71"/>
      <c r="R7302" s="5"/>
    </row>
    <row r="7303" spans="12:18" x14ac:dyDescent="0.35">
      <c r="L7303" s="71"/>
      <c r="R7303" s="5"/>
    </row>
    <row r="7304" spans="12:18" x14ac:dyDescent="0.35">
      <c r="L7304" s="71"/>
      <c r="R7304" s="5"/>
    </row>
    <row r="7305" spans="12:18" x14ac:dyDescent="0.35">
      <c r="L7305" s="71"/>
      <c r="R7305" s="5"/>
    </row>
    <row r="7306" spans="12:18" x14ac:dyDescent="0.35">
      <c r="L7306" s="71"/>
      <c r="R7306" s="5"/>
    </row>
    <row r="7307" spans="12:18" x14ac:dyDescent="0.35">
      <c r="L7307" s="71"/>
      <c r="R7307" s="5"/>
    </row>
    <row r="7308" spans="12:18" x14ac:dyDescent="0.35">
      <c r="L7308" s="71"/>
      <c r="R7308" s="5"/>
    </row>
    <row r="7309" spans="12:18" x14ac:dyDescent="0.35">
      <c r="L7309" s="71"/>
      <c r="R7309" s="5"/>
    </row>
    <row r="7310" spans="12:18" x14ac:dyDescent="0.35">
      <c r="L7310" s="71"/>
      <c r="R7310" s="5"/>
    </row>
    <row r="7311" spans="12:18" x14ac:dyDescent="0.35">
      <c r="L7311" s="71"/>
      <c r="R7311" s="5"/>
    </row>
    <row r="7312" spans="12:18" x14ac:dyDescent="0.35">
      <c r="L7312" s="71"/>
      <c r="R7312" s="5"/>
    </row>
    <row r="7313" spans="12:18" x14ac:dyDescent="0.35">
      <c r="L7313" s="71"/>
      <c r="R7313" s="5"/>
    </row>
    <row r="7314" spans="12:18" x14ac:dyDescent="0.35">
      <c r="L7314" s="71"/>
      <c r="R7314" s="5"/>
    </row>
    <row r="7315" spans="12:18" x14ac:dyDescent="0.35">
      <c r="L7315" s="71"/>
      <c r="R7315" s="5"/>
    </row>
    <row r="7316" spans="12:18" x14ac:dyDescent="0.35">
      <c r="L7316" s="71"/>
      <c r="R7316" s="5"/>
    </row>
    <row r="7317" spans="12:18" x14ac:dyDescent="0.35">
      <c r="L7317" s="71"/>
      <c r="R7317" s="5"/>
    </row>
    <row r="7318" spans="12:18" x14ac:dyDescent="0.35">
      <c r="L7318" s="71"/>
      <c r="R7318" s="5"/>
    </row>
    <row r="7319" spans="12:18" x14ac:dyDescent="0.35">
      <c r="L7319" s="71"/>
      <c r="R7319" s="5"/>
    </row>
    <row r="7320" spans="12:18" x14ac:dyDescent="0.35">
      <c r="L7320" s="71"/>
      <c r="R7320" s="5"/>
    </row>
    <row r="7321" spans="12:18" x14ac:dyDescent="0.35">
      <c r="L7321" s="71"/>
      <c r="R7321" s="5"/>
    </row>
    <row r="7322" spans="12:18" x14ac:dyDescent="0.35">
      <c r="L7322" s="71"/>
      <c r="R7322" s="5"/>
    </row>
    <row r="7323" spans="12:18" x14ac:dyDescent="0.35">
      <c r="L7323" s="71"/>
      <c r="R7323" s="5"/>
    </row>
    <row r="7324" spans="12:18" x14ac:dyDescent="0.35">
      <c r="L7324" s="71"/>
      <c r="R7324" s="5"/>
    </row>
    <row r="7325" spans="12:18" x14ac:dyDescent="0.35">
      <c r="L7325" s="71"/>
      <c r="R7325" s="5"/>
    </row>
    <row r="7326" spans="12:18" x14ac:dyDescent="0.35">
      <c r="L7326" s="71"/>
      <c r="R7326" s="5"/>
    </row>
    <row r="7327" spans="12:18" x14ac:dyDescent="0.35">
      <c r="L7327" s="71"/>
      <c r="R7327" s="5"/>
    </row>
    <row r="7328" spans="12:18" x14ac:dyDescent="0.35">
      <c r="L7328" s="71"/>
      <c r="R7328" s="5"/>
    </row>
    <row r="7329" spans="12:18" x14ac:dyDescent="0.35">
      <c r="L7329" s="71"/>
      <c r="R7329" s="5"/>
    </row>
    <row r="7330" spans="12:18" x14ac:dyDescent="0.35">
      <c r="L7330" s="71"/>
      <c r="R7330" s="5"/>
    </row>
    <row r="7331" spans="12:18" x14ac:dyDescent="0.35">
      <c r="L7331" s="71"/>
      <c r="R7331" s="5"/>
    </row>
    <row r="7332" spans="12:18" x14ac:dyDescent="0.35">
      <c r="L7332" s="71"/>
      <c r="R7332" s="5"/>
    </row>
    <row r="7333" spans="12:18" x14ac:dyDescent="0.35">
      <c r="L7333" s="71"/>
      <c r="R7333" s="5"/>
    </row>
    <row r="7334" spans="12:18" x14ac:dyDescent="0.35">
      <c r="L7334" s="71"/>
      <c r="R7334" s="5"/>
    </row>
    <row r="7335" spans="12:18" x14ac:dyDescent="0.35">
      <c r="L7335" s="71"/>
      <c r="R7335" s="5"/>
    </row>
    <row r="7336" spans="12:18" x14ac:dyDescent="0.35">
      <c r="L7336" s="71"/>
      <c r="R7336" s="5"/>
    </row>
    <row r="7337" spans="12:18" x14ac:dyDescent="0.35">
      <c r="L7337" s="71"/>
      <c r="R7337" s="5"/>
    </row>
    <row r="7338" spans="12:18" x14ac:dyDescent="0.35">
      <c r="L7338" s="71"/>
      <c r="R7338" s="5"/>
    </row>
    <row r="7339" spans="12:18" x14ac:dyDescent="0.35">
      <c r="L7339" s="71"/>
      <c r="R7339" s="5"/>
    </row>
    <row r="7340" spans="12:18" x14ac:dyDescent="0.35">
      <c r="L7340" s="71"/>
      <c r="R7340" s="5"/>
    </row>
    <row r="7341" spans="12:18" x14ac:dyDescent="0.35">
      <c r="L7341" s="71"/>
      <c r="R7341" s="5"/>
    </row>
    <row r="7342" spans="12:18" x14ac:dyDescent="0.35">
      <c r="L7342" s="71"/>
      <c r="R7342" s="5"/>
    </row>
    <row r="7343" spans="12:18" x14ac:dyDescent="0.35">
      <c r="L7343" s="71"/>
      <c r="R7343" s="5"/>
    </row>
    <row r="7344" spans="12:18" x14ac:dyDescent="0.35">
      <c r="L7344" s="71"/>
      <c r="R7344" s="5"/>
    </row>
    <row r="7345" spans="12:18" x14ac:dyDescent="0.35">
      <c r="L7345" s="71"/>
      <c r="R7345" s="5"/>
    </row>
    <row r="7346" spans="12:18" x14ac:dyDescent="0.35">
      <c r="L7346" s="71"/>
      <c r="R7346" s="5"/>
    </row>
    <row r="7347" spans="12:18" x14ac:dyDescent="0.35">
      <c r="L7347" s="71"/>
      <c r="R7347" s="5"/>
    </row>
    <row r="7348" spans="12:18" x14ac:dyDescent="0.35">
      <c r="L7348" s="71"/>
      <c r="R7348" s="5"/>
    </row>
    <row r="7349" spans="12:18" x14ac:dyDescent="0.35">
      <c r="L7349" s="71"/>
      <c r="R7349" s="5"/>
    </row>
    <row r="7350" spans="12:18" x14ac:dyDescent="0.35">
      <c r="L7350" s="71"/>
      <c r="R7350" s="5"/>
    </row>
    <row r="7351" spans="12:18" x14ac:dyDescent="0.35">
      <c r="L7351" s="71"/>
      <c r="R7351" s="5"/>
    </row>
    <row r="7352" spans="12:18" x14ac:dyDescent="0.35">
      <c r="L7352" s="71"/>
      <c r="R7352" s="5"/>
    </row>
    <row r="7353" spans="12:18" x14ac:dyDescent="0.35">
      <c r="L7353" s="71"/>
      <c r="R7353" s="5"/>
    </row>
    <row r="7354" spans="12:18" x14ac:dyDescent="0.35">
      <c r="L7354" s="71"/>
      <c r="R7354" s="5"/>
    </row>
    <row r="7355" spans="12:18" x14ac:dyDescent="0.35">
      <c r="L7355" s="71"/>
      <c r="R7355" s="5"/>
    </row>
    <row r="7356" spans="12:18" x14ac:dyDescent="0.35">
      <c r="L7356" s="71"/>
      <c r="R7356" s="5"/>
    </row>
    <row r="7357" spans="12:18" x14ac:dyDescent="0.35">
      <c r="L7357" s="71"/>
      <c r="R7357" s="5"/>
    </row>
    <row r="7358" spans="12:18" x14ac:dyDescent="0.35">
      <c r="L7358" s="71"/>
      <c r="R7358" s="5"/>
    </row>
    <row r="7359" spans="12:18" x14ac:dyDescent="0.35">
      <c r="L7359" s="71"/>
      <c r="R7359" s="5"/>
    </row>
    <row r="7360" spans="12:18" x14ac:dyDescent="0.35">
      <c r="L7360" s="71"/>
      <c r="R7360" s="5"/>
    </row>
    <row r="7361" spans="12:18" x14ac:dyDescent="0.35">
      <c r="L7361" s="71"/>
      <c r="R7361" s="5"/>
    </row>
    <row r="7362" spans="12:18" x14ac:dyDescent="0.35">
      <c r="L7362" s="71"/>
      <c r="R7362" s="5"/>
    </row>
    <row r="7363" spans="12:18" x14ac:dyDescent="0.35">
      <c r="L7363" s="71"/>
      <c r="R7363" s="5"/>
    </row>
    <row r="7364" spans="12:18" x14ac:dyDescent="0.35">
      <c r="L7364" s="71"/>
      <c r="R7364" s="5"/>
    </row>
    <row r="7365" spans="12:18" x14ac:dyDescent="0.35">
      <c r="L7365" s="71"/>
      <c r="R7365" s="5"/>
    </row>
    <row r="7366" spans="12:18" x14ac:dyDescent="0.35">
      <c r="L7366" s="71"/>
      <c r="R7366" s="5"/>
    </row>
    <row r="7367" spans="12:18" x14ac:dyDescent="0.35">
      <c r="L7367" s="71"/>
      <c r="R7367" s="5"/>
    </row>
    <row r="7368" spans="12:18" x14ac:dyDescent="0.35">
      <c r="L7368" s="71"/>
      <c r="R7368" s="5"/>
    </row>
    <row r="7369" spans="12:18" x14ac:dyDescent="0.35">
      <c r="L7369" s="71"/>
      <c r="R7369" s="5"/>
    </row>
    <row r="7370" spans="12:18" x14ac:dyDescent="0.35">
      <c r="L7370" s="71"/>
      <c r="R7370" s="5"/>
    </row>
    <row r="7371" spans="12:18" x14ac:dyDescent="0.35">
      <c r="L7371" s="71"/>
      <c r="R7371" s="5"/>
    </row>
    <row r="7372" spans="12:18" x14ac:dyDescent="0.35">
      <c r="L7372" s="71"/>
      <c r="R7372" s="5"/>
    </row>
    <row r="7373" spans="12:18" x14ac:dyDescent="0.35">
      <c r="L7373" s="71"/>
      <c r="R7373" s="5"/>
    </row>
    <row r="7374" spans="12:18" x14ac:dyDescent="0.35">
      <c r="L7374" s="71"/>
      <c r="R7374" s="5"/>
    </row>
    <row r="7375" spans="12:18" x14ac:dyDescent="0.35">
      <c r="L7375" s="71"/>
      <c r="R7375" s="5"/>
    </row>
    <row r="7376" spans="12:18" x14ac:dyDescent="0.35">
      <c r="L7376" s="71"/>
      <c r="R7376" s="5"/>
    </row>
    <row r="7377" spans="12:18" x14ac:dyDescent="0.35">
      <c r="L7377" s="71"/>
      <c r="R7377" s="5"/>
    </row>
    <row r="7378" spans="12:18" x14ac:dyDescent="0.35">
      <c r="L7378" s="71"/>
      <c r="R7378" s="5"/>
    </row>
    <row r="7379" spans="12:18" x14ac:dyDescent="0.35">
      <c r="L7379" s="71"/>
      <c r="R7379" s="5"/>
    </row>
    <row r="7380" spans="12:18" x14ac:dyDescent="0.35">
      <c r="L7380" s="71"/>
      <c r="R7380" s="5"/>
    </row>
    <row r="7381" spans="12:18" x14ac:dyDescent="0.35">
      <c r="L7381" s="71"/>
      <c r="R7381" s="5"/>
    </row>
    <row r="7382" spans="12:18" x14ac:dyDescent="0.35">
      <c r="L7382" s="71"/>
      <c r="R7382" s="5"/>
    </row>
    <row r="7383" spans="12:18" x14ac:dyDescent="0.35">
      <c r="L7383" s="71"/>
      <c r="R7383" s="5"/>
    </row>
    <row r="7384" spans="12:18" x14ac:dyDescent="0.35">
      <c r="L7384" s="71"/>
      <c r="R7384" s="5"/>
    </row>
    <row r="7385" spans="12:18" x14ac:dyDescent="0.35">
      <c r="L7385" s="71"/>
      <c r="R7385" s="5"/>
    </row>
    <row r="7386" spans="12:18" x14ac:dyDescent="0.35">
      <c r="L7386" s="71"/>
      <c r="R7386" s="5"/>
    </row>
    <row r="7387" spans="12:18" x14ac:dyDescent="0.35">
      <c r="L7387" s="71"/>
      <c r="R7387" s="5"/>
    </row>
    <row r="7388" spans="12:18" x14ac:dyDescent="0.35">
      <c r="L7388" s="71"/>
      <c r="R7388" s="5"/>
    </row>
    <row r="7389" spans="12:18" x14ac:dyDescent="0.35">
      <c r="L7389" s="71"/>
      <c r="R7389" s="5"/>
    </row>
    <row r="7390" spans="12:18" x14ac:dyDescent="0.35">
      <c r="L7390" s="71"/>
      <c r="R7390" s="5"/>
    </row>
    <row r="7391" spans="12:18" x14ac:dyDescent="0.35">
      <c r="L7391" s="71"/>
      <c r="R7391" s="5"/>
    </row>
    <row r="7392" spans="12:18" x14ac:dyDescent="0.35">
      <c r="L7392" s="71"/>
      <c r="R7392" s="5"/>
    </row>
    <row r="7393" spans="12:18" x14ac:dyDescent="0.35">
      <c r="L7393" s="71"/>
      <c r="R7393" s="5"/>
    </row>
    <row r="7394" spans="12:18" x14ac:dyDescent="0.35">
      <c r="L7394" s="71"/>
      <c r="R7394" s="5"/>
    </row>
    <row r="7395" spans="12:18" x14ac:dyDescent="0.35">
      <c r="L7395" s="71"/>
      <c r="R7395" s="5"/>
    </row>
    <row r="7396" spans="12:18" x14ac:dyDescent="0.35">
      <c r="L7396" s="71"/>
      <c r="R7396" s="5"/>
    </row>
    <row r="7397" spans="12:18" x14ac:dyDescent="0.35">
      <c r="L7397" s="71"/>
      <c r="R7397" s="5"/>
    </row>
    <row r="7398" spans="12:18" x14ac:dyDescent="0.35">
      <c r="L7398" s="71"/>
      <c r="R7398" s="5"/>
    </row>
    <row r="7399" spans="12:18" x14ac:dyDescent="0.35">
      <c r="L7399" s="71"/>
      <c r="R7399" s="5"/>
    </row>
    <row r="7400" spans="12:18" x14ac:dyDescent="0.35">
      <c r="L7400" s="71"/>
      <c r="R7400" s="5"/>
    </row>
    <row r="7401" spans="12:18" x14ac:dyDescent="0.35">
      <c r="L7401" s="71"/>
      <c r="R7401" s="5"/>
    </row>
    <row r="7402" spans="12:18" x14ac:dyDescent="0.35">
      <c r="L7402" s="71"/>
      <c r="R7402" s="5"/>
    </row>
    <row r="7403" spans="12:18" x14ac:dyDescent="0.35">
      <c r="L7403" s="71"/>
      <c r="R7403" s="5"/>
    </row>
    <row r="7404" spans="12:18" x14ac:dyDescent="0.35">
      <c r="L7404" s="71"/>
      <c r="R7404" s="5"/>
    </row>
    <row r="7405" spans="12:18" x14ac:dyDescent="0.35">
      <c r="L7405" s="71"/>
      <c r="R7405" s="5"/>
    </row>
    <row r="7406" spans="12:18" x14ac:dyDescent="0.35">
      <c r="L7406" s="71"/>
      <c r="R7406" s="5"/>
    </row>
    <row r="7407" spans="12:18" x14ac:dyDescent="0.35">
      <c r="L7407" s="71"/>
      <c r="R7407" s="5"/>
    </row>
    <row r="7408" spans="12:18" x14ac:dyDescent="0.35">
      <c r="L7408" s="71"/>
      <c r="R7408" s="5"/>
    </row>
    <row r="7409" spans="12:18" x14ac:dyDescent="0.35">
      <c r="L7409" s="71"/>
      <c r="R7409" s="5"/>
    </row>
    <row r="7410" spans="12:18" x14ac:dyDescent="0.35">
      <c r="L7410" s="71"/>
      <c r="R7410" s="5"/>
    </row>
    <row r="7411" spans="12:18" x14ac:dyDescent="0.35">
      <c r="L7411" s="71"/>
      <c r="R7411" s="5"/>
    </row>
    <row r="7412" spans="12:18" x14ac:dyDescent="0.35">
      <c r="L7412" s="71"/>
      <c r="R7412" s="5"/>
    </row>
    <row r="7413" spans="12:18" x14ac:dyDescent="0.35">
      <c r="L7413" s="71"/>
      <c r="R7413" s="5"/>
    </row>
    <row r="7414" spans="12:18" x14ac:dyDescent="0.35">
      <c r="L7414" s="71"/>
      <c r="R7414" s="5"/>
    </row>
    <row r="7415" spans="12:18" x14ac:dyDescent="0.35">
      <c r="L7415" s="71"/>
      <c r="R7415" s="5"/>
    </row>
    <row r="7416" spans="12:18" x14ac:dyDescent="0.35">
      <c r="L7416" s="71"/>
      <c r="R7416" s="5"/>
    </row>
    <row r="7417" spans="12:18" x14ac:dyDescent="0.35">
      <c r="L7417" s="71"/>
      <c r="R7417" s="5"/>
    </row>
    <row r="7418" spans="12:18" x14ac:dyDescent="0.35">
      <c r="L7418" s="71"/>
      <c r="R7418" s="5"/>
    </row>
    <row r="7419" spans="12:18" x14ac:dyDescent="0.35">
      <c r="L7419" s="71"/>
      <c r="R7419" s="5"/>
    </row>
    <row r="7420" spans="12:18" x14ac:dyDescent="0.35">
      <c r="L7420" s="71"/>
      <c r="R7420" s="5"/>
    </row>
    <row r="7421" spans="12:18" x14ac:dyDescent="0.35">
      <c r="L7421" s="71"/>
      <c r="R7421" s="5"/>
    </row>
    <row r="7422" spans="12:18" x14ac:dyDescent="0.35">
      <c r="L7422" s="71"/>
      <c r="R7422" s="5"/>
    </row>
    <row r="7423" spans="12:18" x14ac:dyDescent="0.35">
      <c r="L7423" s="71"/>
      <c r="R7423" s="5"/>
    </row>
    <row r="7424" spans="12:18" x14ac:dyDescent="0.35">
      <c r="L7424" s="71"/>
      <c r="R7424" s="5"/>
    </row>
    <row r="7425" spans="12:18" x14ac:dyDescent="0.35">
      <c r="L7425" s="71"/>
      <c r="R7425" s="5"/>
    </row>
    <row r="7426" spans="12:18" x14ac:dyDescent="0.35">
      <c r="L7426" s="71"/>
      <c r="R7426" s="5"/>
    </row>
    <row r="7427" spans="12:18" x14ac:dyDescent="0.35">
      <c r="L7427" s="71"/>
      <c r="R7427" s="5"/>
    </row>
    <row r="7428" spans="12:18" x14ac:dyDescent="0.35">
      <c r="L7428" s="71"/>
      <c r="R7428" s="5"/>
    </row>
    <row r="7429" spans="12:18" x14ac:dyDescent="0.35">
      <c r="L7429" s="71"/>
      <c r="R7429" s="5"/>
    </row>
    <row r="7430" spans="12:18" x14ac:dyDescent="0.35">
      <c r="L7430" s="71"/>
      <c r="R7430" s="5"/>
    </row>
    <row r="7431" spans="12:18" x14ac:dyDescent="0.35">
      <c r="L7431" s="71"/>
      <c r="R7431" s="5"/>
    </row>
    <row r="7432" spans="12:18" x14ac:dyDescent="0.35">
      <c r="L7432" s="71"/>
      <c r="R7432" s="5"/>
    </row>
    <row r="7433" spans="12:18" x14ac:dyDescent="0.35">
      <c r="L7433" s="71"/>
      <c r="R7433" s="5"/>
    </row>
    <row r="7434" spans="12:18" x14ac:dyDescent="0.35">
      <c r="L7434" s="71"/>
      <c r="R7434" s="5"/>
    </row>
    <row r="7435" spans="12:18" x14ac:dyDescent="0.35">
      <c r="L7435" s="71"/>
      <c r="R7435" s="5"/>
    </row>
    <row r="7436" spans="12:18" x14ac:dyDescent="0.35">
      <c r="L7436" s="71"/>
      <c r="R7436" s="5"/>
    </row>
    <row r="7437" spans="12:18" x14ac:dyDescent="0.35">
      <c r="L7437" s="71"/>
      <c r="R7437" s="5"/>
    </row>
    <row r="7438" spans="12:18" x14ac:dyDescent="0.35">
      <c r="L7438" s="71"/>
      <c r="R7438" s="5"/>
    </row>
    <row r="7439" spans="12:18" x14ac:dyDescent="0.35">
      <c r="L7439" s="71"/>
      <c r="R7439" s="5"/>
    </row>
    <row r="7440" spans="12:18" x14ac:dyDescent="0.35">
      <c r="L7440" s="71"/>
      <c r="R7440" s="5"/>
    </row>
    <row r="7441" spans="12:18" x14ac:dyDescent="0.35">
      <c r="L7441" s="71"/>
      <c r="R7441" s="5"/>
    </row>
    <row r="7442" spans="12:18" x14ac:dyDescent="0.35">
      <c r="L7442" s="71"/>
      <c r="R7442" s="5"/>
    </row>
    <row r="7443" spans="12:18" x14ac:dyDescent="0.35">
      <c r="L7443" s="71"/>
      <c r="R7443" s="5"/>
    </row>
    <row r="7444" spans="12:18" x14ac:dyDescent="0.35">
      <c r="L7444" s="71"/>
      <c r="R7444" s="5"/>
    </row>
    <row r="7445" spans="12:18" x14ac:dyDescent="0.35">
      <c r="L7445" s="71"/>
      <c r="R7445" s="5"/>
    </row>
    <row r="7446" spans="12:18" x14ac:dyDescent="0.35">
      <c r="L7446" s="71"/>
      <c r="R7446" s="5"/>
    </row>
    <row r="7447" spans="12:18" x14ac:dyDescent="0.35">
      <c r="L7447" s="71"/>
      <c r="R7447" s="5"/>
    </row>
    <row r="7448" spans="12:18" x14ac:dyDescent="0.35">
      <c r="L7448" s="71"/>
      <c r="R7448" s="5"/>
    </row>
    <row r="7449" spans="12:18" x14ac:dyDescent="0.35">
      <c r="L7449" s="71"/>
      <c r="R7449" s="5"/>
    </row>
    <row r="7450" spans="12:18" x14ac:dyDescent="0.35">
      <c r="L7450" s="71"/>
      <c r="R7450" s="5"/>
    </row>
    <row r="7451" spans="12:18" x14ac:dyDescent="0.35">
      <c r="L7451" s="71"/>
      <c r="R7451" s="5"/>
    </row>
    <row r="7452" spans="12:18" x14ac:dyDescent="0.35">
      <c r="L7452" s="71"/>
      <c r="R7452" s="5"/>
    </row>
    <row r="7453" spans="12:18" x14ac:dyDescent="0.35">
      <c r="L7453" s="71"/>
      <c r="R7453" s="5"/>
    </row>
    <row r="7454" spans="12:18" x14ac:dyDescent="0.35">
      <c r="L7454" s="71"/>
      <c r="R7454" s="5"/>
    </row>
    <row r="7455" spans="12:18" x14ac:dyDescent="0.35">
      <c r="L7455" s="71"/>
      <c r="R7455" s="5"/>
    </row>
    <row r="7456" spans="12:18" x14ac:dyDescent="0.35">
      <c r="L7456" s="71"/>
      <c r="R7456" s="5"/>
    </row>
    <row r="7457" spans="12:18" x14ac:dyDescent="0.35">
      <c r="L7457" s="71"/>
      <c r="R7457" s="5"/>
    </row>
    <row r="7458" spans="12:18" x14ac:dyDescent="0.35">
      <c r="L7458" s="71"/>
      <c r="R7458" s="5"/>
    </row>
    <row r="7459" spans="12:18" x14ac:dyDescent="0.35">
      <c r="L7459" s="71"/>
      <c r="R7459" s="5"/>
    </row>
    <row r="7460" spans="12:18" x14ac:dyDescent="0.35">
      <c r="L7460" s="71"/>
      <c r="R7460" s="5"/>
    </row>
    <row r="7461" spans="12:18" x14ac:dyDescent="0.35">
      <c r="L7461" s="71"/>
      <c r="R7461" s="5"/>
    </row>
    <row r="7462" spans="12:18" x14ac:dyDescent="0.35">
      <c r="L7462" s="71"/>
      <c r="R7462" s="5"/>
    </row>
    <row r="7463" spans="12:18" x14ac:dyDescent="0.35">
      <c r="L7463" s="71"/>
      <c r="R7463" s="5"/>
    </row>
    <row r="7464" spans="12:18" x14ac:dyDescent="0.35">
      <c r="L7464" s="71"/>
      <c r="R7464" s="5"/>
    </row>
    <row r="7465" spans="12:18" x14ac:dyDescent="0.35">
      <c r="L7465" s="71"/>
      <c r="R7465" s="5"/>
    </row>
    <row r="7466" spans="12:18" x14ac:dyDescent="0.35">
      <c r="L7466" s="71"/>
      <c r="R7466" s="5"/>
    </row>
    <row r="7467" spans="12:18" x14ac:dyDescent="0.35">
      <c r="L7467" s="71"/>
      <c r="R7467" s="5"/>
    </row>
    <row r="7468" spans="12:18" x14ac:dyDescent="0.35">
      <c r="L7468" s="71"/>
      <c r="R7468" s="5"/>
    </row>
    <row r="7469" spans="12:18" x14ac:dyDescent="0.35">
      <c r="L7469" s="71"/>
      <c r="R7469" s="5"/>
    </row>
    <row r="7470" spans="12:18" x14ac:dyDescent="0.35">
      <c r="L7470" s="71"/>
      <c r="R7470" s="5"/>
    </row>
    <row r="7471" spans="12:18" x14ac:dyDescent="0.35">
      <c r="L7471" s="71"/>
      <c r="R7471" s="5"/>
    </row>
    <row r="7472" spans="12:18" x14ac:dyDescent="0.35">
      <c r="L7472" s="71"/>
      <c r="R7472" s="5"/>
    </row>
    <row r="7473" spans="12:18" x14ac:dyDescent="0.35">
      <c r="L7473" s="71"/>
      <c r="R7473" s="5"/>
    </row>
    <row r="7474" spans="12:18" x14ac:dyDescent="0.35">
      <c r="L7474" s="71"/>
      <c r="R7474" s="5"/>
    </row>
    <row r="7475" spans="12:18" x14ac:dyDescent="0.35">
      <c r="L7475" s="71"/>
      <c r="R7475" s="5"/>
    </row>
    <row r="7476" spans="12:18" x14ac:dyDescent="0.35">
      <c r="L7476" s="71"/>
      <c r="R7476" s="5"/>
    </row>
    <row r="7477" spans="12:18" x14ac:dyDescent="0.35">
      <c r="L7477" s="71"/>
      <c r="R7477" s="5"/>
    </row>
    <row r="7478" spans="12:18" x14ac:dyDescent="0.35">
      <c r="L7478" s="71"/>
      <c r="R7478" s="5"/>
    </row>
    <row r="7479" spans="12:18" x14ac:dyDescent="0.35">
      <c r="L7479" s="71"/>
      <c r="R7479" s="5"/>
    </row>
    <row r="7480" spans="12:18" x14ac:dyDescent="0.35">
      <c r="L7480" s="71"/>
      <c r="R7480" s="5"/>
    </row>
    <row r="7481" spans="12:18" x14ac:dyDescent="0.35">
      <c r="L7481" s="71"/>
      <c r="R7481" s="5"/>
    </row>
    <row r="7482" spans="12:18" x14ac:dyDescent="0.35">
      <c r="L7482" s="71"/>
      <c r="R7482" s="5"/>
    </row>
    <row r="7483" spans="12:18" x14ac:dyDescent="0.35">
      <c r="L7483" s="71"/>
      <c r="R7483" s="5"/>
    </row>
    <row r="7484" spans="12:18" x14ac:dyDescent="0.35">
      <c r="L7484" s="71"/>
      <c r="R7484" s="5"/>
    </row>
    <row r="7485" spans="12:18" x14ac:dyDescent="0.35">
      <c r="L7485" s="71"/>
      <c r="R7485" s="5"/>
    </row>
    <row r="7486" spans="12:18" x14ac:dyDescent="0.35">
      <c r="L7486" s="71"/>
      <c r="R7486" s="5"/>
    </row>
    <row r="7487" spans="12:18" x14ac:dyDescent="0.35">
      <c r="L7487" s="71"/>
      <c r="R7487" s="5"/>
    </row>
    <row r="7488" spans="12:18" x14ac:dyDescent="0.35">
      <c r="L7488" s="71"/>
      <c r="R7488" s="5"/>
    </row>
    <row r="7489" spans="12:18" x14ac:dyDescent="0.35">
      <c r="L7489" s="71"/>
      <c r="R7489" s="5"/>
    </row>
    <row r="7490" spans="12:18" x14ac:dyDescent="0.35">
      <c r="L7490" s="71"/>
      <c r="R7490" s="5"/>
    </row>
    <row r="7491" spans="12:18" x14ac:dyDescent="0.35">
      <c r="L7491" s="71"/>
      <c r="R7491" s="5"/>
    </row>
    <row r="7492" spans="12:18" x14ac:dyDescent="0.35">
      <c r="L7492" s="71"/>
      <c r="R7492" s="5"/>
    </row>
    <row r="7493" spans="12:18" x14ac:dyDescent="0.35">
      <c r="L7493" s="71"/>
      <c r="R7493" s="5"/>
    </row>
    <row r="7494" spans="12:18" x14ac:dyDescent="0.35">
      <c r="L7494" s="71"/>
      <c r="R7494" s="5"/>
    </row>
    <row r="7495" spans="12:18" x14ac:dyDescent="0.35">
      <c r="L7495" s="71"/>
      <c r="R7495" s="5"/>
    </row>
    <row r="7496" spans="12:18" x14ac:dyDescent="0.35">
      <c r="L7496" s="71"/>
      <c r="R7496" s="5"/>
    </row>
    <row r="7497" spans="12:18" x14ac:dyDescent="0.35">
      <c r="L7497" s="71"/>
      <c r="R7497" s="5"/>
    </row>
    <row r="7498" spans="12:18" x14ac:dyDescent="0.35">
      <c r="L7498" s="71"/>
      <c r="R7498" s="5"/>
    </row>
    <row r="7499" spans="12:18" x14ac:dyDescent="0.35">
      <c r="L7499" s="71"/>
      <c r="R7499" s="5"/>
    </row>
    <row r="7500" spans="12:18" x14ac:dyDescent="0.35">
      <c r="L7500" s="71"/>
      <c r="R7500" s="5"/>
    </row>
    <row r="7501" spans="12:18" x14ac:dyDescent="0.35">
      <c r="L7501" s="71"/>
      <c r="R7501" s="5"/>
    </row>
    <row r="7502" spans="12:18" x14ac:dyDescent="0.35">
      <c r="L7502" s="71"/>
      <c r="R7502" s="5"/>
    </row>
    <row r="7503" spans="12:18" x14ac:dyDescent="0.35">
      <c r="L7503" s="71"/>
      <c r="R7503" s="5"/>
    </row>
    <row r="7504" spans="12:18" x14ac:dyDescent="0.35">
      <c r="L7504" s="71"/>
      <c r="R7504" s="5"/>
    </row>
    <row r="7505" spans="12:18" x14ac:dyDescent="0.35">
      <c r="L7505" s="71"/>
      <c r="R7505" s="5"/>
    </row>
    <row r="7506" spans="12:18" x14ac:dyDescent="0.35">
      <c r="L7506" s="71"/>
      <c r="R7506" s="5"/>
    </row>
    <row r="7507" spans="12:18" x14ac:dyDescent="0.35">
      <c r="L7507" s="71"/>
      <c r="R7507" s="5"/>
    </row>
    <row r="7508" spans="12:18" x14ac:dyDescent="0.35">
      <c r="L7508" s="71"/>
      <c r="R7508" s="5"/>
    </row>
    <row r="7509" spans="12:18" x14ac:dyDescent="0.35">
      <c r="L7509" s="71"/>
      <c r="R7509" s="5"/>
    </row>
    <row r="7510" spans="12:18" x14ac:dyDescent="0.35">
      <c r="L7510" s="71"/>
      <c r="R7510" s="5"/>
    </row>
    <row r="7511" spans="12:18" x14ac:dyDescent="0.35">
      <c r="L7511" s="71"/>
      <c r="R7511" s="5"/>
    </row>
    <row r="7512" spans="12:18" x14ac:dyDescent="0.35">
      <c r="L7512" s="71"/>
      <c r="R7512" s="5"/>
    </row>
    <row r="7513" spans="12:18" x14ac:dyDescent="0.35">
      <c r="L7513" s="71"/>
      <c r="R7513" s="5"/>
    </row>
    <row r="7514" spans="12:18" x14ac:dyDescent="0.35">
      <c r="L7514" s="71"/>
      <c r="R7514" s="5"/>
    </row>
    <row r="7515" spans="12:18" x14ac:dyDescent="0.35">
      <c r="L7515" s="71"/>
      <c r="R7515" s="5"/>
    </row>
    <row r="7516" spans="12:18" x14ac:dyDescent="0.35">
      <c r="L7516" s="71"/>
      <c r="R7516" s="5"/>
    </row>
    <row r="7517" spans="12:18" x14ac:dyDescent="0.35">
      <c r="L7517" s="71"/>
      <c r="R7517" s="5"/>
    </row>
    <row r="7518" spans="12:18" x14ac:dyDescent="0.35">
      <c r="L7518" s="71"/>
      <c r="R7518" s="5"/>
    </row>
    <row r="7519" spans="12:18" x14ac:dyDescent="0.35">
      <c r="L7519" s="71"/>
      <c r="R7519" s="5"/>
    </row>
    <row r="7520" spans="12:18" x14ac:dyDescent="0.35">
      <c r="L7520" s="71"/>
      <c r="R7520" s="5"/>
    </row>
    <row r="7521" spans="12:18" x14ac:dyDescent="0.35">
      <c r="L7521" s="71"/>
      <c r="R7521" s="5"/>
    </row>
    <row r="7522" spans="12:18" x14ac:dyDescent="0.35">
      <c r="L7522" s="71"/>
      <c r="R7522" s="5"/>
    </row>
    <row r="7523" spans="12:18" x14ac:dyDescent="0.35">
      <c r="L7523" s="71"/>
      <c r="R7523" s="5"/>
    </row>
    <row r="7524" spans="12:18" x14ac:dyDescent="0.35">
      <c r="L7524" s="71"/>
      <c r="R7524" s="5"/>
    </row>
    <row r="7525" spans="12:18" x14ac:dyDescent="0.35">
      <c r="L7525" s="71"/>
      <c r="R7525" s="5"/>
    </row>
    <row r="7526" spans="12:18" x14ac:dyDescent="0.35">
      <c r="L7526" s="71"/>
      <c r="R7526" s="5"/>
    </row>
    <row r="7527" spans="12:18" x14ac:dyDescent="0.35">
      <c r="L7527" s="71"/>
      <c r="R7527" s="5"/>
    </row>
    <row r="7528" spans="12:18" x14ac:dyDescent="0.35">
      <c r="L7528" s="71"/>
      <c r="R7528" s="5"/>
    </row>
    <row r="7529" spans="12:18" x14ac:dyDescent="0.35">
      <c r="L7529" s="71"/>
      <c r="R7529" s="5"/>
    </row>
    <row r="7530" spans="12:18" x14ac:dyDescent="0.35">
      <c r="L7530" s="71"/>
      <c r="R7530" s="5"/>
    </row>
    <row r="7531" spans="12:18" x14ac:dyDescent="0.35">
      <c r="L7531" s="71"/>
      <c r="R7531" s="5"/>
    </row>
    <row r="7532" spans="12:18" x14ac:dyDescent="0.35">
      <c r="L7532" s="71"/>
      <c r="R7532" s="5"/>
    </row>
    <row r="7533" spans="12:18" x14ac:dyDescent="0.35">
      <c r="L7533" s="71"/>
      <c r="R7533" s="5"/>
    </row>
    <row r="7534" spans="12:18" x14ac:dyDescent="0.35">
      <c r="L7534" s="71"/>
      <c r="R7534" s="5"/>
    </row>
    <row r="7535" spans="12:18" x14ac:dyDescent="0.35">
      <c r="L7535" s="71"/>
      <c r="R7535" s="5"/>
    </row>
    <row r="7536" spans="12:18" x14ac:dyDescent="0.35">
      <c r="L7536" s="71"/>
      <c r="R7536" s="5"/>
    </row>
    <row r="7537" spans="12:18" x14ac:dyDescent="0.35">
      <c r="L7537" s="71"/>
      <c r="R7537" s="5"/>
    </row>
    <row r="7538" spans="12:18" x14ac:dyDescent="0.35">
      <c r="L7538" s="71"/>
      <c r="R7538" s="5"/>
    </row>
    <row r="7539" spans="12:18" x14ac:dyDescent="0.35">
      <c r="L7539" s="71"/>
      <c r="R7539" s="5"/>
    </row>
    <row r="7540" spans="12:18" x14ac:dyDescent="0.35">
      <c r="L7540" s="71"/>
      <c r="R7540" s="5"/>
    </row>
    <row r="7541" spans="12:18" x14ac:dyDescent="0.35">
      <c r="L7541" s="71"/>
      <c r="R7541" s="5"/>
    </row>
    <row r="7542" spans="12:18" x14ac:dyDescent="0.35">
      <c r="L7542" s="71"/>
      <c r="R7542" s="5"/>
    </row>
    <row r="7543" spans="12:18" x14ac:dyDescent="0.35">
      <c r="L7543" s="71"/>
      <c r="R7543" s="5"/>
    </row>
    <row r="7544" spans="12:18" x14ac:dyDescent="0.35">
      <c r="L7544" s="71"/>
      <c r="R7544" s="5"/>
    </row>
    <row r="7545" spans="12:18" x14ac:dyDescent="0.35">
      <c r="L7545" s="71"/>
      <c r="R7545" s="5"/>
    </row>
    <row r="7546" spans="12:18" x14ac:dyDescent="0.35">
      <c r="L7546" s="71"/>
      <c r="R7546" s="5"/>
    </row>
    <row r="7547" spans="12:18" x14ac:dyDescent="0.35">
      <c r="L7547" s="71"/>
      <c r="R7547" s="5"/>
    </row>
    <row r="7548" spans="12:18" x14ac:dyDescent="0.35">
      <c r="L7548" s="71"/>
      <c r="R7548" s="5"/>
    </row>
    <row r="7549" spans="12:18" x14ac:dyDescent="0.35">
      <c r="L7549" s="71"/>
      <c r="R7549" s="5"/>
    </row>
    <row r="7550" spans="12:18" x14ac:dyDescent="0.35">
      <c r="L7550" s="71"/>
      <c r="R7550" s="5"/>
    </row>
    <row r="7551" spans="12:18" x14ac:dyDescent="0.35">
      <c r="L7551" s="71"/>
      <c r="R7551" s="5"/>
    </row>
    <row r="7552" spans="12:18" x14ac:dyDescent="0.35">
      <c r="L7552" s="71"/>
      <c r="R7552" s="5"/>
    </row>
    <row r="7553" spans="12:18" x14ac:dyDescent="0.35">
      <c r="L7553" s="71"/>
      <c r="R7553" s="5"/>
    </row>
    <row r="7554" spans="12:18" x14ac:dyDescent="0.35">
      <c r="L7554" s="71"/>
      <c r="R7554" s="5"/>
    </row>
    <row r="7555" spans="12:18" x14ac:dyDescent="0.35">
      <c r="L7555" s="71"/>
      <c r="R7555" s="5"/>
    </row>
    <row r="7556" spans="12:18" x14ac:dyDescent="0.35">
      <c r="L7556" s="71"/>
      <c r="R7556" s="5"/>
    </row>
    <row r="7557" spans="12:18" x14ac:dyDescent="0.35">
      <c r="L7557" s="71"/>
      <c r="R7557" s="5"/>
    </row>
    <row r="7558" spans="12:18" x14ac:dyDescent="0.35">
      <c r="L7558" s="71"/>
      <c r="R7558" s="5"/>
    </row>
    <row r="7559" spans="12:18" x14ac:dyDescent="0.35">
      <c r="L7559" s="71"/>
      <c r="R7559" s="5"/>
    </row>
    <row r="7560" spans="12:18" x14ac:dyDescent="0.35">
      <c r="L7560" s="71"/>
      <c r="R7560" s="5"/>
    </row>
    <row r="7561" spans="12:18" x14ac:dyDescent="0.35">
      <c r="L7561" s="71"/>
      <c r="R7561" s="5"/>
    </row>
    <row r="7562" spans="12:18" x14ac:dyDescent="0.35">
      <c r="L7562" s="71"/>
      <c r="R7562" s="5"/>
    </row>
    <row r="7563" spans="12:18" x14ac:dyDescent="0.35">
      <c r="L7563" s="71"/>
      <c r="R7563" s="5"/>
    </row>
    <row r="7564" spans="12:18" x14ac:dyDescent="0.35">
      <c r="L7564" s="71"/>
      <c r="R7564" s="5"/>
    </row>
    <row r="7565" spans="12:18" x14ac:dyDescent="0.35">
      <c r="L7565" s="71"/>
      <c r="R7565" s="5"/>
    </row>
    <row r="7566" spans="12:18" x14ac:dyDescent="0.35">
      <c r="L7566" s="71"/>
      <c r="R7566" s="5"/>
    </row>
    <row r="7567" spans="12:18" x14ac:dyDescent="0.35">
      <c r="L7567" s="71"/>
      <c r="R7567" s="5"/>
    </row>
    <row r="7568" spans="12:18" x14ac:dyDescent="0.35">
      <c r="L7568" s="71"/>
      <c r="R7568" s="5"/>
    </row>
    <row r="7569" spans="12:18" x14ac:dyDescent="0.35">
      <c r="L7569" s="71"/>
      <c r="R7569" s="5"/>
    </row>
    <row r="7570" spans="12:18" x14ac:dyDescent="0.35">
      <c r="L7570" s="71"/>
      <c r="R7570" s="5"/>
    </row>
    <row r="7571" spans="12:18" x14ac:dyDescent="0.35">
      <c r="L7571" s="71"/>
      <c r="R7571" s="5"/>
    </row>
    <row r="7572" spans="12:18" x14ac:dyDescent="0.35">
      <c r="L7572" s="71"/>
      <c r="R7572" s="5"/>
    </row>
    <row r="7573" spans="12:18" x14ac:dyDescent="0.35">
      <c r="L7573" s="71"/>
      <c r="R7573" s="5"/>
    </row>
    <row r="7574" spans="12:18" x14ac:dyDescent="0.35">
      <c r="L7574" s="71"/>
      <c r="R7574" s="5"/>
    </row>
    <row r="7575" spans="12:18" x14ac:dyDescent="0.35">
      <c r="L7575" s="71"/>
      <c r="R7575" s="5"/>
    </row>
    <row r="7576" spans="12:18" x14ac:dyDescent="0.35">
      <c r="L7576" s="71"/>
      <c r="R7576" s="5"/>
    </row>
    <row r="7577" spans="12:18" x14ac:dyDescent="0.35">
      <c r="L7577" s="71"/>
      <c r="R7577" s="5"/>
    </row>
    <row r="7578" spans="12:18" x14ac:dyDescent="0.35">
      <c r="L7578" s="71"/>
      <c r="R7578" s="5"/>
    </row>
    <row r="7579" spans="12:18" x14ac:dyDescent="0.35">
      <c r="L7579" s="71"/>
      <c r="R7579" s="5"/>
    </row>
    <row r="7580" spans="12:18" x14ac:dyDescent="0.35">
      <c r="L7580" s="71"/>
      <c r="R7580" s="5"/>
    </row>
    <row r="7581" spans="12:18" x14ac:dyDescent="0.35">
      <c r="L7581" s="71"/>
      <c r="R7581" s="5"/>
    </row>
    <row r="7582" spans="12:18" x14ac:dyDescent="0.35">
      <c r="L7582" s="71"/>
      <c r="R7582" s="5"/>
    </row>
    <row r="7583" spans="12:18" x14ac:dyDescent="0.35">
      <c r="L7583" s="71"/>
      <c r="R7583" s="5"/>
    </row>
    <row r="7584" spans="12:18" x14ac:dyDescent="0.35">
      <c r="L7584" s="71"/>
      <c r="R7584" s="5"/>
    </row>
    <row r="7585" spans="12:18" x14ac:dyDescent="0.35">
      <c r="L7585" s="71"/>
      <c r="R7585" s="5"/>
    </row>
    <row r="7586" spans="12:18" x14ac:dyDescent="0.35">
      <c r="L7586" s="71"/>
      <c r="R7586" s="5"/>
    </row>
    <row r="7587" spans="12:18" x14ac:dyDescent="0.35">
      <c r="L7587" s="71"/>
      <c r="R7587" s="5"/>
    </row>
    <row r="7588" spans="12:18" x14ac:dyDescent="0.35">
      <c r="L7588" s="71"/>
      <c r="R7588" s="5"/>
    </row>
    <row r="7589" spans="12:18" x14ac:dyDescent="0.35">
      <c r="L7589" s="71"/>
      <c r="R7589" s="5"/>
    </row>
    <row r="7590" spans="12:18" x14ac:dyDescent="0.35">
      <c r="L7590" s="71"/>
      <c r="R7590" s="5"/>
    </row>
    <row r="7591" spans="12:18" x14ac:dyDescent="0.35">
      <c r="L7591" s="71"/>
      <c r="R7591" s="5"/>
    </row>
    <row r="7592" spans="12:18" x14ac:dyDescent="0.35">
      <c r="L7592" s="71"/>
      <c r="R7592" s="5"/>
    </row>
    <row r="7593" spans="12:18" x14ac:dyDescent="0.35">
      <c r="L7593" s="71"/>
      <c r="R7593" s="5"/>
    </row>
    <row r="7594" spans="12:18" x14ac:dyDescent="0.35">
      <c r="L7594" s="71"/>
      <c r="R7594" s="5"/>
    </row>
    <row r="7595" spans="12:18" x14ac:dyDescent="0.35">
      <c r="L7595" s="71"/>
      <c r="R7595" s="5"/>
    </row>
    <row r="7596" spans="12:18" x14ac:dyDescent="0.35">
      <c r="L7596" s="71"/>
      <c r="R7596" s="5"/>
    </row>
    <row r="7597" spans="12:18" x14ac:dyDescent="0.35">
      <c r="L7597" s="71"/>
      <c r="R7597" s="5"/>
    </row>
    <row r="7598" spans="12:18" x14ac:dyDescent="0.35">
      <c r="L7598" s="71"/>
      <c r="R7598" s="5"/>
    </row>
    <row r="7599" spans="12:18" x14ac:dyDescent="0.35">
      <c r="L7599" s="71"/>
      <c r="R7599" s="5"/>
    </row>
    <row r="7600" spans="12:18" x14ac:dyDescent="0.35">
      <c r="L7600" s="71"/>
      <c r="R7600" s="5"/>
    </row>
    <row r="7601" spans="12:18" x14ac:dyDescent="0.35">
      <c r="L7601" s="71"/>
      <c r="R7601" s="5"/>
    </row>
    <row r="7602" spans="12:18" x14ac:dyDescent="0.35">
      <c r="L7602" s="71"/>
      <c r="R7602" s="5"/>
    </row>
    <row r="7603" spans="12:18" x14ac:dyDescent="0.35">
      <c r="L7603" s="71"/>
      <c r="R7603" s="5"/>
    </row>
    <row r="7604" spans="12:18" x14ac:dyDescent="0.35">
      <c r="L7604" s="71"/>
      <c r="R7604" s="5"/>
    </row>
    <row r="7605" spans="12:18" x14ac:dyDescent="0.35">
      <c r="L7605" s="71"/>
      <c r="R7605" s="5"/>
    </row>
    <row r="7606" spans="12:18" x14ac:dyDescent="0.35">
      <c r="L7606" s="71"/>
      <c r="R7606" s="5"/>
    </row>
    <row r="7607" spans="12:18" x14ac:dyDescent="0.35">
      <c r="L7607" s="71"/>
      <c r="R7607" s="5"/>
    </row>
    <row r="7608" spans="12:18" x14ac:dyDescent="0.35">
      <c r="L7608" s="71"/>
      <c r="R7608" s="5"/>
    </row>
    <row r="7609" spans="12:18" x14ac:dyDescent="0.35">
      <c r="L7609" s="71"/>
      <c r="R7609" s="5"/>
    </row>
    <row r="7610" spans="12:18" x14ac:dyDescent="0.35">
      <c r="L7610" s="71"/>
      <c r="R7610" s="5"/>
    </row>
    <row r="7611" spans="12:18" x14ac:dyDescent="0.35">
      <c r="L7611" s="71"/>
      <c r="R7611" s="5"/>
    </row>
    <row r="7612" spans="12:18" x14ac:dyDescent="0.35">
      <c r="L7612" s="71"/>
      <c r="R7612" s="5"/>
    </row>
    <row r="7613" spans="12:18" x14ac:dyDescent="0.35">
      <c r="L7613" s="71"/>
      <c r="R7613" s="5"/>
    </row>
    <row r="7614" spans="12:18" x14ac:dyDescent="0.35">
      <c r="L7614" s="71"/>
      <c r="R7614" s="5"/>
    </row>
    <row r="7615" spans="12:18" x14ac:dyDescent="0.35">
      <c r="L7615" s="71"/>
      <c r="R7615" s="5"/>
    </row>
    <row r="7616" spans="12:18" x14ac:dyDescent="0.35">
      <c r="L7616" s="71"/>
      <c r="R7616" s="5"/>
    </row>
    <row r="7617" spans="12:18" x14ac:dyDescent="0.35">
      <c r="L7617" s="71"/>
      <c r="R7617" s="5"/>
    </row>
    <row r="7618" spans="12:18" x14ac:dyDescent="0.35">
      <c r="L7618" s="71"/>
      <c r="R7618" s="5"/>
    </row>
    <row r="7619" spans="12:18" x14ac:dyDescent="0.35">
      <c r="L7619" s="71"/>
      <c r="R7619" s="5"/>
    </row>
    <row r="7620" spans="12:18" x14ac:dyDescent="0.35">
      <c r="L7620" s="71"/>
      <c r="R7620" s="5"/>
    </row>
    <row r="7621" spans="12:18" x14ac:dyDescent="0.35">
      <c r="L7621" s="71"/>
      <c r="R7621" s="5"/>
    </row>
    <row r="7622" spans="12:18" x14ac:dyDescent="0.35">
      <c r="L7622" s="71"/>
      <c r="R7622" s="5"/>
    </row>
    <row r="7623" spans="12:18" x14ac:dyDescent="0.35">
      <c r="L7623" s="71"/>
      <c r="R7623" s="5"/>
    </row>
    <row r="7624" spans="12:18" x14ac:dyDescent="0.35">
      <c r="L7624" s="71"/>
      <c r="R7624" s="5"/>
    </row>
    <row r="7625" spans="12:18" x14ac:dyDescent="0.35">
      <c r="L7625" s="71"/>
      <c r="R7625" s="5"/>
    </row>
    <row r="7626" spans="12:18" x14ac:dyDescent="0.35">
      <c r="L7626" s="71"/>
      <c r="R7626" s="5"/>
    </row>
    <row r="7627" spans="12:18" x14ac:dyDescent="0.35">
      <c r="L7627" s="71"/>
      <c r="R7627" s="5"/>
    </row>
    <row r="7628" spans="12:18" x14ac:dyDescent="0.35">
      <c r="L7628" s="71"/>
      <c r="R7628" s="5"/>
    </row>
    <row r="7629" spans="12:18" x14ac:dyDescent="0.35">
      <c r="L7629" s="71"/>
      <c r="R7629" s="5"/>
    </row>
    <row r="7630" spans="12:18" x14ac:dyDescent="0.35">
      <c r="L7630" s="71"/>
      <c r="R7630" s="5"/>
    </row>
    <row r="7631" spans="12:18" x14ac:dyDescent="0.35">
      <c r="L7631" s="71"/>
      <c r="R7631" s="5"/>
    </row>
    <row r="7632" spans="12:18" x14ac:dyDescent="0.35">
      <c r="L7632" s="71"/>
      <c r="R7632" s="5"/>
    </row>
    <row r="7633" spans="12:18" x14ac:dyDescent="0.35">
      <c r="L7633" s="71"/>
      <c r="R7633" s="5"/>
    </row>
    <row r="7634" spans="12:18" x14ac:dyDescent="0.35">
      <c r="L7634" s="71"/>
      <c r="R7634" s="5"/>
    </row>
    <row r="7635" spans="12:18" x14ac:dyDescent="0.35">
      <c r="L7635" s="71"/>
      <c r="R7635" s="5"/>
    </row>
    <row r="7636" spans="12:18" x14ac:dyDescent="0.35">
      <c r="L7636" s="71"/>
      <c r="R7636" s="5"/>
    </row>
    <row r="7637" spans="12:18" x14ac:dyDescent="0.35">
      <c r="L7637" s="71"/>
      <c r="R7637" s="5"/>
    </row>
    <row r="7638" spans="12:18" x14ac:dyDescent="0.35">
      <c r="L7638" s="71"/>
      <c r="R7638" s="5"/>
    </row>
    <row r="7639" spans="12:18" x14ac:dyDescent="0.35">
      <c r="L7639" s="71"/>
      <c r="R7639" s="5"/>
    </row>
    <row r="7640" spans="12:18" x14ac:dyDescent="0.35">
      <c r="L7640" s="71"/>
      <c r="R7640" s="5"/>
    </row>
    <row r="7641" spans="12:18" x14ac:dyDescent="0.35">
      <c r="L7641" s="71"/>
      <c r="R7641" s="5"/>
    </row>
    <row r="7642" spans="12:18" x14ac:dyDescent="0.35">
      <c r="L7642" s="71"/>
      <c r="R7642" s="5"/>
    </row>
    <row r="7643" spans="12:18" x14ac:dyDescent="0.35">
      <c r="L7643" s="71"/>
      <c r="R7643" s="5"/>
    </row>
    <row r="7644" spans="12:18" x14ac:dyDescent="0.35">
      <c r="L7644" s="71"/>
      <c r="R7644" s="5"/>
    </row>
    <row r="7645" spans="12:18" x14ac:dyDescent="0.35">
      <c r="L7645" s="71"/>
      <c r="R7645" s="5"/>
    </row>
    <row r="7646" spans="12:18" x14ac:dyDescent="0.35">
      <c r="L7646" s="71"/>
      <c r="R7646" s="5"/>
    </row>
    <row r="7647" spans="12:18" x14ac:dyDescent="0.35">
      <c r="L7647" s="71"/>
      <c r="R7647" s="5"/>
    </row>
    <row r="7648" spans="12:18" x14ac:dyDescent="0.35">
      <c r="L7648" s="71"/>
      <c r="R7648" s="5"/>
    </row>
    <row r="7649" spans="12:18" x14ac:dyDescent="0.35">
      <c r="L7649" s="71"/>
      <c r="R7649" s="5"/>
    </row>
    <row r="7650" spans="12:18" x14ac:dyDescent="0.35">
      <c r="L7650" s="71"/>
      <c r="R7650" s="5"/>
    </row>
    <row r="7651" spans="12:18" x14ac:dyDescent="0.35">
      <c r="L7651" s="71"/>
      <c r="R7651" s="5"/>
    </row>
    <row r="7652" spans="12:18" x14ac:dyDescent="0.35">
      <c r="L7652" s="71"/>
      <c r="R7652" s="5"/>
    </row>
    <row r="7653" spans="12:18" x14ac:dyDescent="0.35">
      <c r="L7653" s="71"/>
      <c r="R7653" s="5"/>
    </row>
    <row r="7654" spans="12:18" x14ac:dyDescent="0.35">
      <c r="L7654" s="71"/>
      <c r="R7654" s="5"/>
    </row>
    <row r="7655" spans="12:18" x14ac:dyDescent="0.35">
      <c r="L7655" s="71"/>
      <c r="R7655" s="5"/>
    </row>
    <row r="7656" spans="12:18" x14ac:dyDescent="0.35">
      <c r="L7656" s="71"/>
      <c r="R7656" s="5"/>
    </row>
    <row r="7657" spans="12:18" x14ac:dyDescent="0.35">
      <c r="L7657" s="71"/>
      <c r="R7657" s="5"/>
    </row>
    <row r="7658" spans="12:18" x14ac:dyDescent="0.35">
      <c r="L7658" s="71"/>
      <c r="R7658" s="5"/>
    </row>
    <row r="7659" spans="12:18" x14ac:dyDescent="0.35">
      <c r="L7659" s="71"/>
      <c r="R7659" s="5"/>
    </row>
    <row r="7660" spans="12:18" x14ac:dyDescent="0.35">
      <c r="L7660" s="71"/>
      <c r="R7660" s="5"/>
    </row>
    <row r="7661" spans="12:18" x14ac:dyDescent="0.35">
      <c r="L7661" s="71"/>
      <c r="R7661" s="5"/>
    </row>
    <row r="7662" spans="12:18" x14ac:dyDescent="0.35">
      <c r="L7662" s="71"/>
      <c r="R7662" s="5"/>
    </row>
    <row r="7663" spans="12:18" x14ac:dyDescent="0.35">
      <c r="L7663" s="71"/>
      <c r="R7663" s="5"/>
    </row>
    <row r="7664" spans="12:18" x14ac:dyDescent="0.35">
      <c r="L7664" s="71"/>
      <c r="R7664" s="5"/>
    </row>
    <row r="7665" spans="12:18" x14ac:dyDescent="0.35">
      <c r="L7665" s="71"/>
      <c r="R7665" s="5"/>
    </row>
    <row r="7666" spans="12:18" x14ac:dyDescent="0.35">
      <c r="L7666" s="71"/>
      <c r="R7666" s="5"/>
    </row>
    <row r="7667" spans="12:18" x14ac:dyDescent="0.35">
      <c r="L7667" s="71"/>
      <c r="R7667" s="5"/>
    </row>
    <row r="7668" spans="12:18" x14ac:dyDescent="0.35">
      <c r="L7668" s="71"/>
      <c r="R7668" s="5"/>
    </row>
    <row r="7669" spans="12:18" x14ac:dyDescent="0.35">
      <c r="L7669" s="71"/>
      <c r="R7669" s="5"/>
    </row>
    <row r="7670" spans="12:18" x14ac:dyDescent="0.35">
      <c r="L7670" s="71"/>
      <c r="R7670" s="5"/>
    </row>
    <row r="7671" spans="12:18" x14ac:dyDescent="0.35">
      <c r="L7671" s="71"/>
      <c r="R7671" s="5"/>
    </row>
    <row r="7672" spans="12:18" x14ac:dyDescent="0.35">
      <c r="L7672" s="71"/>
      <c r="R7672" s="5"/>
    </row>
    <row r="7673" spans="12:18" x14ac:dyDescent="0.35">
      <c r="L7673" s="71"/>
      <c r="R7673" s="5"/>
    </row>
    <row r="7674" spans="12:18" x14ac:dyDescent="0.35">
      <c r="L7674" s="71"/>
      <c r="R7674" s="5"/>
    </row>
    <row r="7675" spans="12:18" x14ac:dyDescent="0.35">
      <c r="L7675" s="71"/>
      <c r="R7675" s="5"/>
    </row>
    <row r="7676" spans="12:18" x14ac:dyDescent="0.35">
      <c r="L7676" s="71"/>
      <c r="R7676" s="5"/>
    </row>
    <row r="7677" spans="12:18" x14ac:dyDescent="0.35">
      <c r="L7677" s="71"/>
      <c r="R7677" s="5"/>
    </row>
    <row r="7678" spans="12:18" x14ac:dyDescent="0.35">
      <c r="L7678" s="71"/>
      <c r="R7678" s="5"/>
    </row>
    <row r="7679" spans="12:18" x14ac:dyDescent="0.35">
      <c r="L7679" s="71"/>
      <c r="R7679" s="5"/>
    </row>
    <row r="7680" spans="12:18" x14ac:dyDescent="0.35">
      <c r="L7680" s="71"/>
      <c r="R7680" s="5"/>
    </row>
    <row r="7681" spans="12:18" x14ac:dyDescent="0.35">
      <c r="L7681" s="71"/>
      <c r="R7681" s="5"/>
    </row>
    <row r="7682" spans="12:18" x14ac:dyDescent="0.35">
      <c r="L7682" s="71"/>
      <c r="R7682" s="5"/>
    </row>
    <row r="7683" spans="12:18" x14ac:dyDescent="0.35">
      <c r="L7683" s="71"/>
      <c r="R7683" s="5"/>
    </row>
    <row r="7684" spans="12:18" x14ac:dyDescent="0.35">
      <c r="L7684" s="71"/>
      <c r="R7684" s="5"/>
    </row>
    <row r="7685" spans="12:18" x14ac:dyDescent="0.35">
      <c r="L7685" s="71"/>
      <c r="R7685" s="5"/>
    </row>
    <row r="7686" spans="12:18" x14ac:dyDescent="0.35">
      <c r="L7686" s="71"/>
      <c r="R7686" s="5"/>
    </row>
    <row r="7687" spans="12:18" x14ac:dyDescent="0.35">
      <c r="L7687" s="71"/>
      <c r="R7687" s="5"/>
    </row>
    <row r="7688" spans="12:18" x14ac:dyDescent="0.35">
      <c r="L7688" s="71"/>
      <c r="R7688" s="5"/>
    </row>
    <row r="7689" spans="12:18" x14ac:dyDescent="0.35">
      <c r="L7689" s="71"/>
      <c r="R7689" s="5"/>
    </row>
    <row r="7690" spans="12:18" x14ac:dyDescent="0.35">
      <c r="L7690" s="71"/>
      <c r="R7690" s="5"/>
    </row>
    <row r="7691" spans="12:18" x14ac:dyDescent="0.35">
      <c r="L7691" s="71"/>
      <c r="R7691" s="5"/>
    </row>
    <row r="7692" spans="12:18" x14ac:dyDescent="0.35">
      <c r="L7692" s="71"/>
      <c r="R7692" s="5"/>
    </row>
    <row r="7693" spans="12:18" x14ac:dyDescent="0.35">
      <c r="L7693" s="71"/>
      <c r="R7693" s="5"/>
    </row>
    <row r="7694" spans="12:18" x14ac:dyDescent="0.35">
      <c r="L7694" s="71"/>
      <c r="R7694" s="5"/>
    </row>
    <row r="7695" spans="12:18" x14ac:dyDescent="0.35">
      <c r="L7695" s="71"/>
      <c r="R7695" s="5"/>
    </row>
    <row r="7696" spans="12:18" x14ac:dyDescent="0.35">
      <c r="L7696" s="71"/>
      <c r="R7696" s="5"/>
    </row>
    <row r="7697" spans="12:18" x14ac:dyDescent="0.35">
      <c r="L7697" s="71"/>
      <c r="R7697" s="5"/>
    </row>
    <row r="7698" spans="12:18" x14ac:dyDescent="0.35">
      <c r="L7698" s="71"/>
      <c r="R7698" s="5"/>
    </row>
    <row r="7699" spans="12:18" x14ac:dyDescent="0.35">
      <c r="L7699" s="71"/>
      <c r="R7699" s="5"/>
    </row>
    <row r="7700" spans="12:18" x14ac:dyDescent="0.35">
      <c r="L7700" s="71"/>
      <c r="R7700" s="5"/>
    </row>
    <row r="7701" spans="12:18" x14ac:dyDescent="0.35">
      <c r="L7701" s="71"/>
      <c r="R7701" s="5"/>
    </row>
    <row r="7702" spans="12:18" x14ac:dyDescent="0.35">
      <c r="L7702" s="71"/>
      <c r="R7702" s="5"/>
    </row>
    <row r="7703" spans="12:18" x14ac:dyDescent="0.35">
      <c r="L7703" s="71"/>
      <c r="R7703" s="5"/>
    </row>
    <row r="7704" spans="12:18" x14ac:dyDescent="0.35">
      <c r="L7704" s="71"/>
      <c r="R7704" s="5"/>
    </row>
    <row r="7705" spans="12:18" x14ac:dyDescent="0.35">
      <c r="L7705" s="71"/>
      <c r="R7705" s="5"/>
    </row>
    <row r="7706" spans="12:18" x14ac:dyDescent="0.35">
      <c r="L7706" s="71"/>
      <c r="R7706" s="5"/>
    </row>
    <row r="7707" spans="12:18" x14ac:dyDescent="0.35">
      <c r="L7707" s="71"/>
      <c r="R7707" s="5"/>
    </row>
    <row r="7708" spans="12:18" x14ac:dyDescent="0.35">
      <c r="L7708" s="71"/>
      <c r="R7708" s="5"/>
    </row>
    <row r="7709" spans="12:18" x14ac:dyDescent="0.35">
      <c r="L7709" s="71"/>
      <c r="R7709" s="5"/>
    </row>
    <row r="7710" spans="12:18" x14ac:dyDescent="0.35">
      <c r="L7710" s="71"/>
      <c r="R7710" s="5"/>
    </row>
    <row r="7711" spans="12:18" x14ac:dyDescent="0.35">
      <c r="L7711" s="71"/>
      <c r="R7711" s="5"/>
    </row>
    <row r="7712" spans="12:18" x14ac:dyDescent="0.35">
      <c r="L7712" s="71"/>
      <c r="R7712" s="5"/>
    </row>
    <row r="7713" spans="12:18" x14ac:dyDescent="0.35">
      <c r="L7713" s="71"/>
      <c r="R7713" s="5"/>
    </row>
    <row r="7714" spans="12:18" x14ac:dyDescent="0.35">
      <c r="L7714" s="71"/>
      <c r="R7714" s="5"/>
    </row>
    <row r="7715" spans="12:18" x14ac:dyDescent="0.35">
      <c r="L7715" s="71"/>
      <c r="R7715" s="5"/>
    </row>
    <row r="7716" spans="12:18" x14ac:dyDescent="0.35">
      <c r="L7716" s="71"/>
      <c r="R7716" s="5"/>
    </row>
    <row r="7717" spans="12:18" x14ac:dyDescent="0.35">
      <c r="L7717" s="71"/>
      <c r="R7717" s="5"/>
    </row>
    <row r="7718" spans="12:18" x14ac:dyDescent="0.35">
      <c r="L7718" s="71"/>
      <c r="R7718" s="5"/>
    </row>
    <row r="7719" spans="12:18" x14ac:dyDescent="0.35">
      <c r="L7719" s="71"/>
      <c r="R7719" s="5"/>
    </row>
    <row r="7720" spans="12:18" x14ac:dyDescent="0.35">
      <c r="L7720" s="71"/>
      <c r="R7720" s="5"/>
    </row>
    <row r="7721" spans="12:18" x14ac:dyDescent="0.35">
      <c r="L7721" s="71"/>
      <c r="R7721" s="5"/>
    </row>
    <row r="7722" spans="12:18" x14ac:dyDescent="0.35">
      <c r="L7722" s="71"/>
      <c r="R7722" s="5"/>
    </row>
    <row r="7723" spans="12:18" x14ac:dyDescent="0.35">
      <c r="L7723" s="71"/>
      <c r="R7723" s="5"/>
    </row>
    <row r="7724" spans="12:18" x14ac:dyDescent="0.35">
      <c r="L7724" s="71"/>
      <c r="R7724" s="5"/>
    </row>
    <row r="7725" spans="12:18" x14ac:dyDescent="0.35">
      <c r="L7725" s="71"/>
      <c r="R7725" s="5"/>
    </row>
    <row r="7726" spans="12:18" x14ac:dyDescent="0.35">
      <c r="L7726" s="71"/>
      <c r="R7726" s="5"/>
    </row>
    <row r="7727" spans="12:18" x14ac:dyDescent="0.35">
      <c r="L7727" s="71"/>
      <c r="R7727" s="5"/>
    </row>
    <row r="7728" spans="12:18" x14ac:dyDescent="0.35">
      <c r="L7728" s="71"/>
      <c r="R7728" s="5"/>
    </row>
    <row r="7729" spans="12:18" x14ac:dyDescent="0.35">
      <c r="L7729" s="71"/>
      <c r="R7729" s="5"/>
    </row>
    <row r="7730" spans="12:18" x14ac:dyDescent="0.35">
      <c r="L7730" s="71"/>
      <c r="R7730" s="5"/>
    </row>
    <row r="7731" spans="12:18" x14ac:dyDescent="0.35">
      <c r="L7731" s="71"/>
      <c r="R7731" s="5"/>
    </row>
    <row r="7732" spans="12:18" x14ac:dyDescent="0.35">
      <c r="L7732" s="71"/>
      <c r="R7732" s="5"/>
    </row>
    <row r="7733" spans="12:18" x14ac:dyDescent="0.35">
      <c r="L7733" s="71"/>
      <c r="R7733" s="5"/>
    </row>
    <row r="7734" spans="12:18" x14ac:dyDescent="0.35">
      <c r="L7734" s="71"/>
      <c r="R7734" s="5"/>
    </row>
    <row r="7735" spans="12:18" x14ac:dyDescent="0.35">
      <c r="L7735" s="71"/>
      <c r="R7735" s="5"/>
    </row>
    <row r="7736" spans="12:18" x14ac:dyDescent="0.35">
      <c r="L7736" s="71"/>
      <c r="R7736" s="5"/>
    </row>
    <row r="7737" spans="12:18" x14ac:dyDescent="0.35">
      <c r="L7737" s="71"/>
      <c r="R7737" s="5"/>
    </row>
    <row r="7738" spans="12:18" x14ac:dyDescent="0.35">
      <c r="L7738" s="71"/>
      <c r="R7738" s="5"/>
    </row>
    <row r="7739" spans="12:18" x14ac:dyDescent="0.35">
      <c r="L7739" s="71"/>
      <c r="R7739" s="5"/>
    </row>
    <row r="7740" spans="12:18" x14ac:dyDescent="0.35">
      <c r="L7740" s="71"/>
      <c r="R7740" s="5"/>
    </row>
    <row r="7741" spans="12:18" x14ac:dyDescent="0.35">
      <c r="L7741" s="71"/>
      <c r="R7741" s="5"/>
    </row>
    <row r="7742" spans="12:18" x14ac:dyDescent="0.35">
      <c r="L7742" s="71"/>
      <c r="R7742" s="5"/>
    </row>
    <row r="7743" spans="12:18" x14ac:dyDescent="0.35">
      <c r="L7743" s="71"/>
      <c r="R7743" s="5"/>
    </row>
    <row r="7744" spans="12:18" x14ac:dyDescent="0.35">
      <c r="L7744" s="71"/>
      <c r="R7744" s="5"/>
    </row>
    <row r="7745" spans="12:18" x14ac:dyDescent="0.35">
      <c r="L7745" s="71"/>
      <c r="R7745" s="5"/>
    </row>
    <row r="7746" spans="12:18" x14ac:dyDescent="0.35">
      <c r="L7746" s="71"/>
      <c r="R7746" s="5"/>
    </row>
    <row r="7747" spans="12:18" x14ac:dyDescent="0.35">
      <c r="L7747" s="71"/>
      <c r="R7747" s="5"/>
    </row>
    <row r="7748" spans="12:18" x14ac:dyDescent="0.35">
      <c r="L7748" s="71"/>
      <c r="R7748" s="5"/>
    </row>
    <row r="7749" spans="12:18" x14ac:dyDescent="0.35">
      <c r="L7749" s="71"/>
      <c r="R7749" s="5"/>
    </row>
    <row r="7750" spans="12:18" x14ac:dyDescent="0.35">
      <c r="L7750" s="71"/>
      <c r="R7750" s="5"/>
    </row>
    <row r="7751" spans="12:18" x14ac:dyDescent="0.35">
      <c r="L7751" s="71"/>
      <c r="R7751" s="5"/>
    </row>
    <row r="7752" spans="12:18" x14ac:dyDescent="0.35">
      <c r="L7752" s="71"/>
      <c r="R7752" s="5"/>
    </row>
    <row r="7753" spans="12:18" x14ac:dyDescent="0.35">
      <c r="L7753" s="71"/>
      <c r="R7753" s="5"/>
    </row>
    <row r="7754" spans="12:18" x14ac:dyDescent="0.35">
      <c r="L7754" s="71"/>
      <c r="R7754" s="5"/>
    </row>
    <row r="7755" spans="12:18" x14ac:dyDescent="0.35">
      <c r="L7755" s="71"/>
      <c r="R7755" s="5"/>
    </row>
    <row r="7756" spans="12:18" x14ac:dyDescent="0.35">
      <c r="L7756" s="71"/>
      <c r="R7756" s="5"/>
    </row>
    <row r="7757" spans="12:18" x14ac:dyDescent="0.35">
      <c r="L7757" s="71"/>
      <c r="R7757" s="5"/>
    </row>
    <row r="7758" spans="12:18" x14ac:dyDescent="0.35">
      <c r="L7758" s="71"/>
      <c r="R7758" s="5"/>
    </row>
    <row r="7759" spans="12:18" x14ac:dyDescent="0.35">
      <c r="L7759" s="71"/>
      <c r="R7759" s="5"/>
    </row>
    <row r="7760" spans="12:18" x14ac:dyDescent="0.35">
      <c r="L7760" s="71"/>
      <c r="R7760" s="5"/>
    </row>
    <row r="7761" spans="12:18" x14ac:dyDescent="0.35">
      <c r="L7761" s="71"/>
      <c r="R7761" s="5"/>
    </row>
    <row r="7762" spans="12:18" x14ac:dyDescent="0.35">
      <c r="L7762" s="71"/>
      <c r="R7762" s="5"/>
    </row>
    <row r="7763" spans="12:18" x14ac:dyDescent="0.35">
      <c r="L7763" s="71"/>
      <c r="R7763" s="5"/>
    </row>
    <row r="7764" spans="12:18" x14ac:dyDescent="0.35">
      <c r="L7764" s="71"/>
      <c r="R7764" s="5"/>
    </row>
    <row r="7765" spans="12:18" x14ac:dyDescent="0.35">
      <c r="L7765" s="71"/>
      <c r="R7765" s="5"/>
    </row>
    <row r="7766" spans="12:18" x14ac:dyDescent="0.35">
      <c r="L7766" s="71"/>
      <c r="R7766" s="5"/>
    </row>
    <row r="7767" spans="12:18" x14ac:dyDescent="0.35">
      <c r="L7767" s="71"/>
      <c r="R7767" s="5"/>
    </row>
    <row r="7768" spans="12:18" x14ac:dyDescent="0.35">
      <c r="L7768" s="71"/>
      <c r="R7768" s="5"/>
    </row>
    <row r="7769" spans="12:18" x14ac:dyDescent="0.35">
      <c r="L7769" s="71"/>
      <c r="R7769" s="5"/>
    </row>
    <row r="7770" spans="12:18" x14ac:dyDescent="0.35">
      <c r="L7770" s="71"/>
      <c r="R7770" s="5"/>
    </row>
    <row r="7771" spans="12:18" x14ac:dyDescent="0.35">
      <c r="L7771" s="71"/>
      <c r="R7771" s="5"/>
    </row>
    <row r="7772" spans="12:18" x14ac:dyDescent="0.35">
      <c r="L7772" s="71"/>
      <c r="R7772" s="5"/>
    </row>
    <row r="7773" spans="12:18" x14ac:dyDescent="0.35">
      <c r="L7773" s="71"/>
      <c r="R7773" s="5"/>
    </row>
    <row r="7774" spans="12:18" x14ac:dyDescent="0.35">
      <c r="L7774" s="71"/>
      <c r="R7774" s="5"/>
    </row>
    <row r="7775" spans="12:18" x14ac:dyDescent="0.35">
      <c r="L7775" s="71"/>
      <c r="R7775" s="5"/>
    </row>
    <row r="7776" spans="12:18" x14ac:dyDescent="0.35">
      <c r="L7776" s="71"/>
      <c r="R7776" s="5"/>
    </row>
    <row r="7777" spans="12:18" x14ac:dyDescent="0.35">
      <c r="L7777" s="71"/>
      <c r="R7777" s="5"/>
    </row>
    <row r="7778" spans="12:18" x14ac:dyDescent="0.35">
      <c r="L7778" s="71"/>
      <c r="R7778" s="5"/>
    </row>
    <row r="7779" spans="12:18" x14ac:dyDescent="0.35">
      <c r="L7779" s="71"/>
      <c r="R7779" s="5"/>
    </row>
    <row r="7780" spans="12:18" x14ac:dyDescent="0.35">
      <c r="L7780" s="71"/>
      <c r="R7780" s="5"/>
    </row>
    <row r="7781" spans="12:18" x14ac:dyDescent="0.35">
      <c r="L7781" s="71"/>
      <c r="R7781" s="5"/>
    </row>
    <row r="7782" spans="12:18" x14ac:dyDescent="0.35">
      <c r="L7782" s="71"/>
      <c r="R7782" s="5"/>
    </row>
    <row r="7783" spans="12:18" x14ac:dyDescent="0.35">
      <c r="L7783" s="71"/>
      <c r="R7783" s="5"/>
    </row>
    <row r="7784" spans="12:18" x14ac:dyDescent="0.35">
      <c r="L7784" s="71"/>
      <c r="R7784" s="5"/>
    </row>
    <row r="7785" spans="12:18" x14ac:dyDescent="0.35">
      <c r="L7785" s="71"/>
      <c r="R7785" s="5"/>
    </row>
    <row r="7786" spans="12:18" x14ac:dyDescent="0.35">
      <c r="L7786" s="71"/>
      <c r="R7786" s="5"/>
    </row>
    <row r="7787" spans="12:18" x14ac:dyDescent="0.35">
      <c r="L7787" s="71"/>
      <c r="R7787" s="5"/>
    </row>
    <row r="7788" spans="12:18" x14ac:dyDescent="0.35">
      <c r="L7788" s="71"/>
      <c r="R7788" s="5"/>
    </row>
    <row r="7789" spans="12:18" x14ac:dyDescent="0.35">
      <c r="L7789" s="71"/>
      <c r="R7789" s="5"/>
    </row>
    <row r="7790" spans="12:18" x14ac:dyDescent="0.35">
      <c r="L7790" s="71"/>
      <c r="R7790" s="5"/>
    </row>
    <row r="7791" spans="12:18" x14ac:dyDescent="0.35">
      <c r="L7791" s="71"/>
      <c r="R7791" s="5"/>
    </row>
    <row r="7792" spans="12:18" x14ac:dyDescent="0.35">
      <c r="L7792" s="71"/>
      <c r="R7792" s="5"/>
    </row>
    <row r="7793" spans="12:18" x14ac:dyDescent="0.35">
      <c r="L7793" s="71"/>
      <c r="R7793" s="5"/>
    </row>
    <row r="7794" spans="12:18" x14ac:dyDescent="0.35">
      <c r="L7794" s="71"/>
      <c r="R7794" s="5"/>
    </row>
    <row r="7795" spans="12:18" x14ac:dyDescent="0.35">
      <c r="L7795" s="71"/>
      <c r="R7795" s="5"/>
    </row>
    <row r="7796" spans="12:18" x14ac:dyDescent="0.35">
      <c r="L7796" s="71"/>
      <c r="R7796" s="5"/>
    </row>
    <row r="7797" spans="12:18" x14ac:dyDescent="0.35">
      <c r="L7797" s="71"/>
      <c r="R7797" s="5"/>
    </row>
    <row r="7798" spans="12:18" x14ac:dyDescent="0.35">
      <c r="L7798" s="71"/>
      <c r="R7798" s="5"/>
    </row>
    <row r="7799" spans="12:18" x14ac:dyDescent="0.35">
      <c r="L7799" s="71"/>
      <c r="R7799" s="5"/>
    </row>
    <row r="7800" spans="12:18" x14ac:dyDescent="0.35">
      <c r="L7800" s="71"/>
      <c r="R7800" s="5"/>
    </row>
    <row r="7801" spans="12:18" x14ac:dyDescent="0.35">
      <c r="L7801" s="71"/>
      <c r="R7801" s="5"/>
    </row>
    <row r="7802" spans="12:18" x14ac:dyDescent="0.35">
      <c r="L7802" s="71"/>
      <c r="R7802" s="5"/>
    </row>
    <row r="7803" spans="12:18" x14ac:dyDescent="0.35">
      <c r="L7803" s="71"/>
      <c r="R7803" s="5"/>
    </row>
    <row r="7804" spans="12:18" x14ac:dyDescent="0.35">
      <c r="L7804" s="71"/>
      <c r="R7804" s="5"/>
    </row>
    <row r="7805" spans="12:18" x14ac:dyDescent="0.35">
      <c r="L7805" s="71"/>
      <c r="R7805" s="5"/>
    </row>
    <row r="7806" spans="12:18" x14ac:dyDescent="0.35">
      <c r="L7806" s="71"/>
      <c r="R7806" s="5"/>
    </row>
    <row r="7807" spans="12:18" x14ac:dyDescent="0.35">
      <c r="L7807" s="71"/>
      <c r="R7807" s="5"/>
    </row>
    <row r="7808" spans="12:18" x14ac:dyDescent="0.35">
      <c r="L7808" s="71"/>
      <c r="R7808" s="5"/>
    </row>
    <row r="7809" spans="12:18" x14ac:dyDescent="0.35">
      <c r="L7809" s="71"/>
      <c r="R7809" s="5"/>
    </row>
    <row r="7810" spans="12:18" x14ac:dyDescent="0.35">
      <c r="L7810" s="71"/>
      <c r="R7810" s="5"/>
    </row>
    <row r="7811" spans="12:18" x14ac:dyDescent="0.35">
      <c r="L7811" s="71"/>
      <c r="R7811" s="5"/>
    </row>
    <row r="7812" spans="12:18" x14ac:dyDescent="0.35">
      <c r="L7812" s="71"/>
      <c r="R7812" s="5"/>
    </row>
    <row r="7813" spans="12:18" x14ac:dyDescent="0.35">
      <c r="L7813" s="71"/>
      <c r="R7813" s="5"/>
    </row>
    <row r="7814" spans="12:18" x14ac:dyDescent="0.35">
      <c r="L7814" s="71"/>
      <c r="R7814" s="5"/>
    </row>
    <row r="7815" spans="12:18" x14ac:dyDescent="0.35">
      <c r="L7815" s="71"/>
      <c r="R7815" s="5"/>
    </row>
    <row r="7816" spans="12:18" x14ac:dyDescent="0.35">
      <c r="L7816" s="71"/>
      <c r="R7816" s="5"/>
    </row>
    <row r="7817" spans="12:18" x14ac:dyDescent="0.35">
      <c r="L7817" s="71"/>
      <c r="R7817" s="5"/>
    </row>
    <row r="7818" spans="12:18" x14ac:dyDescent="0.35">
      <c r="L7818" s="71"/>
      <c r="R7818" s="5"/>
    </row>
    <row r="7819" spans="12:18" x14ac:dyDescent="0.35">
      <c r="L7819" s="71"/>
      <c r="R7819" s="5"/>
    </row>
    <row r="7820" spans="12:18" x14ac:dyDescent="0.35">
      <c r="L7820" s="71"/>
      <c r="R7820" s="5"/>
    </row>
    <row r="7821" spans="12:18" x14ac:dyDescent="0.35">
      <c r="L7821" s="71"/>
      <c r="R7821" s="5"/>
    </row>
    <row r="7822" spans="12:18" x14ac:dyDescent="0.35">
      <c r="L7822" s="71"/>
      <c r="R7822" s="5"/>
    </row>
    <row r="7823" spans="12:18" x14ac:dyDescent="0.35">
      <c r="L7823" s="71"/>
      <c r="R7823" s="5"/>
    </row>
    <row r="7824" spans="12:18" x14ac:dyDescent="0.35">
      <c r="L7824" s="71"/>
      <c r="R7824" s="5"/>
    </row>
    <row r="7825" spans="12:18" x14ac:dyDescent="0.35">
      <c r="L7825" s="71"/>
      <c r="R7825" s="5"/>
    </row>
    <row r="7826" spans="12:18" x14ac:dyDescent="0.35">
      <c r="L7826" s="71"/>
      <c r="R7826" s="5"/>
    </row>
    <row r="7827" spans="12:18" x14ac:dyDescent="0.35">
      <c r="L7827" s="71"/>
      <c r="R7827" s="5"/>
    </row>
    <row r="7828" spans="12:18" x14ac:dyDescent="0.35">
      <c r="L7828" s="71"/>
      <c r="R7828" s="5"/>
    </row>
    <row r="7829" spans="12:18" x14ac:dyDescent="0.35">
      <c r="L7829" s="71"/>
      <c r="R7829" s="5"/>
    </row>
    <row r="7830" spans="12:18" x14ac:dyDescent="0.35">
      <c r="L7830" s="71"/>
      <c r="R7830" s="5"/>
    </row>
    <row r="7831" spans="12:18" x14ac:dyDescent="0.35">
      <c r="L7831" s="71"/>
      <c r="R7831" s="5"/>
    </row>
    <row r="7832" spans="12:18" x14ac:dyDescent="0.35">
      <c r="L7832" s="71"/>
      <c r="R7832" s="5"/>
    </row>
    <row r="7833" spans="12:18" x14ac:dyDescent="0.35">
      <c r="L7833" s="71"/>
      <c r="R7833" s="5"/>
    </row>
    <row r="7834" spans="12:18" x14ac:dyDescent="0.35">
      <c r="L7834" s="71"/>
      <c r="R7834" s="5"/>
    </row>
    <row r="7835" spans="12:18" x14ac:dyDescent="0.35">
      <c r="L7835" s="71"/>
      <c r="R7835" s="5"/>
    </row>
    <row r="7836" spans="12:18" x14ac:dyDescent="0.35">
      <c r="L7836" s="71"/>
      <c r="R7836" s="5"/>
    </row>
    <row r="7837" spans="12:18" x14ac:dyDescent="0.35">
      <c r="L7837" s="71"/>
      <c r="R7837" s="5"/>
    </row>
    <row r="7838" spans="12:18" x14ac:dyDescent="0.35">
      <c r="L7838" s="71"/>
      <c r="R7838" s="5"/>
    </row>
    <row r="7839" spans="12:18" x14ac:dyDescent="0.35">
      <c r="L7839" s="71"/>
      <c r="R7839" s="5"/>
    </row>
    <row r="7840" spans="12:18" x14ac:dyDescent="0.35">
      <c r="L7840" s="71"/>
      <c r="R7840" s="5"/>
    </row>
    <row r="7841" spans="12:18" x14ac:dyDescent="0.35">
      <c r="L7841" s="71"/>
      <c r="R7841" s="5"/>
    </row>
    <row r="7842" spans="12:18" x14ac:dyDescent="0.35">
      <c r="L7842" s="71"/>
      <c r="R7842" s="5"/>
    </row>
    <row r="7843" spans="12:18" x14ac:dyDescent="0.35">
      <c r="L7843" s="71"/>
      <c r="R7843" s="5"/>
    </row>
    <row r="7844" spans="12:18" x14ac:dyDescent="0.35">
      <c r="L7844" s="71"/>
      <c r="R7844" s="5"/>
    </row>
    <row r="7845" spans="12:18" x14ac:dyDescent="0.35">
      <c r="L7845" s="71"/>
      <c r="R7845" s="5"/>
    </row>
    <row r="7846" spans="12:18" x14ac:dyDescent="0.35">
      <c r="L7846" s="71"/>
      <c r="R7846" s="5"/>
    </row>
    <row r="7847" spans="12:18" x14ac:dyDescent="0.35">
      <c r="L7847" s="71"/>
      <c r="R7847" s="5"/>
    </row>
    <row r="7848" spans="12:18" x14ac:dyDescent="0.35">
      <c r="L7848" s="71"/>
      <c r="R7848" s="5"/>
    </row>
    <row r="7849" spans="12:18" x14ac:dyDescent="0.35">
      <c r="L7849" s="71"/>
      <c r="R7849" s="5"/>
    </row>
    <row r="7850" spans="12:18" x14ac:dyDescent="0.35">
      <c r="L7850" s="71"/>
      <c r="R7850" s="5"/>
    </row>
    <row r="7851" spans="12:18" x14ac:dyDescent="0.35">
      <c r="L7851" s="71"/>
      <c r="R7851" s="5"/>
    </row>
    <row r="7852" spans="12:18" x14ac:dyDescent="0.35">
      <c r="L7852" s="71"/>
      <c r="R7852" s="5"/>
    </row>
    <row r="7853" spans="12:18" x14ac:dyDescent="0.35">
      <c r="L7853" s="71"/>
      <c r="R7853" s="5"/>
    </row>
    <row r="7854" spans="12:18" x14ac:dyDescent="0.35">
      <c r="L7854" s="71"/>
      <c r="R7854" s="5"/>
    </row>
    <row r="7855" spans="12:18" x14ac:dyDescent="0.35">
      <c r="L7855" s="71"/>
      <c r="R7855" s="5"/>
    </row>
    <row r="7856" spans="12:18" x14ac:dyDescent="0.35">
      <c r="L7856" s="71"/>
      <c r="R7856" s="5"/>
    </row>
    <row r="7857" spans="12:18" x14ac:dyDescent="0.35">
      <c r="L7857" s="71"/>
      <c r="R7857" s="5"/>
    </row>
    <row r="7858" spans="12:18" x14ac:dyDescent="0.35">
      <c r="L7858" s="71"/>
      <c r="R7858" s="5"/>
    </row>
    <row r="7859" spans="12:18" x14ac:dyDescent="0.35">
      <c r="L7859" s="71"/>
      <c r="R7859" s="5"/>
    </row>
    <row r="7860" spans="12:18" x14ac:dyDescent="0.35">
      <c r="L7860" s="71"/>
      <c r="R7860" s="5"/>
    </row>
    <row r="7861" spans="12:18" x14ac:dyDescent="0.35">
      <c r="L7861" s="71"/>
      <c r="R7861" s="5"/>
    </row>
    <row r="7862" spans="12:18" x14ac:dyDescent="0.35">
      <c r="L7862" s="71"/>
      <c r="R7862" s="5"/>
    </row>
    <row r="7863" spans="12:18" x14ac:dyDescent="0.35">
      <c r="L7863" s="71"/>
      <c r="R7863" s="5"/>
    </row>
    <row r="7864" spans="12:18" x14ac:dyDescent="0.35">
      <c r="L7864" s="71"/>
      <c r="R7864" s="5"/>
    </row>
    <row r="7865" spans="12:18" x14ac:dyDescent="0.35">
      <c r="L7865" s="71"/>
      <c r="R7865" s="5"/>
    </row>
    <row r="7866" spans="12:18" x14ac:dyDescent="0.35">
      <c r="L7866" s="71"/>
      <c r="R7866" s="5"/>
    </row>
    <row r="7867" spans="12:18" x14ac:dyDescent="0.35">
      <c r="L7867" s="71"/>
      <c r="R7867" s="5"/>
    </row>
    <row r="7868" spans="12:18" x14ac:dyDescent="0.35">
      <c r="L7868" s="71"/>
      <c r="R7868" s="5"/>
    </row>
    <row r="7869" spans="12:18" x14ac:dyDescent="0.35">
      <c r="L7869" s="71"/>
      <c r="R7869" s="5"/>
    </row>
    <row r="7870" spans="12:18" x14ac:dyDescent="0.35">
      <c r="L7870" s="71"/>
      <c r="R7870" s="5"/>
    </row>
    <row r="7871" spans="12:18" x14ac:dyDescent="0.35">
      <c r="L7871" s="71"/>
      <c r="R7871" s="5"/>
    </row>
    <row r="7872" spans="12:18" x14ac:dyDescent="0.35">
      <c r="L7872" s="71"/>
      <c r="R7872" s="5"/>
    </row>
    <row r="7873" spans="12:18" x14ac:dyDescent="0.35">
      <c r="L7873" s="71"/>
      <c r="R7873" s="5"/>
    </row>
    <row r="7874" spans="12:18" x14ac:dyDescent="0.35">
      <c r="L7874" s="71"/>
      <c r="R7874" s="5"/>
    </row>
    <row r="7875" spans="12:18" x14ac:dyDescent="0.35">
      <c r="L7875" s="71"/>
      <c r="R7875" s="5"/>
    </row>
    <row r="7876" spans="12:18" x14ac:dyDescent="0.35">
      <c r="L7876" s="71"/>
      <c r="R7876" s="5"/>
    </row>
    <row r="7877" spans="12:18" x14ac:dyDescent="0.35">
      <c r="L7877" s="71"/>
      <c r="R7877" s="5"/>
    </row>
    <row r="7878" spans="12:18" x14ac:dyDescent="0.35">
      <c r="L7878" s="71"/>
      <c r="R7878" s="5"/>
    </row>
    <row r="7879" spans="12:18" x14ac:dyDescent="0.35">
      <c r="L7879" s="71"/>
      <c r="R7879" s="5"/>
    </row>
    <row r="7880" spans="12:18" x14ac:dyDescent="0.35">
      <c r="L7880" s="71"/>
      <c r="R7880" s="5"/>
    </row>
    <row r="7881" spans="12:18" x14ac:dyDescent="0.35">
      <c r="L7881" s="71"/>
      <c r="R7881" s="5"/>
    </row>
    <row r="7882" spans="12:18" x14ac:dyDescent="0.35">
      <c r="L7882" s="71"/>
      <c r="R7882" s="5"/>
    </row>
    <row r="7883" spans="12:18" x14ac:dyDescent="0.35">
      <c r="L7883" s="71"/>
      <c r="R7883" s="5"/>
    </row>
    <row r="7884" spans="12:18" x14ac:dyDescent="0.35">
      <c r="L7884" s="71"/>
      <c r="R7884" s="5"/>
    </row>
    <row r="7885" spans="12:18" x14ac:dyDescent="0.35">
      <c r="L7885" s="71"/>
      <c r="R7885" s="5"/>
    </row>
    <row r="7886" spans="12:18" x14ac:dyDescent="0.35">
      <c r="L7886" s="71"/>
      <c r="R7886" s="5"/>
    </row>
    <row r="7887" spans="12:18" x14ac:dyDescent="0.35">
      <c r="L7887" s="71"/>
      <c r="R7887" s="5"/>
    </row>
    <row r="7888" spans="12:18" x14ac:dyDescent="0.35">
      <c r="L7888" s="71"/>
      <c r="R7888" s="5"/>
    </row>
    <row r="7889" spans="12:18" x14ac:dyDescent="0.35">
      <c r="L7889" s="71"/>
      <c r="R7889" s="5"/>
    </row>
    <row r="7890" spans="12:18" x14ac:dyDescent="0.35">
      <c r="L7890" s="71"/>
      <c r="R7890" s="5"/>
    </row>
    <row r="7891" spans="12:18" x14ac:dyDescent="0.35">
      <c r="L7891" s="71"/>
      <c r="R7891" s="5"/>
    </row>
    <row r="7892" spans="12:18" x14ac:dyDescent="0.35">
      <c r="L7892" s="71"/>
      <c r="R7892" s="5"/>
    </row>
    <row r="7893" spans="12:18" x14ac:dyDescent="0.35">
      <c r="L7893" s="71"/>
      <c r="R7893" s="5"/>
    </row>
    <row r="7894" spans="12:18" x14ac:dyDescent="0.35">
      <c r="L7894" s="71"/>
      <c r="R7894" s="5"/>
    </row>
    <row r="7895" spans="12:18" x14ac:dyDescent="0.35">
      <c r="L7895" s="71"/>
      <c r="R7895" s="5"/>
    </row>
    <row r="7896" spans="12:18" x14ac:dyDescent="0.35">
      <c r="L7896" s="71"/>
      <c r="R7896" s="5"/>
    </row>
    <row r="7897" spans="12:18" x14ac:dyDescent="0.35">
      <c r="L7897" s="71"/>
      <c r="R7897" s="5"/>
    </row>
    <row r="7898" spans="12:18" x14ac:dyDescent="0.35">
      <c r="L7898" s="71"/>
      <c r="R7898" s="5"/>
    </row>
    <row r="7899" spans="12:18" x14ac:dyDescent="0.35">
      <c r="L7899" s="71"/>
      <c r="R7899" s="5"/>
    </row>
    <row r="7900" spans="12:18" x14ac:dyDescent="0.35">
      <c r="L7900" s="71"/>
      <c r="R7900" s="5"/>
    </row>
    <row r="7901" spans="12:18" x14ac:dyDescent="0.35">
      <c r="L7901" s="71"/>
      <c r="R7901" s="5"/>
    </row>
    <row r="7902" spans="12:18" x14ac:dyDescent="0.35">
      <c r="L7902" s="71"/>
      <c r="R7902" s="5"/>
    </row>
    <row r="7903" spans="12:18" x14ac:dyDescent="0.35">
      <c r="L7903" s="71"/>
      <c r="R7903" s="5"/>
    </row>
    <row r="7904" spans="12:18" x14ac:dyDescent="0.35">
      <c r="L7904" s="71"/>
      <c r="R7904" s="5"/>
    </row>
    <row r="7905" spans="12:18" x14ac:dyDescent="0.35">
      <c r="L7905" s="71"/>
      <c r="R7905" s="5"/>
    </row>
    <row r="7906" spans="12:18" x14ac:dyDescent="0.35">
      <c r="L7906" s="71"/>
      <c r="R7906" s="5"/>
    </row>
    <row r="7907" spans="12:18" x14ac:dyDescent="0.35">
      <c r="L7907" s="71"/>
      <c r="R7907" s="5"/>
    </row>
    <row r="7908" spans="12:18" x14ac:dyDescent="0.35">
      <c r="L7908" s="71"/>
      <c r="R7908" s="5"/>
    </row>
    <row r="7909" spans="12:18" x14ac:dyDescent="0.35">
      <c r="L7909" s="71"/>
      <c r="R7909" s="5"/>
    </row>
    <row r="7910" spans="12:18" x14ac:dyDescent="0.35">
      <c r="L7910" s="71"/>
      <c r="R7910" s="5"/>
    </row>
    <row r="7911" spans="12:18" x14ac:dyDescent="0.35">
      <c r="L7911" s="71"/>
      <c r="R7911" s="5"/>
    </row>
    <row r="7912" spans="12:18" x14ac:dyDescent="0.35">
      <c r="L7912" s="71"/>
      <c r="R7912" s="5"/>
    </row>
    <row r="7913" spans="12:18" x14ac:dyDescent="0.35">
      <c r="L7913" s="71"/>
      <c r="R7913" s="5"/>
    </row>
    <row r="7914" spans="12:18" x14ac:dyDescent="0.35">
      <c r="L7914" s="71"/>
      <c r="R7914" s="5"/>
    </row>
    <row r="7915" spans="12:18" x14ac:dyDescent="0.35">
      <c r="L7915" s="71"/>
      <c r="R7915" s="5"/>
    </row>
    <row r="7916" spans="12:18" x14ac:dyDescent="0.35">
      <c r="L7916" s="71"/>
      <c r="R7916" s="5"/>
    </row>
    <row r="7917" spans="12:18" x14ac:dyDescent="0.35">
      <c r="L7917" s="71"/>
      <c r="R7917" s="5"/>
    </row>
    <row r="7918" spans="12:18" x14ac:dyDescent="0.35">
      <c r="L7918" s="71"/>
      <c r="R7918" s="5"/>
    </row>
    <row r="7919" spans="12:18" x14ac:dyDescent="0.35">
      <c r="L7919" s="71"/>
      <c r="R7919" s="5"/>
    </row>
    <row r="7920" spans="12:18" x14ac:dyDescent="0.35">
      <c r="L7920" s="71"/>
      <c r="R7920" s="5"/>
    </row>
    <row r="7921" spans="12:18" x14ac:dyDescent="0.35">
      <c r="L7921" s="71"/>
      <c r="R7921" s="5"/>
    </row>
    <row r="7922" spans="12:18" x14ac:dyDescent="0.35">
      <c r="L7922" s="71"/>
      <c r="R7922" s="5"/>
    </row>
    <row r="7923" spans="12:18" x14ac:dyDescent="0.35">
      <c r="L7923" s="71"/>
      <c r="R7923" s="5"/>
    </row>
    <row r="7924" spans="12:18" x14ac:dyDescent="0.35">
      <c r="L7924" s="71"/>
      <c r="R7924" s="5"/>
    </row>
    <row r="7925" spans="12:18" x14ac:dyDescent="0.35">
      <c r="L7925" s="71"/>
      <c r="R7925" s="5"/>
    </row>
    <row r="7926" spans="12:18" x14ac:dyDescent="0.35">
      <c r="L7926" s="71"/>
      <c r="R7926" s="5"/>
    </row>
    <row r="7927" spans="12:18" x14ac:dyDescent="0.35">
      <c r="L7927" s="71"/>
      <c r="R7927" s="5"/>
    </row>
    <row r="7928" spans="12:18" x14ac:dyDescent="0.35">
      <c r="L7928" s="71"/>
      <c r="R7928" s="5"/>
    </row>
    <row r="7929" spans="12:18" x14ac:dyDescent="0.35">
      <c r="L7929" s="71"/>
      <c r="R7929" s="5"/>
    </row>
    <row r="7930" spans="12:18" x14ac:dyDescent="0.35">
      <c r="L7930" s="71"/>
      <c r="R7930" s="5"/>
    </row>
    <row r="7931" spans="12:18" x14ac:dyDescent="0.35">
      <c r="L7931" s="71"/>
      <c r="R7931" s="5"/>
    </row>
    <row r="7932" spans="12:18" x14ac:dyDescent="0.35">
      <c r="L7932" s="71"/>
      <c r="R7932" s="5"/>
    </row>
    <row r="7933" spans="12:18" x14ac:dyDescent="0.35">
      <c r="L7933" s="71"/>
      <c r="R7933" s="5"/>
    </row>
    <row r="7934" spans="12:18" x14ac:dyDescent="0.35">
      <c r="L7934" s="71"/>
      <c r="R7934" s="5"/>
    </row>
    <row r="7935" spans="12:18" x14ac:dyDescent="0.35">
      <c r="L7935" s="71"/>
      <c r="R7935" s="5"/>
    </row>
    <row r="7936" spans="12:18" x14ac:dyDescent="0.35">
      <c r="L7936" s="71"/>
      <c r="R7936" s="5"/>
    </row>
    <row r="7937" spans="12:18" x14ac:dyDescent="0.35">
      <c r="L7937" s="71"/>
      <c r="R7937" s="5"/>
    </row>
    <row r="7938" spans="12:18" x14ac:dyDescent="0.35">
      <c r="L7938" s="71"/>
      <c r="R7938" s="5"/>
    </row>
    <row r="7939" spans="12:18" x14ac:dyDescent="0.35">
      <c r="L7939" s="71"/>
      <c r="R7939" s="5"/>
    </row>
    <row r="7940" spans="12:18" x14ac:dyDescent="0.35">
      <c r="L7940" s="71"/>
      <c r="R7940" s="5"/>
    </row>
    <row r="7941" spans="12:18" x14ac:dyDescent="0.35">
      <c r="L7941" s="71"/>
      <c r="R7941" s="5"/>
    </row>
    <row r="7942" spans="12:18" x14ac:dyDescent="0.35">
      <c r="L7942" s="71"/>
      <c r="R7942" s="5"/>
    </row>
    <row r="7943" spans="12:18" x14ac:dyDescent="0.35">
      <c r="L7943" s="71"/>
      <c r="R7943" s="5"/>
    </row>
    <row r="7944" spans="12:18" x14ac:dyDescent="0.35">
      <c r="L7944" s="71"/>
      <c r="R7944" s="5"/>
    </row>
    <row r="7945" spans="12:18" x14ac:dyDescent="0.35">
      <c r="L7945" s="71"/>
      <c r="R7945" s="5"/>
    </row>
    <row r="7946" spans="12:18" x14ac:dyDescent="0.35">
      <c r="L7946" s="71"/>
      <c r="R7946" s="5"/>
    </row>
    <row r="7947" spans="12:18" x14ac:dyDescent="0.35">
      <c r="L7947" s="71"/>
      <c r="R7947" s="5"/>
    </row>
    <row r="7948" spans="12:18" x14ac:dyDescent="0.35">
      <c r="L7948" s="71"/>
      <c r="R7948" s="5"/>
    </row>
    <row r="7949" spans="12:18" x14ac:dyDescent="0.35">
      <c r="L7949" s="71"/>
      <c r="R7949" s="5"/>
    </row>
    <row r="7950" spans="12:18" x14ac:dyDescent="0.35">
      <c r="L7950" s="71"/>
      <c r="R7950" s="5"/>
    </row>
    <row r="7951" spans="12:18" x14ac:dyDescent="0.35">
      <c r="L7951" s="71"/>
      <c r="R7951" s="5"/>
    </row>
    <row r="7952" spans="12:18" x14ac:dyDescent="0.35">
      <c r="L7952" s="71"/>
      <c r="R7952" s="5"/>
    </row>
    <row r="7953" spans="12:18" x14ac:dyDescent="0.35">
      <c r="L7953" s="71"/>
      <c r="R7953" s="5"/>
    </row>
    <row r="7954" spans="12:18" x14ac:dyDescent="0.35">
      <c r="L7954" s="71"/>
      <c r="R7954" s="5"/>
    </row>
    <row r="7955" spans="12:18" x14ac:dyDescent="0.35">
      <c r="L7955" s="71"/>
      <c r="R7955" s="5"/>
    </row>
    <row r="7956" spans="12:18" x14ac:dyDescent="0.35">
      <c r="L7956" s="71"/>
      <c r="R7956" s="5"/>
    </row>
    <row r="7957" spans="12:18" x14ac:dyDescent="0.35">
      <c r="L7957" s="71"/>
      <c r="R7957" s="5"/>
    </row>
    <row r="7958" spans="12:18" x14ac:dyDescent="0.35">
      <c r="L7958" s="71"/>
      <c r="R7958" s="5"/>
    </row>
    <row r="7959" spans="12:18" x14ac:dyDescent="0.35">
      <c r="L7959" s="71"/>
      <c r="R7959" s="5"/>
    </row>
    <row r="7960" spans="12:18" x14ac:dyDescent="0.35">
      <c r="L7960" s="71"/>
      <c r="R7960" s="5"/>
    </row>
    <row r="7961" spans="12:18" x14ac:dyDescent="0.35">
      <c r="L7961" s="71"/>
      <c r="R7961" s="5"/>
    </row>
    <row r="7962" spans="12:18" x14ac:dyDescent="0.35">
      <c r="L7962" s="71"/>
      <c r="R7962" s="5"/>
    </row>
    <row r="7963" spans="12:18" x14ac:dyDescent="0.35">
      <c r="L7963" s="71"/>
      <c r="R7963" s="5"/>
    </row>
    <row r="7964" spans="12:18" x14ac:dyDescent="0.35">
      <c r="L7964" s="71"/>
      <c r="R7964" s="5"/>
    </row>
    <row r="7965" spans="12:18" x14ac:dyDescent="0.35">
      <c r="L7965" s="71"/>
      <c r="R7965" s="5"/>
    </row>
    <row r="7966" spans="12:18" x14ac:dyDescent="0.35">
      <c r="L7966" s="71"/>
      <c r="R7966" s="5"/>
    </row>
    <row r="7967" spans="12:18" x14ac:dyDescent="0.35">
      <c r="L7967" s="71"/>
      <c r="R7967" s="5"/>
    </row>
    <row r="7968" spans="12:18" x14ac:dyDescent="0.35">
      <c r="L7968" s="71"/>
      <c r="R7968" s="5"/>
    </row>
    <row r="7969" spans="12:18" x14ac:dyDescent="0.35">
      <c r="L7969" s="71"/>
      <c r="R7969" s="5"/>
    </row>
    <row r="7970" spans="12:18" x14ac:dyDescent="0.35">
      <c r="L7970" s="71"/>
      <c r="R7970" s="5"/>
    </row>
    <row r="7971" spans="12:18" x14ac:dyDescent="0.35">
      <c r="L7971" s="71"/>
      <c r="R7971" s="5"/>
    </row>
    <row r="7972" spans="12:18" x14ac:dyDescent="0.35">
      <c r="L7972" s="71"/>
      <c r="R7972" s="5"/>
    </row>
    <row r="7973" spans="12:18" x14ac:dyDescent="0.35">
      <c r="L7973" s="71"/>
      <c r="R7973" s="5"/>
    </row>
    <row r="7974" spans="12:18" x14ac:dyDescent="0.35">
      <c r="L7974" s="71"/>
      <c r="R7974" s="5"/>
    </row>
    <row r="7975" spans="12:18" x14ac:dyDescent="0.35">
      <c r="L7975" s="71"/>
      <c r="R7975" s="5"/>
    </row>
    <row r="7976" spans="12:18" x14ac:dyDescent="0.35">
      <c r="L7976" s="71"/>
      <c r="R7976" s="5"/>
    </row>
    <row r="7977" spans="12:18" x14ac:dyDescent="0.35">
      <c r="L7977" s="71"/>
      <c r="R7977" s="5"/>
    </row>
    <row r="7978" spans="12:18" x14ac:dyDescent="0.35">
      <c r="L7978" s="71"/>
      <c r="R7978" s="5"/>
    </row>
    <row r="7979" spans="12:18" x14ac:dyDescent="0.35">
      <c r="L7979" s="71"/>
      <c r="R7979" s="5"/>
    </row>
    <row r="7980" spans="12:18" x14ac:dyDescent="0.35">
      <c r="L7980" s="71"/>
      <c r="R7980" s="5"/>
    </row>
    <row r="7981" spans="12:18" x14ac:dyDescent="0.35">
      <c r="L7981" s="71"/>
      <c r="R7981" s="5"/>
    </row>
    <row r="7982" spans="12:18" x14ac:dyDescent="0.35">
      <c r="L7982" s="71"/>
      <c r="R7982" s="5"/>
    </row>
    <row r="7983" spans="12:18" x14ac:dyDescent="0.35">
      <c r="L7983" s="71"/>
      <c r="R7983" s="5"/>
    </row>
    <row r="7984" spans="12:18" x14ac:dyDescent="0.35">
      <c r="L7984" s="71"/>
      <c r="R7984" s="5"/>
    </row>
    <row r="7985" spans="12:18" x14ac:dyDescent="0.35">
      <c r="L7985" s="71"/>
      <c r="R7985" s="5"/>
    </row>
    <row r="7986" spans="12:18" x14ac:dyDescent="0.35">
      <c r="L7986" s="71"/>
      <c r="R7986" s="5"/>
    </row>
    <row r="7987" spans="12:18" x14ac:dyDescent="0.35">
      <c r="L7987" s="71"/>
      <c r="R7987" s="5"/>
    </row>
    <row r="7988" spans="12:18" x14ac:dyDescent="0.35">
      <c r="L7988" s="71"/>
      <c r="R7988" s="5"/>
    </row>
    <row r="7989" spans="12:18" x14ac:dyDescent="0.35">
      <c r="L7989" s="71"/>
      <c r="R7989" s="5"/>
    </row>
    <row r="7990" spans="12:18" x14ac:dyDescent="0.35">
      <c r="L7990" s="71"/>
      <c r="R7990" s="5"/>
    </row>
    <row r="7991" spans="12:18" x14ac:dyDescent="0.35">
      <c r="L7991" s="71"/>
      <c r="R7991" s="5"/>
    </row>
    <row r="7992" spans="12:18" x14ac:dyDescent="0.35">
      <c r="L7992" s="71"/>
      <c r="R7992" s="5"/>
    </row>
    <row r="7993" spans="12:18" x14ac:dyDescent="0.35">
      <c r="L7993" s="71"/>
      <c r="R7993" s="5"/>
    </row>
    <row r="7994" spans="12:18" x14ac:dyDescent="0.35">
      <c r="L7994" s="71"/>
      <c r="R7994" s="5"/>
    </row>
    <row r="7995" spans="12:18" x14ac:dyDescent="0.35">
      <c r="L7995" s="71"/>
      <c r="R7995" s="5"/>
    </row>
    <row r="7996" spans="12:18" x14ac:dyDescent="0.35">
      <c r="L7996" s="71"/>
      <c r="R7996" s="5"/>
    </row>
    <row r="7997" spans="12:18" x14ac:dyDescent="0.35">
      <c r="L7997" s="71"/>
      <c r="R7997" s="5"/>
    </row>
    <row r="7998" spans="12:18" x14ac:dyDescent="0.35">
      <c r="L7998" s="71"/>
      <c r="R7998" s="5"/>
    </row>
    <row r="7999" spans="12:18" x14ac:dyDescent="0.35">
      <c r="L7999" s="71"/>
      <c r="R7999" s="5"/>
    </row>
    <row r="8000" spans="12:18" x14ac:dyDescent="0.35">
      <c r="L8000" s="71"/>
      <c r="R8000" s="5"/>
    </row>
    <row r="8001" spans="12:18" x14ac:dyDescent="0.35">
      <c r="L8001" s="71"/>
      <c r="R8001" s="5"/>
    </row>
    <row r="8002" spans="12:18" x14ac:dyDescent="0.35">
      <c r="L8002" s="71"/>
      <c r="R8002" s="5"/>
    </row>
    <row r="8003" spans="12:18" x14ac:dyDescent="0.35">
      <c r="L8003" s="71"/>
      <c r="R8003" s="5"/>
    </row>
    <row r="8004" spans="12:18" x14ac:dyDescent="0.35">
      <c r="L8004" s="71"/>
      <c r="R8004" s="5"/>
    </row>
    <row r="8005" spans="12:18" x14ac:dyDescent="0.35">
      <c r="L8005" s="71"/>
      <c r="R8005" s="5"/>
    </row>
    <row r="8006" spans="12:18" x14ac:dyDescent="0.35">
      <c r="L8006" s="71"/>
      <c r="R8006" s="5"/>
    </row>
    <row r="8007" spans="12:18" x14ac:dyDescent="0.35">
      <c r="L8007" s="71"/>
      <c r="R8007" s="5"/>
    </row>
    <row r="8008" spans="12:18" x14ac:dyDescent="0.35">
      <c r="L8008" s="71"/>
      <c r="R8008" s="5"/>
    </row>
    <row r="8009" spans="12:18" x14ac:dyDescent="0.35">
      <c r="L8009" s="71"/>
      <c r="R8009" s="5"/>
    </row>
    <row r="8010" spans="12:18" x14ac:dyDescent="0.35">
      <c r="L8010" s="71"/>
      <c r="R8010" s="5"/>
    </row>
    <row r="8011" spans="12:18" x14ac:dyDescent="0.35">
      <c r="L8011" s="71"/>
      <c r="R8011" s="5"/>
    </row>
    <row r="8012" spans="12:18" x14ac:dyDescent="0.35">
      <c r="L8012" s="71"/>
      <c r="R8012" s="5"/>
    </row>
    <row r="8013" spans="12:18" x14ac:dyDescent="0.35">
      <c r="L8013" s="71"/>
      <c r="R8013" s="5"/>
    </row>
    <row r="8014" spans="12:18" x14ac:dyDescent="0.35">
      <c r="L8014" s="71"/>
      <c r="R8014" s="5"/>
    </row>
    <row r="8015" spans="12:18" x14ac:dyDescent="0.35">
      <c r="L8015" s="71"/>
      <c r="R8015" s="5"/>
    </row>
    <row r="8016" spans="12:18" x14ac:dyDescent="0.35">
      <c r="L8016" s="71"/>
      <c r="R8016" s="5"/>
    </row>
    <row r="8017" spans="12:18" x14ac:dyDescent="0.35">
      <c r="L8017" s="71"/>
      <c r="R8017" s="5"/>
    </row>
    <row r="8018" spans="12:18" x14ac:dyDescent="0.35">
      <c r="L8018" s="71"/>
      <c r="R8018" s="5"/>
    </row>
    <row r="8019" spans="12:18" x14ac:dyDescent="0.35">
      <c r="L8019" s="71"/>
      <c r="R8019" s="5"/>
    </row>
    <row r="8020" spans="12:18" x14ac:dyDescent="0.35">
      <c r="L8020" s="71"/>
      <c r="R8020" s="5"/>
    </row>
    <row r="8021" spans="12:18" x14ac:dyDescent="0.35">
      <c r="L8021" s="71"/>
      <c r="R8021" s="5"/>
    </row>
    <row r="8022" spans="12:18" x14ac:dyDescent="0.35">
      <c r="L8022" s="71"/>
      <c r="R8022" s="5"/>
    </row>
    <row r="8023" spans="12:18" x14ac:dyDescent="0.35">
      <c r="L8023" s="71"/>
      <c r="R8023" s="5"/>
    </row>
    <row r="8024" spans="12:18" x14ac:dyDescent="0.35">
      <c r="L8024" s="71"/>
      <c r="R8024" s="5"/>
    </row>
    <row r="8025" spans="12:18" x14ac:dyDescent="0.35">
      <c r="L8025" s="71"/>
      <c r="R8025" s="5"/>
    </row>
    <row r="8026" spans="12:18" x14ac:dyDescent="0.35">
      <c r="L8026" s="71"/>
      <c r="R8026" s="5"/>
    </row>
    <row r="8027" spans="12:18" x14ac:dyDescent="0.35">
      <c r="L8027" s="71"/>
      <c r="R8027" s="5"/>
    </row>
    <row r="8028" spans="12:18" x14ac:dyDescent="0.35">
      <c r="L8028" s="71"/>
      <c r="R8028" s="5"/>
    </row>
    <row r="8029" spans="12:18" x14ac:dyDescent="0.35">
      <c r="L8029" s="71"/>
      <c r="R8029" s="5"/>
    </row>
    <row r="8030" spans="12:18" x14ac:dyDescent="0.35">
      <c r="L8030" s="71"/>
      <c r="R8030" s="5"/>
    </row>
    <row r="8031" spans="12:18" x14ac:dyDescent="0.35">
      <c r="L8031" s="71"/>
      <c r="R8031" s="5"/>
    </row>
    <row r="8032" spans="12:18" x14ac:dyDescent="0.35">
      <c r="L8032" s="71"/>
      <c r="R8032" s="5"/>
    </row>
    <row r="8033" spans="12:18" x14ac:dyDescent="0.35">
      <c r="L8033" s="71"/>
      <c r="R8033" s="5"/>
    </row>
    <row r="8034" spans="12:18" x14ac:dyDescent="0.35">
      <c r="L8034" s="71"/>
      <c r="R8034" s="5"/>
    </row>
    <row r="8035" spans="12:18" x14ac:dyDescent="0.35">
      <c r="L8035" s="71"/>
      <c r="R8035" s="5"/>
    </row>
    <row r="8036" spans="12:18" x14ac:dyDescent="0.35">
      <c r="L8036" s="71"/>
      <c r="R8036" s="5"/>
    </row>
    <row r="8037" spans="12:18" x14ac:dyDescent="0.35">
      <c r="L8037" s="71"/>
      <c r="R8037" s="5"/>
    </row>
    <row r="8038" spans="12:18" x14ac:dyDescent="0.35">
      <c r="L8038" s="71"/>
      <c r="R8038" s="5"/>
    </row>
    <row r="8039" spans="12:18" x14ac:dyDescent="0.35">
      <c r="L8039" s="71"/>
      <c r="R8039" s="5"/>
    </row>
    <row r="8040" spans="12:18" x14ac:dyDescent="0.35">
      <c r="L8040" s="71"/>
      <c r="R8040" s="5"/>
    </row>
    <row r="8041" spans="12:18" x14ac:dyDescent="0.35">
      <c r="L8041" s="71"/>
      <c r="R8041" s="5"/>
    </row>
    <row r="8042" spans="12:18" x14ac:dyDescent="0.35">
      <c r="L8042" s="71"/>
      <c r="R8042" s="5"/>
    </row>
    <row r="8043" spans="12:18" x14ac:dyDescent="0.35">
      <c r="L8043" s="71"/>
      <c r="R8043" s="5"/>
    </row>
    <row r="8044" spans="12:18" x14ac:dyDescent="0.35">
      <c r="L8044" s="71"/>
      <c r="R8044" s="5"/>
    </row>
    <row r="8045" spans="12:18" x14ac:dyDescent="0.35">
      <c r="L8045" s="71"/>
      <c r="R8045" s="5"/>
    </row>
    <row r="8046" spans="12:18" x14ac:dyDescent="0.35">
      <c r="L8046" s="71"/>
      <c r="R8046" s="5"/>
    </row>
    <row r="8047" spans="12:18" x14ac:dyDescent="0.35">
      <c r="L8047" s="71"/>
      <c r="R8047" s="5"/>
    </row>
    <row r="8048" spans="12:18" x14ac:dyDescent="0.35">
      <c r="L8048" s="71"/>
      <c r="R8048" s="5"/>
    </row>
    <row r="8049" spans="12:18" x14ac:dyDescent="0.35">
      <c r="L8049" s="71"/>
      <c r="R8049" s="5"/>
    </row>
    <row r="8050" spans="12:18" x14ac:dyDescent="0.35">
      <c r="L8050" s="71"/>
      <c r="R8050" s="5"/>
    </row>
    <row r="8051" spans="12:18" x14ac:dyDescent="0.35">
      <c r="L8051" s="71"/>
      <c r="R8051" s="5"/>
    </row>
    <row r="8052" spans="12:18" x14ac:dyDescent="0.35">
      <c r="L8052" s="71"/>
      <c r="R8052" s="5"/>
    </row>
    <row r="8053" spans="12:18" x14ac:dyDescent="0.35">
      <c r="L8053" s="71"/>
      <c r="R8053" s="5"/>
    </row>
    <row r="8054" spans="12:18" x14ac:dyDescent="0.35">
      <c r="L8054" s="71"/>
      <c r="R8054" s="5"/>
    </row>
    <row r="8055" spans="12:18" x14ac:dyDescent="0.35">
      <c r="L8055" s="71"/>
      <c r="R8055" s="5"/>
    </row>
    <row r="8056" spans="12:18" x14ac:dyDescent="0.35">
      <c r="L8056" s="71"/>
      <c r="R8056" s="5"/>
    </row>
    <row r="8057" spans="12:18" x14ac:dyDescent="0.35">
      <c r="L8057" s="71"/>
      <c r="R8057" s="5"/>
    </row>
    <row r="8058" spans="12:18" x14ac:dyDescent="0.35">
      <c r="L8058" s="71"/>
      <c r="R8058" s="5"/>
    </row>
    <row r="8059" spans="12:18" x14ac:dyDescent="0.35">
      <c r="L8059" s="71"/>
      <c r="R8059" s="5"/>
    </row>
    <row r="8060" spans="12:18" x14ac:dyDescent="0.35">
      <c r="L8060" s="71"/>
      <c r="R8060" s="5"/>
    </row>
    <row r="8061" spans="12:18" x14ac:dyDescent="0.35">
      <c r="L8061" s="71"/>
      <c r="R8061" s="5"/>
    </row>
    <row r="8062" spans="12:18" x14ac:dyDescent="0.35">
      <c r="L8062" s="71"/>
      <c r="R8062" s="5"/>
    </row>
    <row r="8063" spans="12:18" x14ac:dyDescent="0.35">
      <c r="L8063" s="71"/>
      <c r="R8063" s="5"/>
    </row>
    <row r="8064" spans="12:18" x14ac:dyDescent="0.35">
      <c r="L8064" s="71"/>
      <c r="R8064" s="5"/>
    </row>
    <row r="8065" spans="12:18" x14ac:dyDescent="0.35">
      <c r="L8065" s="71"/>
      <c r="R8065" s="5"/>
    </row>
    <row r="8066" spans="12:18" x14ac:dyDescent="0.35">
      <c r="L8066" s="71"/>
      <c r="R8066" s="5"/>
    </row>
    <row r="8067" spans="12:18" x14ac:dyDescent="0.35">
      <c r="L8067" s="71"/>
      <c r="R8067" s="5"/>
    </row>
    <row r="8068" spans="12:18" x14ac:dyDescent="0.35">
      <c r="L8068" s="71"/>
      <c r="R8068" s="5"/>
    </row>
    <row r="8069" spans="12:18" x14ac:dyDescent="0.35">
      <c r="L8069" s="71"/>
      <c r="R8069" s="5"/>
    </row>
    <row r="8070" spans="12:18" x14ac:dyDescent="0.35">
      <c r="L8070" s="71"/>
      <c r="R8070" s="5"/>
    </row>
    <row r="8071" spans="12:18" x14ac:dyDescent="0.35">
      <c r="L8071" s="71"/>
      <c r="R8071" s="5"/>
    </row>
    <row r="8072" spans="12:18" x14ac:dyDescent="0.35">
      <c r="L8072" s="71"/>
      <c r="R8072" s="5"/>
    </row>
    <row r="8073" spans="12:18" x14ac:dyDescent="0.35">
      <c r="L8073" s="71"/>
      <c r="R8073" s="5"/>
    </row>
    <row r="8074" spans="12:18" x14ac:dyDescent="0.35">
      <c r="L8074" s="71"/>
      <c r="R8074" s="5"/>
    </row>
    <row r="8075" spans="12:18" x14ac:dyDescent="0.35">
      <c r="L8075" s="71"/>
      <c r="R8075" s="5"/>
    </row>
    <row r="8076" spans="12:18" x14ac:dyDescent="0.35">
      <c r="L8076" s="71"/>
      <c r="R8076" s="5"/>
    </row>
    <row r="8077" spans="12:18" x14ac:dyDescent="0.35">
      <c r="L8077" s="71"/>
      <c r="R8077" s="5"/>
    </row>
    <row r="8078" spans="12:18" x14ac:dyDescent="0.35">
      <c r="L8078" s="71"/>
      <c r="R8078" s="5"/>
    </row>
    <row r="8079" spans="12:18" x14ac:dyDescent="0.35">
      <c r="L8079" s="71"/>
      <c r="R8079" s="5"/>
    </row>
    <row r="8080" spans="12:18" x14ac:dyDescent="0.35">
      <c r="L8080" s="71"/>
      <c r="R8080" s="5"/>
    </row>
    <row r="8081" spans="12:18" x14ac:dyDescent="0.35">
      <c r="L8081" s="71"/>
      <c r="R8081" s="5"/>
    </row>
    <row r="8082" spans="12:18" x14ac:dyDescent="0.35">
      <c r="L8082" s="71"/>
      <c r="R8082" s="5"/>
    </row>
    <row r="8083" spans="12:18" x14ac:dyDescent="0.35">
      <c r="L8083" s="71"/>
      <c r="R8083" s="5"/>
    </row>
    <row r="8084" spans="12:18" x14ac:dyDescent="0.35">
      <c r="L8084" s="71"/>
      <c r="R8084" s="5"/>
    </row>
    <row r="8085" spans="12:18" x14ac:dyDescent="0.35">
      <c r="L8085" s="71"/>
      <c r="R8085" s="5"/>
    </row>
    <row r="8086" spans="12:18" x14ac:dyDescent="0.35">
      <c r="L8086" s="71"/>
      <c r="R8086" s="5"/>
    </row>
    <row r="8087" spans="12:18" x14ac:dyDescent="0.35">
      <c r="L8087" s="71"/>
      <c r="R8087" s="5"/>
    </row>
    <row r="8088" spans="12:18" x14ac:dyDescent="0.35">
      <c r="L8088" s="71"/>
      <c r="R8088" s="5"/>
    </row>
    <row r="8089" spans="12:18" x14ac:dyDescent="0.35">
      <c r="L8089" s="71"/>
      <c r="R8089" s="5"/>
    </row>
    <row r="8090" spans="12:18" x14ac:dyDescent="0.35">
      <c r="L8090" s="71"/>
      <c r="R8090" s="5"/>
    </row>
    <row r="8091" spans="12:18" x14ac:dyDescent="0.35">
      <c r="L8091" s="71"/>
      <c r="R8091" s="5"/>
    </row>
    <row r="8092" spans="12:18" x14ac:dyDescent="0.35">
      <c r="L8092" s="71"/>
      <c r="R8092" s="5"/>
    </row>
    <row r="8093" spans="12:18" x14ac:dyDescent="0.35">
      <c r="L8093" s="71"/>
      <c r="R8093" s="5"/>
    </row>
    <row r="8094" spans="12:18" x14ac:dyDescent="0.35">
      <c r="L8094" s="71"/>
      <c r="R8094" s="5"/>
    </row>
    <row r="8095" spans="12:18" x14ac:dyDescent="0.35">
      <c r="L8095" s="71"/>
      <c r="R8095" s="5"/>
    </row>
    <row r="8096" spans="12:18" x14ac:dyDescent="0.35">
      <c r="L8096" s="71"/>
      <c r="R8096" s="5"/>
    </row>
    <row r="8097" spans="12:18" x14ac:dyDescent="0.35">
      <c r="L8097" s="71"/>
      <c r="R8097" s="5"/>
    </row>
    <row r="8098" spans="12:18" x14ac:dyDescent="0.35">
      <c r="L8098" s="71"/>
      <c r="R8098" s="5"/>
    </row>
    <row r="8099" spans="12:18" x14ac:dyDescent="0.35">
      <c r="L8099" s="71"/>
      <c r="R8099" s="5"/>
    </row>
    <row r="8100" spans="12:18" x14ac:dyDescent="0.35">
      <c r="L8100" s="71"/>
      <c r="R8100" s="5"/>
    </row>
    <row r="8101" spans="12:18" x14ac:dyDescent="0.35">
      <c r="L8101" s="71"/>
      <c r="R8101" s="5"/>
    </row>
    <row r="8102" spans="12:18" x14ac:dyDescent="0.35">
      <c r="L8102" s="71"/>
      <c r="R8102" s="5"/>
    </row>
    <row r="8103" spans="12:18" x14ac:dyDescent="0.35">
      <c r="L8103" s="71"/>
      <c r="R8103" s="5"/>
    </row>
    <row r="8104" spans="12:18" x14ac:dyDescent="0.35">
      <c r="L8104" s="71"/>
      <c r="R8104" s="5"/>
    </row>
    <row r="8105" spans="12:18" x14ac:dyDescent="0.35">
      <c r="L8105" s="71"/>
      <c r="R8105" s="5"/>
    </row>
    <row r="8106" spans="12:18" x14ac:dyDescent="0.35">
      <c r="L8106" s="71"/>
      <c r="R8106" s="5"/>
    </row>
    <row r="8107" spans="12:18" x14ac:dyDescent="0.35">
      <c r="L8107" s="71"/>
      <c r="R8107" s="5"/>
    </row>
    <row r="8108" spans="12:18" x14ac:dyDescent="0.35">
      <c r="L8108" s="71"/>
      <c r="R8108" s="5"/>
    </row>
    <row r="8109" spans="12:18" x14ac:dyDescent="0.35">
      <c r="L8109" s="71"/>
      <c r="R8109" s="5"/>
    </row>
    <row r="8110" spans="12:18" x14ac:dyDescent="0.35">
      <c r="L8110" s="71"/>
      <c r="R8110" s="5"/>
    </row>
    <row r="8111" spans="12:18" x14ac:dyDescent="0.35">
      <c r="L8111" s="71"/>
      <c r="R8111" s="5"/>
    </row>
    <row r="8112" spans="12:18" x14ac:dyDescent="0.35">
      <c r="L8112" s="71"/>
      <c r="R8112" s="5"/>
    </row>
    <row r="8113" spans="12:18" x14ac:dyDescent="0.35">
      <c r="L8113" s="71"/>
      <c r="R8113" s="5"/>
    </row>
    <row r="8114" spans="12:18" x14ac:dyDescent="0.35">
      <c r="L8114" s="71"/>
      <c r="R8114" s="5"/>
    </row>
    <row r="8115" spans="12:18" x14ac:dyDescent="0.35">
      <c r="L8115" s="71"/>
      <c r="R8115" s="5"/>
    </row>
    <row r="8116" spans="12:18" x14ac:dyDescent="0.35">
      <c r="L8116" s="71"/>
      <c r="R8116" s="5"/>
    </row>
    <row r="8117" spans="12:18" x14ac:dyDescent="0.35">
      <c r="L8117" s="71"/>
      <c r="R8117" s="5"/>
    </row>
    <row r="8118" spans="12:18" x14ac:dyDescent="0.35">
      <c r="L8118" s="71"/>
      <c r="R8118" s="5"/>
    </row>
    <row r="8119" spans="12:18" x14ac:dyDescent="0.35">
      <c r="L8119" s="71"/>
      <c r="R8119" s="5"/>
    </row>
    <row r="8120" spans="12:18" x14ac:dyDescent="0.35">
      <c r="L8120" s="71"/>
      <c r="R8120" s="5"/>
    </row>
    <row r="8121" spans="12:18" x14ac:dyDescent="0.35">
      <c r="L8121" s="71"/>
      <c r="R8121" s="5"/>
    </row>
    <row r="8122" spans="12:18" x14ac:dyDescent="0.35">
      <c r="L8122" s="71"/>
      <c r="R8122" s="5"/>
    </row>
    <row r="8123" spans="12:18" x14ac:dyDescent="0.35">
      <c r="L8123" s="71"/>
      <c r="R8123" s="5"/>
    </row>
    <row r="8124" spans="12:18" x14ac:dyDescent="0.35">
      <c r="L8124" s="71"/>
      <c r="R8124" s="5"/>
    </row>
    <row r="8125" spans="12:18" x14ac:dyDescent="0.35">
      <c r="L8125" s="71"/>
      <c r="R8125" s="5"/>
    </row>
    <row r="8126" spans="12:18" x14ac:dyDescent="0.35">
      <c r="L8126" s="71"/>
      <c r="R8126" s="5"/>
    </row>
    <row r="8127" spans="12:18" x14ac:dyDescent="0.35">
      <c r="L8127" s="71"/>
      <c r="R8127" s="5"/>
    </row>
    <row r="8128" spans="12:18" x14ac:dyDescent="0.35">
      <c r="L8128" s="71"/>
      <c r="R8128" s="5"/>
    </row>
    <row r="8129" spans="12:18" x14ac:dyDescent="0.35">
      <c r="L8129" s="71"/>
      <c r="R8129" s="5"/>
    </row>
    <row r="8130" spans="12:18" x14ac:dyDescent="0.35">
      <c r="L8130" s="71"/>
      <c r="R8130" s="5"/>
    </row>
    <row r="8131" spans="12:18" x14ac:dyDescent="0.35">
      <c r="L8131" s="71"/>
      <c r="R8131" s="5"/>
    </row>
    <row r="8132" spans="12:18" x14ac:dyDescent="0.35">
      <c r="L8132" s="71"/>
      <c r="R8132" s="5"/>
    </row>
    <row r="8133" spans="12:18" x14ac:dyDescent="0.35">
      <c r="L8133" s="71"/>
      <c r="R8133" s="5"/>
    </row>
    <row r="8134" spans="12:18" x14ac:dyDescent="0.35">
      <c r="L8134" s="71"/>
      <c r="R8134" s="5"/>
    </row>
    <row r="8135" spans="12:18" x14ac:dyDescent="0.35">
      <c r="L8135" s="71"/>
      <c r="R8135" s="5"/>
    </row>
    <row r="8136" spans="12:18" x14ac:dyDescent="0.35">
      <c r="L8136" s="71"/>
      <c r="R8136" s="5"/>
    </row>
    <row r="8137" spans="12:18" x14ac:dyDescent="0.35">
      <c r="L8137" s="71"/>
      <c r="R8137" s="5"/>
    </row>
  </sheetData>
  <sheetProtection sheet="1" objects="1" scenarios="1"/>
  <mergeCells count="237">
    <mergeCell ref="M14:N14"/>
    <mergeCell ref="M15:N34"/>
    <mergeCell ref="P14:Q14"/>
    <mergeCell ref="P15:Q34"/>
    <mergeCell ref="M80:N80"/>
    <mergeCell ref="P80:Q80"/>
    <mergeCell ref="M81:N100"/>
    <mergeCell ref="P81:Q100"/>
    <mergeCell ref="M68:N69"/>
    <mergeCell ref="P68:Q69"/>
    <mergeCell ref="P35:Q36"/>
    <mergeCell ref="M35:N36"/>
    <mergeCell ref="M48:N67"/>
    <mergeCell ref="P48:Q67"/>
    <mergeCell ref="M70:N70"/>
    <mergeCell ref="P70:Q70"/>
    <mergeCell ref="M75:M78"/>
    <mergeCell ref="N75:N78"/>
    <mergeCell ref="P75:P78"/>
    <mergeCell ref="Q75:Q78"/>
    <mergeCell ref="W42:AD56"/>
    <mergeCell ref="M37:N37"/>
    <mergeCell ref="P37:Q37"/>
    <mergeCell ref="M42:M45"/>
    <mergeCell ref="N42:N45"/>
    <mergeCell ref="P42:P45"/>
    <mergeCell ref="Q42:Q45"/>
    <mergeCell ref="M47:N47"/>
    <mergeCell ref="P47:Q47"/>
    <mergeCell ref="B150:E150"/>
    <mergeCell ref="B145:E145"/>
    <mergeCell ref="B146:E146"/>
    <mergeCell ref="B147:E147"/>
    <mergeCell ref="B148:E148"/>
    <mergeCell ref="B149:E149"/>
    <mergeCell ref="B141:C141"/>
    <mergeCell ref="D141:E141"/>
    <mergeCell ref="B142:C142"/>
    <mergeCell ref="D142:E142"/>
    <mergeCell ref="B143:C143"/>
    <mergeCell ref="D143:E143"/>
    <mergeCell ref="B138:C138"/>
    <mergeCell ref="D138:E138"/>
    <mergeCell ref="B139:C139"/>
    <mergeCell ref="D139:E139"/>
    <mergeCell ref="B140:C140"/>
    <mergeCell ref="D140:E140"/>
    <mergeCell ref="B135:E135"/>
    <mergeCell ref="B136:C136"/>
    <mergeCell ref="D136:E136"/>
    <mergeCell ref="B137:C137"/>
    <mergeCell ref="D137:E137"/>
    <mergeCell ref="B131:C131"/>
    <mergeCell ref="D131:E131"/>
    <mergeCell ref="B132:C132"/>
    <mergeCell ref="D132:E132"/>
    <mergeCell ref="B133:C133"/>
    <mergeCell ref="D133:E133"/>
    <mergeCell ref="B128:C128"/>
    <mergeCell ref="D128:E128"/>
    <mergeCell ref="B129:C129"/>
    <mergeCell ref="D129:E129"/>
    <mergeCell ref="B130:C130"/>
    <mergeCell ref="D130:E130"/>
    <mergeCell ref="B120:E120"/>
    <mergeCell ref="B123:K124"/>
    <mergeCell ref="B126:E126"/>
    <mergeCell ref="B127:C127"/>
    <mergeCell ref="D127:E127"/>
    <mergeCell ref="B115:E115"/>
    <mergeCell ref="B116:E116"/>
    <mergeCell ref="B117:E117"/>
    <mergeCell ref="B118:E118"/>
    <mergeCell ref="B119:E119"/>
    <mergeCell ref="B82:C82"/>
    <mergeCell ref="D82:E82"/>
    <mergeCell ref="B83:C83"/>
    <mergeCell ref="D83:E83"/>
    <mergeCell ref="B78:C78"/>
    <mergeCell ref="D78:E78"/>
    <mergeCell ref="B79:C79"/>
    <mergeCell ref="D79:E79"/>
    <mergeCell ref="B80:C80"/>
    <mergeCell ref="D80:E80"/>
    <mergeCell ref="B81:C81"/>
    <mergeCell ref="D81:E81"/>
    <mergeCell ref="B110:C110"/>
    <mergeCell ref="D110:E110"/>
    <mergeCell ref="B111:C111"/>
    <mergeCell ref="D111:E111"/>
    <mergeCell ref="B112:C112"/>
    <mergeCell ref="D112:E112"/>
    <mergeCell ref="B113:C113"/>
    <mergeCell ref="D113:E113"/>
    <mergeCell ref="B106:C106"/>
    <mergeCell ref="D106:E106"/>
    <mergeCell ref="B107:C107"/>
    <mergeCell ref="D107:E107"/>
    <mergeCell ref="B108:C108"/>
    <mergeCell ref="D108:E108"/>
    <mergeCell ref="B109:C109"/>
    <mergeCell ref="D109:E109"/>
    <mergeCell ref="B103:C103"/>
    <mergeCell ref="D103:E103"/>
    <mergeCell ref="B105:E105"/>
    <mergeCell ref="B100:C100"/>
    <mergeCell ref="D100:E100"/>
    <mergeCell ref="B101:C101"/>
    <mergeCell ref="D101:E101"/>
    <mergeCell ref="B102:C102"/>
    <mergeCell ref="D102:E102"/>
    <mergeCell ref="B97:C97"/>
    <mergeCell ref="D97:E97"/>
    <mergeCell ref="B98:C98"/>
    <mergeCell ref="D98:E98"/>
    <mergeCell ref="B99:C99"/>
    <mergeCell ref="D99:E99"/>
    <mergeCell ref="B90:E90"/>
    <mergeCell ref="B85:E85"/>
    <mergeCell ref="B86:E86"/>
    <mergeCell ref="B87:E87"/>
    <mergeCell ref="B88:E88"/>
    <mergeCell ref="B89:E89"/>
    <mergeCell ref="B93:K94"/>
    <mergeCell ref="B96:E96"/>
    <mergeCell ref="D76:E76"/>
    <mergeCell ref="B77:C77"/>
    <mergeCell ref="D77:E77"/>
    <mergeCell ref="B75:E75"/>
    <mergeCell ref="B72:C72"/>
    <mergeCell ref="D72:E72"/>
    <mergeCell ref="B73:C73"/>
    <mergeCell ref="D73:E73"/>
    <mergeCell ref="B68:C68"/>
    <mergeCell ref="D68:E68"/>
    <mergeCell ref="B69:C69"/>
    <mergeCell ref="D69:E69"/>
    <mergeCell ref="B71:C71"/>
    <mergeCell ref="D71:E71"/>
    <mergeCell ref="B70:C70"/>
    <mergeCell ref="D70:E70"/>
    <mergeCell ref="B76:C76"/>
    <mergeCell ref="B67:C67"/>
    <mergeCell ref="D67:E67"/>
    <mergeCell ref="B55:E55"/>
    <mergeCell ref="B56:E56"/>
    <mergeCell ref="B57:E57"/>
    <mergeCell ref="B58:E58"/>
    <mergeCell ref="B50:C50"/>
    <mergeCell ref="D50:E50"/>
    <mergeCell ref="B51:C51"/>
    <mergeCell ref="D51:E51"/>
    <mergeCell ref="B52:C52"/>
    <mergeCell ref="D52:E52"/>
    <mergeCell ref="B53:C53"/>
    <mergeCell ref="D53:E53"/>
    <mergeCell ref="B59:E59"/>
    <mergeCell ref="B60:E60"/>
    <mergeCell ref="B63:K64"/>
    <mergeCell ref="B66:E66"/>
    <mergeCell ref="B47:C47"/>
    <mergeCell ref="D47:E47"/>
    <mergeCell ref="B48:C48"/>
    <mergeCell ref="D48:E48"/>
    <mergeCell ref="B49:C49"/>
    <mergeCell ref="D49:E49"/>
    <mergeCell ref="B46:C46"/>
    <mergeCell ref="D46:E46"/>
    <mergeCell ref="B45:E45"/>
    <mergeCell ref="B40:C40"/>
    <mergeCell ref="D40:E40"/>
    <mergeCell ref="B41:C41"/>
    <mergeCell ref="D41:E41"/>
    <mergeCell ref="B42:C42"/>
    <mergeCell ref="D42:E42"/>
    <mergeCell ref="B43:C43"/>
    <mergeCell ref="D43:E43"/>
    <mergeCell ref="B37:C37"/>
    <mergeCell ref="D37:E37"/>
    <mergeCell ref="B38:C38"/>
    <mergeCell ref="D38:E38"/>
    <mergeCell ref="B39:C39"/>
    <mergeCell ref="D39:E39"/>
    <mergeCell ref="M3:N3"/>
    <mergeCell ref="M4:N4"/>
    <mergeCell ref="P3:Q3"/>
    <mergeCell ref="P4:Q4"/>
    <mergeCell ref="M9:M12"/>
    <mergeCell ref="N9:N12"/>
    <mergeCell ref="P9:P12"/>
    <mergeCell ref="Q9:Q12"/>
    <mergeCell ref="B1:AF1"/>
    <mergeCell ref="W2:AF2"/>
    <mergeCell ref="B10:C10"/>
    <mergeCell ref="B7:C7"/>
    <mergeCell ref="B8:C8"/>
    <mergeCell ref="B3:K4"/>
    <mergeCell ref="J2:K2"/>
    <mergeCell ref="B2:I2"/>
    <mergeCell ref="D8:E8"/>
    <mergeCell ref="D9:E9"/>
    <mergeCell ref="D10:E10"/>
    <mergeCell ref="M2:Q2"/>
    <mergeCell ref="B33:K34"/>
    <mergeCell ref="B36:E36"/>
    <mergeCell ref="D12:E12"/>
    <mergeCell ref="D13:E13"/>
    <mergeCell ref="B30:E30"/>
    <mergeCell ref="B29:E29"/>
    <mergeCell ref="B25:E25"/>
    <mergeCell ref="B28:E28"/>
    <mergeCell ref="B27:E27"/>
    <mergeCell ref="B26:E26"/>
    <mergeCell ref="B16:C16"/>
    <mergeCell ref="D16:E16"/>
    <mergeCell ref="B15:E15"/>
    <mergeCell ref="B17:C17"/>
    <mergeCell ref="B18:C18"/>
    <mergeCell ref="B19:C19"/>
    <mergeCell ref="B20:C20"/>
    <mergeCell ref="D17:E17"/>
    <mergeCell ref="D18:E18"/>
    <mergeCell ref="D19:E19"/>
    <mergeCell ref="B22:C22"/>
    <mergeCell ref="B23:C23"/>
    <mergeCell ref="D21:E21"/>
    <mergeCell ref="D22:E22"/>
    <mergeCell ref="D23:E23"/>
    <mergeCell ref="B6:E6"/>
    <mergeCell ref="B11:C11"/>
    <mergeCell ref="B12:C12"/>
    <mergeCell ref="D20:E20"/>
    <mergeCell ref="B21:C21"/>
    <mergeCell ref="B13:C13"/>
    <mergeCell ref="D7:E7"/>
    <mergeCell ref="D11:E11"/>
    <mergeCell ref="B9:C9"/>
  </mergeCells>
  <phoneticPr fontId="7" type="noConversion"/>
  <hyperlinks>
    <hyperlink ref="N7" r:id="rId1" display="www.etinaude.tk" xr:uid="{DF6CAB1C-4FD1-488F-B83F-867802BDC92D}"/>
    <hyperlink ref="N9" r:id="rId2" display="https://www.linkedin.com/in/etienne-naude-880b51198/ " xr:uid="{DC00D621-5E6A-4913-B881-F60085318248}"/>
    <hyperlink ref="N40" r:id="rId3" display="www.etinaude.tk" xr:uid="{D72BB7CD-D532-4C7C-9D90-B162285C8AE7}"/>
    <hyperlink ref="N42" r:id="rId4" display="https://www.linkedin.com/in/etienne-naude-880b51198/ " xr:uid="{8DDCDB39-D78C-4DC1-AE44-E2AE5B8BDA91}"/>
    <hyperlink ref="N73" r:id="rId5" display="www.etinaude.tk" xr:uid="{AB64F78F-71D0-48A3-98DD-61AB2F43C739}"/>
    <hyperlink ref="N75" r:id="rId6" display="https://www.linkedin.com/in/etienne-naude-880b51198/ " xr:uid="{E558D40A-0226-4F50-965D-5909CA058C6C}"/>
  </hyperlinks>
  <pageMargins left="0.7" right="0.7" top="0.75" bottom="0.75" header="0.3" footer="0.3"/>
  <pageSetup paperSize="9" orientation="portrait" horizontalDpi="300" verticalDpi="300" r:id="rId7"/>
  <drawing r:id="rId8"/>
  <legacyDrawing r:id="rId9"/>
  <mc:AlternateContent xmlns:mc="http://schemas.openxmlformats.org/markup-compatibility/2006">
    <mc:Choice Requires="x14">
      <controls>
        <mc:AlternateContent xmlns:mc="http://schemas.openxmlformats.org/markup-compatibility/2006">
          <mc:Choice Requires="x14">
            <control shapeId="1025" r:id="rId10" name="Button 1">
              <controlPr defaultSize="0" print="0" autoFill="0" autoPict="0" macro="[0]!Go_to_companies">
                <anchor moveWithCells="1" sizeWithCells="1">
                  <from>
                    <xdr:col>9</xdr:col>
                    <xdr:colOff>19050</xdr:colOff>
                    <xdr:row>1</xdr:row>
                    <xdr:rowOff>25400</xdr:rowOff>
                  </from>
                  <to>
                    <xdr:col>10</xdr:col>
                    <xdr:colOff>622300</xdr:colOff>
                    <xdr:row>1</xdr:row>
                    <xdr:rowOff>209550</xdr:rowOff>
                  </to>
                </anchor>
              </controlPr>
            </control>
          </mc:Choice>
        </mc:AlternateContent>
        <mc:AlternateContent xmlns:mc="http://schemas.openxmlformats.org/markup-compatibility/2006">
          <mc:Choice Requires="x14">
            <control shapeId="1027" r:id="rId11" name="Button 3">
              <controlPr defaultSize="0" print="0" autoFill="0" autoPict="0" macro="[0]!Go_to_linkedin">
                <anchor moveWithCells="1" sizeWithCells="1">
                  <from>
                    <xdr:col>16</xdr:col>
                    <xdr:colOff>1257300</xdr:colOff>
                    <xdr:row>1</xdr:row>
                    <xdr:rowOff>19050</xdr:rowOff>
                  </from>
                  <to>
                    <xdr:col>17</xdr:col>
                    <xdr:colOff>12700</xdr:colOff>
                    <xdr:row>1</xdr:row>
                    <xdr:rowOff>203200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D687F1-45DB-43F2-BF28-EBE66A00F89D}">
  <sheetPr codeName="Sheet2"/>
  <dimension ref="A1:AH782"/>
  <sheetViews>
    <sheetView workbookViewId="0">
      <selection activeCell="J11" sqref="J11"/>
    </sheetView>
  </sheetViews>
  <sheetFormatPr defaultRowHeight="14.5" x14ac:dyDescent="0.35"/>
  <cols>
    <col min="1" max="5" width="11.26953125" bestFit="1" customWidth="1"/>
    <col min="6" max="6" width="12.1796875" bestFit="1" customWidth="1"/>
    <col min="7" max="9" width="11.26953125" bestFit="1" customWidth="1"/>
    <col min="10" max="34" width="12.26953125" bestFit="1" customWidth="1"/>
  </cols>
  <sheetData>
    <row r="1" spans="1:34" x14ac:dyDescent="0.35">
      <c r="A1" t="s">
        <v>28</v>
      </c>
      <c r="B1" t="s">
        <v>29</v>
      </c>
      <c r="C1" t="s">
        <v>30</v>
      </c>
      <c r="D1" t="s">
        <v>31</v>
      </c>
      <c r="E1" t="s">
        <v>32</v>
      </c>
      <c r="F1" t="s">
        <v>33</v>
      </c>
      <c r="G1" t="s">
        <v>34</v>
      </c>
      <c r="H1" t="s">
        <v>35</v>
      </c>
      <c r="I1" t="s">
        <v>36</v>
      </c>
      <c r="J1" t="s">
        <v>37</v>
      </c>
      <c r="K1" t="s">
        <v>38</v>
      </c>
      <c r="L1" t="s">
        <v>39</v>
      </c>
      <c r="M1" t="s">
        <v>40</v>
      </c>
      <c r="N1" t="s">
        <v>41</v>
      </c>
      <c r="O1" t="s">
        <v>42</v>
      </c>
      <c r="P1" t="s">
        <v>43</v>
      </c>
      <c r="Q1" t="s">
        <v>44</v>
      </c>
      <c r="R1" t="s">
        <v>45</v>
      </c>
      <c r="S1" t="s">
        <v>46</v>
      </c>
      <c r="T1" t="s">
        <v>47</v>
      </c>
      <c r="U1" t="s">
        <v>48</v>
      </c>
      <c r="V1" t="s">
        <v>49</v>
      </c>
      <c r="W1" t="s">
        <v>50</v>
      </c>
      <c r="X1" t="s">
        <v>51</v>
      </c>
      <c r="Y1" t="s">
        <v>52</v>
      </c>
      <c r="Z1" t="s">
        <v>53</v>
      </c>
      <c r="AA1" t="s">
        <v>54</v>
      </c>
      <c r="AB1" t="s">
        <v>55</v>
      </c>
      <c r="AC1" t="s">
        <v>56</v>
      </c>
      <c r="AD1" t="s">
        <v>57</v>
      </c>
      <c r="AE1" t="s">
        <v>58</v>
      </c>
      <c r="AF1" t="s">
        <v>59</v>
      </c>
      <c r="AG1" t="s">
        <v>60</v>
      </c>
      <c r="AH1" t="s">
        <v>61</v>
      </c>
    </row>
    <row r="2" spans="1:34" x14ac:dyDescent="0.35">
      <c r="A2">
        <v>1.5375000000000001</v>
      </c>
      <c r="B2">
        <v>8.4220000000000006</v>
      </c>
      <c r="C2">
        <v>158.6</v>
      </c>
      <c r="D2">
        <v>55.095999999999997</v>
      </c>
      <c r="E2">
        <v>7.4588999999999999</v>
      </c>
      <c r="F2">
        <v>355.11</v>
      </c>
      <c r="G2">
        <v>27.533999999999999</v>
      </c>
      <c r="H2">
        <v>1.7199</v>
      </c>
      <c r="I2">
        <v>4.8391000000000002</v>
      </c>
      <c r="J2">
        <v>10.942299999999999</v>
      </c>
      <c r="K2">
        <v>16935.13</v>
      </c>
      <c r="L2">
        <v>83.168499999999995</v>
      </c>
      <c r="M2">
        <v>5.7866</v>
      </c>
      <c r="N2">
        <v>83.196100000000001</v>
      </c>
      <c r="O2">
        <v>7.57</v>
      </c>
      <c r="P2">
        <v>117.01</v>
      </c>
      <c r="Q2">
        <v>35.176000000000002</v>
      </c>
      <c r="R2">
        <v>1.0523</v>
      </c>
      <c r="S2">
        <v>1.5508</v>
      </c>
      <c r="T2">
        <v>4.5349000000000004</v>
      </c>
      <c r="U2">
        <v>1.9558</v>
      </c>
      <c r="V2">
        <v>7.6007999999999996</v>
      </c>
      <c r="W2">
        <v>7.6963999999999997</v>
      </c>
      <c r="X2">
        <v>11.6775</v>
      </c>
      <c r="Y2">
        <v>1.82</v>
      </c>
      <c r="Z2">
        <v>20.441299999999998</v>
      </c>
      <c r="AA2">
        <v>1.0867</v>
      </c>
      <c r="AB2">
        <v>26.389500000000002</v>
      </c>
      <c r="AC2">
        <v>3.85</v>
      </c>
      <c r="AD2">
        <v>0.87919999999999998</v>
      </c>
      <c r="AE2">
        <v>1339.66</v>
      </c>
      <c r="AF2">
        <v>4.7436999999999996</v>
      </c>
      <c r="AG2" t="s">
        <v>62</v>
      </c>
      <c r="AH2" s="15">
        <v>43943</v>
      </c>
    </row>
    <row r="7" spans="1:34" x14ac:dyDescent="0.35">
      <c r="C7" t="s">
        <v>63</v>
      </c>
      <c r="D7" t="s">
        <v>64</v>
      </c>
    </row>
    <row r="9" spans="1:34" x14ac:dyDescent="0.35">
      <c r="A9" t="s">
        <v>65</v>
      </c>
    </row>
    <row r="10" spans="1:34" x14ac:dyDescent="0.35">
      <c r="A10" t="s">
        <v>66</v>
      </c>
    </row>
    <row r="11" spans="1:34" x14ac:dyDescent="0.35">
      <c r="A11" t="s">
        <v>67</v>
      </c>
    </row>
    <row r="12" spans="1:34" x14ac:dyDescent="0.35">
      <c r="A12" t="s">
        <v>68</v>
      </c>
    </row>
    <row r="13" spans="1:34" x14ac:dyDescent="0.35">
      <c r="A13" t="s">
        <v>69</v>
      </c>
    </row>
    <row r="14" spans="1:34" x14ac:dyDescent="0.35">
      <c r="A14" t="s">
        <v>70</v>
      </c>
    </row>
    <row r="15" spans="1:34" x14ac:dyDescent="0.35">
      <c r="A15" t="s">
        <v>71</v>
      </c>
    </row>
    <row r="16" spans="1:34" x14ac:dyDescent="0.35">
      <c r="A16" t="s">
        <v>72</v>
      </c>
    </row>
    <row r="17" spans="1:1" x14ac:dyDescent="0.35">
      <c r="A17" t="s">
        <v>73</v>
      </c>
    </row>
    <row r="18" spans="1:1" x14ac:dyDescent="0.35">
      <c r="A18" t="s">
        <v>74</v>
      </c>
    </row>
    <row r="19" spans="1:1" x14ac:dyDescent="0.35">
      <c r="A19" t="s">
        <v>75</v>
      </c>
    </row>
    <row r="20" spans="1:1" x14ac:dyDescent="0.35">
      <c r="A20" t="s">
        <v>76</v>
      </c>
    </row>
    <row r="21" spans="1:1" x14ac:dyDescent="0.35">
      <c r="A21" t="s">
        <v>77</v>
      </c>
    </row>
    <row r="22" spans="1:1" x14ac:dyDescent="0.35">
      <c r="A22" t="s">
        <v>78</v>
      </c>
    </row>
    <row r="23" spans="1:1" x14ac:dyDescent="0.35">
      <c r="A23" t="s">
        <v>79</v>
      </c>
    </row>
    <row r="24" spans="1:1" x14ac:dyDescent="0.35">
      <c r="A24" t="s">
        <v>80</v>
      </c>
    </row>
    <row r="25" spans="1:1" x14ac:dyDescent="0.35">
      <c r="A25" t="s">
        <v>81</v>
      </c>
    </row>
    <row r="26" spans="1:1" x14ac:dyDescent="0.35">
      <c r="A26" t="s">
        <v>82</v>
      </c>
    </row>
    <row r="27" spans="1:1" x14ac:dyDescent="0.35">
      <c r="A27" t="s">
        <v>83</v>
      </c>
    </row>
    <row r="28" spans="1:1" x14ac:dyDescent="0.35">
      <c r="A28" t="s">
        <v>84</v>
      </c>
    </row>
    <row r="29" spans="1:1" x14ac:dyDescent="0.35">
      <c r="A29" t="s">
        <v>85</v>
      </c>
    </row>
    <row r="30" spans="1:1" x14ac:dyDescent="0.35">
      <c r="A30" t="s">
        <v>75</v>
      </c>
    </row>
    <row r="31" spans="1:1" x14ac:dyDescent="0.35">
      <c r="A31" t="s">
        <v>86</v>
      </c>
    </row>
    <row r="32" spans="1:1" x14ac:dyDescent="0.35">
      <c r="A32" t="s">
        <v>87</v>
      </c>
    </row>
    <row r="33" spans="1:1" x14ac:dyDescent="0.35">
      <c r="A33" t="s">
        <v>88</v>
      </c>
    </row>
    <row r="34" spans="1:1" x14ac:dyDescent="0.35">
      <c r="A34" t="s">
        <v>89</v>
      </c>
    </row>
    <row r="35" spans="1:1" x14ac:dyDescent="0.35">
      <c r="A35" t="s">
        <v>90</v>
      </c>
    </row>
    <row r="36" spans="1:1" x14ac:dyDescent="0.35">
      <c r="A36" t="s">
        <v>91</v>
      </c>
    </row>
    <row r="37" spans="1:1" x14ac:dyDescent="0.35">
      <c r="A37" t="s">
        <v>92</v>
      </c>
    </row>
    <row r="38" spans="1:1" x14ac:dyDescent="0.35">
      <c r="A38" t="s">
        <v>93</v>
      </c>
    </row>
    <row r="39" spans="1:1" x14ac:dyDescent="0.35">
      <c r="A39" t="s">
        <v>94</v>
      </c>
    </row>
    <row r="40" spans="1:1" x14ac:dyDescent="0.35">
      <c r="A40" t="s">
        <v>95</v>
      </c>
    </row>
    <row r="41" spans="1:1" x14ac:dyDescent="0.35">
      <c r="A41" t="s">
        <v>96</v>
      </c>
    </row>
    <row r="42" spans="1:1" x14ac:dyDescent="0.35">
      <c r="A42" t="s">
        <v>97</v>
      </c>
    </row>
    <row r="43" spans="1:1" x14ac:dyDescent="0.35">
      <c r="A43" t="s">
        <v>98</v>
      </c>
    </row>
    <row r="44" spans="1:1" x14ac:dyDescent="0.35">
      <c r="A44" t="s">
        <v>99</v>
      </c>
    </row>
    <row r="45" spans="1:1" x14ac:dyDescent="0.35">
      <c r="A45" t="s">
        <v>75</v>
      </c>
    </row>
    <row r="46" spans="1:1" x14ac:dyDescent="0.35">
      <c r="A46" t="s">
        <v>100</v>
      </c>
    </row>
    <row r="47" spans="1:1" x14ac:dyDescent="0.35">
      <c r="A47" t="s">
        <v>101</v>
      </c>
    </row>
    <row r="48" spans="1:1" x14ac:dyDescent="0.35">
      <c r="A48" t="s">
        <v>88</v>
      </c>
    </row>
    <row r="49" spans="1:1" x14ac:dyDescent="0.35">
      <c r="A49" t="s">
        <v>89</v>
      </c>
    </row>
    <row r="50" spans="1:1" x14ac:dyDescent="0.35">
      <c r="A50" t="s">
        <v>102</v>
      </c>
    </row>
    <row r="51" spans="1:1" x14ac:dyDescent="0.35">
      <c r="A51" t="s">
        <v>103</v>
      </c>
    </row>
    <row r="52" spans="1:1" x14ac:dyDescent="0.35">
      <c r="A52" t="s">
        <v>104</v>
      </c>
    </row>
    <row r="53" spans="1:1" x14ac:dyDescent="0.35">
      <c r="A53" t="s">
        <v>105</v>
      </c>
    </row>
    <row r="54" spans="1:1" x14ac:dyDescent="0.35">
      <c r="A54" t="s">
        <v>106</v>
      </c>
    </row>
    <row r="55" spans="1:1" x14ac:dyDescent="0.35">
      <c r="A55" t="s">
        <v>107</v>
      </c>
    </row>
    <row r="56" spans="1:1" x14ac:dyDescent="0.35">
      <c r="A56" t="s">
        <v>108</v>
      </c>
    </row>
    <row r="57" spans="1:1" x14ac:dyDescent="0.35">
      <c r="A57" t="s">
        <v>109</v>
      </c>
    </row>
    <row r="58" spans="1:1" x14ac:dyDescent="0.35">
      <c r="A58" t="s">
        <v>110</v>
      </c>
    </row>
    <row r="59" spans="1:1" x14ac:dyDescent="0.35">
      <c r="A59" t="s">
        <v>99</v>
      </c>
    </row>
    <row r="60" spans="1:1" x14ac:dyDescent="0.35">
      <c r="A60" t="s">
        <v>75</v>
      </c>
    </row>
    <row r="61" spans="1:1" x14ac:dyDescent="0.35">
      <c r="A61" t="s">
        <v>111</v>
      </c>
    </row>
    <row r="62" spans="1:1" x14ac:dyDescent="0.35">
      <c r="A62" t="s">
        <v>112</v>
      </c>
    </row>
    <row r="63" spans="1:1" x14ac:dyDescent="0.35">
      <c r="A63" t="s">
        <v>88</v>
      </c>
    </row>
    <row r="64" spans="1:1" x14ac:dyDescent="0.35">
      <c r="A64" t="s">
        <v>89</v>
      </c>
    </row>
    <row r="65" spans="1:1" x14ac:dyDescent="0.35">
      <c r="A65" t="s">
        <v>113</v>
      </c>
    </row>
    <row r="66" spans="1:1" x14ac:dyDescent="0.35">
      <c r="A66" t="s">
        <v>114</v>
      </c>
    </row>
    <row r="67" spans="1:1" x14ac:dyDescent="0.35">
      <c r="A67" t="s">
        <v>115</v>
      </c>
    </row>
    <row r="68" spans="1:1" x14ac:dyDescent="0.35">
      <c r="A68" t="s">
        <v>116</v>
      </c>
    </row>
    <row r="69" spans="1:1" x14ac:dyDescent="0.35">
      <c r="A69" t="s">
        <v>117</v>
      </c>
    </row>
    <row r="70" spans="1:1" x14ac:dyDescent="0.35">
      <c r="A70" t="s">
        <v>118</v>
      </c>
    </row>
    <row r="71" spans="1:1" x14ac:dyDescent="0.35">
      <c r="A71" t="s">
        <v>119</v>
      </c>
    </row>
    <row r="72" spans="1:1" x14ac:dyDescent="0.35">
      <c r="A72" t="s">
        <v>120</v>
      </c>
    </row>
    <row r="73" spans="1:1" x14ac:dyDescent="0.35">
      <c r="A73" t="s">
        <v>121</v>
      </c>
    </row>
    <row r="74" spans="1:1" x14ac:dyDescent="0.35">
      <c r="A74" t="s">
        <v>99</v>
      </c>
    </row>
    <row r="75" spans="1:1" x14ac:dyDescent="0.35">
      <c r="A75" t="s">
        <v>75</v>
      </c>
    </row>
    <row r="76" spans="1:1" x14ac:dyDescent="0.35">
      <c r="A76" t="s">
        <v>122</v>
      </c>
    </row>
    <row r="77" spans="1:1" x14ac:dyDescent="0.35">
      <c r="A77" t="s">
        <v>123</v>
      </c>
    </row>
    <row r="78" spans="1:1" x14ac:dyDescent="0.35">
      <c r="A78" t="s">
        <v>88</v>
      </c>
    </row>
    <row r="79" spans="1:1" x14ac:dyDescent="0.35">
      <c r="A79" t="s">
        <v>89</v>
      </c>
    </row>
    <row r="80" spans="1:1" x14ac:dyDescent="0.35">
      <c r="A80" t="s">
        <v>124</v>
      </c>
    </row>
    <row r="81" spans="1:1" x14ac:dyDescent="0.35">
      <c r="A81" t="s">
        <v>125</v>
      </c>
    </row>
    <row r="82" spans="1:1" x14ac:dyDescent="0.35">
      <c r="A82" t="s">
        <v>126</v>
      </c>
    </row>
    <row r="83" spans="1:1" x14ac:dyDescent="0.35">
      <c r="A83" t="s">
        <v>127</v>
      </c>
    </row>
    <row r="84" spans="1:1" x14ac:dyDescent="0.35">
      <c r="A84" t="s">
        <v>128</v>
      </c>
    </row>
    <row r="85" spans="1:1" x14ac:dyDescent="0.35">
      <c r="A85" t="s">
        <v>107</v>
      </c>
    </row>
    <row r="86" spans="1:1" x14ac:dyDescent="0.35">
      <c r="A86" t="s">
        <v>129</v>
      </c>
    </row>
    <row r="87" spans="1:1" x14ac:dyDescent="0.35">
      <c r="A87" t="s">
        <v>130</v>
      </c>
    </row>
    <row r="88" spans="1:1" x14ac:dyDescent="0.35">
      <c r="A88" t="s">
        <v>131</v>
      </c>
    </row>
    <row r="89" spans="1:1" x14ac:dyDescent="0.35">
      <c r="A89" t="s">
        <v>99</v>
      </c>
    </row>
    <row r="90" spans="1:1" x14ac:dyDescent="0.35">
      <c r="A90" t="s">
        <v>75</v>
      </c>
    </row>
    <row r="91" spans="1:1" x14ac:dyDescent="0.35">
      <c r="A91" t="s">
        <v>132</v>
      </c>
    </row>
    <row r="92" spans="1:1" x14ac:dyDescent="0.35">
      <c r="A92" t="s">
        <v>133</v>
      </c>
    </row>
    <row r="93" spans="1:1" x14ac:dyDescent="0.35">
      <c r="A93" t="s">
        <v>88</v>
      </c>
    </row>
    <row r="94" spans="1:1" x14ac:dyDescent="0.35">
      <c r="A94" t="s">
        <v>89</v>
      </c>
    </row>
    <row r="95" spans="1:1" x14ac:dyDescent="0.35">
      <c r="A95" t="s">
        <v>134</v>
      </c>
    </row>
    <row r="96" spans="1:1" x14ac:dyDescent="0.35">
      <c r="A96" t="s">
        <v>135</v>
      </c>
    </row>
    <row r="97" spans="1:1" x14ac:dyDescent="0.35">
      <c r="A97" t="s">
        <v>136</v>
      </c>
    </row>
    <row r="98" spans="1:1" x14ac:dyDescent="0.35">
      <c r="A98" t="s">
        <v>137</v>
      </c>
    </row>
    <row r="99" spans="1:1" x14ac:dyDescent="0.35">
      <c r="A99" t="s">
        <v>138</v>
      </c>
    </row>
    <row r="100" spans="1:1" x14ac:dyDescent="0.35">
      <c r="A100" t="s">
        <v>107</v>
      </c>
    </row>
    <row r="101" spans="1:1" x14ac:dyDescent="0.35">
      <c r="A101" t="s">
        <v>139</v>
      </c>
    </row>
    <row r="102" spans="1:1" x14ac:dyDescent="0.35">
      <c r="A102" t="s">
        <v>140</v>
      </c>
    </row>
    <row r="103" spans="1:1" x14ac:dyDescent="0.35">
      <c r="A103" t="s">
        <v>141</v>
      </c>
    </row>
    <row r="104" spans="1:1" x14ac:dyDescent="0.35">
      <c r="A104" t="s">
        <v>99</v>
      </c>
    </row>
    <row r="105" spans="1:1" x14ac:dyDescent="0.35">
      <c r="A105" t="s">
        <v>75</v>
      </c>
    </row>
    <row r="106" spans="1:1" x14ac:dyDescent="0.35">
      <c r="A106" t="s">
        <v>142</v>
      </c>
    </row>
    <row r="107" spans="1:1" x14ac:dyDescent="0.35">
      <c r="A107" t="s">
        <v>143</v>
      </c>
    </row>
    <row r="108" spans="1:1" x14ac:dyDescent="0.35">
      <c r="A108" t="s">
        <v>88</v>
      </c>
    </row>
    <row r="109" spans="1:1" x14ac:dyDescent="0.35">
      <c r="A109" t="s">
        <v>89</v>
      </c>
    </row>
    <row r="110" spans="1:1" x14ac:dyDescent="0.35">
      <c r="A110" t="s">
        <v>144</v>
      </c>
    </row>
    <row r="111" spans="1:1" x14ac:dyDescent="0.35">
      <c r="A111" t="s">
        <v>145</v>
      </c>
    </row>
    <row r="112" spans="1:1" x14ac:dyDescent="0.35">
      <c r="A112" t="s">
        <v>146</v>
      </c>
    </row>
    <row r="113" spans="1:1" x14ac:dyDescent="0.35">
      <c r="A113" t="s">
        <v>147</v>
      </c>
    </row>
    <row r="114" spans="1:1" x14ac:dyDescent="0.35">
      <c r="A114" t="s">
        <v>148</v>
      </c>
    </row>
    <row r="115" spans="1:1" x14ac:dyDescent="0.35">
      <c r="A115" t="s">
        <v>107</v>
      </c>
    </row>
    <row r="116" spans="1:1" x14ac:dyDescent="0.35">
      <c r="A116" t="s">
        <v>149</v>
      </c>
    </row>
    <row r="117" spans="1:1" x14ac:dyDescent="0.35">
      <c r="A117" t="s">
        <v>150</v>
      </c>
    </row>
    <row r="118" spans="1:1" x14ac:dyDescent="0.35">
      <c r="A118" t="s">
        <v>151</v>
      </c>
    </row>
    <row r="119" spans="1:1" x14ac:dyDescent="0.35">
      <c r="A119" t="s">
        <v>99</v>
      </c>
    </row>
    <row r="120" spans="1:1" x14ac:dyDescent="0.35">
      <c r="A120" t="s">
        <v>75</v>
      </c>
    </row>
    <row r="121" spans="1:1" x14ac:dyDescent="0.35">
      <c r="A121" t="s">
        <v>152</v>
      </c>
    </row>
    <row r="122" spans="1:1" x14ac:dyDescent="0.35">
      <c r="A122" t="s">
        <v>153</v>
      </c>
    </row>
    <row r="123" spans="1:1" x14ac:dyDescent="0.35">
      <c r="A123" t="s">
        <v>154</v>
      </c>
    </row>
    <row r="124" spans="1:1" x14ac:dyDescent="0.35">
      <c r="A124" t="s">
        <v>89</v>
      </c>
    </row>
    <row r="125" spans="1:1" x14ac:dyDescent="0.35">
      <c r="A125" t="s">
        <v>113</v>
      </c>
    </row>
    <row r="126" spans="1:1" x14ac:dyDescent="0.35">
      <c r="A126" t="s">
        <v>114</v>
      </c>
    </row>
    <row r="127" spans="1:1" x14ac:dyDescent="0.35">
      <c r="A127" t="s">
        <v>115</v>
      </c>
    </row>
    <row r="128" spans="1:1" x14ac:dyDescent="0.35">
      <c r="A128" t="s">
        <v>155</v>
      </c>
    </row>
    <row r="129" spans="1:1" x14ac:dyDescent="0.35">
      <c r="A129" t="s">
        <v>156</v>
      </c>
    </row>
    <row r="130" spans="1:1" x14ac:dyDescent="0.35">
      <c r="A130" t="s">
        <v>157</v>
      </c>
    </row>
    <row r="131" spans="1:1" x14ac:dyDescent="0.35">
      <c r="A131" t="s">
        <v>158</v>
      </c>
    </row>
    <row r="132" spans="1:1" x14ac:dyDescent="0.35">
      <c r="A132" t="s">
        <v>159</v>
      </c>
    </row>
    <row r="133" spans="1:1" x14ac:dyDescent="0.35">
      <c r="A133" t="s">
        <v>160</v>
      </c>
    </row>
    <row r="134" spans="1:1" x14ac:dyDescent="0.35">
      <c r="A134" t="s">
        <v>99</v>
      </c>
    </row>
    <row r="135" spans="1:1" x14ac:dyDescent="0.35">
      <c r="A135" t="s">
        <v>75</v>
      </c>
    </row>
    <row r="136" spans="1:1" x14ac:dyDescent="0.35">
      <c r="A136" t="s">
        <v>161</v>
      </c>
    </row>
    <row r="137" spans="1:1" x14ac:dyDescent="0.35">
      <c r="A137" t="s">
        <v>162</v>
      </c>
    </row>
    <row r="138" spans="1:1" x14ac:dyDescent="0.35">
      <c r="A138" t="s">
        <v>88</v>
      </c>
    </row>
    <row r="139" spans="1:1" x14ac:dyDescent="0.35">
      <c r="A139" t="s">
        <v>89</v>
      </c>
    </row>
    <row r="140" spans="1:1" x14ac:dyDescent="0.35">
      <c r="A140" t="s">
        <v>163</v>
      </c>
    </row>
    <row r="141" spans="1:1" x14ac:dyDescent="0.35">
      <c r="A141" t="s">
        <v>164</v>
      </c>
    </row>
    <row r="142" spans="1:1" x14ac:dyDescent="0.35">
      <c r="A142" t="s">
        <v>165</v>
      </c>
    </row>
    <row r="143" spans="1:1" x14ac:dyDescent="0.35">
      <c r="A143" t="s">
        <v>166</v>
      </c>
    </row>
    <row r="144" spans="1:1" x14ac:dyDescent="0.35">
      <c r="A144" t="s">
        <v>167</v>
      </c>
    </row>
    <row r="145" spans="1:1" x14ac:dyDescent="0.35">
      <c r="A145" t="s">
        <v>107</v>
      </c>
    </row>
    <row r="146" spans="1:1" x14ac:dyDescent="0.35">
      <c r="A146" t="s">
        <v>168</v>
      </c>
    </row>
    <row r="147" spans="1:1" x14ac:dyDescent="0.35">
      <c r="A147" t="s">
        <v>169</v>
      </c>
    </row>
    <row r="148" spans="1:1" x14ac:dyDescent="0.35">
      <c r="A148" t="s">
        <v>170</v>
      </c>
    </row>
    <row r="149" spans="1:1" x14ac:dyDescent="0.35">
      <c r="A149" t="s">
        <v>99</v>
      </c>
    </row>
    <row r="150" spans="1:1" x14ac:dyDescent="0.35">
      <c r="A150" t="s">
        <v>75</v>
      </c>
    </row>
    <row r="151" spans="1:1" x14ac:dyDescent="0.35">
      <c r="A151" t="s">
        <v>171</v>
      </c>
    </row>
    <row r="152" spans="1:1" x14ac:dyDescent="0.35">
      <c r="A152" t="s">
        <v>172</v>
      </c>
    </row>
    <row r="153" spans="1:1" x14ac:dyDescent="0.35">
      <c r="A153" t="s">
        <v>88</v>
      </c>
    </row>
    <row r="154" spans="1:1" x14ac:dyDescent="0.35">
      <c r="A154" t="s">
        <v>89</v>
      </c>
    </row>
    <row r="155" spans="1:1" x14ac:dyDescent="0.35">
      <c r="A155" t="s">
        <v>173</v>
      </c>
    </row>
    <row r="156" spans="1:1" x14ac:dyDescent="0.35">
      <c r="A156" t="s">
        <v>174</v>
      </c>
    </row>
    <row r="157" spans="1:1" x14ac:dyDescent="0.35">
      <c r="A157" t="s">
        <v>175</v>
      </c>
    </row>
    <row r="158" spans="1:1" x14ac:dyDescent="0.35">
      <c r="A158" t="s">
        <v>176</v>
      </c>
    </row>
    <row r="159" spans="1:1" x14ac:dyDescent="0.35">
      <c r="A159" t="s">
        <v>177</v>
      </c>
    </row>
    <row r="160" spans="1:1" x14ac:dyDescent="0.35">
      <c r="A160" t="s">
        <v>107</v>
      </c>
    </row>
    <row r="161" spans="1:1" x14ac:dyDescent="0.35">
      <c r="A161" t="s">
        <v>178</v>
      </c>
    </row>
    <row r="162" spans="1:1" x14ac:dyDescent="0.35">
      <c r="A162" t="s">
        <v>179</v>
      </c>
    </row>
    <row r="163" spans="1:1" x14ac:dyDescent="0.35">
      <c r="A163" t="s">
        <v>180</v>
      </c>
    </row>
    <row r="164" spans="1:1" x14ac:dyDescent="0.35">
      <c r="A164" t="s">
        <v>99</v>
      </c>
    </row>
    <row r="165" spans="1:1" x14ac:dyDescent="0.35">
      <c r="A165" t="s">
        <v>75</v>
      </c>
    </row>
    <row r="166" spans="1:1" x14ac:dyDescent="0.35">
      <c r="A166" t="s">
        <v>181</v>
      </c>
    </row>
    <row r="167" spans="1:1" x14ac:dyDescent="0.35">
      <c r="A167" t="s">
        <v>182</v>
      </c>
    </row>
    <row r="168" spans="1:1" x14ac:dyDescent="0.35">
      <c r="A168" t="s">
        <v>88</v>
      </c>
    </row>
    <row r="169" spans="1:1" x14ac:dyDescent="0.35">
      <c r="A169" t="s">
        <v>183</v>
      </c>
    </row>
    <row r="170" spans="1:1" x14ac:dyDescent="0.35">
      <c r="A170" t="s">
        <v>173</v>
      </c>
    </row>
    <row r="171" spans="1:1" x14ac:dyDescent="0.35">
      <c r="A171" t="s">
        <v>174</v>
      </c>
    </row>
    <row r="172" spans="1:1" x14ac:dyDescent="0.35">
      <c r="A172" t="s">
        <v>175</v>
      </c>
    </row>
    <row r="173" spans="1:1" x14ac:dyDescent="0.35">
      <c r="A173" t="s">
        <v>184</v>
      </c>
    </row>
    <row r="174" spans="1:1" x14ac:dyDescent="0.35">
      <c r="A174" t="s">
        <v>185</v>
      </c>
    </row>
    <row r="175" spans="1:1" x14ac:dyDescent="0.35">
      <c r="A175" t="s">
        <v>107</v>
      </c>
    </row>
    <row r="176" spans="1:1" x14ac:dyDescent="0.35">
      <c r="A176" t="s">
        <v>186</v>
      </c>
    </row>
    <row r="177" spans="1:1" x14ac:dyDescent="0.35">
      <c r="A177" t="s">
        <v>187</v>
      </c>
    </row>
    <row r="178" spans="1:1" x14ac:dyDescent="0.35">
      <c r="A178" t="s">
        <v>188</v>
      </c>
    </row>
    <row r="179" spans="1:1" x14ac:dyDescent="0.35">
      <c r="A179" t="s">
        <v>99</v>
      </c>
    </row>
    <row r="180" spans="1:1" x14ac:dyDescent="0.35">
      <c r="A180" t="s">
        <v>75</v>
      </c>
    </row>
    <row r="181" spans="1:1" x14ac:dyDescent="0.35">
      <c r="A181" t="s">
        <v>189</v>
      </c>
    </row>
    <row r="182" spans="1:1" x14ac:dyDescent="0.35">
      <c r="A182" t="s">
        <v>190</v>
      </c>
    </row>
    <row r="183" spans="1:1" x14ac:dyDescent="0.35">
      <c r="A183" t="s">
        <v>88</v>
      </c>
    </row>
    <row r="184" spans="1:1" x14ac:dyDescent="0.35">
      <c r="A184" t="s">
        <v>89</v>
      </c>
    </row>
    <row r="185" spans="1:1" x14ac:dyDescent="0.35">
      <c r="A185" t="s">
        <v>191</v>
      </c>
    </row>
    <row r="186" spans="1:1" x14ac:dyDescent="0.35">
      <c r="A186" t="s">
        <v>192</v>
      </c>
    </row>
    <row r="187" spans="1:1" x14ac:dyDescent="0.35">
      <c r="A187" t="s">
        <v>193</v>
      </c>
    </row>
    <row r="188" spans="1:1" x14ac:dyDescent="0.35">
      <c r="A188" t="s">
        <v>176</v>
      </c>
    </row>
    <row r="189" spans="1:1" x14ac:dyDescent="0.35">
      <c r="A189" t="s">
        <v>194</v>
      </c>
    </row>
    <row r="190" spans="1:1" x14ac:dyDescent="0.35">
      <c r="A190" t="s">
        <v>107</v>
      </c>
    </row>
    <row r="191" spans="1:1" x14ac:dyDescent="0.35">
      <c r="A191" t="s">
        <v>195</v>
      </c>
    </row>
    <row r="192" spans="1:1" x14ac:dyDescent="0.35">
      <c r="A192" t="s">
        <v>179</v>
      </c>
    </row>
    <row r="193" spans="1:1" x14ac:dyDescent="0.35">
      <c r="A193" t="s">
        <v>196</v>
      </c>
    </row>
    <row r="194" spans="1:1" x14ac:dyDescent="0.35">
      <c r="A194" t="s">
        <v>99</v>
      </c>
    </row>
    <row r="195" spans="1:1" x14ac:dyDescent="0.35">
      <c r="A195" t="s">
        <v>75</v>
      </c>
    </row>
    <row r="196" spans="1:1" x14ac:dyDescent="0.35">
      <c r="A196" t="s">
        <v>197</v>
      </c>
    </row>
    <row r="197" spans="1:1" x14ac:dyDescent="0.35">
      <c r="A197" t="s">
        <v>198</v>
      </c>
    </row>
    <row r="198" spans="1:1" x14ac:dyDescent="0.35">
      <c r="A198" t="s">
        <v>154</v>
      </c>
    </row>
    <row r="199" spans="1:1" x14ac:dyDescent="0.35">
      <c r="A199" t="s">
        <v>89</v>
      </c>
    </row>
    <row r="200" spans="1:1" x14ac:dyDescent="0.35">
      <c r="A200" t="s">
        <v>163</v>
      </c>
    </row>
    <row r="201" spans="1:1" x14ac:dyDescent="0.35">
      <c r="A201" t="s">
        <v>164</v>
      </c>
    </row>
    <row r="202" spans="1:1" x14ac:dyDescent="0.35">
      <c r="A202" t="s">
        <v>165</v>
      </c>
    </row>
    <row r="203" spans="1:1" x14ac:dyDescent="0.35">
      <c r="A203" t="s">
        <v>199</v>
      </c>
    </row>
    <row r="204" spans="1:1" x14ac:dyDescent="0.35">
      <c r="A204" t="s">
        <v>200</v>
      </c>
    </row>
    <row r="205" spans="1:1" x14ac:dyDescent="0.35">
      <c r="A205" t="s">
        <v>107</v>
      </c>
    </row>
    <row r="206" spans="1:1" x14ac:dyDescent="0.35">
      <c r="A206" t="s">
        <v>201</v>
      </c>
    </row>
    <row r="207" spans="1:1" x14ac:dyDescent="0.35">
      <c r="A207" t="s">
        <v>202</v>
      </c>
    </row>
    <row r="208" spans="1:1" x14ac:dyDescent="0.35">
      <c r="A208" t="s">
        <v>203</v>
      </c>
    </row>
    <row r="209" spans="1:1" x14ac:dyDescent="0.35">
      <c r="A209" t="s">
        <v>99</v>
      </c>
    </row>
    <row r="210" spans="1:1" x14ac:dyDescent="0.35">
      <c r="A210" t="s">
        <v>75</v>
      </c>
    </row>
    <row r="211" spans="1:1" x14ac:dyDescent="0.35">
      <c r="A211" t="s">
        <v>204</v>
      </c>
    </row>
    <row r="212" spans="1:1" x14ac:dyDescent="0.35">
      <c r="A212" t="s">
        <v>205</v>
      </c>
    </row>
    <row r="213" spans="1:1" x14ac:dyDescent="0.35">
      <c r="A213" t="s">
        <v>88</v>
      </c>
    </row>
    <row r="214" spans="1:1" x14ac:dyDescent="0.35">
      <c r="A214" t="s">
        <v>183</v>
      </c>
    </row>
    <row r="215" spans="1:1" x14ac:dyDescent="0.35">
      <c r="A215" t="s">
        <v>102</v>
      </c>
    </row>
    <row r="216" spans="1:1" x14ac:dyDescent="0.35">
      <c r="A216" t="s">
        <v>103</v>
      </c>
    </row>
    <row r="217" spans="1:1" x14ac:dyDescent="0.35">
      <c r="A217" t="s">
        <v>104</v>
      </c>
    </row>
    <row r="218" spans="1:1" x14ac:dyDescent="0.35">
      <c r="A218" t="s">
        <v>206</v>
      </c>
    </row>
    <row r="219" spans="1:1" x14ac:dyDescent="0.35">
      <c r="A219" t="s">
        <v>207</v>
      </c>
    </row>
    <row r="220" spans="1:1" x14ac:dyDescent="0.35">
      <c r="A220" t="s">
        <v>107</v>
      </c>
    </row>
    <row r="221" spans="1:1" x14ac:dyDescent="0.35">
      <c r="A221" t="s">
        <v>208</v>
      </c>
    </row>
    <row r="222" spans="1:1" x14ac:dyDescent="0.35">
      <c r="A222" t="s">
        <v>209</v>
      </c>
    </row>
    <row r="223" spans="1:1" x14ac:dyDescent="0.35">
      <c r="A223" t="s">
        <v>210</v>
      </c>
    </row>
    <row r="224" spans="1:1" x14ac:dyDescent="0.35">
      <c r="A224" t="s">
        <v>99</v>
      </c>
    </row>
    <row r="225" spans="1:1" x14ac:dyDescent="0.35">
      <c r="A225" t="s">
        <v>75</v>
      </c>
    </row>
    <row r="226" spans="1:1" x14ac:dyDescent="0.35">
      <c r="A226" t="s">
        <v>211</v>
      </c>
    </row>
    <row r="227" spans="1:1" x14ac:dyDescent="0.35">
      <c r="A227" t="s">
        <v>212</v>
      </c>
    </row>
    <row r="228" spans="1:1" x14ac:dyDescent="0.35">
      <c r="A228" t="s">
        <v>154</v>
      </c>
    </row>
    <row r="229" spans="1:1" x14ac:dyDescent="0.35">
      <c r="A229" t="s">
        <v>89</v>
      </c>
    </row>
    <row r="230" spans="1:1" x14ac:dyDescent="0.35">
      <c r="A230" t="s">
        <v>213</v>
      </c>
    </row>
    <row r="231" spans="1:1" x14ac:dyDescent="0.35">
      <c r="A231" t="s">
        <v>214</v>
      </c>
    </row>
    <row r="232" spans="1:1" x14ac:dyDescent="0.35">
      <c r="A232" t="s">
        <v>215</v>
      </c>
    </row>
    <row r="233" spans="1:1" x14ac:dyDescent="0.35">
      <c r="A233" t="s">
        <v>216</v>
      </c>
    </row>
    <row r="234" spans="1:1" x14ac:dyDescent="0.35">
      <c r="A234" t="s">
        <v>217</v>
      </c>
    </row>
    <row r="235" spans="1:1" x14ac:dyDescent="0.35">
      <c r="A235" t="s">
        <v>107</v>
      </c>
    </row>
    <row r="236" spans="1:1" x14ac:dyDescent="0.35">
      <c r="A236" t="s">
        <v>218</v>
      </c>
    </row>
    <row r="237" spans="1:1" x14ac:dyDescent="0.35">
      <c r="A237" t="s">
        <v>219</v>
      </c>
    </row>
    <row r="238" spans="1:1" x14ac:dyDescent="0.35">
      <c r="A238" t="s">
        <v>220</v>
      </c>
    </row>
    <row r="239" spans="1:1" x14ac:dyDescent="0.35">
      <c r="A239" t="s">
        <v>99</v>
      </c>
    </row>
    <row r="240" spans="1:1" x14ac:dyDescent="0.35">
      <c r="A240" t="s">
        <v>75</v>
      </c>
    </row>
    <row r="241" spans="1:1" x14ac:dyDescent="0.35">
      <c r="A241" t="s">
        <v>221</v>
      </c>
    </row>
    <row r="242" spans="1:1" x14ac:dyDescent="0.35">
      <c r="A242" t="s">
        <v>222</v>
      </c>
    </row>
    <row r="243" spans="1:1" x14ac:dyDescent="0.35">
      <c r="A243" t="s">
        <v>154</v>
      </c>
    </row>
    <row r="244" spans="1:1" x14ac:dyDescent="0.35">
      <c r="A244" t="s">
        <v>89</v>
      </c>
    </row>
    <row r="245" spans="1:1" x14ac:dyDescent="0.35">
      <c r="A245" t="s">
        <v>144</v>
      </c>
    </row>
    <row r="246" spans="1:1" x14ac:dyDescent="0.35">
      <c r="A246" t="s">
        <v>145</v>
      </c>
    </row>
    <row r="247" spans="1:1" x14ac:dyDescent="0.35">
      <c r="A247" t="s">
        <v>146</v>
      </c>
    </row>
    <row r="248" spans="1:1" x14ac:dyDescent="0.35">
      <c r="A248" t="s">
        <v>223</v>
      </c>
    </row>
    <row r="249" spans="1:1" x14ac:dyDescent="0.35">
      <c r="A249" t="s">
        <v>224</v>
      </c>
    </row>
    <row r="250" spans="1:1" x14ac:dyDescent="0.35">
      <c r="A250" t="s">
        <v>107</v>
      </c>
    </row>
    <row r="251" spans="1:1" x14ac:dyDescent="0.35">
      <c r="A251" t="s">
        <v>225</v>
      </c>
    </row>
    <row r="252" spans="1:1" x14ac:dyDescent="0.35">
      <c r="A252" t="s">
        <v>226</v>
      </c>
    </row>
    <row r="253" spans="1:1" x14ac:dyDescent="0.35">
      <c r="A253" t="s">
        <v>227</v>
      </c>
    </row>
    <row r="254" spans="1:1" x14ac:dyDescent="0.35">
      <c r="A254" t="s">
        <v>99</v>
      </c>
    </row>
    <row r="255" spans="1:1" x14ac:dyDescent="0.35">
      <c r="A255" t="s">
        <v>75</v>
      </c>
    </row>
    <row r="256" spans="1:1" x14ac:dyDescent="0.35">
      <c r="A256" t="s">
        <v>228</v>
      </c>
    </row>
    <row r="257" spans="1:1" x14ac:dyDescent="0.35">
      <c r="A257" t="s">
        <v>229</v>
      </c>
    </row>
    <row r="258" spans="1:1" x14ac:dyDescent="0.35">
      <c r="A258" t="s">
        <v>88</v>
      </c>
    </row>
    <row r="259" spans="1:1" x14ac:dyDescent="0.35">
      <c r="A259" t="s">
        <v>89</v>
      </c>
    </row>
    <row r="260" spans="1:1" x14ac:dyDescent="0.35">
      <c r="A260" t="s">
        <v>230</v>
      </c>
    </row>
    <row r="261" spans="1:1" x14ac:dyDescent="0.35">
      <c r="A261" t="s">
        <v>231</v>
      </c>
    </row>
    <row r="262" spans="1:1" x14ac:dyDescent="0.35">
      <c r="A262" t="s">
        <v>232</v>
      </c>
    </row>
    <row r="263" spans="1:1" x14ac:dyDescent="0.35">
      <c r="A263" t="s">
        <v>233</v>
      </c>
    </row>
    <row r="264" spans="1:1" x14ac:dyDescent="0.35">
      <c r="A264" t="s">
        <v>234</v>
      </c>
    </row>
    <row r="265" spans="1:1" x14ac:dyDescent="0.35">
      <c r="A265" t="s">
        <v>235</v>
      </c>
    </row>
    <row r="266" spans="1:1" x14ac:dyDescent="0.35">
      <c r="A266" t="s">
        <v>236</v>
      </c>
    </row>
    <row r="267" spans="1:1" x14ac:dyDescent="0.35">
      <c r="A267" t="s">
        <v>237</v>
      </c>
    </row>
    <row r="268" spans="1:1" x14ac:dyDescent="0.35">
      <c r="A268" t="s">
        <v>238</v>
      </c>
    </row>
    <row r="269" spans="1:1" x14ac:dyDescent="0.35">
      <c r="A269" t="s">
        <v>99</v>
      </c>
    </row>
    <row r="270" spans="1:1" x14ac:dyDescent="0.35">
      <c r="A270" t="s">
        <v>75</v>
      </c>
    </row>
    <row r="271" spans="1:1" x14ac:dyDescent="0.35">
      <c r="A271" t="s">
        <v>239</v>
      </c>
    </row>
    <row r="272" spans="1:1" x14ac:dyDescent="0.35">
      <c r="A272" t="s">
        <v>240</v>
      </c>
    </row>
    <row r="273" spans="1:1" x14ac:dyDescent="0.35">
      <c r="A273" t="s">
        <v>241</v>
      </c>
    </row>
    <row r="274" spans="1:1" x14ac:dyDescent="0.35">
      <c r="A274" t="s">
        <v>89</v>
      </c>
    </row>
    <row r="275" spans="1:1" x14ac:dyDescent="0.35">
      <c r="A275" t="s">
        <v>242</v>
      </c>
    </row>
    <row r="276" spans="1:1" x14ac:dyDescent="0.35">
      <c r="A276" t="s">
        <v>243</v>
      </c>
    </row>
    <row r="277" spans="1:1" x14ac:dyDescent="0.35">
      <c r="A277" t="s">
        <v>193</v>
      </c>
    </row>
    <row r="278" spans="1:1" x14ac:dyDescent="0.35">
      <c r="A278" t="s">
        <v>244</v>
      </c>
    </row>
    <row r="279" spans="1:1" x14ac:dyDescent="0.35">
      <c r="A279" t="s">
        <v>245</v>
      </c>
    </row>
    <row r="280" spans="1:1" x14ac:dyDescent="0.35">
      <c r="A280" t="s">
        <v>246</v>
      </c>
    </row>
    <row r="281" spans="1:1" x14ac:dyDescent="0.35">
      <c r="A281" t="s">
        <v>247</v>
      </c>
    </row>
    <row r="282" spans="1:1" x14ac:dyDescent="0.35">
      <c r="A282" t="s">
        <v>248</v>
      </c>
    </row>
    <row r="283" spans="1:1" x14ac:dyDescent="0.35">
      <c r="A283" t="s">
        <v>249</v>
      </c>
    </row>
    <row r="284" spans="1:1" x14ac:dyDescent="0.35">
      <c r="A284" t="s">
        <v>99</v>
      </c>
    </row>
    <row r="285" spans="1:1" x14ac:dyDescent="0.35">
      <c r="A285" t="s">
        <v>75</v>
      </c>
    </row>
    <row r="286" spans="1:1" x14ac:dyDescent="0.35">
      <c r="A286" t="s">
        <v>250</v>
      </c>
    </row>
    <row r="287" spans="1:1" x14ac:dyDescent="0.35">
      <c r="A287" t="s">
        <v>251</v>
      </c>
    </row>
    <row r="288" spans="1:1" x14ac:dyDescent="0.35">
      <c r="A288" t="s">
        <v>88</v>
      </c>
    </row>
    <row r="289" spans="1:1" x14ac:dyDescent="0.35">
      <c r="A289" t="s">
        <v>89</v>
      </c>
    </row>
    <row r="290" spans="1:1" x14ac:dyDescent="0.35">
      <c r="A290" t="s">
        <v>252</v>
      </c>
    </row>
    <row r="291" spans="1:1" x14ac:dyDescent="0.35">
      <c r="A291" t="s">
        <v>253</v>
      </c>
    </row>
    <row r="292" spans="1:1" x14ac:dyDescent="0.35">
      <c r="A292" t="s">
        <v>254</v>
      </c>
    </row>
    <row r="293" spans="1:1" x14ac:dyDescent="0.35">
      <c r="A293" t="s">
        <v>255</v>
      </c>
    </row>
    <row r="294" spans="1:1" x14ac:dyDescent="0.35">
      <c r="A294" t="s">
        <v>256</v>
      </c>
    </row>
    <row r="295" spans="1:1" x14ac:dyDescent="0.35">
      <c r="A295" t="s">
        <v>107</v>
      </c>
    </row>
    <row r="296" spans="1:1" x14ac:dyDescent="0.35">
      <c r="A296" t="s">
        <v>257</v>
      </c>
    </row>
    <row r="297" spans="1:1" x14ac:dyDescent="0.35">
      <c r="A297" t="s">
        <v>258</v>
      </c>
    </row>
    <row r="298" spans="1:1" x14ac:dyDescent="0.35">
      <c r="A298" t="s">
        <v>259</v>
      </c>
    </row>
    <row r="299" spans="1:1" x14ac:dyDescent="0.35">
      <c r="A299" t="s">
        <v>99</v>
      </c>
    </row>
    <row r="300" spans="1:1" x14ac:dyDescent="0.35">
      <c r="A300" t="s">
        <v>75</v>
      </c>
    </row>
    <row r="301" spans="1:1" x14ac:dyDescent="0.35">
      <c r="A301" t="s">
        <v>260</v>
      </c>
    </row>
    <row r="302" spans="1:1" x14ac:dyDescent="0.35">
      <c r="A302" t="s">
        <v>261</v>
      </c>
    </row>
    <row r="303" spans="1:1" x14ac:dyDescent="0.35">
      <c r="A303" t="s">
        <v>88</v>
      </c>
    </row>
    <row r="304" spans="1:1" x14ac:dyDescent="0.35">
      <c r="A304" t="s">
        <v>89</v>
      </c>
    </row>
    <row r="305" spans="1:1" x14ac:dyDescent="0.35">
      <c r="A305" t="s">
        <v>213</v>
      </c>
    </row>
    <row r="306" spans="1:1" x14ac:dyDescent="0.35">
      <c r="A306" t="s">
        <v>214</v>
      </c>
    </row>
    <row r="307" spans="1:1" x14ac:dyDescent="0.35">
      <c r="A307" t="s">
        <v>215</v>
      </c>
    </row>
    <row r="308" spans="1:1" x14ac:dyDescent="0.35">
      <c r="A308" t="s">
        <v>262</v>
      </c>
    </row>
    <row r="309" spans="1:1" x14ac:dyDescent="0.35">
      <c r="A309" t="s">
        <v>263</v>
      </c>
    </row>
    <row r="310" spans="1:1" x14ac:dyDescent="0.35">
      <c r="A310" t="s">
        <v>107</v>
      </c>
    </row>
    <row r="311" spans="1:1" x14ac:dyDescent="0.35">
      <c r="A311" t="s">
        <v>264</v>
      </c>
    </row>
    <row r="312" spans="1:1" x14ac:dyDescent="0.35">
      <c r="A312" t="s">
        <v>265</v>
      </c>
    </row>
    <row r="313" spans="1:1" x14ac:dyDescent="0.35">
      <c r="A313" t="s">
        <v>266</v>
      </c>
    </row>
    <row r="314" spans="1:1" x14ac:dyDescent="0.35">
      <c r="A314" t="s">
        <v>99</v>
      </c>
    </row>
    <row r="315" spans="1:1" x14ac:dyDescent="0.35">
      <c r="A315" t="s">
        <v>75</v>
      </c>
    </row>
    <row r="316" spans="1:1" x14ac:dyDescent="0.35">
      <c r="A316" t="s">
        <v>267</v>
      </c>
    </row>
    <row r="317" spans="1:1" x14ac:dyDescent="0.35">
      <c r="A317" t="s">
        <v>268</v>
      </c>
    </row>
    <row r="318" spans="1:1" x14ac:dyDescent="0.35">
      <c r="A318" t="s">
        <v>269</v>
      </c>
    </row>
    <row r="319" spans="1:1" x14ac:dyDescent="0.35">
      <c r="A319" t="s">
        <v>89</v>
      </c>
    </row>
    <row r="320" spans="1:1" x14ac:dyDescent="0.35">
      <c r="A320" t="s">
        <v>270</v>
      </c>
    </row>
    <row r="321" spans="1:1" x14ac:dyDescent="0.35">
      <c r="A321" t="s">
        <v>271</v>
      </c>
    </row>
    <row r="322" spans="1:1" x14ac:dyDescent="0.35">
      <c r="A322" t="s">
        <v>272</v>
      </c>
    </row>
    <row r="323" spans="1:1" x14ac:dyDescent="0.35">
      <c r="A323" t="s">
        <v>273</v>
      </c>
    </row>
    <row r="324" spans="1:1" x14ac:dyDescent="0.35">
      <c r="A324" t="s">
        <v>274</v>
      </c>
    </row>
    <row r="325" spans="1:1" x14ac:dyDescent="0.35">
      <c r="A325" t="s">
        <v>107</v>
      </c>
    </row>
    <row r="326" spans="1:1" x14ac:dyDescent="0.35">
      <c r="A326" t="s">
        <v>275</v>
      </c>
    </row>
    <row r="327" spans="1:1" x14ac:dyDescent="0.35">
      <c r="A327" t="s">
        <v>276</v>
      </c>
    </row>
    <row r="328" spans="1:1" x14ac:dyDescent="0.35">
      <c r="A328" t="s">
        <v>277</v>
      </c>
    </row>
    <row r="329" spans="1:1" x14ac:dyDescent="0.35">
      <c r="A329" t="s">
        <v>99</v>
      </c>
    </row>
    <row r="330" spans="1:1" x14ac:dyDescent="0.35">
      <c r="A330" t="s">
        <v>75</v>
      </c>
    </row>
    <row r="331" spans="1:1" x14ac:dyDescent="0.35">
      <c r="A331" t="s">
        <v>278</v>
      </c>
    </row>
    <row r="332" spans="1:1" x14ac:dyDescent="0.35">
      <c r="A332" t="s">
        <v>279</v>
      </c>
    </row>
    <row r="333" spans="1:1" x14ac:dyDescent="0.35">
      <c r="A333" t="s">
        <v>154</v>
      </c>
    </row>
    <row r="334" spans="1:1" x14ac:dyDescent="0.35">
      <c r="A334" t="s">
        <v>89</v>
      </c>
    </row>
    <row r="335" spans="1:1" x14ac:dyDescent="0.35">
      <c r="A335" t="s">
        <v>252</v>
      </c>
    </row>
    <row r="336" spans="1:1" x14ac:dyDescent="0.35">
      <c r="A336" t="s">
        <v>253</v>
      </c>
    </row>
    <row r="337" spans="1:1" x14ac:dyDescent="0.35">
      <c r="A337" t="s">
        <v>254</v>
      </c>
    </row>
    <row r="338" spans="1:1" x14ac:dyDescent="0.35">
      <c r="A338" t="s">
        <v>280</v>
      </c>
    </row>
    <row r="339" spans="1:1" x14ac:dyDescent="0.35">
      <c r="A339" t="s">
        <v>281</v>
      </c>
    </row>
    <row r="340" spans="1:1" x14ac:dyDescent="0.35">
      <c r="A340" t="s">
        <v>107</v>
      </c>
    </row>
    <row r="341" spans="1:1" x14ac:dyDescent="0.35">
      <c r="A341" t="s">
        <v>282</v>
      </c>
    </row>
    <row r="342" spans="1:1" x14ac:dyDescent="0.35">
      <c r="A342" t="s">
        <v>283</v>
      </c>
    </row>
    <row r="343" spans="1:1" x14ac:dyDescent="0.35">
      <c r="A343" t="s">
        <v>284</v>
      </c>
    </row>
    <row r="344" spans="1:1" x14ac:dyDescent="0.35">
      <c r="A344" t="s">
        <v>99</v>
      </c>
    </row>
    <row r="345" spans="1:1" x14ac:dyDescent="0.35">
      <c r="A345" t="s">
        <v>75</v>
      </c>
    </row>
    <row r="346" spans="1:1" x14ac:dyDescent="0.35">
      <c r="A346" t="s">
        <v>285</v>
      </c>
    </row>
    <row r="347" spans="1:1" x14ac:dyDescent="0.35">
      <c r="A347" t="s">
        <v>286</v>
      </c>
    </row>
    <row r="348" spans="1:1" x14ac:dyDescent="0.35">
      <c r="A348" t="s">
        <v>154</v>
      </c>
    </row>
    <row r="349" spans="1:1" x14ac:dyDescent="0.35">
      <c r="A349" t="s">
        <v>89</v>
      </c>
    </row>
    <row r="350" spans="1:1" x14ac:dyDescent="0.35">
      <c r="A350" t="s">
        <v>124</v>
      </c>
    </row>
    <row r="351" spans="1:1" x14ac:dyDescent="0.35">
      <c r="A351" t="s">
        <v>125</v>
      </c>
    </row>
    <row r="352" spans="1:1" x14ac:dyDescent="0.35">
      <c r="A352" t="s">
        <v>126</v>
      </c>
    </row>
    <row r="353" spans="1:1" x14ac:dyDescent="0.35">
      <c r="A353" t="s">
        <v>287</v>
      </c>
    </row>
    <row r="354" spans="1:1" x14ac:dyDescent="0.35">
      <c r="A354" t="s">
        <v>288</v>
      </c>
    </row>
    <row r="355" spans="1:1" x14ac:dyDescent="0.35">
      <c r="A355" t="s">
        <v>107</v>
      </c>
    </row>
    <row r="356" spans="1:1" x14ac:dyDescent="0.35">
      <c r="A356" t="s">
        <v>289</v>
      </c>
    </row>
    <row r="357" spans="1:1" x14ac:dyDescent="0.35">
      <c r="A357" t="s">
        <v>290</v>
      </c>
    </row>
    <row r="358" spans="1:1" x14ac:dyDescent="0.35">
      <c r="A358" t="s">
        <v>291</v>
      </c>
    </row>
    <row r="359" spans="1:1" x14ac:dyDescent="0.35">
      <c r="A359" t="s">
        <v>99</v>
      </c>
    </row>
    <row r="360" spans="1:1" x14ac:dyDescent="0.35">
      <c r="A360" t="s">
        <v>75</v>
      </c>
    </row>
    <row r="361" spans="1:1" x14ac:dyDescent="0.35">
      <c r="A361" t="s">
        <v>292</v>
      </c>
    </row>
    <row r="362" spans="1:1" x14ac:dyDescent="0.35">
      <c r="A362" t="s">
        <v>293</v>
      </c>
    </row>
    <row r="363" spans="1:1" x14ac:dyDescent="0.35">
      <c r="A363" t="s">
        <v>88</v>
      </c>
    </row>
    <row r="364" spans="1:1" x14ac:dyDescent="0.35">
      <c r="A364" t="s">
        <v>89</v>
      </c>
    </row>
    <row r="365" spans="1:1" x14ac:dyDescent="0.35">
      <c r="A365" t="s">
        <v>294</v>
      </c>
    </row>
    <row r="366" spans="1:1" x14ac:dyDescent="0.35">
      <c r="A366" t="s">
        <v>295</v>
      </c>
    </row>
    <row r="367" spans="1:1" x14ac:dyDescent="0.35">
      <c r="A367" t="s">
        <v>296</v>
      </c>
    </row>
    <row r="368" spans="1:1" x14ac:dyDescent="0.35">
      <c r="A368" t="s">
        <v>297</v>
      </c>
    </row>
    <row r="369" spans="1:1" x14ac:dyDescent="0.35">
      <c r="A369" t="s">
        <v>298</v>
      </c>
    </row>
    <row r="370" spans="1:1" x14ac:dyDescent="0.35">
      <c r="A370" t="s">
        <v>299</v>
      </c>
    </row>
    <row r="371" spans="1:1" x14ac:dyDescent="0.35">
      <c r="A371" t="s">
        <v>300</v>
      </c>
    </row>
    <row r="372" spans="1:1" x14ac:dyDescent="0.35">
      <c r="A372" t="s">
        <v>301</v>
      </c>
    </row>
    <row r="373" spans="1:1" x14ac:dyDescent="0.35">
      <c r="A373" t="s">
        <v>302</v>
      </c>
    </row>
    <row r="374" spans="1:1" x14ac:dyDescent="0.35">
      <c r="A374" t="s">
        <v>99</v>
      </c>
    </row>
    <row r="375" spans="1:1" x14ac:dyDescent="0.35">
      <c r="A375" t="s">
        <v>75</v>
      </c>
    </row>
    <row r="376" spans="1:1" x14ac:dyDescent="0.35">
      <c r="A376" t="s">
        <v>303</v>
      </c>
    </row>
    <row r="377" spans="1:1" x14ac:dyDescent="0.35">
      <c r="A377" t="s">
        <v>304</v>
      </c>
    </row>
    <row r="378" spans="1:1" x14ac:dyDescent="0.35">
      <c r="A378" t="s">
        <v>88</v>
      </c>
    </row>
    <row r="379" spans="1:1" x14ac:dyDescent="0.35">
      <c r="A379" t="s">
        <v>89</v>
      </c>
    </row>
    <row r="380" spans="1:1" x14ac:dyDescent="0.35">
      <c r="A380" t="s">
        <v>305</v>
      </c>
    </row>
    <row r="381" spans="1:1" x14ac:dyDescent="0.35">
      <c r="A381" t="s">
        <v>306</v>
      </c>
    </row>
    <row r="382" spans="1:1" x14ac:dyDescent="0.35">
      <c r="A382" t="s">
        <v>307</v>
      </c>
    </row>
    <row r="383" spans="1:1" x14ac:dyDescent="0.35">
      <c r="A383" t="s">
        <v>308</v>
      </c>
    </row>
    <row r="384" spans="1:1" x14ac:dyDescent="0.35">
      <c r="A384" t="s">
        <v>309</v>
      </c>
    </row>
    <row r="385" spans="1:1" x14ac:dyDescent="0.35">
      <c r="A385" t="s">
        <v>107</v>
      </c>
    </row>
    <row r="386" spans="1:1" x14ac:dyDescent="0.35">
      <c r="A386" t="s">
        <v>310</v>
      </c>
    </row>
    <row r="387" spans="1:1" x14ac:dyDescent="0.35">
      <c r="A387" t="s">
        <v>311</v>
      </c>
    </row>
    <row r="388" spans="1:1" x14ac:dyDescent="0.35">
      <c r="A388" t="s">
        <v>312</v>
      </c>
    </row>
    <row r="389" spans="1:1" x14ac:dyDescent="0.35">
      <c r="A389" t="s">
        <v>99</v>
      </c>
    </row>
    <row r="390" spans="1:1" x14ac:dyDescent="0.35">
      <c r="A390" t="s">
        <v>75</v>
      </c>
    </row>
    <row r="391" spans="1:1" x14ac:dyDescent="0.35">
      <c r="A391" t="s">
        <v>313</v>
      </c>
    </row>
    <row r="392" spans="1:1" x14ac:dyDescent="0.35">
      <c r="A392" t="s">
        <v>314</v>
      </c>
    </row>
    <row r="393" spans="1:1" x14ac:dyDescent="0.35">
      <c r="A393" t="s">
        <v>154</v>
      </c>
    </row>
    <row r="394" spans="1:1" x14ac:dyDescent="0.35">
      <c r="A394" t="s">
        <v>89</v>
      </c>
    </row>
    <row r="395" spans="1:1" x14ac:dyDescent="0.35">
      <c r="A395" t="s">
        <v>315</v>
      </c>
    </row>
    <row r="396" spans="1:1" x14ac:dyDescent="0.35">
      <c r="A396" t="s">
        <v>316</v>
      </c>
    </row>
    <row r="397" spans="1:1" x14ac:dyDescent="0.35">
      <c r="A397" t="s">
        <v>317</v>
      </c>
    </row>
    <row r="398" spans="1:1" x14ac:dyDescent="0.35">
      <c r="A398" t="s">
        <v>318</v>
      </c>
    </row>
    <row r="399" spans="1:1" x14ac:dyDescent="0.35">
      <c r="A399" t="s">
        <v>319</v>
      </c>
    </row>
    <row r="400" spans="1:1" x14ac:dyDescent="0.35">
      <c r="A400" t="s">
        <v>107</v>
      </c>
    </row>
    <row r="401" spans="1:1" x14ac:dyDescent="0.35">
      <c r="A401" t="s">
        <v>320</v>
      </c>
    </row>
    <row r="402" spans="1:1" x14ac:dyDescent="0.35">
      <c r="A402" t="s">
        <v>321</v>
      </c>
    </row>
    <row r="403" spans="1:1" x14ac:dyDescent="0.35">
      <c r="A403" t="s">
        <v>322</v>
      </c>
    </row>
    <row r="404" spans="1:1" x14ac:dyDescent="0.35">
      <c r="A404" t="s">
        <v>99</v>
      </c>
    </row>
    <row r="405" spans="1:1" x14ac:dyDescent="0.35">
      <c r="A405" t="s">
        <v>75</v>
      </c>
    </row>
    <row r="406" spans="1:1" x14ac:dyDescent="0.35">
      <c r="A406" t="s">
        <v>323</v>
      </c>
    </row>
    <row r="407" spans="1:1" x14ac:dyDescent="0.35">
      <c r="A407" t="s">
        <v>324</v>
      </c>
    </row>
    <row r="408" spans="1:1" x14ac:dyDescent="0.35">
      <c r="A408" t="s">
        <v>154</v>
      </c>
    </row>
    <row r="409" spans="1:1" x14ac:dyDescent="0.35">
      <c r="A409" t="s">
        <v>89</v>
      </c>
    </row>
    <row r="410" spans="1:1" x14ac:dyDescent="0.35">
      <c r="A410" t="s">
        <v>325</v>
      </c>
    </row>
    <row r="411" spans="1:1" x14ac:dyDescent="0.35">
      <c r="A411" t="s">
        <v>326</v>
      </c>
    </row>
    <row r="412" spans="1:1" x14ac:dyDescent="0.35">
      <c r="A412" t="s">
        <v>327</v>
      </c>
    </row>
    <row r="413" spans="1:1" x14ac:dyDescent="0.35">
      <c r="A413" t="s">
        <v>328</v>
      </c>
    </row>
    <row r="414" spans="1:1" x14ac:dyDescent="0.35">
      <c r="A414" t="s">
        <v>329</v>
      </c>
    </row>
    <row r="415" spans="1:1" x14ac:dyDescent="0.35">
      <c r="A415" t="s">
        <v>107</v>
      </c>
    </row>
    <row r="416" spans="1:1" x14ac:dyDescent="0.35">
      <c r="A416" t="s">
        <v>330</v>
      </c>
    </row>
    <row r="417" spans="1:1" x14ac:dyDescent="0.35">
      <c r="A417" t="s">
        <v>331</v>
      </c>
    </row>
    <row r="418" spans="1:1" x14ac:dyDescent="0.35">
      <c r="A418" t="s">
        <v>332</v>
      </c>
    </row>
    <row r="419" spans="1:1" x14ac:dyDescent="0.35">
      <c r="A419" t="s">
        <v>99</v>
      </c>
    </row>
    <row r="420" spans="1:1" x14ac:dyDescent="0.35">
      <c r="A420" t="s">
        <v>75</v>
      </c>
    </row>
    <row r="421" spans="1:1" x14ac:dyDescent="0.35">
      <c r="A421" t="s">
        <v>333</v>
      </c>
    </row>
    <row r="422" spans="1:1" x14ac:dyDescent="0.35">
      <c r="A422" t="s">
        <v>334</v>
      </c>
    </row>
    <row r="423" spans="1:1" x14ac:dyDescent="0.35">
      <c r="A423" t="s">
        <v>88</v>
      </c>
    </row>
    <row r="424" spans="1:1" x14ac:dyDescent="0.35">
      <c r="A424" t="s">
        <v>89</v>
      </c>
    </row>
    <row r="425" spans="1:1" x14ac:dyDescent="0.35">
      <c r="A425" t="s">
        <v>242</v>
      </c>
    </row>
    <row r="426" spans="1:1" x14ac:dyDescent="0.35">
      <c r="A426" t="s">
        <v>243</v>
      </c>
    </row>
    <row r="427" spans="1:1" x14ac:dyDescent="0.35">
      <c r="A427" t="s">
        <v>193</v>
      </c>
    </row>
    <row r="428" spans="1:1" x14ac:dyDescent="0.35">
      <c r="A428" t="s">
        <v>335</v>
      </c>
    </row>
    <row r="429" spans="1:1" x14ac:dyDescent="0.35">
      <c r="A429" t="s">
        <v>336</v>
      </c>
    </row>
    <row r="430" spans="1:1" x14ac:dyDescent="0.35">
      <c r="A430" t="s">
        <v>337</v>
      </c>
    </row>
    <row r="431" spans="1:1" x14ac:dyDescent="0.35">
      <c r="A431" t="s">
        <v>338</v>
      </c>
    </row>
    <row r="432" spans="1:1" x14ac:dyDescent="0.35">
      <c r="A432" t="s">
        <v>339</v>
      </c>
    </row>
    <row r="433" spans="1:1" x14ac:dyDescent="0.35">
      <c r="A433" t="s">
        <v>340</v>
      </c>
    </row>
    <row r="434" spans="1:1" x14ac:dyDescent="0.35">
      <c r="A434" t="s">
        <v>99</v>
      </c>
    </row>
    <row r="435" spans="1:1" x14ac:dyDescent="0.35">
      <c r="A435" t="s">
        <v>75</v>
      </c>
    </row>
    <row r="436" spans="1:1" x14ac:dyDescent="0.35">
      <c r="A436" t="s">
        <v>341</v>
      </c>
    </row>
    <row r="437" spans="1:1" x14ac:dyDescent="0.35">
      <c r="A437" t="s">
        <v>342</v>
      </c>
    </row>
    <row r="438" spans="1:1" x14ac:dyDescent="0.35">
      <c r="A438" t="s">
        <v>343</v>
      </c>
    </row>
    <row r="439" spans="1:1" x14ac:dyDescent="0.35">
      <c r="A439" t="s">
        <v>89</v>
      </c>
    </row>
    <row r="440" spans="1:1" x14ac:dyDescent="0.35">
      <c r="A440" t="s">
        <v>344</v>
      </c>
    </row>
    <row r="441" spans="1:1" x14ac:dyDescent="0.35">
      <c r="A441" t="s">
        <v>345</v>
      </c>
    </row>
    <row r="442" spans="1:1" x14ac:dyDescent="0.35">
      <c r="A442" t="s">
        <v>346</v>
      </c>
    </row>
    <row r="443" spans="1:1" x14ac:dyDescent="0.35">
      <c r="A443" t="s">
        <v>347</v>
      </c>
    </row>
    <row r="444" spans="1:1" x14ac:dyDescent="0.35">
      <c r="A444" t="s">
        <v>348</v>
      </c>
    </row>
    <row r="445" spans="1:1" x14ac:dyDescent="0.35">
      <c r="A445" t="s">
        <v>349</v>
      </c>
    </row>
    <row r="446" spans="1:1" x14ac:dyDescent="0.35">
      <c r="A446" t="s">
        <v>350</v>
      </c>
    </row>
    <row r="447" spans="1:1" x14ac:dyDescent="0.35">
      <c r="A447" t="s">
        <v>351</v>
      </c>
    </row>
    <row r="448" spans="1:1" x14ac:dyDescent="0.35">
      <c r="A448" t="s">
        <v>352</v>
      </c>
    </row>
    <row r="449" spans="1:1" x14ac:dyDescent="0.35">
      <c r="A449" t="s">
        <v>99</v>
      </c>
    </row>
    <row r="450" spans="1:1" x14ac:dyDescent="0.35">
      <c r="A450" t="s">
        <v>75</v>
      </c>
    </row>
    <row r="451" spans="1:1" x14ac:dyDescent="0.35">
      <c r="A451" t="s">
        <v>353</v>
      </c>
    </row>
    <row r="452" spans="1:1" x14ac:dyDescent="0.35">
      <c r="A452" t="s">
        <v>354</v>
      </c>
    </row>
    <row r="453" spans="1:1" x14ac:dyDescent="0.35">
      <c r="A453" t="s">
        <v>154</v>
      </c>
    </row>
    <row r="454" spans="1:1" x14ac:dyDescent="0.35">
      <c r="A454" t="s">
        <v>355</v>
      </c>
    </row>
    <row r="455" spans="1:1" x14ac:dyDescent="0.35">
      <c r="A455" t="s">
        <v>325</v>
      </c>
    </row>
    <row r="456" spans="1:1" x14ac:dyDescent="0.35">
      <c r="A456" t="s">
        <v>326</v>
      </c>
    </row>
    <row r="457" spans="1:1" x14ac:dyDescent="0.35">
      <c r="A457" t="s">
        <v>327</v>
      </c>
    </row>
    <row r="458" spans="1:1" x14ac:dyDescent="0.35">
      <c r="A458" t="s">
        <v>356</v>
      </c>
    </row>
    <row r="459" spans="1:1" x14ac:dyDescent="0.35">
      <c r="A459" t="s">
        <v>357</v>
      </c>
    </row>
    <row r="460" spans="1:1" x14ac:dyDescent="0.35">
      <c r="A460" t="s">
        <v>107</v>
      </c>
    </row>
    <row r="461" spans="1:1" x14ac:dyDescent="0.35">
      <c r="A461" t="s">
        <v>358</v>
      </c>
    </row>
    <row r="462" spans="1:1" x14ac:dyDescent="0.35">
      <c r="A462" t="s">
        <v>359</v>
      </c>
    </row>
    <row r="463" spans="1:1" x14ac:dyDescent="0.35">
      <c r="A463" t="s">
        <v>360</v>
      </c>
    </row>
    <row r="464" spans="1:1" x14ac:dyDescent="0.35">
      <c r="A464" t="s">
        <v>99</v>
      </c>
    </row>
    <row r="465" spans="1:1" x14ac:dyDescent="0.35">
      <c r="A465" t="s">
        <v>75</v>
      </c>
    </row>
    <row r="466" spans="1:1" x14ac:dyDescent="0.35">
      <c r="A466" t="s">
        <v>361</v>
      </c>
    </row>
    <row r="467" spans="1:1" x14ac:dyDescent="0.35">
      <c r="A467" t="s">
        <v>362</v>
      </c>
    </row>
    <row r="468" spans="1:1" x14ac:dyDescent="0.35">
      <c r="A468" t="s">
        <v>88</v>
      </c>
    </row>
    <row r="469" spans="1:1" x14ac:dyDescent="0.35">
      <c r="A469" t="s">
        <v>89</v>
      </c>
    </row>
    <row r="470" spans="1:1" x14ac:dyDescent="0.35">
      <c r="A470" t="s">
        <v>363</v>
      </c>
    </row>
    <row r="471" spans="1:1" x14ac:dyDescent="0.35">
      <c r="A471" t="s">
        <v>364</v>
      </c>
    </row>
    <row r="472" spans="1:1" x14ac:dyDescent="0.35">
      <c r="A472" t="s">
        <v>365</v>
      </c>
    </row>
    <row r="473" spans="1:1" x14ac:dyDescent="0.35">
      <c r="A473" t="s">
        <v>366</v>
      </c>
    </row>
    <row r="474" spans="1:1" x14ac:dyDescent="0.35">
      <c r="A474" t="s">
        <v>367</v>
      </c>
    </row>
    <row r="475" spans="1:1" x14ac:dyDescent="0.35">
      <c r="A475" t="s">
        <v>368</v>
      </c>
    </row>
    <row r="476" spans="1:1" x14ac:dyDescent="0.35">
      <c r="A476" t="s">
        <v>369</v>
      </c>
    </row>
    <row r="477" spans="1:1" x14ac:dyDescent="0.35">
      <c r="A477" t="s">
        <v>370</v>
      </c>
    </row>
    <row r="478" spans="1:1" x14ac:dyDescent="0.35">
      <c r="A478" t="s">
        <v>371</v>
      </c>
    </row>
    <row r="479" spans="1:1" x14ac:dyDescent="0.35">
      <c r="A479" t="s">
        <v>99</v>
      </c>
    </row>
    <row r="480" spans="1:1" x14ac:dyDescent="0.35">
      <c r="A480" t="s">
        <v>75</v>
      </c>
    </row>
    <row r="481" spans="1:1" x14ac:dyDescent="0.35">
      <c r="A481" t="s">
        <v>372</v>
      </c>
    </row>
    <row r="482" spans="1:1" x14ac:dyDescent="0.35">
      <c r="A482" t="s">
        <v>373</v>
      </c>
    </row>
    <row r="483" spans="1:1" x14ac:dyDescent="0.35">
      <c r="A483" t="s">
        <v>88</v>
      </c>
    </row>
    <row r="484" spans="1:1" x14ac:dyDescent="0.35">
      <c r="A484" t="s">
        <v>89</v>
      </c>
    </row>
    <row r="485" spans="1:1" x14ac:dyDescent="0.35">
      <c r="A485" t="s">
        <v>325</v>
      </c>
    </row>
    <row r="486" spans="1:1" x14ac:dyDescent="0.35">
      <c r="A486" t="s">
        <v>326</v>
      </c>
    </row>
    <row r="487" spans="1:1" x14ac:dyDescent="0.35">
      <c r="A487" t="s">
        <v>327</v>
      </c>
    </row>
    <row r="488" spans="1:1" x14ac:dyDescent="0.35">
      <c r="A488" t="s">
        <v>374</v>
      </c>
    </row>
    <row r="489" spans="1:1" x14ac:dyDescent="0.35">
      <c r="A489" t="s">
        <v>375</v>
      </c>
    </row>
    <row r="490" spans="1:1" x14ac:dyDescent="0.35">
      <c r="A490" t="s">
        <v>107</v>
      </c>
    </row>
    <row r="491" spans="1:1" x14ac:dyDescent="0.35">
      <c r="A491" t="s">
        <v>376</v>
      </c>
    </row>
    <row r="492" spans="1:1" x14ac:dyDescent="0.35">
      <c r="A492" t="s">
        <v>377</v>
      </c>
    </row>
    <row r="493" spans="1:1" x14ac:dyDescent="0.35">
      <c r="A493" t="s">
        <v>378</v>
      </c>
    </row>
    <row r="494" spans="1:1" x14ac:dyDescent="0.35">
      <c r="A494" t="s">
        <v>99</v>
      </c>
    </row>
    <row r="495" spans="1:1" x14ac:dyDescent="0.35">
      <c r="A495" t="s">
        <v>75</v>
      </c>
    </row>
    <row r="496" spans="1:1" x14ac:dyDescent="0.35">
      <c r="A496" t="s">
        <v>379</v>
      </c>
    </row>
    <row r="497" spans="1:1" x14ac:dyDescent="0.35">
      <c r="A497" t="s">
        <v>380</v>
      </c>
    </row>
    <row r="498" spans="1:1" x14ac:dyDescent="0.35">
      <c r="A498" t="s">
        <v>88</v>
      </c>
    </row>
    <row r="499" spans="1:1" x14ac:dyDescent="0.35">
      <c r="A499" t="s">
        <v>89</v>
      </c>
    </row>
    <row r="500" spans="1:1" x14ac:dyDescent="0.35">
      <c r="A500" t="s">
        <v>344</v>
      </c>
    </row>
    <row r="501" spans="1:1" x14ac:dyDescent="0.35">
      <c r="A501" t="s">
        <v>345</v>
      </c>
    </row>
    <row r="502" spans="1:1" x14ac:dyDescent="0.35">
      <c r="A502" t="s">
        <v>346</v>
      </c>
    </row>
    <row r="503" spans="1:1" x14ac:dyDescent="0.35">
      <c r="A503" t="s">
        <v>381</v>
      </c>
    </row>
    <row r="504" spans="1:1" x14ac:dyDescent="0.35">
      <c r="A504" t="s">
        <v>382</v>
      </c>
    </row>
    <row r="505" spans="1:1" x14ac:dyDescent="0.35">
      <c r="A505" t="s">
        <v>383</v>
      </c>
    </row>
    <row r="506" spans="1:1" x14ac:dyDescent="0.35">
      <c r="A506" t="s">
        <v>384</v>
      </c>
    </row>
    <row r="507" spans="1:1" x14ac:dyDescent="0.35">
      <c r="A507" t="s">
        <v>385</v>
      </c>
    </row>
    <row r="508" spans="1:1" x14ac:dyDescent="0.35">
      <c r="A508" t="s">
        <v>386</v>
      </c>
    </row>
    <row r="509" spans="1:1" x14ac:dyDescent="0.35">
      <c r="A509" t="s">
        <v>99</v>
      </c>
    </row>
    <row r="510" spans="1:1" x14ac:dyDescent="0.35">
      <c r="A510" t="s">
        <v>75</v>
      </c>
    </row>
    <row r="511" spans="1:1" x14ac:dyDescent="0.35">
      <c r="A511" t="s">
        <v>387</v>
      </c>
    </row>
    <row r="512" spans="1:1" x14ac:dyDescent="0.35">
      <c r="A512" t="s">
        <v>388</v>
      </c>
    </row>
    <row r="513" spans="1:1" x14ac:dyDescent="0.35">
      <c r="A513" t="s">
        <v>154</v>
      </c>
    </row>
    <row r="514" spans="1:1" x14ac:dyDescent="0.35">
      <c r="A514" t="s">
        <v>89</v>
      </c>
    </row>
    <row r="515" spans="1:1" x14ac:dyDescent="0.35">
      <c r="A515" t="s">
        <v>389</v>
      </c>
    </row>
    <row r="516" spans="1:1" x14ac:dyDescent="0.35">
      <c r="A516" t="s">
        <v>390</v>
      </c>
    </row>
    <row r="517" spans="1:1" x14ac:dyDescent="0.35">
      <c r="A517" t="s">
        <v>391</v>
      </c>
    </row>
    <row r="518" spans="1:1" x14ac:dyDescent="0.35">
      <c r="A518" t="s">
        <v>392</v>
      </c>
    </row>
    <row r="519" spans="1:1" x14ac:dyDescent="0.35">
      <c r="A519" t="s">
        <v>393</v>
      </c>
    </row>
    <row r="520" spans="1:1" x14ac:dyDescent="0.35">
      <c r="A520" t="s">
        <v>107</v>
      </c>
    </row>
    <row r="521" spans="1:1" x14ac:dyDescent="0.35">
      <c r="A521" t="s">
        <v>394</v>
      </c>
    </row>
    <row r="522" spans="1:1" x14ac:dyDescent="0.35">
      <c r="A522" t="s">
        <v>395</v>
      </c>
    </row>
    <row r="523" spans="1:1" x14ac:dyDescent="0.35">
      <c r="A523" t="s">
        <v>396</v>
      </c>
    </row>
    <row r="524" spans="1:1" x14ac:dyDescent="0.35">
      <c r="A524" t="s">
        <v>99</v>
      </c>
    </row>
    <row r="525" spans="1:1" x14ac:dyDescent="0.35">
      <c r="A525" t="s">
        <v>75</v>
      </c>
    </row>
    <row r="526" spans="1:1" x14ac:dyDescent="0.35">
      <c r="A526" t="s">
        <v>397</v>
      </c>
    </row>
    <row r="527" spans="1:1" x14ac:dyDescent="0.35">
      <c r="A527" t="s">
        <v>398</v>
      </c>
    </row>
    <row r="528" spans="1:1" x14ac:dyDescent="0.35">
      <c r="A528" t="s">
        <v>88</v>
      </c>
    </row>
    <row r="529" spans="1:1" x14ac:dyDescent="0.35">
      <c r="A529" t="s">
        <v>89</v>
      </c>
    </row>
    <row r="530" spans="1:1" x14ac:dyDescent="0.35">
      <c r="A530" t="s">
        <v>399</v>
      </c>
    </row>
    <row r="531" spans="1:1" x14ac:dyDescent="0.35">
      <c r="A531" t="s">
        <v>400</v>
      </c>
    </row>
    <row r="532" spans="1:1" x14ac:dyDescent="0.35">
      <c r="A532" t="s">
        <v>401</v>
      </c>
    </row>
    <row r="533" spans="1:1" x14ac:dyDescent="0.35">
      <c r="A533" t="s">
        <v>402</v>
      </c>
    </row>
    <row r="534" spans="1:1" x14ac:dyDescent="0.35">
      <c r="A534" t="s">
        <v>403</v>
      </c>
    </row>
    <row r="535" spans="1:1" x14ac:dyDescent="0.35">
      <c r="A535" t="s">
        <v>404</v>
      </c>
    </row>
    <row r="536" spans="1:1" x14ac:dyDescent="0.35">
      <c r="A536" t="s">
        <v>405</v>
      </c>
    </row>
    <row r="537" spans="1:1" x14ac:dyDescent="0.35">
      <c r="A537" t="s">
        <v>406</v>
      </c>
    </row>
    <row r="538" spans="1:1" x14ac:dyDescent="0.35">
      <c r="A538" t="s">
        <v>407</v>
      </c>
    </row>
    <row r="539" spans="1:1" x14ac:dyDescent="0.35">
      <c r="A539" t="s">
        <v>99</v>
      </c>
    </row>
    <row r="540" spans="1:1" x14ac:dyDescent="0.35">
      <c r="A540" t="s">
        <v>75</v>
      </c>
    </row>
    <row r="541" spans="1:1" x14ac:dyDescent="0.35">
      <c r="A541" t="s">
        <v>408</v>
      </c>
    </row>
    <row r="542" spans="1:1" x14ac:dyDescent="0.35">
      <c r="A542" t="s">
        <v>409</v>
      </c>
    </row>
    <row r="543" spans="1:1" x14ac:dyDescent="0.35">
      <c r="A543" t="s">
        <v>88</v>
      </c>
    </row>
    <row r="544" spans="1:1" x14ac:dyDescent="0.35">
      <c r="A544" t="s">
        <v>89</v>
      </c>
    </row>
    <row r="545" spans="1:1" x14ac:dyDescent="0.35">
      <c r="A545" t="s">
        <v>270</v>
      </c>
    </row>
    <row r="546" spans="1:1" x14ac:dyDescent="0.35">
      <c r="A546" t="s">
        <v>271</v>
      </c>
    </row>
    <row r="547" spans="1:1" x14ac:dyDescent="0.35">
      <c r="A547" t="s">
        <v>272</v>
      </c>
    </row>
    <row r="548" spans="1:1" x14ac:dyDescent="0.35">
      <c r="A548" t="s">
        <v>410</v>
      </c>
    </row>
    <row r="549" spans="1:1" x14ac:dyDescent="0.35">
      <c r="A549" t="s">
        <v>411</v>
      </c>
    </row>
    <row r="550" spans="1:1" x14ac:dyDescent="0.35">
      <c r="A550" t="s">
        <v>107</v>
      </c>
    </row>
    <row r="551" spans="1:1" x14ac:dyDescent="0.35">
      <c r="A551" t="s">
        <v>412</v>
      </c>
    </row>
    <row r="552" spans="1:1" x14ac:dyDescent="0.35">
      <c r="A552" t="s">
        <v>413</v>
      </c>
    </row>
    <row r="553" spans="1:1" x14ac:dyDescent="0.35">
      <c r="A553" t="s">
        <v>414</v>
      </c>
    </row>
    <row r="554" spans="1:1" x14ac:dyDescent="0.35">
      <c r="A554" t="s">
        <v>99</v>
      </c>
    </row>
    <row r="555" spans="1:1" x14ac:dyDescent="0.35">
      <c r="A555" t="s">
        <v>75</v>
      </c>
    </row>
    <row r="556" spans="1:1" x14ac:dyDescent="0.35">
      <c r="A556" t="s">
        <v>415</v>
      </c>
    </row>
    <row r="557" spans="1:1" x14ac:dyDescent="0.35">
      <c r="A557" t="s">
        <v>416</v>
      </c>
    </row>
    <row r="558" spans="1:1" x14ac:dyDescent="0.35">
      <c r="A558" t="s">
        <v>154</v>
      </c>
    </row>
    <row r="559" spans="1:1" x14ac:dyDescent="0.35">
      <c r="A559" t="s">
        <v>89</v>
      </c>
    </row>
    <row r="560" spans="1:1" x14ac:dyDescent="0.35">
      <c r="A560" t="s">
        <v>173</v>
      </c>
    </row>
    <row r="561" spans="1:1" x14ac:dyDescent="0.35">
      <c r="A561" t="s">
        <v>174</v>
      </c>
    </row>
    <row r="562" spans="1:1" x14ac:dyDescent="0.35">
      <c r="A562" t="s">
        <v>175</v>
      </c>
    </row>
    <row r="563" spans="1:1" x14ac:dyDescent="0.35">
      <c r="A563" t="s">
        <v>417</v>
      </c>
    </row>
    <row r="564" spans="1:1" x14ac:dyDescent="0.35">
      <c r="A564" t="s">
        <v>418</v>
      </c>
    </row>
    <row r="565" spans="1:1" x14ac:dyDescent="0.35">
      <c r="A565" t="s">
        <v>107</v>
      </c>
    </row>
    <row r="566" spans="1:1" x14ac:dyDescent="0.35">
      <c r="A566" t="s">
        <v>419</v>
      </c>
    </row>
    <row r="567" spans="1:1" x14ac:dyDescent="0.35">
      <c r="A567" t="s">
        <v>420</v>
      </c>
    </row>
    <row r="568" spans="1:1" x14ac:dyDescent="0.35">
      <c r="A568" t="s">
        <v>421</v>
      </c>
    </row>
    <row r="569" spans="1:1" x14ac:dyDescent="0.35">
      <c r="A569" t="s">
        <v>99</v>
      </c>
    </row>
    <row r="570" spans="1:1" x14ac:dyDescent="0.35">
      <c r="A570" t="s">
        <v>75</v>
      </c>
    </row>
    <row r="571" spans="1:1" x14ac:dyDescent="0.35">
      <c r="A571" t="s">
        <v>422</v>
      </c>
    </row>
    <row r="572" spans="1:1" x14ac:dyDescent="0.35">
      <c r="A572" t="s">
        <v>423</v>
      </c>
    </row>
    <row r="573" spans="1:1" x14ac:dyDescent="0.35">
      <c r="A573" t="s">
        <v>154</v>
      </c>
    </row>
    <row r="574" spans="1:1" x14ac:dyDescent="0.35">
      <c r="A574" t="s">
        <v>183</v>
      </c>
    </row>
    <row r="575" spans="1:1" x14ac:dyDescent="0.35">
      <c r="A575" t="s">
        <v>173</v>
      </c>
    </row>
    <row r="576" spans="1:1" x14ac:dyDescent="0.35">
      <c r="A576" t="s">
        <v>174</v>
      </c>
    </row>
    <row r="577" spans="1:1" x14ac:dyDescent="0.35">
      <c r="A577" t="s">
        <v>175</v>
      </c>
    </row>
    <row r="578" spans="1:1" x14ac:dyDescent="0.35">
      <c r="A578" t="s">
        <v>424</v>
      </c>
    </row>
    <row r="579" spans="1:1" x14ac:dyDescent="0.35">
      <c r="A579" t="s">
        <v>425</v>
      </c>
    </row>
    <row r="580" spans="1:1" x14ac:dyDescent="0.35">
      <c r="A580" t="s">
        <v>107</v>
      </c>
    </row>
    <row r="581" spans="1:1" x14ac:dyDescent="0.35">
      <c r="A581" t="s">
        <v>426</v>
      </c>
    </row>
    <row r="582" spans="1:1" x14ac:dyDescent="0.35">
      <c r="A582" t="s">
        <v>427</v>
      </c>
    </row>
    <row r="583" spans="1:1" x14ac:dyDescent="0.35">
      <c r="A583" t="s">
        <v>428</v>
      </c>
    </row>
    <row r="584" spans="1:1" x14ac:dyDescent="0.35">
      <c r="A584" t="s">
        <v>99</v>
      </c>
    </row>
    <row r="585" spans="1:1" x14ac:dyDescent="0.35">
      <c r="A585" t="s">
        <v>75</v>
      </c>
    </row>
    <row r="586" spans="1:1" x14ac:dyDescent="0.35">
      <c r="A586" t="s">
        <v>429</v>
      </c>
    </row>
    <row r="587" spans="1:1" x14ac:dyDescent="0.35">
      <c r="A587" t="s">
        <v>430</v>
      </c>
    </row>
    <row r="588" spans="1:1" x14ac:dyDescent="0.35">
      <c r="A588" t="s">
        <v>154</v>
      </c>
    </row>
    <row r="589" spans="1:1" x14ac:dyDescent="0.35">
      <c r="A589" t="s">
        <v>89</v>
      </c>
    </row>
    <row r="590" spans="1:1" x14ac:dyDescent="0.35">
      <c r="A590" t="s">
        <v>363</v>
      </c>
    </row>
    <row r="591" spans="1:1" x14ac:dyDescent="0.35">
      <c r="A591" t="s">
        <v>364</v>
      </c>
    </row>
    <row r="592" spans="1:1" x14ac:dyDescent="0.35">
      <c r="A592" t="s">
        <v>365</v>
      </c>
    </row>
    <row r="593" spans="1:1" x14ac:dyDescent="0.35">
      <c r="A593" t="s">
        <v>431</v>
      </c>
    </row>
    <row r="594" spans="1:1" x14ac:dyDescent="0.35">
      <c r="A594" t="s">
        <v>432</v>
      </c>
    </row>
    <row r="595" spans="1:1" x14ac:dyDescent="0.35">
      <c r="A595" t="s">
        <v>433</v>
      </c>
    </row>
    <row r="596" spans="1:1" x14ac:dyDescent="0.35">
      <c r="A596" t="s">
        <v>434</v>
      </c>
    </row>
    <row r="597" spans="1:1" x14ac:dyDescent="0.35">
      <c r="A597" t="s">
        <v>435</v>
      </c>
    </row>
    <row r="598" spans="1:1" x14ac:dyDescent="0.35">
      <c r="A598" t="s">
        <v>436</v>
      </c>
    </row>
    <row r="599" spans="1:1" x14ac:dyDescent="0.35">
      <c r="A599" t="s">
        <v>99</v>
      </c>
    </row>
    <row r="600" spans="1:1" x14ac:dyDescent="0.35">
      <c r="A600" t="s">
        <v>75</v>
      </c>
    </row>
    <row r="601" spans="1:1" x14ac:dyDescent="0.35">
      <c r="A601" t="s">
        <v>437</v>
      </c>
    </row>
    <row r="602" spans="1:1" x14ac:dyDescent="0.35">
      <c r="A602" t="s">
        <v>438</v>
      </c>
    </row>
    <row r="603" spans="1:1" x14ac:dyDescent="0.35">
      <c r="A603" t="s">
        <v>154</v>
      </c>
    </row>
    <row r="604" spans="1:1" x14ac:dyDescent="0.35">
      <c r="A604" t="s">
        <v>89</v>
      </c>
    </row>
    <row r="605" spans="1:1" x14ac:dyDescent="0.35">
      <c r="A605" t="s">
        <v>270</v>
      </c>
    </row>
    <row r="606" spans="1:1" x14ac:dyDescent="0.35">
      <c r="A606" t="s">
        <v>271</v>
      </c>
    </row>
    <row r="607" spans="1:1" x14ac:dyDescent="0.35">
      <c r="A607" t="s">
        <v>272</v>
      </c>
    </row>
    <row r="608" spans="1:1" x14ac:dyDescent="0.35">
      <c r="A608" t="s">
        <v>439</v>
      </c>
    </row>
    <row r="609" spans="1:1" x14ac:dyDescent="0.35">
      <c r="A609" t="s">
        <v>440</v>
      </c>
    </row>
    <row r="610" spans="1:1" x14ac:dyDescent="0.35">
      <c r="A610" t="s">
        <v>107</v>
      </c>
    </row>
    <row r="611" spans="1:1" x14ac:dyDescent="0.35">
      <c r="A611" t="s">
        <v>441</v>
      </c>
    </row>
    <row r="612" spans="1:1" x14ac:dyDescent="0.35">
      <c r="A612" t="s">
        <v>442</v>
      </c>
    </row>
    <row r="613" spans="1:1" x14ac:dyDescent="0.35">
      <c r="A613" t="s">
        <v>443</v>
      </c>
    </row>
    <row r="614" spans="1:1" x14ac:dyDescent="0.35">
      <c r="A614" t="s">
        <v>99</v>
      </c>
    </row>
    <row r="615" spans="1:1" x14ac:dyDescent="0.35">
      <c r="A615" t="s">
        <v>75</v>
      </c>
    </row>
    <row r="616" spans="1:1" x14ac:dyDescent="0.35">
      <c r="A616" t="s">
        <v>444</v>
      </c>
    </row>
    <row r="617" spans="1:1" x14ac:dyDescent="0.35">
      <c r="A617" t="s">
        <v>445</v>
      </c>
    </row>
    <row r="618" spans="1:1" x14ac:dyDescent="0.35">
      <c r="A618" t="s">
        <v>154</v>
      </c>
    </row>
    <row r="619" spans="1:1" x14ac:dyDescent="0.35">
      <c r="A619" t="s">
        <v>89</v>
      </c>
    </row>
    <row r="620" spans="1:1" x14ac:dyDescent="0.35">
      <c r="A620" t="s">
        <v>446</v>
      </c>
    </row>
    <row r="621" spans="1:1" x14ac:dyDescent="0.35">
      <c r="A621" t="s">
        <v>447</v>
      </c>
    </row>
    <row r="622" spans="1:1" x14ac:dyDescent="0.35">
      <c r="A622" t="s">
        <v>448</v>
      </c>
    </row>
    <row r="623" spans="1:1" x14ac:dyDescent="0.35">
      <c r="A623" t="s">
        <v>424</v>
      </c>
    </row>
    <row r="624" spans="1:1" x14ac:dyDescent="0.35">
      <c r="A624" t="s">
        <v>449</v>
      </c>
    </row>
    <row r="625" spans="1:1" x14ac:dyDescent="0.35">
      <c r="A625" t="s">
        <v>450</v>
      </c>
    </row>
    <row r="626" spans="1:1" x14ac:dyDescent="0.35">
      <c r="A626" t="s">
        <v>451</v>
      </c>
    </row>
    <row r="627" spans="1:1" x14ac:dyDescent="0.35">
      <c r="A627" t="s">
        <v>452</v>
      </c>
    </row>
    <row r="628" spans="1:1" x14ac:dyDescent="0.35">
      <c r="A628" t="s">
        <v>453</v>
      </c>
    </row>
    <row r="629" spans="1:1" x14ac:dyDescent="0.35">
      <c r="A629" t="s">
        <v>99</v>
      </c>
    </row>
    <row r="630" spans="1:1" x14ac:dyDescent="0.35">
      <c r="A630" t="s">
        <v>75</v>
      </c>
    </row>
    <row r="631" spans="1:1" x14ac:dyDescent="0.35">
      <c r="A631" t="s">
        <v>454</v>
      </c>
    </row>
    <row r="632" spans="1:1" x14ac:dyDescent="0.35">
      <c r="A632" t="s">
        <v>455</v>
      </c>
    </row>
    <row r="633" spans="1:1" x14ac:dyDescent="0.35">
      <c r="A633" t="s">
        <v>88</v>
      </c>
    </row>
    <row r="634" spans="1:1" x14ac:dyDescent="0.35">
      <c r="A634" t="s">
        <v>89</v>
      </c>
    </row>
    <row r="635" spans="1:1" x14ac:dyDescent="0.35">
      <c r="A635" t="s">
        <v>446</v>
      </c>
    </row>
    <row r="636" spans="1:1" x14ac:dyDescent="0.35">
      <c r="A636" t="s">
        <v>447</v>
      </c>
    </row>
    <row r="637" spans="1:1" x14ac:dyDescent="0.35">
      <c r="A637" t="s">
        <v>448</v>
      </c>
    </row>
    <row r="638" spans="1:1" x14ac:dyDescent="0.35">
      <c r="A638" t="s">
        <v>456</v>
      </c>
    </row>
    <row r="639" spans="1:1" x14ac:dyDescent="0.35">
      <c r="A639" t="s">
        <v>457</v>
      </c>
    </row>
    <row r="640" spans="1:1" x14ac:dyDescent="0.35">
      <c r="A640" t="s">
        <v>458</v>
      </c>
    </row>
    <row r="641" spans="1:1" x14ac:dyDescent="0.35">
      <c r="A641" t="s">
        <v>459</v>
      </c>
    </row>
    <row r="642" spans="1:1" x14ac:dyDescent="0.35">
      <c r="A642" t="s">
        <v>460</v>
      </c>
    </row>
    <row r="643" spans="1:1" x14ac:dyDescent="0.35">
      <c r="A643" t="s">
        <v>461</v>
      </c>
    </row>
    <row r="644" spans="1:1" x14ac:dyDescent="0.35">
      <c r="A644" t="s">
        <v>99</v>
      </c>
    </row>
    <row r="645" spans="1:1" x14ac:dyDescent="0.35">
      <c r="A645" t="s">
        <v>75</v>
      </c>
    </row>
    <row r="646" spans="1:1" x14ac:dyDescent="0.35">
      <c r="A646" t="s">
        <v>462</v>
      </c>
    </row>
    <row r="647" spans="1:1" x14ac:dyDescent="0.35">
      <c r="A647" t="s">
        <v>463</v>
      </c>
    </row>
    <row r="648" spans="1:1" x14ac:dyDescent="0.35">
      <c r="A648" t="s">
        <v>464</v>
      </c>
    </row>
    <row r="649" spans="1:1" x14ac:dyDescent="0.35">
      <c r="A649" t="s">
        <v>465</v>
      </c>
    </row>
    <row r="650" spans="1:1" x14ac:dyDescent="0.35">
      <c r="A650" t="s">
        <v>344</v>
      </c>
    </row>
    <row r="651" spans="1:1" x14ac:dyDescent="0.35">
      <c r="A651" t="s">
        <v>345</v>
      </c>
    </row>
    <row r="652" spans="1:1" x14ac:dyDescent="0.35">
      <c r="A652" t="s">
        <v>346</v>
      </c>
    </row>
    <row r="653" spans="1:1" x14ac:dyDescent="0.35">
      <c r="A653" t="s">
        <v>466</v>
      </c>
    </row>
    <row r="654" spans="1:1" x14ac:dyDescent="0.35">
      <c r="A654" t="s">
        <v>467</v>
      </c>
    </row>
    <row r="655" spans="1:1" x14ac:dyDescent="0.35">
      <c r="A655" t="s">
        <v>468</v>
      </c>
    </row>
    <row r="656" spans="1:1" x14ac:dyDescent="0.35">
      <c r="A656" t="s">
        <v>469</v>
      </c>
    </row>
    <row r="657" spans="1:1" x14ac:dyDescent="0.35">
      <c r="A657" t="s">
        <v>470</v>
      </c>
    </row>
    <row r="658" spans="1:1" x14ac:dyDescent="0.35">
      <c r="A658" t="s">
        <v>471</v>
      </c>
    </row>
    <row r="659" spans="1:1" x14ac:dyDescent="0.35">
      <c r="A659" t="s">
        <v>99</v>
      </c>
    </row>
    <row r="660" spans="1:1" x14ac:dyDescent="0.35">
      <c r="A660" t="s">
        <v>75</v>
      </c>
    </row>
    <row r="661" spans="1:1" x14ac:dyDescent="0.35">
      <c r="A661" t="s">
        <v>472</v>
      </c>
    </row>
    <row r="662" spans="1:1" x14ac:dyDescent="0.35">
      <c r="A662" t="s">
        <v>473</v>
      </c>
    </row>
    <row r="663" spans="1:1" x14ac:dyDescent="0.35">
      <c r="A663" t="s">
        <v>474</v>
      </c>
    </row>
    <row r="664" spans="1:1" x14ac:dyDescent="0.35">
      <c r="A664" t="s">
        <v>89</v>
      </c>
    </row>
    <row r="665" spans="1:1" x14ac:dyDescent="0.35">
      <c r="A665" t="s">
        <v>252</v>
      </c>
    </row>
    <row r="666" spans="1:1" x14ac:dyDescent="0.35">
      <c r="A666" t="s">
        <v>253</v>
      </c>
    </row>
    <row r="667" spans="1:1" x14ac:dyDescent="0.35">
      <c r="A667" t="s">
        <v>254</v>
      </c>
    </row>
    <row r="668" spans="1:1" x14ac:dyDescent="0.35">
      <c r="A668" t="s">
        <v>475</v>
      </c>
    </row>
    <row r="669" spans="1:1" x14ac:dyDescent="0.35">
      <c r="A669" t="s">
        <v>476</v>
      </c>
    </row>
    <row r="670" spans="1:1" x14ac:dyDescent="0.35">
      <c r="A670" t="s">
        <v>107</v>
      </c>
    </row>
    <row r="671" spans="1:1" x14ac:dyDescent="0.35">
      <c r="A671" t="s">
        <v>477</v>
      </c>
    </row>
    <row r="672" spans="1:1" x14ac:dyDescent="0.35">
      <c r="A672" t="s">
        <v>478</v>
      </c>
    </row>
    <row r="673" spans="1:1" x14ac:dyDescent="0.35">
      <c r="A673" t="s">
        <v>479</v>
      </c>
    </row>
    <row r="674" spans="1:1" x14ac:dyDescent="0.35">
      <c r="A674" t="s">
        <v>99</v>
      </c>
    </row>
    <row r="675" spans="1:1" x14ac:dyDescent="0.35">
      <c r="A675" t="s">
        <v>75</v>
      </c>
    </row>
    <row r="676" spans="1:1" x14ac:dyDescent="0.35">
      <c r="A676" t="s">
        <v>480</v>
      </c>
    </row>
    <row r="677" spans="1:1" x14ac:dyDescent="0.35">
      <c r="A677" t="s">
        <v>481</v>
      </c>
    </row>
    <row r="678" spans="1:1" x14ac:dyDescent="0.35">
      <c r="A678" t="s">
        <v>154</v>
      </c>
    </row>
    <row r="679" spans="1:1" x14ac:dyDescent="0.35">
      <c r="A679" t="s">
        <v>89</v>
      </c>
    </row>
    <row r="680" spans="1:1" x14ac:dyDescent="0.35">
      <c r="A680" t="s">
        <v>134</v>
      </c>
    </row>
    <row r="681" spans="1:1" x14ac:dyDescent="0.35">
      <c r="A681" t="s">
        <v>135</v>
      </c>
    </row>
    <row r="682" spans="1:1" x14ac:dyDescent="0.35">
      <c r="A682" t="s">
        <v>136</v>
      </c>
    </row>
    <row r="683" spans="1:1" x14ac:dyDescent="0.35">
      <c r="A683" t="s">
        <v>482</v>
      </c>
    </row>
    <row r="684" spans="1:1" x14ac:dyDescent="0.35">
      <c r="A684" t="s">
        <v>483</v>
      </c>
    </row>
    <row r="685" spans="1:1" x14ac:dyDescent="0.35">
      <c r="A685" t="s">
        <v>107</v>
      </c>
    </row>
    <row r="686" spans="1:1" x14ac:dyDescent="0.35">
      <c r="A686" t="s">
        <v>484</v>
      </c>
    </row>
    <row r="687" spans="1:1" x14ac:dyDescent="0.35">
      <c r="A687" t="s">
        <v>485</v>
      </c>
    </row>
    <row r="688" spans="1:1" x14ac:dyDescent="0.35">
      <c r="A688" t="s">
        <v>486</v>
      </c>
    </row>
    <row r="689" spans="1:1" x14ac:dyDescent="0.35">
      <c r="A689" t="s">
        <v>99</v>
      </c>
    </row>
    <row r="690" spans="1:1" x14ac:dyDescent="0.35">
      <c r="A690" t="s">
        <v>75</v>
      </c>
    </row>
    <row r="691" spans="1:1" x14ac:dyDescent="0.35">
      <c r="A691" t="s">
        <v>487</v>
      </c>
    </row>
    <row r="692" spans="1:1" x14ac:dyDescent="0.35">
      <c r="A692" t="s">
        <v>488</v>
      </c>
    </row>
    <row r="693" spans="1:1" x14ac:dyDescent="0.35">
      <c r="A693" t="s">
        <v>474</v>
      </c>
    </row>
    <row r="694" spans="1:1" x14ac:dyDescent="0.35">
      <c r="A694" t="s">
        <v>89</v>
      </c>
    </row>
    <row r="695" spans="1:1" x14ac:dyDescent="0.35">
      <c r="A695" t="s">
        <v>270</v>
      </c>
    </row>
    <row r="696" spans="1:1" x14ac:dyDescent="0.35">
      <c r="A696" t="s">
        <v>271</v>
      </c>
    </row>
    <row r="697" spans="1:1" x14ac:dyDescent="0.35">
      <c r="A697" t="s">
        <v>272</v>
      </c>
    </row>
    <row r="698" spans="1:1" x14ac:dyDescent="0.35">
      <c r="A698" t="s">
        <v>489</v>
      </c>
    </row>
    <row r="699" spans="1:1" x14ac:dyDescent="0.35">
      <c r="A699" t="s">
        <v>490</v>
      </c>
    </row>
    <row r="700" spans="1:1" x14ac:dyDescent="0.35">
      <c r="A700" t="s">
        <v>107</v>
      </c>
    </row>
    <row r="701" spans="1:1" x14ac:dyDescent="0.35">
      <c r="A701" t="s">
        <v>491</v>
      </c>
    </row>
    <row r="702" spans="1:1" x14ac:dyDescent="0.35">
      <c r="A702" t="s">
        <v>492</v>
      </c>
    </row>
    <row r="703" spans="1:1" x14ac:dyDescent="0.35">
      <c r="A703" t="s">
        <v>493</v>
      </c>
    </row>
    <row r="704" spans="1:1" x14ac:dyDescent="0.35">
      <c r="A704" t="s">
        <v>99</v>
      </c>
    </row>
    <row r="705" spans="1:1" x14ac:dyDescent="0.35">
      <c r="A705" t="s">
        <v>75</v>
      </c>
    </row>
    <row r="706" spans="1:1" x14ac:dyDescent="0.35">
      <c r="A706" t="s">
        <v>494</v>
      </c>
    </row>
    <row r="707" spans="1:1" x14ac:dyDescent="0.35">
      <c r="A707" t="s">
        <v>495</v>
      </c>
    </row>
    <row r="708" spans="1:1" x14ac:dyDescent="0.35">
      <c r="A708" t="s">
        <v>154</v>
      </c>
    </row>
    <row r="709" spans="1:1" x14ac:dyDescent="0.35">
      <c r="A709" t="s">
        <v>89</v>
      </c>
    </row>
    <row r="710" spans="1:1" x14ac:dyDescent="0.35">
      <c r="A710" t="s">
        <v>191</v>
      </c>
    </row>
    <row r="711" spans="1:1" x14ac:dyDescent="0.35">
      <c r="A711" t="s">
        <v>192</v>
      </c>
    </row>
    <row r="712" spans="1:1" x14ac:dyDescent="0.35">
      <c r="A712" t="s">
        <v>193</v>
      </c>
    </row>
    <row r="713" spans="1:1" x14ac:dyDescent="0.35">
      <c r="A713" t="s">
        <v>417</v>
      </c>
    </row>
    <row r="714" spans="1:1" x14ac:dyDescent="0.35">
      <c r="A714" t="s">
        <v>496</v>
      </c>
    </row>
    <row r="715" spans="1:1" x14ac:dyDescent="0.35">
      <c r="A715" t="s">
        <v>107</v>
      </c>
    </row>
    <row r="716" spans="1:1" x14ac:dyDescent="0.35">
      <c r="A716" t="s">
        <v>497</v>
      </c>
    </row>
    <row r="717" spans="1:1" x14ac:dyDescent="0.35">
      <c r="A717" t="s">
        <v>420</v>
      </c>
    </row>
    <row r="718" spans="1:1" x14ac:dyDescent="0.35">
      <c r="A718" t="s">
        <v>498</v>
      </c>
    </row>
    <row r="719" spans="1:1" x14ac:dyDescent="0.35">
      <c r="A719" t="s">
        <v>99</v>
      </c>
    </row>
    <row r="720" spans="1:1" x14ac:dyDescent="0.35">
      <c r="A720" t="s">
        <v>75</v>
      </c>
    </row>
    <row r="721" spans="1:1" x14ac:dyDescent="0.35">
      <c r="A721" t="s">
        <v>499</v>
      </c>
    </row>
    <row r="722" spans="1:1" x14ac:dyDescent="0.35">
      <c r="A722" t="s">
        <v>500</v>
      </c>
    </row>
    <row r="723" spans="1:1" x14ac:dyDescent="0.35">
      <c r="A723" t="s">
        <v>343</v>
      </c>
    </row>
    <row r="724" spans="1:1" x14ac:dyDescent="0.35">
      <c r="A724" t="s">
        <v>355</v>
      </c>
    </row>
    <row r="725" spans="1:1" x14ac:dyDescent="0.35">
      <c r="A725" t="s">
        <v>501</v>
      </c>
    </row>
    <row r="726" spans="1:1" x14ac:dyDescent="0.35">
      <c r="A726" t="s">
        <v>502</v>
      </c>
    </row>
    <row r="727" spans="1:1" x14ac:dyDescent="0.35">
      <c r="A727" t="s">
        <v>503</v>
      </c>
    </row>
    <row r="728" spans="1:1" x14ac:dyDescent="0.35">
      <c r="A728" t="s">
        <v>504</v>
      </c>
    </row>
    <row r="729" spans="1:1" x14ac:dyDescent="0.35">
      <c r="A729" t="s">
        <v>505</v>
      </c>
    </row>
    <row r="730" spans="1:1" x14ac:dyDescent="0.35">
      <c r="A730" t="s">
        <v>506</v>
      </c>
    </row>
    <row r="731" spans="1:1" x14ac:dyDescent="0.35">
      <c r="A731" t="s">
        <v>507</v>
      </c>
    </row>
    <row r="732" spans="1:1" x14ac:dyDescent="0.35">
      <c r="A732" t="s">
        <v>508</v>
      </c>
    </row>
    <row r="733" spans="1:1" x14ac:dyDescent="0.35">
      <c r="A733" t="s">
        <v>509</v>
      </c>
    </row>
    <row r="734" spans="1:1" x14ac:dyDescent="0.35">
      <c r="A734" t="s">
        <v>99</v>
      </c>
    </row>
    <row r="735" spans="1:1" x14ac:dyDescent="0.35">
      <c r="A735" t="s">
        <v>75</v>
      </c>
    </row>
    <row r="736" spans="1:1" x14ac:dyDescent="0.35">
      <c r="A736" t="s">
        <v>510</v>
      </c>
    </row>
    <row r="737" spans="1:1" x14ac:dyDescent="0.35">
      <c r="A737" t="s">
        <v>511</v>
      </c>
    </row>
    <row r="738" spans="1:1" x14ac:dyDescent="0.35">
      <c r="A738" t="s">
        <v>88</v>
      </c>
    </row>
    <row r="739" spans="1:1" x14ac:dyDescent="0.35">
      <c r="A739" t="s">
        <v>89</v>
      </c>
    </row>
    <row r="740" spans="1:1" x14ac:dyDescent="0.35">
      <c r="A740" t="s">
        <v>315</v>
      </c>
    </row>
    <row r="741" spans="1:1" x14ac:dyDescent="0.35">
      <c r="A741" t="s">
        <v>316</v>
      </c>
    </row>
    <row r="742" spans="1:1" x14ac:dyDescent="0.35">
      <c r="A742" t="s">
        <v>317</v>
      </c>
    </row>
    <row r="743" spans="1:1" x14ac:dyDescent="0.35">
      <c r="A743" t="s">
        <v>512</v>
      </c>
    </row>
    <row r="744" spans="1:1" x14ac:dyDescent="0.35">
      <c r="A744" t="s">
        <v>513</v>
      </c>
    </row>
    <row r="745" spans="1:1" x14ac:dyDescent="0.35">
      <c r="A745" t="s">
        <v>107</v>
      </c>
    </row>
    <row r="746" spans="1:1" x14ac:dyDescent="0.35">
      <c r="A746" t="s">
        <v>514</v>
      </c>
    </row>
    <row r="747" spans="1:1" x14ac:dyDescent="0.35">
      <c r="A747" t="s">
        <v>515</v>
      </c>
    </row>
    <row r="748" spans="1:1" x14ac:dyDescent="0.35">
      <c r="A748" t="s">
        <v>516</v>
      </c>
    </row>
    <row r="749" spans="1:1" x14ac:dyDescent="0.35">
      <c r="A749" t="s">
        <v>99</v>
      </c>
    </row>
    <row r="750" spans="1:1" x14ac:dyDescent="0.35">
      <c r="A750" t="s">
        <v>75</v>
      </c>
    </row>
    <row r="751" spans="1:1" x14ac:dyDescent="0.35">
      <c r="A751" t="s">
        <v>517</v>
      </c>
    </row>
    <row r="752" spans="1:1" x14ac:dyDescent="0.35">
      <c r="A752" t="s">
        <v>518</v>
      </c>
    </row>
    <row r="753" spans="1:1" x14ac:dyDescent="0.35">
      <c r="A753" t="s">
        <v>519</v>
      </c>
    </row>
    <row r="754" spans="1:1" x14ac:dyDescent="0.35">
      <c r="A754" t="s">
        <v>89</v>
      </c>
    </row>
    <row r="755" spans="1:1" x14ac:dyDescent="0.35">
      <c r="A755" t="s">
        <v>242</v>
      </c>
    </row>
    <row r="756" spans="1:1" x14ac:dyDescent="0.35">
      <c r="A756" t="s">
        <v>243</v>
      </c>
    </row>
    <row r="757" spans="1:1" x14ac:dyDescent="0.35">
      <c r="A757" t="s">
        <v>193</v>
      </c>
    </row>
    <row r="758" spans="1:1" x14ac:dyDescent="0.35">
      <c r="A758" t="s">
        <v>520</v>
      </c>
    </row>
    <row r="759" spans="1:1" x14ac:dyDescent="0.35">
      <c r="A759" t="s">
        <v>521</v>
      </c>
    </row>
    <row r="760" spans="1:1" x14ac:dyDescent="0.35">
      <c r="A760" t="s">
        <v>522</v>
      </c>
    </row>
    <row r="761" spans="1:1" x14ac:dyDescent="0.35">
      <c r="A761" t="s">
        <v>523</v>
      </c>
    </row>
    <row r="762" spans="1:1" x14ac:dyDescent="0.35">
      <c r="A762" t="s">
        <v>524</v>
      </c>
    </row>
    <row r="763" spans="1:1" x14ac:dyDescent="0.35">
      <c r="A763" t="s">
        <v>525</v>
      </c>
    </row>
    <row r="764" spans="1:1" x14ac:dyDescent="0.35">
      <c r="A764" t="s">
        <v>99</v>
      </c>
    </row>
    <row r="765" spans="1:1" x14ac:dyDescent="0.35">
      <c r="A765" t="s">
        <v>75</v>
      </c>
    </row>
    <row r="766" spans="1:1" x14ac:dyDescent="0.35">
      <c r="A766" t="s">
        <v>526</v>
      </c>
    </row>
    <row r="767" spans="1:1" x14ac:dyDescent="0.35">
      <c r="A767" t="s">
        <v>527</v>
      </c>
    </row>
    <row r="768" spans="1:1" x14ac:dyDescent="0.35">
      <c r="A768" t="s">
        <v>154</v>
      </c>
    </row>
    <row r="769" spans="1:1" x14ac:dyDescent="0.35">
      <c r="A769" t="s">
        <v>89</v>
      </c>
    </row>
    <row r="770" spans="1:1" x14ac:dyDescent="0.35">
      <c r="A770" t="s">
        <v>242</v>
      </c>
    </row>
    <row r="771" spans="1:1" x14ac:dyDescent="0.35">
      <c r="A771" t="s">
        <v>243</v>
      </c>
    </row>
    <row r="772" spans="1:1" x14ac:dyDescent="0.35">
      <c r="A772" t="s">
        <v>193</v>
      </c>
    </row>
    <row r="773" spans="1:1" x14ac:dyDescent="0.35">
      <c r="A773" t="s">
        <v>528</v>
      </c>
    </row>
    <row r="774" spans="1:1" x14ac:dyDescent="0.35">
      <c r="A774" t="s">
        <v>529</v>
      </c>
    </row>
    <row r="775" spans="1:1" x14ac:dyDescent="0.35">
      <c r="A775" t="s">
        <v>530</v>
      </c>
    </row>
    <row r="776" spans="1:1" x14ac:dyDescent="0.35">
      <c r="A776" t="s">
        <v>531</v>
      </c>
    </row>
    <row r="777" spans="1:1" x14ac:dyDescent="0.35">
      <c r="A777" t="s">
        <v>532</v>
      </c>
    </row>
    <row r="778" spans="1:1" x14ac:dyDescent="0.35">
      <c r="A778" t="s">
        <v>533</v>
      </c>
    </row>
    <row r="779" spans="1:1" x14ac:dyDescent="0.35">
      <c r="A779" t="s">
        <v>83</v>
      </c>
    </row>
    <row r="780" spans="1:1" x14ac:dyDescent="0.35">
      <c r="A780" t="s">
        <v>534</v>
      </c>
    </row>
    <row r="781" spans="1:1" x14ac:dyDescent="0.35">
      <c r="A781" t="s">
        <v>535</v>
      </c>
    </row>
    <row r="782" spans="1:1" x14ac:dyDescent="0.35">
      <c r="A782" t="s">
        <v>536</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BB7D5-BC33-4792-B003-DEE2F6BE0065}">
  <sheetPr codeName="Sheet4"/>
  <dimension ref="A1:Z1048576"/>
  <sheetViews>
    <sheetView workbookViewId="0">
      <selection activeCell="M13" sqref="M13"/>
    </sheetView>
  </sheetViews>
  <sheetFormatPr defaultColWidth="0" defaultRowHeight="14.5" x14ac:dyDescent="0.35"/>
  <cols>
    <col min="1" max="1" width="2.81640625" style="21" customWidth="1"/>
    <col min="2" max="2" width="8.7265625" style="52" customWidth="1"/>
    <col min="3" max="5" width="5.36328125" customWidth="1"/>
    <col min="6" max="6" width="2.81640625" style="21" customWidth="1"/>
    <col min="7" max="7" width="8.7265625" style="52" customWidth="1"/>
    <col min="8" max="10" width="5.36328125" customWidth="1"/>
    <col min="11" max="11" width="2.81640625" style="21" customWidth="1"/>
    <col min="12" max="12" width="8.7265625" style="52" customWidth="1"/>
    <col min="13" max="15" width="5.36328125" customWidth="1"/>
    <col min="16" max="16" width="2.81640625" style="21" customWidth="1"/>
    <col min="17" max="17" width="8.7265625" style="52" customWidth="1"/>
    <col min="18" max="20" width="5.36328125" customWidth="1"/>
    <col min="21" max="21" width="2.81640625" style="21" customWidth="1"/>
    <col min="22" max="22" width="8.7265625" style="52" customWidth="1"/>
    <col min="23" max="25" width="5.36328125" customWidth="1"/>
    <col min="26" max="26" width="2.81640625" style="21" customWidth="1"/>
    <col min="27" max="16384" width="8.7265625" hidden="1"/>
  </cols>
  <sheetData>
    <row r="1" spans="2:25" ht="25" customHeight="1" x14ac:dyDescent="0.35">
      <c r="B1" s="169"/>
      <c r="C1" s="169"/>
      <c r="D1" s="169"/>
      <c r="E1" s="169"/>
      <c r="G1" s="169"/>
      <c r="H1" s="169"/>
      <c r="I1" s="169"/>
      <c r="J1" s="169"/>
      <c r="L1" s="169"/>
      <c r="M1" s="169"/>
      <c r="N1" s="169"/>
      <c r="O1" s="169"/>
      <c r="Q1" s="169"/>
      <c r="R1" s="169"/>
      <c r="S1" s="169"/>
      <c r="T1" s="169"/>
      <c r="V1" s="169"/>
      <c r="W1" s="169"/>
      <c r="X1" s="169"/>
      <c r="Y1" s="169"/>
    </row>
    <row r="2" spans="2:25" x14ac:dyDescent="0.35">
      <c r="B2" s="43" t="s">
        <v>538</v>
      </c>
      <c r="C2" s="44">
        <v>1</v>
      </c>
      <c r="D2" s="44">
        <v>2</v>
      </c>
      <c r="E2" s="45">
        <v>3</v>
      </c>
      <c r="G2" s="43" t="s">
        <v>538</v>
      </c>
      <c r="H2" s="44">
        <v>1</v>
      </c>
      <c r="I2" s="44">
        <v>2</v>
      </c>
      <c r="J2" s="45">
        <v>3</v>
      </c>
      <c r="L2" s="43" t="s">
        <v>538</v>
      </c>
      <c r="M2" s="44">
        <v>1</v>
      </c>
      <c r="N2" s="44">
        <v>2</v>
      </c>
      <c r="O2" s="45">
        <v>3</v>
      </c>
      <c r="Q2" s="43" t="s">
        <v>538</v>
      </c>
      <c r="R2" s="44">
        <v>1</v>
      </c>
      <c r="S2" s="44">
        <v>2</v>
      </c>
      <c r="T2" s="45">
        <v>3</v>
      </c>
      <c r="V2" s="43" t="s">
        <v>538</v>
      </c>
      <c r="W2" s="44">
        <v>1</v>
      </c>
      <c r="X2" s="44">
        <v>2</v>
      </c>
      <c r="Y2" s="45">
        <v>3</v>
      </c>
    </row>
    <row r="3" spans="2:25" x14ac:dyDescent="0.35">
      <c r="B3" s="48"/>
      <c r="C3" s="22"/>
      <c r="D3" s="22"/>
      <c r="E3" s="23"/>
      <c r="G3" s="48"/>
      <c r="H3" s="22"/>
      <c r="I3" s="22"/>
      <c r="J3" s="23"/>
      <c r="L3" s="48"/>
      <c r="M3" s="22"/>
      <c r="N3" s="22"/>
      <c r="O3" s="23"/>
      <c r="Q3" s="48"/>
      <c r="R3" s="22"/>
      <c r="S3" s="22"/>
      <c r="T3" s="23"/>
      <c r="V3" s="48"/>
      <c r="W3" s="22"/>
      <c r="X3" s="22"/>
      <c r="Y3" s="23"/>
    </row>
    <row r="4" spans="2:25" x14ac:dyDescent="0.35">
      <c r="B4" s="49"/>
      <c r="C4" s="17"/>
      <c r="D4" s="19"/>
      <c r="E4" s="24"/>
      <c r="G4" s="49"/>
      <c r="H4" s="19"/>
      <c r="I4" s="19"/>
      <c r="J4" s="24"/>
      <c r="L4" s="49"/>
      <c r="M4" s="19"/>
      <c r="N4" s="19"/>
      <c r="O4" s="24"/>
      <c r="Q4" s="49"/>
      <c r="R4" s="19"/>
      <c r="S4" s="19"/>
      <c r="T4" s="24"/>
      <c r="V4" s="49"/>
      <c r="W4" s="19"/>
      <c r="X4" s="19"/>
      <c r="Y4" s="24"/>
    </row>
    <row r="5" spans="2:25" x14ac:dyDescent="0.35">
      <c r="B5" s="50"/>
      <c r="C5" s="18"/>
      <c r="D5" s="20"/>
      <c r="E5" s="25"/>
      <c r="G5" s="50"/>
      <c r="H5" s="20"/>
      <c r="I5" s="20"/>
      <c r="J5" s="25"/>
      <c r="L5" s="50"/>
      <c r="M5" s="20"/>
      <c r="N5" s="20"/>
      <c r="O5" s="25"/>
      <c r="Q5" s="50"/>
      <c r="R5" s="20"/>
      <c r="S5" s="20"/>
      <c r="T5" s="25"/>
      <c r="V5" s="50"/>
      <c r="W5" s="20"/>
      <c r="X5" s="20"/>
      <c r="Y5" s="25"/>
    </row>
    <row r="6" spans="2:25" x14ac:dyDescent="0.35">
      <c r="B6" s="49"/>
      <c r="C6" s="17"/>
      <c r="D6" s="19"/>
      <c r="E6" s="24"/>
      <c r="G6" s="49"/>
      <c r="H6" s="19"/>
      <c r="I6" s="19"/>
      <c r="J6" s="24"/>
      <c r="L6" s="49"/>
      <c r="M6" s="19"/>
      <c r="N6" s="19"/>
      <c r="O6" s="24"/>
      <c r="Q6" s="49"/>
      <c r="R6" s="19"/>
      <c r="S6" s="19"/>
      <c r="T6" s="24"/>
      <c r="V6" s="49"/>
      <c r="W6" s="19"/>
      <c r="X6" s="19"/>
      <c r="Y6" s="24"/>
    </row>
    <row r="7" spans="2:25" x14ac:dyDescent="0.35">
      <c r="B7" s="50"/>
      <c r="C7" s="18"/>
      <c r="D7" s="20"/>
      <c r="E7" s="25"/>
      <c r="G7" s="50"/>
      <c r="H7" s="20"/>
      <c r="I7" s="20"/>
      <c r="J7" s="25"/>
      <c r="L7" s="50"/>
      <c r="M7" s="20"/>
      <c r="N7" s="20"/>
      <c r="O7" s="25"/>
      <c r="Q7" s="50"/>
      <c r="R7" s="20"/>
      <c r="S7" s="20"/>
      <c r="T7" s="25"/>
      <c r="V7" s="50"/>
      <c r="W7" s="20"/>
      <c r="X7" s="20"/>
      <c r="Y7" s="25"/>
    </row>
    <row r="8" spans="2:25" x14ac:dyDescent="0.35">
      <c r="B8" s="49"/>
      <c r="C8" s="17"/>
      <c r="D8" s="19"/>
      <c r="E8" s="24"/>
      <c r="G8" s="49"/>
      <c r="H8" s="19"/>
      <c r="I8" s="19"/>
      <c r="J8" s="24"/>
      <c r="L8" s="49"/>
      <c r="M8" s="19"/>
      <c r="N8" s="19"/>
      <c r="O8" s="24"/>
      <c r="Q8" s="49"/>
      <c r="R8" s="19"/>
      <c r="S8" s="19"/>
      <c r="T8" s="24"/>
      <c r="V8" s="49"/>
      <c r="W8" s="19"/>
      <c r="X8" s="19"/>
      <c r="Y8" s="24"/>
    </row>
    <row r="9" spans="2:25" x14ac:dyDescent="0.35">
      <c r="B9" s="50"/>
      <c r="C9" s="18"/>
      <c r="D9" s="20"/>
      <c r="E9" s="25"/>
      <c r="G9" s="50"/>
      <c r="H9" s="20"/>
      <c r="I9" s="20"/>
      <c r="J9" s="25"/>
      <c r="L9" s="50"/>
      <c r="M9" s="20"/>
      <c r="N9" s="20"/>
      <c r="O9" s="25"/>
      <c r="Q9" s="50"/>
      <c r="R9" s="20"/>
      <c r="S9" s="20"/>
      <c r="T9" s="25"/>
      <c r="V9" s="50"/>
      <c r="W9" s="20"/>
      <c r="X9" s="20"/>
      <c r="Y9" s="25"/>
    </row>
    <row r="10" spans="2:25" x14ac:dyDescent="0.35">
      <c r="B10" s="49"/>
      <c r="C10" s="17"/>
      <c r="D10" s="19"/>
      <c r="E10" s="24"/>
      <c r="G10" s="49"/>
      <c r="H10" s="19"/>
      <c r="I10" s="19"/>
      <c r="J10" s="24"/>
      <c r="L10" s="49"/>
      <c r="M10" s="19"/>
      <c r="N10" s="19"/>
      <c r="O10" s="24"/>
      <c r="Q10" s="49"/>
      <c r="R10" s="19"/>
      <c r="S10" s="19"/>
      <c r="T10" s="24"/>
      <c r="V10" s="49"/>
      <c r="W10" s="19"/>
      <c r="X10" s="19"/>
      <c r="Y10" s="24"/>
    </row>
    <row r="11" spans="2:25" x14ac:dyDescent="0.35">
      <c r="B11" s="50"/>
      <c r="C11" s="18"/>
      <c r="D11" s="20"/>
      <c r="E11" s="25"/>
      <c r="G11" s="50"/>
      <c r="H11" s="20"/>
      <c r="I11" s="20"/>
      <c r="J11" s="25"/>
      <c r="L11" s="50"/>
      <c r="M11" s="20"/>
      <c r="N11" s="20"/>
      <c r="O11" s="25"/>
      <c r="Q11" s="50"/>
      <c r="R11" s="20"/>
      <c r="S11" s="20"/>
      <c r="T11" s="25"/>
      <c r="V11" s="50"/>
      <c r="W11" s="20"/>
      <c r="X11" s="20"/>
      <c r="Y11" s="25"/>
    </row>
    <row r="12" spans="2:25" x14ac:dyDescent="0.35">
      <c r="B12" s="49"/>
      <c r="C12" s="17"/>
      <c r="D12" s="19"/>
      <c r="E12" s="24"/>
      <c r="G12" s="49"/>
      <c r="H12" s="19"/>
      <c r="I12" s="19"/>
      <c r="J12" s="24"/>
      <c r="L12" s="49"/>
      <c r="M12" s="19"/>
      <c r="N12" s="19"/>
      <c r="O12" s="24"/>
      <c r="Q12" s="49"/>
      <c r="R12" s="19"/>
      <c r="S12" s="19"/>
      <c r="T12" s="24"/>
      <c r="V12" s="49"/>
      <c r="W12" s="19"/>
      <c r="X12" s="19"/>
      <c r="Y12" s="24"/>
    </row>
    <row r="13" spans="2:25" x14ac:dyDescent="0.35">
      <c r="B13" s="50"/>
      <c r="C13" s="18"/>
      <c r="D13" s="20"/>
      <c r="E13" s="25"/>
      <c r="G13" s="50"/>
      <c r="H13" s="20"/>
      <c r="I13" s="20"/>
      <c r="J13" s="25"/>
      <c r="L13" s="50"/>
      <c r="M13" s="20"/>
      <c r="N13" s="20"/>
      <c r="O13" s="25"/>
      <c r="Q13" s="50"/>
      <c r="R13" s="20"/>
      <c r="S13" s="20"/>
      <c r="T13" s="25"/>
      <c r="V13" s="50"/>
      <c r="W13" s="20"/>
      <c r="X13" s="20"/>
      <c r="Y13" s="25"/>
    </row>
    <row r="14" spans="2:25" x14ac:dyDescent="0.35">
      <c r="B14" s="49"/>
      <c r="C14" s="17"/>
      <c r="D14" s="19"/>
      <c r="E14" s="24"/>
      <c r="G14" s="49"/>
      <c r="H14" s="19"/>
      <c r="I14" s="19"/>
      <c r="J14" s="24"/>
      <c r="L14" s="49"/>
      <c r="M14" s="19"/>
      <c r="N14" s="19"/>
      <c r="O14" s="24"/>
      <c r="Q14" s="49"/>
      <c r="R14" s="19"/>
      <c r="S14" s="19"/>
      <c r="T14" s="24"/>
      <c r="V14" s="49"/>
      <c r="W14" s="19"/>
      <c r="X14" s="19"/>
      <c r="Y14" s="24"/>
    </row>
    <row r="15" spans="2:25" x14ac:dyDescent="0.35">
      <c r="B15" s="50"/>
      <c r="C15" s="18"/>
      <c r="D15" s="20"/>
      <c r="E15" s="25"/>
      <c r="G15" s="50"/>
      <c r="H15" s="20"/>
      <c r="I15" s="20"/>
      <c r="J15" s="25"/>
      <c r="L15" s="50"/>
      <c r="M15" s="20"/>
      <c r="N15" s="20"/>
      <c r="O15" s="25"/>
      <c r="Q15" s="50"/>
      <c r="R15" s="20"/>
      <c r="S15" s="20"/>
      <c r="T15" s="25"/>
      <c r="V15" s="50"/>
      <c r="W15" s="20"/>
      <c r="X15" s="20"/>
      <c r="Y15" s="25"/>
    </row>
    <row r="16" spans="2:25" x14ac:dyDescent="0.35">
      <c r="B16" s="49"/>
      <c r="C16" s="17"/>
      <c r="D16" s="19"/>
      <c r="E16" s="24"/>
      <c r="G16" s="49"/>
      <c r="H16" s="19"/>
      <c r="I16" s="19"/>
      <c r="J16" s="24"/>
      <c r="L16" s="49"/>
      <c r="M16" s="19"/>
      <c r="N16" s="19"/>
      <c r="O16" s="24"/>
      <c r="Q16" s="49"/>
      <c r="R16" s="19"/>
      <c r="S16" s="19"/>
      <c r="T16" s="24"/>
      <c r="V16" s="49"/>
      <c r="W16" s="19"/>
      <c r="X16" s="19"/>
      <c r="Y16" s="24"/>
    </row>
    <row r="17" spans="2:25" x14ac:dyDescent="0.35">
      <c r="B17" s="50"/>
      <c r="C17" s="18"/>
      <c r="D17" s="20"/>
      <c r="E17" s="25"/>
      <c r="G17" s="50"/>
      <c r="H17" s="20"/>
      <c r="I17" s="20"/>
      <c r="J17" s="25"/>
      <c r="L17" s="50"/>
      <c r="M17" s="20"/>
      <c r="N17" s="20"/>
      <c r="O17" s="25"/>
      <c r="Q17" s="50"/>
      <c r="R17" s="20"/>
      <c r="S17" s="20"/>
      <c r="T17" s="25"/>
      <c r="V17" s="50"/>
      <c r="W17" s="20"/>
      <c r="X17" s="20"/>
      <c r="Y17" s="25"/>
    </row>
    <row r="18" spans="2:25" x14ac:dyDescent="0.35">
      <c r="B18" s="49"/>
      <c r="C18" s="17"/>
      <c r="D18" s="19"/>
      <c r="E18" s="24"/>
      <c r="G18" s="49"/>
      <c r="H18" s="19"/>
      <c r="I18" s="19"/>
      <c r="J18" s="24"/>
      <c r="L18" s="49"/>
      <c r="M18" s="19"/>
      <c r="N18" s="19"/>
      <c r="O18" s="24"/>
      <c r="Q18" s="49"/>
      <c r="R18" s="19"/>
      <c r="S18" s="19"/>
      <c r="T18" s="24"/>
      <c r="V18" s="49"/>
      <c r="W18" s="19"/>
      <c r="X18" s="19"/>
      <c r="Y18" s="24"/>
    </row>
    <row r="19" spans="2:25" x14ac:dyDescent="0.35">
      <c r="B19" s="50"/>
      <c r="C19" s="18"/>
      <c r="D19" s="20"/>
      <c r="E19" s="25"/>
      <c r="G19" s="50"/>
      <c r="H19" s="20"/>
      <c r="I19" s="20"/>
      <c r="J19" s="25"/>
      <c r="L19" s="50"/>
      <c r="M19" s="20"/>
      <c r="N19" s="20"/>
      <c r="O19" s="25"/>
      <c r="Q19" s="50"/>
      <c r="R19" s="20"/>
      <c r="S19" s="20"/>
      <c r="T19" s="25"/>
      <c r="V19" s="50"/>
      <c r="W19" s="20"/>
      <c r="X19" s="20"/>
      <c r="Y19" s="25"/>
    </row>
    <row r="20" spans="2:25" x14ac:dyDescent="0.35">
      <c r="B20" s="49"/>
      <c r="C20" s="17"/>
      <c r="D20" s="19"/>
      <c r="E20" s="24"/>
      <c r="G20" s="49"/>
      <c r="H20" s="19"/>
      <c r="I20" s="19"/>
      <c r="J20" s="24"/>
      <c r="L20" s="49"/>
      <c r="M20" s="19"/>
      <c r="N20" s="19"/>
      <c r="O20" s="24"/>
      <c r="Q20" s="49"/>
      <c r="R20" s="19"/>
      <c r="S20" s="19"/>
      <c r="T20" s="24"/>
      <c r="V20" s="49"/>
      <c r="W20" s="19"/>
      <c r="X20" s="19"/>
      <c r="Y20" s="24"/>
    </row>
    <row r="21" spans="2:25" x14ac:dyDescent="0.35">
      <c r="B21" s="50"/>
      <c r="C21" s="18"/>
      <c r="D21" s="20"/>
      <c r="E21" s="25"/>
      <c r="G21" s="50"/>
      <c r="H21" s="20"/>
      <c r="I21" s="20"/>
      <c r="J21" s="25"/>
      <c r="L21" s="50"/>
      <c r="M21" s="20"/>
      <c r="N21" s="20"/>
      <c r="O21" s="25"/>
      <c r="Q21" s="50"/>
      <c r="R21" s="20"/>
      <c r="S21" s="20"/>
      <c r="T21" s="25"/>
      <c r="V21" s="50"/>
      <c r="W21" s="20"/>
      <c r="X21" s="20"/>
      <c r="Y21" s="25"/>
    </row>
    <row r="22" spans="2:25" x14ac:dyDescent="0.35">
      <c r="B22" s="49"/>
      <c r="C22" s="17"/>
      <c r="D22" s="19"/>
      <c r="E22" s="24"/>
      <c r="G22" s="49"/>
      <c r="H22" s="19"/>
      <c r="I22" s="19"/>
      <c r="J22" s="24"/>
      <c r="L22" s="49"/>
      <c r="M22" s="19"/>
      <c r="N22" s="19"/>
      <c r="O22" s="24"/>
      <c r="Q22" s="49"/>
      <c r="R22" s="19"/>
      <c r="S22" s="19"/>
      <c r="T22" s="24"/>
      <c r="V22" s="49"/>
      <c r="W22" s="19"/>
      <c r="X22" s="19"/>
      <c r="Y22" s="24"/>
    </row>
    <row r="23" spans="2:25" x14ac:dyDescent="0.35">
      <c r="B23" s="50"/>
      <c r="C23" s="18"/>
      <c r="D23" s="20"/>
      <c r="E23" s="25"/>
      <c r="G23" s="50"/>
      <c r="H23" s="20"/>
      <c r="I23" s="20"/>
      <c r="J23" s="25"/>
      <c r="L23" s="50"/>
      <c r="M23" s="20"/>
      <c r="N23" s="20"/>
      <c r="O23" s="25"/>
      <c r="Q23" s="50"/>
      <c r="R23" s="20"/>
      <c r="S23" s="20"/>
      <c r="T23" s="25"/>
      <c r="V23" s="50"/>
      <c r="W23" s="20"/>
      <c r="X23" s="20"/>
      <c r="Y23" s="25"/>
    </row>
    <row r="24" spans="2:25" x14ac:dyDescent="0.35">
      <c r="B24" s="49"/>
      <c r="C24" s="17"/>
      <c r="D24" s="19"/>
      <c r="E24" s="24"/>
      <c r="G24" s="49"/>
      <c r="H24" s="19"/>
      <c r="I24" s="19"/>
      <c r="J24" s="24"/>
      <c r="L24" s="49"/>
      <c r="M24" s="19"/>
      <c r="N24" s="19"/>
      <c r="O24" s="24"/>
      <c r="Q24" s="49"/>
      <c r="R24" s="19"/>
      <c r="S24" s="19"/>
      <c r="T24" s="24"/>
      <c r="V24" s="49"/>
      <c r="W24" s="19"/>
      <c r="X24" s="19"/>
      <c r="Y24" s="24"/>
    </row>
    <row r="25" spans="2:25" x14ac:dyDescent="0.35">
      <c r="B25" s="50"/>
      <c r="C25" s="18"/>
      <c r="D25" s="20"/>
      <c r="E25" s="25"/>
      <c r="G25" s="50"/>
      <c r="H25" s="20"/>
      <c r="I25" s="20"/>
      <c r="J25" s="25"/>
      <c r="L25" s="50"/>
      <c r="M25" s="20"/>
      <c r="N25" s="20"/>
      <c r="O25" s="25"/>
      <c r="Q25" s="50"/>
      <c r="R25" s="20"/>
      <c r="S25" s="20"/>
      <c r="T25" s="25"/>
      <c r="V25" s="50"/>
      <c r="W25" s="20"/>
      <c r="X25" s="20"/>
      <c r="Y25" s="25"/>
    </row>
    <row r="26" spans="2:25" x14ac:dyDescent="0.35">
      <c r="B26" s="49"/>
      <c r="C26" s="17"/>
      <c r="D26" s="19"/>
      <c r="E26" s="24"/>
      <c r="G26" s="49"/>
      <c r="H26" s="19"/>
      <c r="I26" s="19"/>
      <c r="J26" s="24"/>
      <c r="L26" s="49"/>
      <c r="M26" s="19"/>
      <c r="N26" s="19"/>
      <c r="O26" s="24"/>
      <c r="Q26" s="49"/>
      <c r="R26" s="19"/>
      <c r="S26" s="19"/>
      <c r="T26" s="24"/>
      <c r="V26" s="49"/>
      <c r="W26" s="19"/>
      <c r="X26" s="19"/>
      <c r="Y26" s="24"/>
    </row>
    <row r="27" spans="2:25" x14ac:dyDescent="0.35">
      <c r="B27" s="50"/>
      <c r="C27" s="18"/>
      <c r="D27" s="20"/>
      <c r="E27" s="25"/>
      <c r="G27" s="50"/>
      <c r="H27" s="20"/>
      <c r="I27" s="20"/>
      <c r="J27" s="25"/>
      <c r="L27" s="50"/>
      <c r="M27" s="20"/>
      <c r="N27" s="20"/>
      <c r="O27" s="25"/>
      <c r="Q27" s="50"/>
      <c r="R27" s="20"/>
      <c r="S27" s="20"/>
      <c r="T27" s="25"/>
      <c r="V27" s="50"/>
      <c r="W27" s="20"/>
      <c r="X27" s="20"/>
      <c r="Y27" s="25"/>
    </row>
    <row r="28" spans="2:25" x14ac:dyDescent="0.35">
      <c r="B28" s="49"/>
      <c r="C28" s="17"/>
      <c r="D28" s="19"/>
      <c r="E28" s="24"/>
      <c r="G28" s="49"/>
      <c r="H28" s="19"/>
      <c r="I28" s="19"/>
      <c r="J28" s="24"/>
      <c r="L28" s="49"/>
      <c r="M28" s="19"/>
      <c r="N28" s="19"/>
      <c r="O28" s="24"/>
      <c r="Q28" s="49"/>
      <c r="R28" s="19"/>
      <c r="S28" s="19"/>
      <c r="T28" s="24"/>
      <c r="V28" s="49"/>
      <c r="W28" s="19"/>
      <c r="X28" s="19"/>
      <c r="Y28" s="24"/>
    </row>
    <row r="29" spans="2:25" x14ac:dyDescent="0.35">
      <c r="B29" s="50"/>
      <c r="C29" s="18"/>
      <c r="D29" s="20"/>
      <c r="E29" s="25"/>
      <c r="G29" s="50"/>
      <c r="H29" s="20"/>
      <c r="I29" s="20"/>
      <c r="J29" s="25"/>
      <c r="L29" s="50"/>
      <c r="M29" s="20"/>
      <c r="N29" s="20"/>
      <c r="O29" s="25"/>
      <c r="Q29" s="50"/>
      <c r="R29" s="20"/>
      <c r="S29" s="20"/>
      <c r="T29" s="25"/>
      <c r="V29" s="50"/>
      <c r="W29" s="20"/>
      <c r="X29" s="20"/>
      <c r="Y29" s="25"/>
    </row>
    <row r="30" spans="2:25" x14ac:dyDescent="0.35">
      <c r="B30" s="49"/>
      <c r="C30" s="17"/>
      <c r="D30" s="19"/>
      <c r="E30" s="24"/>
      <c r="G30" s="49"/>
      <c r="H30" s="19"/>
      <c r="I30" s="19"/>
      <c r="J30" s="24"/>
      <c r="L30" s="49"/>
      <c r="M30" s="19"/>
      <c r="N30" s="19"/>
      <c r="O30" s="24"/>
      <c r="Q30" s="49"/>
      <c r="R30" s="19"/>
      <c r="S30" s="19"/>
      <c r="T30" s="24"/>
      <c r="V30" s="49"/>
      <c r="W30" s="19"/>
      <c r="X30" s="19"/>
      <c r="Y30" s="24"/>
    </row>
    <row r="31" spans="2:25" x14ac:dyDescent="0.35">
      <c r="B31" s="50"/>
      <c r="C31" s="18"/>
      <c r="D31" s="20"/>
      <c r="E31" s="25"/>
      <c r="G31" s="50"/>
      <c r="H31" s="20"/>
      <c r="I31" s="20"/>
      <c r="J31" s="25"/>
      <c r="L31" s="50"/>
      <c r="M31" s="20"/>
      <c r="N31" s="20"/>
      <c r="O31" s="25"/>
      <c r="Q31" s="50"/>
      <c r="R31" s="20"/>
      <c r="S31" s="20"/>
      <c r="T31" s="25"/>
      <c r="V31" s="50"/>
      <c r="W31" s="20"/>
      <c r="X31" s="20"/>
      <c r="Y31" s="25"/>
    </row>
    <row r="32" spans="2:25" x14ac:dyDescent="0.35">
      <c r="B32" s="49"/>
      <c r="C32" s="17"/>
      <c r="D32" s="19"/>
      <c r="E32" s="24"/>
      <c r="G32" s="49"/>
      <c r="H32" s="19"/>
      <c r="I32" s="19"/>
      <c r="J32" s="24"/>
      <c r="L32" s="49"/>
      <c r="M32" s="19"/>
      <c r="N32" s="19"/>
      <c r="O32" s="24"/>
      <c r="Q32" s="49"/>
      <c r="R32" s="19"/>
      <c r="S32" s="19"/>
      <c r="T32" s="24"/>
      <c r="V32" s="49"/>
      <c r="W32" s="19"/>
      <c r="X32" s="19"/>
      <c r="Y32" s="24"/>
    </row>
    <row r="33" spans="2:25" x14ac:dyDescent="0.35">
      <c r="B33" s="50"/>
      <c r="C33" s="18"/>
      <c r="D33" s="20"/>
      <c r="E33" s="25"/>
      <c r="G33" s="50"/>
      <c r="H33" s="20"/>
      <c r="I33" s="20"/>
      <c r="J33" s="25"/>
      <c r="L33" s="50"/>
      <c r="M33" s="20"/>
      <c r="N33" s="20"/>
      <c r="O33" s="25"/>
      <c r="Q33" s="50"/>
      <c r="R33" s="20"/>
      <c r="S33" s="20"/>
      <c r="T33" s="25"/>
      <c r="V33" s="50"/>
      <c r="W33" s="20"/>
      <c r="X33" s="20"/>
      <c r="Y33" s="25"/>
    </row>
    <row r="34" spans="2:25" x14ac:dyDescent="0.35">
      <c r="B34" s="49"/>
      <c r="C34" s="17"/>
      <c r="D34" s="19"/>
      <c r="E34" s="24"/>
      <c r="G34" s="49"/>
      <c r="H34" s="19"/>
      <c r="I34" s="19"/>
      <c r="J34" s="24"/>
      <c r="L34" s="49"/>
      <c r="M34" s="19"/>
      <c r="N34" s="19"/>
      <c r="O34" s="24"/>
      <c r="Q34" s="49"/>
      <c r="R34" s="19"/>
      <c r="S34" s="19"/>
      <c r="T34" s="24"/>
      <c r="V34" s="49"/>
      <c r="W34" s="19"/>
      <c r="X34" s="19"/>
      <c r="Y34" s="24"/>
    </row>
    <row r="35" spans="2:25" x14ac:dyDescent="0.35">
      <c r="B35" s="50"/>
      <c r="C35" s="18"/>
      <c r="D35" s="20"/>
      <c r="E35" s="25"/>
      <c r="G35" s="50"/>
      <c r="H35" s="20"/>
      <c r="I35" s="20"/>
      <c r="J35" s="25"/>
      <c r="L35" s="50"/>
      <c r="M35" s="20"/>
      <c r="N35" s="20"/>
      <c r="O35" s="25"/>
      <c r="Q35" s="50"/>
      <c r="R35" s="20"/>
      <c r="S35" s="20"/>
      <c r="T35" s="25"/>
      <c r="V35" s="50"/>
      <c r="W35" s="20"/>
      <c r="X35" s="20"/>
      <c r="Y35" s="25"/>
    </row>
    <row r="36" spans="2:25" x14ac:dyDescent="0.35">
      <c r="B36" s="49"/>
      <c r="C36" s="17"/>
      <c r="D36" s="19"/>
      <c r="E36" s="24"/>
      <c r="G36" s="49"/>
      <c r="H36" s="19"/>
      <c r="I36" s="19"/>
      <c r="J36" s="24"/>
      <c r="L36" s="49"/>
      <c r="M36" s="19"/>
      <c r="N36" s="19"/>
      <c r="O36" s="24"/>
      <c r="Q36" s="49"/>
      <c r="R36" s="19"/>
      <c r="S36" s="19"/>
      <c r="T36" s="24"/>
      <c r="V36" s="49"/>
      <c r="W36" s="19"/>
      <c r="X36" s="19"/>
      <c r="Y36" s="24"/>
    </row>
    <row r="37" spans="2:25" x14ac:dyDescent="0.35">
      <c r="B37" s="50"/>
      <c r="C37" s="18"/>
      <c r="D37" s="20"/>
      <c r="E37" s="25"/>
      <c r="G37" s="50"/>
      <c r="H37" s="20"/>
      <c r="I37" s="20"/>
      <c r="J37" s="25"/>
      <c r="L37" s="50"/>
      <c r="M37" s="20"/>
      <c r="N37" s="20"/>
      <c r="O37" s="25"/>
      <c r="Q37" s="50"/>
      <c r="R37" s="20"/>
      <c r="S37" s="20"/>
      <c r="T37" s="25"/>
      <c r="V37" s="50"/>
      <c r="W37" s="20"/>
      <c r="X37" s="20"/>
      <c r="Y37" s="25"/>
    </row>
    <row r="38" spans="2:25" x14ac:dyDescent="0.35">
      <c r="B38" s="49"/>
      <c r="C38" s="17"/>
      <c r="D38" s="19"/>
      <c r="E38" s="24"/>
      <c r="G38" s="49"/>
      <c r="H38" s="19"/>
      <c r="I38" s="19"/>
      <c r="J38" s="24"/>
      <c r="L38" s="49"/>
      <c r="M38" s="19"/>
      <c r="N38" s="19"/>
      <c r="O38" s="24"/>
      <c r="Q38" s="49"/>
      <c r="R38" s="19"/>
      <c r="S38" s="19"/>
      <c r="T38" s="24"/>
      <c r="V38" s="49"/>
      <c r="W38" s="19"/>
      <c r="X38" s="19"/>
      <c r="Y38" s="24"/>
    </row>
    <row r="39" spans="2:25" x14ac:dyDescent="0.35">
      <c r="B39" s="50"/>
      <c r="C39" s="18"/>
      <c r="D39" s="20"/>
      <c r="E39" s="25"/>
      <c r="G39" s="50"/>
      <c r="H39" s="20"/>
      <c r="I39" s="20"/>
      <c r="J39" s="25"/>
      <c r="L39" s="50"/>
      <c r="M39" s="20"/>
      <c r="N39" s="20"/>
      <c r="O39" s="25"/>
      <c r="Q39" s="50"/>
      <c r="R39" s="20"/>
      <c r="S39" s="20"/>
      <c r="T39" s="25"/>
      <c r="V39" s="50"/>
      <c r="W39" s="20"/>
      <c r="X39" s="20"/>
      <c r="Y39" s="25"/>
    </row>
    <row r="40" spans="2:25" x14ac:dyDescent="0.35">
      <c r="B40" s="49"/>
      <c r="C40" s="17"/>
      <c r="D40" s="19"/>
      <c r="E40" s="24"/>
      <c r="G40" s="49"/>
      <c r="H40" s="19"/>
      <c r="I40" s="19"/>
      <c r="J40" s="24"/>
      <c r="L40" s="49"/>
      <c r="M40" s="19"/>
      <c r="N40" s="19"/>
      <c r="O40" s="24"/>
      <c r="Q40" s="49"/>
      <c r="R40" s="19"/>
      <c r="S40" s="19"/>
      <c r="T40" s="24"/>
      <c r="V40" s="49"/>
      <c r="W40" s="19"/>
      <c r="X40" s="19"/>
      <c r="Y40" s="24"/>
    </row>
    <row r="41" spans="2:25" x14ac:dyDescent="0.35">
      <c r="B41" s="50"/>
      <c r="C41" s="18"/>
      <c r="D41" s="20"/>
      <c r="E41" s="25"/>
      <c r="G41" s="50"/>
      <c r="H41" s="20"/>
      <c r="I41" s="20"/>
      <c r="J41" s="25"/>
      <c r="L41" s="50"/>
      <c r="M41" s="20"/>
      <c r="N41" s="20"/>
      <c r="O41" s="25"/>
      <c r="Q41" s="50"/>
      <c r="R41" s="20"/>
      <c r="S41" s="20"/>
      <c r="T41" s="25"/>
      <c r="V41" s="50"/>
      <c r="W41" s="20"/>
      <c r="X41" s="20"/>
      <c r="Y41" s="25"/>
    </row>
    <row r="42" spans="2:25" x14ac:dyDescent="0.35">
      <c r="B42" s="49"/>
      <c r="C42" s="17"/>
      <c r="D42" s="19"/>
      <c r="E42" s="24"/>
      <c r="G42" s="49"/>
      <c r="H42" s="19"/>
      <c r="I42" s="19"/>
      <c r="J42" s="24"/>
      <c r="L42" s="49"/>
      <c r="M42" s="19"/>
      <c r="N42" s="19"/>
      <c r="O42" s="24"/>
      <c r="Q42" s="49"/>
      <c r="R42" s="19"/>
      <c r="S42" s="19"/>
      <c r="T42" s="24"/>
      <c r="V42" s="49"/>
      <c r="W42" s="19"/>
      <c r="X42" s="19"/>
      <c r="Y42" s="24"/>
    </row>
    <row r="43" spans="2:25" x14ac:dyDescent="0.35">
      <c r="B43" s="50"/>
      <c r="C43" s="18"/>
      <c r="D43" s="20"/>
      <c r="E43" s="25"/>
      <c r="G43" s="50"/>
      <c r="H43" s="20"/>
      <c r="I43" s="20"/>
      <c r="J43" s="25"/>
      <c r="L43" s="50"/>
      <c r="M43" s="20"/>
      <c r="N43" s="20"/>
      <c r="O43" s="25"/>
      <c r="Q43" s="50"/>
      <c r="R43" s="20"/>
      <c r="S43" s="20"/>
      <c r="T43" s="25"/>
      <c r="V43" s="50"/>
      <c r="W43" s="20"/>
      <c r="X43" s="20"/>
      <c r="Y43" s="25"/>
    </row>
    <row r="44" spans="2:25" x14ac:dyDescent="0.35">
      <c r="B44" s="49"/>
      <c r="C44" s="17"/>
      <c r="D44" s="19"/>
      <c r="E44" s="24"/>
      <c r="G44" s="49"/>
      <c r="H44" s="19"/>
      <c r="I44" s="19"/>
      <c r="J44" s="24"/>
      <c r="L44" s="49"/>
      <c r="M44" s="19"/>
      <c r="N44" s="19"/>
      <c r="O44" s="24"/>
      <c r="Q44" s="49"/>
      <c r="R44" s="19"/>
      <c r="S44" s="19"/>
      <c r="T44" s="24"/>
      <c r="V44" s="49"/>
      <c r="W44" s="19"/>
      <c r="X44" s="19"/>
      <c r="Y44" s="24"/>
    </row>
    <row r="45" spans="2:25" x14ac:dyDescent="0.35">
      <c r="B45" s="50"/>
      <c r="C45" s="18"/>
      <c r="D45" s="20"/>
      <c r="E45" s="25"/>
      <c r="G45" s="50"/>
      <c r="H45" s="20"/>
      <c r="I45" s="20"/>
      <c r="J45" s="25"/>
      <c r="L45" s="50"/>
      <c r="M45" s="20"/>
      <c r="N45" s="20"/>
      <c r="O45" s="25"/>
      <c r="Q45" s="50"/>
      <c r="R45" s="20"/>
      <c r="S45" s="20"/>
      <c r="T45" s="25"/>
      <c r="V45" s="50"/>
      <c r="W45" s="20"/>
      <c r="X45" s="20"/>
      <c r="Y45" s="25"/>
    </row>
    <row r="46" spans="2:25" x14ac:dyDescent="0.35">
      <c r="B46" s="49"/>
      <c r="C46" s="17"/>
      <c r="D46" s="19"/>
      <c r="E46" s="24"/>
      <c r="G46" s="49"/>
      <c r="H46" s="19"/>
      <c r="I46" s="19"/>
      <c r="J46" s="24"/>
      <c r="L46" s="49"/>
      <c r="M46" s="19"/>
      <c r="N46" s="19"/>
      <c r="O46" s="24"/>
      <c r="Q46" s="49"/>
      <c r="R46" s="19"/>
      <c r="S46" s="19"/>
      <c r="T46" s="24"/>
      <c r="V46" s="49"/>
      <c r="W46" s="19"/>
      <c r="X46" s="19"/>
      <c r="Y46" s="24"/>
    </row>
    <row r="47" spans="2:25" x14ac:dyDescent="0.35">
      <c r="B47" s="50"/>
      <c r="C47" s="18"/>
      <c r="D47" s="20"/>
      <c r="E47" s="25"/>
      <c r="G47" s="50"/>
      <c r="H47" s="20"/>
      <c r="I47" s="20"/>
      <c r="J47" s="25"/>
      <c r="L47" s="50"/>
      <c r="M47" s="20"/>
      <c r="N47" s="20"/>
      <c r="O47" s="25"/>
      <c r="Q47" s="50"/>
      <c r="R47" s="20"/>
      <c r="S47" s="20"/>
      <c r="T47" s="25"/>
      <c r="V47" s="50"/>
      <c r="W47" s="20"/>
      <c r="X47" s="20"/>
      <c r="Y47" s="25"/>
    </row>
    <row r="48" spans="2:25" x14ac:dyDescent="0.35">
      <c r="B48" s="49"/>
      <c r="C48" s="17"/>
      <c r="D48" s="19"/>
      <c r="E48" s="24"/>
      <c r="G48" s="49"/>
      <c r="H48" s="19"/>
      <c r="I48" s="19"/>
      <c r="J48" s="24"/>
      <c r="L48" s="49"/>
      <c r="M48" s="19"/>
      <c r="N48" s="19"/>
      <c r="O48" s="24"/>
      <c r="Q48" s="49"/>
      <c r="R48" s="19"/>
      <c r="S48" s="19"/>
      <c r="T48" s="24"/>
      <c r="V48" s="49"/>
      <c r="W48" s="19"/>
      <c r="X48" s="19"/>
      <c r="Y48" s="24"/>
    </row>
    <row r="49" spans="2:25" x14ac:dyDescent="0.35">
      <c r="B49" s="50"/>
      <c r="C49" s="18"/>
      <c r="D49" s="20"/>
      <c r="E49" s="25"/>
      <c r="G49" s="50"/>
      <c r="H49" s="20"/>
      <c r="I49" s="20"/>
      <c r="J49" s="25"/>
      <c r="L49" s="50"/>
      <c r="M49" s="20"/>
      <c r="N49" s="20"/>
      <c r="O49" s="25"/>
      <c r="Q49" s="50"/>
      <c r="R49" s="20"/>
      <c r="S49" s="20"/>
      <c r="T49" s="25"/>
      <c r="V49" s="50"/>
      <c r="W49" s="20"/>
      <c r="X49" s="20"/>
      <c r="Y49" s="25"/>
    </row>
    <row r="50" spans="2:25" x14ac:dyDescent="0.35">
      <c r="B50" s="49"/>
      <c r="C50" s="17"/>
      <c r="D50" s="19"/>
      <c r="E50" s="24"/>
      <c r="G50" s="49"/>
      <c r="H50" s="19"/>
      <c r="I50" s="19"/>
      <c r="J50" s="24"/>
      <c r="L50" s="49"/>
      <c r="M50" s="19"/>
      <c r="N50" s="19"/>
      <c r="O50" s="24"/>
      <c r="Q50" s="49"/>
      <c r="R50" s="19"/>
      <c r="S50" s="19"/>
      <c r="T50" s="24"/>
      <c r="V50" s="49"/>
      <c r="W50" s="19"/>
      <c r="X50" s="19"/>
      <c r="Y50" s="24"/>
    </row>
    <row r="51" spans="2:25" x14ac:dyDescent="0.35">
      <c r="B51" s="50"/>
      <c r="C51" s="18"/>
      <c r="D51" s="20"/>
      <c r="E51" s="25"/>
      <c r="G51" s="50"/>
      <c r="H51" s="20"/>
      <c r="I51" s="20"/>
      <c r="J51" s="25"/>
      <c r="L51" s="50"/>
      <c r="M51" s="20"/>
      <c r="N51" s="20"/>
      <c r="O51" s="25"/>
      <c r="Q51" s="50"/>
      <c r="R51" s="20"/>
      <c r="S51" s="20"/>
      <c r="T51" s="25"/>
      <c r="V51" s="50"/>
      <c r="W51" s="20"/>
      <c r="X51" s="20"/>
      <c r="Y51" s="25"/>
    </row>
    <row r="52" spans="2:25" x14ac:dyDescent="0.35">
      <c r="B52" s="49"/>
      <c r="C52" s="17"/>
      <c r="D52" s="19"/>
      <c r="E52" s="24"/>
      <c r="G52" s="49"/>
      <c r="H52" s="19"/>
      <c r="I52" s="19"/>
      <c r="J52" s="24"/>
      <c r="L52" s="49"/>
      <c r="M52" s="19"/>
      <c r="N52" s="19"/>
      <c r="O52" s="24"/>
      <c r="Q52" s="49"/>
      <c r="R52" s="19"/>
      <c r="S52" s="19"/>
      <c r="T52" s="24"/>
      <c r="V52" s="49"/>
      <c r="W52" s="19"/>
      <c r="X52" s="19"/>
      <c r="Y52" s="24"/>
    </row>
    <row r="53" spans="2:25" x14ac:dyDescent="0.35">
      <c r="B53" s="50"/>
      <c r="C53" s="18"/>
      <c r="D53" s="20"/>
      <c r="E53" s="25"/>
      <c r="G53" s="50"/>
      <c r="H53" s="20"/>
      <c r="I53" s="20"/>
      <c r="J53" s="25"/>
      <c r="L53" s="50"/>
      <c r="M53" s="20"/>
      <c r="N53" s="20"/>
      <c r="O53" s="25"/>
      <c r="Q53" s="50"/>
      <c r="R53" s="20"/>
      <c r="S53" s="20"/>
      <c r="T53" s="25"/>
      <c r="V53" s="50"/>
      <c r="W53" s="20"/>
      <c r="X53" s="20"/>
      <c r="Y53" s="25"/>
    </row>
    <row r="54" spans="2:25" x14ac:dyDescent="0.35">
      <c r="B54" s="49"/>
      <c r="C54" s="17"/>
      <c r="D54" s="19"/>
      <c r="E54" s="24"/>
      <c r="G54" s="49"/>
      <c r="H54" s="19"/>
      <c r="I54" s="19"/>
      <c r="J54" s="24"/>
      <c r="L54" s="49"/>
      <c r="M54" s="19"/>
      <c r="N54" s="19"/>
      <c r="O54" s="24"/>
      <c r="Q54" s="49"/>
      <c r="R54" s="19"/>
      <c r="S54" s="19"/>
      <c r="T54" s="24"/>
      <c r="V54" s="49"/>
      <c r="W54" s="19"/>
      <c r="X54" s="19"/>
      <c r="Y54" s="24"/>
    </row>
    <row r="55" spans="2:25" x14ac:dyDescent="0.35">
      <c r="B55" s="50"/>
      <c r="C55" s="18"/>
      <c r="D55" s="20"/>
      <c r="E55" s="25"/>
      <c r="G55" s="50"/>
      <c r="H55" s="20"/>
      <c r="I55" s="20"/>
      <c r="J55" s="25"/>
      <c r="L55" s="50"/>
      <c r="M55" s="20"/>
      <c r="N55" s="20"/>
      <c r="O55" s="25"/>
      <c r="Q55" s="50"/>
      <c r="R55" s="20"/>
      <c r="S55" s="20"/>
      <c r="T55" s="25"/>
      <c r="V55" s="50"/>
      <c r="W55" s="20"/>
      <c r="X55" s="20"/>
      <c r="Y55" s="25"/>
    </row>
    <row r="56" spans="2:25" x14ac:dyDescent="0.35">
      <c r="B56" s="49"/>
      <c r="C56" s="17"/>
      <c r="D56" s="19"/>
      <c r="E56" s="24"/>
      <c r="G56" s="49"/>
      <c r="H56" s="19"/>
      <c r="I56" s="19"/>
      <c r="J56" s="24"/>
      <c r="L56" s="49"/>
      <c r="M56" s="19"/>
      <c r="N56" s="19"/>
      <c r="O56" s="24"/>
      <c r="Q56" s="49"/>
      <c r="R56" s="19"/>
      <c r="S56" s="19"/>
      <c r="T56" s="24"/>
      <c r="V56" s="49"/>
      <c r="W56" s="19"/>
      <c r="X56" s="19"/>
      <c r="Y56" s="24"/>
    </row>
    <row r="57" spans="2:25" x14ac:dyDescent="0.35">
      <c r="B57" s="50"/>
      <c r="C57" s="18"/>
      <c r="D57" s="20"/>
      <c r="E57" s="25"/>
      <c r="G57" s="50"/>
      <c r="H57" s="20"/>
      <c r="I57" s="20"/>
      <c r="J57" s="25"/>
      <c r="L57" s="50"/>
      <c r="M57" s="20"/>
      <c r="N57" s="20"/>
      <c r="O57" s="25"/>
      <c r="Q57" s="50"/>
      <c r="R57" s="20"/>
      <c r="S57" s="20"/>
      <c r="T57" s="25"/>
      <c r="V57" s="50"/>
      <c r="W57" s="20"/>
      <c r="X57" s="20"/>
      <c r="Y57" s="25"/>
    </row>
    <row r="58" spans="2:25" x14ac:dyDescent="0.35">
      <c r="B58" s="49"/>
      <c r="C58" s="17"/>
      <c r="D58" s="19"/>
      <c r="E58" s="24"/>
      <c r="G58" s="49"/>
      <c r="H58" s="19"/>
      <c r="I58" s="19"/>
      <c r="J58" s="24"/>
      <c r="L58" s="49"/>
      <c r="M58" s="19"/>
      <c r="N58" s="19"/>
      <c r="O58" s="24"/>
      <c r="Q58" s="49"/>
      <c r="R58" s="19"/>
      <c r="S58" s="19"/>
      <c r="T58" s="24"/>
      <c r="V58" s="49"/>
      <c r="W58" s="19"/>
      <c r="X58" s="19"/>
      <c r="Y58" s="24"/>
    </row>
    <row r="59" spans="2:25" x14ac:dyDescent="0.35">
      <c r="B59" s="50"/>
      <c r="C59" s="18"/>
      <c r="D59" s="20"/>
      <c r="E59" s="25"/>
      <c r="G59" s="50"/>
      <c r="H59" s="20"/>
      <c r="I59" s="20"/>
      <c r="J59" s="25"/>
      <c r="L59" s="50"/>
      <c r="M59" s="20"/>
      <c r="N59" s="20"/>
      <c r="O59" s="25"/>
      <c r="Q59" s="50"/>
      <c r="R59" s="20"/>
      <c r="S59" s="20"/>
      <c r="T59" s="25"/>
      <c r="V59" s="50"/>
      <c r="W59" s="20"/>
      <c r="X59" s="20"/>
      <c r="Y59" s="25"/>
    </row>
    <row r="60" spans="2:25" x14ac:dyDescent="0.35">
      <c r="B60" s="49"/>
      <c r="C60" s="17"/>
      <c r="D60" s="19"/>
      <c r="E60" s="24"/>
      <c r="G60" s="49"/>
      <c r="H60" s="19"/>
      <c r="I60" s="19"/>
      <c r="J60" s="24"/>
      <c r="L60" s="49"/>
      <c r="M60" s="19"/>
      <c r="N60" s="19"/>
      <c r="O60" s="24"/>
      <c r="Q60" s="49"/>
      <c r="R60" s="19"/>
      <c r="S60" s="19"/>
      <c r="T60" s="24"/>
      <c r="V60" s="49"/>
      <c r="W60" s="19"/>
      <c r="X60" s="19"/>
      <c r="Y60" s="24"/>
    </row>
    <row r="61" spans="2:25" x14ac:dyDescent="0.35">
      <c r="B61" s="50"/>
      <c r="C61" s="18"/>
      <c r="D61" s="20"/>
      <c r="E61" s="25"/>
      <c r="G61" s="50"/>
      <c r="H61" s="20"/>
      <c r="I61" s="20"/>
      <c r="J61" s="25"/>
      <c r="L61" s="50"/>
      <c r="M61" s="20"/>
      <c r="N61" s="20"/>
      <c r="O61" s="25"/>
      <c r="Q61" s="50"/>
      <c r="R61" s="20"/>
      <c r="S61" s="20"/>
      <c r="T61" s="25"/>
      <c r="V61" s="50"/>
      <c r="W61" s="20"/>
      <c r="X61" s="20"/>
      <c r="Y61" s="25"/>
    </row>
    <row r="62" spans="2:25" x14ac:dyDescent="0.35">
      <c r="B62" s="49"/>
      <c r="C62" s="17"/>
      <c r="D62" s="19"/>
      <c r="E62" s="24"/>
      <c r="G62" s="49"/>
      <c r="H62" s="19"/>
      <c r="I62" s="19"/>
      <c r="J62" s="24"/>
      <c r="L62" s="49"/>
      <c r="M62" s="19"/>
      <c r="N62" s="19"/>
      <c r="O62" s="24"/>
      <c r="Q62" s="49"/>
      <c r="R62" s="19"/>
      <c r="S62" s="19"/>
      <c r="T62" s="24"/>
      <c r="V62" s="49"/>
      <c r="W62" s="19"/>
      <c r="X62" s="19"/>
      <c r="Y62" s="24"/>
    </row>
    <row r="63" spans="2:25" x14ac:dyDescent="0.35">
      <c r="B63" s="50"/>
      <c r="C63" s="18"/>
      <c r="D63" s="20"/>
      <c r="E63" s="25"/>
      <c r="G63" s="50"/>
      <c r="H63" s="20"/>
      <c r="I63" s="20"/>
      <c r="J63" s="25"/>
      <c r="L63" s="50"/>
      <c r="M63" s="20"/>
      <c r="N63" s="20"/>
      <c r="O63" s="25"/>
      <c r="Q63" s="50"/>
      <c r="R63" s="20"/>
      <c r="S63" s="20"/>
      <c r="T63" s="25"/>
      <c r="V63" s="50"/>
      <c r="W63" s="20"/>
      <c r="X63" s="20"/>
      <c r="Y63" s="25"/>
    </row>
    <row r="64" spans="2:25" x14ac:dyDescent="0.35">
      <c r="B64" s="49"/>
      <c r="C64" s="17"/>
      <c r="D64" s="19"/>
      <c r="E64" s="24"/>
      <c r="G64" s="49"/>
      <c r="H64" s="19"/>
      <c r="I64" s="19"/>
      <c r="J64" s="24"/>
      <c r="L64" s="49"/>
      <c r="M64" s="19"/>
      <c r="N64" s="19"/>
      <c r="O64" s="24"/>
      <c r="Q64" s="49"/>
      <c r="R64" s="19"/>
      <c r="S64" s="19"/>
      <c r="T64" s="24"/>
      <c r="V64" s="49"/>
      <c r="W64" s="19"/>
      <c r="X64" s="19"/>
      <c r="Y64" s="24"/>
    </row>
    <row r="65" spans="2:25" x14ac:dyDescent="0.35">
      <c r="B65" s="50"/>
      <c r="C65" s="18"/>
      <c r="D65" s="20"/>
      <c r="E65" s="25"/>
      <c r="G65" s="50"/>
      <c r="H65" s="20"/>
      <c r="I65" s="20"/>
      <c r="J65" s="25"/>
      <c r="L65" s="50"/>
      <c r="M65" s="20"/>
      <c r="N65" s="20"/>
      <c r="O65" s="25"/>
      <c r="Q65" s="50"/>
      <c r="R65" s="20"/>
      <c r="S65" s="20"/>
      <c r="T65" s="25"/>
      <c r="V65" s="50"/>
      <c r="W65" s="20"/>
      <c r="X65" s="20"/>
      <c r="Y65" s="25"/>
    </row>
    <row r="66" spans="2:25" x14ac:dyDescent="0.35">
      <c r="B66" s="49"/>
      <c r="C66" s="17"/>
      <c r="D66" s="19"/>
      <c r="E66" s="24"/>
      <c r="G66" s="49"/>
      <c r="H66" s="19"/>
      <c r="I66" s="19"/>
      <c r="J66" s="24"/>
      <c r="L66" s="49"/>
      <c r="M66" s="19"/>
      <c r="N66" s="19"/>
      <c r="O66" s="24"/>
      <c r="Q66" s="49"/>
      <c r="R66" s="19"/>
      <c r="S66" s="19"/>
      <c r="T66" s="24"/>
      <c r="V66" s="49"/>
      <c r="W66" s="19"/>
      <c r="X66" s="19"/>
      <c r="Y66" s="24"/>
    </row>
    <row r="67" spans="2:25" x14ac:dyDescent="0.35">
      <c r="B67" s="50"/>
      <c r="C67" s="18"/>
      <c r="D67" s="20"/>
      <c r="E67" s="25"/>
      <c r="G67" s="50"/>
      <c r="H67" s="20"/>
      <c r="I67" s="20"/>
      <c r="J67" s="25"/>
      <c r="L67" s="50"/>
      <c r="M67" s="20"/>
      <c r="N67" s="20"/>
      <c r="O67" s="25"/>
      <c r="Q67" s="50"/>
      <c r="R67" s="20"/>
      <c r="S67" s="20"/>
      <c r="T67" s="25"/>
      <c r="V67" s="50"/>
      <c r="W67" s="20"/>
      <c r="X67" s="20"/>
      <c r="Y67" s="25"/>
    </row>
    <row r="68" spans="2:25" x14ac:dyDescent="0.35">
      <c r="B68" s="49"/>
      <c r="C68" s="17"/>
      <c r="D68" s="19"/>
      <c r="E68" s="24"/>
      <c r="G68" s="49"/>
      <c r="H68" s="19"/>
      <c r="I68" s="19"/>
      <c r="J68" s="24"/>
      <c r="L68" s="49"/>
      <c r="M68" s="19"/>
      <c r="N68" s="19"/>
      <c r="O68" s="24"/>
      <c r="Q68" s="49"/>
      <c r="R68" s="19"/>
      <c r="S68" s="19"/>
      <c r="T68" s="24"/>
      <c r="V68" s="49"/>
      <c r="W68" s="19"/>
      <c r="X68" s="19"/>
      <c r="Y68" s="24"/>
    </row>
    <row r="69" spans="2:25" x14ac:dyDescent="0.35">
      <c r="B69" s="50"/>
      <c r="C69" s="18"/>
      <c r="D69" s="20"/>
      <c r="E69" s="25"/>
      <c r="G69" s="50"/>
      <c r="H69" s="20"/>
      <c r="I69" s="20"/>
      <c r="J69" s="25"/>
      <c r="L69" s="50"/>
      <c r="M69" s="20"/>
      <c r="N69" s="20"/>
      <c r="O69" s="25"/>
      <c r="Q69" s="50"/>
      <c r="R69" s="20"/>
      <c r="S69" s="20"/>
      <c r="T69" s="25"/>
      <c r="V69" s="50"/>
      <c r="W69" s="20"/>
      <c r="X69" s="20"/>
      <c r="Y69" s="25"/>
    </row>
    <row r="70" spans="2:25" x14ac:dyDescent="0.35">
      <c r="B70" s="49"/>
      <c r="C70" s="17"/>
      <c r="D70" s="19"/>
      <c r="E70" s="24"/>
      <c r="G70" s="49"/>
      <c r="H70" s="19"/>
      <c r="I70" s="19"/>
      <c r="J70" s="24"/>
      <c r="L70" s="49"/>
      <c r="M70" s="19"/>
      <c r="N70" s="19"/>
      <c r="O70" s="24"/>
      <c r="Q70" s="49"/>
      <c r="R70" s="19"/>
      <c r="S70" s="19"/>
      <c r="T70" s="24"/>
      <c r="V70" s="49"/>
      <c r="W70" s="19"/>
      <c r="X70" s="19"/>
      <c r="Y70" s="24"/>
    </row>
    <row r="71" spans="2:25" x14ac:dyDescent="0.35">
      <c r="B71" s="50"/>
      <c r="C71" s="18"/>
      <c r="D71" s="20"/>
      <c r="E71" s="25"/>
      <c r="G71" s="50"/>
      <c r="H71" s="20"/>
      <c r="I71" s="20"/>
      <c r="J71" s="25"/>
      <c r="L71" s="50"/>
      <c r="M71" s="20"/>
      <c r="N71" s="20"/>
      <c r="O71" s="25"/>
      <c r="Q71" s="50"/>
      <c r="R71" s="20"/>
      <c r="S71" s="20"/>
      <c r="T71" s="25"/>
      <c r="V71" s="50"/>
      <c r="W71" s="20"/>
      <c r="X71" s="20"/>
      <c r="Y71" s="25"/>
    </row>
    <row r="72" spans="2:25" x14ac:dyDescent="0.35">
      <c r="B72" s="49"/>
      <c r="C72" s="17"/>
      <c r="D72" s="19"/>
      <c r="E72" s="24"/>
      <c r="G72" s="49"/>
      <c r="H72" s="19"/>
      <c r="I72" s="19"/>
      <c r="J72" s="24"/>
      <c r="L72" s="49"/>
      <c r="M72" s="19"/>
      <c r="N72" s="19"/>
      <c r="O72" s="24"/>
      <c r="Q72" s="49"/>
      <c r="R72" s="19"/>
      <c r="S72" s="19"/>
      <c r="T72" s="24"/>
      <c r="V72" s="49"/>
      <c r="W72" s="19"/>
      <c r="X72" s="19"/>
      <c r="Y72" s="24"/>
    </row>
    <row r="73" spans="2:25" x14ac:dyDescent="0.35">
      <c r="B73" s="50"/>
      <c r="C73" s="18"/>
      <c r="D73" s="20"/>
      <c r="E73" s="25"/>
      <c r="G73" s="50"/>
      <c r="H73" s="20"/>
      <c r="I73" s="20"/>
      <c r="J73" s="25"/>
      <c r="L73" s="50"/>
      <c r="M73" s="20"/>
      <c r="N73" s="20"/>
      <c r="O73" s="25"/>
      <c r="Q73" s="50"/>
      <c r="R73" s="20"/>
      <c r="S73" s="20"/>
      <c r="T73" s="25"/>
      <c r="V73" s="50"/>
      <c r="W73" s="20"/>
      <c r="X73" s="20"/>
      <c r="Y73" s="25"/>
    </row>
    <row r="74" spans="2:25" x14ac:dyDescent="0.35">
      <c r="B74" s="49"/>
      <c r="C74" s="17"/>
      <c r="D74" s="19"/>
      <c r="E74" s="24"/>
      <c r="G74" s="49"/>
      <c r="H74" s="19"/>
      <c r="I74" s="19"/>
      <c r="J74" s="24"/>
      <c r="L74" s="49"/>
      <c r="M74" s="19"/>
      <c r="N74" s="19"/>
      <c r="O74" s="24"/>
      <c r="Q74" s="49"/>
      <c r="R74" s="19"/>
      <c r="S74" s="19"/>
      <c r="T74" s="24"/>
      <c r="V74" s="49"/>
      <c r="W74" s="19"/>
      <c r="X74" s="19"/>
      <c r="Y74" s="24"/>
    </row>
    <row r="75" spans="2:25" x14ac:dyDescent="0.35">
      <c r="B75" s="50"/>
      <c r="C75" s="18"/>
      <c r="D75" s="20"/>
      <c r="E75" s="25"/>
      <c r="G75" s="50"/>
      <c r="H75" s="20"/>
      <c r="I75" s="20"/>
      <c r="J75" s="25"/>
      <c r="L75" s="50"/>
      <c r="M75" s="20"/>
      <c r="N75" s="20"/>
      <c r="O75" s="25"/>
      <c r="Q75" s="50"/>
      <c r="R75" s="20"/>
      <c r="S75" s="20"/>
      <c r="T75" s="25"/>
      <c r="V75" s="50"/>
      <c r="W75" s="20"/>
      <c r="X75" s="20"/>
      <c r="Y75" s="25"/>
    </row>
    <row r="76" spans="2:25" x14ac:dyDescent="0.35">
      <c r="B76" s="49"/>
      <c r="C76" s="17"/>
      <c r="D76" s="19"/>
      <c r="E76" s="24"/>
      <c r="G76" s="49"/>
      <c r="H76" s="19"/>
      <c r="I76" s="19"/>
      <c r="J76" s="24"/>
      <c r="L76" s="49"/>
      <c r="M76" s="19"/>
      <c r="N76" s="19"/>
      <c r="O76" s="24"/>
      <c r="Q76" s="49"/>
      <c r="R76" s="19"/>
      <c r="S76" s="19"/>
      <c r="T76" s="24"/>
      <c r="V76" s="49"/>
      <c r="W76" s="19"/>
      <c r="X76" s="19"/>
      <c r="Y76" s="24"/>
    </row>
    <row r="77" spans="2:25" x14ac:dyDescent="0.35">
      <c r="B77" s="50"/>
      <c r="C77" s="18"/>
      <c r="D77" s="20"/>
      <c r="E77" s="25"/>
      <c r="G77" s="50"/>
      <c r="H77" s="20"/>
      <c r="I77" s="20"/>
      <c r="J77" s="25"/>
      <c r="L77" s="50"/>
      <c r="M77" s="20"/>
      <c r="N77" s="20"/>
      <c r="O77" s="25"/>
      <c r="Q77" s="50"/>
      <c r="R77" s="20"/>
      <c r="S77" s="20"/>
      <c r="T77" s="25"/>
      <c r="V77" s="50"/>
      <c r="W77" s="20"/>
      <c r="X77" s="20"/>
      <c r="Y77" s="25"/>
    </row>
    <row r="78" spans="2:25" x14ac:dyDescent="0.35">
      <c r="B78" s="49"/>
      <c r="C78" s="17"/>
      <c r="D78" s="19"/>
      <c r="E78" s="24"/>
      <c r="G78" s="49"/>
      <c r="H78" s="19"/>
      <c r="I78" s="19"/>
      <c r="J78" s="24"/>
      <c r="L78" s="49"/>
      <c r="M78" s="19"/>
      <c r="N78" s="19"/>
      <c r="O78" s="24"/>
      <c r="Q78" s="49"/>
      <c r="R78" s="19"/>
      <c r="S78" s="19"/>
      <c r="T78" s="24"/>
      <c r="V78" s="49"/>
      <c r="W78" s="19"/>
      <c r="X78" s="19"/>
      <c r="Y78" s="24"/>
    </row>
    <row r="79" spans="2:25" x14ac:dyDescent="0.35">
      <c r="B79" s="50"/>
      <c r="C79" s="18"/>
      <c r="D79" s="20"/>
      <c r="E79" s="25"/>
      <c r="G79" s="50"/>
      <c r="H79" s="20"/>
      <c r="I79" s="20"/>
      <c r="J79" s="25"/>
      <c r="L79" s="50"/>
      <c r="M79" s="20"/>
      <c r="N79" s="20"/>
      <c r="O79" s="25"/>
      <c r="Q79" s="50"/>
      <c r="R79" s="20"/>
      <c r="S79" s="20"/>
      <c r="T79" s="25"/>
      <c r="V79" s="50"/>
      <c r="W79" s="20"/>
      <c r="X79" s="20"/>
      <c r="Y79" s="25"/>
    </row>
    <row r="80" spans="2:25" x14ac:dyDescent="0.35">
      <c r="B80" s="49"/>
      <c r="C80" s="17"/>
      <c r="D80" s="19"/>
      <c r="E80" s="24"/>
      <c r="G80" s="49"/>
      <c r="H80" s="19"/>
      <c r="I80" s="19"/>
      <c r="J80" s="24"/>
      <c r="L80" s="49"/>
      <c r="M80" s="19"/>
      <c r="N80" s="19"/>
      <c r="O80" s="24"/>
      <c r="Q80" s="49"/>
      <c r="R80" s="19"/>
      <c r="S80" s="19"/>
      <c r="T80" s="24"/>
      <c r="V80" s="49"/>
      <c r="W80" s="19"/>
      <c r="X80" s="19"/>
      <c r="Y80" s="24"/>
    </row>
    <row r="81" spans="2:25" x14ac:dyDescent="0.35">
      <c r="B81" s="50"/>
      <c r="C81" s="18"/>
      <c r="D81" s="20"/>
      <c r="E81" s="25"/>
      <c r="G81" s="50"/>
      <c r="H81" s="20"/>
      <c r="I81" s="20"/>
      <c r="J81" s="25"/>
      <c r="L81" s="50"/>
      <c r="M81" s="20"/>
      <c r="N81" s="20"/>
      <c r="O81" s="25"/>
      <c r="Q81" s="50"/>
      <c r="R81" s="20"/>
      <c r="S81" s="20"/>
      <c r="T81" s="25"/>
      <c r="V81" s="50"/>
      <c r="W81" s="20"/>
      <c r="X81" s="20"/>
      <c r="Y81" s="25"/>
    </row>
    <row r="82" spans="2:25" x14ac:dyDescent="0.35">
      <c r="B82" s="49"/>
      <c r="C82" s="17"/>
      <c r="D82" s="19"/>
      <c r="E82" s="24"/>
      <c r="G82" s="49"/>
      <c r="H82" s="19"/>
      <c r="I82" s="19"/>
      <c r="J82" s="24"/>
      <c r="L82" s="49"/>
      <c r="M82" s="19"/>
      <c r="N82" s="19"/>
      <c r="O82" s="24"/>
      <c r="Q82" s="49"/>
      <c r="R82" s="19"/>
      <c r="S82" s="19"/>
      <c r="T82" s="24"/>
      <c r="V82" s="49"/>
      <c r="W82" s="19"/>
      <c r="X82" s="19"/>
      <c r="Y82" s="24"/>
    </row>
    <row r="83" spans="2:25" x14ac:dyDescent="0.35">
      <c r="B83" s="50"/>
      <c r="C83" s="18"/>
      <c r="D83" s="20"/>
      <c r="E83" s="25"/>
      <c r="G83" s="50"/>
      <c r="H83" s="20"/>
      <c r="I83" s="20"/>
      <c r="J83" s="25"/>
      <c r="L83" s="50"/>
      <c r="M83" s="20"/>
      <c r="N83" s="20"/>
      <c r="O83" s="25"/>
      <c r="Q83" s="50"/>
      <c r="R83" s="20"/>
      <c r="S83" s="20"/>
      <c r="T83" s="25"/>
      <c r="V83" s="50"/>
      <c r="W83" s="20"/>
      <c r="X83" s="20"/>
      <c r="Y83" s="25"/>
    </row>
    <row r="84" spans="2:25" x14ac:dyDescent="0.35">
      <c r="B84" s="49"/>
      <c r="C84" s="17"/>
      <c r="D84" s="19"/>
      <c r="E84" s="24"/>
      <c r="G84" s="49"/>
      <c r="H84" s="19"/>
      <c r="I84" s="19"/>
      <c r="J84" s="24"/>
      <c r="L84" s="49"/>
      <c r="M84" s="19"/>
      <c r="N84" s="19"/>
      <c r="O84" s="24"/>
      <c r="Q84" s="49"/>
      <c r="R84" s="19"/>
      <c r="S84" s="19"/>
      <c r="T84" s="24"/>
      <c r="V84" s="49"/>
      <c r="W84" s="19"/>
      <c r="X84" s="19"/>
      <c r="Y84" s="24"/>
    </row>
    <row r="85" spans="2:25" x14ac:dyDescent="0.35">
      <c r="B85" s="50"/>
      <c r="C85" s="18"/>
      <c r="D85" s="20"/>
      <c r="E85" s="25"/>
      <c r="G85" s="50"/>
      <c r="H85" s="20"/>
      <c r="I85" s="20"/>
      <c r="J85" s="25"/>
      <c r="L85" s="50"/>
      <c r="M85" s="20"/>
      <c r="N85" s="20"/>
      <c r="O85" s="25"/>
      <c r="Q85" s="50"/>
      <c r="R85" s="20"/>
      <c r="S85" s="20"/>
      <c r="T85" s="25"/>
      <c r="V85" s="50"/>
      <c r="W85" s="20"/>
      <c r="X85" s="20"/>
      <c r="Y85" s="25"/>
    </row>
    <row r="86" spans="2:25" x14ac:dyDescent="0.35">
      <c r="B86" s="49"/>
      <c r="C86" s="17"/>
      <c r="D86" s="19"/>
      <c r="E86" s="24"/>
      <c r="G86" s="49"/>
      <c r="H86" s="19"/>
      <c r="I86" s="19"/>
      <c r="J86" s="24"/>
      <c r="L86" s="49"/>
      <c r="M86" s="19"/>
      <c r="N86" s="19"/>
      <c r="O86" s="24"/>
      <c r="Q86" s="49"/>
      <c r="R86" s="19"/>
      <c r="S86" s="19"/>
      <c r="T86" s="24"/>
      <c r="V86" s="49"/>
      <c r="W86" s="19"/>
      <c r="X86" s="19"/>
      <c r="Y86" s="24"/>
    </row>
    <row r="87" spans="2:25" x14ac:dyDescent="0.35">
      <c r="B87" s="50"/>
      <c r="C87" s="18"/>
      <c r="D87" s="20"/>
      <c r="E87" s="25"/>
      <c r="G87" s="50"/>
      <c r="H87" s="20"/>
      <c r="I87" s="20"/>
      <c r="J87" s="25"/>
      <c r="L87" s="50"/>
      <c r="M87" s="20"/>
      <c r="N87" s="20"/>
      <c r="O87" s="25"/>
      <c r="Q87" s="50"/>
      <c r="R87" s="20"/>
      <c r="S87" s="20"/>
      <c r="T87" s="25"/>
      <c r="V87" s="50"/>
      <c r="W87" s="20"/>
      <c r="X87" s="20"/>
      <c r="Y87" s="25"/>
    </row>
    <row r="88" spans="2:25" x14ac:dyDescent="0.35">
      <c r="B88" s="49"/>
      <c r="C88" s="17"/>
      <c r="D88" s="19"/>
      <c r="E88" s="24"/>
      <c r="G88" s="49"/>
      <c r="H88" s="19"/>
      <c r="I88" s="19"/>
      <c r="J88" s="24"/>
      <c r="L88" s="49"/>
      <c r="M88" s="19"/>
      <c r="N88" s="19"/>
      <c r="O88" s="24"/>
      <c r="Q88" s="49"/>
      <c r="R88" s="19"/>
      <c r="S88" s="19"/>
      <c r="T88" s="24"/>
      <c r="V88" s="49"/>
      <c r="W88" s="19"/>
      <c r="X88" s="19"/>
      <c r="Y88" s="24"/>
    </row>
    <row r="89" spans="2:25" x14ac:dyDescent="0.35">
      <c r="B89" s="50"/>
      <c r="C89" s="18"/>
      <c r="D89" s="20"/>
      <c r="E89" s="25"/>
      <c r="G89" s="50"/>
      <c r="H89" s="20"/>
      <c r="I89" s="20"/>
      <c r="J89" s="25"/>
      <c r="L89" s="50"/>
      <c r="M89" s="20"/>
      <c r="N89" s="20"/>
      <c r="O89" s="25"/>
      <c r="Q89" s="50"/>
      <c r="R89" s="20"/>
      <c r="S89" s="20"/>
      <c r="T89" s="25"/>
      <c r="V89" s="50"/>
      <c r="W89" s="20"/>
      <c r="X89" s="20"/>
      <c r="Y89" s="25"/>
    </row>
    <row r="90" spans="2:25" x14ac:dyDescent="0.35">
      <c r="B90" s="49"/>
      <c r="C90" s="17"/>
      <c r="D90" s="19"/>
      <c r="E90" s="24"/>
      <c r="G90" s="49"/>
      <c r="H90" s="19"/>
      <c r="I90" s="19"/>
      <c r="J90" s="24"/>
      <c r="L90" s="49"/>
      <c r="M90" s="19"/>
      <c r="N90" s="19"/>
      <c r="O90" s="24"/>
      <c r="Q90" s="49"/>
      <c r="R90" s="19"/>
      <c r="S90" s="19"/>
      <c r="T90" s="24"/>
      <c r="V90" s="49"/>
      <c r="W90" s="19"/>
      <c r="X90" s="19"/>
      <c r="Y90" s="24"/>
    </row>
    <row r="91" spans="2:25" x14ac:dyDescent="0.35">
      <c r="B91" s="50"/>
      <c r="C91" s="18"/>
      <c r="D91" s="20"/>
      <c r="E91" s="25"/>
      <c r="G91" s="50"/>
      <c r="H91" s="20"/>
      <c r="I91" s="20"/>
      <c r="J91" s="25"/>
      <c r="L91" s="50"/>
      <c r="M91" s="20"/>
      <c r="N91" s="20"/>
      <c r="O91" s="25"/>
      <c r="Q91" s="50"/>
      <c r="R91" s="20"/>
      <c r="S91" s="20"/>
      <c r="T91" s="25"/>
      <c r="V91" s="50"/>
      <c r="W91" s="20"/>
      <c r="X91" s="20"/>
      <c r="Y91" s="25"/>
    </row>
    <row r="92" spans="2:25" x14ac:dyDescent="0.35">
      <c r="B92" s="49"/>
      <c r="C92" s="17"/>
      <c r="D92" s="19"/>
      <c r="E92" s="24"/>
      <c r="G92" s="49"/>
      <c r="H92" s="19"/>
      <c r="I92" s="19"/>
      <c r="J92" s="24"/>
      <c r="L92" s="49"/>
      <c r="M92" s="19"/>
      <c r="N92" s="19"/>
      <c r="O92" s="24"/>
      <c r="Q92" s="49"/>
      <c r="R92" s="19"/>
      <c r="S92" s="19"/>
      <c r="T92" s="24"/>
      <c r="V92" s="49"/>
      <c r="W92" s="19"/>
      <c r="X92" s="19"/>
      <c r="Y92" s="24"/>
    </row>
    <row r="93" spans="2:25" x14ac:dyDescent="0.35">
      <c r="B93" s="50"/>
      <c r="C93" s="18"/>
      <c r="D93" s="20"/>
      <c r="E93" s="25"/>
      <c r="G93" s="50"/>
      <c r="H93" s="20"/>
      <c r="I93" s="20"/>
      <c r="J93" s="25"/>
      <c r="L93" s="50"/>
      <c r="M93" s="20"/>
      <c r="N93" s="20"/>
      <c r="O93" s="25"/>
      <c r="Q93" s="50"/>
      <c r="R93" s="20"/>
      <c r="S93" s="20"/>
      <c r="T93" s="25"/>
      <c r="V93" s="50"/>
      <c r="W93" s="20"/>
      <c r="X93" s="20"/>
      <c r="Y93" s="25"/>
    </row>
    <row r="94" spans="2:25" x14ac:dyDescent="0.35">
      <c r="B94" s="49"/>
      <c r="C94" s="17"/>
      <c r="D94" s="19"/>
      <c r="E94" s="24"/>
      <c r="G94" s="49"/>
      <c r="H94" s="19"/>
      <c r="I94" s="19"/>
      <c r="J94" s="24"/>
      <c r="L94" s="49"/>
      <c r="M94" s="19"/>
      <c r="N94" s="19"/>
      <c r="O94" s="24"/>
      <c r="Q94" s="49"/>
      <c r="R94" s="19"/>
      <c r="S94" s="19"/>
      <c r="T94" s="24"/>
      <c r="V94" s="49"/>
      <c r="W94" s="19"/>
      <c r="X94" s="19"/>
      <c r="Y94" s="24"/>
    </row>
    <row r="95" spans="2:25" x14ac:dyDescent="0.35">
      <c r="B95" s="50"/>
      <c r="C95" s="18"/>
      <c r="D95" s="20"/>
      <c r="E95" s="25"/>
      <c r="G95" s="50"/>
      <c r="H95" s="20"/>
      <c r="I95" s="20"/>
      <c r="J95" s="25"/>
      <c r="L95" s="50"/>
      <c r="M95" s="20"/>
      <c r="N95" s="20"/>
      <c r="O95" s="25"/>
      <c r="Q95" s="50"/>
      <c r="R95" s="20"/>
      <c r="S95" s="20"/>
      <c r="T95" s="25"/>
      <c r="V95" s="50"/>
      <c r="W95" s="20"/>
      <c r="X95" s="20"/>
      <c r="Y95" s="25"/>
    </row>
    <row r="96" spans="2:25" x14ac:dyDescent="0.35">
      <c r="B96" s="49"/>
      <c r="C96" s="17"/>
      <c r="D96" s="19"/>
      <c r="E96" s="24"/>
      <c r="G96" s="49"/>
      <c r="H96" s="19"/>
      <c r="I96" s="19"/>
      <c r="J96" s="24"/>
      <c r="L96" s="49"/>
      <c r="M96" s="19"/>
      <c r="N96" s="19"/>
      <c r="O96" s="24"/>
      <c r="Q96" s="49"/>
      <c r="R96" s="19"/>
      <c r="S96" s="19"/>
      <c r="T96" s="24"/>
      <c r="V96" s="49"/>
      <c r="W96" s="19"/>
      <c r="X96" s="19"/>
      <c r="Y96" s="24"/>
    </row>
    <row r="97" spans="2:25" x14ac:dyDescent="0.35">
      <c r="B97" s="50"/>
      <c r="C97" s="18"/>
      <c r="D97" s="20"/>
      <c r="E97" s="25"/>
      <c r="G97" s="50"/>
      <c r="H97" s="20"/>
      <c r="I97" s="20"/>
      <c r="J97" s="25"/>
      <c r="L97" s="50"/>
      <c r="M97" s="20"/>
      <c r="N97" s="20"/>
      <c r="O97" s="25"/>
      <c r="Q97" s="50"/>
      <c r="R97" s="20"/>
      <c r="S97" s="20"/>
      <c r="T97" s="25"/>
      <c r="V97" s="50"/>
      <c r="W97" s="20"/>
      <c r="X97" s="20"/>
      <c r="Y97" s="25"/>
    </row>
    <row r="98" spans="2:25" x14ac:dyDescent="0.35">
      <c r="B98" s="49"/>
      <c r="C98" s="17"/>
      <c r="D98" s="19"/>
      <c r="E98" s="24"/>
      <c r="G98" s="49"/>
      <c r="H98" s="19"/>
      <c r="I98" s="19"/>
      <c r="J98" s="24"/>
      <c r="L98" s="49"/>
      <c r="M98" s="19"/>
      <c r="N98" s="19"/>
      <c r="O98" s="24"/>
      <c r="Q98" s="49"/>
      <c r="R98" s="19"/>
      <c r="S98" s="19"/>
      <c r="T98" s="24"/>
      <c r="V98" s="49"/>
      <c r="W98" s="19"/>
      <c r="X98" s="19"/>
      <c r="Y98" s="24"/>
    </row>
    <row r="99" spans="2:25" x14ac:dyDescent="0.35">
      <c r="B99" s="50"/>
      <c r="C99" s="18"/>
      <c r="D99" s="20"/>
      <c r="E99" s="25"/>
      <c r="G99" s="50"/>
      <c r="H99" s="20"/>
      <c r="I99" s="20"/>
      <c r="J99" s="25"/>
      <c r="L99" s="50"/>
      <c r="M99" s="20"/>
      <c r="N99" s="20"/>
      <c r="O99" s="25"/>
      <c r="Q99" s="50"/>
      <c r="R99" s="20"/>
      <c r="S99" s="20"/>
      <c r="T99" s="25"/>
      <c r="V99" s="50"/>
      <c r="W99" s="20"/>
      <c r="X99" s="20"/>
      <c r="Y99" s="25"/>
    </row>
    <row r="100" spans="2:25" x14ac:dyDescent="0.35">
      <c r="B100" s="49"/>
      <c r="C100" s="17"/>
      <c r="D100" s="19"/>
      <c r="E100" s="24"/>
      <c r="G100" s="49"/>
      <c r="H100" s="19"/>
      <c r="I100" s="19"/>
      <c r="J100" s="24"/>
      <c r="L100" s="49"/>
      <c r="M100" s="19"/>
      <c r="N100" s="19"/>
      <c r="O100" s="24"/>
      <c r="Q100" s="49"/>
      <c r="R100" s="19"/>
      <c r="S100" s="19"/>
      <c r="T100" s="24"/>
      <c r="V100" s="49"/>
      <c r="W100" s="19"/>
      <c r="X100" s="19"/>
      <c r="Y100" s="24"/>
    </row>
    <row r="101" spans="2:25" x14ac:dyDescent="0.35">
      <c r="B101" s="50"/>
      <c r="C101" s="18"/>
      <c r="D101" s="20"/>
      <c r="E101" s="25"/>
      <c r="G101" s="50"/>
      <c r="H101" s="20"/>
      <c r="I101" s="20"/>
      <c r="J101" s="25"/>
      <c r="L101" s="50"/>
      <c r="M101" s="20"/>
      <c r="N101" s="20"/>
      <c r="O101" s="25"/>
      <c r="Q101" s="50"/>
      <c r="R101" s="20"/>
      <c r="S101" s="20"/>
      <c r="T101" s="25"/>
      <c r="V101" s="50"/>
      <c r="W101" s="20"/>
      <c r="X101" s="20"/>
      <c r="Y101" s="25"/>
    </row>
    <row r="102" spans="2:25" x14ac:dyDescent="0.35">
      <c r="B102" s="49"/>
      <c r="C102" s="17"/>
      <c r="D102" s="19"/>
      <c r="E102" s="24"/>
      <c r="G102" s="49"/>
      <c r="H102" s="19"/>
      <c r="I102" s="19"/>
      <c r="J102" s="24"/>
      <c r="L102" s="49"/>
      <c r="M102" s="19"/>
      <c r="N102" s="19"/>
      <c r="O102" s="24"/>
      <c r="Q102" s="49"/>
      <c r="R102" s="19"/>
      <c r="S102" s="19"/>
      <c r="T102" s="24"/>
      <c r="V102" s="49"/>
      <c r="W102" s="19"/>
      <c r="X102" s="19"/>
      <c r="Y102" s="24"/>
    </row>
    <row r="103" spans="2:25" x14ac:dyDescent="0.35">
      <c r="B103" s="50"/>
      <c r="C103" s="18"/>
      <c r="D103" s="20"/>
      <c r="E103" s="25"/>
      <c r="G103" s="50"/>
      <c r="H103" s="20"/>
      <c r="I103" s="20"/>
      <c r="J103" s="25"/>
      <c r="L103" s="50"/>
      <c r="M103" s="20"/>
      <c r="N103" s="20"/>
      <c r="O103" s="25"/>
      <c r="Q103" s="50"/>
      <c r="R103" s="20"/>
      <c r="S103" s="20"/>
      <c r="T103" s="25"/>
      <c r="V103" s="50"/>
      <c r="W103" s="20"/>
      <c r="X103" s="20"/>
      <c r="Y103" s="25"/>
    </row>
    <row r="104" spans="2:25" x14ac:dyDescent="0.35">
      <c r="B104" s="49"/>
      <c r="C104" s="17"/>
      <c r="D104" s="19"/>
      <c r="E104" s="24"/>
      <c r="G104" s="49"/>
      <c r="H104" s="19"/>
      <c r="I104" s="19"/>
      <c r="J104" s="24"/>
      <c r="L104" s="49"/>
      <c r="M104" s="19"/>
      <c r="N104" s="19"/>
      <c r="O104" s="24"/>
      <c r="Q104" s="49"/>
      <c r="R104" s="19"/>
      <c r="S104" s="19"/>
      <c r="T104" s="24"/>
      <c r="V104" s="49"/>
      <c r="W104" s="19"/>
      <c r="X104" s="19"/>
      <c r="Y104" s="24"/>
    </row>
    <row r="105" spans="2:25" x14ac:dyDescent="0.35">
      <c r="B105" s="50"/>
      <c r="C105" s="18"/>
      <c r="D105" s="20"/>
      <c r="E105" s="25"/>
      <c r="G105" s="50"/>
      <c r="H105" s="20"/>
      <c r="I105" s="20"/>
      <c r="J105" s="25"/>
      <c r="L105" s="50"/>
      <c r="M105" s="20"/>
      <c r="N105" s="20"/>
      <c r="O105" s="25"/>
      <c r="Q105" s="50"/>
      <c r="R105" s="20"/>
      <c r="S105" s="20"/>
      <c r="T105" s="25"/>
      <c r="V105" s="50"/>
      <c r="W105" s="20"/>
      <c r="X105" s="20"/>
      <c r="Y105" s="25"/>
    </row>
    <row r="106" spans="2:25" x14ac:dyDescent="0.35">
      <c r="B106" s="49"/>
      <c r="C106" s="17"/>
      <c r="D106" s="19"/>
      <c r="E106" s="24"/>
      <c r="G106" s="49"/>
      <c r="H106" s="19"/>
      <c r="I106" s="19"/>
      <c r="J106" s="24"/>
      <c r="L106" s="49"/>
      <c r="M106" s="19"/>
      <c r="N106" s="19"/>
      <c r="O106" s="24"/>
      <c r="Q106" s="49"/>
      <c r="R106" s="19"/>
      <c r="S106" s="19"/>
      <c r="T106" s="24"/>
      <c r="V106" s="49"/>
      <c r="W106" s="19"/>
      <c r="X106" s="19"/>
      <c r="Y106" s="24"/>
    </row>
    <row r="107" spans="2:25" x14ac:dyDescent="0.35">
      <c r="B107" s="50"/>
      <c r="C107" s="18"/>
      <c r="D107" s="20"/>
      <c r="E107" s="25"/>
      <c r="G107" s="50"/>
      <c r="H107" s="20"/>
      <c r="I107" s="20"/>
      <c r="J107" s="25"/>
      <c r="L107" s="50"/>
      <c r="M107" s="20"/>
      <c r="N107" s="20"/>
      <c r="O107" s="25"/>
      <c r="Q107" s="50"/>
      <c r="R107" s="20"/>
      <c r="S107" s="20"/>
      <c r="T107" s="25"/>
      <c r="V107" s="50"/>
      <c r="W107" s="20"/>
      <c r="X107" s="20"/>
      <c r="Y107" s="25"/>
    </row>
    <row r="108" spans="2:25" x14ac:dyDescent="0.35">
      <c r="B108" s="49"/>
      <c r="C108" s="17"/>
      <c r="D108" s="19"/>
      <c r="E108" s="24"/>
      <c r="G108" s="49"/>
      <c r="H108" s="19"/>
      <c r="I108" s="19"/>
      <c r="J108" s="24"/>
      <c r="L108" s="49"/>
      <c r="M108" s="19"/>
      <c r="N108" s="19"/>
      <c r="O108" s="24"/>
      <c r="Q108" s="49"/>
      <c r="R108" s="19"/>
      <c r="S108" s="19"/>
      <c r="T108" s="24"/>
      <c r="V108" s="49"/>
      <c r="W108" s="19"/>
      <c r="X108" s="19"/>
      <c r="Y108" s="24"/>
    </row>
    <row r="109" spans="2:25" x14ac:dyDescent="0.35">
      <c r="B109" s="50"/>
      <c r="C109" s="18"/>
      <c r="D109" s="20"/>
      <c r="E109" s="25"/>
      <c r="G109" s="50"/>
      <c r="H109" s="20"/>
      <c r="I109" s="20"/>
      <c r="J109" s="25"/>
      <c r="L109" s="50"/>
      <c r="M109" s="20"/>
      <c r="N109" s="20"/>
      <c r="O109" s="25"/>
      <c r="Q109" s="50"/>
      <c r="R109" s="20"/>
      <c r="S109" s="20"/>
      <c r="T109" s="25"/>
      <c r="V109" s="50"/>
      <c r="W109" s="20"/>
      <c r="X109" s="20"/>
      <c r="Y109" s="25"/>
    </row>
    <row r="110" spans="2:25" x14ac:dyDescent="0.35">
      <c r="B110" s="49"/>
      <c r="C110" s="17"/>
      <c r="D110" s="19"/>
      <c r="E110" s="24"/>
      <c r="G110" s="49"/>
      <c r="H110" s="19"/>
      <c r="I110" s="19"/>
      <c r="J110" s="24"/>
      <c r="L110" s="49"/>
      <c r="M110" s="19"/>
      <c r="N110" s="19"/>
      <c r="O110" s="24"/>
      <c r="Q110" s="49"/>
      <c r="R110" s="19"/>
      <c r="S110" s="19"/>
      <c r="T110" s="24"/>
      <c r="V110" s="49"/>
      <c r="W110" s="19"/>
      <c r="X110" s="19"/>
      <c r="Y110" s="24"/>
    </row>
    <row r="111" spans="2:25" x14ac:dyDescent="0.35">
      <c r="B111" s="50"/>
      <c r="C111" s="18"/>
      <c r="D111" s="20"/>
      <c r="E111" s="25"/>
      <c r="G111" s="50"/>
      <c r="H111" s="20"/>
      <c r="I111" s="20"/>
      <c r="J111" s="25"/>
      <c r="L111" s="50"/>
      <c r="M111" s="20"/>
      <c r="N111" s="20"/>
      <c r="O111" s="25"/>
      <c r="Q111" s="50"/>
      <c r="R111" s="20"/>
      <c r="S111" s="20"/>
      <c r="T111" s="25"/>
      <c r="V111" s="50"/>
      <c r="W111" s="20"/>
      <c r="X111" s="20"/>
      <c r="Y111" s="25"/>
    </row>
    <row r="112" spans="2:25" x14ac:dyDescent="0.35">
      <c r="B112" s="49"/>
      <c r="C112" s="17"/>
      <c r="D112" s="19"/>
      <c r="E112" s="24"/>
      <c r="G112" s="49"/>
      <c r="H112" s="19"/>
      <c r="I112" s="19"/>
      <c r="J112" s="24"/>
      <c r="L112" s="49"/>
      <c r="M112" s="19"/>
      <c r="N112" s="19"/>
      <c r="O112" s="24"/>
      <c r="Q112" s="49"/>
      <c r="R112" s="19"/>
      <c r="S112" s="19"/>
      <c r="T112" s="24"/>
      <c r="V112" s="49"/>
      <c r="W112" s="19"/>
      <c r="X112" s="19"/>
      <c r="Y112" s="24"/>
    </row>
    <row r="113" spans="2:25" x14ac:dyDescent="0.35">
      <c r="B113" s="50"/>
      <c r="C113" s="18"/>
      <c r="D113" s="20"/>
      <c r="E113" s="25"/>
      <c r="G113" s="50"/>
      <c r="H113" s="20"/>
      <c r="I113" s="20"/>
      <c r="J113" s="25"/>
      <c r="L113" s="50"/>
      <c r="M113" s="20"/>
      <c r="N113" s="20"/>
      <c r="O113" s="25"/>
      <c r="Q113" s="50"/>
      <c r="R113" s="20"/>
      <c r="S113" s="20"/>
      <c r="T113" s="25"/>
      <c r="V113" s="50"/>
      <c r="W113" s="20"/>
      <c r="X113" s="20"/>
      <c r="Y113" s="25"/>
    </row>
    <row r="114" spans="2:25" x14ac:dyDescent="0.35">
      <c r="B114" s="49"/>
      <c r="C114" s="17"/>
      <c r="D114" s="19"/>
      <c r="E114" s="24"/>
      <c r="G114" s="49"/>
      <c r="H114" s="19"/>
      <c r="I114" s="19"/>
      <c r="J114" s="24"/>
      <c r="L114" s="49"/>
      <c r="M114" s="19"/>
      <c r="N114" s="19"/>
      <c r="O114" s="24"/>
      <c r="Q114" s="49"/>
      <c r="R114" s="19"/>
      <c r="S114" s="19"/>
      <c r="T114" s="24"/>
      <c r="V114" s="49"/>
      <c r="W114" s="19"/>
      <c r="X114" s="19"/>
      <c r="Y114" s="24"/>
    </row>
    <row r="115" spans="2:25" x14ac:dyDescent="0.35">
      <c r="B115" s="50"/>
      <c r="C115" s="18"/>
      <c r="D115" s="20"/>
      <c r="E115" s="25"/>
      <c r="G115" s="50"/>
      <c r="H115" s="20"/>
      <c r="I115" s="20"/>
      <c r="J115" s="25"/>
      <c r="L115" s="50"/>
      <c r="M115" s="20"/>
      <c r="N115" s="20"/>
      <c r="O115" s="25"/>
      <c r="Q115" s="50"/>
      <c r="R115" s="20"/>
      <c r="S115" s="20"/>
      <c r="T115" s="25"/>
      <c r="V115" s="50"/>
      <c r="W115" s="20"/>
      <c r="X115" s="20"/>
      <c r="Y115" s="25"/>
    </row>
    <row r="116" spans="2:25" x14ac:dyDescent="0.35">
      <c r="B116" s="49"/>
      <c r="C116" s="17"/>
      <c r="D116" s="19"/>
      <c r="E116" s="24"/>
      <c r="G116" s="49"/>
      <c r="H116" s="19"/>
      <c r="I116" s="19"/>
      <c r="J116" s="24"/>
      <c r="L116" s="49"/>
      <c r="M116" s="19"/>
      <c r="N116" s="19"/>
      <c r="O116" s="24"/>
      <c r="Q116" s="49"/>
      <c r="R116" s="19"/>
      <c r="S116" s="19"/>
      <c r="T116" s="24"/>
      <c r="V116" s="49"/>
      <c r="W116" s="19"/>
      <c r="X116" s="19"/>
      <c r="Y116" s="24"/>
    </row>
    <row r="117" spans="2:25" x14ac:dyDescent="0.35">
      <c r="B117" s="50"/>
      <c r="C117" s="18"/>
      <c r="D117" s="20"/>
      <c r="E117" s="25"/>
      <c r="G117" s="50"/>
      <c r="H117" s="20"/>
      <c r="I117" s="20"/>
      <c r="J117" s="25"/>
      <c r="L117" s="50"/>
      <c r="M117" s="20"/>
      <c r="N117" s="20"/>
      <c r="O117" s="25"/>
      <c r="Q117" s="50"/>
      <c r="R117" s="20"/>
      <c r="S117" s="20"/>
      <c r="T117" s="25"/>
      <c r="V117" s="50"/>
      <c r="W117" s="20"/>
      <c r="X117" s="20"/>
      <c r="Y117" s="25"/>
    </row>
    <row r="118" spans="2:25" x14ac:dyDescent="0.35">
      <c r="B118" s="49"/>
      <c r="C118" s="17"/>
      <c r="D118" s="19"/>
      <c r="E118" s="24"/>
      <c r="G118" s="49"/>
      <c r="H118" s="19"/>
      <c r="I118" s="19"/>
      <c r="J118" s="24"/>
      <c r="L118" s="49"/>
      <c r="M118" s="19"/>
      <c r="N118" s="19"/>
      <c r="O118" s="24"/>
      <c r="Q118" s="49"/>
      <c r="R118" s="19"/>
      <c r="S118" s="19"/>
      <c r="T118" s="24"/>
      <c r="V118" s="49"/>
      <c r="W118" s="19"/>
      <c r="X118" s="19"/>
      <c r="Y118" s="24"/>
    </row>
    <row r="119" spans="2:25" x14ac:dyDescent="0.35">
      <c r="B119" s="50"/>
      <c r="C119" s="18"/>
      <c r="D119" s="20"/>
      <c r="E119" s="25"/>
      <c r="G119" s="50"/>
      <c r="H119" s="20"/>
      <c r="I119" s="20"/>
      <c r="J119" s="25"/>
      <c r="L119" s="50"/>
      <c r="M119" s="20"/>
      <c r="N119" s="20"/>
      <c r="O119" s="25"/>
      <c r="Q119" s="50"/>
      <c r="R119" s="20"/>
      <c r="S119" s="20"/>
      <c r="T119" s="25"/>
      <c r="V119" s="50"/>
      <c r="W119" s="20"/>
      <c r="X119" s="20"/>
      <c r="Y119" s="25"/>
    </row>
    <row r="120" spans="2:25" x14ac:dyDescent="0.35">
      <c r="B120" s="49"/>
      <c r="C120" s="17"/>
      <c r="D120" s="19"/>
      <c r="E120" s="24"/>
      <c r="G120" s="49"/>
      <c r="H120" s="19"/>
      <c r="I120" s="19"/>
      <c r="J120" s="24"/>
      <c r="L120" s="49"/>
      <c r="M120" s="19"/>
      <c r="N120" s="19"/>
      <c r="O120" s="24"/>
      <c r="Q120" s="49"/>
      <c r="R120" s="19"/>
      <c r="S120" s="19"/>
      <c r="T120" s="24"/>
      <c r="V120" s="49"/>
      <c r="W120" s="19"/>
      <c r="X120" s="19"/>
      <c r="Y120" s="24"/>
    </row>
    <row r="121" spans="2:25" x14ac:dyDescent="0.35">
      <c r="B121" s="50"/>
      <c r="C121" s="18"/>
      <c r="D121" s="20"/>
      <c r="E121" s="25"/>
      <c r="G121" s="50"/>
      <c r="H121" s="20"/>
      <c r="I121" s="20"/>
      <c r="J121" s="25"/>
      <c r="L121" s="50"/>
      <c r="M121" s="20"/>
      <c r="N121" s="20"/>
      <c r="O121" s="25"/>
      <c r="Q121" s="50"/>
      <c r="R121" s="20"/>
      <c r="S121" s="20"/>
      <c r="T121" s="25"/>
      <c r="V121" s="50"/>
      <c r="W121" s="20"/>
      <c r="X121" s="20"/>
      <c r="Y121" s="25"/>
    </row>
    <row r="122" spans="2:25" x14ac:dyDescent="0.35">
      <c r="B122" s="49"/>
      <c r="C122" s="17"/>
      <c r="D122" s="19"/>
      <c r="E122" s="24"/>
      <c r="G122" s="49"/>
      <c r="H122" s="19"/>
      <c r="I122" s="19"/>
      <c r="J122" s="24"/>
      <c r="L122" s="49"/>
      <c r="M122" s="19"/>
      <c r="N122" s="19"/>
      <c r="O122" s="24"/>
      <c r="Q122" s="49"/>
      <c r="R122" s="19"/>
      <c r="S122" s="19"/>
      <c r="T122" s="24"/>
      <c r="V122" s="49"/>
      <c r="W122" s="19"/>
      <c r="X122" s="19"/>
      <c r="Y122" s="24"/>
    </row>
    <row r="123" spans="2:25" x14ac:dyDescent="0.35">
      <c r="B123" s="50"/>
      <c r="C123" s="18"/>
      <c r="D123" s="20"/>
      <c r="E123" s="25"/>
      <c r="G123" s="50"/>
      <c r="H123" s="20"/>
      <c r="I123" s="20"/>
      <c r="J123" s="25"/>
      <c r="L123" s="50"/>
      <c r="M123" s="20"/>
      <c r="N123" s="20"/>
      <c r="O123" s="25"/>
      <c r="Q123" s="50"/>
      <c r="R123" s="20"/>
      <c r="S123" s="20"/>
      <c r="T123" s="25"/>
      <c r="V123" s="50"/>
      <c r="W123" s="20"/>
      <c r="X123" s="20"/>
      <c r="Y123" s="25"/>
    </row>
    <row r="124" spans="2:25" x14ac:dyDescent="0.35">
      <c r="B124" s="49"/>
      <c r="C124" s="17"/>
      <c r="D124" s="19"/>
      <c r="E124" s="24"/>
      <c r="G124" s="49"/>
      <c r="H124" s="19"/>
      <c r="I124" s="19"/>
      <c r="J124" s="24"/>
      <c r="L124" s="49"/>
      <c r="M124" s="19"/>
      <c r="N124" s="19"/>
      <c r="O124" s="24"/>
      <c r="Q124" s="49"/>
      <c r="R124" s="19"/>
      <c r="S124" s="19"/>
      <c r="T124" s="24"/>
      <c r="V124" s="49"/>
      <c r="W124" s="19"/>
      <c r="X124" s="19"/>
      <c r="Y124" s="24"/>
    </row>
    <row r="125" spans="2:25" x14ac:dyDescent="0.35">
      <c r="B125" s="50"/>
      <c r="C125" s="18"/>
      <c r="D125" s="20"/>
      <c r="E125" s="25"/>
      <c r="G125" s="50"/>
      <c r="H125" s="20"/>
      <c r="I125" s="20"/>
      <c r="J125" s="25"/>
      <c r="L125" s="50"/>
      <c r="M125" s="20"/>
      <c r="N125" s="20"/>
      <c r="O125" s="25"/>
      <c r="Q125" s="50"/>
      <c r="R125" s="20"/>
      <c r="S125" s="20"/>
      <c r="T125" s="25"/>
      <c r="V125" s="50"/>
      <c r="W125" s="20"/>
      <c r="X125" s="20"/>
      <c r="Y125" s="25"/>
    </row>
    <row r="126" spans="2:25" x14ac:dyDescent="0.35">
      <c r="B126" s="49"/>
      <c r="C126" s="17"/>
      <c r="D126" s="19"/>
      <c r="E126" s="24"/>
      <c r="G126" s="49"/>
      <c r="H126" s="19"/>
      <c r="I126" s="19"/>
      <c r="J126" s="24"/>
      <c r="L126" s="49"/>
      <c r="M126" s="19"/>
      <c r="N126" s="19"/>
      <c r="O126" s="24"/>
      <c r="Q126" s="49"/>
      <c r="R126" s="19"/>
      <c r="S126" s="19"/>
      <c r="T126" s="24"/>
      <c r="V126" s="49"/>
      <c r="W126" s="19"/>
      <c r="X126" s="19"/>
      <c r="Y126" s="24"/>
    </row>
    <row r="127" spans="2:25" x14ac:dyDescent="0.35">
      <c r="B127" s="50"/>
      <c r="C127" s="18"/>
      <c r="D127" s="20"/>
      <c r="E127" s="25"/>
      <c r="G127" s="50"/>
      <c r="H127" s="20"/>
      <c r="I127" s="20"/>
      <c r="J127" s="25"/>
      <c r="L127" s="50"/>
      <c r="M127" s="20"/>
      <c r="N127" s="20"/>
      <c r="O127" s="25"/>
      <c r="Q127" s="50"/>
      <c r="R127" s="20"/>
      <c r="S127" s="20"/>
      <c r="T127" s="25"/>
      <c r="V127" s="50"/>
      <c r="W127" s="20"/>
      <c r="X127" s="20"/>
      <c r="Y127" s="25"/>
    </row>
    <row r="128" spans="2:25" x14ac:dyDescent="0.35">
      <c r="B128" s="49"/>
      <c r="C128" s="17"/>
      <c r="D128" s="19"/>
      <c r="E128" s="24"/>
      <c r="G128" s="49"/>
      <c r="H128" s="19"/>
      <c r="I128" s="19"/>
      <c r="J128" s="24"/>
      <c r="L128" s="49"/>
      <c r="M128" s="19"/>
      <c r="N128" s="19"/>
      <c r="O128" s="24"/>
      <c r="Q128" s="49"/>
      <c r="R128" s="19"/>
      <c r="S128" s="19"/>
      <c r="T128" s="24"/>
      <c r="V128" s="49"/>
      <c r="W128" s="19"/>
      <c r="X128" s="19"/>
      <c r="Y128" s="24"/>
    </row>
    <row r="129" spans="2:25" x14ac:dyDescent="0.35">
      <c r="B129" s="50"/>
      <c r="C129" s="18"/>
      <c r="D129" s="20"/>
      <c r="E129" s="25"/>
      <c r="G129" s="50"/>
      <c r="H129" s="20"/>
      <c r="I129" s="20"/>
      <c r="J129" s="25"/>
      <c r="L129" s="50"/>
      <c r="M129" s="20"/>
      <c r="N129" s="20"/>
      <c r="O129" s="25"/>
      <c r="Q129" s="50"/>
      <c r="R129" s="20"/>
      <c r="S129" s="20"/>
      <c r="T129" s="25"/>
      <c r="V129" s="50"/>
      <c r="W129" s="20"/>
      <c r="X129" s="20"/>
      <c r="Y129" s="25"/>
    </row>
    <row r="130" spans="2:25" x14ac:dyDescent="0.35">
      <c r="B130" s="49"/>
      <c r="C130" s="17"/>
      <c r="D130" s="19"/>
      <c r="E130" s="24"/>
      <c r="G130" s="49"/>
      <c r="H130" s="19"/>
      <c r="I130" s="19"/>
      <c r="J130" s="24"/>
      <c r="L130" s="49"/>
      <c r="M130" s="19"/>
      <c r="N130" s="19"/>
      <c r="O130" s="24"/>
      <c r="Q130" s="49"/>
      <c r="R130" s="19"/>
      <c r="S130" s="19"/>
      <c r="T130" s="24"/>
      <c r="V130" s="49"/>
      <c r="W130" s="19"/>
      <c r="X130" s="19"/>
      <c r="Y130" s="24"/>
    </row>
    <row r="131" spans="2:25" x14ac:dyDescent="0.35">
      <c r="B131" s="50"/>
      <c r="C131" s="18"/>
      <c r="D131" s="20"/>
      <c r="E131" s="25"/>
      <c r="G131" s="50"/>
      <c r="H131" s="20"/>
      <c r="I131" s="20"/>
      <c r="J131" s="25"/>
      <c r="L131" s="50"/>
      <c r="M131" s="20"/>
      <c r="N131" s="20"/>
      <c r="O131" s="25"/>
      <c r="Q131" s="50"/>
      <c r="R131" s="20"/>
      <c r="S131" s="20"/>
      <c r="T131" s="25"/>
      <c r="V131" s="50"/>
      <c r="W131" s="20"/>
      <c r="X131" s="20"/>
      <c r="Y131" s="25"/>
    </row>
    <row r="132" spans="2:25" x14ac:dyDescent="0.35">
      <c r="B132" s="49"/>
      <c r="C132" s="17"/>
      <c r="D132" s="19"/>
      <c r="E132" s="24"/>
      <c r="G132" s="49"/>
      <c r="H132" s="19"/>
      <c r="I132" s="19"/>
      <c r="J132" s="24"/>
      <c r="L132" s="49"/>
      <c r="M132" s="19"/>
      <c r="N132" s="19"/>
      <c r="O132" s="24"/>
      <c r="Q132" s="49"/>
      <c r="R132" s="19"/>
      <c r="S132" s="19"/>
      <c r="T132" s="24"/>
      <c r="V132" s="49"/>
      <c r="W132" s="19"/>
      <c r="X132" s="19"/>
      <c r="Y132" s="24"/>
    </row>
    <row r="133" spans="2:25" x14ac:dyDescent="0.35">
      <c r="B133" s="50"/>
      <c r="C133" s="18"/>
      <c r="D133" s="20"/>
      <c r="E133" s="25"/>
      <c r="G133" s="50"/>
      <c r="H133" s="20"/>
      <c r="I133" s="20"/>
      <c r="J133" s="25"/>
      <c r="L133" s="50"/>
      <c r="M133" s="20"/>
      <c r="N133" s="20"/>
      <c r="O133" s="25"/>
      <c r="Q133" s="50"/>
      <c r="R133" s="20"/>
      <c r="S133" s="20"/>
      <c r="T133" s="25"/>
      <c r="V133" s="50"/>
      <c r="W133" s="20"/>
      <c r="X133" s="20"/>
      <c r="Y133" s="25"/>
    </row>
    <row r="134" spans="2:25" x14ac:dyDescent="0.35">
      <c r="B134" s="49"/>
      <c r="C134" s="17"/>
      <c r="D134" s="19"/>
      <c r="E134" s="24"/>
      <c r="G134" s="49"/>
      <c r="H134" s="19"/>
      <c r="I134" s="19"/>
      <c r="J134" s="24"/>
      <c r="L134" s="49"/>
      <c r="M134" s="19"/>
      <c r="N134" s="19"/>
      <c r="O134" s="24"/>
      <c r="Q134" s="49"/>
      <c r="R134" s="19"/>
      <c r="S134" s="19"/>
      <c r="T134" s="24"/>
      <c r="V134" s="49"/>
      <c r="W134" s="19"/>
      <c r="X134" s="19"/>
      <c r="Y134" s="24"/>
    </row>
    <row r="135" spans="2:25" x14ac:dyDescent="0.35">
      <c r="B135" s="50"/>
      <c r="C135" s="18"/>
      <c r="D135" s="20"/>
      <c r="E135" s="25"/>
      <c r="G135" s="50"/>
      <c r="H135" s="20"/>
      <c r="I135" s="20"/>
      <c r="J135" s="25"/>
      <c r="L135" s="50"/>
      <c r="M135" s="20"/>
      <c r="N135" s="20"/>
      <c r="O135" s="25"/>
      <c r="Q135" s="50"/>
      <c r="R135" s="20"/>
      <c r="S135" s="20"/>
      <c r="T135" s="25"/>
      <c r="V135" s="50"/>
      <c r="W135" s="20"/>
      <c r="X135" s="20"/>
      <c r="Y135" s="25"/>
    </row>
    <row r="136" spans="2:25" x14ac:dyDescent="0.35">
      <c r="B136" s="49"/>
      <c r="C136" s="17"/>
      <c r="D136" s="19"/>
      <c r="E136" s="24"/>
      <c r="G136" s="49"/>
      <c r="H136" s="19"/>
      <c r="I136" s="19"/>
      <c r="J136" s="24"/>
      <c r="L136" s="49"/>
      <c r="M136" s="19"/>
      <c r="N136" s="19"/>
      <c r="O136" s="24"/>
      <c r="Q136" s="49"/>
      <c r="R136" s="19"/>
      <c r="S136" s="19"/>
      <c r="T136" s="24"/>
      <c r="V136" s="49"/>
      <c r="W136" s="19"/>
      <c r="X136" s="19"/>
      <c r="Y136" s="24"/>
    </row>
    <row r="137" spans="2:25" x14ac:dyDescent="0.35">
      <c r="B137" s="50"/>
      <c r="C137" s="18"/>
      <c r="D137" s="20"/>
      <c r="E137" s="25"/>
      <c r="G137" s="50"/>
      <c r="H137" s="20"/>
      <c r="I137" s="20"/>
      <c r="J137" s="25"/>
      <c r="L137" s="50"/>
      <c r="M137" s="20"/>
      <c r="N137" s="20"/>
      <c r="O137" s="25"/>
      <c r="Q137" s="50"/>
      <c r="R137" s="20"/>
      <c r="S137" s="20"/>
      <c r="T137" s="25"/>
      <c r="V137" s="50"/>
      <c r="W137" s="20"/>
      <c r="X137" s="20"/>
      <c r="Y137" s="25"/>
    </row>
    <row r="138" spans="2:25" x14ac:dyDescent="0.35">
      <c r="B138" s="49"/>
      <c r="C138" s="17"/>
      <c r="D138" s="19"/>
      <c r="E138" s="24"/>
      <c r="G138" s="49"/>
      <c r="H138" s="19"/>
      <c r="I138" s="19"/>
      <c r="J138" s="24"/>
      <c r="L138" s="49"/>
      <c r="M138" s="19"/>
      <c r="N138" s="19"/>
      <c r="O138" s="24"/>
      <c r="Q138" s="49"/>
      <c r="R138" s="19"/>
      <c r="S138" s="19"/>
      <c r="T138" s="24"/>
      <c r="V138" s="49"/>
      <c r="W138" s="19"/>
      <c r="X138" s="19"/>
      <c r="Y138" s="24"/>
    </row>
    <row r="139" spans="2:25" x14ac:dyDescent="0.35">
      <c r="B139" s="50"/>
      <c r="C139" s="18"/>
      <c r="D139" s="20"/>
      <c r="E139" s="25"/>
      <c r="G139" s="50"/>
      <c r="H139" s="20"/>
      <c r="I139" s="20"/>
      <c r="J139" s="25"/>
      <c r="L139" s="50"/>
      <c r="M139" s="20"/>
      <c r="N139" s="20"/>
      <c r="O139" s="25"/>
      <c r="Q139" s="50"/>
      <c r="R139" s="20"/>
      <c r="S139" s="20"/>
      <c r="T139" s="25"/>
      <c r="V139" s="50"/>
      <c r="W139" s="20"/>
      <c r="X139" s="20"/>
      <c r="Y139" s="25"/>
    </row>
    <row r="140" spans="2:25" x14ac:dyDescent="0.35">
      <c r="B140" s="49"/>
      <c r="C140" s="17"/>
      <c r="D140" s="19"/>
      <c r="E140" s="24"/>
      <c r="G140" s="49"/>
      <c r="H140" s="19"/>
      <c r="I140" s="19"/>
      <c r="J140" s="24"/>
      <c r="L140" s="49"/>
      <c r="M140" s="19"/>
      <c r="N140" s="19"/>
      <c r="O140" s="24"/>
      <c r="Q140" s="49"/>
      <c r="R140" s="19"/>
      <c r="S140" s="19"/>
      <c r="T140" s="24"/>
      <c r="V140" s="49"/>
      <c r="W140" s="19"/>
      <c r="X140" s="19"/>
      <c r="Y140" s="24"/>
    </row>
    <row r="141" spans="2:25" x14ac:dyDescent="0.35">
      <c r="B141" s="50"/>
      <c r="C141" s="18"/>
      <c r="D141" s="20"/>
      <c r="E141" s="25"/>
      <c r="G141" s="50"/>
      <c r="H141" s="20"/>
      <c r="I141" s="20"/>
      <c r="J141" s="25"/>
      <c r="L141" s="50"/>
      <c r="M141" s="20"/>
      <c r="N141" s="20"/>
      <c r="O141" s="25"/>
      <c r="Q141" s="50"/>
      <c r="R141" s="20"/>
      <c r="S141" s="20"/>
      <c r="T141" s="25"/>
      <c r="V141" s="50"/>
      <c r="W141" s="20"/>
      <c r="X141" s="20"/>
      <c r="Y141" s="25"/>
    </row>
    <row r="142" spans="2:25" x14ac:dyDescent="0.35">
      <c r="B142" s="49"/>
      <c r="C142" s="17"/>
      <c r="D142" s="19"/>
      <c r="E142" s="24"/>
      <c r="G142" s="49"/>
      <c r="H142" s="19"/>
      <c r="I142" s="19"/>
      <c r="J142" s="24"/>
      <c r="L142" s="49"/>
      <c r="M142" s="19"/>
      <c r="N142" s="19"/>
      <c r="O142" s="24"/>
      <c r="Q142" s="49"/>
      <c r="R142" s="19"/>
      <c r="S142" s="19"/>
      <c r="T142" s="24"/>
      <c r="V142" s="49"/>
      <c r="W142" s="19"/>
      <c r="X142" s="19"/>
      <c r="Y142" s="24"/>
    </row>
    <row r="143" spans="2:25" x14ac:dyDescent="0.35">
      <c r="B143" s="50"/>
      <c r="C143" s="18"/>
      <c r="D143" s="20"/>
      <c r="E143" s="25"/>
      <c r="G143" s="50"/>
      <c r="H143" s="20"/>
      <c r="I143" s="20"/>
      <c r="J143" s="25"/>
      <c r="L143" s="50"/>
      <c r="M143" s="20"/>
      <c r="N143" s="20"/>
      <c r="O143" s="25"/>
      <c r="Q143" s="50"/>
      <c r="R143" s="20"/>
      <c r="S143" s="20"/>
      <c r="T143" s="25"/>
      <c r="V143" s="50"/>
      <c r="W143" s="20"/>
      <c r="X143" s="20"/>
      <c r="Y143" s="25"/>
    </row>
    <row r="144" spans="2:25" x14ac:dyDescent="0.35">
      <c r="B144" s="49"/>
      <c r="C144" s="17"/>
      <c r="D144" s="19"/>
      <c r="E144" s="24"/>
      <c r="G144" s="49"/>
      <c r="H144" s="19"/>
      <c r="I144" s="19"/>
      <c r="J144" s="24"/>
      <c r="L144" s="49"/>
      <c r="M144" s="19"/>
      <c r="N144" s="19"/>
      <c r="O144" s="24"/>
      <c r="Q144" s="49"/>
      <c r="R144" s="19"/>
      <c r="S144" s="19"/>
      <c r="T144" s="24"/>
      <c r="V144" s="49"/>
      <c r="W144" s="19"/>
      <c r="X144" s="19"/>
      <c r="Y144" s="24"/>
    </row>
    <row r="145" spans="2:25" x14ac:dyDescent="0.35">
      <c r="B145" s="50"/>
      <c r="C145" s="18"/>
      <c r="D145" s="20"/>
      <c r="E145" s="25"/>
      <c r="G145" s="50"/>
      <c r="H145" s="20"/>
      <c r="I145" s="20"/>
      <c r="J145" s="25"/>
      <c r="L145" s="50"/>
      <c r="M145" s="20"/>
      <c r="N145" s="20"/>
      <c r="O145" s="25"/>
      <c r="Q145" s="50"/>
      <c r="R145" s="20"/>
      <c r="S145" s="20"/>
      <c r="T145" s="25"/>
      <c r="V145" s="50"/>
      <c r="W145" s="20"/>
      <c r="X145" s="20"/>
      <c r="Y145" s="25"/>
    </row>
    <row r="146" spans="2:25" x14ac:dyDescent="0.35">
      <c r="B146" s="49"/>
      <c r="C146" s="17"/>
      <c r="D146" s="19"/>
      <c r="E146" s="24"/>
      <c r="G146" s="49"/>
      <c r="H146" s="19"/>
      <c r="I146" s="19"/>
      <c r="J146" s="24"/>
      <c r="L146" s="49"/>
      <c r="M146" s="19"/>
      <c r="N146" s="19"/>
      <c r="O146" s="24"/>
      <c r="Q146" s="49"/>
      <c r="R146" s="19"/>
      <c r="S146" s="19"/>
      <c r="T146" s="24"/>
      <c r="V146" s="49"/>
      <c r="W146" s="19"/>
      <c r="X146" s="19"/>
      <c r="Y146" s="24"/>
    </row>
    <row r="147" spans="2:25" x14ac:dyDescent="0.35">
      <c r="B147" s="50"/>
      <c r="C147" s="18"/>
      <c r="D147" s="20"/>
      <c r="E147" s="25"/>
      <c r="G147" s="50"/>
      <c r="H147" s="20"/>
      <c r="I147" s="20"/>
      <c r="J147" s="25"/>
      <c r="L147" s="50"/>
      <c r="M147" s="20"/>
      <c r="N147" s="20"/>
      <c r="O147" s="25"/>
      <c r="Q147" s="50"/>
      <c r="R147" s="20"/>
      <c r="S147" s="20"/>
      <c r="T147" s="25"/>
      <c r="V147" s="50"/>
      <c r="W147" s="20"/>
      <c r="X147" s="20"/>
      <c r="Y147" s="25"/>
    </row>
    <row r="148" spans="2:25" x14ac:dyDescent="0.35">
      <c r="B148" s="49"/>
      <c r="C148" s="17"/>
      <c r="D148" s="19"/>
      <c r="E148" s="24"/>
      <c r="G148" s="49"/>
      <c r="H148" s="19"/>
      <c r="I148" s="19"/>
      <c r="J148" s="24"/>
      <c r="L148" s="49"/>
      <c r="M148" s="19"/>
      <c r="N148" s="19"/>
      <c r="O148" s="24"/>
      <c r="Q148" s="49"/>
      <c r="R148" s="19"/>
      <c r="S148" s="19"/>
      <c r="T148" s="24"/>
      <c r="V148" s="49"/>
      <c r="W148" s="19"/>
      <c r="X148" s="19"/>
      <c r="Y148" s="24"/>
    </row>
    <row r="149" spans="2:25" x14ac:dyDescent="0.35">
      <c r="B149" s="50"/>
      <c r="C149" s="18"/>
      <c r="D149" s="20"/>
      <c r="E149" s="25"/>
      <c r="G149" s="50"/>
      <c r="H149" s="20"/>
      <c r="I149" s="20"/>
      <c r="J149" s="25"/>
      <c r="L149" s="50"/>
      <c r="M149" s="20"/>
      <c r="N149" s="20"/>
      <c r="O149" s="25"/>
      <c r="Q149" s="50"/>
      <c r="R149" s="20"/>
      <c r="S149" s="20"/>
      <c r="T149" s="25"/>
      <c r="V149" s="50"/>
      <c r="W149" s="20"/>
      <c r="X149" s="20"/>
      <c r="Y149" s="25"/>
    </row>
    <row r="150" spans="2:25" x14ac:dyDescent="0.35">
      <c r="B150" s="49"/>
      <c r="C150" s="17"/>
      <c r="D150" s="19"/>
      <c r="E150" s="24"/>
      <c r="G150" s="49"/>
      <c r="H150" s="19"/>
      <c r="I150" s="19"/>
      <c r="J150" s="24"/>
      <c r="L150" s="49"/>
      <c r="M150" s="19"/>
      <c r="N150" s="19"/>
      <c r="O150" s="24"/>
      <c r="Q150" s="49"/>
      <c r="R150" s="19"/>
      <c r="S150" s="19"/>
      <c r="T150" s="24"/>
      <c r="V150" s="49"/>
      <c r="W150" s="19"/>
      <c r="X150" s="19"/>
      <c r="Y150" s="24"/>
    </row>
    <row r="151" spans="2:25" x14ac:dyDescent="0.35">
      <c r="B151" s="50"/>
      <c r="C151" s="18"/>
      <c r="D151" s="20"/>
      <c r="E151" s="25"/>
      <c r="G151" s="50"/>
      <c r="H151" s="20"/>
      <c r="I151" s="20"/>
      <c r="J151" s="25"/>
      <c r="L151" s="50"/>
      <c r="M151" s="20"/>
      <c r="N151" s="20"/>
      <c r="O151" s="25"/>
      <c r="Q151" s="50"/>
      <c r="R151" s="20"/>
      <c r="S151" s="20"/>
      <c r="T151" s="25"/>
      <c r="V151" s="50"/>
      <c r="W151" s="20"/>
      <c r="X151" s="20"/>
      <c r="Y151" s="25"/>
    </row>
    <row r="152" spans="2:25" x14ac:dyDescent="0.35">
      <c r="B152" s="49"/>
      <c r="C152" s="17"/>
      <c r="D152" s="19"/>
      <c r="E152" s="24"/>
      <c r="G152" s="49"/>
      <c r="H152" s="19"/>
      <c r="I152" s="19"/>
      <c r="J152" s="24"/>
      <c r="L152" s="49"/>
      <c r="M152" s="19"/>
      <c r="N152" s="19"/>
      <c r="O152" s="24"/>
      <c r="Q152" s="49"/>
      <c r="R152" s="19"/>
      <c r="S152" s="19"/>
      <c r="T152" s="24"/>
      <c r="V152" s="49"/>
      <c r="W152" s="19"/>
      <c r="X152" s="19"/>
      <c r="Y152" s="24"/>
    </row>
    <row r="153" spans="2:25" x14ac:dyDescent="0.35">
      <c r="B153" s="50"/>
      <c r="C153" s="18"/>
      <c r="D153" s="20"/>
      <c r="E153" s="25"/>
      <c r="G153" s="50"/>
      <c r="H153" s="20"/>
      <c r="I153" s="20"/>
      <c r="J153" s="25"/>
      <c r="L153" s="50"/>
      <c r="M153" s="20"/>
      <c r="N153" s="20"/>
      <c r="O153" s="25"/>
      <c r="Q153" s="50"/>
      <c r="R153" s="20"/>
      <c r="S153" s="20"/>
      <c r="T153" s="25"/>
      <c r="V153" s="50"/>
      <c r="W153" s="20"/>
      <c r="X153" s="20"/>
      <c r="Y153" s="25"/>
    </row>
    <row r="154" spans="2:25" x14ac:dyDescent="0.35">
      <c r="B154" s="49"/>
      <c r="C154" s="17"/>
      <c r="D154" s="19"/>
      <c r="E154" s="24"/>
      <c r="G154" s="49"/>
      <c r="H154" s="19"/>
      <c r="I154" s="19"/>
      <c r="J154" s="24"/>
      <c r="L154" s="49"/>
      <c r="M154" s="19"/>
      <c r="N154" s="19"/>
      <c r="O154" s="24"/>
      <c r="Q154" s="49"/>
      <c r="R154" s="19"/>
      <c r="S154" s="19"/>
      <c r="T154" s="24"/>
      <c r="V154" s="49"/>
      <c r="W154" s="19"/>
      <c r="X154" s="19"/>
      <c r="Y154" s="24"/>
    </row>
    <row r="155" spans="2:25" x14ac:dyDescent="0.35">
      <c r="B155" s="50"/>
      <c r="C155" s="18"/>
      <c r="D155" s="20"/>
      <c r="E155" s="25"/>
      <c r="G155" s="50"/>
      <c r="H155" s="20"/>
      <c r="I155" s="20"/>
      <c r="J155" s="25"/>
      <c r="L155" s="50"/>
      <c r="M155" s="20"/>
      <c r="N155" s="20"/>
      <c r="O155" s="25"/>
      <c r="Q155" s="50"/>
      <c r="R155" s="20"/>
      <c r="S155" s="20"/>
      <c r="T155" s="25"/>
      <c r="V155" s="50"/>
      <c r="W155" s="20"/>
      <c r="X155" s="20"/>
      <c r="Y155" s="25"/>
    </row>
    <row r="156" spans="2:25" x14ac:dyDescent="0.35">
      <c r="B156" s="49"/>
      <c r="C156" s="17"/>
      <c r="D156" s="19"/>
      <c r="E156" s="24"/>
      <c r="G156" s="49"/>
      <c r="H156" s="19"/>
      <c r="I156" s="19"/>
      <c r="J156" s="24"/>
      <c r="L156" s="49"/>
      <c r="M156" s="19"/>
      <c r="N156" s="19"/>
      <c r="O156" s="24"/>
      <c r="Q156" s="49"/>
      <c r="R156" s="19"/>
      <c r="S156" s="19"/>
      <c r="T156" s="24"/>
      <c r="V156" s="49"/>
      <c r="W156" s="19"/>
      <c r="X156" s="19"/>
      <c r="Y156" s="24"/>
    </row>
    <row r="157" spans="2:25" x14ac:dyDescent="0.35">
      <c r="B157" s="50"/>
      <c r="C157" s="18"/>
      <c r="D157" s="20"/>
      <c r="E157" s="25"/>
      <c r="G157" s="50"/>
      <c r="H157" s="20"/>
      <c r="I157" s="20"/>
      <c r="J157" s="25"/>
      <c r="L157" s="50"/>
      <c r="M157" s="20"/>
      <c r="N157" s="20"/>
      <c r="O157" s="25"/>
      <c r="Q157" s="50"/>
      <c r="R157" s="20"/>
      <c r="S157" s="20"/>
      <c r="T157" s="25"/>
      <c r="V157" s="50"/>
      <c r="W157" s="20"/>
      <c r="X157" s="20"/>
      <c r="Y157" s="25"/>
    </row>
    <row r="158" spans="2:25" x14ac:dyDescent="0.35">
      <c r="B158" s="49"/>
      <c r="C158" s="17"/>
      <c r="D158" s="19"/>
      <c r="E158" s="24"/>
      <c r="G158" s="49"/>
      <c r="H158" s="19"/>
      <c r="I158" s="19"/>
      <c r="J158" s="24"/>
      <c r="L158" s="49"/>
      <c r="M158" s="19"/>
      <c r="N158" s="19"/>
      <c r="O158" s="24"/>
      <c r="Q158" s="49"/>
      <c r="R158" s="19"/>
      <c r="S158" s="19"/>
      <c r="T158" s="24"/>
      <c r="V158" s="49"/>
      <c r="W158" s="19"/>
      <c r="X158" s="19"/>
      <c r="Y158" s="24"/>
    </row>
    <row r="159" spans="2:25" x14ac:dyDescent="0.35">
      <c r="B159" s="50"/>
      <c r="C159" s="18"/>
      <c r="D159" s="20"/>
      <c r="E159" s="25"/>
      <c r="G159" s="50"/>
      <c r="H159" s="20"/>
      <c r="I159" s="20"/>
      <c r="J159" s="25"/>
      <c r="L159" s="50"/>
      <c r="M159" s="20"/>
      <c r="N159" s="20"/>
      <c r="O159" s="25"/>
      <c r="Q159" s="50"/>
      <c r="R159" s="20"/>
      <c r="S159" s="20"/>
      <c r="T159" s="25"/>
      <c r="V159" s="50"/>
      <c r="W159" s="20"/>
      <c r="X159" s="20"/>
      <c r="Y159" s="25"/>
    </row>
    <row r="160" spans="2:25" x14ac:dyDescent="0.35">
      <c r="B160" s="49"/>
      <c r="C160" s="17"/>
      <c r="D160" s="19"/>
      <c r="E160" s="24"/>
      <c r="G160" s="49"/>
      <c r="H160" s="19"/>
      <c r="I160" s="19"/>
      <c r="J160" s="24"/>
      <c r="L160" s="49"/>
      <c r="M160" s="19"/>
      <c r="N160" s="19"/>
      <c r="O160" s="24"/>
      <c r="Q160" s="49"/>
      <c r="R160" s="19"/>
      <c r="S160" s="19"/>
      <c r="T160" s="24"/>
      <c r="V160" s="49"/>
      <c r="W160" s="19"/>
      <c r="X160" s="19"/>
      <c r="Y160" s="24"/>
    </row>
    <row r="161" spans="2:25" x14ac:dyDescent="0.35">
      <c r="B161" s="50"/>
      <c r="C161" s="18"/>
      <c r="D161" s="20"/>
      <c r="E161" s="25"/>
      <c r="G161" s="50"/>
      <c r="H161" s="20"/>
      <c r="I161" s="20"/>
      <c r="J161" s="25"/>
      <c r="L161" s="50"/>
      <c r="M161" s="20"/>
      <c r="N161" s="20"/>
      <c r="O161" s="25"/>
      <c r="Q161" s="50"/>
      <c r="R161" s="20"/>
      <c r="S161" s="20"/>
      <c r="T161" s="25"/>
      <c r="V161" s="50"/>
      <c r="W161" s="20"/>
      <c r="X161" s="20"/>
      <c r="Y161" s="25"/>
    </row>
    <row r="162" spans="2:25" x14ac:dyDescent="0.35">
      <c r="B162" s="49"/>
      <c r="C162" s="17"/>
      <c r="D162" s="19"/>
      <c r="E162" s="24"/>
      <c r="G162" s="49"/>
      <c r="H162" s="19"/>
      <c r="I162" s="19"/>
      <c r="J162" s="24"/>
      <c r="L162" s="49"/>
      <c r="M162" s="19"/>
      <c r="N162" s="19"/>
      <c r="O162" s="24"/>
      <c r="Q162" s="49"/>
      <c r="R162" s="19"/>
      <c r="S162" s="19"/>
      <c r="T162" s="24"/>
      <c r="V162" s="49"/>
      <c r="W162" s="19"/>
      <c r="X162" s="19"/>
      <c r="Y162" s="24"/>
    </row>
    <row r="163" spans="2:25" x14ac:dyDescent="0.35">
      <c r="B163" s="50"/>
      <c r="C163" s="18"/>
      <c r="D163" s="20"/>
      <c r="E163" s="25"/>
      <c r="G163" s="50"/>
      <c r="H163" s="20"/>
      <c r="I163" s="20"/>
      <c r="J163" s="25"/>
      <c r="L163" s="50"/>
      <c r="M163" s="20"/>
      <c r="N163" s="20"/>
      <c r="O163" s="25"/>
      <c r="Q163" s="50"/>
      <c r="R163" s="20"/>
      <c r="S163" s="20"/>
      <c r="T163" s="25"/>
      <c r="V163" s="50"/>
      <c r="W163" s="20"/>
      <c r="X163" s="20"/>
      <c r="Y163" s="25"/>
    </row>
    <row r="164" spans="2:25" x14ac:dyDescent="0.35">
      <c r="B164" s="49"/>
      <c r="C164" s="17"/>
      <c r="D164" s="19"/>
      <c r="E164" s="24"/>
      <c r="G164" s="49"/>
      <c r="H164" s="19"/>
      <c r="I164" s="19"/>
      <c r="J164" s="24"/>
      <c r="L164" s="49"/>
      <c r="M164" s="19"/>
      <c r="N164" s="19"/>
      <c r="O164" s="24"/>
      <c r="Q164" s="49"/>
      <c r="R164" s="19"/>
      <c r="S164" s="19"/>
      <c r="T164" s="24"/>
      <c r="V164" s="49"/>
      <c r="W164" s="19"/>
      <c r="X164" s="19"/>
      <c r="Y164" s="24"/>
    </row>
    <row r="165" spans="2:25" x14ac:dyDescent="0.35">
      <c r="B165" s="50"/>
      <c r="C165" s="18"/>
      <c r="D165" s="20"/>
      <c r="E165" s="25"/>
      <c r="G165" s="50"/>
      <c r="H165" s="20"/>
      <c r="I165" s="20"/>
      <c r="J165" s="25"/>
      <c r="L165" s="50"/>
      <c r="M165" s="20"/>
      <c r="N165" s="20"/>
      <c r="O165" s="25"/>
      <c r="Q165" s="50"/>
      <c r="R165" s="20"/>
      <c r="S165" s="20"/>
      <c r="T165" s="25"/>
      <c r="V165" s="50"/>
      <c r="W165" s="20"/>
      <c r="X165" s="20"/>
      <c r="Y165" s="25"/>
    </row>
    <row r="166" spans="2:25" x14ac:dyDescent="0.35">
      <c r="B166" s="49"/>
      <c r="C166" s="17"/>
      <c r="D166" s="19"/>
      <c r="E166" s="24"/>
      <c r="G166" s="49"/>
      <c r="H166" s="19"/>
      <c r="I166" s="19"/>
      <c r="J166" s="24"/>
      <c r="L166" s="49"/>
      <c r="M166" s="19"/>
      <c r="N166" s="19"/>
      <c r="O166" s="24"/>
      <c r="Q166" s="49"/>
      <c r="R166" s="19"/>
      <c r="S166" s="19"/>
      <c r="T166" s="24"/>
      <c r="V166" s="49"/>
      <c r="W166" s="19"/>
      <c r="X166" s="19"/>
      <c r="Y166" s="24"/>
    </row>
    <row r="167" spans="2:25" x14ac:dyDescent="0.35">
      <c r="B167" s="50"/>
      <c r="C167" s="18"/>
      <c r="D167" s="20"/>
      <c r="E167" s="25"/>
      <c r="G167" s="50"/>
      <c r="H167" s="20"/>
      <c r="I167" s="20"/>
      <c r="J167" s="25"/>
      <c r="L167" s="50"/>
      <c r="M167" s="20"/>
      <c r="N167" s="20"/>
      <c r="O167" s="25"/>
      <c r="Q167" s="50"/>
      <c r="R167" s="20"/>
      <c r="S167" s="20"/>
      <c r="T167" s="25"/>
      <c r="V167" s="50"/>
      <c r="W167" s="20"/>
      <c r="X167" s="20"/>
      <c r="Y167" s="25"/>
    </row>
    <row r="168" spans="2:25" x14ac:dyDescent="0.35">
      <c r="B168" s="49"/>
      <c r="C168" s="17"/>
      <c r="D168" s="19"/>
      <c r="E168" s="24"/>
      <c r="G168" s="49"/>
      <c r="H168" s="19"/>
      <c r="I168" s="19"/>
      <c r="J168" s="24"/>
      <c r="L168" s="49"/>
      <c r="M168" s="19"/>
      <c r="N168" s="19"/>
      <c r="O168" s="24"/>
      <c r="Q168" s="49"/>
      <c r="R168" s="19"/>
      <c r="S168" s="19"/>
      <c r="T168" s="24"/>
      <c r="V168" s="49"/>
      <c r="W168" s="19"/>
      <c r="X168" s="19"/>
      <c r="Y168" s="24"/>
    </row>
    <row r="169" spans="2:25" x14ac:dyDescent="0.35">
      <c r="B169" s="50"/>
      <c r="C169" s="18"/>
      <c r="D169" s="20"/>
      <c r="E169" s="25"/>
      <c r="G169" s="50"/>
      <c r="H169" s="20"/>
      <c r="I169" s="20"/>
      <c r="J169" s="25"/>
      <c r="L169" s="50"/>
      <c r="M169" s="20"/>
      <c r="N169" s="20"/>
      <c r="O169" s="25"/>
      <c r="Q169" s="50"/>
      <c r="R169" s="20"/>
      <c r="S169" s="20"/>
      <c r="T169" s="25"/>
      <c r="V169" s="50"/>
      <c r="W169" s="20"/>
      <c r="X169" s="20"/>
      <c r="Y169" s="25"/>
    </row>
    <row r="170" spans="2:25" x14ac:dyDescent="0.35">
      <c r="B170" s="49"/>
      <c r="C170" s="17"/>
      <c r="D170" s="19"/>
      <c r="E170" s="24"/>
      <c r="G170" s="49"/>
      <c r="H170" s="19"/>
      <c r="I170" s="19"/>
      <c r="J170" s="24"/>
      <c r="L170" s="49"/>
      <c r="M170" s="19"/>
      <c r="N170" s="19"/>
      <c r="O170" s="24"/>
      <c r="Q170" s="49"/>
      <c r="R170" s="19"/>
      <c r="S170" s="19"/>
      <c r="T170" s="24"/>
      <c r="V170" s="49"/>
      <c r="W170" s="19"/>
      <c r="X170" s="19"/>
      <c r="Y170" s="24"/>
    </row>
    <row r="171" spans="2:25" x14ac:dyDescent="0.35">
      <c r="B171" s="50"/>
      <c r="C171" s="18"/>
      <c r="D171" s="20"/>
      <c r="E171" s="25"/>
      <c r="G171" s="50"/>
      <c r="H171" s="20"/>
      <c r="I171" s="20"/>
      <c r="J171" s="25"/>
      <c r="L171" s="50"/>
      <c r="M171" s="20"/>
      <c r="N171" s="20"/>
      <c r="O171" s="25"/>
      <c r="Q171" s="50"/>
      <c r="R171" s="20"/>
      <c r="S171" s="20"/>
      <c r="T171" s="25"/>
      <c r="V171" s="50"/>
      <c r="W171" s="20"/>
      <c r="X171" s="20"/>
      <c r="Y171" s="25"/>
    </row>
    <row r="172" spans="2:25" x14ac:dyDescent="0.35">
      <c r="B172" s="49"/>
      <c r="C172" s="17"/>
      <c r="D172" s="19"/>
      <c r="E172" s="24"/>
      <c r="G172" s="49"/>
      <c r="H172" s="19"/>
      <c r="I172" s="19"/>
      <c r="J172" s="24"/>
      <c r="L172" s="49"/>
      <c r="M172" s="19"/>
      <c r="N172" s="19"/>
      <c r="O172" s="24"/>
      <c r="Q172" s="49"/>
      <c r="R172" s="19"/>
      <c r="S172" s="19"/>
      <c r="T172" s="24"/>
      <c r="V172" s="49"/>
      <c r="W172" s="19"/>
      <c r="X172" s="19"/>
      <c r="Y172" s="24"/>
    </row>
    <row r="173" spans="2:25" x14ac:dyDescent="0.35">
      <c r="B173" s="50"/>
      <c r="C173" s="18"/>
      <c r="D173" s="20"/>
      <c r="E173" s="25"/>
      <c r="G173" s="50"/>
      <c r="H173" s="20"/>
      <c r="I173" s="20"/>
      <c r="J173" s="25"/>
      <c r="L173" s="50"/>
      <c r="M173" s="20"/>
      <c r="N173" s="20"/>
      <c r="O173" s="25"/>
      <c r="Q173" s="50"/>
      <c r="R173" s="20"/>
      <c r="S173" s="20"/>
      <c r="T173" s="25"/>
      <c r="V173" s="50"/>
      <c r="W173" s="20"/>
      <c r="X173" s="20"/>
      <c r="Y173" s="25"/>
    </row>
    <row r="174" spans="2:25" x14ac:dyDescent="0.35">
      <c r="B174" s="49"/>
      <c r="C174" s="17"/>
      <c r="D174" s="19"/>
      <c r="E174" s="24"/>
      <c r="G174" s="49"/>
      <c r="H174" s="19"/>
      <c r="I174" s="19"/>
      <c r="J174" s="24"/>
      <c r="L174" s="49"/>
      <c r="M174" s="19"/>
      <c r="N174" s="19"/>
      <c r="O174" s="24"/>
      <c r="Q174" s="49"/>
      <c r="R174" s="19"/>
      <c r="S174" s="19"/>
      <c r="T174" s="24"/>
      <c r="V174" s="49"/>
      <c r="W174" s="19"/>
      <c r="X174" s="19"/>
      <c r="Y174" s="24"/>
    </row>
    <row r="175" spans="2:25" x14ac:dyDescent="0.35">
      <c r="B175" s="50"/>
      <c r="C175" s="18"/>
      <c r="D175" s="20"/>
      <c r="E175" s="25"/>
      <c r="G175" s="50"/>
      <c r="H175" s="20"/>
      <c r="I175" s="20"/>
      <c r="J175" s="25"/>
      <c r="L175" s="50"/>
      <c r="M175" s="20"/>
      <c r="N175" s="20"/>
      <c r="O175" s="25"/>
      <c r="Q175" s="50"/>
      <c r="R175" s="20"/>
      <c r="S175" s="20"/>
      <c r="T175" s="25"/>
      <c r="V175" s="50"/>
      <c r="W175" s="20"/>
      <c r="X175" s="20"/>
      <c r="Y175" s="25"/>
    </row>
    <row r="176" spans="2:25" x14ac:dyDescent="0.35">
      <c r="B176" s="49"/>
      <c r="C176" s="17"/>
      <c r="D176" s="19"/>
      <c r="E176" s="24"/>
      <c r="G176" s="49"/>
      <c r="H176" s="19"/>
      <c r="I176" s="19"/>
      <c r="J176" s="24"/>
      <c r="L176" s="49"/>
      <c r="M176" s="19"/>
      <c r="N176" s="19"/>
      <c r="O176" s="24"/>
      <c r="Q176" s="49"/>
      <c r="R176" s="19"/>
      <c r="S176" s="19"/>
      <c r="T176" s="24"/>
      <c r="V176" s="49"/>
      <c r="W176" s="19"/>
      <c r="X176" s="19"/>
      <c r="Y176" s="24"/>
    </row>
    <row r="177" spans="2:25" x14ac:dyDescent="0.35">
      <c r="B177" s="50"/>
      <c r="C177" s="18"/>
      <c r="D177" s="20"/>
      <c r="E177" s="25"/>
      <c r="G177" s="50"/>
      <c r="H177" s="20"/>
      <c r="I177" s="20"/>
      <c r="J177" s="25"/>
      <c r="L177" s="50"/>
      <c r="M177" s="20"/>
      <c r="N177" s="20"/>
      <c r="O177" s="25"/>
      <c r="Q177" s="50"/>
      <c r="R177" s="20"/>
      <c r="S177" s="20"/>
      <c r="T177" s="25"/>
      <c r="V177" s="50"/>
      <c r="W177" s="20"/>
      <c r="X177" s="20"/>
      <c r="Y177" s="25"/>
    </row>
    <row r="178" spans="2:25" x14ac:dyDescent="0.35">
      <c r="B178" s="49"/>
      <c r="C178" s="17"/>
      <c r="D178" s="19"/>
      <c r="E178" s="24"/>
      <c r="G178" s="49"/>
      <c r="H178" s="19"/>
      <c r="I178" s="19"/>
      <c r="J178" s="24"/>
      <c r="L178" s="49"/>
      <c r="M178" s="19"/>
      <c r="N178" s="19"/>
      <c r="O178" s="24"/>
      <c r="Q178" s="49"/>
      <c r="R178" s="19"/>
      <c r="S178" s="19"/>
      <c r="T178" s="24"/>
      <c r="V178" s="49"/>
      <c r="W178" s="19"/>
      <c r="X178" s="19"/>
      <c r="Y178" s="24"/>
    </row>
    <row r="179" spans="2:25" x14ac:dyDescent="0.35">
      <c r="B179" s="50"/>
      <c r="C179" s="18"/>
      <c r="D179" s="20"/>
      <c r="E179" s="25"/>
      <c r="G179" s="50"/>
      <c r="H179" s="20"/>
      <c r="I179" s="20"/>
      <c r="J179" s="25"/>
      <c r="L179" s="50"/>
      <c r="M179" s="20"/>
      <c r="N179" s="20"/>
      <c r="O179" s="25"/>
      <c r="Q179" s="50"/>
      <c r="R179" s="20"/>
      <c r="S179" s="20"/>
      <c r="T179" s="25"/>
      <c r="V179" s="50"/>
      <c r="W179" s="20"/>
      <c r="X179" s="20"/>
      <c r="Y179" s="25"/>
    </row>
    <row r="180" spans="2:25" x14ac:dyDescent="0.35">
      <c r="B180" s="49"/>
      <c r="C180" s="17"/>
      <c r="D180" s="19"/>
      <c r="E180" s="24"/>
      <c r="G180" s="49"/>
      <c r="H180" s="19"/>
      <c r="I180" s="19"/>
      <c r="J180" s="24"/>
      <c r="L180" s="49"/>
      <c r="M180" s="19"/>
      <c r="N180" s="19"/>
      <c r="O180" s="24"/>
      <c r="Q180" s="49"/>
      <c r="R180" s="19"/>
      <c r="S180" s="19"/>
      <c r="T180" s="24"/>
      <c r="V180" s="49"/>
      <c r="W180" s="19"/>
      <c r="X180" s="19"/>
      <c r="Y180" s="24"/>
    </row>
    <row r="181" spans="2:25" x14ac:dyDescent="0.35">
      <c r="B181" s="50"/>
      <c r="C181" s="18"/>
      <c r="D181" s="20"/>
      <c r="E181" s="25"/>
      <c r="G181" s="50"/>
      <c r="H181" s="20"/>
      <c r="I181" s="20"/>
      <c r="J181" s="25"/>
      <c r="L181" s="50"/>
      <c r="M181" s="20"/>
      <c r="N181" s="20"/>
      <c r="O181" s="25"/>
      <c r="Q181" s="50"/>
      <c r="R181" s="20"/>
      <c r="S181" s="20"/>
      <c r="T181" s="25"/>
      <c r="V181" s="50"/>
      <c r="W181" s="20"/>
      <c r="X181" s="20"/>
      <c r="Y181" s="25"/>
    </row>
    <row r="182" spans="2:25" x14ac:dyDescent="0.35">
      <c r="B182" s="49"/>
      <c r="C182" s="17"/>
      <c r="D182" s="19"/>
      <c r="E182" s="24"/>
      <c r="G182" s="49"/>
      <c r="H182" s="19"/>
      <c r="I182" s="19"/>
      <c r="J182" s="24"/>
      <c r="L182" s="49"/>
      <c r="M182" s="19"/>
      <c r="N182" s="19"/>
      <c r="O182" s="24"/>
      <c r="Q182" s="49"/>
      <c r="R182" s="19"/>
      <c r="S182" s="19"/>
      <c r="T182" s="24"/>
      <c r="V182" s="49"/>
      <c r="W182" s="19"/>
      <c r="X182" s="19"/>
      <c r="Y182" s="24"/>
    </row>
    <row r="183" spans="2:25" x14ac:dyDescent="0.35">
      <c r="B183" s="50"/>
      <c r="C183" s="18"/>
      <c r="D183" s="20"/>
      <c r="E183" s="25"/>
      <c r="G183" s="50"/>
      <c r="H183" s="20"/>
      <c r="I183" s="20"/>
      <c r="J183" s="25"/>
      <c r="L183" s="50"/>
      <c r="M183" s="20"/>
      <c r="N183" s="20"/>
      <c r="O183" s="25"/>
      <c r="Q183" s="50"/>
      <c r="R183" s="20"/>
      <c r="S183" s="20"/>
      <c r="T183" s="25"/>
      <c r="V183" s="50"/>
      <c r="W183" s="20"/>
      <c r="X183" s="20"/>
      <c r="Y183" s="25"/>
    </row>
    <row r="184" spans="2:25" x14ac:dyDescent="0.35">
      <c r="B184" s="49"/>
      <c r="C184" s="17"/>
      <c r="D184" s="19"/>
      <c r="E184" s="24"/>
      <c r="G184" s="49"/>
      <c r="H184" s="19"/>
      <c r="I184" s="19"/>
      <c r="J184" s="24"/>
      <c r="L184" s="49"/>
      <c r="M184" s="19"/>
      <c r="N184" s="19"/>
      <c r="O184" s="24"/>
      <c r="Q184" s="49"/>
      <c r="R184" s="19"/>
      <c r="S184" s="19"/>
      <c r="T184" s="24"/>
      <c r="V184" s="49"/>
      <c r="W184" s="19"/>
      <c r="X184" s="19"/>
      <c r="Y184" s="24"/>
    </row>
    <row r="185" spans="2:25" x14ac:dyDescent="0.35">
      <c r="B185" s="50"/>
      <c r="C185" s="18"/>
      <c r="D185" s="20"/>
      <c r="E185" s="25"/>
      <c r="G185" s="50"/>
      <c r="H185" s="20"/>
      <c r="I185" s="20"/>
      <c r="J185" s="25"/>
      <c r="L185" s="50"/>
      <c r="M185" s="20"/>
      <c r="N185" s="20"/>
      <c r="O185" s="25"/>
      <c r="Q185" s="50"/>
      <c r="R185" s="20"/>
      <c r="S185" s="20"/>
      <c r="T185" s="25"/>
      <c r="V185" s="50"/>
      <c r="W185" s="20"/>
      <c r="X185" s="20"/>
      <c r="Y185" s="25"/>
    </row>
    <row r="186" spans="2:25" x14ac:dyDescent="0.35">
      <c r="B186" s="49"/>
      <c r="C186" s="17"/>
      <c r="D186" s="19"/>
      <c r="E186" s="24"/>
      <c r="G186" s="49"/>
      <c r="H186" s="19"/>
      <c r="I186" s="19"/>
      <c r="J186" s="24"/>
      <c r="L186" s="49"/>
      <c r="M186" s="19"/>
      <c r="N186" s="19"/>
      <c r="O186" s="24"/>
      <c r="Q186" s="49"/>
      <c r="R186" s="19"/>
      <c r="S186" s="19"/>
      <c r="T186" s="24"/>
      <c r="V186" s="49"/>
      <c r="W186" s="19"/>
      <c r="X186" s="19"/>
      <c r="Y186" s="24"/>
    </row>
    <row r="187" spans="2:25" x14ac:dyDescent="0.35">
      <c r="B187" s="50"/>
      <c r="C187" s="18"/>
      <c r="D187" s="20"/>
      <c r="E187" s="25"/>
      <c r="G187" s="50"/>
      <c r="H187" s="20"/>
      <c r="I187" s="20"/>
      <c r="J187" s="25"/>
      <c r="L187" s="50"/>
      <c r="M187" s="20"/>
      <c r="N187" s="20"/>
      <c r="O187" s="25"/>
      <c r="Q187" s="50"/>
      <c r="R187" s="20"/>
      <c r="S187" s="20"/>
      <c r="T187" s="25"/>
      <c r="V187" s="50"/>
      <c r="W187" s="20"/>
      <c r="X187" s="20"/>
      <c r="Y187" s="25"/>
    </row>
    <row r="188" spans="2:25" x14ac:dyDescent="0.35">
      <c r="B188" s="49"/>
      <c r="C188" s="17"/>
      <c r="D188" s="19"/>
      <c r="E188" s="24"/>
      <c r="G188" s="49"/>
      <c r="H188" s="19"/>
      <c r="I188" s="19"/>
      <c r="J188" s="24"/>
      <c r="L188" s="49"/>
      <c r="M188" s="19"/>
      <c r="N188" s="19"/>
      <c r="O188" s="24"/>
      <c r="Q188" s="49"/>
      <c r="R188" s="19"/>
      <c r="S188" s="19"/>
      <c r="T188" s="24"/>
      <c r="V188" s="49"/>
      <c r="W188" s="19"/>
      <c r="X188" s="19"/>
      <c r="Y188" s="24"/>
    </row>
    <row r="189" spans="2:25" x14ac:dyDescent="0.35">
      <c r="B189" s="50"/>
      <c r="C189" s="18"/>
      <c r="D189" s="20"/>
      <c r="E189" s="25"/>
      <c r="G189" s="50"/>
      <c r="H189" s="20"/>
      <c r="I189" s="20"/>
      <c r="J189" s="25"/>
      <c r="L189" s="50"/>
      <c r="M189" s="20"/>
      <c r="N189" s="20"/>
      <c r="O189" s="25"/>
      <c r="Q189" s="50"/>
      <c r="R189" s="20"/>
      <c r="S189" s="20"/>
      <c r="T189" s="25"/>
      <c r="V189" s="50"/>
      <c r="W189" s="20"/>
      <c r="X189" s="20"/>
      <c r="Y189" s="25"/>
    </row>
    <row r="190" spans="2:25" x14ac:dyDescent="0.35">
      <c r="B190" s="49"/>
      <c r="C190" s="17"/>
      <c r="D190" s="19"/>
      <c r="E190" s="24"/>
      <c r="G190" s="49"/>
      <c r="H190" s="19"/>
      <c r="I190" s="19"/>
      <c r="J190" s="24"/>
      <c r="L190" s="49"/>
      <c r="M190" s="19"/>
      <c r="N190" s="19"/>
      <c r="O190" s="24"/>
      <c r="Q190" s="49"/>
      <c r="R190" s="19"/>
      <c r="S190" s="19"/>
      <c r="T190" s="24"/>
      <c r="V190" s="49"/>
      <c r="W190" s="19"/>
      <c r="X190" s="19"/>
      <c r="Y190" s="24"/>
    </row>
    <row r="191" spans="2:25" x14ac:dyDescent="0.35">
      <c r="B191" s="50"/>
      <c r="C191" s="18"/>
      <c r="D191" s="20"/>
      <c r="E191" s="25"/>
      <c r="G191" s="50"/>
      <c r="H191" s="20"/>
      <c r="I191" s="20"/>
      <c r="J191" s="25"/>
      <c r="L191" s="50"/>
      <c r="M191" s="20"/>
      <c r="N191" s="20"/>
      <c r="O191" s="25"/>
      <c r="Q191" s="50"/>
      <c r="R191" s="20"/>
      <c r="S191" s="20"/>
      <c r="T191" s="25"/>
      <c r="V191" s="50"/>
      <c r="W191" s="20"/>
      <c r="X191" s="20"/>
      <c r="Y191" s="25"/>
    </row>
    <row r="192" spans="2:25" x14ac:dyDescent="0.35">
      <c r="B192" s="49"/>
      <c r="C192" s="17"/>
      <c r="D192" s="19"/>
      <c r="E192" s="24"/>
      <c r="G192" s="49"/>
      <c r="H192" s="19"/>
      <c r="I192" s="19"/>
      <c r="J192" s="24"/>
      <c r="L192" s="49"/>
      <c r="M192" s="19"/>
      <c r="N192" s="19"/>
      <c r="O192" s="24"/>
      <c r="Q192" s="49"/>
      <c r="R192" s="19"/>
      <c r="S192" s="19"/>
      <c r="T192" s="24"/>
      <c r="V192" s="49"/>
      <c r="W192" s="19"/>
      <c r="X192" s="19"/>
      <c r="Y192" s="24"/>
    </row>
    <row r="193" spans="2:25" x14ac:dyDescent="0.35">
      <c r="B193" s="50"/>
      <c r="C193" s="18"/>
      <c r="D193" s="20"/>
      <c r="E193" s="25"/>
      <c r="G193" s="50"/>
      <c r="H193" s="20"/>
      <c r="I193" s="20"/>
      <c r="J193" s="25"/>
      <c r="L193" s="50"/>
      <c r="M193" s="20"/>
      <c r="N193" s="20"/>
      <c r="O193" s="25"/>
      <c r="Q193" s="50"/>
      <c r="R193" s="20"/>
      <c r="S193" s="20"/>
      <c r="T193" s="25"/>
      <c r="V193" s="50"/>
      <c r="W193" s="20"/>
      <c r="X193" s="20"/>
      <c r="Y193" s="25"/>
    </row>
    <row r="194" spans="2:25" x14ac:dyDescent="0.35">
      <c r="B194" s="49"/>
      <c r="C194" s="17"/>
      <c r="D194" s="19"/>
      <c r="E194" s="24"/>
      <c r="G194" s="49"/>
      <c r="H194" s="19"/>
      <c r="I194" s="19"/>
      <c r="J194" s="24"/>
      <c r="L194" s="49"/>
      <c r="M194" s="19"/>
      <c r="N194" s="19"/>
      <c r="O194" s="24"/>
      <c r="Q194" s="49"/>
      <c r="R194" s="19"/>
      <c r="S194" s="19"/>
      <c r="T194" s="24"/>
      <c r="V194" s="49"/>
      <c r="W194" s="19"/>
      <c r="X194" s="19"/>
      <c r="Y194" s="24"/>
    </row>
    <row r="195" spans="2:25" x14ac:dyDescent="0.35">
      <c r="B195" s="50"/>
      <c r="C195" s="18"/>
      <c r="D195" s="20"/>
      <c r="E195" s="25"/>
      <c r="G195" s="50"/>
      <c r="H195" s="20"/>
      <c r="I195" s="20"/>
      <c r="J195" s="25"/>
      <c r="L195" s="50"/>
      <c r="M195" s="20"/>
      <c r="N195" s="20"/>
      <c r="O195" s="25"/>
      <c r="Q195" s="50"/>
      <c r="R195" s="20"/>
      <c r="S195" s="20"/>
      <c r="T195" s="25"/>
      <c r="V195" s="50"/>
      <c r="W195" s="20"/>
      <c r="X195" s="20"/>
      <c r="Y195" s="25"/>
    </row>
    <row r="196" spans="2:25" x14ac:dyDescent="0.35">
      <c r="B196" s="49"/>
      <c r="C196" s="17"/>
      <c r="D196" s="19"/>
      <c r="E196" s="24"/>
      <c r="G196" s="49"/>
      <c r="H196" s="19"/>
      <c r="I196" s="19"/>
      <c r="J196" s="24"/>
      <c r="L196" s="49"/>
      <c r="M196" s="19"/>
      <c r="N196" s="19"/>
      <c r="O196" s="24"/>
      <c r="Q196" s="49"/>
      <c r="R196" s="19"/>
      <c r="S196" s="19"/>
      <c r="T196" s="24"/>
      <c r="V196" s="49"/>
      <c r="W196" s="19"/>
      <c r="X196" s="19"/>
      <c r="Y196" s="24"/>
    </row>
    <row r="197" spans="2:25" x14ac:dyDescent="0.35">
      <c r="B197" s="50"/>
      <c r="C197" s="18"/>
      <c r="D197" s="20"/>
      <c r="E197" s="25"/>
      <c r="G197" s="50"/>
      <c r="H197" s="20"/>
      <c r="I197" s="20"/>
      <c r="J197" s="25"/>
      <c r="L197" s="50"/>
      <c r="M197" s="20"/>
      <c r="N197" s="20"/>
      <c r="O197" s="25"/>
      <c r="Q197" s="50"/>
      <c r="R197" s="20"/>
      <c r="S197" s="20"/>
      <c r="T197" s="25"/>
      <c r="V197" s="50"/>
      <c r="W197" s="20"/>
      <c r="X197" s="20"/>
      <c r="Y197" s="25"/>
    </row>
    <row r="198" spans="2:25" x14ac:dyDescent="0.35">
      <c r="B198" s="49"/>
      <c r="C198" s="17"/>
      <c r="D198" s="19"/>
      <c r="E198" s="24"/>
      <c r="G198" s="49"/>
      <c r="H198" s="19"/>
      <c r="I198" s="19"/>
      <c r="J198" s="24"/>
      <c r="L198" s="49"/>
      <c r="M198" s="19"/>
      <c r="N198" s="19"/>
      <c r="O198" s="24"/>
      <c r="Q198" s="49"/>
      <c r="R198" s="19"/>
      <c r="S198" s="19"/>
      <c r="T198" s="24"/>
      <c r="V198" s="49"/>
      <c r="W198" s="19"/>
      <c r="X198" s="19"/>
      <c r="Y198" s="24"/>
    </row>
    <row r="199" spans="2:25" x14ac:dyDescent="0.35">
      <c r="B199" s="50"/>
      <c r="C199" s="18"/>
      <c r="D199" s="20"/>
      <c r="E199" s="25"/>
      <c r="G199" s="50"/>
      <c r="H199" s="20"/>
      <c r="I199" s="20"/>
      <c r="J199" s="25"/>
      <c r="L199" s="50"/>
      <c r="M199" s="20"/>
      <c r="N199" s="20"/>
      <c r="O199" s="25"/>
      <c r="Q199" s="50"/>
      <c r="R199" s="20"/>
      <c r="S199" s="20"/>
      <c r="T199" s="25"/>
      <c r="V199" s="50"/>
      <c r="W199" s="20"/>
      <c r="X199" s="20"/>
      <c r="Y199" s="25"/>
    </row>
    <row r="200" spans="2:25" x14ac:dyDescent="0.35">
      <c r="B200" s="51"/>
      <c r="C200" s="46"/>
      <c r="D200" s="46"/>
      <c r="E200" s="47"/>
      <c r="G200" s="51"/>
      <c r="H200" s="46"/>
      <c r="I200" s="46"/>
      <c r="J200" s="47"/>
      <c r="L200" s="51"/>
      <c r="M200" s="46"/>
      <c r="N200" s="46"/>
      <c r="O200" s="47"/>
      <c r="Q200" s="51"/>
      <c r="R200" s="46"/>
      <c r="S200" s="46"/>
      <c r="T200" s="47"/>
      <c r="V200" s="51"/>
      <c r="W200" s="46"/>
      <c r="X200" s="46"/>
      <c r="Y200" s="47"/>
    </row>
    <row r="1048576" ht="1.5" customHeight="1" x14ac:dyDescent="0.35"/>
  </sheetData>
  <mergeCells count="5">
    <mergeCell ref="V1:Y1"/>
    <mergeCell ref="Q1:T1"/>
    <mergeCell ref="L1:O1"/>
    <mergeCell ref="G1:J1"/>
    <mergeCell ref="B1:E1"/>
  </mergeCells>
  <phoneticPr fontId="7" type="noConversion"/>
  <pageMargins left="0.7" right="0.7" top="0.75" bottom="0.75" header="0.3" footer="0.3"/>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E7597-8CA8-483C-B7DC-0BCC5D072745}">
  <sheetPr codeName="Sheet10"/>
  <dimension ref="A1:G303"/>
  <sheetViews>
    <sheetView zoomScale="70" zoomScaleNormal="70" workbookViewId="0">
      <selection activeCell="G31" sqref="G31"/>
    </sheetView>
  </sheetViews>
  <sheetFormatPr defaultColWidth="0" defaultRowHeight="14.5" x14ac:dyDescent="0.35"/>
  <cols>
    <col min="1" max="1" width="2.81640625" style="21" customWidth="1"/>
    <col min="2" max="2" width="20" style="3" customWidth="1"/>
    <col min="3" max="3" width="27.36328125" style="42" customWidth="1"/>
    <col min="4" max="4" width="2.81640625" style="21" customWidth="1"/>
    <col min="5" max="5" width="20" style="3" customWidth="1"/>
    <col min="6" max="6" width="27.36328125" style="42" customWidth="1"/>
    <col min="7" max="7" width="128.1796875" style="21" customWidth="1"/>
    <col min="8" max="16384" width="8.7265625" hidden="1"/>
  </cols>
  <sheetData>
    <row r="1" spans="2:7" ht="31" x14ac:dyDescent="0.35">
      <c r="B1" s="120" t="s">
        <v>574</v>
      </c>
      <c r="C1" s="120"/>
      <c r="E1" s="120" t="s">
        <v>588</v>
      </c>
      <c r="F1" s="120"/>
    </row>
    <row r="2" spans="2:7" ht="15" thickBot="1" x14ac:dyDescent="0.4">
      <c r="B2" s="91" t="s">
        <v>3</v>
      </c>
      <c r="C2" s="93"/>
      <c r="E2" s="91" t="s">
        <v>3</v>
      </c>
      <c r="F2" s="93"/>
    </row>
    <row r="3" spans="2:7" x14ac:dyDescent="0.35">
      <c r="B3" s="59" t="s">
        <v>576</v>
      </c>
      <c r="C3" s="32" t="s">
        <v>575</v>
      </c>
      <c r="E3" s="57" t="s">
        <v>16</v>
      </c>
      <c r="F3" s="63" t="s">
        <v>584</v>
      </c>
    </row>
    <row r="4" spans="2:7" x14ac:dyDescent="0.35">
      <c r="B4" s="58" t="s">
        <v>577</v>
      </c>
      <c r="C4" s="33" t="s">
        <v>578</v>
      </c>
      <c r="E4" s="58" t="s">
        <v>581</v>
      </c>
      <c r="F4" s="33" t="s">
        <v>585</v>
      </c>
      <c r="G4" s="170" t="s">
        <v>602</v>
      </c>
    </row>
    <row r="5" spans="2:7" x14ac:dyDescent="0.35">
      <c r="B5" s="57" t="s">
        <v>16</v>
      </c>
      <c r="C5" s="63" t="s">
        <v>579</v>
      </c>
      <c r="E5" s="57" t="s">
        <v>582</v>
      </c>
      <c r="F5" s="34" t="s">
        <v>586</v>
      </c>
      <c r="G5" s="170"/>
    </row>
    <row r="6" spans="2:7" x14ac:dyDescent="0.35">
      <c r="B6" s="58" t="s">
        <v>589</v>
      </c>
      <c r="C6" s="33" t="s">
        <v>590</v>
      </c>
      <c r="E6" s="58" t="s">
        <v>583</v>
      </c>
      <c r="F6" s="35">
        <v>1883</v>
      </c>
      <c r="G6" s="170"/>
    </row>
    <row r="7" spans="2:7" ht="14.5" customHeight="1" x14ac:dyDescent="0.35">
      <c r="B7" s="125" t="s">
        <v>591</v>
      </c>
      <c r="C7" s="123" t="s">
        <v>594</v>
      </c>
      <c r="E7" s="125" t="s">
        <v>591</v>
      </c>
      <c r="F7" s="123" t="s">
        <v>593</v>
      </c>
      <c r="G7" s="170"/>
    </row>
    <row r="8" spans="2:7" ht="14.5" customHeight="1" x14ac:dyDescent="0.35">
      <c r="B8" s="125"/>
      <c r="C8" s="123"/>
      <c r="E8" s="125"/>
      <c r="F8" s="123"/>
    </row>
    <row r="9" spans="2:7" x14ac:dyDescent="0.35">
      <c r="B9" s="125"/>
      <c r="C9" s="123"/>
      <c r="E9" s="125"/>
      <c r="F9" s="123"/>
    </row>
    <row r="10" spans="2:7" x14ac:dyDescent="0.35">
      <c r="B10" s="126"/>
      <c r="C10" s="124"/>
      <c r="E10" s="126"/>
      <c r="F10" s="124"/>
    </row>
    <row r="11" spans="2:7" x14ac:dyDescent="0.35">
      <c r="B11" s="31"/>
      <c r="C11" s="37"/>
      <c r="E11" s="31"/>
      <c r="F11" s="37"/>
    </row>
    <row r="12" spans="2:7" ht="15" thickBot="1" x14ac:dyDescent="0.4">
      <c r="B12" s="158" t="s">
        <v>580</v>
      </c>
      <c r="C12" s="114"/>
      <c r="E12" s="158" t="s">
        <v>580</v>
      </c>
      <c r="F12" s="114"/>
    </row>
    <row r="13" spans="2:7" ht="14.5" customHeight="1" x14ac:dyDescent="0.35">
      <c r="B13" s="165" t="s">
        <v>592</v>
      </c>
      <c r="C13" s="160"/>
      <c r="E13" s="165" t="s">
        <v>587</v>
      </c>
      <c r="F13" s="160"/>
    </row>
    <row r="14" spans="2:7" x14ac:dyDescent="0.35">
      <c r="B14" s="166"/>
      <c r="C14" s="162"/>
      <c r="E14" s="166"/>
      <c r="F14" s="162"/>
    </row>
    <row r="15" spans="2:7" x14ac:dyDescent="0.35">
      <c r="B15" s="166"/>
      <c r="C15" s="162"/>
      <c r="E15" s="166"/>
      <c r="F15" s="162"/>
    </row>
    <row r="16" spans="2:7" x14ac:dyDescent="0.35">
      <c r="B16" s="166"/>
      <c r="C16" s="162"/>
      <c r="E16" s="166"/>
      <c r="F16" s="162"/>
    </row>
    <row r="17" spans="2:6" x14ac:dyDescent="0.35">
      <c r="B17" s="166"/>
      <c r="C17" s="162"/>
      <c r="E17" s="166"/>
      <c r="F17" s="162"/>
    </row>
    <row r="18" spans="2:6" x14ac:dyDescent="0.35">
      <c r="B18" s="166"/>
      <c r="C18" s="162"/>
      <c r="E18" s="166"/>
      <c r="F18" s="162"/>
    </row>
    <row r="19" spans="2:6" x14ac:dyDescent="0.35">
      <c r="B19" s="166"/>
      <c r="C19" s="162"/>
      <c r="E19" s="166"/>
      <c r="F19" s="162"/>
    </row>
    <row r="20" spans="2:6" x14ac:dyDescent="0.35">
      <c r="B20" s="166"/>
      <c r="C20" s="162"/>
      <c r="E20" s="166"/>
      <c r="F20" s="162"/>
    </row>
    <row r="21" spans="2:6" x14ac:dyDescent="0.35">
      <c r="B21" s="166"/>
      <c r="C21" s="162"/>
      <c r="E21" s="166"/>
      <c r="F21" s="162"/>
    </row>
    <row r="22" spans="2:6" x14ac:dyDescent="0.35">
      <c r="B22" s="166"/>
      <c r="C22" s="162"/>
      <c r="E22" s="166"/>
      <c r="F22" s="162"/>
    </row>
    <row r="23" spans="2:6" x14ac:dyDescent="0.35">
      <c r="B23" s="166"/>
      <c r="C23" s="162"/>
      <c r="E23" s="166"/>
      <c r="F23" s="162"/>
    </row>
    <row r="24" spans="2:6" x14ac:dyDescent="0.35">
      <c r="B24" s="166"/>
      <c r="C24" s="162"/>
      <c r="E24" s="166"/>
      <c r="F24" s="162"/>
    </row>
    <row r="25" spans="2:6" x14ac:dyDescent="0.35">
      <c r="B25" s="166"/>
      <c r="C25" s="162"/>
      <c r="E25" s="166"/>
      <c r="F25" s="162"/>
    </row>
    <row r="26" spans="2:6" x14ac:dyDescent="0.35">
      <c r="B26" s="166"/>
      <c r="C26" s="162"/>
      <c r="E26" s="166"/>
      <c r="F26" s="162"/>
    </row>
    <row r="27" spans="2:6" x14ac:dyDescent="0.35">
      <c r="B27" s="166"/>
      <c r="C27" s="162"/>
      <c r="E27" s="166"/>
      <c r="F27" s="162"/>
    </row>
    <row r="28" spans="2:6" x14ac:dyDescent="0.35">
      <c r="B28" s="166"/>
      <c r="C28" s="162"/>
      <c r="E28" s="166"/>
      <c r="F28" s="162"/>
    </row>
    <row r="29" spans="2:6" x14ac:dyDescent="0.35">
      <c r="B29" s="166"/>
      <c r="C29" s="162"/>
      <c r="E29" s="166"/>
      <c r="F29" s="162"/>
    </row>
    <row r="30" spans="2:6" x14ac:dyDescent="0.35">
      <c r="B30" s="166"/>
      <c r="C30" s="162"/>
      <c r="E30" s="166"/>
      <c r="F30" s="162"/>
    </row>
    <row r="31" spans="2:6" x14ac:dyDescent="0.35">
      <c r="B31" s="166"/>
      <c r="C31" s="162"/>
      <c r="E31" s="166"/>
      <c r="F31" s="162"/>
    </row>
    <row r="32" spans="2:6" x14ac:dyDescent="0.35">
      <c r="B32" s="167"/>
      <c r="C32" s="164"/>
      <c r="E32" s="167"/>
      <c r="F32" s="164"/>
    </row>
    <row r="33" spans="2:6" x14ac:dyDescent="0.35">
      <c r="B33" s="21"/>
      <c r="C33" s="21"/>
      <c r="E33" s="21"/>
      <c r="F33" s="21"/>
    </row>
    <row r="34" spans="2:6" ht="31" x14ac:dyDescent="0.35">
      <c r="B34" s="120" t="s">
        <v>599</v>
      </c>
      <c r="C34" s="120"/>
      <c r="E34" s="120" t="s">
        <v>588</v>
      </c>
      <c r="F34" s="120"/>
    </row>
    <row r="35" spans="2:6" ht="15" thickBot="1" x14ac:dyDescent="0.4">
      <c r="B35" s="91" t="s">
        <v>3</v>
      </c>
      <c r="C35" s="93"/>
      <c r="E35" s="91" t="s">
        <v>3</v>
      </c>
      <c r="F35" s="93"/>
    </row>
    <row r="36" spans="2:6" x14ac:dyDescent="0.35">
      <c r="B36" s="59" t="s">
        <v>576</v>
      </c>
      <c r="C36" s="32" t="s">
        <v>595</v>
      </c>
      <c r="E36" s="57" t="s">
        <v>16</v>
      </c>
      <c r="F36" s="63"/>
    </row>
    <row r="37" spans="2:6" x14ac:dyDescent="0.35">
      <c r="B37" s="58" t="s">
        <v>577</v>
      </c>
      <c r="C37" s="33" t="s">
        <v>596</v>
      </c>
      <c r="E37" s="58" t="s">
        <v>581</v>
      </c>
      <c r="F37" s="33"/>
    </row>
    <row r="38" spans="2:6" x14ac:dyDescent="0.35">
      <c r="B38" s="57" t="s">
        <v>16</v>
      </c>
      <c r="C38" s="63" t="s">
        <v>597</v>
      </c>
      <c r="E38" s="57" t="s">
        <v>582</v>
      </c>
      <c r="F38" s="34"/>
    </row>
    <row r="39" spans="2:6" x14ac:dyDescent="0.35">
      <c r="B39" s="58" t="s">
        <v>589</v>
      </c>
      <c r="C39" s="33" t="s">
        <v>598</v>
      </c>
      <c r="E39" s="58" t="s">
        <v>583</v>
      </c>
      <c r="F39" s="35"/>
    </row>
    <row r="40" spans="2:6" x14ac:dyDescent="0.35">
      <c r="B40" s="125" t="s">
        <v>591</v>
      </c>
      <c r="C40" s="123"/>
      <c r="E40" s="125" t="s">
        <v>591</v>
      </c>
      <c r="F40" s="123"/>
    </row>
    <row r="41" spans="2:6" x14ac:dyDescent="0.35">
      <c r="B41" s="125"/>
      <c r="C41" s="123"/>
      <c r="E41" s="125"/>
      <c r="F41" s="123"/>
    </row>
    <row r="42" spans="2:6" x14ac:dyDescent="0.35">
      <c r="B42" s="125"/>
      <c r="C42" s="123"/>
      <c r="E42" s="125"/>
      <c r="F42" s="123"/>
    </row>
    <row r="43" spans="2:6" x14ac:dyDescent="0.35">
      <c r="B43" s="126"/>
      <c r="C43" s="124"/>
      <c r="E43" s="126"/>
      <c r="F43" s="124"/>
    </row>
    <row r="44" spans="2:6" x14ac:dyDescent="0.35">
      <c r="B44" s="21"/>
      <c r="C44" s="21"/>
      <c r="E44" s="21"/>
      <c r="F44" s="21"/>
    </row>
    <row r="45" spans="2:6" ht="15" thickBot="1" x14ac:dyDescent="0.4">
      <c r="B45" s="158" t="s">
        <v>580</v>
      </c>
      <c r="C45" s="114"/>
      <c r="E45" s="158" t="s">
        <v>580</v>
      </c>
      <c r="F45" s="114"/>
    </row>
    <row r="46" spans="2:6" x14ac:dyDescent="0.35">
      <c r="B46" s="165" t="s">
        <v>600</v>
      </c>
      <c r="C46" s="160"/>
      <c r="E46" s="165"/>
      <c r="F46" s="160"/>
    </row>
    <row r="47" spans="2:6" x14ac:dyDescent="0.35">
      <c r="B47" s="166"/>
      <c r="C47" s="162"/>
      <c r="E47" s="166"/>
      <c r="F47" s="162"/>
    </row>
    <row r="48" spans="2:6" x14ac:dyDescent="0.35">
      <c r="B48" s="166"/>
      <c r="C48" s="162"/>
      <c r="E48" s="166"/>
      <c r="F48" s="162"/>
    </row>
    <row r="49" spans="2:6" x14ac:dyDescent="0.35">
      <c r="B49" s="166"/>
      <c r="C49" s="162"/>
      <c r="E49" s="166"/>
      <c r="F49" s="162"/>
    </row>
    <row r="50" spans="2:6" x14ac:dyDescent="0.35">
      <c r="B50" s="166"/>
      <c r="C50" s="162"/>
      <c r="E50" s="166"/>
      <c r="F50" s="162"/>
    </row>
    <row r="51" spans="2:6" x14ac:dyDescent="0.35">
      <c r="B51" s="166"/>
      <c r="C51" s="162"/>
      <c r="E51" s="166"/>
      <c r="F51" s="162"/>
    </row>
    <row r="52" spans="2:6" x14ac:dyDescent="0.35">
      <c r="B52" s="166"/>
      <c r="C52" s="162"/>
      <c r="E52" s="166"/>
      <c r="F52" s="162"/>
    </row>
    <row r="53" spans="2:6" x14ac:dyDescent="0.35">
      <c r="B53" s="166"/>
      <c r="C53" s="162"/>
      <c r="E53" s="166"/>
      <c r="F53" s="162"/>
    </row>
    <row r="54" spans="2:6" x14ac:dyDescent="0.35">
      <c r="B54" s="166"/>
      <c r="C54" s="162"/>
      <c r="E54" s="166"/>
      <c r="F54" s="162"/>
    </row>
    <row r="55" spans="2:6" x14ac:dyDescent="0.35">
      <c r="B55" s="166"/>
      <c r="C55" s="162"/>
      <c r="E55" s="166"/>
      <c r="F55" s="162"/>
    </row>
    <row r="56" spans="2:6" x14ac:dyDescent="0.35">
      <c r="B56" s="166"/>
      <c r="C56" s="162"/>
      <c r="E56" s="166"/>
      <c r="F56" s="162"/>
    </row>
    <row r="57" spans="2:6" x14ac:dyDescent="0.35">
      <c r="B57" s="166"/>
      <c r="C57" s="162"/>
      <c r="E57" s="166"/>
      <c r="F57" s="162"/>
    </row>
    <row r="58" spans="2:6" x14ac:dyDescent="0.35">
      <c r="B58" s="166"/>
      <c r="C58" s="162"/>
      <c r="E58" s="166"/>
      <c r="F58" s="162"/>
    </row>
    <row r="59" spans="2:6" x14ac:dyDescent="0.35">
      <c r="B59" s="166"/>
      <c r="C59" s="162"/>
      <c r="E59" s="166"/>
      <c r="F59" s="162"/>
    </row>
    <row r="60" spans="2:6" x14ac:dyDescent="0.35">
      <c r="B60" s="166"/>
      <c r="C60" s="162"/>
      <c r="E60" s="166"/>
      <c r="F60" s="162"/>
    </row>
    <row r="61" spans="2:6" x14ac:dyDescent="0.35">
      <c r="B61" s="166"/>
      <c r="C61" s="162"/>
      <c r="E61" s="166"/>
      <c r="F61" s="162"/>
    </row>
    <row r="62" spans="2:6" x14ac:dyDescent="0.35">
      <c r="B62" s="166"/>
      <c r="C62" s="162"/>
      <c r="E62" s="166"/>
      <c r="F62" s="162"/>
    </row>
    <row r="63" spans="2:6" x14ac:dyDescent="0.35">
      <c r="B63" s="166"/>
      <c r="C63" s="162"/>
      <c r="E63" s="166"/>
      <c r="F63" s="162"/>
    </row>
    <row r="64" spans="2:6" x14ac:dyDescent="0.35">
      <c r="B64" s="166"/>
      <c r="C64" s="162"/>
      <c r="E64" s="166"/>
      <c r="F64" s="162"/>
    </row>
    <row r="65" spans="2:6" x14ac:dyDescent="0.35">
      <c r="B65" s="167"/>
      <c r="C65" s="164"/>
      <c r="E65" s="167"/>
      <c r="F65" s="164"/>
    </row>
    <row r="66" spans="2:6" x14ac:dyDescent="0.35">
      <c r="B66" s="21"/>
      <c r="C66" s="21"/>
      <c r="E66" s="21"/>
      <c r="F66" s="21"/>
    </row>
    <row r="67" spans="2:6" ht="31" x14ac:dyDescent="0.35">
      <c r="B67" s="120" t="s">
        <v>574</v>
      </c>
      <c r="C67" s="120"/>
      <c r="E67" s="120" t="s">
        <v>588</v>
      </c>
      <c r="F67" s="120"/>
    </row>
    <row r="68" spans="2:6" ht="15" thickBot="1" x14ac:dyDescent="0.4">
      <c r="B68" s="91" t="s">
        <v>3</v>
      </c>
      <c r="C68" s="93"/>
      <c r="E68" s="91" t="s">
        <v>3</v>
      </c>
      <c r="F68" s="93"/>
    </row>
    <row r="69" spans="2:6" x14ac:dyDescent="0.35">
      <c r="B69" s="59" t="s">
        <v>576</v>
      </c>
      <c r="C69" s="32" t="s">
        <v>575</v>
      </c>
      <c r="E69" s="57" t="s">
        <v>16</v>
      </c>
      <c r="F69" s="63" t="s">
        <v>584</v>
      </c>
    </row>
    <row r="70" spans="2:6" x14ac:dyDescent="0.35">
      <c r="B70" s="58" t="s">
        <v>577</v>
      </c>
      <c r="C70" s="33" t="s">
        <v>578</v>
      </c>
      <c r="E70" s="58" t="s">
        <v>581</v>
      </c>
      <c r="F70" s="33" t="s">
        <v>585</v>
      </c>
    </row>
    <row r="71" spans="2:6" x14ac:dyDescent="0.35">
      <c r="B71" s="57" t="s">
        <v>16</v>
      </c>
      <c r="C71" s="63" t="s">
        <v>579</v>
      </c>
      <c r="E71" s="57" t="s">
        <v>582</v>
      </c>
      <c r="F71" s="34" t="s">
        <v>586</v>
      </c>
    </row>
    <row r="72" spans="2:6" x14ac:dyDescent="0.35">
      <c r="B72" s="58" t="s">
        <v>589</v>
      </c>
      <c r="C72" s="33" t="s">
        <v>590</v>
      </c>
      <c r="E72" s="58" t="s">
        <v>583</v>
      </c>
      <c r="F72" s="35">
        <v>1883</v>
      </c>
    </row>
    <row r="73" spans="2:6" x14ac:dyDescent="0.35">
      <c r="B73" s="125" t="s">
        <v>591</v>
      </c>
      <c r="C73" s="123" t="s">
        <v>594</v>
      </c>
      <c r="E73" s="125" t="s">
        <v>591</v>
      </c>
      <c r="F73" s="123" t="s">
        <v>593</v>
      </c>
    </row>
    <row r="74" spans="2:6" x14ac:dyDescent="0.35">
      <c r="B74" s="125"/>
      <c r="C74" s="123"/>
      <c r="E74" s="125"/>
      <c r="F74" s="123"/>
    </row>
    <row r="75" spans="2:6" x14ac:dyDescent="0.35">
      <c r="B75" s="125"/>
      <c r="C75" s="123"/>
      <c r="E75" s="125"/>
      <c r="F75" s="123"/>
    </row>
    <row r="76" spans="2:6" x14ac:dyDescent="0.35">
      <c r="B76" s="126"/>
      <c r="C76" s="124"/>
      <c r="E76" s="126"/>
      <c r="F76" s="124"/>
    </row>
    <row r="77" spans="2:6" x14ac:dyDescent="0.35">
      <c r="B77" s="31"/>
      <c r="C77" s="37"/>
      <c r="E77" s="31"/>
      <c r="F77" s="37"/>
    </row>
    <row r="78" spans="2:6" ht="15" thickBot="1" x14ac:dyDescent="0.4">
      <c r="B78" s="158" t="s">
        <v>580</v>
      </c>
      <c r="C78" s="114"/>
      <c r="E78" s="158" t="s">
        <v>580</v>
      </c>
      <c r="F78" s="114"/>
    </row>
    <row r="79" spans="2:6" x14ac:dyDescent="0.35">
      <c r="B79" s="165" t="s">
        <v>592</v>
      </c>
      <c r="C79" s="160"/>
      <c r="E79" s="165" t="s">
        <v>587</v>
      </c>
      <c r="F79" s="160"/>
    </row>
    <row r="80" spans="2:6" x14ac:dyDescent="0.35">
      <c r="B80" s="166"/>
      <c r="C80" s="162"/>
      <c r="E80" s="166"/>
      <c r="F80" s="162"/>
    </row>
    <row r="81" spans="2:6" x14ac:dyDescent="0.35">
      <c r="B81" s="166"/>
      <c r="C81" s="162"/>
      <c r="E81" s="166"/>
      <c r="F81" s="162"/>
    </row>
    <row r="82" spans="2:6" x14ac:dyDescent="0.35">
      <c r="B82" s="166"/>
      <c r="C82" s="162"/>
      <c r="E82" s="166"/>
      <c r="F82" s="162"/>
    </row>
    <row r="83" spans="2:6" x14ac:dyDescent="0.35">
      <c r="B83" s="166"/>
      <c r="C83" s="162"/>
      <c r="E83" s="166"/>
      <c r="F83" s="162"/>
    </row>
    <row r="84" spans="2:6" x14ac:dyDescent="0.35">
      <c r="B84" s="166"/>
      <c r="C84" s="162"/>
      <c r="E84" s="166"/>
      <c r="F84" s="162"/>
    </row>
    <row r="85" spans="2:6" x14ac:dyDescent="0.35">
      <c r="B85" s="166"/>
      <c r="C85" s="162"/>
      <c r="E85" s="166"/>
      <c r="F85" s="162"/>
    </row>
    <row r="86" spans="2:6" x14ac:dyDescent="0.35">
      <c r="B86" s="166"/>
      <c r="C86" s="162"/>
      <c r="E86" s="166"/>
      <c r="F86" s="162"/>
    </row>
    <row r="87" spans="2:6" x14ac:dyDescent="0.35">
      <c r="B87" s="166"/>
      <c r="C87" s="162"/>
      <c r="E87" s="166"/>
      <c r="F87" s="162"/>
    </row>
    <row r="88" spans="2:6" x14ac:dyDescent="0.35">
      <c r="B88" s="166"/>
      <c r="C88" s="162"/>
      <c r="E88" s="166"/>
      <c r="F88" s="162"/>
    </row>
    <row r="89" spans="2:6" x14ac:dyDescent="0.35">
      <c r="B89" s="166"/>
      <c r="C89" s="162"/>
      <c r="E89" s="166"/>
      <c r="F89" s="162"/>
    </row>
    <row r="90" spans="2:6" x14ac:dyDescent="0.35">
      <c r="B90" s="166"/>
      <c r="C90" s="162"/>
      <c r="E90" s="166"/>
      <c r="F90" s="162"/>
    </row>
    <row r="91" spans="2:6" x14ac:dyDescent="0.35">
      <c r="B91" s="166"/>
      <c r="C91" s="162"/>
      <c r="E91" s="166"/>
      <c r="F91" s="162"/>
    </row>
    <row r="92" spans="2:6" x14ac:dyDescent="0.35">
      <c r="B92" s="166"/>
      <c r="C92" s="162"/>
      <c r="E92" s="166"/>
      <c r="F92" s="162"/>
    </row>
    <row r="93" spans="2:6" x14ac:dyDescent="0.35">
      <c r="B93" s="166"/>
      <c r="C93" s="162"/>
      <c r="E93" s="166"/>
      <c r="F93" s="162"/>
    </row>
    <row r="94" spans="2:6" x14ac:dyDescent="0.35">
      <c r="B94" s="166"/>
      <c r="C94" s="162"/>
      <c r="E94" s="166"/>
      <c r="F94" s="162"/>
    </row>
    <row r="95" spans="2:6" x14ac:dyDescent="0.35">
      <c r="B95" s="166"/>
      <c r="C95" s="162"/>
      <c r="E95" s="166"/>
      <c r="F95" s="162"/>
    </row>
    <row r="96" spans="2:6" x14ac:dyDescent="0.35">
      <c r="B96" s="166"/>
      <c r="C96" s="162"/>
      <c r="E96" s="166"/>
      <c r="F96" s="162"/>
    </row>
    <row r="97" spans="2:6" x14ac:dyDescent="0.35">
      <c r="B97" s="166"/>
      <c r="C97" s="162"/>
      <c r="E97" s="166"/>
      <c r="F97" s="162"/>
    </row>
    <row r="98" spans="2:6" x14ac:dyDescent="0.35">
      <c r="B98" s="167"/>
      <c r="C98" s="164"/>
      <c r="E98" s="167"/>
      <c r="F98" s="164"/>
    </row>
    <row r="99" spans="2:6" x14ac:dyDescent="0.35">
      <c r="B99" s="21"/>
      <c r="C99" s="21"/>
      <c r="E99" s="21"/>
      <c r="F99" s="21"/>
    </row>
    <row r="100" spans="2:6" x14ac:dyDescent="0.35">
      <c r="B100" s="21"/>
      <c r="C100" s="21"/>
      <c r="E100" s="21"/>
      <c r="F100" s="21"/>
    </row>
    <row r="101" spans="2:6" x14ac:dyDescent="0.35">
      <c r="B101" s="21"/>
      <c r="C101" s="21"/>
      <c r="E101" s="21"/>
      <c r="F101" s="21"/>
    </row>
    <row r="102" spans="2:6" x14ac:dyDescent="0.35">
      <c r="B102" s="21"/>
      <c r="C102" s="21"/>
      <c r="E102" s="21"/>
      <c r="F102" s="21"/>
    </row>
    <row r="103" spans="2:6" x14ac:dyDescent="0.35">
      <c r="B103" s="21"/>
      <c r="C103" s="21"/>
      <c r="E103" s="21"/>
      <c r="F103" s="21"/>
    </row>
    <row r="104" spans="2:6" x14ac:dyDescent="0.35">
      <c r="B104" s="21"/>
      <c r="C104" s="21"/>
      <c r="E104" s="21"/>
      <c r="F104" s="21"/>
    </row>
    <row r="105" spans="2:6" x14ac:dyDescent="0.35">
      <c r="B105" s="21"/>
      <c r="C105" s="21"/>
      <c r="E105" s="21"/>
      <c r="F105" s="21"/>
    </row>
    <row r="106" spans="2:6" x14ac:dyDescent="0.35">
      <c r="B106" s="21"/>
      <c r="C106" s="21"/>
      <c r="E106" s="21"/>
      <c r="F106" s="21"/>
    </row>
    <row r="107" spans="2:6" x14ac:dyDescent="0.35">
      <c r="B107" s="21"/>
      <c r="C107" s="21"/>
      <c r="E107" s="21"/>
      <c r="F107" s="21"/>
    </row>
    <row r="108" spans="2:6" x14ac:dyDescent="0.35">
      <c r="B108" s="21"/>
      <c r="C108" s="21"/>
      <c r="E108" s="21"/>
      <c r="F108" s="21"/>
    </row>
    <row r="109" spans="2:6" x14ac:dyDescent="0.35">
      <c r="B109" s="21"/>
      <c r="C109" s="21"/>
      <c r="E109" s="21"/>
      <c r="F109" s="21"/>
    </row>
    <row r="110" spans="2:6" x14ac:dyDescent="0.35">
      <c r="B110" s="21"/>
      <c r="C110" s="21"/>
      <c r="E110" s="21"/>
      <c r="F110" s="21"/>
    </row>
    <row r="111" spans="2:6" x14ac:dyDescent="0.35">
      <c r="B111" s="21"/>
      <c r="C111" s="21"/>
      <c r="E111" s="21"/>
      <c r="F111" s="21"/>
    </row>
    <row r="112" spans="2:6" x14ac:dyDescent="0.35">
      <c r="B112" s="21"/>
      <c r="C112" s="21"/>
      <c r="E112" s="21"/>
      <c r="F112" s="21"/>
    </row>
    <row r="113" spans="2:6" x14ac:dyDescent="0.35">
      <c r="B113" s="21"/>
      <c r="C113" s="21"/>
      <c r="E113" s="21"/>
      <c r="F113" s="21"/>
    </row>
    <row r="114" spans="2:6" x14ac:dyDescent="0.35">
      <c r="B114" s="21"/>
      <c r="C114" s="21"/>
      <c r="E114" s="21"/>
      <c r="F114" s="21"/>
    </row>
    <row r="115" spans="2:6" x14ac:dyDescent="0.35">
      <c r="B115" s="21"/>
      <c r="C115" s="21"/>
      <c r="E115" s="21"/>
      <c r="F115" s="21"/>
    </row>
    <row r="116" spans="2:6" x14ac:dyDescent="0.35">
      <c r="B116" s="21"/>
      <c r="C116" s="21"/>
      <c r="E116" s="21"/>
      <c r="F116" s="21"/>
    </row>
    <row r="117" spans="2:6" x14ac:dyDescent="0.35">
      <c r="B117" s="21"/>
      <c r="C117" s="21"/>
      <c r="E117" s="21"/>
      <c r="F117" s="21"/>
    </row>
    <row r="118" spans="2:6" x14ac:dyDescent="0.35">
      <c r="B118" s="21"/>
      <c r="C118" s="21"/>
      <c r="E118" s="21"/>
      <c r="F118" s="21"/>
    </row>
    <row r="119" spans="2:6" x14ac:dyDescent="0.35">
      <c r="B119" s="21"/>
      <c r="C119" s="21"/>
      <c r="E119" s="21"/>
      <c r="F119" s="21"/>
    </row>
    <row r="120" spans="2:6" x14ac:dyDescent="0.35">
      <c r="B120" s="21"/>
      <c r="C120" s="21"/>
      <c r="E120" s="21"/>
      <c r="F120" s="21"/>
    </row>
    <row r="121" spans="2:6" x14ac:dyDescent="0.35">
      <c r="B121" s="21"/>
      <c r="C121" s="21"/>
      <c r="E121" s="21"/>
      <c r="F121" s="21"/>
    </row>
    <row r="122" spans="2:6" x14ac:dyDescent="0.35">
      <c r="B122" s="21"/>
      <c r="C122" s="21"/>
      <c r="E122" s="21"/>
      <c r="F122" s="21"/>
    </row>
    <row r="123" spans="2:6" x14ac:dyDescent="0.35">
      <c r="B123" s="21"/>
      <c r="C123" s="21"/>
      <c r="E123" s="21"/>
      <c r="F123" s="21"/>
    </row>
    <row r="124" spans="2:6" x14ac:dyDescent="0.35">
      <c r="B124" s="21"/>
      <c r="C124" s="21"/>
      <c r="E124" s="21"/>
      <c r="F124" s="21"/>
    </row>
    <row r="125" spans="2:6" x14ac:dyDescent="0.35">
      <c r="B125" s="21"/>
      <c r="C125" s="21"/>
      <c r="E125" s="21"/>
      <c r="F125" s="21"/>
    </row>
    <row r="126" spans="2:6" x14ac:dyDescent="0.35">
      <c r="B126" s="21"/>
      <c r="C126" s="21"/>
      <c r="E126" s="21"/>
      <c r="F126" s="21"/>
    </row>
    <row r="127" spans="2:6" x14ac:dyDescent="0.35">
      <c r="B127" s="21"/>
      <c r="C127" s="21"/>
      <c r="E127" s="21"/>
      <c r="F127" s="21"/>
    </row>
    <row r="128" spans="2:6" x14ac:dyDescent="0.35">
      <c r="B128" s="21"/>
      <c r="C128" s="21"/>
      <c r="E128" s="21"/>
      <c r="F128" s="21"/>
    </row>
    <row r="129" spans="2:6" x14ac:dyDescent="0.35">
      <c r="B129" s="21"/>
      <c r="C129" s="21"/>
      <c r="E129" s="21"/>
      <c r="F129" s="21"/>
    </row>
    <row r="130" spans="2:6" x14ac:dyDescent="0.35">
      <c r="B130" s="21"/>
      <c r="C130" s="21"/>
      <c r="E130" s="21"/>
      <c r="F130" s="21"/>
    </row>
    <row r="131" spans="2:6" x14ac:dyDescent="0.35">
      <c r="B131" s="21"/>
      <c r="C131" s="21"/>
      <c r="E131" s="21"/>
      <c r="F131" s="21"/>
    </row>
    <row r="132" spans="2:6" x14ac:dyDescent="0.35">
      <c r="B132" s="21"/>
      <c r="C132" s="21"/>
      <c r="E132" s="21"/>
      <c r="F132" s="21"/>
    </row>
    <row r="133" spans="2:6" x14ac:dyDescent="0.35">
      <c r="B133" s="21"/>
      <c r="C133" s="21"/>
      <c r="E133" s="21"/>
      <c r="F133" s="21"/>
    </row>
    <row r="134" spans="2:6" x14ac:dyDescent="0.35">
      <c r="B134" s="21"/>
      <c r="C134" s="21"/>
      <c r="E134" s="21"/>
      <c r="F134" s="21"/>
    </row>
    <row r="135" spans="2:6" x14ac:dyDescent="0.35">
      <c r="B135" s="21"/>
      <c r="C135" s="21"/>
      <c r="E135" s="21"/>
      <c r="F135" s="21"/>
    </row>
    <row r="136" spans="2:6" x14ac:dyDescent="0.35">
      <c r="B136" s="21"/>
      <c r="C136" s="21"/>
      <c r="E136" s="21"/>
      <c r="F136" s="21"/>
    </row>
    <row r="137" spans="2:6" x14ac:dyDescent="0.35">
      <c r="B137" s="21"/>
      <c r="C137" s="21"/>
      <c r="E137" s="21"/>
      <c r="F137" s="21"/>
    </row>
    <row r="138" spans="2:6" x14ac:dyDescent="0.35">
      <c r="B138" s="21"/>
      <c r="C138" s="21"/>
      <c r="E138" s="21"/>
      <c r="F138" s="21"/>
    </row>
    <row r="139" spans="2:6" x14ac:dyDescent="0.35">
      <c r="B139" s="21"/>
      <c r="C139" s="21"/>
      <c r="E139" s="21"/>
      <c r="F139" s="21"/>
    </row>
    <row r="140" spans="2:6" x14ac:dyDescent="0.35">
      <c r="B140" s="21"/>
      <c r="C140" s="21"/>
      <c r="E140" s="21"/>
      <c r="F140" s="21"/>
    </row>
    <row r="141" spans="2:6" x14ac:dyDescent="0.35">
      <c r="B141" s="21"/>
      <c r="C141" s="21"/>
      <c r="E141" s="21"/>
      <c r="F141" s="21"/>
    </row>
    <row r="142" spans="2:6" x14ac:dyDescent="0.35">
      <c r="B142" s="21"/>
      <c r="C142" s="21"/>
      <c r="E142" s="21"/>
      <c r="F142" s="21"/>
    </row>
    <row r="143" spans="2:6" x14ac:dyDescent="0.35">
      <c r="B143" s="21"/>
      <c r="C143" s="21"/>
      <c r="E143" s="21"/>
      <c r="F143" s="21"/>
    </row>
    <row r="144" spans="2:6" x14ac:dyDescent="0.35">
      <c r="B144" s="21"/>
      <c r="C144" s="21"/>
      <c r="E144" s="21"/>
      <c r="F144" s="21"/>
    </row>
    <row r="145" spans="2:6" x14ac:dyDescent="0.35">
      <c r="B145" s="21"/>
      <c r="C145" s="21"/>
      <c r="E145" s="21"/>
      <c r="F145" s="21"/>
    </row>
    <row r="146" spans="2:6" x14ac:dyDescent="0.35">
      <c r="B146" s="21"/>
      <c r="C146" s="21"/>
      <c r="E146" s="21"/>
      <c r="F146" s="21"/>
    </row>
    <row r="147" spans="2:6" x14ac:dyDescent="0.35">
      <c r="B147" s="21"/>
      <c r="C147" s="21"/>
      <c r="E147" s="21"/>
      <c r="F147" s="21"/>
    </row>
    <row r="148" spans="2:6" x14ac:dyDescent="0.35">
      <c r="B148" s="21"/>
      <c r="C148" s="21"/>
      <c r="E148" s="21"/>
      <c r="F148" s="21"/>
    </row>
    <row r="149" spans="2:6" x14ac:dyDescent="0.35">
      <c r="B149" s="21"/>
      <c r="C149" s="21"/>
      <c r="E149" s="21"/>
      <c r="F149" s="21"/>
    </row>
    <row r="150" spans="2:6" x14ac:dyDescent="0.35">
      <c r="B150" s="21"/>
      <c r="C150" s="21"/>
      <c r="E150" s="21"/>
      <c r="F150" s="21"/>
    </row>
    <row r="151" spans="2:6" x14ac:dyDescent="0.35">
      <c r="B151" s="21"/>
      <c r="C151" s="21"/>
      <c r="E151" s="21"/>
      <c r="F151" s="21"/>
    </row>
    <row r="152" spans="2:6" x14ac:dyDescent="0.35">
      <c r="B152" s="21"/>
      <c r="C152" s="21"/>
      <c r="E152" s="21"/>
      <c r="F152" s="21"/>
    </row>
    <row r="153" spans="2:6" x14ac:dyDescent="0.35">
      <c r="B153" s="21"/>
      <c r="C153" s="21"/>
      <c r="E153" s="21"/>
      <c r="F153" s="21"/>
    </row>
    <row r="154" spans="2:6" x14ac:dyDescent="0.35">
      <c r="B154" s="21"/>
      <c r="C154" s="21"/>
      <c r="E154" s="21"/>
      <c r="F154" s="21"/>
    </row>
    <row r="155" spans="2:6" x14ac:dyDescent="0.35">
      <c r="B155" s="21"/>
      <c r="C155" s="21"/>
      <c r="E155" s="21"/>
      <c r="F155" s="21"/>
    </row>
    <row r="156" spans="2:6" x14ac:dyDescent="0.35">
      <c r="B156" s="21"/>
      <c r="C156" s="21"/>
      <c r="E156" s="21"/>
      <c r="F156" s="21"/>
    </row>
    <row r="157" spans="2:6" x14ac:dyDescent="0.35">
      <c r="B157" s="21"/>
      <c r="C157" s="21"/>
      <c r="E157" s="21"/>
      <c r="F157" s="21"/>
    </row>
    <row r="158" spans="2:6" x14ac:dyDescent="0.35">
      <c r="B158" s="21"/>
      <c r="C158" s="21"/>
      <c r="E158" s="21"/>
      <c r="F158" s="21"/>
    </row>
    <row r="159" spans="2:6" x14ac:dyDescent="0.35">
      <c r="B159" s="21"/>
      <c r="C159" s="21"/>
      <c r="E159" s="21"/>
      <c r="F159" s="21"/>
    </row>
    <row r="160" spans="2:6" x14ac:dyDescent="0.35">
      <c r="B160" s="21"/>
      <c r="C160" s="21"/>
      <c r="E160" s="21"/>
      <c r="F160" s="21"/>
    </row>
    <row r="161" spans="2:6" x14ac:dyDescent="0.35">
      <c r="B161" s="21"/>
      <c r="C161" s="21"/>
      <c r="E161" s="21"/>
      <c r="F161" s="21"/>
    </row>
    <row r="162" spans="2:6" x14ac:dyDescent="0.35">
      <c r="B162" s="21"/>
      <c r="C162" s="21"/>
      <c r="E162" s="21"/>
      <c r="F162" s="21"/>
    </row>
    <row r="163" spans="2:6" x14ac:dyDescent="0.35">
      <c r="B163" s="21"/>
      <c r="C163" s="21"/>
      <c r="E163" s="21"/>
      <c r="F163" s="21"/>
    </row>
    <row r="164" spans="2:6" x14ac:dyDescent="0.35">
      <c r="B164" s="21"/>
      <c r="C164" s="21"/>
      <c r="E164" s="21"/>
      <c r="F164" s="21"/>
    </row>
    <row r="165" spans="2:6" x14ac:dyDescent="0.35">
      <c r="B165" s="21"/>
      <c r="C165" s="21"/>
      <c r="E165" s="21"/>
      <c r="F165" s="21"/>
    </row>
    <row r="166" spans="2:6" x14ac:dyDescent="0.35">
      <c r="B166" s="21"/>
      <c r="C166" s="21"/>
      <c r="E166" s="21"/>
      <c r="F166" s="21"/>
    </row>
    <row r="167" spans="2:6" x14ac:dyDescent="0.35">
      <c r="B167" s="21"/>
      <c r="C167" s="21"/>
      <c r="E167" s="21"/>
      <c r="F167" s="21"/>
    </row>
    <row r="168" spans="2:6" x14ac:dyDescent="0.35">
      <c r="B168" s="21"/>
      <c r="C168" s="21"/>
      <c r="E168" s="21"/>
      <c r="F168" s="21"/>
    </row>
    <row r="169" spans="2:6" x14ac:dyDescent="0.35">
      <c r="B169" s="21"/>
      <c r="C169" s="21"/>
      <c r="E169" s="21"/>
      <c r="F169" s="21"/>
    </row>
    <row r="170" spans="2:6" x14ac:dyDescent="0.35">
      <c r="B170" s="21"/>
      <c r="C170" s="21"/>
      <c r="E170" s="21"/>
      <c r="F170" s="21"/>
    </row>
    <row r="171" spans="2:6" x14ac:dyDescent="0.35">
      <c r="B171" s="21"/>
      <c r="C171" s="21"/>
      <c r="E171" s="21"/>
      <c r="F171" s="21"/>
    </row>
    <row r="172" spans="2:6" x14ac:dyDescent="0.35">
      <c r="B172" s="21"/>
      <c r="C172" s="21"/>
      <c r="E172" s="21"/>
      <c r="F172" s="21"/>
    </row>
    <row r="173" spans="2:6" x14ac:dyDescent="0.35">
      <c r="B173" s="21"/>
      <c r="C173" s="21"/>
      <c r="E173" s="21"/>
      <c r="F173" s="21"/>
    </row>
    <row r="174" spans="2:6" x14ac:dyDescent="0.35">
      <c r="B174" s="21"/>
      <c r="C174" s="21"/>
      <c r="E174" s="21"/>
      <c r="F174" s="21"/>
    </row>
    <row r="175" spans="2:6" x14ac:dyDescent="0.35">
      <c r="B175" s="21"/>
      <c r="C175" s="21"/>
      <c r="E175" s="21"/>
      <c r="F175" s="21"/>
    </row>
    <row r="176" spans="2:6" x14ac:dyDescent="0.35">
      <c r="B176" s="21"/>
      <c r="C176" s="21"/>
      <c r="E176" s="21"/>
      <c r="F176" s="21"/>
    </row>
    <row r="177" spans="2:6" x14ac:dyDescent="0.35">
      <c r="B177" s="21"/>
      <c r="C177" s="21"/>
      <c r="E177" s="21"/>
      <c r="F177" s="21"/>
    </row>
    <row r="178" spans="2:6" x14ac:dyDescent="0.35">
      <c r="B178" s="21"/>
      <c r="C178" s="21"/>
      <c r="E178" s="21"/>
      <c r="F178" s="21"/>
    </row>
    <row r="179" spans="2:6" x14ac:dyDescent="0.35">
      <c r="B179" s="21"/>
      <c r="C179" s="21"/>
      <c r="E179" s="21"/>
      <c r="F179" s="21"/>
    </row>
    <row r="180" spans="2:6" x14ac:dyDescent="0.35">
      <c r="B180" s="21"/>
      <c r="C180" s="21"/>
      <c r="E180" s="21"/>
      <c r="F180" s="21"/>
    </row>
    <row r="181" spans="2:6" x14ac:dyDescent="0.35">
      <c r="B181" s="21"/>
      <c r="C181" s="21"/>
      <c r="E181" s="21"/>
      <c r="F181" s="21"/>
    </row>
    <row r="182" spans="2:6" x14ac:dyDescent="0.35">
      <c r="B182" s="21"/>
      <c r="C182" s="21"/>
      <c r="E182" s="21"/>
      <c r="F182" s="21"/>
    </row>
    <row r="183" spans="2:6" x14ac:dyDescent="0.35">
      <c r="B183" s="21"/>
      <c r="C183" s="21"/>
      <c r="E183" s="21"/>
      <c r="F183" s="21"/>
    </row>
    <row r="184" spans="2:6" x14ac:dyDescent="0.35">
      <c r="B184" s="21"/>
      <c r="C184" s="21"/>
      <c r="E184" s="21"/>
      <c r="F184" s="21"/>
    </row>
    <row r="185" spans="2:6" x14ac:dyDescent="0.35">
      <c r="B185" s="21"/>
      <c r="C185" s="21"/>
      <c r="E185" s="21"/>
      <c r="F185" s="21"/>
    </row>
    <row r="186" spans="2:6" x14ac:dyDescent="0.35">
      <c r="B186" s="21"/>
      <c r="C186" s="21"/>
      <c r="E186" s="21"/>
      <c r="F186" s="21"/>
    </row>
    <row r="187" spans="2:6" x14ac:dyDescent="0.35">
      <c r="B187" s="21"/>
      <c r="C187" s="21"/>
      <c r="E187" s="21"/>
      <c r="F187" s="21"/>
    </row>
    <row r="188" spans="2:6" x14ac:dyDescent="0.35">
      <c r="B188" s="21"/>
      <c r="C188" s="21"/>
      <c r="E188" s="21"/>
      <c r="F188" s="21"/>
    </row>
    <row r="189" spans="2:6" x14ac:dyDescent="0.35">
      <c r="B189" s="21"/>
      <c r="C189" s="21"/>
      <c r="E189" s="21"/>
      <c r="F189" s="21"/>
    </row>
    <row r="190" spans="2:6" x14ac:dyDescent="0.35">
      <c r="B190" s="21"/>
      <c r="C190" s="21"/>
      <c r="E190" s="21"/>
      <c r="F190" s="21"/>
    </row>
    <row r="191" spans="2:6" x14ac:dyDescent="0.35">
      <c r="B191" s="21"/>
      <c r="C191" s="21"/>
      <c r="E191" s="21"/>
      <c r="F191" s="21"/>
    </row>
    <row r="192" spans="2:6" x14ac:dyDescent="0.35">
      <c r="B192" s="21"/>
      <c r="C192" s="21"/>
      <c r="E192" s="21"/>
      <c r="F192" s="21"/>
    </row>
    <row r="193" spans="2:6" x14ac:dyDescent="0.35">
      <c r="B193" s="21"/>
      <c r="C193" s="21"/>
      <c r="E193" s="21"/>
      <c r="F193" s="21"/>
    </row>
    <row r="194" spans="2:6" x14ac:dyDescent="0.35">
      <c r="B194" s="21"/>
      <c r="C194" s="21"/>
      <c r="E194" s="21"/>
      <c r="F194" s="21"/>
    </row>
    <row r="195" spans="2:6" x14ac:dyDescent="0.35">
      <c r="B195" s="21"/>
      <c r="C195" s="21"/>
      <c r="E195" s="21"/>
      <c r="F195" s="21"/>
    </row>
    <row r="196" spans="2:6" x14ac:dyDescent="0.35">
      <c r="B196" s="21"/>
      <c r="C196" s="21"/>
      <c r="E196" s="21"/>
      <c r="F196" s="21"/>
    </row>
    <row r="197" spans="2:6" x14ac:dyDescent="0.35">
      <c r="B197" s="21"/>
      <c r="C197" s="21"/>
      <c r="E197" s="21"/>
      <c r="F197" s="21"/>
    </row>
    <row r="198" spans="2:6" x14ac:dyDescent="0.35">
      <c r="B198" s="21"/>
      <c r="C198" s="21"/>
      <c r="E198" s="21"/>
      <c r="F198" s="21"/>
    </row>
    <row r="199" spans="2:6" x14ac:dyDescent="0.35">
      <c r="B199" s="21"/>
      <c r="C199" s="21"/>
      <c r="E199" s="21"/>
      <c r="F199" s="21"/>
    </row>
    <row r="200" spans="2:6" x14ac:dyDescent="0.35">
      <c r="B200" s="21"/>
      <c r="C200" s="21"/>
      <c r="E200" s="21"/>
      <c r="F200" s="21"/>
    </row>
    <row r="201" spans="2:6" x14ac:dyDescent="0.35">
      <c r="B201" s="21"/>
      <c r="C201" s="21"/>
      <c r="E201" s="21"/>
      <c r="F201" s="21"/>
    </row>
    <row r="202" spans="2:6" x14ac:dyDescent="0.35">
      <c r="B202" s="21"/>
      <c r="C202" s="21"/>
      <c r="E202" s="21"/>
      <c r="F202" s="21"/>
    </row>
    <row r="203" spans="2:6" x14ac:dyDescent="0.35">
      <c r="B203" s="21"/>
      <c r="C203" s="21"/>
      <c r="E203" s="21"/>
      <c r="F203" s="21"/>
    </row>
    <row r="204" spans="2:6" x14ac:dyDescent="0.35">
      <c r="B204" s="21"/>
      <c r="C204" s="21"/>
      <c r="E204" s="21"/>
      <c r="F204" s="21"/>
    </row>
    <row r="205" spans="2:6" x14ac:dyDescent="0.35">
      <c r="B205" s="21"/>
      <c r="C205" s="21"/>
      <c r="E205" s="21"/>
      <c r="F205" s="21"/>
    </row>
    <row r="206" spans="2:6" x14ac:dyDescent="0.35">
      <c r="B206" s="21"/>
      <c r="C206" s="21"/>
      <c r="E206" s="21"/>
      <c r="F206" s="21"/>
    </row>
    <row r="207" spans="2:6" x14ac:dyDescent="0.35">
      <c r="B207" s="21"/>
      <c r="C207" s="21"/>
      <c r="E207" s="21"/>
      <c r="F207" s="21"/>
    </row>
    <row r="208" spans="2:6" x14ac:dyDescent="0.35">
      <c r="B208" s="21"/>
      <c r="C208" s="21"/>
      <c r="E208" s="21"/>
      <c r="F208" s="21"/>
    </row>
    <row r="209" spans="2:6" x14ac:dyDescent="0.35">
      <c r="B209" s="21"/>
      <c r="C209" s="21"/>
      <c r="E209" s="21"/>
      <c r="F209" s="21"/>
    </row>
    <row r="210" spans="2:6" x14ac:dyDescent="0.35">
      <c r="B210" s="21"/>
      <c r="C210" s="21"/>
      <c r="E210" s="21"/>
      <c r="F210" s="21"/>
    </row>
    <row r="211" spans="2:6" x14ac:dyDescent="0.35">
      <c r="B211" s="21"/>
      <c r="C211" s="21"/>
      <c r="E211" s="21"/>
      <c r="F211" s="21"/>
    </row>
    <row r="212" spans="2:6" x14ac:dyDescent="0.35">
      <c r="B212" s="21"/>
      <c r="C212" s="21"/>
      <c r="E212" s="21"/>
      <c r="F212" s="21"/>
    </row>
    <row r="213" spans="2:6" x14ac:dyDescent="0.35">
      <c r="B213" s="21"/>
      <c r="C213" s="21"/>
      <c r="E213" s="21"/>
      <c r="F213" s="21"/>
    </row>
    <row r="214" spans="2:6" x14ac:dyDescent="0.35">
      <c r="B214" s="21"/>
      <c r="C214" s="21"/>
      <c r="E214" s="21"/>
      <c r="F214" s="21"/>
    </row>
    <row r="215" spans="2:6" x14ac:dyDescent="0.35">
      <c r="B215" s="21"/>
      <c r="C215" s="21"/>
      <c r="E215" s="21"/>
      <c r="F215" s="21"/>
    </row>
    <row r="216" spans="2:6" x14ac:dyDescent="0.35">
      <c r="B216" s="21"/>
      <c r="C216" s="21"/>
      <c r="E216" s="21"/>
      <c r="F216" s="21"/>
    </row>
    <row r="217" spans="2:6" x14ac:dyDescent="0.35">
      <c r="B217" s="21"/>
      <c r="C217" s="21"/>
      <c r="E217" s="21"/>
      <c r="F217" s="21"/>
    </row>
    <row r="218" spans="2:6" x14ac:dyDescent="0.35">
      <c r="B218" s="21"/>
      <c r="C218" s="21"/>
      <c r="E218" s="21"/>
      <c r="F218" s="21"/>
    </row>
    <row r="219" spans="2:6" x14ac:dyDescent="0.35">
      <c r="B219" s="21"/>
      <c r="C219" s="21"/>
      <c r="E219" s="21"/>
      <c r="F219" s="21"/>
    </row>
    <row r="220" spans="2:6" x14ac:dyDescent="0.35">
      <c r="B220" s="21"/>
      <c r="C220" s="21"/>
      <c r="E220" s="21"/>
      <c r="F220" s="21"/>
    </row>
    <row r="221" spans="2:6" x14ac:dyDescent="0.35">
      <c r="B221" s="21"/>
      <c r="C221" s="21"/>
      <c r="E221" s="21"/>
      <c r="F221" s="21"/>
    </row>
    <row r="222" spans="2:6" x14ac:dyDescent="0.35">
      <c r="B222" s="21"/>
      <c r="C222" s="21"/>
      <c r="E222" s="21"/>
      <c r="F222" s="21"/>
    </row>
    <row r="223" spans="2:6" x14ac:dyDescent="0.35">
      <c r="B223" s="21"/>
      <c r="C223" s="21"/>
      <c r="E223" s="21"/>
      <c r="F223" s="21"/>
    </row>
    <row r="224" spans="2:6" x14ac:dyDescent="0.35">
      <c r="B224" s="21"/>
      <c r="C224" s="21"/>
      <c r="E224" s="21"/>
      <c r="F224" s="21"/>
    </row>
    <row r="225" spans="2:6" x14ac:dyDescent="0.35">
      <c r="B225" s="21"/>
      <c r="C225" s="21"/>
      <c r="E225" s="21"/>
      <c r="F225" s="21"/>
    </row>
    <row r="226" spans="2:6" x14ac:dyDescent="0.35">
      <c r="B226" s="21"/>
      <c r="C226" s="21"/>
      <c r="E226" s="21"/>
      <c r="F226" s="21"/>
    </row>
    <row r="227" spans="2:6" x14ac:dyDescent="0.35">
      <c r="B227" s="21"/>
      <c r="C227" s="21"/>
      <c r="E227" s="21"/>
      <c r="F227" s="21"/>
    </row>
    <row r="228" spans="2:6" x14ac:dyDescent="0.35">
      <c r="B228" s="21"/>
      <c r="C228" s="21"/>
      <c r="E228" s="21"/>
      <c r="F228" s="21"/>
    </row>
    <row r="229" spans="2:6" x14ac:dyDescent="0.35">
      <c r="B229" s="21"/>
      <c r="C229" s="21"/>
      <c r="E229" s="21"/>
      <c r="F229" s="21"/>
    </row>
    <row r="230" spans="2:6" x14ac:dyDescent="0.35">
      <c r="B230" s="21"/>
      <c r="C230" s="21"/>
      <c r="E230" s="21"/>
      <c r="F230" s="21"/>
    </row>
    <row r="231" spans="2:6" x14ac:dyDescent="0.35">
      <c r="B231" s="21"/>
      <c r="C231" s="21"/>
      <c r="E231" s="21"/>
      <c r="F231" s="21"/>
    </row>
    <row r="232" spans="2:6" x14ac:dyDescent="0.35">
      <c r="B232" s="21"/>
      <c r="C232" s="21"/>
      <c r="E232" s="21"/>
      <c r="F232" s="21"/>
    </row>
    <row r="233" spans="2:6" x14ac:dyDescent="0.35">
      <c r="B233" s="21"/>
      <c r="C233" s="21"/>
      <c r="E233" s="21"/>
      <c r="F233" s="21"/>
    </row>
    <row r="234" spans="2:6" x14ac:dyDescent="0.35">
      <c r="B234" s="21"/>
      <c r="C234" s="21"/>
      <c r="E234" s="21"/>
      <c r="F234" s="21"/>
    </row>
    <row r="235" spans="2:6" x14ac:dyDescent="0.35">
      <c r="B235" s="21"/>
      <c r="C235" s="21"/>
      <c r="E235" s="21"/>
      <c r="F235" s="21"/>
    </row>
    <row r="236" spans="2:6" x14ac:dyDescent="0.35">
      <c r="B236" s="21"/>
      <c r="C236" s="21"/>
      <c r="E236" s="21"/>
      <c r="F236" s="21"/>
    </row>
    <row r="237" spans="2:6" x14ac:dyDescent="0.35">
      <c r="B237" s="21"/>
      <c r="C237" s="21"/>
      <c r="E237" s="21"/>
      <c r="F237" s="21"/>
    </row>
    <row r="238" spans="2:6" x14ac:dyDescent="0.35">
      <c r="B238" s="21"/>
      <c r="C238" s="21"/>
      <c r="E238" s="21"/>
      <c r="F238" s="21"/>
    </row>
    <row r="239" spans="2:6" x14ac:dyDescent="0.35">
      <c r="B239" s="21"/>
      <c r="C239" s="21"/>
      <c r="E239" s="21"/>
      <c r="F239" s="21"/>
    </row>
    <row r="240" spans="2:6" x14ac:dyDescent="0.35">
      <c r="B240" s="21"/>
      <c r="C240" s="21"/>
      <c r="E240" s="21"/>
      <c r="F240" s="21"/>
    </row>
    <row r="241" spans="2:6" x14ac:dyDescent="0.35">
      <c r="B241" s="21"/>
      <c r="C241" s="21"/>
      <c r="E241" s="21"/>
      <c r="F241" s="21"/>
    </row>
    <row r="242" spans="2:6" x14ac:dyDescent="0.35">
      <c r="B242" s="21"/>
      <c r="C242" s="21"/>
      <c r="E242" s="21"/>
      <c r="F242" s="21"/>
    </row>
    <row r="243" spans="2:6" x14ac:dyDescent="0.35">
      <c r="B243" s="21"/>
      <c r="C243" s="21"/>
      <c r="E243" s="21"/>
      <c r="F243" s="21"/>
    </row>
    <row r="244" spans="2:6" x14ac:dyDescent="0.35">
      <c r="B244" s="21"/>
      <c r="C244" s="21"/>
      <c r="E244" s="21"/>
      <c r="F244" s="21"/>
    </row>
    <row r="245" spans="2:6" x14ac:dyDescent="0.35">
      <c r="B245" s="21"/>
      <c r="C245" s="21"/>
      <c r="E245" s="21"/>
      <c r="F245" s="21"/>
    </row>
    <row r="246" spans="2:6" x14ac:dyDescent="0.35">
      <c r="B246" s="21"/>
      <c r="C246" s="21"/>
      <c r="E246" s="21"/>
      <c r="F246" s="21"/>
    </row>
    <row r="247" spans="2:6" x14ac:dyDescent="0.35">
      <c r="B247" s="21"/>
      <c r="C247" s="21"/>
      <c r="E247" s="21"/>
      <c r="F247" s="21"/>
    </row>
    <row r="248" spans="2:6" x14ac:dyDescent="0.35">
      <c r="B248" s="21"/>
      <c r="C248" s="21"/>
      <c r="E248" s="21"/>
      <c r="F248" s="21"/>
    </row>
    <row r="249" spans="2:6" x14ac:dyDescent="0.35">
      <c r="B249" s="21"/>
      <c r="C249" s="21"/>
      <c r="E249" s="21"/>
      <c r="F249" s="21"/>
    </row>
    <row r="250" spans="2:6" x14ac:dyDescent="0.35">
      <c r="B250" s="21"/>
      <c r="C250" s="21"/>
      <c r="E250" s="21"/>
      <c r="F250" s="21"/>
    </row>
    <row r="251" spans="2:6" x14ac:dyDescent="0.35">
      <c r="B251" s="21"/>
      <c r="C251" s="21"/>
      <c r="E251" s="21"/>
      <c r="F251" s="21"/>
    </row>
    <row r="252" spans="2:6" x14ac:dyDescent="0.35">
      <c r="B252" s="21"/>
      <c r="C252" s="21"/>
      <c r="E252" s="21"/>
      <c r="F252" s="21"/>
    </row>
    <row r="253" spans="2:6" x14ac:dyDescent="0.35">
      <c r="B253" s="21"/>
      <c r="C253" s="21"/>
      <c r="E253" s="21"/>
      <c r="F253" s="21"/>
    </row>
    <row r="254" spans="2:6" x14ac:dyDescent="0.35">
      <c r="B254" s="21"/>
      <c r="C254" s="21"/>
      <c r="E254" s="21"/>
      <c r="F254" s="21"/>
    </row>
    <row r="255" spans="2:6" x14ac:dyDescent="0.35">
      <c r="B255" s="21"/>
      <c r="C255" s="21"/>
      <c r="E255" s="21"/>
      <c r="F255" s="21"/>
    </row>
    <row r="256" spans="2:6" x14ac:dyDescent="0.35">
      <c r="B256" s="21"/>
      <c r="C256" s="21"/>
      <c r="E256" s="21"/>
      <c r="F256" s="21"/>
    </row>
    <row r="257" spans="2:6" x14ac:dyDescent="0.35">
      <c r="B257" s="21"/>
      <c r="C257" s="21"/>
      <c r="E257" s="21"/>
      <c r="F257" s="21"/>
    </row>
    <row r="258" spans="2:6" x14ac:dyDescent="0.35">
      <c r="B258" s="21"/>
      <c r="C258" s="21"/>
      <c r="E258" s="21"/>
      <c r="F258" s="21"/>
    </row>
    <row r="259" spans="2:6" x14ac:dyDescent="0.35">
      <c r="B259" s="21"/>
      <c r="C259" s="21"/>
      <c r="E259" s="21"/>
      <c r="F259" s="21"/>
    </row>
    <row r="260" spans="2:6" x14ac:dyDescent="0.35">
      <c r="B260" s="21"/>
      <c r="C260" s="21"/>
      <c r="E260" s="21"/>
      <c r="F260" s="21"/>
    </row>
    <row r="261" spans="2:6" x14ac:dyDescent="0.35">
      <c r="B261" s="21"/>
      <c r="C261" s="21"/>
      <c r="E261" s="21"/>
      <c r="F261" s="21"/>
    </row>
    <row r="262" spans="2:6" x14ac:dyDescent="0.35">
      <c r="B262" s="21"/>
      <c r="C262" s="21"/>
      <c r="E262" s="21"/>
      <c r="F262" s="21"/>
    </row>
    <row r="263" spans="2:6" x14ac:dyDescent="0.35">
      <c r="B263" s="21"/>
      <c r="C263" s="21"/>
      <c r="E263" s="21"/>
      <c r="F263" s="21"/>
    </row>
    <row r="264" spans="2:6" x14ac:dyDescent="0.35">
      <c r="B264" s="21"/>
      <c r="C264" s="21"/>
      <c r="E264" s="21"/>
      <c r="F264" s="21"/>
    </row>
    <row r="265" spans="2:6" x14ac:dyDescent="0.35">
      <c r="B265" s="21"/>
      <c r="C265" s="21"/>
      <c r="E265" s="21"/>
      <c r="F265" s="21"/>
    </row>
    <row r="266" spans="2:6" x14ac:dyDescent="0.35">
      <c r="B266" s="21"/>
      <c r="C266" s="21"/>
      <c r="E266" s="21"/>
      <c r="F266" s="21"/>
    </row>
    <row r="267" spans="2:6" x14ac:dyDescent="0.35">
      <c r="B267" s="21"/>
      <c r="C267" s="21"/>
      <c r="E267" s="21"/>
      <c r="F267" s="21"/>
    </row>
    <row r="268" spans="2:6" x14ac:dyDescent="0.35">
      <c r="B268" s="21"/>
      <c r="C268" s="21"/>
      <c r="E268" s="21"/>
      <c r="F268" s="21"/>
    </row>
    <row r="269" spans="2:6" x14ac:dyDescent="0.35">
      <c r="B269" s="21"/>
      <c r="C269" s="21"/>
      <c r="E269" s="21"/>
      <c r="F269" s="21"/>
    </row>
    <row r="270" spans="2:6" x14ac:dyDescent="0.35">
      <c r="B270" s="21"/>
      <c r="C270" s="21"/>
      <c r="E270" s="21"/>
      <c r="F270" s="21"/>
    </row>
    <row r="271" spans="2:6" x14ac:dyDescent="0.35">
      <c r="B271" s="21"/>
      <c r="C271" s="21"/>
      <c r="E271" s="21"/>
      <c r="F271" s="21"/>
    </row>
    <row r="272" spans="2:6" x14ac:dyDescent="0.35">
      <c r="B272" s="21"/>
      <c r="C272" s="21"/>
      <c r="E272" s="21"/>
      <c r="F272" s="21"/>
    </row>
    <row r="273" spans="2:6" x14ac:dyDescent="0.35">
      <c r="B273" s="21"/>
      <c r="C273" s="21"/>
      <c r="E273" s="21"/>
      <c r="F273" s="21"/>
    </row>
    <row r="274" spans="2:6" x14ac:dyDescent="0.35">
      <c r="B274" s="21"/>
      <c r="C274" s="21"/>
      <c r="E274" s="21"/>
      <c r="F274" s="21"/>
    </row>
    <row r="275" spans="2:6" x14ac:dyDescent="0.35">
      <c r="B275" s="21"/>
      <c r="C275" s="21"/>
      <c r="E275" s="21"/>
      <c r="F275" s="21"/>
    </row>
    <row r="276" spans="2:6" x14ac:dyDescent="0.35">
      <c r="B276" s="21"/>
      <c r="C276" s="21"/>
      <c r="E276" s="21"/>
      <c r="F276" s="21"/>
    </row>
    <row r="277" spans="2:6" x14ac:dyDescent="0.35">
      <c r="B277" s="21"/>
      <c r="C277" s="21"/>
      <c r="E277" s="21"/>
      <c r="F277" s="21"/>
    </row>
    <row r="278" spans="2:6" x14ac:dyDescent="0.35">
      <c r="B278" s="21"/>
      <c r="C278" s="21"/>
      <c r="E278" s="21"/>
      <c r="F278" s="21"/>
    </row>
    <row r="279" spans="2:6" x14ac:dyDescent="0.35">
      <c r="B279" s="21"/>
      <c r="C279" s="21"/>
      <c r="E279" s="21"/>
      <c r="F279" s="21"/>
    </row>
    <row r="280" spans="2:6" x14ac:dyDescent="0.35">
      <c r="B280" s="21"/>
      <c r="C280" s="21"/>
      <c r="E280" s="21"/>
      <c r="F280" s="21"/>
    </row>
    <row r="281" spans="2:6" x14ac:dyDescent="0.35">
      <c r="B281" s="21"/>
      <c r="C281" s="21"/>
      <c r="E281" s="21"/>
      <c r="F281" s="21"/>
    </row>
    <row r="282" spans="2:6" x14ac:dyDescent="0.35">
      <c r="B282" s="21"/>
      <c r="C282" s="21"/>
      <c r="E282" s="21"/>
      <c r="F282" s="21"/>
    </row>
    <row r="283" spans="2:6" x14ac:dyDescent="0.35">
      <c r="B283" s="21"/>
      <c r="C283" s="21"/>
      <c r="E283" s="21"/>
      <c r="F283" s="21"/>
    </row>
    <row r="284" spans="2:6" x14ac:dyDescent="0.35">
      <c r="B284" s="21"/>
      <c r="C284" s="21"/>
      <c r="E284" s="21"/>
      <c r="F284" s="21"/>
    </row>
    <row r="285" spans="2:6" x14ac:dyDescent="0.35">
      <c r="B285" s="21"/>
      <c r="C285" s="21"/>
      <c r="E285" s="21"/>
      <c r="F285" s="21"/>
    </row>
    <row r="286" spans="2:6" x14ac:dyDescent="0.35">
      <c r="B286" s="21"/>
      <c r="C286" s="21"/>
      <c r="E286" s="21"/>
      <c r="F286" s="21"/>
    </row>
    <row r="287" spans="2:6" x14ac:dyDescent="0.35">
      <c r="B287" s="21"/>
      <c r="C287" s="21"/>
      <c r="E287" s="21"/>
      <c r="F287" s="21"/>
    </row>
    <row r="288" spans="2:6" x14ac:dyDescent="0.35">
      <c r="B288" s="21"/>
      <c r="C288" s="21"/>
      <c r="E288" s="21"/>
      <c r="F288" s="21"/>
    </row>
    <row r="289" spans="2:6" x14ac:dyDescent="0.35">
      <c r="B289" s="21"/>
      <c r="C289" s="21"/>
      <c r="E289" s="21"/>
      <c r="F289" s="21"/>
    </row>
    <row r="290" spans="2:6" x14ac:dyDescent="0.35">
      <c r="B290" s="21"/>
      <c r="C290" s="21"/>
      <c r="E290" s="21"/>
      <c r="F290" s="21"/>
    </row>
    <row r="291" spans="2:6" x14ac:dyDescent="0.35">
      <c r="B291" s="21"/>
      <c r="C291" s="21"/>
      <c r="E291" s="21"/>
      <c r="F291" s="21"/>
    </row>
    <row r="292" spans="2:6" x14ac:dyDescent="0.35">
      <c r="B292" s="21"/>
      <c r="C292" s="21"/>
      <c r="E292" s="21"/>
      <c r="F292" s="21"/>
    </row>
    <row r="293" spans="2:6" x14ac:dyDescent="0.35">
      <c r="B293" s="21"/>
      <c r="C293" s="21"/>
      <c r="E293" s="21"/>
      <c r="F293" s="21"/>
    </row>
    <row r="294" spans="2:6" x14ac:dyDescent="0.35">
      <c r="B294" s="21"/>
      <c r="C294" s="21"/>
      <c r="E294" s="21"/>
      <c r="F294" s="21"/>
    </row>
    <row r="295" spans="2:6" x14ac:dyDescent="0.35">
      <c r="B295" s="21"/>
      <c r="C295" s="21"/>
      <c r="E295" s="21"/>
      <c r="F295" s="21"/>
    </row>
    <row r="296" spans="2:6" x14ac:dyDescent="0.35">
      <c r="B296" s="21"/>
      <c r="C296" s="21"/>
      <c r="E296" s="21"/>
      <c r="F296" s="21"/>
    </row>
    <row r="297" spans="2:6" x14ac:dyDescent="0.35">
      <c r="B297" s="21"/>
      <c r="C297" s="21"/>
      <c r="E297" s="21"/>
      <c r="F297" s="21"/>
    </row>
    <row r="298" spans="2:6" x14ac:dyDescent="0.35">
      <c r="B298" s="21"/>
      <c r="C298" s="21"/>
      <c r="E298" s="21"/>
      <c r="F298" s="21"/>
    </row>
    <row r="299" spans="2:6" x14ac:dyDescent="0.35">
      <c r="B299" s="66"/>
      <c r="C299" s="67"/>
      <c r="E299" s="66"/>
      <c r="F299" s="67"/>
    </row>
    <row r="300" spans="2:6" x14ac:dyDescent="0.35">
      <c r="B300" s="64"/>
      <c r="C300" s="65"/>
      <c r="E300" s="64"/>
      <c r="F300" s="65"/>
    </row>
    <row r="301" spans="2:6" x14ac:dyDescent="0.35">
      <c r="B301" s="64"/>
      <c r="C301" s="65"/>
      <c r="E301" s="64"/>
      <c r="F301" s="65"/>
    </row>
    <row r="302" spans="2:6" x14ac:dyDescent="0.35">
      <c r="B302" s="68"/>
      <c r="C302" s="69"/>
      <c r="E302" s="68"/>
      <c r="F302" s="69"/>
    </row>
    <row r="303" spans="2:6" x14ac:dyDescent="0.35">
      <c r="B303" s="68"/>
      <c r="C303" s="69"/>
      <c r="E303" s="68"/>
      <c r="F303" s="69"/>
    </row>
  </sheetData>
  <mergeCells count="37">
    <mergeCell ref="G4:G7"/>
    <mergeCell ref="E67:F67"/>
    <mergeCell ref="E68:F68"/>
    <mergeCell ref="E73:E76"/>
    <mergeCell ref="F73:F76"/>
    <mergeCell ref="E35:F35"/>
    <mergeCell ref="E40:E43"/>
    <mergeCell ref="F40:F43"/>
    <mergeCell ref="E45:F45"/>
    <mergeCell ref="E46:F65"/>
    <mergeCell ref="E78:F78"/>
    <mergeCell ref="E79:F98"/>
    <mergeCell ref="B68:C68"/>
    <mergeCell ref="B73:B76"/>
    <mergeCell ref="C73:C76"/>
    <mergeCell ref="B78:C78"/>
    <mergeCell ref="B79:C98"/>
    <mergeCell ref="B67:C67"/>
    <mergeCell ref="B7:B10"/>
    <mergeCell ref="C7:C10"/>
    <mergeCell ref="E7:E10"/>
    <mergeCell ref="F7:F10"/>
    <mergeCell ref="E34:F34"/>
    <mergeCell ref="E13:F32"/>
    <mergeCell ref="B13:C32"/>
    <mergeCell ref="B34:C34"/>
    <mergeCell ref="B35:C35"/>
    <mergeCell ref="B40:B43"/>
    <mergeCell ref="C40:C43"/>
    <mergeCell ref="B45:C45"/>
    <mergeCell ref="B46:C65"/>
    <mergeCell ref="E1:F1"/>
    <mergeCell ref="E2:F2"/>
    <mergeCell ref="E12:F12"/>
    <mergeCell ref="B1:C1"/>
    <mergeCell ref="B2:C2"/>
    <mergeCell ref="B12:C12"/>
  </mergeCells>
  <hyperlinks>
    <hyperlink ref="C5" r:id="rId1" xr:uid="{5B8283C0-E626-4D9E-9EE2-9638EF7A15B4}"/>
    <hyperlink ref="F7" r:id="rId2" xr:uid="{C1E81B7E-44AB-454D-8C9E-60C1003BDB79}"/>
    <hyperlink ref="C7" r:id="rId3" xr:uid="{D5C7EC4E-7911-4B7B-A39B-E5A129AB0233}"/>
    <hyperlink ref="C38" r:id="rId4" display="www.etinaude.tk" xr:uid="{356DC18A-93E7-4441-926E-36A6CAFD8781}"/>
    <hyperlink ref="C71" r:id="rId5" xr:uid="{95D03EE8-EBC9-4625-A471-061354E47A87}"/>
    <hyperlink ref="C73" r:id="rId6" xr:uid="{422DAE49-C8C7-4A25-BBBD-5F5B6A422821}"/>
    <hyperlink ref="F73" r:id="rId7" xr:uid="{88CD6209-B84B-42FD-88DB-E5E242E04D18}"/>
  </hyperlinks>
  <pageMargins left="0.7" right="0.7" top="0.75" bottom="0.75" header="0.3" footer="0.3"/>
  <drawing r:id="rId8"/>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A2793-8644-4093-A138-D997E5D309C7}">
  <sheetPr codeName="Sheet3"/>
  <dimension ref="A1:P298"/>
  <sheetViews>
    <sheetView tabSelected="1" workbookViewId="0">
      <selection activeCell="C15" sqref="C15"/>
    </sheetView>
  </sheetViews>
  <sheetFormatPr defaultColWidth="0" defaultRowHeight="14.5" x14ac:dyDescent="0.35"/>
  <cols>
    <col min="1" max="1" width="2.81640625" style="21" customWidth="1"/>
    <col min="2" max="2" width="20" style="3" customWidth="1"/>
    <col min="3" max="3" width="21.453125" style="42" customWidth="1"/>
    <col min="4" max="4" width="2.81640625" style="21" customWidth="1"/>
    <col min="5" max="5" width="20" style="3" customWidth="1"/>
    <col min="6" max="6" width="21.453125" style="42" customWidth="1"/>
    <col min="7" max="7" width="2.81640625" style="21" customWidth="1"/>
    <col min="8" max="8" width="20" style="3" customWidth="1"/>
    <col min="9" max="9" width="21.453125" style="42" customWidth="1"/>
    <col min="10" max="10" width="2.81640625" style="21" customWidth="1"/>
    <col min="11" max="11" width="20" style="3" customWidth="1"/>
    <col min="12" max="12" width="21.453125" style="42" customWidth="1"/>
    <col min="13" max="13" width="2.81640625" style="21" customWidth="1"/>
    <col min="14" max="14" width="20" style="3" customWidth="1"/>
    <col min="15" max="15" width="21.453125" style="42" customWidth="1"/>
    <col min="16" max="16" width="2.81640625" style="21" customWidth="1"/>
    <col min="17" max="17" width="0" style="3" hidden="1" customWidth="1"/>
    <col min="18" max="16384" width="0" style="3" hidden="1"/>
  </cols>
  <sheetData>
    <row r="1" spans="2:15" ht="30.75" customHeight="1" x14ac:dyDescent="0.35">
      <c r="B1" s="120">
        <v>1</v>
      </c>
      <c r="C1" s="120"/>
      <c r="E1" s="120">
        <v>2</v>
      </c>
      <c r="F1" s="120"/>
      <c r="H1" s="120">
        <v>3</v>
      </c>
      <c r="I1" s="120"/>
      <c r="K1" s="120">
        <v>4</v>
      </c>
      <c r="L1" s="120"/>
      <c r="N1" s="120">
        <v>5</v>
      </c>
      <c r="O1" s="120"/>
    </row>
    <row r="2" spans="2:15" x14ac:dyDescent="0.35">
      <c r="B2" s="91" t="s">
        <v>3</v>
      </c>
      <c r="C2" s="93"/>
      <c r="E2" s="91" t="s">
        <v>3</v>
      </c>
      <c r="F2" s="93"/>
      <c r="H2" s="91" t="s">
        <v>3</v>
      </c>
      <c r="I2" s="93"/>
      <c r="K2" s="91" t="s">
        <v>3</v>
      </c>
      <c r="L2" s="93"/>
      <c r="N2" s="91" t="s">
        <v>3</v>
      </c>
      <c r="O2" s="93"/>
    </row>
    <row r="3" spans="2:15" x14ac:dyDescent="0.35">
      <c r="B3" s="26" t="s">
        <v>4</v>
      </c>
      <c r="C3" s="32"/>
      <c r="E3" s="26" t="s">
        <v>4</v>
      </c>
      <c r="F3" s="32"/>
      <c r="H3" s="26" t="s">
        <v>4</v>
      </c>
      <c r="I3" s="32"/>
      <c r="K3" s="26" t="s">
        <v>4</v>
      </c>
      <c r="L3" s="32">
        <v>1</v>
      </c>
      <c r="N3" s="26" t="s">
        <v>4</v>
      </c>
      <c r="O3" s="32"/>
    </row>
    <row r="4" spans="2:15" x14ac:dyDescent="0.35">
      <c r="B4" s="27" t="s">
        <v>5</v>
      </c>
      <c r="C4" s="33"/>
      <c r="E4" s="27" t="s">
        <v>5</v>
      </c>
      <c r="F4" s="33"/>
      <c r="H4" s="27" t="s">
        <v>5</v>
      </c>
      <c r="I4" s="33"/>
      <c r="K4" s="27" t="s">
        <v>5</v>
      </c>
      <c r="L4" s="33">
        <v>2</v>
      </c>
      <c r="N4" s="27" t="s">
        <v>5</v>
      </c>
      <c r="O4" s="33"/>
    </row>
    <row r="5" spans="2:15" x14ac:dyDescent="0.35">
      <c r="B5" s="28" t="s">
        <v>6</v>
      </c>
      <c r="C5" s="34"/>
      <c r="E5" s="28" t="s">
        <v>6</v>
      </c>
      <c r="F5" s="34"/>
      <c r="H5" s="28" t="s">
        <v>6</v>
      </c>
      <c r="I5" s="34"/>
      <c r="K5" s="28" t="s">
        <v>6</v>
      </c>
      <c r="L5" s="34" t="s">
        <v>603</v>
      </c>
      <c r="N5" s="28" t="s">
        <v>6</v>
      </c>
      <c r="O5" s="34"/>
    </row>
    <row r="6" spans="2:15" x14ac:dyDescent="0.35">
      <c r="B6" s="27" t="s">
        <v>7</v>
      </c>
      <c r="C6" s="33"/>
      <c r="E6" s="27" t="s">
        <v>7</v>
      </c>
      <c r="F6" s="33"/>
      <c r="H6" s="27" t="s">
        <v>7</v>
      </c>
      <c r="I6" s="33"/>
      <c r="K6" s="27" t="s">
        <v>7</v>
      </c>
      <c r="L6" s="33" t="s">
        <v>604</v>
      </c>
      <c r="N6" s="27" t="s">
        <v>7</v>
      </c>
      <c r="O6" s="33"/>
    </row>
    <row r="7" spans="2:15" x14ac:dyDescent="0.35">
      <c r="B7" s="28" t="s">
        <v>10</v>
      </c>
      <c r="C7" s="34"/>
      <c r="E7" s="28" t="s">
        <v>10</v>
      </c>
      <c r="F7" s="34"/>
      <c r="H7" s="28" t="s">
        <v>10</v>
      </c>
      <c r="I7" s="34"/>
      <c r="K7" s="28" t="s">
        <v>10</v>
      </c>
      <c r="L7" s="34" t="s">
        <v>605</v>
      </c>
      <c r="N7" s="28" t="s">
        <v>10</v>
      </c>
      <c r="O7" s="34"/>
    </row>
    <row r="8" spans="2:15" x14ac:dyDescent="0.35">
      <c r="B8" s="27" t="s">
        <v>13</v>
      </c>
      <c r="C8" s="35"/>
      <c r="E8" s="27" t="s">
        <v>13</v>
      </c>
      <c r="F8" s="35"/>
      <c r="H8" s="27" t="s">
        <v>13</v>
      </c>
      <c r="I8" s="35"/>
      <c r="K8" s="27" t="s">
        <v>13</v>
      </c>
      <c r="L8" s="35" t="s">
        <v>606</v>
      </c>
      <c r="N8" s="27" t="s">
        <v>13</v>
      </c>
      <c r="O8" s="35"/>
    </row>
    <row r="9" spans="2:15" x14ac:dyDescent="0.35">
      <c r="B9" s="29" t="s">
        <v>14</v>
      </c>
      <c r="C9" s="36"/>
      <c r="E9" s="29" t="s">
        <v>14</v>
      </c>
      <c r="F9" s="36"/>
      <c r="H9" s="29" t="s">
        <v>14</v>
      </c>
      <c r="I9" s="36"/>
      <c r="K9" s="29" t="s">
        <v>14</v>
      </c>
      <c r="L9" s="36" t="s">
        <v>607</v>
      </c>
      <c r="N9" s="29" t="s">
        <v>14</v>
      </c>
      <c r="O9" s="36"/>
    </row>
    <row r="10" spans="2:15" x14ac:dyDescent="0.35">
      <c r="B10" s="31"/>
      <c r="C10" s="37"/>
      <c r="E10" s="31"/>
      <c r="F10" s="37"/>
      <c r="H10" s="31"/>
      <c r="I10" s="37"/>
      <c r="K10" s="31"/>
      <c r="L10" s="37"/>
      <c r="N10" s="31"/>
      <c r="O10" s="37"/>
    </row>
    <row r="11" spans="2:15" x14ac:dyDescent="0.35">
      <c r="B11" s="112" t="s">
        <v>5</v>
      </c>
      <c r="C11" s="114"/>
      <c r="E11" s="112" t="s">
        <v>5</v>
      </c>
      <c r="F11" s="114"/>
      <c r="H11" s="112" t="s">
        <v>5</v>
      </c>
      <c r="I11" s="114"/>
      <c r="K11" s="112" t="s">
        <v>5</v>
      </c>
      <c r="L11" s="114"/>
      <c r="N11" s="112" t="s">
        <v>5</v>
      </c>
      <c r="O11" s="114"/>
    </row>
    <row r="12" spans="2:15" x14ac:dyDescent="0.35">
      <c r="B12" s="26" t="s">
        <v>15</v>
      </c>
      <c r="C12" s="32"/>
      <c r="E12" s="26" t="s">
        <v>15</v>
      </c>
      <c r="F12" s="32"/>
      <c r="H12" s="26" t="s">
        <v>15</v>
      </c>
      <c r="I12" s="32"/>
      <c r="K12" s="26" t="s">
        <v>15</v>
      </c>
      <c r="L12" s="32"/>
      <c r="N12" s="26" t="s">
        <v>15</v>
      </c>
      <c r="O12" s="32"/>
    </row>
    <row r="13" spans="2:15" x14ac:dyDescent="0.35">
      <c r="B13" s="27" t="s">
        <v>16</v>
      </c>
      <c r="C13" s="33"/>
      <c r="E13" s="27" t="s">
        <v>16</v>
      </c>
      <c r="F13" s="33"/>
      <c r="H13" s="27" t="s">
        <v>16</v>
      </c>
      <c r="I13" s="33"/>
      <c r="K13" s="27" t="s">
        <v>16</v>
      </c>
      <c r="L13" s="33"/>
      <c r="N13" s="27" t="s">
        <v>16</v>
      </c>
      <c r="O13" s="33"/>
    </row>
    <row r="14" spans="2:15" x14ac:dyDescent="0.35">
      <c r="B14" s="28" t="s">
        <v>17</v>
      </c>
      <c r="C14" s="34"/>
      <c r="E14" s="28" t="s">
        <v>17</v>
      </c>
      <c r="F14" s="34"/>
      <c r="H14" s="28" t="s">
        <v>17</v>
      </c>
      <c r="I14" s="34"/>
      <c r="K14" s="28" t="s">
        <v>17</v>
      </c>
      <c r="L14" s="34"/>
      <c r="N14" s="28" t="s">
        <v>17</v>
      </c>
      <c r="O14" s="34"/>
    </row>
    <row r="15" spans="2:15" x14ac:dyDescent="0.35">
      <c r="B15" s="27" t="s">
        <v>18</v>
      </c>
      <c r="C15" s="33"/>
      <c r="E15" s="27" t="s">
        <v>18</v>
      </c>
      <c r="F15" s="33"/>
      <c r="H15" s="27" t="s">
        <v>18</v>
      </c>
      <c r="I15" s="33"/>
      <c r="K15" s="27" t="s">
        <v>18</v>
      </c>
      <c r="L15" s="33"/>
      <c r="N15" s="27" t="s">
        <v>18</v>
      </c>
      <c r="O15" s="33"/>
    </row>
    <row r="16" spans="2:15" x14ac:dyDescent="0.35">
      <c r="B16" s="28" t="s">
        <v>19</v>
      </c>
      <c r="C16" s="34"/>
      <c r="E16" s="28" t="s">
        <v>19</v>
      </c>
      <c r="F16" s="34"/>
      <c r="H16" s="28" t="s">
        <v>19</v>
      </c>
      <c r="I16" s="34"/>
      <c r="K16" s="28" t="s">
        <v>19</v>
      </c>
      <c r="L16" s="34"/>
      <c r="N16" s="28" t="s">
        <v>19</v>
      </c>
      <c r="O16" s="34"/>
    </row>
    <row r="17" spans="2:15" x14ac:dyDescent="0.35">
      <c r="B17" s="27" t="s">
        <v>21</v>
      </c>
      <c r="C17" s="35"/>
      <c r="E17" s="27" t="s">
        <v>21</v>
      </c>
      <c r="F17" s="35"/>
      <c r="H17" s="27" t="s">
        <v>21</v>
      </c>
      <c r="I17" s="35"/>
      <c r="K17" s="27" t="s">
        <v>21</v>
      </c>
      <c r="L17" s="35"/>
      <c r="N17" s="27" t="s">
        <v>21</v>
      </c>
      <c r="O17" s="35"/>
    </row>
    <row r="18" spans="2:15" x14ac:dyDescent="0.35">
      <c r="B18" s="28" t="s">
        <v>22</v>
      </c>
      <c r="C18" s="34"/>
      <c r="E18" s="28" t="s">
        <v>22</v>
      </c>
      <c r="F18" s="34"/>
      <c r="H18" s="28" t="s">
        <v>22</v>
      </c>
      <c r="I18" s="34"/>
      <c r="K18" s="28" t="s">
        <v>22</v>
      </c>
      <c r="L18" s="34"/>
      <c r="N18" s="28" t="s">
        <v>22</v>
      </c>
      <c r="O18" s="34"/>
    </row>
    <row r="19" spans="2:15" x14ac:dyDescent="0.35">
      <c r="B19" s="30" t="s">
        <v>23</v>
      </c>
      <c r="C19" s="38"/>
      <c r="E19" s="30" t="s">
        <v>23</v>
      </c>
      <c r="F19" s="38"/>
      <c r="H19" s="30" t="s">
        <v>23</v>
      </c>
      <c r="I19" s="38"/>
      <c r="K19" s="30" t="s">
        <v>23</v>
      </c>
      <c r="L19" s="38"/>
      <c r="N19" s="30" t="s">
        <v>23</v>
      </c>
      <c r="O19" s="38"/>
    </row>
    <row r="20" spans="2:15" x14ac:dyDescent="0.35">
      <c r="B20" s="31"/>
      <c r="C20" s="37"/>
      <c r="E20" s="31"/>
      <c r="F20" s="37"/>
      <c r="H20" s="31"/>
      <c r="I20" s="37"/>
      <c r="K20" s="31"/>
      <c r="L20" s="37"/>
      <c r="N20" s="31"/>
      <c r="O20" s="37"/>
    </row>
    <row r="21" spans="2:15" x14ac:dyDescent="0.35">
      <c r="B21" s="112" t="s">
        <v>24</v>
      </c>
      <c r="C21" s="114"/>
      <c r="E21" s="112" t="s">
        <v>24</v>
      </c>
      <c r="F21" s="114"/>
      <c r="H21" s="112" t="s">
        <v>24</v>
      </c>
      <c r="I21" s="114"/>
      <c r="K21" s="112" t="s">
        <v>24</v>
      </c>
      <c r="L21" s="114"/>
      <c r="N21" s="112" t="s">
        <v>24</v>
      </c>
      <c r="O21" s="114"/>
    </row>
    <row r="22" spans="2:15" x14ac:dyDescent="0.35">
      <c r="B22" s="173"/>
      <c r="C22" s="174"/>
      <c r="E22" s="173"/>
      <c r="F22" s="174"/>
      <c r="H22" s="173"/>
      <c r="I22" s="174"/>
      <c r="K22" s="173"/>
      <c r="L22" s="174"/>
      <c r="N22" s="173"/>
      <c r="O22" s="174"/>
    </row>
    <row r="23" spans="2:15" x14ac:dyDescent="0.35">
      <c r="B23" s="146"/>
      <c r="C23" s="148"/>
      <c r="E23" s="146"/>
      <c r="F23" s="148"/>
      <c r="H23" s="146"/>
      <c r="I23" s="148"/>
      <c r="K23" s="146"/>
      <c r="L23" s="148"/>
      <c r="N23" s="146"/>
      <c r="O23" s="148"/>
    </row>
    <row r="24" spans="2:15" x14ac:dyDescent="0.35">
      <c r="B24" s="143"/>
      <c r="C24" s="145"/>
      <c r="E24" s="143"/>
      <c r="F24" s="145"/>
      <c r="H24" s="143"/>
      <c r="I24" s="145"/>
      <c r="K24" s="143"/>
      <c r="L24" s="145"/>
      <c r="N24" s="143"/>
      <c r="O24" s="145"/>
    </row>
    <row r="25" spans="2:15" x14ac:dyDescent="0.35">
      <c r="B25" s="146"/>
      <c r="C25" s="148"/>
      <c r="E25" s="146"/>
      <c r="F25" s="148"/>
      <c r="H25" s="146"/>
      <c r="I25" s="148"/>
      <c r="K25" s="146"/>
      <c r="L25" s="148"/>
      <c r="N25" s="146"/>
      <c r="O25" s="148"/>
    </row>
    <row r="26" spans="2:15" x14ac:dyDescent="0.35">
      <c r="B26" s="143"/>
      <c r="C26" s="145"/>
      <c r="E26" s="143"/>
      <c r="F26" s="145"/>
      <c r="H26" s="143"/>
      <c r="I26" s="145"/>
      <c r="K26" s="143"/>
      <c r="L26" s="145"/>
      <c r="N26" s="143"/>
      <c r="O26" s="145"/>
    </row>
    <row r="27" spans="2:15" x14ac:dyDescent="0.35">
      <c r="B27" s="146"/>
      <c r="C27" s="148"/>
      <c r="E27" s="146"/>
      <c r="F27" s="148"/>
      <c r="H27" s="146"/>
      <c r="I27" s="148"/>
      <c r="K27" s="146"/>
      <c r="L27" s="148"/>
      <c r="N27" s="146"/>
      <c r="O27" s="148"/>
    </row>
    <row r="28" spans="2:15" x14ac:dyDescent="0.35">
      <c r="B28" s="143"/>
      <c r="C28" s="145"/>
      <c r="E28" s="143"/>
      <c r="F28" s="145"/>
      <c r="H28" s="143"/>
      <c r="I28" s="145"/>
      <c r="K28" s="143"/>
      <c r="L28" s="145"/>
      <c r="N28" s="143"/>
      <c r="O28" s="145"/>
    </row>
    <row r="29" spans="2:15" x14ac:dyDescent="0.35">
      <c r="B29" s="146"/>
      <c r="C29" s="148"/>
      <c r="E29" s="146"/>
      <c r="F29" s="148"/>
      <c r="H29" s="146"/>
      <c r="I29" s="148"/>
      <c r="K29" s="146"/>
      <c r="L29" s="148"/>
      <c r="N29" s="146"/>
      <c r="O29" s="148"/>
    </row>
    <row r="30" spans="2:15" x14ac:dyDescent="0.35">
      <c r="B30" s="143"/>
      <c r="C30" s="145"/>
      <c r="E30" s="143"/>
      <c r="F30" s="145"/>
      <c r="H30" s="143"/>
      <c r="I30" s="145"/>
      <c r="K30" s="143"/>
      <c r="L30" s="145"/>
      <c r="N30" s="143"/>
      <c r="O30" s="145"/>
    </row>
    <row r="31" spans="2:15" x14ac:dyDescent="0.35">
      <c r="B31" s="171"/>
      <c r="C31" s="172"/>
      <c r="E31" s="171"/>
      <c r="F31" s="172"/>
      <c r="H31" s="171"/>
      <c r="I31" s="172"/>
      <c r="K31" s="171"/>
      <c r="L31" s="172"/>
      <c r="N31" s="171"/>
      <c r="O31" s="172"/>
    </row>
    <row r="32" spans="2:15" x14ac:dyDescent="0.35">
      <c r="B32" s="31"/>
      <c r="C32" s="37"/>
      <c r="E32" s="31"/>
      <c r="F32" s="37"/>
      <c r="H32" s="31"/>
      <c r="I32" s="37"/>
      <c r="K32" s="31"/>
      <c r="L32" s="37"/>
      <c r="N32" s="31"/>
      <c r="O32" s="37"/>
    </row>
    <row r="33" spans="2:15" x14ac:dyDescent="0.35">
      <c r="B33" s="91" t="s">
        <v>537</v>
      </c>
      <c r="C33" s="93"/>
      <c r="E33" s="91" t="s">
        <v>537</v>
      </c>
      <c r="F33" s="93"/>
      <c r="H33" s="91" t="s">
        <v>537</v>
      </c>
      <c r="I33" s="93"/>
      <c r="K33" s="91" t="s">
        <v>537</v>
      </c>
      <c r="L33" s="93"/>
      <c r="N33" s="91" t="s">
        <v>537</v>
      </c>
      <c r="O33" s="93"/>
    </row>
    <row r="34" spans="2:15" x14ac:dyDescent="0.35">
      <c r="B34" s="26"/>
      <c r="C34" s="39"/>
      <c r="E34" s="26"/>
      <c r="F34" s="39"/>
      <c r="H34" s="26"/>
      <c r="I34" s="39"/>
      <c r="K34" s="26"/>
      <c r="L34" s="39">
        <v>0.01</v>
      </c>
      <c r="N34" s="26"/>
      <c r="O34" s="39"/>
    </row>
    <row r="35" spans="2:15" x14ac:dyDescent="0.35">
      <c r="B35" s="27"/>
      <c r="C35" s="40"/>
      <c r="E35" s="27"/>
      <c r="F35" s="40"/>
      <c r="H35" s="27"/>
      <c r="I35" s="40"/>
      <c r="K35" s="27"/>
      <c r="L35" s="40"/>
      <c r="N35" s="27"/>
      <c r="O35" s="40"/>
    </row>
    <row r="36" spans="2:15" x14ac:dyDescent="0.35">
      <c r="B36" s="28"/>
      <c r="C36" s="41"/>
      <c r="E36" s="28"/>
      <c r="F36" s="41"/>
      <c r="H36" s="28"/>
      <c r="I36" s="41"/>
      <c r="K36" s="28"/>
      <c r="L36" s="41"/>
      <c r="N36" s="28"/>
      <c r="O36" s="41"/>
    </row>
    <row r="37" spans="2:15" x14ac:dyDescent="0.35">
      <c r="B37" s="27"/>
      <c r="C37" s="40"/>
      <c r="E37" s="27"/>
      <c r="F37" s="40"/>
      <c r="H37" s="27"/>
      <c r="I37" s="40"/>
      <c r="K37" s="27"/>
      <c r="L37" s="40"/>
      <c r="N37" s="27"/>
      <c r="O37" s="40"/>
    </row>
    <row r="38" spans="2:15" x14ac:dyDescent="0.35">
      <c r="B38" s="28"/>
      <c r="C38" s="41"/>
      <c r="E38" s="28"/>
      <c r="F38" s="41"/>
      <c r="H38" s="28"/>
      <c r="I38" s="41"/>
      <c r="K38" s="28"/>
      <c r="L38" s="41"/>
      <c r="N38" s="28"/>
      <c r="O38" s="41"/>
    </row>
    <row r="39" spans="2:15" x14ac:dyDescent="0.35">
      <c r="B39" s="27"/>
      <c r="C39" s="40"/>
      <c r="E39" s="27"/>
      <c r="F39" s="40"/>
      <c r="H39" s="27"/>
      <c r="I39" s="40"/>
      <c r="K39" s="27"/>
      <c r="L39" s="40"/>
      <c r="N39" s="27"/>
      <c r="O39" s="40"/>
    </row>
    <row r="40" spans="2:15" x14ac:dyDescent="0.35">
      <c r="B40" s="28"/>
      <c r="C40" s="41"/>
      <c r="E40" s="28"/>
      <c r="F40" s="41"/>
      <c r="H40" s="28"/>
      <c r="I40" s="41"/>
      <c r="K40" s="28"/>
      <c r="L40" s="41"/>
      <c r="N40" s="28"/>
      <c r="O40" s="41"/>
    </row>
    <row r="41" spans="2:15" x14ac:dyDescent="0.35">
      <c r="B41" s="27"/>
      <c r="C41" s="40"/>
      <c r="E41" s="27"/>
      <c r="F41" s="40"/>
      <c r="H41" s="27"/>
      <c r="I41" s="40"/>
      <c r="K41" s="27"/>
      <c r="L41" s="40"/>
      <c r="N41" s="27"/>
      <c r="O41" s="40"/>
    </row>
    <row r="42" spans="2:15" x14ac:dyDescent="0.35">
      <c r="B42" s="28"/>
      <c r="C42" s="41"/>
      <c r="E42" s="28"/>
      <c r="F42" s="41"/>
      <c r="H42" s="28"/>
      <c r="I42" s="41"/>
      <c r="K42" s="28"/>
      <c r="L42" s="41"/>
      <c r="N42" s="28"/>
      <c r="O42" s="41"/>
    </row>
    <row r="43" spans="2:15" x14ac:dyDescent="0.35">
      <c r="B43" s="27"/>
      <c r="C43" s="40"/>
      <c r="E43" s="27"/>
      <c r="F43" s="40"/>
      <c r="H43" s="27"/>
      <c r="I43" s="40"/>
      <c r="K43" s="27"/>
      <c r="L43" s="40"/>
      <c r="N43" s="27"/>
      <c r="O43" s="40"/>
    </row>
    <row r="44" spans="2:15" x14ac:dyDescent="0.35">
      <c r="B44" s="28"/>
      <c r="C44" s="41"/>
      <c r="E44" s="28"/>
      <c r="F44" s="41"/>
      <c r="H44" s="28"/>
      <c r="I44" s="41"/>
      <c r="K44" s="28"/>
      <c r="L44" s="41"/>
      <c r="N44" s="28"/>
      <c r="O44" s="41"/>
    </row>
    <row r="45" spans="2:15" x14ac:dyDescent="0.35">
      <c r="B45" s="27"/>
      <c r="C45" s="40"/>
      <c r="E45" s="27"/>
      <c r="F45" s="40"/>
      <c r="H45" s="27"/>
      <c r="I45" s="40"/>
      <c r="K45" s="27"/>
      <c r="L45" s="40"/>
      <c r="N45" s="27"/>
      <c r="O45" s="40"/>
    </row>
    <row r="46" spans="2:15" x14ac:dyDescent="0.35">
      <c r="B46" s="28"/>
      <c r="C46" s="41"/>
      <c r="E46" s="28"/>
      <c r="F46" s="41"/>
      <c r="H46" s="28"/>
      <c r="I46" s="41"/>
      <c r="K46" s="28"/>
      <c r="L46" s="41"/>
      <c r="N46" s="28"/>
      <c r="O46" s="41"/>
    </row>
    <row r="47" spans="2:15" x14ac:dyDescent="0.35">
      <c r="B47" s="27"/>
      <c r="C47" s="40"/>
      <c r="E47" s="27"/>
      <c r="F47" s="40"/>
      <c r="H47" s="27"/>
      <c r="I47" s="40"/>
      <c r="K47" s="27"/>
      <c r="L47" s="40"/>
      <c r="N47" s="27"/>
      <c r="O47" s="40"/>
    </row>
    <row r="48" spans="2:15" x14ac:dyDescent="0.35">
      <c r="B48" s="28"/>
      <c r="C48" s="41"/>
      <c r="E48" s="28"/>
      <c r="F48" s="41"/>
      <c r="H48" s="28"/>
      <c r="I48" s="41"/>
      <c r="K48" s="28"/>
      <c r="L48" s="41"/>
      <c r="N48" s="28"/>
      <c r="O48" s="41"/>
    </row>
    <row r="49" spans="2:15" x14ac:dyDescent="0.35">
      <c r="B49" s="27"/>
      <c r="C49" s="40"/>
      <c r="E49" s="27"/>
      <c r="F49" s="40"/>
      <c r="H49" s="27"/>
      <c r="I49" s="40"/>
      <c r="K49" s="27"/>
      <c r="L49" s="40"/>
      <c r="N49" s="27"/>
      <c r="O49" s="40"/>
    </row>
    <row r="50" spans="2:15" x14ac:dyDescent="0.35">
      <c r="B50" s="28"/>
      <c r="C50" s="41"/>
      <c r="E50" s="28"/>
      <c r="F50" s="41"/>
      <c r="H50" s="28"/>
      <c r="I50" s="41"/>
      <c r="K50" s="28"/>
      <c r="L50" s="41"/>
      <c r="N50" s="28"/>
      <c r="O50" s="41"/>
    </row>
    <row r="51" spans="2:15" x14ac:dyDescent="0.35">
      <c r="B51" s="27"/>
      <c r="C51" s="40"/>
      <c r="E51" s="27"/>
      <c r="F51" s="40"/>
      <c r="H51" s="27"/>
      <c r="I51" s="40"/>
      <c r="K51" s="27"/>
      <c r="L51" s="40"/>
      <c r="N51" s="27"/>
      <c r="O51" s="40"/>
    </row>
    <row r="52" spans="2:15" x14ac:dyDescent="0.35">
      <c r="B52" s="28"/>
      <c r="C52" s="41"/>
      <c r="E52" s="28"/>
      <c r="F52" s="41"/>
      <c r="H52" s="28"/>
      <c r="I52" s="41"/>
      <c r="K52" s="28"/>
      <c r="L52" s="41"/>
      <c r="N52" s="28"/>
      <c r="O52" s="41"/>
    </row>
    <row r="53" spans="2:15" x14ac:dyDescent="0.35">
      <c r="B53" s="27"/>
      <c r="C53" s="40"/>
      <c r="E53" s="27"/>
      <c r="F53" s="40"/>
      <c r="H53" s="27"/>
      <c r="I53" s="40"/>
      <c r="K53" s="27"/>
      <c r="L53" s="40"/>
      <c r="N53" s="27"/>
      <c r="O53" s="40"/>
    </row>
    <row r="54" spans="2:15" x14ac:dyDescent="0.35">
      <c r="B54" s="28"/>
      <c r="C54" s="41"/>
      <c r="E54" s="28"/>
      <c r="F54" s="41"/>
      <c r="H54" s="28"/>
      <c r="I54" s="41"/>
      <c r="K54" s="28"/>
      <c r="L54" s="41"/>
      <c r="N54" s="28"/>
      <c r="O54" s="41"/>
    </row>
    <row r="55" spans="2:15" x14ac:dyDescent="0.35">
      <c r="B55" s="27"/>
      <c r="C55" s="40"/>
      <c r="E55" s="27"/>
      <c r="F55" s="40"/>
      <c r="H55" s="27"/>
      <c r="I55" s="40"/>
      <c r="K55" s="27"/>
      <c r="L55" s="40"/>
      <c r="N55" s="27"/>
      <c r="O55" s="40"/>
    </row>
    <row r="56" spans="2:15" x14ac:dyDescent="0.35">
      <c r="B56" s="28"/>
      <c r="C56" s="41"/>
      <c r="E56" s="28"/>
      <c r="F56" s="41"/>
      <c r="H56" s="28"/>
      <c r="I56" s="41"/>
      <c r="K56" s="28"/>
      <c r="L56" s="41"/>
      <c r="N56" s="28"/>
      <c r="O56" s="41"/>
    </row>
    <row r="57" spans="2:15" x14ac:dyDescent="0.35">
      <c r="B57" s="27"/>
      <c r="C57" s="40"/>
      <c r="E57" s="27"/>
      <c r="F57" s="40"/>
      <c r="H57" s="27"/>
      <c r="I57" s="40"/>
      <c r="K57" s="27"/>
      <c r="L57" s="40"/>
      <c r="N57" s="27"/>
      <c r="O57" s="40"/>
    </row>
    <row r="58" spans="2:15" x14ac:dyDescent="0.35">
      <c r="B58" s="28"/>
      <c r="C58" s="41"/>
      <c r="E58" s="28"/>
      <c r="F58" s="41"/>
      <c r="H58" s="28"/>
      <c r="I58" s="41"/>
      <c r="K58" s="28"/>
      <c r="L58" s="41"/>
      <c r="N58" s="28"/>
      <c r="O58" s="41"/>
    </row>
    <row r="59" spans="2:15" x14ac:dyDescent="0.35">
      <c r="B59" s="27"/>
      <c r="C59" s="40"/>
      <c r="E59" s="27"/>
      <c r="F59" s="40"/>
      <c r="H59" s="27"/>
      <c r="I59" s="40"/>
      <c r="K59" s="27"/>
      <c r="L59" s="40"/>
      <c r="N59" s="27"/>
      <c r="O59" s="40"/>
    </row>
    <row r="60" spans="2:15" x14ac:dyDescent="0.35">
      <c r="B60" s="28"/>
      <c r="C60" s="41"/>
      <c r="E60" s="28"/>
      <c r="F60" s="41"/>
      <c r="H60" s="28"/>
      <c r="I60" s="41"/>
      <c r="K60" s="28"/>
      <c r="L60" s="41"/>
      <c r="N60" s="28"/>
      <c r="O60" s="41"/>
    </row>
    <row r="61" spans="2:15" x14ac:dyDescent="0.35">
      <c r="B61" s="27"/>
      <c r="C61" s="40"/>
      <c r="E61" s="27"/>
      <c r="F61" s="40"/>
      <c r="H61" s="27"/>
      <c r="I61" s="40"/>
      <c r="K61" s="27"/>
      <c r="L61" s="40"/>
      <c r="N61" s="27"/>
      <c r="O61" s="40"/>
    </row>
    <row r="62" spans="2:15" x14ac:dyDescent="0.35">
      <c r="B62" s="28"/>
      <c r="C62" s="41"/>
      <c r="E62" s="28"/>
      <c r="F62" s="41"/>
      <c r="H62" s="28"/>
      <c r="I62" s="41"/>
      <c r="K62" s="28"/>
      <c r="L62" s="41"/>
      <c r="N62" s="28"/>
      <c r="O62" s="41"/>
    </row>
    <row r="63" spans="2:15" x14ac:dyDescent="0.35">
      <c r="B63" s="27"/>
      <c r="C63" s="40"/>
      <c r="E63" s="27"/>
      <c r="F63" s="40"/>
      <c r="H63" s="27"/>
      <c r="I63" s="40"/>
      <c r="K63" s="27"/>
      <c r="L63" s="40"/>
      <c r="N63" s="27"/>
      <c r="O63" s="40"/>
    </row>
    <row r="64" spans="2:15" x14ac:dyDescent="0.35">
      <c r="B64" s="28"/>
      <c r="C64" s="41"/>
      <c r="E64" s="28"/>
      <c r="F64" s="41"/>
      <c r="H64" s="28"/>
      <c r="I64" s="41"/>
      <c r="K64" s="28"/>
      <c r="L64" s="41"/>
      <c r="N64" s="28"/>
      <c r="O64" s="41"/>
    </row>
    <row r="65" spans="2:15" x14ac:dyDescent="0.35">
      <c r="B65" s="27"/>
      <c r="C65" s="40"/>
      <c r="E65" s="27"/>
      <c r="F65" s="40"/>
      <c r="H65" s="27"/>
      <c r="I65" s="40"/>
      <c r="K65" s="27"/>
      <c r="L65" s="40"/>
      <c r="N65" s="27"/>
      <c r="O65" s="40"/>
    </row>
    <row r="66" spans="2:15" x14ac:dyDescent="0.35">
      <c r="B66" s="28"/>
      <c r="C66" s="41"/>
      <c r="E66" s="28"/>
      <c r="F66" s="41"/>
      <c r="H66" s="28"/>
      <c r="I66" s="41"/>
      <c r="K66" s="28"/>
      <c r="L66" s="41"/>
      <c r="N66" s="28"/>
      <c r="O66" s="41"/>
    </row>
    <row r="67" spans="2:15" x14ac:dyDescent="0.35">
      <c r="B67" s="27"/>
      <c r="C67" s="40"/>
      <c r="E67" s="27"/>
      <c r="F67" s="40"/>
      <c r="H67" s="27"/>
      <c r="I67" s="40"/>
      <c r="K67" s="27"/>
      <c r="L67" s="40"/>
      <c r="N67" s="27"/>
      <c r="O67" s="40"/>
    </row>
    <row r="68" spans="2:15" x14ac:dyDescent="0.35">
      <c r="B68" s="28"/>
      <c r="C68" s="41"/>
      <c r="E68" s="28"/>
      <c r="F68" s="41"/>
      <c r="H68" s="28"/>
      <c r="I68" s="41"/>
      <c r="K68" s="28"/>
      <c r="L68" s="41"/>
      <c r="N68" s="28"/>
      <c r="O68" s="41"/>
    </row>
    <row r="69" spans="2:15" x14ac:dyDescent="0.35">
      <c r="B69" s="27"/>
      <c r="C69" s="40"/>
      <c r="E69" s="27"/>
      <c r="F69" s="40"/>
      <c r="H69" s="27"/>
      <c r="I69" s="40"/>
      <c r="K69" s="27"/>
      <c r="L69" s="40"/>
      <c r="N69" s="27"/>
      <c r="O69" s="40"/>
    </row>
    <row r="70" spans="2:15" x14ac:dyDescent="0.35">
      <c r="B70" s="28"/>
      <c r="C70" s="41"/>
      <c r="E70" s="28"/>
      <c r="F70" s="41"/>
      <c r="H70" s="28"/>
      <c r="I70" s="41"/>
      <c r="K70" s="28"/>
      <c r="L70" s="41"/>
      <c r="N70" s="28"/>
      <c r="O70" s="41"/>
    </row>
    <row r="71" spans="2:15" x14ac:dyDescent="0.35">
      <c r="B71" s="27"/>
      <c r="C71" s="40"/>
      <c r="E71" s="27"/>
      <c r="F71" s="40"/>
      <c r="H71" s="27"/>
      <c r="I71" s="40"/>
      <c r="K71" s="27"/>
      <c r="L71" s="40"/>
      <c r="N71" s="27"/>
      <c r="O71" s="40"/>
    </row>
    <row r="72" spans="2:15" x14ac:dyDescent="0.35">
      <c r="B72" s="28"/>
      <c r="C72" s="41"/>
      <c r="E72" s="28"/>
      <c r="F72" s="41"/>
      <c r="H72" s="28"/>
      <c r="I72" s="41"/>
      <c r="K72" s="28"/>
      <c r="L72" s="41"/>
      <c r="N72" s="28"/>
      <c r="O72" s="41"/>
    </row>
    <row r="73" spans="2:15" x14ac:dyDescent="0.35">
      <c r="B73" s="27"/>
      <c r="C73" s="40"/>
      <c r="E73" s="27"/>
      <c r="F73" s="40"/>
      <c r="H73" s="27"/>
      <c r="I73" s="40"/>
      <c r="K73" s="27"/>
      <c r="L73" s="40"/>
      <c r="N73" s="27"/>
      <c r="O73" s="40"/>
    </row>
    <row r="74" spans="2:15" x14ac:dyDescent="0.35">
      <c r="B74" s="28"/>
      <c r="C74" s="41"/>
      <c r="E74" s="28"/>
      <c r="F74" s="41"/>
      <c r="H74" s="28"/>
      <c r="I74" s="41"/>
      <c r="K74" s="28"/>
      <c r="L74" s="41"/>
      <c r="N74" s="28"/>
      <c r="O74" s="41"/>
    </row>
    <row r="75" spans="2:15" x14ac:dyDescent="0.35">
      <c r="B75" s="27"/>
      <c r="C75" s="40"/>
      <c r="E75" s="27"/>
      <c r="F75" s="40"/>
      <c r="H75" s="27"/>
      <c r="I75" s="40"/>
      <c r="K75" s="27"/>
      <c r="L75" s="40"/>
      <c r="N75" s="27"/>
      <c r="O75" s="40"/>
    </row>
    <row r="76" spans="2:15" x14ac:dyDescent="0.35">
      <c r="B76" s="28"/>
      <c r="C76" s="41"/>
      <c r="E76" s="28"/>
      <c r="F76" s="41"/>
      <c r="H76" s="28"/>
      <c r="I76" s="41"/>
      <c r="K76" s="28"/>
      <c r="L76" s="41"/>
      <c r="N76" s="28"/>
      <c r="O76" s="41"/>
    </row>
    <row r="77" spans="2:15" x14ac:dyDescent="0.35">
      <c r="B77" s="27"/>
      <c r="C77" s="40"/>
      <c r="E77" s="27"/>
      <c r="F77" s="40"/>
      <c r="H77" s="27"/>
      <c r="I77" s="40"/>
      <c r="K77" s="27"/>
      <c r="L77" s="40"/>
      <c r="N77" s="27"/>
      <c r="O77" s="40"/>
    </row>
    <row r="78" spans="2:15" x14ac:dyDescent="0.35">
      <c r="B78" s="28"/>
      <c r="C78" s="41"/>
      <c r="E78" s="28"/>
      <c r="F78" s="41"/>
      <c r="H78" s="28"/>
      <c r="I78" s="41"/>
      <c r="K78" s="28"/>
      <c r="L78" s="41"/>
      <c r="N78" s="28"/>
      <c r="O78" s="41"/>
    </row>
    <row r="79" spans="2:15" x14ac:dyDescent="0.35">
      <c r="B79" s="27"/>
      <c r="C79" s="40"/>
      <c r="E79" s="27"/>
      <c r="F79" s="40"/>
      <c r="H79" s="27"/>
      <c r="I79" s="40"/>
      <c r="K79" s="27"/>
      <c r="L79" s="40"/>
      <c r="N79" s="27"/>
      <c r="O79" s="40"/>
    </row>
    <row r="80" spans="2:15" x14ac:dyDescent="0.35">
      <c r="B80" s="28"/>
      <c r="C80" s="41"/>
      <c r="E80" s="28"/>
      <c r="F80" s="41"/>
      <c r="H80" s="28"/>
      <c r="I80" s="41"/>
      <c r="K80" s="28"/>
      <c r="L80" s="41"/>
      <c r="N80" s="28"/>
      <c r="O80" s="41"/>
    </row>
    <row r="81" spans="2:15" x14ac:dyDescent="0.35">
      <c r="B81" s="27"/>
      <c r="C81" s="40"/>
      <c r="E81" s="27"/>
      <c r="F81" s="40"/>
      <c r="H81" s="27"/>
      <c r="I81" s="40"/>
      <c r="K81" s="27"/>
      <c r="L81" s="40"/>
      <c r="N81" s="27"/>
      <c r="O81" s="40"/>
    </row>
    <row r="82" spans="2:15" x14ac:dyDescent="0.35">
      <c r="B82" s="28"/>
      <c r="C82" s="41"/>
      <c r="E82" s="28"/>
      <c r="F82" s="41"/>
      <c r="H82" s="28"/>
      <c r="I82" s="41"/>
      <c r="K82" s="28"/>
      <c r="L82" s="41"/>
      <c r="N82" s="28"/>
      <c r="O82" s="41"/>
    </row>
    <row r="83" spans="2:15" x14ac:dyDescent="0.35">
      <c r="B83" s="27"/>
      <c r="C83" s="40"/>
      <c r="E83" s="27"/>
      <c r="F83" s="40"/>
      <c r="H83" s="27"/>
      <c r="I83" s="40"/>
      <c r="K83" s="27"/>
      <c r="L83" s="40"/>
      <c r="N83" s="27"/>
      <c r="O83" s="40"/>
    </row>
    <row r="84" spans="2:15" x14ac:dyDescent="0.35">
      <c r="B84" s="28"/>
      <c r="C84" s="41"/>
      <c r="E84" s="28"/>
      <c r="F84" s="41"/>
      <c r="H84" s="28"/>
      <c r="I84" s="41"/>
      <c r="K84" s="28"/>
      <c r="L84" s="41"/>
      <c r="N84" s="28"/>
      <c r="O84" s="41"/>
    </row>
    <row r="85" spans="2:15" x14ac:dyDescent="0.35">
      <c r="B85" s="27"/>
      <c r="C85" s="40"/>
      <c r="E85" s="27"/>
      <c r="F85" s="40"/>
      <c r="H85" s="27"/>
      <c r="I85" s="40"/>
      <c r="K85" s="27"/>
      <c r="L85" s="40"/>
      <c r="N85" s="27"/>
      <c r="O85" s="40"/>
    </row>
    <row r="86" spans="2:15" x14ac:dyDescent="0.35">
      <c r="B86" s="28"/>
      <c r="C86" s="41"/>
      <c r="E86" s="28"/>
      <c r="F86" s="41"/>
      <c r="H86" s="28"/>
      <c r="I86" s="41"/>
      <c r="K86" s="28"/>
      <c r="L86" s="41"/>
      <c r="N86" s="28"/>
      <c r="O86" s="41"/>
    </row>
    <row r="87" spans="2:15" x14ac:dyDescent="0.35">
      <c r="B87" s="27"/>
      <c r="C87" s="40"/>
      <c r="E87" s="27"/>
      <c r="F87" s="40"/>
      <c r="H87" s="27"/>
      <c r="I87" s="40"/>
      <c r="K87" s="27"/>
      <c r="L87" s="40"/>
      <c r="N87" s="27"/>
      <c r="O87" s="40"/>
    </row>
    <row r="88" spans="2:15" x14ac:dyDescent="0.35">
      <c r="B88" s="28"/>
      <c r="C88" s="41"/>
      <c r="E88" s="28"/>
      <c r="F88" s="41"/>
      <c r="H88" s="28"/>
      <c r="I88" s="41"/>
      <c r="K88" s="28"/>
      <c r="L88" s="41"/>
      <c r="N88" s="28"/>
      <c r="O88" s="41"/>
    </row>
    <row r="89" spans="2:15" x14ac:dyDescent="0.35">
      <c r="B89" s="27"/>
      <c r="C89" s="40"/>
      <c r="E89" s="27"/>
      <c r="F89" s="40"/>
      <c r="H89" s="27"/>
      <c r="I89" s="40"/>
      <c r="K89" s="27"/>
      <c r="L89" s="40"/>
      <c r="N89" s="27"/>
      <c r="O89" s="40"/>
    </row>
    <row r="90" spans="2:15" x14ac:dyDescent="0.35">
      <c r="B90" s="28"/>
      <c r="C90" s="41"/>
      <c r="E90" s="28"/>
      <c r="F90" s="41"/>
      <c r="H90" s="28"/>
      <c r="I90" s="41"/>
      <c r="K90" s="28"/>
      <c r="L90" s="41"/>
      <c r="N90" s="28"/>
      <c r="O90" s="41"/>
    </row>
    <row r="91" spans="2:15" x14ac:dyDescent="0.35">
      <c r="B91" s="27"/>
      <c r="C91" s="40"/>
      <c r="E91" s="27"/>
      <c r="F91" s="40"/>
      <c r="H91" s="27"/>
      <c r="I91" s="40"/>
      <c r="K91" s="27"/>
      <c r="L91" s="40"/>
      <c r="N91" s="27"/>
      <c r="O91" s="40"/>
    </row>
    <row r="92" spans="2:15" x14ac:dyDescent="0.35">
      <c r="B92" s="28"/>
      <c r="C92" s="41"/>
      <c r="E92" s="28"/>
      <c r="F92" s="41"/>
      <c r="H92" s="28"/>
      <c r="I92" s="41"/>
      <c r="K92" s="28"/>
      <c r="L92" s="41"/>
      <c r="N92" s="28"/>
      <c r="O92" s="41"/>
    </row>
    <row r="93" spans="2:15" x14ac:dyDescent="0.35">
      <c r="B93" s="27"/>
      <c r="C93" s="40"/>
      <c r="E93" s="27"/>
      <c r="F93" s="40"/>
      <c r="H93" s="27"/>
      <c r="I93" s="40"/>
      <c r="K93" s="27"/>
      <c r="L93" s="40"/>
      <c r="N93" s="27"/>
      <c r="O93" s="40"/>
    </row>
    <row r="94" spans="2:15" x14ac:dyDescent="0.35">
      <c r="B94" s="28"/>
      <c r="C94" s="41"/>
      <c r="E94" s="28"/>
      <c r="F94" s="41"/>
      <c r="H94" s="28"/>
      <c r="I94" s="41"/>
      <c r="K94" s="28"/>
      <c r="L94" s="41"/>
      <c r="N94" s="28"/>
      <c r="O94" s="41"/>
    </row>
    <row r="95" spans="2:15" x14ac:dyDescent="0.35">
      <c r="B95" s="27"/>
      <c r="C95" s="40"/>
      <c r="E95" s="27"/>
      <c r="F95" s="40"/>
      <c r="H95" s="27"/>
      <c r="I95" s="40"/>
      <c r="K95" s="27"/>
      <c r="L95" s="40"/>
      <c r="N95" s="27"/>
      <c r="O95" s="40"/>
    </row>
    <row r="96" spans="2:15" x14ac:dyDescent="0.35">
      <c r="B96" s="28"/>
      <c r="C96" s="41"/>
      <c r="E96" s="28"/>
      <c r="F96" s="41"/>
      <c r="H96" s="28"/>
      <c r="I96" s="41"/>
      <c r="K96" s="28"/>
      <c r="L96" s="41"/>
      <c r="N96" s="28"/>
      <c r="O96" s="41"/>
    </row>
    <row r="97" spans="2:15" x14ac:dyDescent="0.35">
      <c r="B97" s="27"/>
      <c r="C97" s="40"/>
      <c r="E97" s="27"/>
      <c r="F97" s="40"/>
      <c r="H97" s="27"/>
      <c r="I97" s="40"/>
      <c r="K97" s="27"/>
      <c r="L97" s="40"/>
      <c r="N97" s="27"/>
      <c r="O97" s="40"/>
    </row>
    <row r="98" spans="2:15" x14ac:dyDescent="0.35">
      <c r="B98" s="28"/>
      <c r="C98" s="41"/>
      <c r="E98" s="28"/>
      <c r="F98" s="41"/>
      <c r="H98" s="28"/>
      <c r="I98" s="41"/>
      <c r="K98" s="28"/>
      <c r="L98" s="41"/>
      <c r="N98" s="28"/>
      <c r="O98" s="41"/>
    </row>
    <row r="99" spans="2:15" x14ac:dyDescent="0.35">
      <c r="B99" s="27"/>
      <c r="C99" s="40"/>
      <c r="E99" s="27"/>
      <c r="F99" s="40"/>
      <c r="H99" s="27"/>
      <c r="I99" s="40"/>
      <c r="K99" s="27"/>
      <c r="L99" s="40"/>
      <c r="N99" s="27"/>
      <c r="O99" s="40"/>
    </row>
    <row r="100" spans="2:15" x14ac:dyDescent="0.35">
      <c r="B100" s="28"/>
      <c r="C100" s="41"/>
      <c r="E100" s="28"/>
      <c r="F100" s="41"/>
      <c r="H100" s="28"/>
      <c r="I100" s="41"/>
      <c r="K100" s="28"/>
      <c r="L100" s="41"/>
      <c r="N100" s="28"/>
      <c r="O100" s="41"/>
    </row>
    <row r="101" spans="2:15" x14ac:dyDescent="0.35">
      <c r="B101" s="27"/>
      <c r="C101" s="40"/>
      <c r="E101" s="27"/>
      <c r="F101" s="40"/>
      <c r="H101" s="27"/>
      <c r="I101" s="40"/>
      <c r="K101" s="27"/>
      <c r="L101" s="40"/>
      <c r="N101" s="27"/>
      <c r="O101" s="40"/>
    </row>
    <row r="102" spans="2:15" x14ac:dyDescent="0.35">
      <c r="B102" s="28"/>
      <c r="C102" s="41"/>
      <c r="E102" s="28"/>
      <c r="F102" s="41"/>
      <c r="H102" s="28"/>
      <c r="I102" s="41"/>
      <c r="K102" s="28"/>
      <c r="L102" s="41"/>
      <c r="N102" s="28"/>
      <c r="O102" s="41"/>
    </row>
    <row r="103" spans="2:15" x14ac:dyDescent="0.35">
      <c r="B103" s="27"/>
      <c r="C103" s="40"/>
      <c r="E103" s="27"/>
      <c r="F103" s="40"/>
      <c r="H103" s="27"/>
      <c r="I103" s="40"/>
      <c r="K103" s="27"/>
      <c r="L103" s="40"/>
      <c r="N103" s="27"/>
      <c r="O103" s="40"/>
    </row>
    <row r="104" spans="2:15" x14ac:dyDescent="0.35">
      <c r="B104" s="28"/>
      <c r="C104" s="41"/>
      <c r="E104" s="28"/>
      <c r="F104" s="41"/>
      <c r="H104" s="28"/>
      <c r="I104" s="41"/>
      <c r="K104" s="28"/>
      <c r="L104" s="41"/>
      <c r="N104" s="28"/>
      <c r="O104" s="41"/>
    </row>
    <row r="105" spans="2:15" x14ac:dyDescent="0.35">
      <c r="B105" s="27"/>
      <c r="C105" s="40"/>
      <c r="E105" s="27"/>
      <c r="F105" s="40"/>
      <c r="H105" s="27"/>
      <c r="I105" s="40"/>
      <c r="K105" s="27"/>
      <c r="L105" s="40"/>
      <c r="N105" s="27"/>
      <c r="O105" s="40"/>
    </row>
    <row r="106" spans="2:15" x14ac:dyDescent="0.35">
      <c r="B106" s="28"/>
      <c r="C106" s="41"/>
      <c r="E106" s="28"/>
      <c r="F106" s="41"/>
      <c r="H106" s="28"/>
      <c r="I106" s="41"/>
      <c r="K106" s="28"/>
      <c r="L106" s="41"/>
      <c r="N106" s="28"/>
      <c r="O106" s="41"/>
    </row>
    <row r="107" spans="2:15" x14ac:dyDescent="0.35">
      <c r="B107" s="27"/>
      <c r="C107" s="40"/>
      <c r="E107" s="27"/>
      <c r="F107" s="40"/>
      <c r="H107" s="27"/>
      <c r="I107" s="40"/>
      <c r="K107" s="27"/>
      <c r="L107" s="40"/>
      <c r="N107" s="27"/>
      <c r="O107" s="40"/>
    </row>
    <row r="108" spans="2:15" x14ac:dyDescent="0.35">
      <c r="B108" s="28"/>
      <c r="C108" s="41"/>
      <c r="E108" s="28"/>
      <c r="F108" s="41"/>
      <c r="H108" s="28"/>
      <c r="I108" s="41"/>
      <c r="K108" s="28"/>
      <c r="L108" s="41"/>
      <c r="N108" s="28"/>
      <c r="O108" s="41"/>
    </row>
    <row r="109" spans="2:15" x14ac:dyDescent="0.35">
      <c r="B109" s="27"/>
      <c r="C109" s="40"/>
      <c r="E109" s="27"/>
      <c r="F109" s="40"/>
      <c r="H109" s="27"/>
      <c r="I109" s="40"/>
      <c r="K109" s="27"/>
      <c r="L109" s="40"/>
      <c r="N109" s="27"/>
      <c r="O109" s="40"/>
    </row>
    <row r="110" spans="2:15" x14ac:dyDescent="0.35">
      <c r="B110" s="28"/>
      <c r="C110" s="41"/>
      <c r="E110" s="28"/>
      <c r="F110" s="41"/>
      <c r="H110" s="28"/>
      <c r="I110" s="41"/>
      <c r="K110" s="28"/>
      <c r="L110" s="41"/>
      <c r="N110" s="28"/>
      <c r="O110" s="41"/>
    </row>
    <row r="111" spans="2:15" x14ac:dyDescent="0.35">
      <c r="B111" s="27"/>
      <c r="C111" s="40"/>
      <c r="E111" s="27"/>
      <c r="F111" s="40"/>
      <c r="H111" s="27"/>
      <c r="I111" s="40"/>
      <c r="K111" s="27"/>
      <c r="L111" s="40"/>
      <c r="N111" s="27"/>
      <c r="O111" s="40"/>
    </row>
    <row r="112" spans="2:15" x14ac:dyDescent="0.35">
      <c r="B112" s="28"/>
      <c r="C112" s="41"/>
      <c r="E112" s="28"/>
      <c r="F112" s="41"/>
      <c r="H112" s="28"/>
      <c r="I112" s="41"/>
      <c r="K112" s="28"/>
      <c r="L112" s="41"/>
      <c r="N112" s="28"/>
      <c r="O112" s="41"/>
    </row>
    <row r="113" spans="2:15" x14ac:dyDescent="0.35">
      <c r="B113" s="27"/>
      <c r="C113" s="40"/>
      <c r="E113" s="27"/>
      <c r="F113" s="40"/>
      <c r="H113" s="27"/>
      <c r="I113" s="40"/>
      <c r="K113" s="27"/>
      <c r="L113" s="40"/>
      <c r="N113" s="27"/>
      <c r="O113" s="40"/>
    </row>
    <row r="114" spans="2:15" x14ac:dyDescent="0.35">
      <c r="B114" s="28"/>
      <c r="C114" s="41"/>
      <c r="E114" s="28"/>
      <c r="F114" s="41"/>
      <c r="H114" s="28"/>
      <c r="I114" s="41"/>
      <c r="K114" s="28"/>
      <c r="L114" s="41"/>
      <c r="N114" s="28"/>
      <c r="O114" s="41"/>
    </row>
    <row r="115" spans="2:15" x14ac:dyDescent="0.35">
      <c r="B115" s="27"/>
      <c r="C115" s="40"/>
      <c r="E115" s="27"/>
      <c r="F115" s="40"/>
      <c r="H115" s="27"/>
      <c r="I115" s="40"/>
      <c r="K115" s="27"/>
      <c r="L115" s="40"/>
      <c r="N115" s="27"/>
      <c r="O115" s="40"/>
    </row>
    <row r="116" spans="2:15" x14ac:dyDescent="0.35">
      <c r="B116" s="28"/>
      <c r="C116" s="41"/>
      <c r="E116" s="28"/>
      <c r="F116" s="41"/>
      <c r="H116" s="28"/>
      <c r="I116" s="41"/>
      <c r="K116" s="28"/>
      <c r="L116" s="41"/>
      <c r="N116" s="28"/>
      <c r="O116" s="41"/>
    </row>
    <row r="117" spans="2:15" x14ac:dyDescent="0.35">
      <c r="B117" s="27"/>
      <c r="C117" s="40"/>
      <c r="E117" s="27"/>
      <c r="F117" s="40"/>
      <c r="H117" s="27"/>
      <c r="I117" s="40"/>
      <c r="K117" s="27"/>
      <c r="L117" s="40"/>
      <c r="N117" s="27"/>
      <c r="O117" s="40"/>
    </row>
    <row r="118" spans="2:15" x14ac:dyDescent="0.35">
      <c r="B118" s="28"/>
      <c r="C118" s="41"/>
      <c r="E118" s="28"/>
      <c r="F118" s="41"/>
      <c r="H118" s="28"/>
      <c r="I118" s="41"/>
      <c r="K118" s="28"/>
      <c r="L118" s="41"/>
      <c r="N118" s="28"/>
      <c r="O118" s="41"/>
    </row>
    <row r="119" spans="2:15" x14ac:dyDescent="0.35">
      <c r="B119" s="27"/>
      <c r="C119" s="40"/>
      <c r="E119" s="27"/>
      <c r="F119" s="40"/>
      <c r="H119" s="27"/>
      <c r="I119" s="40"/>
      <c r="K119" s="27"/>
      <c r="L119" s="40"/>
      <c r="N119" s="27"/>
      <c r="O119" s="40"/>
    </row>
    <row r="120" spans="2:15" x14ac:dyDescent="0.35">
      <c r="B120" s="28"/>
      <c r="C120" s="41"/>
      <c r="E120" s="28"/>
      <c r="F120" s="41"/>
      <c r="H120" s="28"/>
      <c r="I120" s="41"/>
      <c r="K120" s="28"/>
      <c r="L120" s="41"/>
      <c r="N120" s="28"/>
      <c r="O120" s="41"/>
    </row>
    <row r="121" spans="2:15" x14ac:dyDescent="0.35">
      <c r="B121" s="27"/>
      <c r="C121" s="40"/>
      <c r="E121" s="27"/>
      <c r="F121" s="40"/>
      <c r="H121" s="27"/>
      <c r="I121" s="40"/>
      <c r="K121" s="27"/>
      <c r="L121" s="40"/>
      <c r="N121" s="27"/>
      <c r="O121" s="40"/>
    </row>
    <row r="122" spans="2:15" x14ac:dyDescent="0.35">
      <c r="B122" s="28"/>
      <c r="C122" s="41"/>
      <c r="E122" s="28"/>
      <c r="F122" s="41"/>
      <c r="H122" s="28"/>
      <c r="I122" s="41"/>
      <c r="K122" s="28"/>
      <c r="L122" s="41"/>
      <c r="N122" s="28"/>
      <c r="O122" s="41"/>
    </row>
    <row r="123" spans="2:15" x14ac:dyDescent="0.35">
      <c r="B123" s="27"/>
      <c r="C123" s="40"/>
      <c r="E123" s="27"/>
      <c r="F123" s="40"/>
      <c r="H123" s="27"/>
      <c r="I123" s="40"/>
      <c r="K123" s="27"/>
      <c r="L123" s="40"/>
      <c r="N123" s="27"/>
      <c r="O123" s="40"/>
    </row>
    <row r="124" spans="2:15" x14ac:dyDescent="0.35">
      <c r="B124" s="28"/>
      <c r="C124" s="41"/>
      <c r="E124" s="28"/>
      <c r="F124" s="41"/>
      <c r="H124" s="28"/>
      <c r="I124" s="41"/>
      <c r="K124" s="28"/>
      <c r="L124" s="41"/>
      <c r="N124" s="28"/>
      <c r="O124" s="41"/>
    </row>
    <row r="125" spans="2:15" x14ac:dyDescent="0.35">
      <c r="B125" s="27"/>
      <c r="C125" s="40"/>
      <c r="E125" s="27"/>
      <c r="F125" s="40"/>
      <c r="H125" s="27"/>
      <c r="I125" s="40"/>
      <c r="K125" s="27"/>
      <c r="L125" s="40"/>
      <c r="N125" s="27"/>
      <c r="O125" s="40"/>
    </row>
    <row r="126" spans="2:15" x14ac:dyDescent="0.35">
      <c r="B126" s="28"/>
      <c r="C126" s="41"/>
      <c r="E126" s="28"/>
      <c r="F126" s="41"/>
      <c r="H126" s="28"/>
      <c r="I126" s="41"/>
      <c r="K126" s="28"/>
      <c r="L126" s="41"/>
      <c r="N126" s="28"/>
      <c r="O126" s="41"/>
    </row>
    <row r="127" spans="2:15" x14ac:dyDescent="0.35">
      <c r="B127" s="27"/>
      <c r="C127" s="40"/>
      <c r="E127" s="27"/>
      <c r="F127" s="40"/>
      <c r="H127" s="27"/>
      <c r="I127" s="40"/>
      <c r="K127" s="27"/>
      <c r="L127" s="40"/>
      <c r="N127" s="27"/>
      <c r="O127" s="40"/>
    </row>
    <row r="128" spans="2:15" x14ac:dyDescent="0.35">
      <c r="B128" s="28"/>
      <c r="C128" s="41"/>
      <c r="E128" s="28"/>
      <c r="F128" s="41"/>
      <c r="H128" s="28"/>
      <c r="I128" s="41"/>
      <c r="K128" s="28"/>
      <c r="L128" s="41"/>
      <c r="N128" s="28"/>
      <c r="O128" s="41"/>
    </row>
    <row r="129" spans="2:15" x14ac:dyDescent="0.35">
      <c r="B129" s="27"/>
      <c r="C129" s="40"/>
      <c r="E129" s="27"/>
      <c r="F129" s="40"/>
      <c r="H129" s="27"/>
      <c r="I129" s="40"/>
      <c r="K129" s="27"/>
      <c r="L129" s="40"/>
      <c r="N129" s="27"/>
      <c r="O129" s="40"/>
    </row>
    <row r="130" spans="2:15" x14ac:dyDescent="0.35">
      <c r="B130" s="28"/>
      <c r="C130" s="41"/>
      <c r="E130" s="28"/>
      <c r="F130" s="41"/>
      <c r="H130" s="28"/>
      <c r="I130" s="41"/>
      <c r="K130" s="28"/>
      <c r="L130" s="41"/>
      <c r="N130" s="28"/>
      <c r="O130" s="41"/>
    </row>
    <row r="131" spans="2:15" x14ac:dyDescent="0.35">
      <c r="B131" s="27"/>
      <c r="C131" s="40"/>
      <c r="E131" s="27"/>
      <c r="F131" s="40"/>
      <c r="H131" s="27"/>
      <c r="I131" s="40"/>
      <c r="K131" s="27"/>
      <c r="L131" s="40"/>
      <c r="N131" s="27"/>
      <c r="O131" s="40"/>
    </row>
    <row r="132" spans="2:15" x14ac:dyDescent="0.35">
      <c r="B132" s="28"/>
      <c r="C132" s="41"/>
      <c r="E132" s="28"/>
      <c r="F132" s="41"/>
      <c r="H132" s="28"/>
      <c r="I132" s="41"/>
      <c r="K132" s="28"/>
      <c r="L132" s="41"/>
      <c r="N132" s="28"/>
      <c r="O132" s="41"/>
    </row>
    <row r="133" spans="2:15" x14ac:dyDescent="0.35">
      <c r="B133" s="27"/>
      <c r="C133" s="40"/>
      <c r="E133" s="27"/>
      <c r="F133" s="40"/>
      <c r="H133" s="27"/>
      <c r="I133" s="40"/>
      <c r="K133" s="27"/>
      <c r="L133" s="40"/>
      <c r="N133" s="27"/>
      <c r="O133" s="40"/>
    </row>
    <row r="134" spans="2:15" x14ac:dyDescent="0.35">
      <c r="B134" s="28"/>
      <c r="C134" s="41"/>
      <c r="E134" s="28"/>
      <c r="F134" s="41"/>
      <c r="H134" s="28"/>
      <c r="I134" s="41"/>
      <c r="K134" s="28"/>
      <c r="L134" s="41"/>
      <c r="N134" s="28"/>
      <c r="O134" s="41"/>
    </row>
    <row r="135" spans="2:15" x14ac:dyDescent="0.35">
      <c r="B135" s="27"/>
      <c r="C135" s="40"/>
      <c r="E135" s="27"/>
      <c r="F135" s="40"/>
      <c r="H135" s="27"/>
      <c r="I135" s="40"/>
      <c r="K135" s="27"/>
      <c r="L135" s="40"/>
      <c r="N135" s="27"/>
      <c r="O135" s="40"/>
    </row>
    <row r="136" spans="2:15" x14ac:dyDescent="0.35">
      <c r="B136" s="28"/>
      <c r="C136" s="41"/>
      <c r="E136" s="28"/>
      <c r="F136" s="41"/>
      <c r="H136" s="28"/>
      <c r="I136" s="41"/>
      <c r="K136" s="28"/>
      <c r="L136" s="41"/>
      <c r="N136" s="28"/>
      <c r="O136" s="41"/>
    </row>
    <row r="137" spans="2:15" x14ac:dyDescent="0.35">
      <c r="B137" s="27"/>
      <c r="C137" s="40"/>
      <c r="E137" s="27"/>
      <c r="F137" s="40"/>
      <c r="H137" s="27"/>
      <c r="I137" s="40"/>
      <c r="K137" s="27"/>
      <c r="L137" s="40"/>
      <c r="N137" s="27"/>
      <c r="O137" s="40"/>
    </row>
    <row r="138" spans="2:15" x14ac:dyDescent="0.35">
      <c r="B138" s="28"/>
      <c r="C138" s="41"/>
      <c r="E138" s="28"/>
      <c r="F138" s="41"/>
      <c r="H138" s="28"/>
      <c r="I138" s="41"/>
      <c r="K138" s="28"/>
      <c r="L138" s="41"/>
      <c r="N138" s="28"/>
      <c r="O138" s="41"/>
    </row>
    <row r="139" spans="2:15" x14ac:dyDescent="0.35">
      <c r="B139" s="27"/>
      <c r="C139" s="40"/>
      <c r="E139" s="27"/>
      <c r="F139" s="40"/>
      <c r="H139" s="27"/>
      <c r="I139" s="40"/>
      <c r="K139" s="27"/>
      <c r="L139" s="40"/>
      <c r="N139" s="27"/>
      <c r="O139" s="40"/>
    </row>
    <row r="140" spans="2:15" x14ac:dyDescent="0.35">
      <c r="B140" s="28"/>
      <c r="C140" s="41"/>
      <c r="E140" s="28"/>
      <c r="F140" s="41"/>
      <c r="H140" s="28"/>
      <c r="I140" s="41"/>
      <c r="K140" s="28"/>
      <c r="L140" s="41"/>
      <c r="N140" s="28"/>
      <c r="O140" s="41"/>
    </row>
    <row r="141" spans="2:15" x14ac:dyDescent="0.35">
      <c r="B141" s="27"/>
      <c r="C141" s="40"/>
      <c r="E141" s="27"/>
      <c r="F141" s="40"/>
      <c r="H141" s="27"/>
      <c r="I141" s="40"/>
      <c r="K141" s="27"/>
      <c r="L141" s="40"/>
      <c r="N141" s="27"/>
      <c r="O141" s="40"/>
    </row>
    <row r="142" spans="2:15" x14ac:dyDescent="0.35">
      <c r="B142" s="28"/>
      <c r="C142" s="41"/>
      <c r="E142" s="28"/>
      <c r="F142" s="41"/>
      <c r="H142" s="28"/>
      <c r="I142" s="41"/>
      <c r="K142" s="28"/>
      <c r="L142" s="41"/>
      <c r="N142" s="28"/>
      <c r="O142" s="41"/>
    </row>
    <row r="143" spans="2:15" x14ac:dyDescent="0.35">
      <c r="B143" s="27"/>
      <c r="C143" s="40"/>
      <c r="E143" s="27"/>
      <c r="F143" s="40"/>
      <c r="H143" s="27"/>
      <c r="I143" s="40"/>
      <c r="K143" s="27"/>
      <c r="L143" s="40"/>
      <c r="N143" s="27"/>
      <c r="O143" s="40"/>
    </row>
    <row r="144" spans="2:15" x14ac:dyDescent="0.35">
      <c r="B144" s="28"/>
      <c r="C144" s="41"/>
      <c r="E144" s="28"/>
      <c r="F144" s="41"/>
      <c r="H144" s="28"/>
      <c r="I144" s="41"/>
      <c r="K144" s="28"/>
      <c r="L144" s="41"/>
      <c r="N144" s="28"/>
      <c r="O144" s="41"/>
    </row>
    <row r="145" spans="2:15" x14ac:dyDescent="0.35">
      <c r="B145" s="27"/>
      <c r="C145" s="40"/>
      <c r="E145" s="27"/>
      <c r="F145" s="40"/>
      <c r="H145" s="27"/>
      <c r="I145" s="40"/>
      <c r="K145" s="27"/>
      <c r="L145" s="40"/>
      <c r="N145" s="27"/>
      <c r="O145" s="40"/>
    </row>
    <row r="146" spans="2:15" x14ac:dyDescent="0.35">
      <c r="B146" s="28"/>
      <c r="C146" s="41"/>
      <c r="E146" s="28"/>
      <c r="F146" s="41"/>
      <c r="H146" s="28"/>
      <c r="I146" s="41"/>
      <c r="K146" s="28"/>
      <c r="L146" s="41"/>
      <c r="N146" s="28"/>
      <c r="O146" s="41"/>
    </row>
    <row r="147" spans="2:15" x14ac:dyDescent="0.35">
      <c r="B147" s="27"/>
      <c r="C147" s="40"/>
      <c r="E147" s="27"/>
      <c r="F147" s="40"/>
      <c r="H147" s="27"/>
      <c r="I147" s="40"/>
      <c r="K147" s="27"/>
      <c r="L147" s="40"/>
      <c r="N147" s="27"/>
      <c r="O147" s="40"/>
    </row>
    <row r="148" spans="2:15" x14ac:dyDescent="0.35">
      <c r="B148" s="28"/>
      <c r="C148" s="41"/>
      <c r="E148" s="28"/>
      <c r="F148" s="41"/>
      <c r="H148" s="28"/>
      <c r="I148" s="41"/>
      <c r="K148" s="28"/>
      <c r="L148" s="41"/>
      <c r="N148" s="28"/>
      <c r="O148" s="41"/>
    </row>
    <row r="149" spans="2:15" x14ac:dyDescent="0.35">
      <c r="B149" s="27"/>
      <c r="C149" s="40"/>
      <c r="E149" s="27"/>
      <c r="F149" s="40"/>
      <c r="H149" s="27"/>
      <c r="I149" s="40"/>
      <c r="K149" s="27"/>
      <c r="L149" s="40"/>
      <c r="N149" s="27"/>
      <c r="O149" s="40"/>
    </row>
    <row r="150" spans="2:15" x14ac:dyDescent="0.35">
      <c r="B150" s="28"/>
      <c r="C150" s="41"/>
      <c r="E150" s="28"/>
      <c r="F150" s="41"/>
      <c r="H150" s="28"/>
      <c r="I150" s="41"/>
      <c r="K150" s="28"/>
      <c r="L150" s="41"/>
      <c r="N150" s="28"/>
      <c r="O150" s="41"/>
    </row>
    <row r="151" spans="2:15" x14ac:dyDescent="0.35">
      <c r="B151" s="27"/>
      <c r="C151" s="40"/>
      <c r="E151" s="27"/>
      <c r="F151" s="40"/>
      <c r="H151" s="27"/>
      <c r="I151" s="40"/>
      <c r="K151" s="27"/>
      <c r="L151" s="40"/>
      <c r="N151" s="27"/>
      <c r="O151" s="40"/>
    </row>
    <row r="152" spans="2:15" x14ac:dyDescent="0.35">
      <c r="B152" s="28"/>
      <c r="C152" s="41"/>
      <c r="E152" s="28"/>
      <c r="F152" s="41"/>
      <c r="H152" s="28"/>
      <c r="I152" s="41"/>
      <c r="K152" s="28"/>
      <c r="L152" s="41"/>
      <c r="N152" s="28"/>
      <c r="O152" s="41"/>
    </row>
    <row r="153" spans="2:15" x14ac:dyDescent="0.35">
      <c r="B153" s="27"/>
      <c r="C153" s="40"/>
      <c r="E153" s="27"/>
      <c r="F153" s="40"/>
      <c r="H153" s="27"/>
      <c r="I153" s="40"/>
      <c r="K153" s="27"/>
      <c r="L153" s="40"/>
      <c r="N153" s="27"/>
      <c r="O153" s="40"/>
    </row>
    <row r="154" spans="2:15" x14ac:dyDescent="0.35">
      <c r="B154" s="28"/>
      <c r="C154" s="41"/>
      <c r="E154" s="28"/>
      <c r="F154" s="41"/>
      <c r="H154" s="28"/>
      <c r="I154" s="41"/>
      <c r="K154" s="28"/>
      <c r="L154" s="41"/>
      <c r="N154" s="28"/>
      <c r="O154" s="41"/>
    </row>
    <row r="155" spans="2:15" x14ac:dyDescent="0.35">
      <c r="B155" s="27"/>
      <c r="C155" s="40"/>
      <c r="E155" s="27"/>
      <c r="F155" s="40"/>
      <c r="H155" s="27"/>
      <c r="I155" s="40"/>
      <c r="K155" s="27"/>
      <c r="L155" s="40"/>
      <c r="N155" s="27"/>
      <c r="O155" s="40"/>
    </row>
    <row r="156" spans="2:15" x14ac:dyDescent="0.35">
      <c r="B156" s="28"/>
      <c r="C156" s="41"/>
      <c r="E156" s="28"/>
      <c r="F156" s="41"/>
      <c r="H156" s="28"/>
      <c r="I156" s="41"/>
      <c r="K156" s="28"/>
      <c r="L156" s="41"/>
      <c r="N156" s="28"/>
      <c r="O156" s="41"/>
    </row>
    <row r="157" spans="2:15" x14ac:dyDescent="0.35">
      <c r="B157" s="27"/>
      <c r="C157" s="40"/>
      <c r="E157" s="27"/>
      <c r="F157" s="40"/>
      <c r="H157" s="27"/>
      <c r="I157" s="40"/>
      <c r="K157" s="27"/>
      <c r="L157" s="40"/>
      <c r="N157" s="27"/>
      <c r="O157" s="40"/>
    </row>
    <row r="158" spans="2:15" x14ac:dyDescent="0.35">
      <c r="B158" s="28"/>
      <c r="C158" s="41"/>
      <c r="E158" s="28"/>
      <c r="F158" s="41"/>
      <c r="H158" s="28"/>
      <c r="I158" s="41"/>
      <c r="K158" s="28"/>
      <c r="L158" s="41"/>
      <c r="N158" s="28"/>
      <c r="O158" s="41"/>
    </row>
    <row r="159" spans="2:15" x14ac:dyDescent="0.35">
      <c r="B159" s="27"/>
      <c r="C159" s="40"/>
      <c r="E159" s="27"/>
      <c r="F159" s="40"/>
      <c r="H159" s="27"/>
      <c r="I159" s="40"/>
      <c r="K159" s="27"/>
      <c r="L159" s="40"/>
      <c r="N159" s="27"/>
      <c r="O159" s="40"/>
    </row>
    <row r="160" spans="2:15" x14ac:dyDescent="0.35">
      <c r="B160" s="28"/>
      <c r="C160" s="41"/>
      <c r="E160" s="28"/>
      <c r="F160" s="41"/>
      <c r="H160" s="28"/>
      <c r="I160" s="41"/>
      <c r="K160" s="28"/>
      <c r="L160" s="41"/>
      <c r="N160" s="28"/>
      <c r="O160" s="41"/>
    </row>
    <row r="161" spans="2:15" x14ac:dyDescent="0.35">
      <c r="B161" s="27"/>
      <c r="C161" s="40"/>
      <c r="E161" s="27"/>
      <c r="F161" s="40"/>
      <c r="H161" s="27"/>
      <c r="I161" s="40"/>
      <c r="K161" s="27"/>
      <c r="L161" s="40"/>
      <c r="N161" s="27"/>
      <c r="O161" s="40"/>
    </row>
    <row r="162" spans="2:15" x14ac:dyDescent="0.35">
      <c r="B162" s="28"/>
      <c r="C162" s="41"/>
      <c r="E162" s="28"/>
      <c r="F162" s="41"/>
      <c r="H162" s="28"/>
      <c r="I162" s="41"/>
      <c r="K162" s="28"/>
      <c r="L162" s="41"/>
      <c r="N162" s="28"/>
      <c r="O162" s="41"/>
    </row>
    <row r="163" spans="2:15" x14ac:dyDescent="0.35">
      <c r="B163" s="27"/>
      <c r="C163" s="40"/>
      <c r="E163" s="27"/>
      <c r="F163" s="40"/>
      <c r="H163" s="27"/>
      <c r="I163" s="40"/>
      <c r="K163" s="27"/>
      <c r="L163" s="40"/>
      <c r="N163" s="27"/>
      <c r="O163" s="40"/>
    </row>
    <row r="164" spans="2:15" x14ac:dyDescent="0.35">
      <c r="B164" s="28"/>
      <c r="C164" s="41"/>
      <c r="E164" s="28"/>
      <c r="F164" s="41"/>
      <c r="H164" s="28"/>
      <c r="I164" s="41"/>
      <c r="K164" s="28"/>
      <c r="L164" s="41"/>
      <c r="N164" s="28"/>
      <c r="O164" s="41"/>
    </row>
    <row r="165" spans="2:15" x14ac:dyDescent="0.35">
      <c r="B165" s="27"/>
      <c r="C165" s="40"/>
      <c r="E165" s="27"/>
      <c r="F165" s="40"/>
      <c r="H165" s="27"/>
      <c r="I165" s="40"/>
      <c r="K165" s="27"/>
      <c r="L165" s="40"/>
      <c r="N165" s="27"/>
      <c r="O165" s="40"/>
    </row>
    <row r="166" spans="2:15" x14ac:dyDescent="0.35">
      <c r="B166" s="28"/>
      <c r="C166" s="41"/>
      <c r="E166" s="28"/>
      <c r="F166" s="41"/>
      <c r="H166" s="28"/>
      <c r="I166" s="41"/>
      <c r="K166" s="28"/>
      <c r="L166" s="41"/>
      <c r="N166" s="28"/>
      <c r="O166" s="41"/>
    </row>
    <row r="167" spans="2:15" x14ac:dyDescent="0.35">
      <c r="B167" s="27"/>
      <c r="C167" s="40"/>
      <c r="E167" s="27"/>
      <c r="F167" s="40"/>
      <c r="H167" s="27"/>
      <c r="I167" s="40"/>
      <c r="K167" s="27"/>
      <c r="L167" s="40"/>
      <c r="N167" s="27"/>
      <c r="O167" s="40"/>
    </row>
    <row r="168" spans="2:15" x14ac:dyDescent="0.35">
      <c r="B168" s="28"/>
      <c r="C168" s="41"/>
      <c r="E168" s="28"/>
      <c r="F168" s="41"/>
      <c r="H168" s="28"/>
      <c r="I168" s="41"/>
      <c r="K168" s="28"/>
      <c r="L168" s="41"/>
      <c r="N168" s="28"/>
      <c r="O168" s="41"/>
    </row>
    <row r="169" spans="2:15" x14ac:dyDescent="0.35">
      <c r="B169" s="27"/>
      <c r="C169" s="40"/>
      <c r="E169" s="27"/>
      <c r="F169" s="40"/>
      <c r="H169" s="27"/>
      <c r="I169" s="40"/>
      <c r="K169" s="27"/>
      <c r="L169" s="40"/>
      <c r="N169" s="27"/>
      <c r="O169" s="40"/>
    </row>
    <row r="170" spans="2:15" x14ac:dyDescent="0.35">
      <c r="B170" s="28"/>
      <c r="C170" s="41"/>
      <c r="E170" s="28"/>
      <c r="F170" s="41"/>
      <c r="H170" s="28"/>
      <c r="I170" s="41"/>
      <c r="K170" s="28"/>
      <c r="L170" s="41"/>
      <c r="N170" s="28"/>
      <c r="O170" s="41"/>
    </row>
    <row r="171" spans="2:15" x14ac:dyDescent="0.35">
      <c r="B171" s="27"/>
      <c r="C171" s="40"/>
      <c r="E171" s="27"/>
      <c r="F171" s="40"/>
      <c r="H171" s="27"/>
      <c r="I171" s="40"/>
      <c r="K171" s="27"/>
      <c r="L171" s="40"/>
      <c r="N171" s="27"/>
      <c r="O171" s="40"/>
    </row>
    <row r="172" spans="2:15" x14ac:dyDescent="0.35">
      <c r="B172" s="28"/>
      <c r="C172" s="41"/>
      <c r="E172" s="28"/>
      <c r="F172" s="41"/>
      <c r="H172" s="28"/>
      <c r="I172" s="41"/>
      <c r="K172" s="28"/>
      <c r="L172" s="41"/>
      <c r="N172" s="28"/>
      <c r="O172" s="41"/>
    </row>
    <row r="173" spans="2:15" x14ac:dyDescent="0.35">
      <c r="B173" s="27"/>
      <c r="C173" s="40"/>
      <c r="E173" s="27"/>
      <c r="F173" s="40"/>
      <c r="H173" s="27"/>
      <c r="I173" s="40"/>
      <c r="K173" s="27"/>
      <c r="L173" s="40"/>
      <c r="N173" s="27"/>
      <c r="O173" s="40"/>
    </row>
    <row r="174" spans="2:15" x14ac:dyDescent="0.35">
      <c r="B174" s="28"/>
      <c r="C174" s="41"/>
      <c r="E174" s="28"/>
      <c r="F174" s="41"/>
      <c r="H174" s="28"/>
      <c r="I174" s="41"/>
      <c r="K174" s="28"/>
      <c r="L174" s="41"/>
      <c r="N174" s="28"/>
      <c r="O174" s="41"/>
    </row>
    <row r="175" spans="2:15" x14ac:dyDescent="0.35">
      <c r="B175" s="27"/>
      <c r="C175" s="40"/>
      <c r="E175" s="27"/>
      <c r="F175" s="40"/>
      <c r="H175" s="27"/>
      <c r="I175" s="40"/>
      <c r="K175" s="27"/>
      <c r="L175" s="40"/>
      <c r="N175" s="27"/>
      <c r="O175" s="40"/>
    </row>
    <row r="176" spans="2:15" x14ac:dyDescent="0.35">
      <c r="B176" s="28"/>
      <c r="C176" s="41"/>
      <c r="E176" s="28"/>
      <c r="F176" s="41"/>
      <c r="H176" s="28"/>
      <c r="I176" s="41"/>
      <c r="K176" s="28"/>
      <c r="L176" s="41"/>
      <c r="N176" s="28"/>
      <c r="O176" s="41"/>
    </row>
    <row r="177" spans="2:15" x14ac:dyDescent="0.35">
      <c r="B177" s="27"/>
      <c r="C177" s="40"/>
      <c r="E177" s="27"/>
      <c r="F177" s="40"/>
      <c r="H177" s="27"/>
      <c r="I177" s="40"/>
      <c r="K177" s="27"/>
      <c r="L177" s="40"/>
      <c r="N177" s="27"/>
      <c r="O177" s="40"/>
    </row>
    <row r="178" spans="2:15" x14ac:dyDescent="0.35">
      <c r="B178" s="28"/>
      <c r="C178" s="41"/>
      <c r="E178" s="28"/>
      <c r="F178" s="41"/>
      <c r="H178" s="28"/>
      <c r="I178" s="41"/>
      <c r="K178" s="28"/>
      <c r="L178" s="41"/>
      <c r="N178" s="28"/>
      <c r="O178" s="41"/>
    </row>
    <row r="179" spans="2:15" x14ac:dyDescent="0.35">
      <c r="B179" s="27"/>
      <c r="C179" s="40"/>
      <c r="E179" s="27"/>
      <c r="F179" s="40"/>
      <c r="H179" s="27"/>
      <c r="I179" s="40"/>
      <c r="K179" s="27"/>
      <c r="L179" s="40"/>
      <c r="N179" s="27"/>
      <c r="O179" s="40"/>
    </row>
    <row r="180" spans="2:15" x14ac:dyDescent="0.35">
      <c r="B180" s="28"/>
      <c r="C180" s="41"/>
      <c r="E180" s="28"/>
      <c r="F180" s="41"/>
      <c r="H180" s="28"/>
      <c r="I180" s="41"/>
      <c r="K180" s="28"/>
      <c r="L180" s="41"/>
      <c r="N180" s="28"/>
      <c r="O180" s="41"/>
    </row>
    <row r="181" spans="2:15" x14ac:dyDescent="0.35">
      <c r="B181" s="27"/>
      <c r="C181" s="40"/>
      <c r="E181" s="27"/>
      <c r="F181" s="40"/>
      <c r="H181" s="27"/>
      <c r="I181" s="40"/>
      <c r="K181" s="27"/>
      <c r="L181" s="40"/>
      <c r="N181" s="27"/>
      <c r="O181" s="40"/>
    </row>
    <row r="182" spans="2:15" x14ac:dyDescent="0.35">
      <c r="B182" s="28"/>
      <c r="C182" s="41"/>
      <c r="E182" s="28"/>
      <c r="F182" s="41"/>
      <c r="H182" s="28"/>
      <c r="I182" s="41"/>
      <c r="K182" s="28"/>
      <c r="L182" s="41"/>
      <c r="N182" s="28"/>
      <c r="O182" s="41"/>
    </row>
    <row r="183" spans="2:15" x14ac:dyDescent="0.35">
      <c r="B183" s="27"/>
      <c r="C183" s="40"/>
      <c r="E183" s="27"/>
      <c r="F183" s="40"/>
      <c r="H183" s="27"/>
      <c r="I183" s="40"/>
      <c r="K183" s="27"/>
      <c r="L183" s="40"/>
      <c r="N183" s="27"/>
      <c r="O183" s="40"/>
    </row>
    <row r="184" spans="2:15" x14ac:dyDescent="0.35">
      <c r="B184" s="28"/>
      <c r="C184" s="41"/>
      <c r="E184" s="28"/>
      <c r="F184" s="41"/>
      <c r="H184" s="28"/>
      <c r="I184" s="41"/>
      <c r="K184" s="28"/>
      <c r="L184" s="41"/>
      <c r="N184" s="28"/>
      <c r="O184" s="41"/>
    </row>
    <row r="185" spans="2:15" x14ac:dyDescent="0.35">
      <c r="B185" s="27"/>
      <c r="C185" s="40"/>
      <c r="E185" s="27"/>
      <c r="F185" s="40"/>
      <c r="H185" s="27"/>
      <c r="I185" s="40"/>
      <c r="K185" s="27"/>
      <c r="L185" s="40"/>
      <c r="N185" s="27"/>
      <c r="O185" s="40"/>
    </row>
    <row r="186" spans="2:15" x14ac:dyDescent="0.35">
      <c r="B186" s="28"/>
      <c r="C186" s="41"/>
      <c r="E186" s="28"/>
      <c r="F186" s="41"/>
      <c r="H186" s="28"/>
      <c r="I186" s="41"/>
      <c r="K186" s="28"/>
      <c r="L186" s="41"/>
      <c r="N186" s="28"/>
      <c r="O186" s="41"/>
    </row>
    <row r="187" spans="2:15" x14ac:dyDescent="0.35">
      <c r="B187" s="27"/>
      <c r="C187" s="40"/>
      <c r="E187" s="27"/>
      <c r="F187" s="40"/>
      <c r="H187" s="27"/>
      <c r="I187" s="40"/>
      <c r="K187" s="27"/>
      <c r="L187" s="40"/>
      <c r="N187" s="27"/>
      <c r="O187" s="40"/>
    </row>
    <row r="188" spans="2:15" x14ac:dyDescent="0.35">
      <c r="B188" s="28"/>
      <c r="C188" s="41"/>
      <c r="E188" s="28"/>
      <c r="F188" s="41"/>
      <c r="H188" s="28"/>
      <c r="I188" s="41"/>
      <c r="K188" s="28"/>
      <c r="L188" s="41"/>
      <c r="N188" s="28"/>
      <c r="O188" s="41"/>
    </row>
    <row r="189" spans="2:15" x14ac:dyDescent="0.35">
      <c r="B189" s="27"/>
      <c r="C189" s="40"/>
      <c r="E189" s="27"/>
      <c r="F189" s="40"/>
      <c r="H189" s="27"/>
      <c r="I189" s="40"/>
      <c r="K189" s="27"/>
      <c r="L189" s="40"/>
      <c r="N189" s="27"/>
      <c r="O189" s="40"/>
    </row>
    <row r="190" spans="2:15" x14ac:dyDescent="0.35">
      <c r="B190" s="28"/>
      <c r="C190" s="41"/>
      <c r="E190" s="28"/>
      <c r="F190" s="41"/>
      <c r="H190" s="28"/>
      <c r="I190" s="41"/>
      <c r="K190" s="28"/>
      <c r="L190" s="41"/>
      <c r="N190" s="28"/>
      <c r="O190" s="41"/>
    </row>
    <row r="191" spans="2:15" x14ac:dyDescent="0.35">
      <c r="B191" s="27"/>
      <c r="C191" s="40"/>
      <c r="E191" s="27"/>
      <c r="F191" s="40"/>
      <c r="H191" s="27"/>
      <c r="I191" s="40"/>
      <c r="K191" s="27"/>
      <c r="L191" s="40"/>
      <c r="N191" s="27"/>
      <c r="O191" s="40"/>
    </row>
    <row r="192" spans="2:15" x14ac:dyDescent="0.35">
      <c r="B192" s="28"/>
      <c r="C192" s="41"/>
      <c r="E192" s="28"/>
      <c r="F192" s="41"/>
      <c r="H192" s="28"/>
      <c r="I192" s="41"/>
      <c r="K192" s="28"/>
      <c r="L192" s="41"/>
      <c r="N192" s="28"/>
      <c r="O192" s="41"/>
    </row>
    <row r="193" spans="2:15" x14ac:dyDescent="0.35">
      <c r="B193" s="27"/>
      <c r="C193" s="40"/>
      <c r="E193" s="27"/>
      <c r="F193" s="40"/>
      <c r="H193" s="27"/>
      <c r="I193" s="40"/>
      <c r="K193" s="27"/>
      <c r="L193" s="40"/>
      <c r="N193" s="27"/>
      <c r="O193" s="40"/>
    </row>
    <row r="194" spans="2:15" x14ac:dyDescent="0.35">
      <c r="B194" s="28"/>
      <c r="C194" s="41"/>
      <c r="E194" s="28"/>
      <c r="F194" s="41"/>
      <c r="H194" s="28"/>
      <c r="I194" s="41"/>
      <c r="K194" s="28"/>
      <c r="L194" s="41"/>
      <c r="N194" s="28"/>
      <c r="O194" s="41"/>
    </row>
    <row r="195" spans="2:15" x14ac:dyDescent="0.35">
      <c r="B195" s="27"/>
      <c r="C195" s="40"/>
      <c r="E195" s="27"/>
      <c r="F195" s="40"/>
      <c r="H195" s="27"/>
      <c r="I195" s="40"/>
      <c r="K195" s="27"/>
      <c r="L195" s="40"/>
      <c r="N195" s="27"/>
      <c r="O195" s="40"/>
    </row>
    <row r="196" spans="2:15" x14ac:dyDescent="0.35">
      <c r="B196" s="28"/>
      <c r="C196" s="41"/>
      <c r="E196" s="28"/>
      <c r="F196" s="41"/>
      <c r="H196" s="28"/>
      <c r="I196" s="41"/>
      <c r="K196" s="28"/>
      <c r="L196" s="41"/>
      <c r="N196" s="28"/>
      <c r="O196" s="41"/>
    </row>
    <row r="197" spans="2:15" x14ac:dyDescent="0.35">
      <c r="B197" s="27"/>
      <c r="C197" s="40"/>
      <c r="E197" s="27"/>
      <c r="F197" s="40"/>
      <c r="H197" s="27"/>
      <c r="I197" s="40"/>
      <c r="K197" s="27"/>
      <c r="L197" s="40"/>
      <c r="N197" s="27"/>
      <c r="O197" s="40"/>
    </row>
    <row r="198" spans="2:15" x14ac:dyDescent="0.35">
      <c r="B198" s="28"/>
      <c r="C198" s="41"/>
      <c r="E198" s="28"/>
      <c r="F198" s="41"/>
      <c r="H198" s="28"/>
      <c r="I198" s="41"/>
      <c r="K198" s="28"/>
      <c r="L198" s="41"/>
      <c r="N198" s="28"/>
      <c r="O198" s="41"/>
    </row>
    <row r="199" spans="2:15" x14ac:dyDescent="0.35">
      <c r="B199" s="27"/>
      <c r="C199" s="40"/>
      <c r="E199" s="27"/>
      <c r="F199" s="40"/>
      <c r="H199" s="27"/>
      <c r="I199" s="40"/>
      <c r="K199" s="27"/>
      <c r="L199" s="40"/>
      <c r="N199" s="27"/>
      <c r="O199" s="40"/>
    </row>
    <row r="200" spans="2:15" x14ac:dyDescent="0.35">
      <c r="B200" s="28"/>
      <c r="C200" s="41"/>
      <c r="E200" s="28"/>
      <c r="F200" s="41"/>
      <c r="H200" s="28"/>
      <c r="I200" s="41"/>
      <c r="K200" s="28"/>
      <c r="L200" s="41"/>
      <c r="N200" s="28"/>
      <c r="O200" s="41"/>
    </row>
    <row r="201" spans="2:15" x14ac:dyDescent="0.35">
      <c r="B201" s="27"/>
      <c r="C201" s="40"/>
      <c r="E201" s="27"/>
      <c r="F201" s="40"/>
      <c r="H201" s="27"/>
      <c r="I201" s="40"/>
      <c r="K201" s="27"/>
      <c r="L201" s="40"/>
      <c r="N201" s="27"/>
      <c r="O201" s="40"/>
    </row>
    <row r="202" spans="2:15" x14ac:dyDescent="0.35">
      <c r="B202" s="28"/>
      <c r="C202" s="41"/>
      <c r="E202" s="28"/>
      <c r="F202" s="41"/>
      <c r="H202" s="28"/>
      <c r="I202" s="41"/>
      <c r="K202" s="28"/>
      <c r="L202" s="41"/>
      <c r="N202" s="28"/>
      <c r="O202" s="41"/>
    </row>
    <row r="203" spans="2:15" x14ac:dyDescent="0.35">
      <c r="B203" s="27"/>
      <c r="C203" s="40"/>
      <c r="E203" s="27"/>
      <c r="F203" s="40"/>
      <c r="H203" s="27"/>
      <c r="I203" s="40"/>
      <c r="K203" s="27"/>
      <c r="L203" s="40"/>
      <c r="N203" s="27"/>
      <c r="O203" s="40"/>
    </row>
    <row r="204" spans="2:15" x14ac:dyDescent="0.35">
      <c r="B204" s="28"/>
      <c r="C204" s="41"/>
      <c r="E204" s="28"/>
      <c r="F204" s="41"/>
      <c r="H204" s="28"/>
      <c r="I204" s="41"/>
      <c r="K204" s="28"/>
      <c r="L204" s="41"/>
      <c r="N204" s="28"/>
      <c r="O204" s="41"/>
    </row>
    <row r="205" spans="2:15" x14ac:dyDescent="0.35">
      <c r="B205" s="27"/>
      <c r="C205" s="40"/>
      <c r="E205" s="27"/>
      <c r="F205" s="40"/>
      <c r="H205" s="27"/>
      <c r="I205" s="40"/>
      <c r="K205" s="27"/>
      <c r="L205" s="40"/>
      <c r="N205" s="27"/>
      <c r="O205" s="40"/>
    </row>
    <row r="206" spans="2:15" x14ac:dyDescent="0.35">
      <c r="B206" s="28"/>
      <c r="C206" s="41"/>
      <c r="E206" s="28"/>
      <c r="F206" s="41"/>
      <c r="H206" s="28"/>
      <c r="I206" s="41"/>
      <c r="K206" s="28"/>
      <c r="L206" s="41"/>
      <c r="N206" s="28"/>
      <c r="O206" s="41"/>
    </row>
    <row r="207" spans="2:15" x14ac:dyDescent="0.35">
      <c r="B207" s="27"/>
      <c r="C207" s="40"/>
      <c r="E207" s="27"/>
      <c r="F207" s="40"/>
      <c r="H207" s="27"/>
      <c r="I207" s="40"/>
      <c r="K207" s="27"/>
      <c r="L207" s="40"/>
      <c r="N207" s="27"/>
      <c r="O207" s="40"/>
    </row>
    <row r="208" spans="2:15" x14ac:dyDescent="0.35">
      <c r="B208" s="28"/>
      <c r="C208" s="41"/>
      <c r="E208" s="28"/>
      <c r="F208" s="41"/>
      <c r="H208" s="28"/>
      <c r="I208" s="41"/>
      <c r="K208" s="28"/>
      <c r="L208" s="41"/>
      <c r="N208" s="28"/>
      <c r="O208" s="41"/>
    </row>
    <row r="209" spans="2:15" x14ac:dyDescent="0.35">
      <c r="B209" s="27"/>
      <c r="C209" s="40"/>
      <c r="E209" s="27"/>
      <c r="F209" s="40"/>
      <c r="H209" s="27"/>
      <c r="I209" s="40"/>
      <c r="K209" s="27"/>
      <c r="L209" s="40"/>
      <c r="N209" s="27"/>
      <c r="O209" s="40"/>
    </row>
    <row r="210" spans="2:15" x14ac:dyDescent="0.35">
      <c r="B210" s="28"/>
      <c r="C210" s="41"/>
      <c r="E210" s="28"/>
      <c r="F210" s="41"/>
      <c r="H210" s="28"/>
      <c r="I210" s="41"/>
      <c r="K210" s="28"/>
      <c r="L210" s="41"/>
      <c r="N210" s="28"/>
      <c r="O210" s="41"/>
    </row>
    <row r="211" spans="2:15" x14ac:dyDescent="0.35">
      <c r="B211" s="27"/>
      <c r="C211" s="40"/>
      <c r="E211" s="27"/>
      <c r="F211" s="40"/>
      <c r="H211" s="27"/>
      <c r="I211" s="40"/>
      <c r="K211" s="27"/>
      <c r="L211" s="40"/>
      <c r="N211" s="27"/>
      <c r="O211" s="40"/>
    </row>
    <row r="212" spans="2:15" x14ac:dyDescent="0.35">
      <c r="B212" s="28"/>
      <c r="C212" s="41"/>
      <c r="E212" s="28"/>
      <c r="F212" s="41"/>
      <c r="H212" s="28"/>
      <c r="I212" s="41"/>
      <c r="K212" s="28"/>
      <c r="L212" s="41"/>
      <c r="N212" s="28"/>
      <c r="O212" s="41"/>
    </row>
    <row r="213" spans="2:15" x14ac:dyDescent="0.35">
      <c r="B213" s="27"/>
      <c r="C213" s="40"/>
      <c r="E213" s="27"/>
      <c r="F213" s="40"/>
      <c r="H213" s="27"/>
      <c r="I213" s="40"/>
      <c r="K213" s="27"/>
      <c r="L213" s="40"/>
      <c r="N213" s="27"/>
      <c r="O213" s="40"/>
    </row>
    <row r="214" spans="2:15" x14ac:dyDescent="0.35">
      <c r="B214" s="28"/>
      <c r="C214" s="41"/>
      <c r="E214" s="28"/>
      <c r="F214" s="41"/>
      <c r="H214" s="28"/>
      <c r="I214" s="41"/>
      <c r="K214" s="28"/>
      <c r="L214" s="41"/>
      <c r="N214" s="28"/>
      <c r="O214" s="41"/>
    </row>
    <row r="215" spans="2:15" x14ac:dyDescent="0.35">
      <c r="B215" s="27"/>
      <c r="C215" s="40"/>
      <c r="E215" s="27"/>
      <c r="F215" s="40"/>
      <c r="H215" s="27"/>
      <c r="I215" s="40"/>
      <c r="K215" s="27"/>
      <c r="L215" s="40"/>
      <c r="N215" s="27"/>
      <c r="O215" s="40"/>
    </row>
    <row r="216" spans="2:15" x14ac:dyDescent="0.35">
      <c r="B216" s="28"/>
      <c r="C216" s="41"/>
      <c r="E216" s="28"/>
      <c r="F216" s="41"/>
      <c r="H216" s="28"/>
      <c r="I216" s="41"/>
      <c r="K216" s="28"/>
      <c r="L216" s="41"/>
      <c r="N216" s="28"/>
      <c r="O216" s="41"/>
    </row>
    <row r="217" spans="2:15" x14ac:dyDescent="0.35">
      <c r="B217" s="27"/>
      <c r="C217" s="40"/>
      <c r="E217" s="27"/>
      <c r="F217" s="40"/>
      <c r="H217" s="27"/>
      <c r="I217" s="40"/>
      <c r="K217" s="27"/>
      <c r="L217" s="40"/>
      <c r="N217" s="27"/>
      <c r="O217" s="40"/>
    </row>
    <row r="218" spans="2:15" x14ac:dyDescent="0.35">
      <c r="B218" s="28"/>
      <c r="C218" s="41"/>
      <c r="E218" s="28"/>
      <c r="F218" s="41"/>
      <c r="H218" s="28"/>
      <c r="I218" s="41"/>
      <c r="K218" s="28"/>
      <c r="L218" s="41"/>
      <c r="N218" s="28"/>
      <c r="O218" s="41"/>
    </row>
    <row r="219" spans="2:15" x14ac:dyDescent="0.35">
      <c r="B219" s="27"/>
      <c r="C219" s="40"/>
      <c r="E219" s="27"/>
      <c r="F219" s="40"/>
      <c r="H219" s="27"/>
      <c r="I219" s="40"/>
      <c r="K219" s="27"/>
      <c r="L219" s="40"/>
      <c r="N219" s="27"/>
      <c r="O219" s="40"/>
    </row>
    <row r="220" spans="2:15" x14ac:dyDescent="0.35">
      <c r="B220" s="28"/>
      <c r="C220" s="41"/>
      <c r="E220" s="28"/>
      <c r="F220" s="41"/>
      <c r="H220" s="28"/>
      <c r="I220" s="41"/>
      <c r="K220" s="28"/>
      <c r="L220" s="41"/>
      <c r="N220" s="28"/>
      <c r="O220" s="41"/>
    </row>
    <row r="221" spans="2:15" x14ac:dyDescent="0.35">
      <c r="B221" s="27"/>
      <c r="C221" s="40"/>
      <c r="E221" s="27"/>
      <c r="F221" s="40"/>
      <c r="H221" s="27"/>
      <c r="I221" s="40"/>
      <c r="K221" s="27"/>
      <c r="L221" s="40"/>
      <c r="N221" s="27"/>
      <c r="O221" s="40"/>
    </row>
    <row r="222" spans="2:15" x14ac:dyDescent="0.35">
      <c r="B222" s="28"/>
      <c r="C222" s="41"/>
      <c r="E222" s="28"/>
      <c r="F222" s="41"/>
      <c r="H222" s="28"/>
      <c r="I222" s="41"/>
      <c r="K222" s="28"/>
      <c r="L222" s="41"/>
      <c r="N222" s="28"/>
      <c r="O222" s="41"/>
    </row>
    <row r="223" spans="2:15" x14ac:dyDescent="0.35">
      <c r="B223" s="27"/>
      <c r="C223" s="40"/>
      <c r="E223" s="27"/>
      <c r="F223" s="40"/>
      <c r="H223" s="27"/>
      <c r="I223" s="40"/>
      <c r="K223" s="27"/>
      <c r="L223" s="40"/>
      <c r="N223" s="27"/>
      <c r="O223" s="40"/>
    </row>
    <row r="224" spans="2:15" x14ac:dyDescent="0.35">
      <c r="B224" s="28"/>
      <c r="C224" s="41"/>
      <c r="E224" s="28"/>
      <c r="F224" s="41"/>
      <c r="H224" s="28"/>
      <c r="I224" s="41"/>
      <c r="K224" s="28"/>
      <c r="L224" s="41"/>
      <c r="N224" s="28"/>
      <c r="O224" s="41"/>
    </row>
    <row r="225" spans="2:15" x14ac:dyDescent="0.35">
      <c r="B225" s="27"/>
      <c r="C225" s="40"/>
      <c r="E225" s="27"/>
      <c r="F225" s="40"/>
      <c r="H225" s="27"/>
      <c r="I225" s="40"/>
      <c r="K225" s="27"/>
      <c r="L225" s="40"/>
      <c r="N225" s="27"/>
      <c r="O225" s="40"/>
    </row>
    <row r="226" spans="2:15" x14ac:dyDescent="0.35">
      <c r="B226" s="28"/>
      <c r="C226" s="41"/>
      <c r="E226" s="28"/>
      <c r="F226" s="41"/>
      <c r="H226" s="28"/>
      <c r="I226" s="41"/>
      <c r="K226" s="28"/>
      <c r="L226" s="41"/>
      <c r="N226" s="28"/>
      <c r="O226" s="41"/>
    </row>
    <row r="227" spans="2:15" x14ac:dyDescent="0.35">
      <c r="B227" s="27"/>
      <c r="C227" s="40"/>
      <c r="E227" s="27"/>
      <c r="F227" s="40"/>
      <c r="H227" s="27"/>
      <c r="I227" s="40"/>
      <c r="K227" s="27"/>
      <c r="L227" s="40"/>
      <c r="N227" s="27"/>
      <c r="O227" s="40"/>
    </row>
    <row r="228" spans="2:15" x14ac:dyDescent="0.35">
      <c r="B228" s="28"/>
      <c r="C228" s="41"/>
      <c r="E228" s="28"/>
      <c r="F228" s="41"/>
      <c r="H228" s="28"/>
      <c r="I228" s="41"/>
      <c r="K228" s="28"/>
      <c r="L228" s="41"/>
      <c r="N228" s="28"/>
      <c r="O228" s="41"/>
    </row>
    <row r="229" spans="2:15" x14ac:dyDescent="0.35">
      <c r="B229" s="27"/>
      <c r="C229" s="40"/>
      <c r="E229" s="27"/>
      <c r="F229" s="40"/>
      <c r="H229" s="27"/>
      <c r="I229" s="40"/>
      <c r="K229" s="27"/>
      <c r="L229" s="40"/>
      <c r="N229" s="27"/>
      <c r="O229" s="40"/>
    </row>
    <row r="230" spans="2:15" x14ac:dyDescent="0.35">
      <c r="B230" s="28"/>
      <c r="C230" s="41"/>
      <c r="E230" s="28"/>
      <c r="F230" s="41"/>
      <c r="H230" s="28"/>
      <c r="I230" s="41"/>
      <c r="K230" s="28"/>
      <c r="L230" s="41"/>
      <c r="N230" s="28"/>
      <c r="O230" s="41"/>
    </row>
    <row r="231" spans="2:15" x14ac:dyDescent="0.35">
      <c r="B231" s="27"/>
      <c r="C231" s="40"/>
      <c r="E231" s="27"/>
      <c r="F231" s="40"/>
      <c r="H231" s="27"/>
      <c r="I231" s="40"/>
      <c r="K231" s="27"/>
      <c r="L231" s="40"/>
      <c r="N231" s="27"/>
      <c r="O231" s="40"/>
    </row>
    <row r="232" spans="2:15" x14ac:dyDescent="0.35">
      <c r="B232" s="28"/>
      <c r="C232" s="41"/>
      <c r="E232" s="28"/>
      <c r="F232" s="41"/>
      <c r="H232" s="28"/>
      <c r="I232" s="41"/>
      <c r="K232" s="28"/>
      <c r="L232" s="41"/>
      <c r="N232" s="28"/>
      <c r="O232" s="41"/>
    </row>
    <row r="233" spans="2:15" x14ac:dyDescent="0.35">
      <c r="B233" s="27"/>
      <c r="C233" s="40"/>
      <c r="E233" s="27"/>
      <c r="F233" s="40"/>
      <c r="H233" s="27"/>
      <c r="I233" s="40"/>
      <c r="K233" s="27"/>
      <c r="L233" s="40"/>
      <c r="N233" s="27"/>
      <c r="O233" s="40"/>
    </row>
    <row r="234" spans="2:15" x14ac:dyDescent="0.35">
      <c r="B234" s="28"/>
      <c r="C234" s="41"/>
      <c r="E234" s="28"/>
      <c r="F234" s="41"/>
      <c r="H234" s="28"/>
      <c r="I234" s="41"/>
      <c r="K234" s="28"/>
      <c r="L234" s="41"/>
      <c r="N234" s="28"/>
      <c r="O234" s="41"/>
    </row>
    <row r="235" spans="2:15" x14ac:dyDescent="0.35">
      <c r="B235" s="27"/>
      <c r="C235" s="40"/>
      <c r="E235" s="27"/>
      <c r="F235" s="40"/>
      <c r="H235" s="27"/>
      <c r="I235" s="40"/>
      <c r="K235" s="27"/>
      <c r="L235" s="40"/>
      <c r="N235" s="27"/>
      <c r="O235" s="40"/>
    </row>
    <row r="236" spans="2:15" x14ac:dyDescent="0.35">
      <c r="B236" s="28"/>
      <c r="C236" s="41"/>
      <c r="E236" s="28"/>
      <c r="F236" s="41"/>
      <c r="H236" s="28"/>
      <c r="I236" s="41"/>
      <c r="K236" s="28"/>
      <c r="L236" s="41"/>
      <c r="N236" s="28"/>
      <c r="O236" s="41"/>
    </row>
    <row r="237" spans="2:15" x14ac:dyDescent="0.35">
      <c r="B237" s="27"/>
      <c r="C237" s="40"/>
      <c r="E237" s="27"/>
      <c r="F237" s="40"/>
      <c r="H237" s="27"/>
      <c r="I237" s="40"/>
      <c r="K237" s="27"/>
      <c r="L237" s="40"/>
      <c r="N237" s="27"/>
      <c r="O237" s="40"/>
    </row>
    <row r="238" spans="2:15" x14ac:dyDescent="0.35">
      <c r="B238" s="28"/>
      <c r="C238" s="41"/>
      <c r="E238" s="28"/>
      <c r="F238" s="41"/>
      <c r="H238" s="28"/>
      <c r="I238" s="41"/>
      <c r="K238" s="28"/>
      <c r="L238" s="41"/>
      <c r="N238" s="28"/>
      <c r="O238" s="41"/>
    </row>
    <row r="239" spans="2:15" x14ac:dyDescent="0.35">
      <c r="B239" s="27"/>
      <c r="C239" s="40"/>
      <c r="E239" s="27"/>
      <c r="F239" s="40"/>
      <c r="H239" s="27"/>
      <c r="I239" s="40"/>
      <c r="K239" s="27"/>
      <c r="L239" s="40"/>
      <c r="N239" s="27"/>
      <c r="O239" s="40"/>
    </row>
    <row r="240" spans="2:15" x14ac:dyDescent="0.35">
      <c r="B240" s="28"/>
      <c r="C240" s="41"/>
      <c r="E240" s="28"/>
      <c r="F240" s="41"/>
      <c r="H240" s="28"/>
      <c r="I240" s="41"/>
      <c r="K240" s="28"/>
      <c r="L240" s="41"/>
      <c r="N240" s="28"/>
      <c r="O240" s="41"/>
    </row>
    <row r="241" spans="2:15" x14ac:dyDescent="0.35">
      <c r="B241" s="27"/>
      <c r="C241" s="40"/>
      <c r="E241" s="27"/>
      <c r="F241" s="40"/>
      <c r="H241" s="27"/>
      <c r="I241" s="40"/>
      <c r="K241" s="27"/>
      <c r="L241" s="40"/>
      <c r="N241" s="27"/>
      <c r="O241" s="40"/>
    </row>
    <row r="242" spans="2:15" x14ac:dyDescent="0.35">
      <c r="B242" s="28"/>
      <c r="C242" s="41"/>
      <c r="E242" s="28"/>
      <c r="F242" s="41"/>
      <c r="H242" s="28"/>
      <c r="I242" s="41"/>
      <c r="K242" s="28"/>
      <c r="L242" s="41"/>
      <c r="N242" s="28"/>
      <c r="O242" s="41"/>
    </row>
    <row r="243" spans="2:15" x14ac:dyDescent="0.35">
      <c r="B243" s="27"/>
      <c r="C243" s="40"/>
      <c r="E243" s="27"/>
      <c r="F243" s="40"/>
      <c r="H243" s="27"/>
      <c r="I243" s="40"/>
      <c r="K243" s="27"/>
      <c r="L243" s="40"/>
      <c r="N243" s="27"/>
      <c r="O243" s="40"/>
    </row>
    <row r="244" spans="2:15" x14ac:dyDescent="0.35">
      <c r="B244" s="28"/>
      <c r="C244" s="41"/>
      <c r="E244" s="28"/>
      <c r="F244" s="41"/>
      <c r="H244" s="28"/>
      <c r="I244" s="41"/>
      <c r="K244" s="28"/>
      <c r="L244" s="41"/>
      <c r="N244" s="28"/>
      <c r="O244" s="41"/>
    </row>
    <row r="245" spans="2:15" x14ac:dyDescent="0.35">
      <c r="B245" s="27"/>
      <c r="C245" s="40"/>
      <c r="E245" s="27"/>
      <c r="F245" s="40"/>
      <c r="H245" s="27"/>
      <c r="I245" s="40"/>
      <c r="K245" s="27"/>
      <c r="L245" s="40"/>
      <c r="N245" s="27"/>
      <c r="O245" s="40"/>
    </row>
    <row r="246" spans="2:15" x14ac:dyDescent="0.35">
      <c r="B246" s="28"/>
      <c r="C246" s="41"/>
      <c r="E246" s="28"/>
      <c r="F246" s="41"/>
      <c r="H246" s="28"/>
      <c r="I246" s="41"/>
      <c r="K246" s="28"/>
      <c r="L246" s="41"/>
      <c r="N246" s="28"/>
      <c r="O246" s="41"/>
    </row>
    <row r="247" spans="2:15" x14ac:dyDescent="0.35">
      <c r="B247" s="27"/>
      <c r="C247" s="40"/>
      <c r="E247" s="27"/>
      <c r="F247" s="40"/>
      <c r="H247" s="27"/>
      <c r="I247" s="40"/>
      <c r="K247" s="27"/>
      <c r="L247" s="40"/>
      <c r="N247" s="27"/>
      <c r="O247" s="40"/>
    </row>
    <row r="248" spans="2:15" x14ac:dyDescent="0.35">
      <c r="B248" s="28"/>
      <c r="C248" s="41"/>
      <c r="E248" s="28"/>
      <c r="F248" s="41"/>
      <c r="H248" s="28"/>
      <c r="I248" s="41"/>
      <c r="K248" s="28"/>
      <c r="L248" s="41"/>
      <c r="N248" s="28"/>
      <c r="O248" s="41"/>
    </row>
    <row r="249" spans="2:15" x14ac:dyDescent="0.35">
      <c r="B249" s="27"/>
      <c r="C249" s="40"/>
      <c r="E249" s="27"/>
      <c r="F249" s="40"/>
      <c r="H249" s="27"/>
      <c r="I249" s="40"/>
      <c r="K249" s="27"/>
      <c r="L249" s="40"/>
      <c r="N249" s="27"/>
      <c r="O249" s="40"/>
    </row>
    <row r="250" spans="2:15" x14ac:dyDescent="0.35">
      <c r="B250" s="28"/>
      <c r="C250" s="41"/>
      <c r="E250" s="28"/>
      <c r="F250" s="41"/>
      <c r="H250" s="28"/>
      <c r="I250" s="41"/>
      <c r="K250" s="28"/>
      <c r="L250" s="41"/>
      <c r="N250" s="28"/>
      <c r="O250" s="41"/>
    </row>
    <row r="251" spans="2:15" x14ac:dyDescent="0.35">
      <c r="B251" s="27"/>
      <c r="C251" s="40"/>
      <c r="E251" s="27"/>
      <c r="F251" s="40"/>
      <c r="H251" s="27"/>
      <c r="I251" s="40"/>
      <c r="K251" s="27"/>
      <c r="L251" s="40"/>
      <c r="N251" s="27"/>
      <c r="O251" s="40"/>
    </row>
    <row r="252" spans="2:15" x14ac:dyDescent="0.35">
      <c r="B252" s="28"/>
      <c r="C252" s="41"/>
      <c r="E252" s="28"/>
      <c r="F252" s="41"/>
      <c r="H252" s="28"/>
      <c r="I252" s="41"/>
      <c r="K252" s="28"/>
      <c r="L252" s="41"/>
      <c r="N252" s="28"/>
      <c r="O252" s="41"/>
    </row>
    <row r="253" spans="2:15" x14ac:dyDescent="0.35">
      <c r="B253" s="27"/>
      <c r="C253" s="40"/>
      <c r="E253" s="27"/>
      <c r="F253" s="40"/>
      <c r="H253" s="27"/>
      <c r="I253" s="40"/>
      <c r="K253" s="27"/>
      <c r="L253" s="40"/>
      <c r="N253" s="27"/>
      <c r="O253" s="40"/>
    </row>
    <row r="254" spans="2:15" x14ac:dyDescent="0.35">
      <c r="B254" s="28"/>
      <c r="C254" s="41"/>
      <c r="E254" s="28"/>
      <c r="F254" s="41"/>
      <c r="H254" s="28"/>
      <c r="I254" s="41"/>
      <c r="K254" s="28"/>
      <c r="L254" s="41"/>
      <c r="N254" s="28"/>
      <c r="O254" s="41"/>
    </row>
    <row r="255" spans="2:15" x14ac:dyDescent="0.35">
      <c r="B255" s="27"/>
      <c r="C255" s="40"/>
      <c r="E255" s="27"/>
      <c r="F255" s="40"/>
      <c r="H255" s="27"/>
      <c r="I255" s="40"/>
      <c r="K255" s="27"/>
      <c r="L255" s="40"/>
      <c r="N255" s="27"/>
      <c r="O255" s="40"/>
    </row>
    <row r="256" spans="2:15" x14ac:dyDescent="0.35">
      <c r="B256" s="28"/>
      <c r="C256" s="41"/>
      <c r="E256" s="28"/>
      <c r="F256" s="41"/>
      <c r="H256" s="28"/>
      <c r="I256" s="41"/>
      <c r="K256" s="28"/>
      <c r="L256" s="41"/>
      <c r="N256" s="28"/>
      <c r="O256" s="41"/>
    </row>
    <row r="257" spans="2:15" x14ac:dyDescent="0.35">
      <c r="B257" s="27"/>
      <c r="C257" s="40"/>
      <c r="E257" s="27"/>
      <c r="F257" s="40"/>
      <c r="H257" s="27"/>
      <c r="I257" s="40"/>
      <c r="K257" s="27"/>
      <c r="L257" s="40"/>
      <c r="N257" s="27"/>
      <c r="O257" s="40"/>
    </row>
    <row r="258" spans="2:15" x14ac:dyDescent="0.35">
      <c r="B258" s="28"/>
      <c r="C258" s="41"/>
      <c r="E258" s="28"/>
      <c r="F258" s="41"/>
      <c r="H258" s="28"/>
      <c r="I258" s="41"/>
      <c r="K258" s="28"/>
      <c r="L258" s="41"/>
      <c r="N258" s="28"/>
      <c r="O258" s="41"/>
    </row>
    <row r="259" spans="2:15" x14ac:dyDescent="0.35">
      <c r="B259" s="27"/>
      <c r="C259" s="40"/>
      <c r="E259" s="27"/>
      <c r="F259" s="40"/>
      <c r="H259" s="27"/>
      <c r="I259" s="40"/>
      <c r="K259" s="27"/>
      <c r="L259" s="40"/>
      <c r="N259" s="27"/>
      <c r="O259" s="40"/>
    </row>
    <row r="260" spans="2:15" x14ac:dyDescent="0.35">
      <c r="B260" s="28"/>
      <c r="C260" s="41"/>
      <c r="E260" s="28"/>
      <c r="F260" s="41"/>
      <c r="H260" s="28"/>
      <c r="I260" s="41"/>
      <c r="K260" s="28"/>
      <c r="L260" s="41"/>
      <c r="N260" s="28"/>
      <c r="O260" s="41"/>
    </row>
    <row r="261" spans="2:15" x14ac:dyDescent="0.35">
      <c r="B261" s="27"/>
      <c r="C261" s="40"/>
      <c r="E261" s="27"/>
      <c r="F261" s="40"/>
      <c r="H261" s="27"/>
      <c r="I261" s="40"/>
      <c r="K261" s="27"/>
      <c r="L261" s="40"/>
      <c r="N261" s="27"/>
      <c r="O261" s="40"/>
    </row>
    <row r="262" spans="2:15" x14ac:dyDescent="0.35">
      <c r="B262" s="28"/>
      <c r="C262" s="41"/>
      <c r="E262" s="28"/>
      <c r="F262" s="41"/>
      <c r="H262" s="28"/>
      <c r="I262" s="41"/>
      <c r="K262" s="28"/>
      <c r="L262" s="41"/>
      <c r="N262" s="28"/>
      <c r="O262" s="41"/>
    </row>
    <row r="263" spans="2:15" x14ac:dyDescent="0.35">
      <c r="B263" s="27"/>
      <c r="C263" s="40"/>
      <c r="E263" s="27"/>
      <c r="F263" s="40"/>
      <c r="H263" s="27"/>
      <c r="I263" s="40"/>
      <c r="K263" s="27"/>
      <c r="L263" s="40"/>
      <c r="N263" s="27"/>
      <c r="O263" s="40"/>
    </row>
    <row r="264" spans="2:15" x14ac:dyDescent="0.35">
      <c r="B264" s="28"/>
      <c r="C264" s="41"/>
      <c r="E264" s="28"/>
      <c r="F264" s="41"/>
      <c r="H264" s="28"/>
      <c r="I264" s="41"/>
      <c r="K264" s="28"/>
      <c r="L264" s="41"/>
      <c r="N264" s="28"/>
      <c r="O264" s="41"/>
    </row>
    <row r="265" spans="2:15" x14ac:dyDescent="0.35">
      <c r="B265" s="27"/>
      <c r="C265" s="40"/>
      <c r="E265" s="27"/>
      <c r="F265" s="40"/>
      <c r="H265" s="27"/>
      <c r="I265" s="40"/>
      <c r="K265" s="27"/>
      <c r="L265" s="40"/>
      <c r="N265" s="27"/>
      <c r="O265" s="40"/>
    </row>
    <row r="266" spans="2:15" x14ac:dyDescent="0.35">
      <c r="B266" s="28"/>
      <c r="C266" s="41"/>
      <c r="E266" s="28"/>
      <c r="F266" s="41"/>
      <c r="H266" s="28"/>
      <c r="I266" s="41"/>
      <c r="K266" s="28"/>
      <c r="L266" s="41"/>
      <c r="N266" s="28"/>
      <c r="O266" s="41"/>
    </row>
    <row r="267" spans="2:15" x14ac:dyDescent="0.35">
      <c r="B267" s="27"/>
      <c r="C267" s="40"/>
      <c r="E267" s="27"/>
      <c r="F267" s="40"/>
      <c r="H267" s="27"/>
      <c r="I267" s="40"/>
      <c r="K267" s="27"/>
      <c r="L267" s="40"/>
      <c r="N267" s="27"/>
      <c r="O267" s="40"/>
    </row>
    <row r="268" spans="2:15" x14ac:dyDescent="0.35">
      <c r="B268" s="28"/>
      <c r="C268" s="41"/>
      <c r="E268" s="28"/>
      <c r="F268" s="41"/>
      <c r="H268" s="28"/>
      <c r="I268" s="41"/>
      <c r="K268" s="28"/>
      <c r="L268" s="41"/>
      <c r="N268" s="28"/>
      <c r="O268" s="41"/>
    </row>
    <row r="269" spans="2:15" x14ac:dyDescent="0.35">
      <c r="B269" s="27"/>
      <c r="C269" s="40"/>
      <c r="E269" s="27"/>
      <c r="F269" s="40"/>
      <c r="H269" s="27"/>
      <c r="I269" s="40"/>
      <c r="K269" s="27"/>
      <c r="L269" s="40"/>
      <c r="N269" s="27"/>
      <c r="O269" s="40"/>
    </row>
    <row r="270" spans="2:15" x14ac:dyDescent="0.35">
      <c r="B270" s="28"/>
      <c r="C270" s="41"/>
      <c r="E270" s="28"/>
      <c r="F270" s="41"/>
      <c r="H270" s="28"/>
      <c r="I270" s="41"/>
      <c r="K270" s="28"/>
      <c r="L270" s="41"/>
      <c r="N270" s="28"/>
      <c r="O270" s="41"/>
    </row>
    <row r="271" spans="2:15" x14ac:dyDescent="0.35">
      <c r="B271" s="27"/>
      <c r="C271" s="40"/>
      <c r="E271" s="27"/>
      <c r="F271" s="40"/>
      <c r="H271" s="27"/>
      <c r="I271" s="40"/>
      <c r="K271" s="27"/>
      <c r="L271" s="40"/>
      <c r="N271" s="27"/>
      <c r="O271" s="40"/>
    </row>
    <row r="272" spans="2:15" x14ac:dyDescent="0.35">
      <c r="B272" s="28"/>
      <c r="C272" s="41"/>
      <c r="E272" s="28"/>
      <c r="F272" s="41"/>
      <c r="H272" s="28"/>
      <c r="I272" s="41"/>
      <c r="K272" s="28"/>
      <c r="L272" s="41"/>
      <c r="N272" s="28"/>
      <c r="O272" s="41"/>
    </row>
    <row r="273" spans="2:15" x14ac:dyDescent="0.35">
      <c r="B273" s="27"/>
      <c r="C273" s="40"/>
      <c r="E273" s="27"/>
      <c r="F273" s="40"/>
      <c r="H273" s="27"/>
      <c r="I273" s="40"/>
      <c r="K273" s="27"/>
      <c r="L273" s="40"/>
      <c r="N273" s="27"/>
      <c r="O273" s="40"/>
    </row>
    <row r="274" spans="2:15" x14ac:dyDescent="0.35">
      <c r="B274" s="28"/>
      <c r="C274" s="41"/>
      <c r="E274" s="28"/>
      <c r="F274" s="41"/>
      <c r="H274" s="28"/>
      <c r="I274" s="41"/>
      <c r="K274" s="28"/>
      <c r="L274" s="41"/>
      <c r="N274" s="28"/>
      <c r="O274" s="41"/>
    </row>
    <row r="275" spans="2:15" x14ac:dyDescent="0.35">
      <c r="B275" s="27"/>
      <c r="C275" s="40"/>
      <c r="E275" s="27"/>
      <c r="F275" s="40"/>
      <c r="H275" s="27"/>
      <c r="I275" s="40"/>
      <c r="K275" s="27"/>
      <c r="L275" s="40"/>
      <c r="N275" s="27"/>
      <c r="O275" s="40"/>
    </row>
    <row r="276" spans="2:15" x14ac:dyDescent="0.35">
      <c r="B276" s="28"/>
      <c r="C276" s="41"/>
      <c r="E276" s="28"/>
      <c r="F276" s="41"/>
      <c r="H276" s="28"/>
      <c r="I276" s="41"/>
      <c r="K276" s="28"/>
      <c r="L276" s="41"/>
      <c r="N276" s="28"/>
      <c r="O276" s="41"/>
    </row>
    <row r="277" spans="2:15" x14ac:dyDescent="0.35">
      <c r="B277" s="27"/>
      <c r="C277" s="40"/>
      <c r="E277" s="27"/>
      <c r="F277" s="40"/>
      <c r="H277" s="27"/>
      <c r="I277" s="40"/>
      <c r="K277" s="27"/>
      <c r="L277" s="40"/>
      <c r="N277" s="27"/>
      <c r="O277" s="40"/>
    </row>
    <row r="278" spans="2:15" x14ac:dyDescent="0.35">
      <c r="B278" s="28"/>
      <c r="C278" s="41"/>
      <c r="E278" s="28"/>
      <c r="F278" s="41"/>
      <c r="H278" s="28"/>
      <c r="I278" s="41"/>
      <c r="K278" s="28"/>
      <c r="L278" s="41"/>
      <c r="N278" s="28"/>
      <c r="O278" s="41"/>
    </row>
    <row r="279" spans="2:15" x14ac:dyDescent="0.35">
      <c r="B279" s="27"/>
      <c r="C279" s="40"/>
      <c r="E279" s="27"/>
      <c r="F279" s="40"/>
      <c r="H279" s="27"/>
      <c r="I279" s="40"/>
      <c r="K279" s="27"/>
      <c r="L279" s="40"/>
      <c r="N279" s="27"/>
      <c r="O279" s="40"/>
    </row>
    <row r="280" spans="2:15" x14ac:dyDescent="0.35">
      <c r="B280" s="28"/>
      <c r="C280" s="41"/>
      <c r="E280" s="28"/>
      <c r="F280" s="41"/>
      <c r="H280" s="28"/>
      <c r="I280" s="41"/>
      <c r="K280" s="28"/>
      <c r="L280" s="41"/>
      <c r="N280" s="28"/>
      <c r="O280" s="41"/>
    </row>
    <row r="281" spans="2:15" x14ac:dyDescent="0.35">
      <c r="B281" s="27"/>
      <c r="C281" s="40"/>
      <c r="E281" s="27"/>
      <c r="F281" s="40"/>
      <c r="H281" s="27"/>
      <c r="I281" s="40"/>
      <c r="K281" s="27"/>
      <c r="L281" s="40"/>
      <c r="N281" s="27"/>
      <c r="O281" s="40"/>
    </row>
    <row r="282" spans="2:15" x14ac:dyDescent="0.35">
      <c r="B282" s="28"/>
      <c r="C282" s="41"/>
      <c r="E282" s="28"/>
      <c r="F282" s="41"/>
      <c r="H282" s="28"/>
      <c r="I282" s="41"/>
      <c r="K282" s="28"/>
      <c r="L282" s="41"/>
      <c r="N282" s="28"/>
      <c r="O282" s="41"/>
    </row>
    <row r="283" spans="2:15" x14ac:dyDescent="0.35">
      <c r="B283" s="27"/>
      <c r="C283" s="40"/>
      <c r="E283" s="27"/>
      <c r="F283" s="40"/>
      <c r="H283" s="27"/>
      <c r="I283" s="40"/>
      <c r="K283" s="27"/>
      <c r="L283" s="40"/>
      <c r="N283" s="27"/>
      <c r="O283" s="40"/>
    </row>
    <row r="284" spans="2:15" x14ac:dyDescent="0.35">
      <c r="B284" s="28"/>
      <c r="C284" s="41"/>
      <c r="E284" s="28"/>
      <c r="F284" s="41"/>
      <c r="H284" s="28"/>
      <c r="I284" s="41"/>
      <c r="K284" s="28"/>
      <c r="L284" s="41"/>
      <c r="N284" s="28"/>
      <c r="O284" s="41"/>
    </row>
    <row r="285" spans="2:15" x14ac:dyDescent="0.35">
      <c r="B285" s="27"/>
      <c r="C285" s="40"/>
      <c r="E285" s="27"/>
      <c r="F285" s="40"/>
      <c r="H285" s="27"/>
      <c r="I285" s="40"/>
      <c r="K285" s="27"/>
      <c r="L285" s="40"/>
      <c r="N285" s="27"/>
      <c r="O285" s="40"/>
    </row>
    <row r="286" spans="2:15" x14ac:dyDescent="0.35">
      <c r="B286" s="28"/>
      <c r="C286" s="41"/>
      <c r="E286" s="28"/>
      <c r="F286" s="41"/>
      <c r="H286" s="28"/>
      <c r="I286" s="41"/>
      <c r="K286" s="28"/>
      <c r="L286" s="41"/>
      <c r="N286" s="28"/>
      <c r="O286" s="41"/>
    </row>
    <row r="287" spans="2:15" x14ac:dyDescent="0.35">
      <c r="B287" s="27"/>
      <c r="C287" s="40"/>
      <c r="E287" s="27"/>
      <c r="F287" s="40"/>
      <c r="H287" s="27"/>
      <c r="I287" s="40"/>
      <c r="K287" s="27"/>
      <c r="L287" s="40"/>
      <c r="N287" s="27"/>
      <c r="O287" s="40"/>
    </row>
    <row r="288" spans="2:15" x14ac:dyDescent="0.35">
      <c r="B288" s="28"/>
      <c r="C288" s="41"/>
      <c r="E288" s="28"/>
      <c r="F288" s="41"/>
      <c r="H288" s="28"/>
      <c r="I288" s="41"/>
      <c r="K288" s="28"/>
      <c r="L288" s="41"/>
      <c r="N288" s="28"/>
      <c r="O288" s="41"/>
    </row>
    <row r="289" spans="2:15" x14ac:dyDescent="0.35">
      <c r="B289" s="27"/>
      <c r="C289" s="40"/>
      <c r="E289" s="27"/>
      <c r="F289" s="40"/>
      <c r="H289" s="27"/>
      <c r="I289" s="40"/>
      <c r="K289" s="27"/>
      <c r="L289" s="40"/>
      <c r="N289" s="27"/>
      <c r="O289" s="40"/>
    </row>
    <row r="290" spans="2:15" x14ac:dyDescent="0.35">
      <c r="B290" s="28"/>
      <c r="C290" s="41"/>
      <c r="E290" s="28"/>
      <c r="F290" s="41"/>
      <c r="H290" s="28"/>
      <c r="I290" s="41"/>
      <c r="K290" s="28"/>
      <c r="L290" s="41"/>
      <c r="N290" s="28"/>
      <c r="O290" s="41"/>
    </row>
    <row r="291" spans="2:15" x14ac:dyDescent="0.35">
      <c r="B291" s="27"/>
      <c r="C291" s="40"/>
      <c r="E291" s="27"/>
      <c r="F291" s="40"/>
      <c r="H291" s="27"/>
      <c r="I291" s="40"/>
      <c r="K291" s="27"/>
      <c r="L291" s="40"/>
      <c r="N291" s="27"/>
      <c r="O291" s="40"/>
    </row>
    <row r="292" spans="2:15" x14ac:dyDescent="0.35">
      <c r="B292" s="28"/>
      <c r="C292" s="41"/>
      <c r="E292" s="28"/>
      <c r="F292" s="41"/>
      <c r="H292" s="28"/>
      <c r="I292" s="41"/>
      <c r="K292" s="28"/>
      <c r="L292" s="41"/>
      <c r="N292" s="28"/>
      <c r="O292" s="41"/>
    </row>
    <row r="293" spans="2:15" x14ac:dyDescent="0.35">
      <c r="B293" s="27"/>
      <c r="C293" s="40"/>
      <c r="E293" s="27"/>
      <c r="F293" s="40"/>
      <c r="H293" s="27"/>
      <c r="I293" s="40"/>
      <c r="K293" s="27"/>
      <c r="L293" s="40"/>
      <c r="N293" s="27"/>
      <c r="O293" s="40"/>
    </row>
    <row r="294" spans="2:15" x14ac:dyDescent="0.35">
      <c r="B294" s="28"/>
      <c r="C294" s="41"/>
      <c r="E294" s="28"/>
      <c r="F294" s="41"/>
      <c r="H294" s="28"/>
      <c r="I294" s="41"/>
      <c r="K294" s="28"/>
      <c r="L294" s="41"/>
      <c r="N294" s="28"/>
      <c r="O294" s="41"/>
    </row>
    <row r="295" spans="2:15" x14ac:dyDescent="0.35">
      <c r="B295" s="27"/>
      <c r="C295" s="40"/>
      <c r="E295" s="27"/>
      <c r="F295" s="40"/>
      <c r="H295" s="27"/>
      <c r="I295" s="40"/>
      <c r="K295" s="27"/>
      <c r="L295" s="40"/>
      <c r="N295" s="27"/>
      <c r="O295" s="40"/>
    </row>
    <row r="296" spans="2:15" x14ac:dyDescent="0.35">
      <c r="B296" s="28"/>
      <c r="C296" s="41"/>
      <c r="E296" s="28"/>
      <c r="F296" s="41"/>
      <c r="H296" s="28"/>
      <c r="I296" s="41"/>
      <c r="K296" s="28"/>
      <c r="L296" s="41"/>
      <c r="N296" s="28"/>
      <c r="O296" s="41"/>
    </row>
    <row r="297" spans="2:15" x14ac:dyDescent="0.35">
      <c r="B297" s="27"/>
      <c r="C297" s="40"/>
      <c r="E297" s="27"/>
      <c r="F297" s="40"/>
      <c r="H297" s="27"/>
      <c r="I297" s="40"/>
      <c r="K297" s="27"/>
      <c r="L297" s="40"/>
      <c r="N297" s="27"/>
      <c r="O297" s="40"/>
    </row>
    <row r="298" spans="2:15" x14ac:dyDescent="0.35">
      <c r="B298" s="28"/>
      <c r="C298" s="41"/>
      <c r="E298" s="28"/>
      <c r="F298" s="41"/>
      <c r="H298" s="28"/>
      <c r="I298" s="41"/>
      <c r="K298" s="28"/>
      <c r="L298" s="41"/>
      <c r="N298" s="28"/>
      <c r="O298" s="41"/>
    </row>
  </sheetData>
  <mergeCells count="75">
    <mergeCell ref="N27:O27"/>
    <mergeCell ref="N28:O28"/>
    <mergeCell ref="N29:O29"/>
    <mergeCell ref="N30:O30"/>
    <mergeCell ref="N31:O31"/>
    <mergeCell ref="N33:O33"/>
    <mergeCell ref="K31:L31"/>
    <mergeCell ref="K33:L33"/>
    <mergeCell ref="N2:O2"/>
    <mergeCell ref="N11:O11"/>
    <mergeCell ref="N21:O21"/>
    <mergeCell ref="N22:O22"/>
    <mergeCell ref="N23:O23"/>
    <mergeCell ref="N24:O24"/>
    <mergeCell ref="N25:O25"/>
    <mergeCell ref="N26:O26"/>
    <mergeCell ref="K25:L25"/>
    <mergeCell ref="K26:L26"/>
    <mergeCell ref="K27:L27"/>
    <mergeCell ref="K28:L28"/>
    <mergeCell ref="K29:L29"/>
    <mergeCell ref="K30:L30"/>
    <mergeCell ref="K2:L2"/>
    <mergeCell ref="K11:L11"/>
    <mergeCell ref="K21:L21"/>
    <mergeCell ref="K22:L22"/>
    <mergeCell ref="K23:L23"/>
    <mergeCell ref="K24:L24"/>
    <mergeCell ref="H27:I27"/>
    <mergeCell ref="H28:I28"/>
    <mergeCell ref="H29:I29"/>
    <mergeCell ref="H30:I30"/>
    <mergeCell ref="H31:I31"/>
    <mergeCell ref="H33:I33"/>
    <mergeCell ref="E31:F31"/>
    <mergeCell ref="E33:F33"/>
    <mergeCell ref="H2:I2"/>
    <mergeCell ref="H11:I11"/>
    <mergeCell ref="H21:I21"/>
    <mergeCell ref="H22:I22"/>
    <mergeCell ref="H23:I23"/>
    <mergeCell ref="H24:I24"/>
    <mergeCell ref="H25:I25"/>
    <mergeCell ref="H26:I26"/>
    <mergeCell ref="E25:F25"/>
    <mergeCell ref="E26:F26"/>
    <mergeCell ref="E27:F27"/>
    <mergeCell ref="E28:F28"/>
    <mergeCell ref="E29:F29"/>
    <mergeCell ref="E30:F30"/>
    <mergeCell ref="E2:F2"/>
    <mergeCell ref="E11:F11"/>
    <mergeCell ref="E21:F21"/>
    <mergeCell ref="E22:F22"/>
    <mergeCell ref="E23:F23"/>
    <mergeCell ref="E24:F24"/>
    <mergeCell ref="B29:C29"/>
    <mergeCell ref="B30:C30"/>
    <mergeCell ref="B31:C31"/>
    <mergeCell ref="B33:C33"/>
    <mergeCell ref="B22:C22"/>
    <mergeCell ref="B23:C23"/>
    <mergeCell ref="B24:C24"/>
    <mergeCell ref="B25:C25"/>
    <mergeCell ref="B26:C26"/>
    <mergeCell ref="B2:C2"/>
    <mergeCell ref="B11:C11"/>
    <mergeCell ref="B21:C21"/>
    <mergeCell ref="B28:C28"/>
    <mergeCell ref="B27:C27"/>
    <mergeCell ref="K1:L1"/>
    <mergeCell ref="N1:O1"/>
    <mergeCell ref="B1:C1"/>
    <mergeCell ref="E1:F1"/>
    <mergeCell ref="H1:I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L37"/>
  <sheetViews>
    <sheetView workbookViewId="0">
      <selection sqref="A1:C37"/>
    </sheetView>
  </sheetViews>
  <sheetFormatPr defaultRowHeight="14.5" x14ac:dyDescent="0.35"/>
  <cols>
    <col min="1" max="1" width="10.81640625" bestFit="1" customWidth="1"/>
  </cols>
  <sheetData>
    <row r="1" spans="1:12" x14ac:dyDescent="0.35">
      <c r="A1" t="s">
        <v>61</v>
      </c>
      <c r="B1" t="s">
        <v>20</v>
      </c>
      <c r="C1" t="s">
        <v>539</v>
      </c>
      <c r="L1" s="1" t="s">
        <v>540</v>
      </c>
    </row>
    <row r="2" spans="1:12" x14ac:dyDescent="0.35">
      <c r="A2" s="15">
        <v>43576</v>
      </c>
      <c r="B2">
        <v>0</v>
      </c>
      <c r="C2">
        <v>50</v>
      </c>
    </row>
    <row r="3" spans="1:12" x14ac:dyDescent="0.35">
      <c r="A3" s="15">
        <v>43583</v>
      </c>
      <c r="B3">
        <v>0</v>
      </c>
      <c r="C3">
        <v>0</v>
      </c>
    </row>
    <row r="4" spans="1:12" x14ac:dyDescent="0.35">
      <c r="A4" s="15">
        <v>43590</v>
      </c>
      <c r="B4">
        <v>49</v>
      </c>
      <c r="C4">
        <v>0</v>
      </c>
    </row>
    <row r="5" spans="1:12" x14ac:dyDescent="0.35">
      <c r="A5" s="15">
        <v>43597</v>
      </c>
      <c r="B5">
        <v>0</v>
      </c>
      <c r="C5">
        <v>49</v>
      </c>
    </row>
    <row r="6" spans="1:12" x14ac:dyDescent="0.35">
      <c r="A6" s="15">
        <v>43604</v>
      </c>
      <c r="B6">
        <v>0</v>
      </c>
      <c r="C6">
        <v>0</v>
      </c>
    </row>
    <row r="7" spans="1:12" x14ac:dyDescent="0.35">
      <c r="A7" s="15">
        <v>43611</v>
      </c>
      <c r="B7">
        <v>48</v>
      </c>
      <c r="C7">
        <v>48</v>
      </c>
    </row>
    <row r="8" spans="1:12" x14ac:dyDescent="0.35">
      <c r="A8" s="15">
        <v>43618</v>
      </c>
      <c r="B8">
        <v>49</v>
      </c>
      <c r="C8">
        <v>0</v>
      </c>
    </row>
    <row r="9" spans="1:12" x14ac:dyDescent="0.35">
      <c r="A9" s="15">
        <v>43625</v>
      </c>
      <c r="B9">
        <v>0</v>
      </c>
      <c r="C9">
        <v>0</v>
      </c>
    </row>
    <row r="10" spans="1:12" x14ac:dyDescent="0.35">
      <c r="A10" s="15">
        <v>43632</v>
      </c>
      <c r="B10">
        <v>100</v>
      </c>
      <c r="C10">
        <v>0</v>
      </c>
    </row>
    <row r="11" spans="1:12" x14ac:dyDescent="0.35">
      <c r="A11" s="15">
        <v>43639</v>
      </c>
      <c r="B11">
        <v>0</v>
      </c>
      <c r="C11">
        <v>0</v>
      </c>
    </row>
    <row r="12" spans="1:12" x14ac:dyDescent="0.35">
      <c r="A12" s="15">
        <v>43646</v>
      </c>
      <c r="B12">
        <v>0</v>
      </c>
      <c r="C12">
        <v>0</v>
      </c>
    </row>
    <row r="13" spans="1:12" x14ac:dyDescent="0.35">
      <c r="A13" s="15">
        <v>43653</v>
      </c>
      <c r="B13">
        <v>48</v>
      </c>
      <c r="C13">
        <v>0</v>
      </c>
    </row>
    <row r="14" spans="1:12" x14ac:dyDescent="0.35">
      <c r="A14" s="15">
        <v>43660</v>
      </c>
      <c r="B14">
        <v>0</v>
      </c>
      <c r="C14">
        <v>0</v>
      </c>
    </row>
    <row r="15" spans="1:12" x14ac:dyDescent="0.35">
      <c r="A15" s="15">
        <v>43667</v>
      </c>
      <c r="B15">
        <v>45</v>
      </c>
      <c r="C15">
        <v>0</v>
      </c>
    </row>
    <row r="16" spans="1:12" x14ac:dyDescent="0.35">
      <c r="A16" s="15">
        <v>43674</v>
      </c>
      <c r="B16">
        <v>0</v>
      </c>
      <c r="C16">
        <v>0</v>
      </c>
    </row>
    <row r="17" spans="1:11" x14ac:dyDescent="0.35">
      <c r="A17" s="15">
        <v>43681</v>
      </c>
      <c r="B17">
        <v>0</v>
      </c>
      <c r="C17">
        <v>0</v>
      </c>
    </row>
    <row r="18" spans="1:11" x14ac:dyDescent="0.35">
      <c r="A18" s="15">
        <v>43688</v>
      </c>
      <c r="B18">
        <v>0</v>
      </c>
      <c r="C18">
        <v>30</v>
      </c>
    </row>
    <row r="19" spans="1:11" x14ac:dyDescent="0.35">
      <c r="A19" s="15">
        <v>43695</v>
      </c>
      <c r="B19">
        <v>0</v>
      </c>
      <c r="C19">
        <v>0</v>
      </c>
    </row>
    <row r="20" spans="1:11" x14ac:dyDescent="0.35">
      <c r="A20" s="15">
        <v>43702</v>
      </c>
      <c r="B20">
        <v>80</v>
      </c>
      <c r="C20">
        <v>0</v>
      </c>
      <c r="K20" s="1" t="s">
        <v>27</v>
      </c>
    </row>
    <row r="21" spans="1:11" x14ac:dyDescent="0.35">
      <c r="A21" s="15">
        <v>43709</v>
      </c>
      <c r="B21">
        <v>40</v>
      </c>
      <c r="C21">
        <v>40</v>
      </c>
    </row>
    <row r="22" spans="1:11" x14ac:dyDescent="0.35">
      <c r="A22" s="15">
        <v>43716</v>
      </c>
      <c r="B22">
        <v>41</v>
      </c>
      <c r="C22">
        <v>0</v>
      </c>
    </row>
    <row r="23" spans="1:11" x14ac:dyDescent="0.35">
      <c r="A23" s="15">
        <v>43723</v>
      </c>
      <c r="B23">
        <v>39</v>
      </c>
      <c r="C23">
        <v>40</v>
      </c>
    </row>
    <row r="24" spans="1:11" x14ac:dyDescent="0.35">
      <c r="A24" s="15">
        <v>43730</v>
      </c>
      <c r="B24">
        <v>76</v>
      </c>
      <c r="C24">
        <v>0</v>
      </c>
    </row>
    <row r="25" spans="1:11" x14ac:dyDescent="0.35">
      <c r="A25" s="15">
        <v>43737</v>
      </c>
      <c r="B25">
        <v>73</v>
      </c>
      <c r="C25">
        <v>0</v>
      </c>
    </row>
    <row r="26" spans="1:11" x14ac:dyDescent="0.35">
      <c r="A26" s="15">
        <v>43744</v>
      </c>
      <c r="B26">
        <v>0</v>
      </c>
      <c r="C26">
        <v>40</v>
      </c>
    </row>
    <row r="27" spans="1:11" x14ac:dyDescent="0.35">
      <c r="A27" s="15">
        <v>43751</v>
      </c>
      <c r="B27">
        <v>0</v>
      </c>
      <c r="C27">
        <v>0</v>
      </c>
    </row>
    <row r="28" spans="1:11" x14ac:dyDescent="0.35">
      <c r="A28" s="15">
        <v>43758</v>
      </c>
      <c r="B28">
        <v>40</v>
      </c>
      <c r="C28">
        <v>40</v>
      </c>
    </row>
    <row r="29" spans="1:11" x14ac:dyDescent="0.35">
      <c r="A29" s="15">
        <v>43765</v>
      </c>
      <c r="B29">
        <v>0</v>
      </c>
      <c r="C29">
        <v>0</v>
      </c>
    </row>
    <row r="30" spans="1:11" x14ac:dyDescent="0.35">
      <c r="A30" s="15">
        <v>43772</v>
      </c>
      <c r="B30">
        <v>40</v>
      </c>
      <c r="C30">
        <v>0</v>
      </c>
    </row>
    <row r="31" spans="1:11" x14ac:dyDescent="0.35">
      <c r="A31" s="15">
        <v>43779</v>
      </c>
      <c r="B31">
        <v>0</v>
      </c>
      <c r="C31">
        <v>40</v>
      </c>
    </row>
    <row r="32" spans="1:11" x14ac:dyDescent="0.35">
      <c r="A32" s="15">
        <v>43786</v>
      </c>
      <c r="B32">
        <v>0</v>
      </c>
      <c r="C32">
        <v>0</v>
      </c>
    </row>
    <row r="33" spans="1:3" x14ac:dyDescent="0.35">
      <c r="A33" s="15">
        <v>43793</v>
      </c>
      <c r="B33">
        <v>0</v>
      </c>
      <c r="C33">
        <v>0</v>
      </c>
    </row>
    <row r="34" spans="1:3" x14ac:dyDescent="0.35">
      <c r="A34" s="15">
        <v>43800</v>
      </c>
      <c r="B34">
        <v>0</v>
      </c>
      <c r="C34">
        <v>0</v>
      </c>
    </row>
    <row r="35" spans="1:3" x14ac:dyDescent="0.35">
      <c r="A35" s="15">
        <v>43807</v>
      </c>
      <c r="B35">
        <v>0</v>
      </c>
      <c r="C35">
        <v>0</v>
      </c>
    </row>
    <row r="36" spans="1:3" x14ac:dyDescent="0.35">
      <c r="A36" s="15">
        <v>43814</v>
      </c>
      <c r="B36">
        <v>0</v>
      </c>
      <c r="C36">
        <v>80</v>
      </c>
    </row>
    <row r="37" spans="1:3" x14ac:dyDescent="0.35">
      <c r="A37" s="15">
        <v>43821</v>
      </c>
      <c r="B37">
        <v>35</v>
      </c>
      <c r="C37">
        <v>35</v>
      </c>
    </row>
  </sheetData>
  <hyperlinks>
    <hyperlink ref="L1" r:id="rId1" xr:uid="{507D8F5E-8D35-4316-98FB-0C7C44FC11B7}"/>
    <hyperlink ref="K20" r:id="rId2" xr:uid="{5BF9B2E7-693C-4DA8-AEDC-16934B8783F2}"/>
  </hyperlinks>
  <pageMargins left="0.7" right="0.7" top="0.75" bottom="0.75" header="0.3" footer="0.3"/>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147F9-CEF2-423B-A99B-A59316BE81B8}">
  <sheetPr codeName="Sheet6"/>
  <dimension ref="A1:AC22"/>
  <sheetViews>
    <sheetView workbookViewId="0">
      <selection activeCell="D13" sqref="D13"/>
    </sheetView>
  </sheetViews>
  <sheetFormatPr defaultRowHeight="14.5" x14ac:dyDescent="0.35"/>
  <cols>
    <col min="25" max="29" width="9.1796875" customWidth="1"/>
  </cols>
  <sheetData>
    <row r="1" spans="1:29" x14ac:dyDescent="0.35">
      <c r="A1" s="175" t="s">
        <v>20</v>
      </c>
      <c r="B1" s="175"/>
      <c r="D1" s="175" t="s">
        <v>539</v>
      </c>
      <c r="E1" s="175"/>
    </row>
    <row r="2" spans="1:29" x14ac:dyDescent="0.35">
      <c r="A2" t="s">
        <v>541</v>
      </c>
      <c r="B2" t="s">
        <v>542</v>
      </c>
      <c r="D2" t="s">
        <v>543</v>
      </c>
      <c r="E2" t="s">
        <v>543</v>
      </c>
    </row>
    <row r="3" spans="1:29" x14ac:dyDescent="0.35">
      <c r="A3" t="s">
        <v>544</v>
      </c>
      <c r="B3">
        <v>8.7200000000000006</v>
      </c>
      <c r="D3" t="s">
        <v>545</v>
      </c>
      <c r="E3" s="2">
        <v>36.799999999999997</v>
      </c>
    </row>
    <row r="4" spans="1:29" x14ac:dyDescent="0.35">
      <c r="A4" t="s">
        <v>546</v>
      </c>
      <c r="B4">
        <v>5.99</v>
      </c>
      <c r="D4" t="s">
        <v>547</v>
      </c>
      <c r="E4" s="2">
        <v>30.97</v>
      </c>
      <c r="W4" s="4"/>
      <c r="X4" s="4"/>
      <c r="Y4" s="4"/>
      <c r="Z4" s="4"/>
      <c r="AA4" s="4"/>
      <c r="AB4" s="4"/>
      <c r="AC4" s="4"/>
    </row>
    <row r="5" spans="1:29" x14ac:dyDescent="0.35">
      <c r="A5" t="s">
        <v>548</v>
      </c>
      <c r="B5">
        <v>4.47</v>
      </c>
      <c r="D5" t="s">
        <v>549</v>
      </c>
      <c r="E5" s="2">
        <v>20</v>
      </c>
      <c r="W5" s="4"/>
      <c r="X5" s="4"/>
      <c r="Y5" s="4"/>
      <c r="Z5" s="4"/>
      <c r="AA5" s="4"/>
      <c r="AB5" s="4"/>
      <c r="AC5" s="4"/>
    </row>
    <row r="6" spans="1:29" x14ac:dyDescent="0.35">
      <c r="A6" t="s">
        <v>550</v>
      </c>
      <c r="B6">
        <v>4.2300000000000004</v>
      </c>
      <c r="D6" t="s">
        <v>551</v>
      </c>
      <c r="E6" s="2">
        <v>10.23</v>
      </c>
      <c r="W6" s="4"/>
      <c r="X6" s="4"/>
      <c r="Y6" s="4"/>
      <c r="Z6" s="176"/>
      <c r="AA6" s="176"/>
      <c r="AB6" s="4"/>
      <c r="AC6" s="4"/>
    </row>
    <row r="7" spans="1:29" x14ac:dyDescent="0.35">
      <c r="A7" t="s">
        <v>552</v>
      </c>
      <c r="B7">
        <v>4.22</v>
      </c>
      <c r="D7" t="s">
        <v>553</v>
      </c>
      <c r="E7" s="2">
        <v>2</v>
      </c>
      <c r="W7" s="4"/>
      <c r="X7" s="4"/>
      <c r="Y7" s="4"/>
      <c r="Z7" s="4"/>
      <c r="AA7" s="4"/>
      <c r="AB7" s="4"/>
      <c r="AC7" s="4"/>
    </row>
    <row r="8" spans="1:29" x14ac:dyDescent="0.35">
      <c r="A8" t="s">
        <v>554</v>
      </c>
      <c r="B8">
        <v>3.71</v>
      </c>
      <c r="W8" s="4"/>
      <c r="X8" s="4"/>
      <c r="Y8" s="4"/>
      <c r="Z8" s="4"/>
      <c r="AA8" s="4"/>
      <c r="AB8" s="4"/>
      <c r="AC8" s="4"/>
    </row>
    <row r="9" spans="1:29" x14ac:dyDescent="0.35">
      <c r="A9" t="s">
        <v>555</v>
      </c>
      <c r="B9">
        <v>3.09</v>
      </c>
      <c r="E9" s="2">
        <f>SUM(E3:E7)</f>
        <v>100</v>
      </c>
      <c r="W9" s="4"/>
      <c r="X9" s="4"/>
      <c r="Y9" s="4"/>
      <c r="Z9" s="4"/>
      <c r="AA9" s="4"/>
      <c r="AB9" s="4"/>
      <c r="AC9" s="4"/>
    </row>
    <row r="10" spans="1:29" x14ac:dyDescent="0.35">
      <c r="A10" t="s">
        <v>556</v>
      </c>
      <c r="B10">
        <v>2.63</v>
      </c>
      <c r="W10" s="4"/>
      <c r="X10" s="4"/>
      <c r="Y10" s="4"/>
      <c r="Z10" s="4"/>
      <c r="AA10" s="4"/>
      <c r="AB10" s="4"/>
      <c r="AC10" s="4"/>
    </row>
    <row r="11" spans="1:29" x14ac:dyDescent="0.35">
      <c r="A11" t="s">
        <v>557</v>
      </c>
      <c r="B11">
        <v>2.52</v>
      </c>
      <c r="W11" s="4"/>
      <c r="X11" s="4"/>
      <c r="Y11" s="4"/>
      <c r="Z11" s="4"/>
      <c r="AA11" s="4"/>
      <c r="AB11" s="4"/>
      <c r="AC11" s="4"/>
    </row>
    <row r="12" spans="1:29" x14ac:dyDescent="0.35">
      <c r="A12" t="s">
        <v>558</v>
      </c>
      <c r="B12">
        <v>2.39</v>
      </c>
      <c r="W12" s="4"/>
      <c r="X12" s="4"/>
      <c r="Y12" s="4"/>
      <c r="Z12" s="4"/>
      <c r="AA12" s="4"/>
      <c r="AB12" s="4"/>
      <c r="AC12" s="4"/>
    </row>
    <row r="13" spans="1:29" x14ac:dyDescent="0.35">
      <c r="A13" t="s">
        <v>559</v>
      </c>
      <c r="B13">
        <f>100-SUM(B3:B12)</f>
        <v>58.029999999999994</v>
      </c>
      <c r="W13" s="4"/>
      <c r="X13" s="4"/>
      <c r="Y13" s="4"/>
      <c r="Z13" s="4"/>
      <c r="AA13" s="4"/>
      <c r="AB13" s="4"/>
      <c r="AC13" s="4"/>
    </row>
    <row r="14" spans="1:29" x14ac:dyDescent="0.35">
      <c r="W14" s="4"/>
      <c r="X14" s="4"/>
      <c r="Y14" s="4"/>
      <c r="Z14" s="4"/>
      <c r="AA14" s="4"/>
      <c r="AB14" s="4"/>
      <c r="AC14" s="4"/>
    </row>
    <row r="15" spans="1:29" x14ac:dyDescent="0.35">
      <c r="W15" s="4"/>
      <c r="X15" s="4"/>
      <c r="Y15" s="4"/>
      <c r="Z15" s="4"/>
      <c r="AA15" s="4"/>
      <c r="AB15" s="4"/>
      <c r="AC15" s="4"/>
    </row>
    <row r="16" spans="1:29" x14ac:dyDescent="0.35">
      <c r="W16" s="4"/>
      <c r="X16" s="4"/>
      <c r="Y16" s="4"/>
      <c r="Z16" s="4"/>
      <c r="AA16" s="4"/>
      <c r="AB16" s="4"/>
      <c r="AC16" s="4"/>
    </row>
    <row r="21" spans="3:3" x14ac:dyDescent="0.35">
      <c r="C21" s="1" t="s">
        <v>25</v>
      </c>
    </row>
    <row r="22" spans="3:3" x14ac:dyDescent="0.35">
      <c r="C22" s="1" t="s">
        <v>26</v>
      </c>
    </row>
  </sheetData>
  <mergeCells count="3">
    <mergeCell ref="A1:B1"/>
    <mergeCell ref="D1:E1"/>
    <mergeCell ref="Z6:AA6"/>
  </mergeCells>
  <hyperlinks>
    <hyperlink ref="C21" r:id="rId1" display="https://app.companiesoffice.govt.nz/companies/app/ui/pages/companies/6842293?backurl=H4sIAAAAAAAAAC3KQQrCQAyF4dvMticI4spNF4Je4DEJtmCTOMkovb1D6e79j29yvCSmaptD17FC0Opy2YyFIqGMxiV3FxLNNQcpH4rlZ%2BYF%2FIVW4TtU3pStSznQ%2Fhw%2B6DrPZz8S2ePWrPtx%2FwEsagvvdgAAAA%3D%3D" xr:uid="{4E7FB13E-1EBE-4FA8-A5B1-CA94E959D481}"/>
    <hyperlink ref="C22" r:id="rId2" xr:uid="{2716927B-E7AB-4F17-AA73-D34B049CE670}"/>
  </hyperlinks>
  <pageMargins left="0.7" right="0.7" top="0.75" bottom="0.75" header="0.3" footer="0.3"/>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D37962-480A-46AD-8350-222773A30AE4}">
  <sheetPr codeName="Sheet7"/>
  <dimension ref="A1:D27"/>
  <sheetViews>
    <sheetView workbookViewId="0">
      <selection activeCell="Q17" sqref="Q17"/>
    </sheetView>
  </sheetViews>
  <sheetFormatPr defaultRowHeight="14.5" x14ac:dyDescent="0.35"/>
  <cols>
    <col min="1" max="1" width="11.54296875" customWidth="1"/>
  </cols>
  <sheetData>
    <row r="1" spans="1:4" x14ac:dyDescent="0.35">
      <c r="B1" s="175" t="s">
        <v>560</v>
      </c>
      <c r="C1" s="175"/>
      <c r="D1" s="175"/>
    </row>
    <row r="2" spans="1:4" x14ac:dyDescent="0.35">
      <c r="A2" t="s">
        <v>61</v>
      </c>
      <c r="B2" t="s">
        <v>561</v>
      </c>
      <c r="C2" t="s">
        <v>539</v>
      </c>
    </row>
    <row r="3" spans="1:4" x14ac:dyDescent="0.35">
      <c r="A3" s="15">
        <v>43831</v>
      </c>
      <c r="B3">
        <v>1</v>
      </c>
      <c r="C3">
        <v>1</v>
      </c>
    </row>
    <row r="4" spans="1:4" x14ac:dyDescent="0.35">
      <c r="A4" s="15">
        <v>43832</v>
      </c>
      <c r="B4">
        <v>1</v>
      </c>
      <c r="C4">
        <v>1</v>
      </c>
    </row>
    <row r="5" spans="1:4" x14ac:dyDescent="0.35">
      <c r="A5" s="15">
        <v>43833</v>
      </c>
      <c r="B5">
        <v>2</v>
      </c>
      <c r="C5">
        <v>1</v>
      </c>
    </row>
    <row r="6" spans="1:4" x14ac:dyDescent="0.35">
      <c r="A6" s="15">
        <v>43834</v>
      </c>
      <c r="B6">
        <v>3</v>
      </c>
      <c r="C6">
        <v>2</v>
      </c>
    </row>
    <row r="7" spans="1:4" x14ac:dyDescent="0.35">
      <c r="A7" s="15">
        <v>43835</v>
      </c>
      <c r="B7">
        <v>5</v>
      </c>
      <c r="C7">
        <v>2</v>
      </c>
    </row>
    <row r="8" spans="1:4" x14ac:dyDescent="0.35">
      <c r="A8" s="15">
        <v>43836</v>
      </c>
      <c r="B8">
        <v>9</v>
      </c>
      <c r="C8">
        <v>3</v>
      </c>
    </row>
    <row r="9" spans="1:4" x14ac:dyDescent="0.35">
      <c r="A9" s="15">
        <v>43837</v>
      </c>
      <c r="B9">
        <v>12</v>
      </c>
      <c r="C9">
        <v>4</v>
      </c>
    </row>
    <row r="10" spans="1:4" x14ac:dyDescent="0.35">
      <c r="A10" s="15">
        <v>43838</v>
      </c>
      <c r="B10">
        <v>21</v>
      </c>
      <c r="C10">
        <v>5</v>
      </c>
    </row>
    <row r="11" spans="1:4" x14ac:dyDescent="0.35">
      <c r="A11" s="15">
        <v>43839</v>
      </c>
      <c r="B11">
        <v>21</v>
      </c>
      <c r="C11">
        <v>7</v>
      </c>
    </row>
    <row r="12" spans="1:4" x14ac:dyDescent="0.35">
      <c r="A12" s="15">
        <v>43840</v>
      </c>
      <c r="B12">
        <v>26</v>
      </c>
      <c r="C12">
        <v>8</v>
      </c>
    </row>
    <row r="13" spans="1:4" x14ac:dyDescent="0.35">
      <c r="A13" s="15">
        <v>43841</v>
      </c>
      <c r="B13">
        <v>30</v>
      </c>
      <c r="C13">
        <v>10</v>
      </c>
    </row>
    <row r="14" spans="1:4" x14ac:dyDescent="0.35">
      <c r="A14" s="15">
        <v>43842</v>
      </c>
      <c r="B14">
        <v>37</v>
      </c>
      <c r="C14">
        <v>15</v>
      </c>
    </row>
    <row r="15" spans="1:4" x14ac:dyDescent="0.35">
      <c r="A15" s="15">
        <v>43843</v>
      </c>
      <c r="B15">
        <v>45</v>
      </c>
      <c r="C15">
        <v>20</v>
      </c>
    </row>
    <row r="16" spans="1:4" x14ac:dyDescent="0.35">
      <c r="A16" s="15">
        <v>43844</v>
      </c>
      <c r="B16">
        <v>60</v>
      </c>
      <c r="C16">
        <v>30</v>
      </c>
    </row>
    <row r="17" spans="1:3" x14ac:dyDescent="0.35">
      <c r="A17" s="15">
        <v>43845</v>
      </c>
      <c r="B17">
        <v>80</v>
      </c>
      <c r="C17">
        <v>45</v>
      </c>
    </row>
    <row r="18" spans="1:3" x14ac:dyDescent="0.35">
      <c r="A18" s="15">
        <v>43846</v>
      </c>
      <c r="B18">
        <v>100</v>
      </c>
      <c r="C18">
        <v>55</v>
      </c>
    </row>
    <row r="19" spans="1:3" x14ac:dyDescent="0.35">
      <c r="A19" s="15">
        <v>43847</v>
      </c>
      <c r="B19">
        <v>110</v>
      </c>
      <c r="C19">
        <v>60</v>
      </c>
    </row>
    <row r="20" spans="1:3" x14ac:dyDescent="0.35">
      <c r="A20" s="15">
        <v>43848</v>
      </c>
      <c r="B20">
        <v>115</v>
      </c>
      <c r="C20">
        <v>65</v>
      </c>
    </row>
    <row r="21" spans="1:3" x14ac:dyDescent="0.35">
      <c r="A21" s="15">
        <v>43849</v>
      </c>
      <c r="B21">
        <v>120</v>
      </c>
      <c r="C21">
        <v>68</v>
      </c>
    </row>
    <row r="22" spans="1:3" x14ac:dyDescent="0.35">
      <c r="A22" s="15">
        <v>43850</v>
      </c>
      <c r="B22">
        <v>127</v>
      </c>
      <c r="C22">
        <v>69</v>
      </c>
    </row>
    <row r="23" spans="1:3" x14ac:dyDescent="0.35">
      <c r="A23" s="15">
        <v>43851</v>
      </c>
      <c r="B23">
        <v>135</v>
      </c>
      <c r="C23">
        <v>70</v>
      </c>
    </row>
    <row r="24" spans="1:3" x14ac:dyDescent="0.35">
      <c r="A24" s="15">
        <v>43852</v>
      </c>
      <c r="B24">
        <v>145</v>
      </c>
      <c r="C24">
        <v>70</v>
      </c>
    </row>
    <row r="25" spans="1:3" x14ac:dyDescent="0.35">
      <c r="A25" s="15">
        <v>43853</v>
      </c>
      <c r="B25">
        <v>155</v>
      </c>
      <c r="C25">
        <v>71</v>
      </c>
    </row>
    <row r="26" spans="1:3" x14ac:dyDescent="0.35">
      <c r="A26" s="15">
        <v>43854</v>
      </c>
      <c r="B26">
        <v>170</v>
      </c>
      <c r="C26">
        <v>73</v>
      </c>
    </row>
    <row r="27" spans="1:3" x14ac:dyDescent="0.35">
      <c r="A27" s="15">
        <v>43855</v>
      </c>
      <c r="B27">
        <v>180</v>
      </c>
      <c r="C27">
        <v>73</v>
      </c>
    </row>
  </sheetData>
  <mergeCells count="1">
    <mergeCell ref="B1:D1"/>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431C9-54BE-460F-BDDF-EE3FAA7B4E5E}">
  <sheetPr codeName="Sheet8"/>
  <dimension ref="A1:J169"/>
  <sheetViews>
    <sheetView workbookViewId="0">
      <selection activeCell="A27" sqref="A27"/>
    </sheetView>
  </sheetViews>
  <sheetFormatPr defaultRowHeight="14.5" x14ac:dyDescent="0.35"/>
  <cols>
    <col min="1" max="1" width="14.7265625" customWidth="1"/>
    <col min="3" max="3" width="10.26953125" bestFit="1" customWidth="1"/>
    <col min="4" max="5" width="9.26953125" bestFit="1" customWidth="1"/>
  </cols>
  <sheetData>
    <row r="1" spans="1:5" x14ac:dyDescent="0.35">
      <c r="B1" s="175" t="s">
        <v>562</v>
      </c>
      <c r="C1" s="175"/>
      <c r="D1" s="175" t="s">
        <v>563</v>
      </c>
      <c r="E1" s="175"/>
    </row>
    <row r="2" spans="1:5" x14ac:dyDescent="0.35">
      <c r="A2" t="s">
        <v>564</v>
      </c>
      <c r="B2" s="10" t="s">
        <v>8</v>
      </c>
      <c r="C2" s="8">
        <v>0.30590000000000001</v>
      </c>
      <c r="D2" s="10" t="s">
        <v>9</v>
      </c>
      <c r="E2" s="8">
        <v>0.20799999999999999</v>
      </c>
    </row>
    <row r="3" spans="1:5" x14ac:dyDescent="0.35">
      <c r="A3" t="s">
        <v>565</v>
      </c>
      <c r="B3" s="10" t="s">
        <v>11</v>
      </c>
      <c r="C3" s="8">
        <v>0.33825</v>
      </c>
      <c r="D3" s="10" t="s">
        <v>12</v>
      </c>
      <c r="E3" s="8">
        <v>7.9600000000000004E-2</v>
      </c>
    </row>
    <row r="4" spans="1:5" x14ac:dyDescent="0.35">
      <c r="A4" t="s">
        <v>566</v>
      </c>
      <c r="B4" s="11">
        <v>0.1047</v>
      </c>
      <c r="C4" s="8">
        <v>0.23562</v>
      </c>
      <c r="D4" s="11">
        <v>3.7400000000000003E-2</v>
      </c>
      <c r="E4" s="9">
        <v>0.1053</v>
      </c>
    </row>
    <row r="5" spans="1:5" x14ac:dyDescent="0.35">
      <c r="A5" t="s">
        <v>567</v>
      </c>
      <c r="B5" s="10">
        <v>437.49</v>
      </c>
      <c r="C5" s="8">
        <v>0.25140000000000001</v>
      </c>
      <c r="D5" s="10">
        <v>2393.61</v>
      </c>
      <c r="E5" s="8">
        <v>0.27010000000000001</v>
      </c>
    </row>
    <row r="6" spans="1:5" x14ac:dyDescent="0.35">
      <c r="A6" s="175" t="s">
        <v>568</v>
      </c>
      <c r="B6" s="175"/>
      <c r="C6" s="175"/>
      <c r="D6" s="175"/>
      <c r="E6" s="175"/>
    </row>
    <row r="7" spans="1:5" x14ac:dyDescent="0.35">
      <c r="A7" s="175" t="s">
        <v>569</v>
      </c>
      <c r="B7" s="175"/>
      <c r="C7" s="175"/>
      <c r="D7" s="3"/>
      <c r="E7" s="3"/>
    </row>
    <row r="8" spans="1:5" x14ac:dyDescent="0.35">
      <c r="A8" s="16" t="s">
        <v>538</v>
      </c>
      <c r="B8" s="3" t="s">
        <v>570</v>
      </c>
      <c r="C8" s="3" t="s">
        <v>571</v>
      </c>
      <c r="E8" s="3"/>
    </row>
    <row r="9" spans="1:5" x14ac:dyDescent="0.35">
      <c r="A9" s="12">
        <v>43862</v>
      </c>
      <c r="B9" s="13">
        <f t="shared" ref="B9:C28" si="0">C127/100</f>
        <v>0</v>
      </c>
      <c r="C9" s="13">
        <f t="shared" si="0"/>
        <v>0</v>
      </c>
      <c r="E9" s="13"/>
    </row>
    <row r="10" spans="1:5" x14ac:dyDescent="0.35">
      <c r="A10" s="12">
        <v>43863</v>
      </c>
      <c r="B10" s="13">
        <f t="shared" si="0"/>
        <v>-0.01</v>
      </c>
      <c r="C10" s="13">
        <f t="shared" si="0"/>
        <v>-1.4999999999999999E-2</v>
      </c>
      <c r="E10" s="13"/>
    </row>
    <row r="11" spans="1:5" x14ac:dyDescent="0.35">
      <c r="A11" s="12">
        <v>43864</v>
      </c>
      <c r="B11" s="13">
        <f t="shared" si="0"/>
        <v>-1.4999999999999999E-2</v>
      </c>
      <c r="C11" s="13">
        <f t="shared" si="0"/>
        <v>-0.02</v>
      </c>
      <c r="E11" s="13"/>
    </row>
    <row r="12" spans="1:5" x14ac:dyDescent="0.35">
      <c r="A12" s="12">
        <v>43865</v>
      </c>
      <c r="B12" s="13">
        <f t="shared" si="0"/>
        <v>-0.01</v>
      </c>
      <c r="C12" s="13">
        <f t="shared" si="0"/>
        <v>-0.01</v>
      </c>
      <c r="E12" s="13"/>
    </row>
    <row r="13" spans="1:5" x14ac:dyDescent="0.35">
      <c r="A13" s="12">
        <v>43866</v>
      </c>
      <c r="B13" s="13">
        <f t="shared" si="0"/>
        <v>-0.01</v>
      </c>
      <c r="C13" s="13">
        <f t="shared" si="0"/>
        <v>-5.0000000000000001E-3</v>
      </c>
      <c r="E13" s="13"/>
    </row>
    <row r="14" spans="1:5" x14ac:dyDescent="0.35">
      <c r="A14" s="12">
        <v>43867</v>
      </c>
      <c r="B14" s="13">
        <f t="shared" si="0"/>
        <v>-5.0000000000000001E-3</v>
      </c>
      <c r="C14" s="13">
        <f t="shared" si="0"/>
        <v>0.03</v>
      </c>
      <c r="E14" s="13"/>
    </row>
    <row r="15" spans="1:5" x14ac:dyDescent="0.35">
      <c r="A15" s="12">
        <v>43868</v>
      </c>
      <c r="B15" s="13">
        <f t="shared" si="0"/>
        <v>0.01</v>
      </c>
      <c r="C15" s="13">
        <f t="shared" si="0"/>
        <v>0.05</v>
      </c>
      <c r="E15" s="13"/>
    </row>
    <row r="16" spans="1:5" x14ac:dyDescent="0.35">
      <c r="A16" s="12">
        <v>43869</v>
      </c>
      <c r="B16" s="13">
        <f t="shared" si="0"/>
        <v>0.04</v>
      </c>
      <c r="C16" s="13">
        <f t="shared" si="0"/>
        <v>0.08</v>
      </c>
      <c r="E16" s="13"/>
    </row>
    <row r="17" spans="1:10" x14ac:dyDescent="0.35">
      <c r="A17" s="12">
        <v>43870</v>
      </c>
      <c r="B17" s="13">
        <f t="shared" si="0"/>
        <v>0.05</v>
      </c>
      <c r="C17" s="13">
        <f t="shared" si="0"/>
        <v>0.08</v>
      </c>
      <c r="E17" s="13"/>
    </row>
    <row r="18" spans="1:10" x14ac:dyDescent="0.35">
      <c r="A18" s="12">
        <v>43871</v>
      </c>
      <c r="B18" s="13">
        <f t="shared" si="0"/>
        <v>5.5E-2</v>
      </c>
      <c r="C18" s="13">
        <f t="shared" si="0"/>
        <v>0.1</v>
      </c>
      <c r="E18" s="13"/>
    </row>
    <row r="19" spans="1:10" x14ac:dyDescent="0.35">
      <c r="A19" s="12">
        <v>43872</v>
      </c>
      <c r="B19" s="13">
        <f t="shared" si="0"/>
        <v>0.05</v>
      </c>
      <c r="C19" s="13">
        <f t="shared" si="0"/>
        <v>9.5000000000000001E-2</v>
      </c>
      <c r="E19" s="13"/>
    </row>
    <row r="20" spans="1:10" x14ac:dyDescent="0.35">
      <c r="A20" s="12">
        <v>43873</v>
      </c>
      <c r="B20" s="13">
        <f t="shared" si="0"/>
        <v>4.4999999999999998E-2</v>
      </c>
      <c r="C20" s="13">
        <f t="shared" si="0"/>
        <v>0.1</v>
      </c>
      <c r="E20" s="13"/>
    </row>
    <row r="21" spans="1:10" x14ac:dyDescent="0.35">
      <c r="A21" s="12">
        <v>43874</v>
      </c>
      <c r="B21" s="13">
        <f t="shared" si="0"/>
        <v>4.4999999999999998E-2</v>
      </c>
      <c r="C21" s="13">
        <f t="shared" si="0"/>
        <v>0.12</v>
      </c>
      <c r="E21" s="13"/>
    </row>
    <row r="22" spans="1:10" x14ac:dyDescent="0.35">
      <c r="A22" s="12">
        <v>43875</v>
      </c>
      <c r="B22" s="13">
        <f t="shared" si="0"/>
        <v>0.05</v>
      </c>
      <c r="C22" s="13">
        <f t="shared" si="0"/>
        <v>0.14000000000000001</v>
      </c>
      <c r="E22" s="13"/>
    </row>
    <row r="23" spans="1:10" x14ac:dyDescent="0.35">
      <c r="A23" s="12">
        <v>43876</v>
      </c>
      <c r="B23" s="13">
        <f t="shared" si="0"/>
        <v>0.06</v>
      </c>
      <c r="C23" s="13">
        <f t="shared" si="0"/>
        <v>0.15</v>
      </c>
      <c r="E23" s="13"/>
    </row>
    <row r="24" spans="1:10" x14ac:dyDescent="0.35">
      <c r="A24" s="12">
        <v>43877</v>
      </c>
      <c r="B24" s="13">
        <f t="shared" si="0"/>
        <v>0.08</v>
      </c>
      <c r="C24" s="13">
        <f t="shared" si="0"/>
        <v>0.155</v>
      </c>
      <c r="E24" s="13"/>
    </row>
    <row r="25" spans="1:10" x14ac:dyDescent="0.35">
      <c r="A25" s="12">
        <v>43878</v>
      </c>
      <c r="B25" s="13">
        <f t="shared" si="0"/>
        <v>0.1</v>
      </c>
      <c r="C25" s="13">
        <f t="shared" si="0"/>
        <v>0.155</v>
      </c>
      <c r="E25" s="13"/>
    </row>
    <row r="26" spans="1:10" x14ac:dyDescent="0.35">
      <c r="A26" s="12">
        <v>43879</v>
      </c>
      <c r="B26" s="13">
        <f t="shared" si="0"/>
        <v>0.11</v>
      </c>
      <c r="C26" s="13">
        <f t="shared" si="0"/>
        <v>0.16</v>
      </c>
      <c r="E26" s="13"/>
    </row>
    <row r="27" spans="1:10" x14ac:dyDescent="0.35">
      <c r="A27" s="12">
        <v>43880</v>
      </c>
      <c r="B27" s="13">
        <f t="shared" si="0"/>
        <v>0.1</v>
      </c>
      <c r="C27" s="13">
        <f t="shared" si="0"/>
        <v>0.15</v>
      </c>
      <c r="E27" s="13"/>
      <c r="J27" s="1" t="s">
        <v>572</v>
      </c>
    </row>
    <row r="28" spans="1:10" x14ac:dyDescent="0.35">
      <c r="A28" s="12">
        <v>43881</v>
      </c>
      <c r="B28" s="13">
        <f t="shared" si="0"/>
        <v>0.12</v>
      </c>
      <c r="C28" s="13">
        <f t="shared" si="0"/>
        <v>0.14499999999999999</v>
      </c>
      <c r="E28" s="13"/>
    </row>
    <row r="29" spans="1:10" x14ac:dyDescent="0.35">
      <c r="A29" s="12">
        <v>43882</v>
      </c>
      <c r="B29" s="13">
        <f t="shared" ref="B29:C48" si="1">C147/100</f>
        <v>0.12</v>
      </c>
      <c r="C29" s="13">
        <f t="shared" si="1"/>
        <v>0.15</v>
      </c>
      <c r="E29" s="13"/>
    </row>
    <row r="30" spans="1:10" x14ac:dyDescent="0.35">
      <c r="A30" s="12">
        <v>43883</v>
      </c>
      <c r="B30" s="13">
        <f t="shared" si="1"/>
        <v>0.115</v>
      </c>
      <c r="C30" s="13">
        <f t="shared" si="1"/>
        <v>0.16500000000000001</v>
      </c>
      <c r="E30" s="13"/>
    </row>
    <row r="31" spans="1:10" x14ac:dyDescent="0.35">
      <c r="A31" s="12">
        <v>43884</v>
      </c>
      <c r="B31" s="13">
        <f t="shared" si="1"/>
        <v>0.1</v>
      </c>
      <c r="C31" s="13">
        <f t="shared" si="1"/>
        <v>0.16</v>
      </c>
      <c r="E31" s="13"/>
    </row>
    <row r="32" spans="1:10" x14ac:dyDescent="0.35">
      <c r="A32" s="12">
        <v>43885</v>
      </c>
      <c r="B32" s="13">
        <f t="shared" si="1"/>
        <v>0.09</v>
      </c>
      <c r="C32" s="13">
        <f t="shared" si="1"/>
        <v>0.15</v>
      </c>
      <c r="E32" s="13"/>
    </row>
    <row r="33" spans="1:5" x14ac:dyDescent="0.35">
      <c r="A33" s="12">
        <v>43886</v>
      </c>
      <c r="B33" s="13">
        <f t="shared" si="1"/>
        <v>7.0000000000000007E-2</v>
      </c>
      <c r="C33" s="13">
        <f t="shared" si="1"/>
        <v>0.14000000000000001</v>
      </c>
      <c r="E33" s="13"/>
    </row>
    <row r="34" spans="1:5" x14ac:dyDescent="0.35">
      <c r="A34" s="12">
        <v>43887</v>
      </c>
      <c r="B34" s="13">
        <f t="shared" si="1"/>
        <v>0.05</v>
      </c>
      <c r="C34" s="13">
        <f t="shared" si="1"/>
        <v>0.125</v>
      </c>
      <c r="E34" s="13"/>
    </row>
    <row r="35" spans="1:5" x14ac:dyDescent="0.35">
      <c r="A35" s="12">
        <v>43888</v>
      </c>
      <c r="B35" s="13">
        <f t="shared" si="1"/>
        <v>0.04</v>
      </c>
      <c r="C35" s="13">
        <f t="shared" si="1"/>
        <v>0.1</v>
      </c>
      <c r="E35" s="13"/>
    </row>
    <row r="36" spans="1:5" x14ac:dyDescent="0.35">
      <c r="A36" s="12">
        <v>43889</v>
      </c>
      <c r="B36" s="13">
        <f t="shared" si="1"/>
        <v>3.5000000000000003E-2</v>
      </c>
      <c r="C36" s="13">
        <f t="shared" si="1"/>
        <v>0.08</v>
      </c>
      <c r="E36" s="13"/>
    </row>
    <row r="37" spans="1:5" x14ac:dyDescent="0.35">
      <c r="A37" s="12">
        <v>43890</v>
      </c>
      <c r="B37" s="13">
        <f t="shared" si="1"/>
        <v>0.04</v>
      </c>
      <c r="C37" s="13">
        <f t="shared" si="1"/>
        <v>0.06</v>
      </c>
      <c r="E37" s="13"/>
    </row>
    <row r="38" spans="1:5" x14ac:dyDescent="0.35">
      <c r="A38" s="12">
        <v>43891</v>
      </c>
      <c r="B38" s="13">
        <f t="shared" si="1"/>
        <v>7.0000000000000007E-2</v>
      </c>
      <c r="C38" s="13">
        <f t="shared" si="1"/>
        <v>0.03</v>
      </c>
      <c r="E38" s="13"/>
    </row>
    <row r="39" spans="1:5" x14ac:dyDescent="0.35">
      <c r="A39" s="12">
        <v>43892</v>
      </c>
      <c r="B39" s="13">
        <f t="shared" si="1"/>
        <v>0.06</v>
      </c>
      <c r="C39" s="13">
        <f t="shared" si="1"/>
        <v>0.03</v>
      </c>
      <c r="E39" s="13"/>
    </row>
    <row r="40" spans="1:5" x14ac:dyDescent="0.35">
      <c r="A40" s="12">
        <v>43893</v>
      </c>
      <c r="B40" s="13">
        <f t="shared" si="1"/>
        <v>7.0000000000000007E-2</v>
      </c>
      <c r="C40" s="13">
        <f t="shared" si="1"/>
        <v>0</v>
      </c>
      <c r="E40" s="13"/>
    </row>
    <row r="41" spans="1:5" x14ac:dyDescent="0.35">
      <c r="A41" s="12">
        <v>43894</v>
      </c>
      <c r="B41" s="13">
        <f t="shared" si="1"/>
        <v>0.06</v>
      </c>
      <c r="C41" s="13">
        <f t="shared" si="1"/>
        <v>0</v>
      </c>
      <c r="E41" s="13"/>
    </row>
    <row r="42" spans="1:5" x14ac:dyDescent="0.35">
      <c r="A42" s="12">
        <v>43895</v>
      </c>
      <c r="B42" s="13">
        <f t="shared" si="1"/>
        <v>0.06</v>
      </c>
      <c r="C42" s="13">
        <f t="shared" si="1"/>
        <v>0.02</v>
      </c>
      <c r="E42" s="13"/>
    </row>
    <row r="43" spans="1:5" x14ac:dyDescent="0.35">
      <c r="A43" s="12">
        <v>43896</v>
      </c>
      <c r="B43" s="13">
        <f t="shared" si="1"/>
        <v>0.04</v>
      </c>
      <c r="C43" s="13">
        <f t="shared" si="1"/>
        <v>5.0000000000000001E-3</v>
      </c>
      <c r="E43" s="13"/>
    </row>
    <row r="44" spans="1:5" x14ac:dyDescent="0.35">
      <c r="A44" s="12">
        <v>43897</v>
      </c>
      <c r="B44" s="13">
        <f t="shared" si="1"/>
        <v>0.02</v>
      </c>
      <c r="C44" s="13">
        <f t="shared" si="1"/>
        <v>0.03</v>
      </c>
      <c r="E44" s="13"/>
    </row>
    <row r="45" spans="1:5" x14ac:dyDescent="0.35">
      <c r="A45" s="12">
        <v>43898</v>
      </c>
      <c r="B45" s="13">
        <f t="shared" si="1"/>
        <v>-0.01</v>
      </c>
      <c r="C45" s="13">
        <f t="shared" si="1"/>
        <v>0.01</v>
      </c>
      <c r="E45" s="13"/>
    </row>
    <row r="46" spans="1:5" x14ac:dyDescent="0.35">
      <c r="A46" s="12">
        <v>43899</v>
      </c>
      <c r="B46" s="13">
        <f t="shared" si="1"/>
        <v>0.01</v>
      </c>
      <c r="C46" s="13">
        <f t="shared" si="1"/>
        <v>5.0000000000000001E-3</v>
      </c>
      <c r="E46" s="13"/>
    </row>
    <row r="47" spans="1:5" x14ac:dyDescent="0.35">
      <c r="A47" s="12">
        <v>43900</v>
      </c>
      <c r="B47" s="13">
        <f t="shared" si="1"/>
        <v>0.03</v>
      </c>
      <c r="C47" s="13">
        <f t="shared" si="1"/>
        <v>-0.01</v>
      </c>
      <c r="E47" s="13"/>
    </row>
    <row r="48" spans="1:5" x14ac:dyDescent="0.35">
      <c r="A48" s="12">
        <v>43901</v>
      </c>
      <c r="B48" s="13">
        <f t="shared" si="1"/>
        <v>0</v>
      </c>
      <c r="C48" s="13">
        <f t="shared" si="1"/>
        <v>-8.0000000000000002E-3</v>
      </c>
      <c r="E48" s="13"/>
    </row>
    <row r="49" spans="1:5" x14ac:dyDescent="0.35">
      <c r="A49" s="12">
        <v>43902</v>
      </c>
      <c r="B49" s="13">
        <f t="shared" ref="B49:C51" si="2">C167/100</f>
        <v>-0.05</v>
      </c>
      <c r="C49" s="13">
        <f t="shared" si="2"/>
        <v>-0.05</v>
      </c>
      <c r="E49" s="13"/>
    </row>
    <row r="50" spans="1:5" x14ac:dyDescent="0.35">
      <c r="A50" s="12">
        <v>43903</v>
      </c>
      <c r="B50" s="13">
        <f t="shared" si="2"/>
        <v>-0.02</v>
      </c>
      <c r="C50" s="13">
        <f t="shared" si="2"/>
        <v>-0.02</v>
      </c>
      <c r="E50" s="13"/>
    </row>
    <row r="51" spans="1:5" x14ac:dyDescent="0.35">
      <c r="A51" s="12">
        <v>43904</v>
      </c>
      <c r="B51" s="13">
        <f t="shared" si="2"/>
        <v>-0.1</v>
      </c>
      <c r="C51" s="13">
        <f t="shared" si="2"/>
        <v>-0.08</v>
      </c>
      <c r="E51" s="13"/>
    </row>
    <row r="52" spans="1:5" x14ac:dyDescent="0.35">
      <c r="C52" s="7"/>
      <c r="D52" s="7"/>
    </row>
    <row r="53" spans="1:5" x14ac:dyDescent="0.35">
      <c r="C53" s="7"/>
      <c r="D53" s="7"/>
    </row>
    <row r="54" spans="1:5" x14ac:dyDescent="0.35">
      <c r="C54" s="7"/>
      <c r="D54" s="7"/>
    </row>
    <row r="127" spans="3:4" x14ac:dyDescent="0.35">
      <c r="C127">
        <v>0</v>
      </c>
      <c r="D127">
        <v>0</v>
      </c>
    </row>
    <row r="128" spans="3:4" x14ac:dyDescent="0.35">
      <c r="C128">
        <v>-1</v>
      </c>
      <c r="D128">
        <v>-1.5</v>
      </c>
    </row>
    <row r="129" spans="3:4" x14ac:dyDescent="0.35">
      <c r="C129">
        <v>-1.5</v>
      </c>
      <c r="D129">
        <v>-2</v>
      </c>
    </row>
    <row r="130" spans="3:4" x14ac:dyDescent="0.35">
      <c r="C130">
        <v>-1</v>
      </c>
      <c r="D130">
        <v>-1</v>
      </c>
    </row>
    <row r="131" spans="3:4" x14ac:dyDescent="0.35">
      <c r="C131">
        <v>-1</v>
      </c>
      <c r="D131">
        <v>-0.5</v>
      </c>
    </row>
    <row r="132" spans="3:4" x14ac:dyDescent="0.35">
      <c r="C132">
        <v>-0.5</v>
      </c>
      <c r="D132">
        <v>3</v>
      </c>
    </row>
    <row r="133" spans="3:4" x14ac:dyDescent="0.35">
      <c r="C133">
        <v>1</v>
      </c>
      <c r="D133">
        <v>5</v>
      </c>
    </row>
    <row r="134" spans="3:4" x14ac:dyDescent="0.35">
      <c r="C134">
        <v>4</v>
      </c>
      <c r="D134">
        <v>8</v>
      </c>
    </row>
    <row r="135" spans="3:4" x14ac:dyDescent="0.35">
      <c r="C135">
        <v>5</v>
      </c>
      <c r="D135">
        <v>8</v>
      </c>
    </row>
    <row r="136" spans="3:4" x14ac:dyDescent="0.35">
      <c r="C136">
        <v>5.5</v>
      </c>
      <c r="D136">
        <v>10</v>
      </c>
    </row>
    <row r="137" spans="3:4" x14ac:dyDescent="0.35">
      <c r="C137">
        <v>5</v>
      </c>
      <c r="D137">
        <v>9.5</v>
      </c>
    </row>
    <row r="138" spans="3:4" x14ac:dyDescent="0.35">
      <c r="C138">
        <v>4.5</v>
      </c>
      <c r="D138">
        <v>10</v>
      </c>
    </row>
    <row r="139" spans="3:4" x14ac:dyDescent="0.35">
      <c r="C139">
        <v>4.5</v>
      </c>
      <c r="D139">
        <v>12</v>
      </c>
    </row>
    <row r="140" spans="3:4" x14ac:dyDescent="0.35">
      <c r="C140">
        <v>5</v>
      </c>
      <c r="D140">
        <v>14</v>
      </c>
    </row>
    <row r="141" spans="3:4" x14ac:dyDescent="0.35">
      <c r="C141">
        <v>6</v>
      </c>
      <c r="D141">
        <v>15</v>
      </c>
    </row>
    <row r="142" spans="3:4" x14ac:dyDescent="0.35">
      <c r="C142">
        <v>8</v>
      </c>
      <c r="D142">
        <v>15.5</v>
      </c>
    </row>
    <row r="143" spans="3:4" x14ac:dyDescent="0.35">
      <c r="C143">
        <v>10</v>
      </c>
      <c r="D143">
        <v>15.5</v>
      </c>
    </row>
    <row r="144" spans="3:4" x14ac:dyDescent="0.35">
      <c r="C144">
        <v>11</v>
      </c>
      <c r="D144">
        <v>16</v>
      </c>
    </row>
    <row r="145" spans="3:4" x14ac:dyDescent="0.35">
      <c r="C145">
        <v>10</v>
      </c>
      <c r="D145">
        <v>15</v>
      </c>
    </row>
    <row r="146" spans="3:4" x14ac:dyDescent="0.35">
      <c r="C146">
        <v>12</v>
      </c>
      <c r="D146">
        <v>14.5</v>
      </c>
    </row>
    <row r="147" spans="3:4" x14ac:dyDescent="0.35">
      <c r="C147">
        <v>12</v>
      </c>
      <c r="D147">
        <v>15</v>
      </c>
    </row>
    <row r="148" spans="3:4" x14ac:dyDescent="0.35">
      <c r="C148">
        <v>11.5</v>
      </c>
      <c r="D148">
        <v>16.5</v>
      </c>
    </row>
    <row r="149" spans="3:4" x14ac:dyDescent="0.35">
      <c r="C149">
        <v>10</v>
      </c>
      <c r="D149">
        <v>16</v>
      </c>
    </row>
    <row r="150" spans="3:4" x14ac:dyDescent="0.35">
      <c r="C150">
        <v>9</v>
      </c>
      <c r="D150">
        <v>15</v>
      </c>
    </row>
    <row r="151" spans="3:4" x14ac:dyDescent="0.35">
      <c r="C151">
        <v>7</v>
      </c>
      <c r="D151">
        <v>14</v>
      </c>
    </row>
    <row r="152" spans="3:4" x14ac:dyDescent="0.35">
      <c r="C152">
        <v>5</v>
      </c>
      <c r="D152">
        <v>12.5</v>
      </c>
    </row>
    <row r="153" spans="3:4" x14ac:dyDescent="0.35">
      <c r="C153">
        <v>4</v>
      </c>
      <c r="D153">
        <v>10</v>
      </c>
    </row>
    <row r="154" spans="3:4" x14ac:dyDescent="0.35">
      <c r="C154">
        <v>3.5</v>
      </c>
      <c r="D154">
        <v>8</v>
      </c>
    </row>
    <row r="155" spans="3:4" x14ac:dyDescent="0.35">
      <c r="C155">
        <v>4</v>
      </c>
      <c r="D155">
        <v>6</v>
      </c>
    </row>
    <row r="156" spans="3:4" x14ac:dyDescent="0.35">
      <c r="C156">
        <v>7</v>
      </c>
      <c r="D156">
        <v>3</v>
      </c>
    </row>
    <row r="157" spans="3:4" x14ac:dyDescent="0.35">
      <c r="C157">
        <v>6</v>
      </c>
      <c r="D157">
        <v>3</v>
      </c>
    </row>
    <row r="158" spans="3:4" x14ac:dyDescent="0.35">
      <c r="C158">
        <v>7</v>
      </c>
      <c r="D158">
        <v>0</v>
      </c>
    </row>
    <row r="159" spans="3:4" x14ac:dyDescent="0.35">
      <c r="C159">
        <v>6</v>
      </c>
      <c r="D159">
        <v>0</v>
      </c>
    </row>
    <row r="160" spans="3:4" x14ac:dyDescent="0.35">
      <c r="C160">
        <v>6</v>
      </c>
      <c r="D160">
        <v>2</v>
      </c>
    </row>
    <row r="161" spans="3:4" x14ac:dyDescent="0.35">
      <c r="C161">
        <v>4</v>
      </c>
      <c r="D161">
        <v>0.5</v>
      </c>
    </row>
    <row r="162" spans="3:4" x14ac:dyDescent="0.35">
      <c r="C162">
        <v>2</v>
      </c>
      <c r="D162">
        <v>3</v>
      </c>
    </row>
    <row r="163" spans="3:4" x14ac:dyDescent="0.35">
      <c r="C163">
        <v>-1</v>
      </c>
      <c r="D163">
        <v>1</v>
      </c>
    </row>
    <row r="164" spans="3:4" x14ac:dyDescent="0.35">
      <c r="C164">
        <v>1</v>
      </c>
      <c r="D164">
        <v>0.5</v>
      </c>
    </row>
    <row r="165" spans="3:4" x14ac:dyDescent="0.35">
      <c r="C165">
        <v>3</v>
      </c>
      <c r="D165">
        <v>-1</v>
      </c>
    </row>
    <row r="166" spans="3:4" x14ac:dyDescent="0.35">
      <c r="C166">
        <v>0</v>
      </c>
      <c r="D166">
        <v>-0.8</v>
      </c>
    </row>
    <row r="167" spans="3:4" x14ac:dyDescent="0.35">
      <c r="C167">
        <v>-5</v>
      </c>
      <c r="D167">
        <v>-5</v>
      </c>
    </row>
    <row r="168" spans="3:4" x14ac:dyDescent="0.35">
      <c r="C168">
        <v>-2</v>
      </c>
      <c r="D168">
        <v>-2</v>
      </c>
    </row>
    <row r="169" spans="3:4" x14ac:dyDescent="0.35">
      <c r="C169">
        <v>-10</v>
      </c>
      <c r="D169">
        <v>-8</v>
      </c>
    </row>
  </sheetData>
  <mergeCells count="4">
    <mergeCell ref="A7:C7"/>
    <mergeCell ref="B1:C1"/>
    <mergeCell ref="D1:E1"/>
    <mergeCell ref="A6:E6"/>
  </mergeCells>
  <hyperlinks>
    <hyperlink ref="J27" r:id="rId1" location="scso=_MJ2fXpK1KvLB3LUPwuOfqAQ1:0" xr:uid="{E725CF1A-4809-427B-AC50-4566E533A8BF}"/>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2F7D6-67F9-4232-98E9-F60270D510D2}">
  <sheetPr codeName="Sheet9"/>
  <dimension ref="A1"/>
  <sheetViews>
    <sheetView workbookViewId="0">
      <selection activeCell="E26" sqref="E26"/>
    </sheetView>
  </sheetViews>
  <sheetFormatPr defaultRowHeight="14.5"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APItest</vt:lpstr>
      <vt:lpstr>Google trends template</vt:lpstr>
      <vt:lpstr>Linkedin</vt:lpstr>
      <vt:lpstr>House</vt:lpstr>
      <vt:lpstr>Google trends</vt:lpstr>
      <vt:lpstr>Companies house</vt:lpstr>
      <vt:lpstr>Twitter</vt:lpstr>
      <vt:lpstr>google finance </vt:lpstr>
      <vt:lpstr>Xero (imported)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Etienne</dc:creator>
  <cp:keywords/>
  <dc:description/>
  <cp:lastModifiedBy>Etienne</cp:lastModifiedBy>
  <cp:revision/>
  <dcterms:created xsi:type="dcterms:W3CDTF">2020-04-21T00:13:43Z</dcterms:created>
  <dcterms:modified xsi:type="dcterms:W3CDTF">2020-04-26T00:29:46Z</dcterms:modified>
  <cp:category/>
  <cp:contentStatus/>
</cp:coreProperties>
</file>